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555854a2e12413a" /></Relationships>
</file>

<file path=xl/workbook.xml><?xml version="1.0" encoding="utf-8"?>
<x:workbook xmlns:x="http://schemas.openxmlformats.org/spreadsheetml/2006/main">
  <x:sheets>
    <x:sheet xmlns:r="http://schemas.openxmlformats.org/officeDocument/2006/relationships" name="Übersicht" sheetId="1" r:id="Re852818200d34260"/>
    <x:sheet xmlns:r="http://schemas.openxmlformats.org/officeDocument/2006/relationships" name="Oberthemen" sheetId="2" r:id="Rd72285a7cc45464b"/>
    <x:sheet xmlns:r="http://schemas.openxmlformats.org/officeDocument/2006/relationships" name="Einzel-ID-Zuordnung" sheetId="3" r:id="Ra844cb1937d54a9e"/>
    <x:sheet xmlns:r="http://schemas.openxmlformats.org/officeDocument/2006/relationships" name="Detailgruppen" sheetId="4" r:id="R37c0eb0406054127"/>
    <x:sheet xmlns:r="http://schemas.openxmlformats.org/officeDocument/2006/relationships" name="Rahmenplan-Abdeckung" sheetId="5" r:id="Re0b71e6d8d1c47d4"/>
    <x:sheet xmlns:r="http://schemas.openxmlformats.org/officeDocument/2006/relationships" name="Befundprüfung" sheetId="6" r:id="R6bbb1b4c3ec043a7"/>
    <x:sheet xmlns:r="http://schemas.openxmlformats.org/officeDocument/2006/relationships" name="Fehlende Inhalte" sheetId="7" r:id="R77314c7077534d9b"/>
    <x:sheet xmlns:r="http://schemas.openxmlformats.org/officeDocument/2006/relationships" name="Inhaltsmaßnahmen" sheetId="8" r:id="Reaac499f0e474a51"/>
    <x:sheet xmlns:r="http://schemas.openxmlformats.org/officeDocument/2006/relationships" name="Entscheidungen" sheetId="9" r:id="R66bb307ee1454389"/>
    <x:sheet xmlns:r="http://schemas.openxmlformats.org/officeDocument/2006/relationships" name="Rahmenplanbezüge" sheetId="10" r:id="R2df2105a01914157"/>
    <x:sheet xmlns:r="http://schemas.openxmlformats.org/officeDocument/2006/relationships" name="Historische Themen" sheetId="11" r:id="R8785336eef1f4c8f"/>
    <x:sheet xmlns:r="http://schemas.openxmlformats.org/officeDocument/2006/relationships" name="Altfunde" sheetId="12" r:id="Rfcf3500b20544aaf"/>
    <x:sheet xmlns:r="http://schemas.openxmlformats.org/officeDocument/2006/relationships" name="ID-Bilanz" sheetId="13" r:id="R56849912c06844ae"/>
    <x:sheet xmlns:r="http://schemas.openxmlformats.org/officeDocument/2006/relationships" name="Sheet-Konzept" sheetId="14" r:id="Rb8766825418e4866"/>
    <x:sheet xmlns:r="http://schemas.openxmlformats.org/officeDocument/2006/relationships" name="Quellen" sheetId="15" r:id="R87d6fb173d1f450a"/>
    <x:sheet xmlns:r="http://schemas.openxmlformats.org/officeDocument/2006/relationships" name="Methodik" sheetId="16" r:id="Ra884ee2278454f5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4"/>
      <x:color rgb="FF17365D"/>
      <x:name val="Arial"/>
    </x:font>
    <x:font>
      <x:i/>
      <x:sz val="10"/>
      <x:color rgb="FF65758B"/>
      <x:name val="Arial"/>
    </x:font>
    <x:font>
      <x:sz val="10"/>
      <x:color rgb="FF1F2937"/>
      <x:name val="Arial"/>
    </x:font>
    <x:font>
      <x:b/>
      <x:sz val="10"/>
      <x:color rgb="FFFFFFFF"/>
      <x:name val="Arial"/>
    </x:font>
    <x:font>
      <x:sz val="10"/>
      <x:color rgb="FF475569"/>
      <x:name val="Arial"/>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1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5" fillId="0" borderId="0" xfId="0" applyNumberFormat="1" applyFont="1" applyFill="1" applyBorder="1"/>
    <x:xf numFmtId="200" fontId="3"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cellXfs>
  <x:cellStyles count="1">
    <x:cellStyle name="Normal" xfId="0"/>
  </x:cellStyles>
  <x:dxfs count="1">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2c087afe5724431" /><Relationship Type="http://schemas.openxmlformats.org/officeDocument/2006/relationships/theme" Target="/xl/theme/theme1.xml" Id="R76b9ad4f175f417a" /><Relationship Type="http://schemas.openxmlformats.org/officeDocument/2006/relationships/sharedStrings" Target="/xl/sharedStrings.xml" Id="R56524dbfbc2a48ee" /><Relationship Type="http://schemas.openxmlformats.org/officeDocument/2006/relationships/worksheet" Target="/xl/worksheets/sheet1.xml" Id="Re852818200d34260" /><Relationship Type="http://schemas.openxmlformats.org/officeDocument/2006/relationships/worksheet" Target="/xl/worksheets/sheet2.xml" Id="Rd72285a7cc45464b" /><Relationship Type="http://schemas.openxmlformats.org/officeDocument/2006/relationships/worksheet" Target="/xl/worksheets/sheet3.xml" Id="Ra844cb1937d54a9e" /><Relationship Type="http://schemas.openxmlformats.org/officeDocument/2006/relationships/worksheet" Target="/xl/worksheets/sheet4.xml" Id="R37c0eb0406054127" /><Relationship Type="http://schemas.openxmlformats.org/officeDocument/2006/relationships/worksheet" Target="/xl/worksheets/sheet5.xml" Id="Re0b71e6d8d1c47d4" /><Relationship Type="http://schemas.openxmlformats.org/officeDocument/2006/relationships/worksheet" Target="/xl/worksheets/sheet6.xml" Id="R6bbb1b4c3ec043a7" /><Relationship Type="http://schemas.openxmlformats.org/officeDocument/2006/relationships/worksheet" Target="/xl/worksheets/sheet7.xml" Id="R77314c7077534d9b" /><Relationship Type="http://schemas.openxmlformats.org/officeDocument/2006/relationships/worksheet" Target="/xl/worksheets/sheet8.xml" Id="Reaac499f0e474a51" /><Relationship Type="http://schemas.openxmlformats.org/officeDocument/2006/relationships/worksheet" Target="/xl/worksheets/sheet9.xml" Id="R66bb307ee1454389" /><Relationship Type="http://schemas.openxmlformats.org/officeDocument/2006/relationships/worksheet" Target="/xl/worksheets/sheet10.xml" Id="R2df2105a01914157" /><Relationship Type="http://schemas.openxmlformats.org/officeDocument/2006/relationships/worksheet" Target="/xl/worksheets/sheet11.xml" Id="R8785336eef1f4c8f" /><Relationship Type="http://schemas.openxmlformats.org/officeDocument/2006/relationships/worksheet" Target="/xl/worksheets/sheet12.xml" Id="Rfcf3500b20544aaf" /><Relationship Type="http://schemas.openxmlformats.org/officeDocument/2006/relationships/worksheet" Target="/xl/worksheets/sheet13.xml" Id="R56849912c06844ae" /><Relationship Type="http://schemas.openxmlformats.org/officeDocument/2006/relationships/worksheet" Target="/xl/worksheets/sheet14.xml" Id="Rb8766825418e4866" /><Relationship Type="http://schemas.openxmlformats.org/officeDocument/2006/relationships/worksheet" Target="/xl/worksheets/sheet15.xml" Id="R87d6fb173d1f450a" /><Relationship Type="http://schemas.openxmlformats.org/officeDocument/2006/relationships/worksheet" Target="/xl/worksheets/sheet16.xml" Id="Ra884ee2278454f56" /></Relationships>
</file>

<file path=xl/tables/table1.xml><?xml version="1.0" encoding="utf-8"?>
<x:table xmlns:x="http://schemas.openxmlformats.org/spreadsheetml/2006/main" id="1" name="T1" displayName="T1" ref="A6:H15" headerRowCount="1" totalsRowCount="0" totalsRowShown="0">
  <x:tableColumns count="8">
    <x:tableColumn id="1" name="Bereich"/>
    <x:tableColumn id="2" name="Fach"/>
    <x:tableColumn id="3" name="UI-Themen"/>
    <x:tableColumn id="4" name="Detailgruppen"/>
    <x:tableColumn id="5" name="IDs"/>
    <x:tableColumn id="6" name="Teilabdeckung alt → Plan"/>
    <x:tableColumn id="7" name="Nicht abgedeckt alt → Plan"/>
    <x:tableColumn id="8" name="Entscheidungen"/>
  </x:tableColumns>
  <x:tableStyleInfo name="TableStyleMedium2" showFirstColumn="0" showLastColumn="0" showRowStripes="1" showColumnStripes="0"/>
</x:table>
</file>

<file path=xl/tables/table2.xml><?xml version="1.0" encoding="utf-8"?>
<x:table xmlns:x="http://schemas.openxmlformats.org/spreadsheetml/2006/main" id="2" name="T2" displayName="T2" ref="A6:I54" headerRowCount="1" totalsRowCount="0" totalsRowShown="0">
  <x:tableColumns count="9">
    <x:tableColumn id="1" name="Fachcode"/>
    <x:tableColumn id="2" name="Fach"/>
    <x:tableColumn id="3" name="UI-Key"/>
    <x:tableColumn id="4" name="Sichtbares Oberthema"/>
    <x:tableColumn id="5" name="Rahmenplanbereich"/>
    <x:tableColumn id="6" name="Detailgruppen"/>
    <x:tableColumn id="7" name="ID-Anzahl"/>
    <x:tableColumn id="8" name="Quellfächer"/>
    <x:tableColumn id="9" name="Status"/>
  </x:tableColumns>
  <x:tableStyleInfo name="TableStyleMedium2" showFirstColumn="0" showLastColumn="0" showRowStripes="1" showColumnStripes="0"/>
</x:table>
</file>

<file path=xl/tables/table3.xml><?xml version="1.0" encoding="utf-8"?>
<x:table xmlns:x="http://schemas.openxmlformats.org/spreadsheetml/2006/main" id="3" name="T3" displayName="T3" ref="A6:S2692" headerRowCount="1" totalsRowCount="0" totalsRowShown="0">
  <x:tableColumns count="19">
    <x:tableColumn id="1" name="Trainer-ID"/>
    <x:tableColumn id="2" name="Bereich"/>
    <x:tableColumn id="3" name="Fachcode"/>
    <x:tableColumn id="4" name="Fach"/>
    <x:tableColumn id="5" name="Quellfach"/>
    <x:tableColumn id="6" name="UI-Key"/>
    <x:tableColumn id="7" name="Oberthema"/>
    <x:tableColumn id="8" name="DetailKey"/>
    <x:tableColumn id="9" name="Primärpunkt"/>
    <x:tableColumn id="10" name="Primärbezug"/>
    <x:tableColumn id="11" name="Querverweise"/>
    <x:tableColumn id="12" name="Altes Thema"/>
    <x:tableColumn id="13" name="UI-Reihenfolge"/>
    <x:tableColumn id="14" name="Detail-Reihenfolge"/>
    <x:tableColumn id="15" name="Entscheidung"/>
    <x:tableColumn id="16" name="Prüfstatus"/>
    <x:tableColumn id="17" name="Begründung"/>
    <x:tableColumn id="18" name="Frage"/>
    <x:tableColumn id="19" name="Lehrinhalt-SHA256"/>
  </x:tableColumns>
  <x:tableStyleInfo name="TableStyleMedium2" showFirstColumn="0" showLastColumn="0" showRowStripes="1" showColumnStripes="0"/>
</x:table>
</file>

<file path=xl/tables/table4.xml><?xml version="1.0" encoding="utf-8"?>
<x:table xmlns:x="http://schemas.openxmlformats.org/spreadsheetml/2006/main" id="4" name="T4" displayName="T4" ref="A6:M202" headerRowCount="1" totalsRowCount="0" totalsRowShown="0">
  <x:tableColumns count="13">
    <x:tableColumn id="1" name="DetailKey"/>
    <x:tableColumn id="2" name="Bereich"/>
    <x:tableColumn id="3" name="Fachcode"/>
    <x:tableColumn id="4" name="Fach"/>
    <x:tableColumn id="5" name="UI-Key"/>
    <x:tableColumn id="6" name="Oberthema"/>
    <x:tableColumn id="7" name="Detailgruppe"/>
    <x:tableColumn id="8" name="Rahmenplananker"/>
    <x:tableColumn id="9" name="Quellfach"/>
    <x:tableColumn id="10" name="ID-Anzahl"/>
    <x:tableColumn id="11" name="Primärpunkte"/>
    <x:tableColumn id="12" name="Trainer-IDs"/>
    <x:tableColumn id="13" name="Sichtbar"/>
  </x:tableColumns>
  <x:tableStyleInfo name="TableStyleMedium2" showFirstColumn="0" showLastColumn="0" showRowStripes="1" showColumnStripes="0"/>
</x:table>
</file>

<file path=xl/tables/table5.xml><?xml version="1.0" encoding="utf-8"?>
<x:table xmlns:x="http://schemas.openxmlformats.org/spreadsheetml/2006/main" id="5" name="T5" displayName="T5" ref="A6:L583" headerRowCount="1" totalsRowCount="0" totalsRowShown="0">
  <x:tableColumns count="12">
    <x:tableColumn id="1" name="PunktKey"/>
    <x:tableColumn id="2" name="Fach"/>
    <x:tableColumn id="3" name="Rahmenplanpunkt"/>
    <x:tableColumn id="4" name="Altstatus"/>
    <x:tableColumn id="5" name="Planstatus"/>
    <x:tableColumn id="6" name="Geprüfte Belege"/>
    <x:tableColumn id="7" name="Analyse-Kandidaten"/>
    <x:tableColumn id="8" name="Lücke"/>
    <x:tableColumn id="9" name="Spätere Maßnahme"/>
    <x:tableColumn id="10" name="Quellen"/>
    <x:tableColumn id="11" name="Prüfstatus"/>
    <x:tableColumn id="12" name="Primär-IDs (kein Vollbeleg)"/>
  </x:tableColumns>
  <x:tableStyleInfo name="TableStyleMedium2" showFirstColumn="0" showLastColumn="0" showRowStripes="1" showColumnStripes="0"/>
</x:table>
</file>

<file path=xl/tables/table6.xml><?xml version="1.0" encoding="utf-8"?>
<x:table xmlns:x="http://schemas.openxmlformats.org/spreadsheetml/2006/main" id="6" name="T6" displayName="T6" ref="A6:K47" headerRowCount="1" totalsRowCount="0" totalsRowShown="0">
  <x:tableColumns count="11">
    <x:tableColumn id="1" name="PunktKey"/>
    <x:tableColumn id="2" name="Fach"/>
    <x:tableColumn id="3" name="Unterpunkt"/>
    <x:tableColumn id="4" name="Altstatus"/>
    <x:tableColumn id="5" name="Planstatus"/>
    <x:tableColumn id="6" name="Vorhandene Belege"/>
    <x:tableColumn id="7" name="Was fehlt tatsächlich?"/>
    <x:tableColumn id="8" name="Spätere Maßnahme"/>
    <x:tableColumn id="9" name="Befundart"/>
    <x:tableColumn id="10" name="Neue Inhalte?"/>
    <x:tableColumn id="11" name="Quellen"/>
  </x:tableColumns>
  <x:tableStyleInfo name="TableStyleMedium2" showFirstColumn="0" showLastColumn="0" showRowStripes="1" showColumnStripes="0"/>
</x:table>
</file>

<file path=xl/tables/table7.xml><?xml version="1.0" encoding="utf-8"?>
<x:table xmlns:x="http://schemas.openxmlformats.org/spreadsheetml/2006/main" id="7" name="T7" displayName="T7" ref="A6:G11" headerRowCount="1" totalsRowCount="0" totalsRowShown="0">
  <x:tableColumns count="7">
    <x:tableColumn id="1" name="PunktKey"/>
    <x:tableColumn id="2" name="Vorhandene Teilbelege"/>
    <x:tableColumn id="3" name="Schon vorhanden"/>
    <x:tableColumn id="4" name="Fehlender Inhalt"/>
    <x:tableColumn id="5" name="Spätere Maßnahme"/>
    <x:tableColumn id="6" name="Neue Inhalte/ID?"/>
    <x:tableColumn id="7" name="Quellen"/>
  </x:tableColumns>
  <x:tableStyleInfo name="TableStyleMedium2" showFirstColumn="0" showLastColumn="0" showRowStripes="1" showColumnStripes="0"/>
</x:table>
</file>

<file path=xl/tables/table8.xml><?xml version="1.0" encoding="utf-8"?>
<x:table xmlns:x="http://schemas.openxmlformats.org/spreadsheetml/2006/main" id="8" name="T8" displayName="T8" ref="A6:C15" headerRowCount="1" totalsRowCount="0" totalsRowShown="0">
  <x:tableColumns count="3">
    <x:tableColumn id="1" name="Trainer-ID / Punkt"/>
    <x:tableColumn id="2" name="Status"/>
    <x:tableColumn id="3" name="Verbleibende fachliche Maßnahme"/>
  </x:tableColumns>
  <x:tableStyleInfo name="TableStyleMedium2" showFirstColumn="0" showLastColumn="0" showRowStripes="1" showColumnStripes="0"/>
</x:table>
</file>

<file path=xl/tables/table9.xml><?xml version="1.0" encoding="utf-8"?>
<x:table xmlns:x="http://schemas.openxmlformats.org/spreadsheetml/2006/main" id="9" name="T9" displayName="T9" ref="A6:G15" headerRowCount="1" totalsRowCount="0" totalsRowShown="0">
  <x:tableColumns count="7">
    <x:tableColumn id="1" name="Entscheidung"/>
    <x:tableColumn id="2" name="Status"/>
    <x:tableColumn id="3" name="Fachcode"/>
    <x:tableColumn id="4" name="Trainer-IDs"/>
    <x:tableColumn id="5" name="Grenzfall"/>
    <x:tableColumn id="6" name="Freigegebene Entscheidung"/>
    <x:tableColumn id="7" name="Verbleibende Abhängigkeit"/>
  </x:tableColumns>
  <x:tableStyleInfo name="TableStyleMedium2" showFirstColumn="0" showLastColumn="0" showRowStripes="1" showColumnStripes="0"/>
</x:table>
</file>

<file path=xl/tables/table10.xml><?xml version="1.0" encoding="utf-8"?>
<x:table xmlns:x="http://schemas.openxmlformats.org/spreadsheetml/2006/main" id="10" name="T10" displayName="T10" ref="A6:G137" headerRowCount="1" totalsRowCount="0" totalsRowShown="0">
  <x:tableColumns count="7">
    <x:tableColumn id="1" name="Trainer-ID"/>
    <x:tableColumn id="2" name="Bereich"/>
    <x:tableColumn id="3" name="Quellfach"/>
    <x:tableColumn id="4" name="PunktKey"/>
    <x:tableColumn id="5" name="Planungsrolle"/>
    <x:tableColumn id="6" name="Belegstatus"/>
    <x:tableColumn id="7" name="Begründung"/>
  </x:tableColumns>
  <x:tableStyleInfo name="TableStyleMedium2" showFirstColumn="0" showLastColumn="0" showRowStripes="1" showColumnStripes="0"/>
</x:table>
</file>

<file path=xl/tables/table11.xml><?xml version="1.0" encoding="utf-8"?>
<x:table xmlns:x="http://schemas.openxmlformats.org/spreadsheetml/2006/main" id="11" name="T11" displayName="T11" ref="A6:G160" headerRowCount="1" totalsRowCount="0" totalsRowShown="0">
  <x:tableColumns count="7">
    <x:tableColumn id="1" name="Quellfach"/>
    <x:tableColumn id="2" name="Historisches Thema"/>
    <x:tableColumn id="3" name="Ziel-UI-Keys"/>
    <x:tableColumn id="4" name="Interne Gruppen"/>
    <x:tableColumn id="5" name="ID-Anzahl"/>
    <x:tableColumn id="6" name="Maßnahme"/>
    <x:tableColumn id="7" name="Resume ohne ID"/>
  </x:tableColumns>
  <x:tableStyleInfo name="TableStyleMedium2" showFirstColumn="0" showLastColumn="0" showRowStripes="1" showColumnStripes="0"/>
</x:table>
</file>

<file path=xl/tables/table12.xml><?xml version="1.0" encoding="utf-8"?>
<x:table xmlns:x="http://schemas.openxmlformats.org/spreadsheetml/2006/main" id="12" name="T12" displayName="T12" ref="A6:F18" headerRowCount="1" totalsRowCount="0" totalsRowShown="0">
  <x:tableColumns count="6">
    <x:tableColumn id="1" name="Rahmenplanpunkt"/>
    <x:tableColumn id="2" name="Trainer-IDs"/>
    <x:tableColumn id="3" name="Befundart"/>
    <x:tableColumn id="4" name="Hinweis"/>
    <x:tableColumn id="5" name="Bisherige Empfehlung"/>
    <x:tableColumn id="6" name="Behandlung im Plan"/>
  </x:tableColumns>
  <x:tableStyleInfo name="TableStyleMedium2" showFirstColumn="0" showLastColumn="0" showRowStripes="1" showColumnStripes="0"/>
</x:table>
</file>

<file path=xl/tables/table13.xml><?xml version="1.0" encoding="utf-8"?>
<x:table xmlns:x="http://schemas.openxmlformats.org/spreadsheetml/2006/main" id="13" name="T13" displayName="T13" ref="A6:G2692" headerRowCount="1" totalsRowCount="0" totalsRowShown="0">
  <x:tableColumns count="7">
    <x:tableColumn id="1" name="Trainer-ID"/>
    <x:tableColumn id="2" name="Quellfach"/>
    <x:tableColumn id="3" name="Soll primär"/>
    <x:tableColumn id="4" name="Ist primär"/>
    <x:tableColumn id="5" name="Differenz"/>
    <x:tableColumn id="6" name="Pilot unverändert"/>
    <x:tableColumn id="7" name="Bereich"/>
  </x:tableColumns>
  <x:tableStyleInfo name="TableStyleMedium2" showFirstColumn="0" showLastColumn="0" showRowStripes="1" showColumnStripes="0"/>
</x:table>
</file>

<file path=xl/tables/table14.xml><?xml version="1.0" encoding="utf-8"?>
<x:table xmlns:x="http://schemas.openxmlformats.org/spreadsheetml/2006/main" id="14" name="T14" displayName="T14" ref="A6:D12" headerRowCount="1" totalsRowCount="0" totalsRowShown="0">
  <x:tableColumns count="4">
    <x:tableColumn id="1" name="Tabelle"/>
    <x:tableColumn id="2" name="Umfang"/>
    <x:tableColumn id="3" name="Felder und Regeln"/>
    <x:tableColumn id="4" name="Schutz / Abhängigkeit"/>
  </x:tableColumns>
  <x:tableStyleInfo name="TableStyleMedium2" showFirstColumn="0" showLastColumn="0" showRowStripes="1" showColumnStripes="0"/>
</x:table>
</file>

<file path=xl/tables/table15.xml><?xml version="1.0" encoding="utf-8"?>
<x:table xmlns:x="http://schemas.openxmlformats.org/spreadsheetml/2006/main" id="15" name="T15" displayName="T15" ref="A6:E26" headerRowCount="1" totalsRowCount="0" totalsRowShown="0">
  <x:tableColumns count="5">
    <x:tableColumn id="1" name="Quellenkey"/>
    <x:tableColumn id="2" name="Titel"/>
    <x:tableColumn id="3" name="URL / Datei"/>
    <x:tableColumn id="4" name="Gelesener Textumfang"/>
    <x:tableColumn id="5" name="Nutzung"/>
  </x:tableColumns>
  <x:tableStyleInfo name="TableStyleMedium2" showFirstColumn="0" showLastColumn="0" showRowStripes="1" showColumnStripes="0"/>
</x:table>
</file>

<file path=xl/tables/table16.xml><?xml version="1.0" encoding="utf-8"?>
<x:table xmlns:x="http://schemas.openxmlformats.org/spreadsheetml/2006/main" id="16" name="T16" displayName="T16" ref="A6:B15" headerRowCount="1" totalsRowCount="0" totalsRowShown="0">
  <x:tableColumns count="2">
    <x:tableColumn id="1" name="Thema"/>
    <x:tableColumn id="2" name="Rege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d64b5815fed4f95" /></Relationships>
</file>

<file path=xl/worksheets/_rels/sheet2.xml.rels>&#65279;<?xml version="1.0" encoding="utf-8"?><Relationships xmlns="http://schemas.openxmlformats.org/package/2006/relationships"><Relationship Type="http://schemas.openxmlformats.org/officeDocument/2006/relationships/table" Target="/xl/tables/table2.xml" Id="Rb2b1a4c68f704efc" /></Relationships>
</file>

<file path=xl/worksheets/_rels/sheet3.xml.rels>&#65279;<?xml version="1.0" encoding="utf-8"?><Relationships xmlns="http://schemas.openxmlformats.org/package/2006/relationships"><Relationship Type="http://schemas.openxmlformats.org/officeDocument/2006/relationships/table" Target="/xl/tables/table3.xml" Id="Re27ff5cea6a64fef" /></Relationships>
</file>

<file path=xl/worksheets/_rels/sheet4.xml.rels>&#65279;<?xml version="1.0" encoding="utf-8"?><Relationships xmlns="http://schemas.openxmlformats.org/package/2006/relationships"><Relationship Type="http://schemas.openxmlformats.org/officeDocument/2006/relationships/table" Target="/xl/tables/table4.xml" Id="R95d73df6d35d4c76" /></Relationships>
</file>

<file path=xl/worksheets/_rels/sheet5.xml.rels>&#65279;<?xml version="1.0" encoding="utf-8"?><Relationships xmlns="http://schemas.openxmlformats.org/package/2006/relationships"><Relationship Type="http://schemas.openxmlformats.org/officeDocument/2006/relationships/table" Target="/xl/tables/table5.xml" Id="R06769165191c483e" /></Relationships>
</file>

<file path=xl/worksheets/_rels/sheet6.xml.rels>&#65279;<?xml version="1.0" encoding="utf-8"?><Relationships xmlns="http://schemas.openxmlformats.org/package/2006/relationships"><Relationship Type="http://schemas.openxmlformats.org/officeDocument/2006/relationships/table" Target="/xl/tables/table6.xml" Id="Rf2b52426e9644c93" /></Relationships>
</file>

<file path=xl/worksheets/_rels/sheet7.xml.rels>&#65279;<?xml version="1.0" encoding="utf-8"?><Relationships xmlns="http://schemas.openxmlformats.org/package/2006/relationships"><Relationship Type="http://schemas.openxmlformats.org/officeDocument/2006/relationships/table" Target="/xl/tables/table7.xml" Id="R516c94b4beab4399" /></Relationships>
</file>

<file path=xl/worksheets/_rels/sheet8.xml.rels>&#65279;<?xml version="1.0" encoding="utf-8"?><Relationships xmlns="http://schemas.openxmlformats.org/package/2006/relationships"><Relationship Type="http://schemas.openxmlformats.org/officeDocument/2006/relationships/table" Target="/xl/tables/table8.xml" Id="R41f05cddf71a4cc0" /></Relationships>
</file>

<file path=xl/worksheets/_rels/sheet9.xml.rels>&#65279;<?xml version="1.0" encoding="utf-8"?><Relationships xmlns="http://schemas.openxmlformats.org/package/2006/relationships"><Relationship Type="http://schemas.openxmlformats.org/officeDocument/2006/relationships/table" Target="/xl/tables/table9.xml" Id="R7b9611a712a44111" /></Relationships>
</file>

<file path=xl/worksheets/_rels/sheet10.xml.rels>&#65279;<?xml version="1.0" encoding="utf-8"?><Relationships xmlns="http://schemas.openxmlformats.org/package/2006/relationships"><Relationship Type="http://schemas.openxmlformats.org/officeDocument/2006/relationships/table" Target="/xl/tables/table10.xml" Id="Rad4f47c3ca944857" /></Relationships>
</file>

<file path=xl/worksheets/_rels/sheet11.xml.rels>&#65279;<?xml version="1.0" encoding="utf-8"?><Relationships xmlns="http://schemas.openxmlformats.org/package/2006/relationships"><Relationship Type="http://schemas.openxmlformats.org/officeDocument/2006/relationships/table" Target="/xl/tables/table11.xml" Id="Re2085f37926c4d88" /></Relationships>
</file>

<file path=xl/worksheets/_rels/sheet12.xml.rels>&#65279;<?xml version="1.0" encoding="utf-8"?><Relationships xmlns="http://schemas.openxmlformats.org/package/2006/relationships"><Relationship Type="http://schemas.openxmlformats.org/officeDocument/2006/relationships/table" Target="/xl/tables/table12.xml" Id="Rf617e920515d4107" /></Relationships>
</file>

<file path=xl/worksheets/_rels/sheet13.xml.rels>&#65279;<?xml version="1.0" encoding="utf-8"?><Relationships xmlns="http://schemas.openxmlformats.org/package/2006/relationships"><Relationship Type="http://schemas.openxmlformats.org/officeDocument/2006/relationships/table" Target="/xl/tables/table13.xml" Id="R04763b7d82034022" /></Relationships>
</file>

<file path=xl/worksheets/_rels/sheet14.xml.rels>&#65279;<?xml version="1.0" encoding="utf-8"?><Relationships xmlns="http://schemas.openxmlformats.org/package/2006/relationships"><Relationship Type="http://schemas.openxmlformats.org/officeDocument/2006/relationships/table" Target="/xl/tables/table14.xml" Id="R7c07a43f5cc4431f" /></Relationships>
</file>

<file path=xl/worksheets/_rels/sheet15.xml.rels>&#65279;<?xml version="1.0" encoding="utf-8"?><Relationships xmlns="http://schemas.openxmlformats.org/package/2006/relationships"><Relationship Type="http://schemas.openxmlformats.org/officeDocument/2006/relationships/table" Target="/xl/tables/table15.xml" Id="R6f3fd6ebcb1d483e" /></Relationships>
</file>

<file path=xl/worksheets/_rels/sheet16.xml.rels>&#65279;<?xml version="1.0" encoding="utf-8"?><Relationships xmlns="http://schemas.openxmlformats.org/package/2006/relationships"><Relationship Type="http://schemas.openxmlformats.org/officeDocument/2006/relationships/table" Target="/xl/tables/table16.xml" Id="R052e61e6d2634387" /></Relationships>
</file>

<file path=xl/worksheets/sheet1.xml><?xml version="1.0" encoding="utf-8"?>
<x:worksheet xmlns:x="http://schemas.openxmlformats.org/spreadsheetml/2006/main">
  <x:sheetPr>
    <x:tabColor rgb="FF1F4E78"/>
  </x:sheetPr>
  <x:sheetViews>
    <x:sheetView showGridLines="0" workbookViewId="0"/>
  </x:sheetViews>
  <x:sheetFormatPr defaultRowHeight="15"/>
  <x:cols>
    <x:col min="1" max="1" width="10" hidden="0" customWidth="1"/>
    <x:col min="2" max="2" width="54" hidden="0" customWidth="1"/>
    <x:col min="3" max="3" width="13" hidden="0" customWidth="1"/>
    <x:col min="4" max="4" width="15" hidden="0" customWidth="1"/>
    <x:col min="5" max="5" width="13" hidden="0" customWidth="1"/>
    <x:col min="6" max="6" width="21" hidden="0" customWidth="1"/>
    <x:col min="7" max="7" width="22" hidden="0" customWidth="1"/>
    <x:col min="8" max="8" width="18" hidden="0" customWidth="1"/>
  </x:cols>
  <x:sheetData>
    <x:row r="2">
      <x:c r="A2" s="1" t="str">
        <x:v>WiFa-Trainer · Gesamtplanung</x:v>
      </x:c>
    </x:row>
    <x:row r="4">
      <x:c r="A4" s="2" t="str">
        <x:v>Planung / Revisionsstand · 28.09.2026 · WIFA-TR-GESAMT-20260927-REV2-FREIGEGEBENE-GRENZFAELLE · keine produktive Änderung</x:v>
      </x:c>
    </x:row>
    <x:row r="6" ht="34" customHeight="1">
      <x:c r="A6" s="9" t="str">
        <x:v>Bereich</x:v>
      </x:c>
      <x:c r="B6" s="9" t="str">
        <x:v>Fach</x:v>
      </x:c>
      <x:c r="C6" s="9" t="str">
        <x:v>UI-Themen</x:v>
      </x:c>
      <x:c r="D6" s="9" t="str">
        <x:v>Detailgruppen</x:v>
      </x:c>
      <x:c r="E6" s="9" t="str">
        <x:v>IDs</x:v>
      </x:c>
      <x:c r="F6" s="9" t="str">
        <x:v>Teilabdeckung alt → Plan</x:v>
      </x:c>
      <x:c r="G6" s="9" t="str">
        <x:v>Nicht abgedeckt alt → Plan</x:v>
      </x:c>
      <x:c r="H6" s="9" t="str">
        <x:v>Entscheidungen</x:v>
      </x:c>
    </x:row>
    <x:row r="7" ht="36" customHeight="1">
      <x:c r="A7" s="5" t="str">
        <x:v>WQ</x:v>
      </x:c>
      <x:c r="B7" s="5" t="str">
        <x:v>Volks- und Betriebswirtschaft</x:v>
      </x:c>
      <x:c r="C7" s="11" t="n">
        <x:f>COUNTIF('Oberthemen'!$A$7:$A$54,"1")</x:f>
        <x:v>4</x:v>
      </x:c>
      <x:c r="D7" s="11" t="n">
        <x:f>COUNTIF('Detailgruppen'!$C$7:$C$202,"1")</x:f>
        <x:v>21</x:v>
      </x:c>
      <x:c r="E7" s="11" t="n">
        <x:f>COUNTIF('Einzel-ID-Zuordnung'!$C$7:$C$2692,"1")</x:f>
        <x:v>283</x:v>
      </x:c>
      <x:c r="F7" s="12" t="str">
        <x:v>0 → 0</x:v>
      </x:c>
      <x:c r="G7" s="12" t="str">
        <x:v>0 → 0</x:v>
      </x:c>
      <x:c r="H7" s="12" t="n">
        <x:v>1</x:v>
      </x:c>
    </x:row>
    <x:row r="8" ht="36" customHeight="1">
      <x:c r="A8" s="5" t="str">
        <x:v>WQ</x:v>
      </x:c>
      <x:c r="B8" s="5" t="str">
        <x:v>Rechnungswesen</x:v>
      </x:c>
      <x:c r="C8" s="11" t="n">
        <x:f>COUNTIF('Oberthemen'!$A$7:$A$54,"2")</x:f>
        <x:v>5</x:v>
      </x:c>
      <x:c r="D8" s="11" t="n">
        <x:f>COUNTIF('Detailgruppen'!$C$7:$C$202,"2")</x:f>
        <x:v>17</x:v>
      </x:c>
      <x:c r="E8" s="11" t="n">
        <x:f>COUNTIF('Einzel-ID-Zuordnung'!$C$7:$C$2692,"2")</x:f>
        <x:v>122</x:v>
      </x:c>
      <x:c r="F8" s="12" t="str">
        <x:v>8 → 3</x:v>
      </x:c>
      <x:c r="G8" s="12" t="str">
        <x:v>0 → 0</x:v>
      </x:c>
      <x:c r="H8" s="12" t="n">
        <x:v>1</x:v>
      </x:c>
    </x:row>
    <x:row r="9" ht="36" customHeight="1">
      <x:c r="A9" s="5" t="str">
        <x:v>WQ</x:v>
      </x:c>
      <x:c r="B9" s="5" t="str">
        <x:v>Recht und Steuern</x:v>
      </x:c>
      <x:c r="C9" s="11" t="n">
        <x:f>COUNTIF('Oberthemen'!$A$7:$A$54,"3")</x:f>
        <x:v>10</x:v>
      </x:c>
      <x:c r="D9" s="11" t="n">
        <x:f>COUNTIF('Detailgruppen'!$C$7:$C$202,"3")</x:f>
        <x:v>35</x:v>
      </x:c>
      <x:c r="E9" s="11" t="n">
        <x:f>COUNTIF('Einzel-ID-Zuordnung'!$C$7:$C$2692,"3")</x:f>
        <x:v>800</x:v>
      </x:c>
      <x:c r="F9" s="12" t="str">
        <x:v>4 → 4</x:v>
      </x:c>
      <x:c r="G9" s="12" t="str">
        <x:v>0 → 0</x:v>
      </x:c>
      <x:c r="H9" s="12" t="n">
        <x:v>0</x:v>
      </x:c>
    </x:row>
    <x:row r="10" ht="36" customHeight="1">
      <x:c r="A10" s="5" t="str">
        <x:v>WQ</x:v>
      </x:c>
      <x:c r="B10" s="5" t="str">
        <x:v>Unternehmensführung</x:v>
      </x:c>
      <x:c r="C10" s="11" t="n">
        <x:f>COUNTIF('Oberthemen'!$A$7:$A$54,"4")</x:f>
        <x:v>3</x:v>
      </x:c>
      <x:c r="D10" s="11" t="n">
        <x:f>COUNTIF('Detailgruppen'!$C$7:$C$202,"4")</x:f>
        <x:v>15</x:v>
      </x:c>
      <x:c r="E10" s="11" t="n">
        <x:f>COUNTIF('Einzel-ID-Zuordnung'!$C$7:$C$2692,"4")</x:f>
        <x:v>235</x:v>
      </x:c>
      <x:c r="F10" s="12" t="str">
        <x:v>3 → 4</x:v>
      </x:c>
      <x:c r="G10" s="12" t="str">
        <x:v>1 → 0</x:v>
      </x:c>
      <x:c r="H10" s="12" t="n">
        <x:v>1</x:v>
      </x:c>
    </x:row>
    <x:row r="11" ht="36" customHeight="1">
      <x:c r="A11" s="5" t="str">
        <x:v>HQ</x:v>
      </x:c>
      <x:c r="B11" s="5" t="str">
        <x:v>Betriebliches Management</x:v>
      </x:c>
      <x:c r="C11" s="11" t="n">
        <x:f>COUNTIF('Oberthemen'!$A$7:$A$54,"5")</x:f>
        <x:v>4</x:v>
      </x:c>
      <x:c r="D11" s="11" t="n">
        <x:f>COUNTIF('Detailgruppen'!$C$7:$C$202,"5")</x:f>
        <x:v>13</x:v>
      </x:c>
      <x:c r="E11" s="11" t="n">
        <x:f>COUNTIF('Einzel-ID-Zuordnung'!$C$7:$C$2692,"5")</x:f>
        <x:v>264</x:v>
      </x:c>
      <x:c r="F11" s="12" t="str">
        <x:v>9 → 6</x:v>
      </x:c>
      <x:c r="G11" s="12" t="str">
        <x:v>0 → 0</x:v>
      </x:c>
      <x:c r="H11" s="12" t="n">
        <x:v>2</x:v>
      </x:c>
    </x:row>
    <x:row r="12" ht="54" customHeight="1">
      <x:c r="A12" s="5" t="str">
        <x:v>HQ</x:v>
      </x:c>
      <x:c r="B12" s="5" t="str">
        <x:v>Investition, Finanzierung, betriebliches Rechnungswesen und Controlling</x:v>
      </x:c>
      <x:c r="C12" s="11" t="n">
        <x:f>COUNTIF('Oberthemen'!$A$7:$A$54,"6")</x:f>
        <x:v>5</x:v>
      </x:c>
      <x:c r="D12" s="11" t="n">
        <x:f>COUNTIF('Detailgruppen'!$C$7:$C$202,"6")</x:f>
        <x:v>26</x:v>
      </x:c>
      <x:c r="E12" s="11" t="n">
        <x:f>COUNTIF('Einzel-ID-Zuordnung'!$C$7:$C$2692,"6")</x:f>
        <x:v>269</x:v>
      </x:c>
      <x:c r="F12" s="12" t="str">
        <x:v>6 → 4</x:v>
      </x:c>
      <x:c r="G12" s="12" t="str">
        <x:v>1 → 0</x:v>
      </x:c>
      <x:c r="H12" s="12" t="n">
        <x:v>2</x:v>
      </x:c>
    </x:row>
    <x:row r="13" ht="36" customHeight="1">
      <x:c r="A13" s="5" t="str">
        <x:v>HQ</x:v>
      </x:c>
      <x:c r="B13" s="5" t="str">
        <x:v>Logistik</x:v>
      </x:c>
      <x:c r="C13" s="11" t="n">
        <x:f>COUNTIF('Oberthemen'!$A$7:$A$54,"7")</x:f>
        <x:v>5</x:v>
      </x:c>
      <x:c r="D13" s="11" t="n">
        <x:f>COUNTIF('Detailgruppen'!$C$7:$C$202,"7")</x:f>
        <x:v>23</x:v>
      </x:c>
      <x:c r="E13" s="11" t="n">
        <x:f>COUNTIF('Einzel-ID-Zuordnung'!$C$7:$C$2692,"7")</x:f>
        <x:v>317</x:v>
      </x:c>
      <x:c r="F13" s="12" t="str">
        <x:v>2 → 0</x:v>
      </x:c>
      <x:c r="G13" s="12" t="str">
        <x:v>0 → 0</x:v>
      </x:c>
      <x:c r="H13" s="12" t="n">
        <x:v>0</x:v>
      </x:c>
    </x:row>
    <x:row r="14" ht="36" customHeight="1">
      <x:c r="A14" s="5" t="str">
        <x:v>HQ</x:v>
      </x:c>
      <x:c r="B14" s="5" t="str">
        <x:v>Marketing und Vertrieb</x:v>
      </x:c>
      <x:c r="C14" s="11" t="n">
        <x:f>COUNTIF('Oberthemen'!$A$7:$A$54,"8")</x:f>
        <x:v>5</x:v>
      </x:c>
      <x:c r="D14" s="11" t="n">
        <x:f>COUNTIF('Detailgruppen'!$C$7:$C$202,"8")</x:f>
        <x:v>22</x:v>
      </x:c>
      <x:c r="E14" s="11" t="n">
        <x:f>COUNTIF('Einzel-ID-Zuordnung'!$C$7:$C$2692,"8")</x:f>
        <x:v>191</x:v>
      </x:c>
      <x:c r="F14" s="12" t="str">
        <x:v>11 → 7</x:v>
      </x:c>
      <x:c r="G14" s="12" t="str">
        <x:v>0 → 0</x:v>
      </x:c>
      <x:c r="H14" s="12" t="n">
        <x:v>1</x:v>
      </x:c>
    </x:row>
    <x:row r="15" ht="36" customHeight="1">
      <x:c r="A15" s="5" t="str">
        <x:v>HQ</x:v>
      </x:c>
      <x:c r="B15" s="5" t="str">
        <x:v>Führung und Zusammenarbeit</x:v>
      </x:c>
      <x:c r="C15" s="11" t="n">
        <x:f>COUNTIF('Oberthemen'!$A$7:$A$54,"9")</x:f>
        <x:v>7</x:v>
      </x:c>
      <x:c r="D15" s="11" t="n">
        <x:f>COUNTIF('Detailgruppen'!$C$7:$C$202,"9")</x:f>
        <x:v>24</x:v>
      </x:c>
      <x:c r="E15" s="11" t="n">
        <x:f>COUNTIF('Einzel-ID-Zuordnung'!$C$7:$C$2692,"9")</x:f>
        <x:v>205</x:v>
      </x:c>
      <x:c r="F15" s="12" t="str">
        <x:v>0 → 0</x:v>
      </x:c>
      <x:c r="G15" s="12" t="str">
        <x:v>0 → 0</x:v>
      </x:c>
      <x:c r="H15" s="12" t="n">
        <x:v>1</x:v>
      </x:c>
    </x:row>
    <x:row r="18">
      <x:c r="A18" s="10" t="str">
        <x:v>Bilanz: 2.686 eindeutige IDs = 800 unveränderter Pilot + 1.886 revidiert geplante IDs.</x:v>
      </x:c>
      <x:c r="B18" s="10"/>
      <x:c r="C18" s="10"/>
      <x:c r="D18" s="10"/>
      <x:c r="E18" s="10"/>
      <x:c r="F18" s="10"/>
      <x:c r="G18" s="10"/>
      <x:c r="H18" s="10"/>
    </x:row>
    <x:row r="19">
      <x:c r="A19" s="10"/>
      <x:c r="B19" s="10"/>
      <x:c r="C19" s="10"/>
      <x:c r="D19" s="10"/>
      <x:c r="E19" s="10"/>
      <x:c r="F19" s="10"/>
      <x:c r="G19" s="10"/>
      <x:c r="H19" s="10"/>
    </x:row>
    <x:row r="20">
      <x:c r="A20" s="10" t="str">
        <x:v>48 sichtbare Oberthemen; 196 interne Detailgruppen bleiben ausnahmslos unsichtbar.</x:v>
      </x:c>
      <x:c r="B20" s="10"/>
      <x:c r="C20" s="10"/>
      <x:c r="D20" s="10"/>
      <x:c r="E20" s="10"/>
      <x:c r="F20" s="10"/>
      <x:c r="G20" s="10"/>
      <x:c r="H20" s="10"/>
    </x:row>
    <x:row r="21">
      <x:c r="A21" s="10"/>
      <x:c r="B21" s="10"/>
      <x:c r="C21" s="10"/>
      <x:c r="D21" s="10"/>
      <x:c r="E21" s="10"/>
      <x:c r="F21" s="10"/>
      <x:c r="G21" s="10"/>
      <x:c r="H21" s="10"/>
    </x:row>
    <x:row r="22">
      <x:c r="A22" s="10" t="str">
        <x:v>Sechs Teilaspekte und VWL-0127, IF-0091, BR-0076 bleiben separate spätere Inhaltsmaßnahmen.</x:v>
      </x:c>
      <x:c r="B22" s="10"/>
      <x:c r="C22" s="10"/>
      <x:c r="D22" s="10"/>
      <x:c r="E22" s="10"/>
      <x:c r="F22" s="10"/>
      <x:c r="G22" s="10"/>
      <x:c r="H22" s="10"/>
    </x:row>
    <x:row r="23">
      <x:c r="A23" s="10"/>
      <x:c r="B23" s="10"/>
      <x:c r="C23" s="10"/>
      <x:c r="D23" s="10"/>
      <x:c r="E23" s="10"/>
      <x:c r="F23" s="10"/>
      <x:c r="G23" s="10"/>
      <x:c r="H23" s="10"/>
    </x:row>
    <x:row r="24">
      <x:c r="A24" s="10" t="str">
        <x:v>Teilabdeckungen zählen auch Elternpunkte, jedoch keine Fachwurzeln.</x:v>
      </x:c>
      <x:c r="B24" s="10"/>
      <x:c r="C24" s="10"/>
      <x:c r="D24" s="10"/>
      <x:c r="E24" s="10"/>
      <x:c r="F24" s="10"/>
      <x:c r="G24" s="10"/>
      <x:c r="H24" s="10"/>
    </x:row>
    <x:row r="25">
      <x:c r="A25" s="10"/>
      <x:c r="B25" s="10"/>
      <x:c r="C25" s="10"/>
      <x:c r="D25" s="10"/>
      <x:c r="E25" s="10"/>
      <x:c r="F25" s="10"/>
      <x:c r="G25" s="10"/>
      <x:c r="H25" s="10"/>
    </x:row>
    <x:row r="26">
      <x:c r="A26" s="10" t="str">
        <x:v>Fachentscheidungen freigegeben; technische Fachgates und Mehrquellenadapter vor Aktivierung prüfen.</x:v>
      </x:c>
      <x:c r="B26" s="10"/>
      <x:c r="C26" s="10"/>
      <x:c r="D26" s="10"/>
      <x:c r="E26" s="10"/>
      <x:c r="F26" s="10"/>
      <x:c r="G26" s="10"/>
      <x:c r="H26" s="10"/>
    </x:row>
  </x:sheetData>
  <x:pageMargins left="0.7" right="0.7" top="0.75" bottom="0.75" header="0.3" footer="0.3"/>
  <x:tableParts count="1">
    <x:tablePart xmlns:r="http://schemas.openxmlformats.org/officeDocument/2006/relationships" r:id="R9d64b5815fed4f95"/>
  </x:tableParts>
</x:worksheet>
</file>

<file path=xl/worksheets/sheet2.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1" hidden="0" customWidth="1"/>
    <x:col min="2" max="2" width="42" hidden="0" customWidth="1"/>
    <x:col min="3" max="3" width="28" hidden="0" customWidth="1"/>
    <x:col min="4" max="4" width="58" hidden="0" customWidth="1"/>
    <x:col min="5" max="5" width="22" hidden="0" customWidth="1"/>
    <x:col min="6" max="6" width="16" hidden="0" customWidth="1"/>
    <x:col min="7" max="7" width="13" hidden="0" customWidth="1"/>
    <x:col min="8" max="8" width="45" hidden="0" customWidth="1"/>
    <x:col min="9" max="9" width="37" hidden="0" customWidth="1"/>
  </x:cols>
  <x:sheetData>
    <x:row r="2">
      <x:c r="A2" s="1" t="str">
        <x:v>Nur diese Oberthemen sind sichtbar</x:v>
      </x:c>
    </x:row>
    <x:row r="4">
      <x:c r="A4" s="2" t="str">
        <x:v>Planung / Revisionsstand · 28.09.2026 · WIFA-TR-GESAMT-20260927-REV2-FREIGEGEBENE-GRENZFAELLE · keine produktive Änderung</x:v>
      </x:c>
    </x:row>
    <x:row r="6" ht="34" customHeight="1">
      <x:c r="A6" s="9" t="str">
        <x:v>Fachcode</x:v>
      </x:c>
      <x:c r="B6" s="9" t="str">
        <x:v>Fach</x:v>
      </x:c>
      <x:c r="C6" s="9" t="str">
        <x:v>UI-Key</x:v>
      </x:c>
      <x:c r="D6" s="9" t="str">
        <x:v>Sichtbares Oberthema</x:v>
      </x:c>
      <x:c r="E6" s="9" t="str">
        <x:v>Rahmenplanbereich</x:v>
      </x:c>
      <x:c r="F6" s="9" t="str">
        <x:v>Detailgruppen</x:v>
      </x:c>
      <x:c r="G6" s="9" t="str">
        <x:v>ID-Anzahl</x:v>
      </x:c>
      <x:c r="H6" s="9" t="str">
        <x:v>Quellfächer</x:v>
      </x:c>
      <x:c r="I6" s="9" t="str">
        <x:v>Status</x:v>
      </x:c>
    </x:row>
    <x:row r="7" ht="36" customHeight="1">
      <x:c r="A7" s="5" t="str">
        <x:v>1</x:v>
      </x:c>
      <x:c r="B7" s="5" t="str">
        <x:v>Volks- und Betriebswirtschaft</x:v>
      </x:c>
      <x:c r="C7" s="5" t="str">
        <x:v>ui-wq-0001</x:v>
      </x:c>
      <x:c r="D7" s="5" t="str">
        <x:v>Volkswirtschaftliche Grundlagen</x:v>
      </x:c>
      <x:c r="E7" s="5" t="str">
        <x:v>1.1</x:v>
      </x:c>
      <x:c r="F7" s="11" t="n">
        <x:v>8</x:v>
      </x:c>
      <x:c r="G7" s="11" t="n">
        <x:f>COUNTIF('Einzel-ID-Zuordnung'!$F$7:$F$2692,C7)</x:f>
        <x:v>156</x:v>
      </x:c>
      <x:c r="H7" s="5" t="str">
        <x:v>VWL</x:v>
      </x:c>
      <x:c r="I7" s="5" t="str">
        <x:v>ENTWURF – nicht aktiv</x:v>
      </x:c>
    </x:row>
    <x:row r="8" ht="36" customHeight="1">
      <x:c r="A8" s="5" t="str">
        <x:v>1</x:v>
      </x:c>
      <x:c r="B8" s="5" t="str">
        <x:v>Volks- und Betriebswirtschaft</x:v>
      </x:c>
      <x:c r="C8" s="5" t="str">
        <x:v>ui-wq-0002</x:v>
      </x:c>
      <x:c r="D8" s="5" t="str">
        <x:v>Betriebliche Funktionen und deren Zusammenwirken</x:v>
      </x:c>
      <x:c r="E8" s="5" t="str">
        <x:v>1.2</x:v>
      </x:c>
      <x:c r="F8" s="11" t="n">
        <x:v>8</x:v>
      </x:c>
      <x:c r="G8" s="11" t="n">
        <x:f>COUNTIF('Einzel-ID-Zuordnung'!$F$7:$F$2692,C8)</x:f>
        <x:v>96</x:v>
      </x:c>
      <x:c r="H8" s="5" t="str">
        <x:v>BWL</x:v>
      </x:c>
      <x:c r="I8" s="5" t="str">
        <x:v>ENTWURF – nicht aktiv</x:v>
      </x:c>
    </x:row>
    <x:row r="9" ht="36" customHeight="1">
      <x:c r="A9" s="5" t="str">
        <x:v>1</x:v>
      </x:c>
      <x:c r="B9" s="5" t="str">
        <x:v>Volks- und Betriebswirtschaft</x:v>
      </x:c>
      <x:c r="C9" s="5" t="str">
        <x:v>ui-wq-0003</x:v>
      </x:c>
      <x:c r="D9" s="5" t="str">
        <x:v>Existenzgründung und Unternehmensrechtsformen</x:v>
      </x:c>
      <x:c r="E9" s="5" t="str">
        <x:v>1.3</x:v>
      </x:c>
      <x:c r="F9" s="11" t="n">
        <x:v>3</x:v>
      </x:c>
      <x:c r="G9" s="11" t="n">
        <x:f>COUNTIF('Einzel-ID-Zuordnung'!$F$7:$F$2692,C9)</x:f>
        <x:v>21</x:v>
      </x:c>
      <x:c r="H9" s="5" t="str">
        <x:v>BWL; VWL</x:v>
      </x:c>
      <x:c r="I9" s="5" t="str">
        <x:v>ENTWURF – nicht aktiv</x:v>
      </x:c>
    </x:row>
    <x:row r="10" ht="36" customHeight="1">
      <x:c r="A10" s="5" t="str">
        <x:v>1</x:v>
      </x:c>
      <x:c r="B10" s="5" t="str">
        <x:v>Volks- und Betriebswirtschaft</x:v>
      </x:c>
      <x:c r="C10" s="5" t="str">
        <x:v>ui-wq-0004</x:v>
      </x:c>
      <x:c r="D10" s="5" t="str">
        <x:v>Unternehmenszusammenschlüsse</x:v>
      </x:c>
      <x:c r="E10" s="5" t="str">
        <x:v>1.4</x:v>
      </x:c>
      <x:c r="F10" s="11" t="n">
        <x:v>2</x:v>
      </x:c>
      <x:c r="G10" s="11" t="n">
        <x:f>COUNTIF('Einzel-ID-Zuordnung'!$F$7:$F$2692,C10)</x:f>
        <x:v>10</x:v>
      </x:c>
      <x:c r="H10" s="5" t="str">
        <x:v>BWL</x:v>
      </x:c>
      <x:c r="I10" s="5" t="str">
        <x:v>ENTWURF – nicht aktiv</x:v>
      </x:c>
    </x:row>
    <x:row r="11" ht="36" customHeight="1">
      <x:c r="A11" s="5" t="str">
        <x:v>2</x:v>
      </x:c>
      <x:c r="B11" s="5" t="str">
        <x:v>Rechnungswesen</x:v>
      </x:c>
      <x:c r="C11" s="5" t="str">
        <x:v>ui-wq-0005</x:v>
      </x:c>
      <x:c r="D11" s="5" t="str">
        <x:v>Grundlegende Aspekte des Rechnungswesens</x:v>
      </x:c>
      <x:c r="E11" s="5" t="str">
        <x:v>2.1</x:v>
      </x:c>
      <x:c r="F11" s="11" t="n">
        <x:v>4</x:v>
      </x:c>
      <x:c r="G11" s="11" t="n">
        <x:f>COUNTIF('Einzel-ID-Zuordnung'!$F$7:$F$2692,C11)</x:f>
        <x:v>26</x:v>
      </x:c>
      <x:c r="H11" s="5" t="str">
        <x:v>Rechnungswesen</x:v>
      </x:c>
      <x:c r="I11" s="5" t="str">
        <x:v>ENTWURF – nicht aktiv</x:v>
      </x:c>
    </x:row>
    <x:row r="12" ht="36" customHeight="1">
      <x:c r="A12" s="5" t="str">
        <x:v>2</x:v>
      </x:c>
      <x:c r="B12" s="5" t="str">
        <x:v>Rechnungswesen</x:v>
      </x:c>
      <x:c r="C12" s="5" t="str">
        <x:v>ui-wq-0006</x:v>
      </x:c>
      <x:c r="D12" s="5" t="str">
        <x:v>Finanzbuchhaltung</x:v>
      </x:c>
      <x:c r="E12" s="5" t="str">
        <x:v>2.2</x:v>
      </x:c>
      <x:c r="F12" s="11" t="n">
        <x:v>3</x:v>
      </x:c>
      <x:c r="G12" s="11" t="n">
        <x:f>COUNTIF('Einzel-ID-Zuordnung'!$F$7:$F$2692,C12)</x:f>
        <x:v>28</x:v>
      </x:c>
      <x:c r="H12" s="5" t="str">
        <x:v>Rechnungswesen</x:v>
      </x:c>
      <x:c r="I12" s="5" t="str">
        <x:v>ENTWURF – nicht aktiv</x:v>
      </x:c>
    </x:row>
    <x:row r="13" ht="36" customHeight="1">
      <x:c r="A13" s="5" t="str">
        <x:v>2</x:v>
      </x:c>
      <x:c r="B13" s="5" t="str">
        <x:v>Rechnungswesen</x:v>
      </x:c>
      <x:c r="C13" s="5" t="str">
        <x:v>ui-wq-0007</x:v>
      </x:c>
      <x:c r="D13" s="5" t="str">
        <x:v>Kosten- und Leistungsrechnung</x:v>
      </x:c>
      <x:c r="E13" s="5" t="str">
        <x:v>2.3</x:v>
      </x:c>
      <x:c r="F13" s="11" t="n">
        <x:v>7</x:v>
      </x:c>
      <x:c r="G13" s="11" t="n">
        <x:f>COUNTIF('Einzel-ID-Zuordnung'!$F$7:$F$2692,C13)</x:f>
        <x:v>53</x:v>
      </x:c>
      <x:c r="H13" s="5" t="str">
        <x:v>Rechnungswesen</x:v>
      </x:c>
      <x:c r="I13" s="5" t="str">
        <x:v>ENTWURF – nicht aktiv</x:v>
      </x:c>
    </x:row>
    <x:row r="14" ht="36" customHeight="1">
      <x:c r="A14" s="5" t="str">
        <x:v>2</x:v>
      </x:c>
      <x:c r="B14" s="5" t="str">
        <x:v>Rechnungswesen</x:v>
      </x:c>
      <x:c r="C14" s="5" t="str">
        <x:v>ui-wq-0008</x:v>
      </x:c>
      <x:c r="D14" s="5" t="str">
        <x:v>Auswertung der betriebswirtschaftlichen Zahlen</x:v>
      </x:c>
      <x:c r="E14" s="5" t="str">
        <x:v>2.4</x:v>
      </x:c>
      <x:c r="F14" s="11" t="n">
        <x:v>2</x:v>
      </x:c>
      <x:c r="G14" s="11" t="n">
        <x:f>COUNTIF('Einzel-ID-Zuordnung'!$F$7:$F$2692,C14)</x:f>
        <x:v>8</x:v>
      </x:c>
      <x:c r="H14" s="5" t="str">
        <x:v>Rechnungswesen</x:v>
      </x:c>
      <x:c r="I14" s="5" t="str">
        <x:v>ENTWURF – nicht aktiv</x:v>
      </x:c>
    </x:row>
    <x:row r="15" ht="36" customHeight="1">
      <x:c r="A15" s="5" t="str">
        <x:v>2</x:v>
      </x:c>
      <x:c r="B15" s="5" t="str">
        <x:v>Rechnungswesen</x:v>
      </x:c>
      <x:c r="C15" s="5" t="str">
        <x:v>ui-wq-0009</x:v>
      </x:c>
      <x:c r="D15" s="5" t="str">
        <x:v>Planungsrechnung</x:v>
      </x:c>
      <x:c r="E15" s="5" t="str">
        <x:v>2.5</x:v>
      </x:c>
      <x:c r="F15" s="11" t="n">
        <x:v>1</x:v>
      </x:c>
      <x:c r="G15" s="11" t="n">
        <x:f>COUNTIF('Einzel-ID-Zuordnung'!$F$7:$F$2692,C15)</x:f>
        <x:v>7</x:v>
      </x:c>
      <x:c r="H15" s="5" t="str">
        <x:v>Rechnungswesen</x:v>
      </x:c>
      <x:c r="I15" s="5" t="str">
        <x:v>ENTWURF – nicht aktiv</x:v>
      </x:c>
    </x:row>
    <x:row r="16" ht="36" customHeight="1">
      <x:c r="A16" s="5" t="str">
        <x:v>4</x:v>
      </x:c>
      <x:c r="B16" s="5" t="str">
        <x:v>Unternehmensführung</x:v>
      </x:c>
      <x:c r="C16" s="5" t="str">
        <x:v>ui-wq-0010</x:v>
      </x:c>
      <x:c r="D16" s="5" t="str">
        <x:v>Betriebsorganisation</x:v>
      </x:c>
      <x:c r="E16" s="5" t="str">
        <x:v>4.1</x:v>
      </x:c>
      <x:c r="F16" s="11" t="n">
        <x:v>5</x:v>
      </x:c>
      <x:c r="G16" s="11" t="n">
        <x:f>COUNTIF('Einzel-ID-Zuordnung'!$F$7:$F$2692,C16)</x:f>
        <x:v>111</x:v>
      </x:c>
      <x:c r="H16" s="5" t="str">
        <x:v>Unternehmensführung</x:v>
      </x:c>
      <x:c r="I16" s="5" t="str">
        <x:v>ENTWURF – nicht aktiv</x:v>
      </x:c>
    </x:row>
    <x:row r="17" ht="36" customHeight="1">
      <x:c r="A17" s="5" t="str">
        <x:v>4</x:v>
      </x:c>
      <x:c r="B17" s="5" t="str">
        <x:v>Unternehmensführung</x:v>
      </x:c>
      <x:c r="C17" s="5" t="str">
        <x:v>ui-wq-0011</x:v>
      </x:c>
      <x:c r="D17" s="5" t="str">
        <x:v>Personalführung</x:v>
      </x:c>
      <x:c r="E17" s="5" t="str">
        <x:v>4.2</x:v>
      </x:c>
      <x:c r="F17" s="11" t="n">
        <x:v>7</x:v>
      </x:c>
      <x:c r="G17" s="11" t="n">
        <x:f>COUNTIF('Einzel-ID-Zuordnung'!$F$7:$F$2692,C17)</x:f>
        <x:v>78</x:v>
      </x:c>
      <x:c r="H17" s="5" t="str">
        <x:v>Unternehmensführung</x:v>
      </x:c>
      <x:c r="I17" s="5" t="str">
        <x:v>ENTWURF – nicht aktiv</x:v>
      </x:c>
    </x:row>
    <x:row r="18" ht="36" customHeight="1">
      <x:c r="A18" s="5" t="str">
        <x:v>4</x:v>
      </x:c>
      <x:c r="B18" s="5" t="str">
        <x:v>Unternehmensführung</x:v>
      </x:c>
      <x:c r="C18" s="5" t="str">
        <x:v>ui-wq-0012</x:v>
      </x:c>
      <x:c r="D18" s="5" t="str">
        <x:v>Personalentwicklung</x:v>
      </x:c>
      <x:c r="E18" s="5" t="str">
        <x:v>4.3</x:v>
      </x:c>
      <x:c r="F18" s="11" t="n">
        <x:v>3</x:v>
      </x:c>
      <x:c r="G18" s="11" t="n">
        <x:f>COUNTIF('Einzel-ID-Zuordnung'!$F$7:$F$2692,C18)</x:f>
        <x:v>46</x:v>
      </x:c>
      <x:c r="H18" s="5" t="str">
        <x:v>Unternehmensführung</x:v>
      </x:c>
      <x:c r="I18" s="5" t="str">
        <x:v>ENTWURF – nicht aktiv</x:v>
      </x:c>
    </x:row>
    <x:row r="19" ht="36" customHeight="1">
      <x:c r="A19" s="5" t="str">
        <x:v>5</x:v>
      </x:c>
      <x:c r="B19" s="5" t="str">
        <x:v>Betriebliches Management</x:v>
      </x:c>
      <x:c r="C19" s="5" t="str">
        <x:v>ui-hq-0013</x:v>
      </x:c>
      <x:c r="D19" s="5" t="str">
        <x:v>Betriebliche Planungsprozesse</x:v>
      </x:c>
      <x:c r="E19" s="5" t="str">
        <x:v>5.1</x:v>
      </x:c>
      <x:c r="F19" s="11" t="n">
        <x:v>4</x:v>
      </x:c>
      <x:c r="G19" s="11" t="n">
        <x:f>COUNTIF('Einzel-ID-Zuordnung'!$F$7:$F$2692,C19)</x:f>
        <x:v>128</x:v>
      </x:c>
      <x:c r="H19" s="5" t="str">
        <x:v>Betriebliches Management; Führung und Zusammenarbeit</x:v>
      </x:c>
      <x:c r="I19" s="5" t="str">
        <x:v>ENTWURF – nicht aktiv</x:v>
      </x:c>
    </x:row>
    <x:row r="20" ht="36" customHeight="1">
      <x:c r="A20" s="5" t="str">
        <x:v>5</x:v>
      </x:c>
      <x:c r="B20" s="5" t="str">
        <x:v>Betriebliches Management</x:v>
      </x:c>
      <x:c r="C20" s="5" t="str">
        <x:v>ui-hq-0014</x:v>
      </x:c>
      <x:c r="D20" s="5" t="str">
        <x:v>Organisations- und Personalentwicklung</x:v>
      </x:c>
      <x:c r="E20" s="5" t="str">
        <x:v>5.2</x:v>
      </x:c>
      <x:c r="F20" s="11" t="n">
        <x:v>2</x:v>
      </x:c>
      <x:c r="G20" s="11" t="n">
        <x:f>COUNTIF('Einzel-ID-Zuordnung'!$F$7:$F$2692,C20)</x:f>
        <x:v>47</x:v>
      </x:c>
      <x:c r="H20" s="5" t="str">
        <x:v>Betriebliches Management</x:v>
      </x:c>
      <x:c r="I20" s="5" t="str">
        <x:v>ENTWURF – nicht aktiv</x:v>
      </x:c>
    </x:row>
    <x:row r="21" ht="36" customHeight="1">
      <x:c r="A21" s="5" t="str">
        <x:v>5</x:v>
      </x:c>
      <x:c r="B21" s="5" t="str">
        <x:v>Betriebliches Management</x:v>
      </x:c>
      <x:c r="C21" s="5" t="str">
        <x:v>ui-hq-0015</x:v>
      </x:c>
      <x:c r="D21" s="5" t="str">
        <x:v>Informationstechnologie und Wissensmanagement</x:v>
      </x:c>
      <x:c r="E21" s="5" t="str">
        <x:v>5.3</x:v>
      </x:c>
      <x:c r="F21" s="11" t="n">
        <x:v>2</x:v>
      </x:c>
      <x:c r="G21" s="11" t="n">
        <x:f>COUNTIF('Einzel-ID-Zuordnung'!$F$7:$F$2692,C21)</x:f>
        <x:v>26</x:v>
      </x:c>
      <x:c r="H21" s="5" t="str">
        <x:v>Betriebliches Management</x:v>
      </x:c>
      <x:c r="I21" s="5" t="str">
        <x:v>ENTWURF – nicht aktiv</x:v>
      </x:c>
    </x:row>
    <x:row r="22" ht="36" customHeight="1">
      <x:c r="A22" s="5" t="str">
        <x:v>5</x:v>
      </x:c>
      <x:c r="B22" s="5" t="str">
        <x:v>Betriebliches Management</x:v>
      </x:c>
      <x:c r="C22" s="5" t="str">
        <x:v>ui-hq-0016</x:v>
      </x:c>
      <x:c r="D22" s="5" t="str">
        <x:v>Managementtechniken</x:v>
      </x:c>
      <x:c r="E22" s="5" t="str">
        <x:v>5.4</x:v>
      </x:c>
      <x:c r="F22" s="11" t="n">
        <x:v>5</x:v>
      </x:c>
      <x:c r="G22" s="11" t="n">
        <x:f>COUNTIF('Einzel-ID-Zuordnung'!$F$7:$F$2692,C22)</x:f>
        <x:v>63</x:v>
      </x:c>
      <x:c r="H22" s="5" t="str">
        <x:v>Betriebliches Management; Führung und Zusammenarbeit</x:v>
      </x:c>
      <x:c r="I22" s="5" t="str">
        <x:v>ENTWURF – nicht aktiv</x:v>
      </x:c>
    </x:row>
    <x:row r="23" ht="36" customHeight="1">
      <x:c r="A23" s="5" t="str">
        <x:v>6</x:v>
      </x:c>
      <x:c r="B23" s="5" t="str">
        <x:v>Investition, Finanzierung, betriebliches Rechnungswesen und Controlling</x:v>
      </x:c>
      <x:c r="C23" s="5" t="str">
        <x:v>ui-hq-0017</x:v>
      </x:c>
      <x:c r="D23" s="5" t="str">
        <x:v>Investitionsplanung und -rechnung</x:v>
      </x:c>
      <x:c r="E23" s="5" t="str">
        <x:v>6.1</x:v>
      </x:c>
      <x:c r="F23" s="11" t="n">
        <x:v>4</x:v>
      </x:c>
      <x:c r="G23" s="11" t="n">
        <x:f>COUNTIF('Einzel-ID-Zuordnung'!$F$7:$F$2692,C23)</x:f>
        <x:v>50</x:v>
      </x:c>
      <x:c r="H23" s="5" t="str">
        <x:v>Investition und Finanzierung</x:v>
      </x:c>
      <x:c r="I23" s="5" t="str">
        <x:v>ENTWURF – nicht aktiv</x:v>
      </x:c>
    </x:row>
    <x:row r="24" ht="36" customHeight="1">
      <x:c r="A24" s="5" t="str">
        <x:v>6</x:v>
      </x:c>
      <x:c r="B24" s="5" t="str">
        <x:v>Investition, Finanzierung, betriebliches Rechnungswesen und Controlling</x:v>
      </x:c>
      <x:c r="C24" s="5" t="str">
        <x:v>ui-hq-0018</x:v>
      </x:c>
      <x:c r="D24" s="5" t="str">
        <x:v>Finanzplanung und Ermittlung des Finanzbedarfs</x:v>
      </x:c>
      <x:c r="E24" s="5" t="str">
        <x:v>6.2</x:v>
      </x:c>
      <x:c r="F24" s="11" t="n">
        <x:v>7</x:v>
      </x:c>
      <x:c r="G24" s="11" t="n">
        <x:f>COUNTIF('Einzel-ID-Zuordnung'!$F$7:$F$2692,C24)</x:f>
        <x:v>55</x:v>
      </x:c>
      <x:c r="H24" s="5" t="str">
        <x:v>Investition und Finanzierung</x:v>
      </x:c>
      <x:c r="I24" s="5" t="str">
        <x:v>ENTWURF – nicht aktiv</x:v>
      </x:c>
    </x:row>
    <x:row r="25" ht="36" customHeight="1">
      <x:c r="A25" s="5" t="str">
        <x:v>6</x:v>
      </x:c>
      <x:c r="B25" s="5" t="str">
        <x:v>Investition, Finanzierung, betriebliches Rechnungswesen und Controlling</x:v>
      </x:c>
      <x:c r="C25" s="5" t="str">
        <x:v>ui-hq-0019</x:v>
      </x:c>
      <x:c r="D25" s="5" t="str">
        <x:v>Finanzierungsarten</x:v>
      </x:c>
      <x:c r="E25" s="5" t="str">
        <x:v>6.3</x:v>
      </x:c>
      <x:c r="F25" s="11" t="n">
        <x:v>6</x:v>
      </x:c>
      <x:c r="G25" s="11" t="n">
        <x:f>COUNTIF('Einzel-ID-Zuordnung'!$F$7:$F$2692,C25)</x:f>
        <x:v>60</x:v>
      </x:c>
      <x:c r="H25" s="5" t="str">
        <x:v>Investition und Finanzierung</x:v>
      </x:c>
      <x:c r="I25" s="5" t="str">
        <x:v>ENTWURF – nicht aktiv</x:v>
      </x:c>
    </x:row>
    <x:row r="26" ht="36" customHeight="1">
      <x:c r="A26" s="5" t="str">
        <x:v>6</x:v>
      </x:c>
      <x:c r="B26" s="5" t="str">
        <x:v>Investition, Finanzierung, betriebliches Rechnungswesen und Controlling</x:v>
      </x:c>
      <x:c r="C26" s="5" t="str">
        <x:v>ui-hq-0020</x:v>
      </x:c>
      <x:c r="D26" s="5" t="str">
        <x:v>Kosten- und Leistungsrechnung</x:v>
      </x:c>
      <x:c r="E26" s="5" t="str">
        <x:v>6.4</x:v>
      </x:c>
      <x:c r="F26" s="11" t="n">
        <x:v>6</x:v>
      </x:c>
      <x:c r="G26" s="11" t="n">
        <x:f>COUNTIF('Einzel-ID-Zuordnung'!$F$7:$F$2692,C26)</x:f>
        <x:v>71</x:v>
      </x:c>
      <x:c r="H26" s="5" t="str">
        <x:v>Betriebliches Rechnungswesen und Controlling; Investition und Finanzierung</x:v>
      </x:c>
      <x:c r="I26" s="5" t="str">
        <x:v>ENTWURF – nicht aktiv</x:v>
      </x:c>
    </x:row>
    <x:row r="27" ht="36" customHeight="1">
      <x:c r="A27" s="5" t="str">
        <x:v>6</x:v>
      </x:c>
      <x:c r="B27" s="5" t="str">
        <x:v>Investition, Finanzierung, betriebliches Rechnungswesen und Controlling</x:v>
      </x:c>
      <x:c r="C27" s="5" t="str">
        <x:v>ui-hq-0021</x:v>
      </x:c>
      <x:c r="D27" s="5" t="str">
        <x:v>Controlling</x:v>
      </x:c>
      <x:c r="E27" s="5" t="str">
        <x:v>6.5</x:v>
      </x:c>
      <x:c r="F27" s="11" t="n">
        <x:v>3</x:v>
      </x:c>
      <x:c r="G27" s="11" t="n">
        <x:f>COUNTIF('Einzel-ID-Zuordnung'!$F$7:$F$2692,C27)</x:f>
        <x:v>33</x:v>
      </x:c>
      <x:c r="H27" s="5" t="str">
        <x:v>Betriebliches Rechnungswesen und Controlling</x:v>
      </x:c>
      <x:c r="I27" s="5" t="str">
        <x:v>ENTWURF – nicht aktiv</x:v>
      </x:c>
    </x:row>
    <x:row r="28" ht="36" customHeight="1">
      <x:c r="A28" s="5" t="str">
        <x:v>7</x:v>
      </x:c>
      <x:c r="B28" s="5" t="str">
        <x:v>Logistik</x:v>
      </x:c>
      <x:c r="C28" s="5" t="str">
        <x:v>ui-hq-0022</x:v>
      </x:c>
      <x:c r="D28" s="5" t="str">
        <x:v>Einkauf und Beschaffung</x:v>
      </x:c>
      <x:c r="E28" s="5" t="str">
        <x:v>7.1</x:v>
      </x:c>
      <x:c r="F28" s="11" t="n">
        <x:v>6</x:v>
      </x:c>
      <x:c r="G28" s="11" t="n">
        <x:f>COUNTIF('Einzel-ID-Zuordnung'!$F$7:$F$2692,C28)</x:f>
        <x:v>190</x:v>
      </x:c>
      <x:c r="H28" s="5" t="str">
        <x:v>Logistik</x:v>
      </x:c>
      <x:c r="I28" s="5" t="str">
        <x:v>ENTWURF – nicht aktiv</x:v>
      </x:c>
    </x:row>
    <x:row r="29" ht="36" customHeight="1">
      <x:c r="A29" s="5" t="str">
        <x:v>7</x:v>
      </x:c>
      <x:c r="B29" s="5" t="str">
        <x:v>Logistik</x:v>
      </x:c>
      <x:c r="C29" s="5" t="str">
        <x:v>ui-hq-0023</x:v>
      </x:c>
      <x:c r="D29" s="5" t="str">
        <x:v>Materialwirtschaft und Lagerhaltung</x:v>
      </x:c>
      <x:c r="E29" s="5" t="str">
        <x:v>7.2</x:v>
      </x:c>
      <x:c r="F29" s="11" t="n">
        <x:v>3</x:v>
      </x:c>
      <x:c r="G29" s="11" t="n">
        <x:f>COUNTIF('Einzel-ID-Zuordnung'!$F$7:$F$2692,C29)</x:f>
        <x:v>40</x:v>
      </x:c>
      <x:c r="H29" s="5" t="str">
        <x:v>Logistik</x:v>
      </x:c>
      <x:c r="I29" s="5" t="str">
        <x:v>ENTWURF – nicht aktiv</x:v>
      </x:c>
    </x:row>
    <x:row r="30" ht="36" customHeight="1">
      <x:c r="A30" s="5" t="str">
        <x:v>7</x:v>
      </x:c>
      <x:c r="B30" s="5" t="str">
        <x:v>Logistik</x:v>
      </x:c>
      <x:c r="C30" s="5" t="str">
        <x:v>ui-hq-0024</x:v>
      </x:c>
      <x:c r="D30" s="5" t="str">
        <x:v>Wertschöpfungskette</x:v>
      </x:c>
      <x:c r="E30" s="5" t="str">
        <x:v>7.3</x:v>
      </x:c>
      <x:c r="F30" s="11" t="n">
        <x:v>7</x:v>
      </x:c>
      <x:c r="G30" s="11" t="n">
        <x:f>COUNTIF('Einzel-ID-Zuordnung'!$F$7:$F$2692,C30)</x:f>
        <x:v>53</x:v>
      </x:c>
      <x:c r="H30" s="5" t="str">
        <x:v>Logistik</x:v>
      </x:c>
      <x:c r="I30" s="5" t="str">
        <x:v>ENTWURF – nicht aktiv</x:v>
      </x:c>
    </x:row>
    <x:row r="31" ht="36" customHeight="1">
      <x:c r="A31" s="5" t="str">
        <x:v>7</x:v>
      </x:c>
      <x:c r="B31" s="5" t="str">
        <x:v>Logistik</x:v>
      </x:c>
      <x:c r="C31" s="5" t="str">
        <x:v>ui-hq-0025</x:v>
      </x:c>
      <x:c r="D31" s="5" t="str">
        <x:v>Aspekte der Rationalisierung</x:v>
      </x:c>
      <x:c r="E31" s="5" t="str">
        <x:v>7.4</x:v>
      </x:c>
      <x:c r="F31" s="11" t="n">
        <x:v>3</x:v>
      </x:c>
      <x:c r="G31" s="11" t="n">
        <x:f>COUNTIF('Einzel-ID-Zuordnung'!$F$7:$F$2692,C31)</x:f>
        <x:v>8</x:v>
      </x:c>
      <x:c r="H31" s="5" t="str">
        <x:v>Logistik</x:v>
      </x:c>
      <x:c r="I31" s="5" t="str">
        <x:v>ENTWURF – nicht aktiv</x:v>
      </x:c>
    </x:row>
    <x:row r="32" ht="36" customHeight="1">
      <x:c r="A32" s="5" t="str">
        <x:v>7</x:v>
      </x:c>
      <x:c r="B32" s="5" t="str">
        <x:v>Logistik</x:v>
      </x:c>
      <x:c r="C32" s="5" t="str">
        <x:v>ui-hq-0026</x:v>
      </x:c>
      <x:c r="D32" s="5" t="str">
        <x:v>Spezielle Rechtsaspekte</x:v>
      </x:c>
      <x:c r="E32" s="5" t="str">
        <x:v>7.5</x:v>
      </x:c>
      <x:c r="F32" s="11" t="n">
        <x:v>4</x:v>
      </x:c>
      <x:c r="G32" s="11" t="n">
        <x:f>COUNTIF('Einzel-ID-Zuordnung'!$F$7:$F$2692,C32)</x:f>
        <x:v>26</x:v>
      </x:c>
      <x:c r="H32" s="5" t="str">
        <x:v>Logistik</x:v>
      </x:c>
      <x:c r="I32" s="5" t="str">
        <x:v>ENTWURF – nicht aktiv</x:v>
      </x:c>
    </x:row>
    <x:row r="33" ht="36" customHeight="1">
      <x:c r="A33" s="5" t="str">
        <x:v>8</x:v>
      </x:c>
      <x:c r="B33" s="5" t="str">
        <x:v>Marketing und Vertrieb</x:v>
      </x:c>
      <x:c r="C33" s="5" t="str">
        <x:v>ui-hq-0027</x:v>
      </x:c>
      <x:c r="D33" s="5" t="str">
        <x:v>Marketingplanung</x:v>
      </x:c>
      <x:c r="E33" s="5" t="str">
        <x:v>8.1</x:v>
      </x:c>
      <x:c r="F33" s="11" t="n">
        <x:v>8</x:v>
      </x:c>
      <x:c r="G33" s="11" t="n">
        <x:f>COUNTIF('Einzel-ID-Zuordnung'!$F$7:$F$2692,C33)</x:f>
        <x:v>38</x:v>
      </x:c>
      <x:c r="H33" s="5" t="str">
        <x:v>Marketing</x:v>
      </x:c>
      <x:c r="I33" s="5" t="str">
        <x:v>ENTWURF – nicht aktiv</x:v>
      </x:c>
    </x:row>
    <x:row r="34" ht="36" customHeight="1">
      <x:c r="A34" s="5" t="str">
        <x:v>8</x:v>
      </x:c>
      <x:c r="B34" s="5" t="str">
        <x:v>Marketing und Vertrieb</x:v>
      </x:c>
      <x:c r="C34" s="5" t="str">
        <x:v>ui-hq-0028</x:v>
      </x:c>
      <x:c r="D34" s="5" t="str">
        <x:v>Marketinginstrumentarium / Marketing-Mix</x:v>
      </x:c>
      <x:c r="E34" s="5" t="str">
        <x:v>8.2</x:v>
      </x:c>
      <x:c r="F34" s="11" t="n">
        <x:v>5</x:v>
      </x:c>
      <x:c r="G34" s="11" t="n">
        <x:f>COUNTIF('Einzel-ID-Zuordnung'!$F$7:$F$2692,C34)</x:f>
        <x:v>69</x:v>
      </x:c>
      <x:c r="H34" s="5" t="str">
        <x:v>Marketing</x:v>
      </x:c>
      <x:c r="I34" s="5" t="str">
        <x:v>ENTWURF – nicht aktiv</x:v>
      </x:c>
    </x:row>
    <x:row r="35" ht="36" customHeight="1">
      <x:c r="A35" s="5" t="str">
        <x:v>8</x:v>
      </x:c>
      <x:c r="B35" s="5" t="str">
        <x:v>Marketing und Vertrieb</x:v>
      </x:c>
      <x:c r="C35" s="5" t="str">
        <x:v>ui-hq-0029</x:v>
      </x:c>
      <x:c r="D35" s="5" t="str">
        <x:v>Vertriebsmanagement</x:v>
      </x:c>
      <x:c r="E35" s="5" t="str">
        <x:v>8.3</x:v>
      </x:c>
      <x:c r="F35" s="11" t="n">
        <x:v>2</x:v>
      </x:c>
      <x:c r="G35" s="11" t="n">
        <x:f>COUNTIF('Einzel-ID-Zuordnung'!$F$7:$F$2692,C35)</x:f>
        <x:v>38</x:v>
      </x:c>
      <x:c r="H35" s="5" t="str">
        <x:v>Vertrieb</x:v>
      </x:c>
      <x:c r="I35" s="5" t="str">
        <x:v>ENTWURF – nicht aktiv</x:v>
      </x:c>
    </x:row>
    <x:row r="36" ht="36" customHeight="1">
      <x:c r="A36" s="5" t="str">
        <x:v>8</x:v>
      </x:c>
      <x:c r="B36" s="5" t="str">
        <x:v>Marketing und Vertrieb</x:v>
      </x:c>
      <x:c r="C36" s="5" t="str">
        <x:v>ui-hq-0030</x:v>
      </x:c>
      <x:c r="D36" s="5" t="str">
        <x:v>Internationale Geschäftsbeziehungen und Geschäftsentwicklung</x:v>
      </x:c>
      <x:c r="E36" s="5" t="str">
        <x:v>8.4</x:v>
      </x:c>
      <x:c r="F36" s="11" t="n">
        <x:v>3</x:v>
      </x:c>
      <x:c r="G36" s="11" t="n">
        <x:f>COUNTIF('Einzel-ID-Zuordnung'!$F$7:$F$2692,C36)</x:f>
        <x:v>27</x:v>
      </x:c>
      <x:c r="H36" s="5" t="str">
        <x:v>Vertrieb</x:v>
      </x:c>
      <x:c r="I36" s="5" t="str">
        <x:v>ENTWURF – nicht aktiv</x:v>
      </x:c>
    </x:row>
    <x:row r="37" ht="36" customHeight="1">
      <x:c r="A37" s="5" t="str">
        <x:v>8</x:v>
      </x:c>
      <x:c r="B37" s="5" t="str">
        <x:v>Marketing und Vertrieb</x:v>
      </x:c>
      <x:c r="C37" s="5" t="str">
        <x:v>ui-hq-0031</x:v>
      </x:c>
      <x:c r="D37" s="5" t="str">
        <x:v>Spezielle Rechtsaspekte</x:v>
      </x:c>
      <x:c r="E37" s="5" t="str">
        <x:v>8.5</x:v>
      </x:c>
      <x:c r="F37" s="11" t="n">
        <x:v>4</x:v>
      </x:c>
      <x:c r="G37" s="11" t="n">
        <x:f>COUNTIF('Einzel-ID-Zuordnung'!$F$7:$F$2692,C37)</x:f>
        <x:v>19</x:v>
      </x:c>
      <x:c r="H37" s="5" t="str">
        <x:v>Vertrieb</x:v>
      </x:c>
      <x:c r="I37" s="5" t="str">
        <x:v>ENTWURF – nicht aktiv</x:v>
      </x:c>
    </x:row>
    <x:row r="38" ht="36" customHeight="1">
      <x:c r="A38" s="5" t="str">
        <x:v>9</x:v>
      </x:c>
      <x:c r="B38" s="5" t="str">
        <x:v>Führung und Zusammenarbeit</x:v>
      </x:c>
      <x:c r="C38" s="5" t="str">
        <x:v>ui-hq-0032</x:v>
      </x:c>
      <x:c r="D38" s="5" t="str">
        <x:v>Zusammenarbeit, Kommunikation und Kooperation</x:v>
      </x:c>
      <x:c r="E38" s="5" t="str">
        <x:v>9.1</x:v>
      </x:c>
      <x:c r="F38" s="11" t="n">
        <x:v>3</x:v>
      </x:c>
      <x:c r="G38" s="11" t="n">
        <x:f>COUNTIF('Einzel-ID-Zuordnung'!$F$7:$F$2692,C38)</x:f>
        <x:v>68</x:v>
      </x:c>
      <x:c r="H38" s="5" t="str">
        <x:v>Führung und Zusammenarbeit</x:v>
      </x:c>
      <x:c r="I38" s="5" t="str">
        <x:v>ENTWURF – nicht aktiv</x:v>
      </x:c>
    </x:row>
    <x:row r="39" ht="36" customHeight="1">
      <x:c r="A39" s="5" t="str">
        <x:v>9</x:v>
      </x:c>
      <x:c r="B39" s="5" t="str">
        <x:v>Führung und Zusammenarbeit</x:v>
      </x:c>
      <x:c r="C39" s="5" t="str">
        <x:v>ui-hq-0033</x:v>
      </x:c>
      <x:c r="D39" s="5" t="str">
        <x:v>Mitarbeitergespräche</x:v>
      </x:c>
      <x:c r="E39" s="5" t="str">
        <x:v>9.2</x:v>
      </x:c>
      <x:c r="F39" s="11" t="n">
        <x:v>2</x:v>
      </x:c>
      <x:c r="G39" s="11" t="n">
        <x:f>COUNTIF('Einzel-ID-Zuordnung'!$F$7:$F$2692,C39)</x:f>
        <x:v>27</x:v>
      </x:c>
      <x:c r="H39" s="5" t="str">
        <x:v>Führung und Zusammenarbeit</x:v>
      </x:c>
      <x:c r="I39" s="5" t="str">
        <x:v>ENTWURF – nicht aktiv</x:v>
      </x:c>
    </x:row>
    <x:row r="40" ht="36" customHeight="1">
      <x:c r="A40" s="5" t="str">
        <x:v>9</x:v>
      </x:c>
      <x:c r="B40" s="5" t="str">
        <x:v>Führung und Zusammenarbeit</x:v>
      </x:c>
      <x:c r="C40" s="5" t="str">
        <x:v>ui-hq-0034</x:v>
      </x:c>
      <x:c r="D40" s="5" t="str">
        <x:v>Konfliktmanagement</x:v>
      </x:c>
      <x:c r="E40" s="5" t="str">
        <x:v>9.3</x:v>
      </x:c>
      <x:c r="F40" s="11" t="n">
        <x:v>1</x:v>
      </x:c>
      <x:c r="G40" s="11" t="n">
        <x:f>COUNTIF('Einzel-ID-Zuordnung'!$F$7:$F$2692,C40)</x:f>
        <x:v>18</x:v>
      </x:c>
      <x:c r="H40" s="5" t="str">
        <x:v>Führung und Zusammenarbeit</x:v>
      </x:c>
      <x:c r="I40" s="5" t="str">
        <x:v>ENTWURF – nicht aktiv</x:v>
      </x:c>
    </x:row>
    <x:row r="41" ht="36" customHeight="1">
      <x:c r="A41" s="5" t="str">
        <x:v>9</x:v>
      </x:c>
      <x:c r="B41" s="5" t="str">
        <x:v>Führung und Zusammenarbeit</x:v>
      </x:c>
      <x:c r="C41" s="5" t="str">
        <x:v>ui-hq-0035</x:v>
      </x:c>
      <x:c r="D41" s="5" t="str">
        <x:v>Mitarbeiterförderung</x:v>
      </x:c>
      <x:c r="E41" s="5" t="str">
        <x:v>9.4</x:v>
      </x:c>
      <x:c r="F41" s="11" t="n">
        <x:v>4</x:v>
      </x:c>
      <x:c r="G41" s="11" t="n">
        <x:f>COUNTIF('Einzel-ID-Zuordnung'!$F$7:$F$2692,C41)</x:f>
        <x:v>16</x:v>
      </x:c>
      <x:c r="H41" s="5" t="str">
        <x:v>Führung und Zusammenarbeit</x:v>
      </x:c>
      <x:c r="I41" s="5" t="str">
        <x:v>ENTWURF – nicht aktiv</x:v>
      </x:c>
    </x:row>
    <x:row r="42" ht="36" customHeight="1">
      <x:c r="A42" s="5" t="str">
        <x:v>9</x:v>
      </x:c>
      <x:c r="B42" s="5" t="str">
        <x:v>Führung und Zusammenarbeit</x:v>
      </x:c>
      <x:c r="C42" s="5" t="str">
        <x:v>ui-hq-0036</x:v>
      </x:c>
      <x:c r="D42" s="5" t="str">
        <x:v>Ausbildung</x:v>
      </x:c>
      <x:c r="E42" s="5" t="str">
        <x:v>9.5</x:v>
      </x:c>
      <x:c r="F42" s="11" t="n">
        <x:v>10</x:v>
      </x:c>
      <x:c r="G42" s="11" t="n">
        <x:f>COUNTIF('Einzel-ID-Zuordnung'!$F$7:$F$2692,C42)</x:f>
        <x:v>28</x:v>
      </x:c>
      <x:c r="H42" s="5" t="str">
        <x:v>Führung und Zusammenarbeit</x:v>
      </x:c>
      <x:c r="I42" s="5" t="str">
        <x:v>ENTWURF – nicht aktiv</x:v>
      </x:c>
    </x:row>
    <x:row r="43" ht="36" customHeight="1">
      <x:c r="A43" s="5" t="str">
        <x:v>9</x:v>
      </x:c>
      <x:c r="B43" s="5" t="str">
        <x:v>Führung und Zusammenarbeit</x:v>
      </x:c>
      <x:c r="C43" s="5" t="str">
        <x:v>ui-hq-0037</x:v>
      </x:c>
      <x:c r="D43" s="5" t="str">
        <x:v>Moderation von Projektgruppen</x:v>
      </x:c>
      <x:c r="E43" s="5" t="str">
        <x:v>9.6</x:v>
      </x:c>
      <x:c r="F43" s="11" t="n">
        <x:v>3</x:v>
      </x:c>
      <x:c r="G43" s="11" t="n">
        <x:f>COUNTIF('Einzel-ID-Zuordnung'!$F$7:$F$2692,C43)</x:f>
        <x:v>31</x:v>
      </x:c>
      <x:c r="H43" s="5" t="str">
        <x:v>Führung und Zusammenarbeit</x:v>
      </x:c>
      <x:c r="I43" s="5" t="str">
        <x:v>ENTWURF – nicht aktiv</x:v>
      </x:c>
    </x:row>
    <x:row r="44" ht="36" customHeight="1">
      <x:c r="A44" s="5" t="str">
        <x:v>9</x:v>
      </x:c>
      <x:c r="B44" s="5" t="str">
        <x:v>Führung und Zusammenarbeit</x:v>
      </x:c>
      <x:c r="C44" s="5" t="str">
        <x:v>ui-hq-0038</x:v>
      </x:c>
      <x:c r="D44" s="5" t="str">
        <x:v>Präsentationstechniken</x:v>
      </x:c>
      <x:c r="E44" s="5" t="str">
        <x:v>9.7</x:v>
      </x:c>
      <x:c r="F44" s="11" t="n">
        <x:v>1</x:v>
      </x:c>
      <x:c r="G44" s="11" t="n">
        <x:f>COUNTIF('Einzel-ID-Zuordnung'!$F$7:$F$2692,C44)</x:f>
        <x:v>17</x:v>
      </x:c>
      <x:c r="H44" s="5" t="str">
        <x:v>Führung und Zusammenarbeit</x:v>
      </x:c>
      <x:c r="I44" s="5" t="str">
        <x:v>ENTWURF – nicht aktiv</x:v>
      </x:c>
    </x:row>
    <x:row r="45" ht="36" customHeight="1">
      <x:c r="A45" s="5" t="str">
        <x:v>3</x:v>
      </x:c>
      <x:c r="B45" s="5" t="str">
        <x:v>Recht und Steuern</x:v>
      </x:c>
      <x:c r="C45" s="5" t="str">
        <x:v>ui-wq-recht-at</x:v>
      </x:c>
      <x:c r="D45" s="5" t="str">
        <x:v>BGB Allgemeiner Teil</x:v>
      </x:c>
      <x:c r="E45" s="5" t="str">
        <x:v>3.1.1</x:v>
      </x:c>
      <x:c r="F45" s="11" t="n">
        <x:v>2</x:v>
      </x:c>
      <x:c r="G45" s="11" t="n">
        <x:f>COUNTIF('Einzel-ID-Zuordnung'!$F$7:$F$2692,C45)</x:f>
        <x:v>85</x:v>
      </x:c>
      <x:c r="H45" s="5" t="str">
        <x:v>Recht</x:v>
      </x:c>
      <x:c r="I45" s="5" t="str">
        <x:v>PILOT FREIGEGEBEN – unverändert</x:v>
      </x:c>
    </x:row>
    <x:row r="46" ht="36" customHeight="1">
      <x:c r="A46" s="5" t="str">
        <x:v>3</x:v>
      </x:c>
      <x:c r="B46" s="5" t="str">
        <x:v>Recht und Steuern</x:v>
      </x:c>
      <x:c r="C46" s="5" t="str">
        <x:v>ui-wq-recht-schuld</x:v>
      </x:c>
      <x:c r="D46" s="5" t="str">
        <x:v>BGB Schuldrecht</x:v>
      </x:c>
      <x:c r="E46" s="5" t="str">
        <x:v>3.1.2</x:v>
      </x:c>
      <x:c r="F46" s="11" t="n">
        <x:v>6</x:v>
      </x:c>
      <x:c r="G46" s="11" t="n">
        <x:f>COUNTIF('Einzel-ID-Zuordnung'!$F$7:$F$2692,C46)</x:f>
        <x:v>174</x:v>
      </x:c>
      <x:c r="H46" s="5" t="str">
        <x:v>Recht</x:v>
      </x:c>
      <x:c r="I46" s="5" t="str">
        <x:v>PILOT FREIGEGEBEN – unverändert</x:v>
      </x:c>
    </x:row>
    <x:row r="47" ht="36" customHeight="1">
      <x:c r="A47" s="5" t="str">
        <x:v>3</x:v>
      </x:c>
      <x:c r="B47" s="5" t="str">
        <x:v>Recht und Steuern</x:v>
      </x:c>
      <x:c r="C47" s="5" t="str">
        <x:v>ui-wq-recht-sachen</x:v>
      </x:c>
      <x:c r="D47" s="5" t="str">
        <x:v>BGB Sachenrecht</x:v>
      </x:c>
      <x:c r="E47" s="5" t="str">
        <x:v>3.1.3</x:v>
      </x:c>
      <x:c r="F47" s="11" t="n">
        <x:v>3</x:v>
      </x:c>
      <x:c r="G47" s="11" t="n">
        <x:f>COUNTIF('Einzel-ID-Zuordnung'!$F$7:$F$2692,C47)</x:f>
        <x:v>84</x:v>
      </x:c>
      <x:c r="H47" s="5" t="str">
        <x:v>Recht</x:v>
      </x:c>
      <x:c r="I47" s="5" t="str">
        <x:v>PILOT FREIGEGEBEN – unverändert</x:v>
      </x:c>
    </x:row>
    <x:row r="48" ht="36" customHeight="1">
      <x:c r="A48" s="5" t="str">
        <x:v>3</x:v>
      </x:c>
      <x:c r="B48" s="5" t="str">
        <x:v>Recht und Steuern</x:v>
      </x:c>
      <x:c r="C48" s="5" t="str">
        <x:v>ui-wq-recht-handel</x:v>
      </x:c>
      <x:c r="D48" s="5" t="str">
        <x:v>Handelsrecht</x:v>
      </x:c>
      <x:c r="E48" s="5" t="str">
        <x:v>3.1.4</x:v>
      </x:c>
      <x:c r="F48" s="11" t="n">
        <x:v>5</x:v>
      </x:c>
      <x:c r="G48" s="11" t="n">
        <x:f>COUNTIF('Einzel-ID-Zuordnung'!$F$7:$F$2692,C48)</x:f>
        <x:v>75</x:v>
      </x:c>
      <x:c r="H48" s="5" t="str">
        <x:v>Recht</x:v>
      </x:c>
      <x:c r="I48" s="5" t="str">
        <x:v>PILOT FREIGEGEBEN – unverändert</x:v>
      </x:c>
    </x:row>
    <x:row r="49" ht="36" customHeight="1">
      <x:c r="A49" s="5" t="str">
        <x:v>3</x:v>
      </x:c>
      <x:c r="B49" s="5" t="str">
        <x:v>Recht und Steuern</x:v>
      </x:c>
      <x:c r="C49" s="5" t="str">
        <x:v>ui-wq-recht-arbeit</x:v>
      </x:c>
      <x:c r="D49" s="5" t="str">
        <x:v>Arbeitsrecht</x:v>
      </x:c>
      <x:c r="E49" s="5" t="str">
        <x:v>3.1.5</x:v>
      </x:c>
      <x:c r="F49" s="11" t="n">
        <x:v>4</x:v>
      </x:c>
      <x:c r="G49" s="11" t="n">
        <x:f>COUNTIF('Einzel-ID-Zuordnung'!$F$7:$F$2692,C49)</x:f>
        <x:v>116</x:v>
      </x:c>
      <x:c r="H49" s="5" t="str">
        <x:v>Recht</x:v>
      </x:c>
      <x:c r="I49" s="5" t="str">
        <x:v>PILOT FREIGEGEBEN – unverändert</x:v>
      </x:c>
    </x:row>
    <x:row r="50" ht="36" customHeight="1">
      <x:c r="A50" s="5" t="str">
        <x:v>3</x:v>
      </x:c>
      <x:c r="B50" s="5" t="str">
        <x:v>Recht und Steuern</x:v>
      </x:c>
      <x:c r="C50" s="5" t="str">
        <x:v>ui-wq-recht-wettbewerb</x:v>
      </x:c>
      <x:c r="D50" s="5" t="str">
        <x:v>Wettbewerbsrecht</x:v>
      </x:c>
      <x:c r="E50" s="5" t="str">
        <x:v>3.1.6</x:v>
      </x:c>
      <x:c r="F50" s="11" t="n">
        <x:v>1</x:v>
      </x:c>
      <x:c r="G50" s="11" t="n">
        <x:f>COUNTIF('Einzel-ID-Zuordnung'!$F$7:$F$2692,C50)</x:f>
        <x:v>17</x:v>
      </x:c>
      <x:c r="H50" s="5" t="str">
        <x:v>Recht</x:v>
      </x:c>
      <x:c r="I50" s="5" t="str">
        <x:v>PILOT FREIGEGEBEN – unverändert</x:v>
      </x:c>
    </x:row>
    <x:row r="51" ht="36" customHeight="1">
      <x:c r="A51" s="5" t="str">
        <x:v>3</x:v>
      </x:c>
      <x:c r="B51" s="5" t="str">
        <x:v>Recht und Steuern</x:v>
      </x:c>
      <x:c r="C51" s="5" t="str">
        <x:v>ui-wq-recht-gewerbe</x:v>
      </x:c>
      <x:c r="D51" s="5" t="str">
        <x:v>Gewerberecht</x:v>
      </x:c>
      <x:c r="E51" s="5" t="str">
        <x:v>3.1.7</x:v>
      </x:c>
      <x:c r="F51" s="11" t="n">
        <x:v>1</x:v>
      </x:c>
      <x:c r="G51" s="11" t="n">
        <x:f>COUNTIF('Einzel-ID-Zuordnung'!$F$7:$F$2692,C51)</x:f>
        <x:v>16</x:v>
      </x:c>
      <x:c r="H51" s="5" t="str">
        <x:v>Recht</x:v>
      </x:c>
      <x:c r="I51" s="5" t="str">
        <x:v>PILOT FREIGEGEBEN – unverändert</x:v>
      </x:c>
    </x:row>
    <x:row r="52" ht="36" customHeight="1">
      <x:c r="A52" s="5" t="str">
        <x:v>3</x:v>
      </x:c>
      <x:c r="B52" s="5" t="str">
        <x:v>Recht und Steuern</x:v>
      </x:c>
      <x:c r="C52" s="5" t="str">
        <x:v>ui-wq-steuern-grundlagen</x:v>
      </x:c>
      <x:c r="D52" s="5" t="str">
        <x:v>Grundbegriffe des Steuerrechts</x:v>
      </x:c>
      <x:c r="E52" s="5" t="str">
        <x:v>3.2.1</x:v>
      </x:c>
      <x:c r="F52" s="11" t="n">
        <x:v>1</x:v>
      </x:c>
      <x:c r="G52" s="11" t="n">
        <x:f>COUNTIF('Einzel-ID-Zuordnung'!$F$7:$F$2692,C52)</x:f>
        <x:v>12</x:v>
      </x:c>
      <x:c r="H52" s="5" t="str">
        <x:v>Steuern</x:v>
      </x:c>
      <x:c r="I52" s="5" t="str">
        <x:v>PILOT FREIGEGEBEN – unverändert</x:v>
      </x:c>
    </x:row>
    <x:row r="53" ht="36" customHeight="1">
      <x:c r="A53" s="5" t="str">
        <x:v>3</x:v>
      </x:c>
      <x:c r="B53" s="5" t="str">
        <x:v>Recht und Steuern</x:v>
      </x:c>
      <x:c r="C53" s="5" t="str">
        <x:v>ui-wq-steuern-unternehmen</x:v>
      </x:c>
      <x:c r="D53" s="5" t="str">
        <x:v>Unternehmensbezogene Steuern</x:v>
      </x:c>
      <x:c r="E53" s="5" t="str">
        <x:v>3.2.2</x:v>
      </x:c>
      <x:c r="F53" s="11" t="n">
        <x:v>11</x:v>
      </x:c>
      <x:c r="G53" s="11" t="n">
        <x:f>COUNTIF('Einzel-ID-Zuordnung'!$F$7:$F$2692,C53)</x:f>
        <x:v>205</x:v>
      </x:c>
      <x:c r="H53" s="5" t="str">
        <x:v>Steuern</x:v>
      </x:c>
      <x:c r="I53" s="5" t="str">
        <x:v>PILOT FREIGEGEBEN – unverändert</x:v>
      </x:c>
    </x:row>
    <x:row r="54" ht="36" customHeight="1">
      <x:c r="A54" s="5" t="str">
        <x:v>3</x:v>
      </x:c>
      <x:c r="B54" s="5" t="str">
        <x:v>Recht und Steuern</x:v>
      </x:c>
      <x:c r="C54" s="5" t="str">
        <x:v>ui-wq-steuern-ao</x:v>
      </x:c>
      <x:c r="D54" s="5" t="str">
        <x:v>Abgabenordnung</x:v>
      </x:c>
      <x:c r="E54" s="5" t="str">
        <x:v>3.2.3</x:v>
      </x:c>
      <x:c r="F54" s="11" t="n">
        <x:v>1</x:v>
      </x:c>
      <x:c r="G54" s="11" t="n">
        <x:f>COUNTIF('Einzel-ID-Zuordnung'!$F$7:$F$2692,C54)</x:f>
        <x:v>16</x:v>
      </x:c>
      <x:c r="H54" s="5" t="str">
        <x:v>Steuern</x:v>
      </x:c>
      <x:c r="I54" s="5" t="str">
        <x:v>PILOT FREIGEGEBEN – unverändert</x:v>
      </x:c>
    </x:row>
  </x:sheetData>
  <x:pageMargins left="0.7" right="0.7" top="0.75" bottom="0.75" header="0.3" footer="0.3"/>
  <x:tableParts count="1">
    <x:tablePart xmlns:r="http://schemas.openxmlformats.org/officeDocument/2006/relationships" r:id="Rb2b1a4c68f704efc"/>
  </x:tableParts>
</x:worksheet>
</file>

<file path=xl/worksheets/sheet3.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5" hidden="0" customWidth="1"/>
    <x:col min="2" max="2" width="10" hidden="0" customWidth="1"/>
    <x:col min="3" max="3" width="11" hidden="0" customWidth="1"/>
    <x:col min="4" max="4" width="40" hidden="0" customWidth="1"/>
    <x:col min="5" max="5" width="37" hidden="0" customWidth="1"/>
    <x:col min="6" max="6" width="28" hidden="0" customWidth="1"/>
    <x:col min="7" max="7" width="50" hidden="0" customWidth="1"/>
    <x:col min="8" max="8" width="24" hidden="0" customWidth="1"/>
    <x:col min="9" max="9" width="19" hidden="0" customWidth="1"/>
    <x:col min="10" max="10" width="55" hidden="0" customWidth="1"/>
    <x:col min="11" max="11" width="25" hidden="0" customWidth="1"/>
    <x:col min="12" max="12" width="57" hidden="0" customWidth="1"/>
    <x:col min="13" max="13" width="15" hidden="0" customWidth="1"/>
    <x:col min="14" max="14" width="18" hidden="0" customWidth="1"/>
    <x:col min="15" max="15" width="16" hidden="0" customWidth="1"/>
    <x:col min="16" max="16" width="50" hidden="0" customWidth="1"/>
    <x:col min="17" max="17" width="75" hidden="0" customWidth="1"/>
    <x:col min="18" max="18" width="110" hidden="0" customWidth="1"/>
    <x:col min="19" max="19" width="70" hidden="0" customWidth="1"/>
  </x:cols>
  <x:sheetData>
    <x:row r="2">
      <x:c r="A2" s="1" t="str">
        <x:v>Vollständige Primärzuordnung aller IDs</x:v>
      </x:c>
    </x:row>
    <x:row r="4">
      <x:c r="A4" s="2" t="str">
        <x:v>Planung / Revisionsstand · 28.09.2026 · WIFA-TR-GESAMT-20260927-REV2-FREIGEGEBENE-GRENZFAELLE · keine produktive Änderung</x:v>
      </x:c>
    </x:row>
    <x:row r="6" ht="34" customHeight="1">
      <x:c r="A6" s="9" t="str">
        <x:v>Trainer-ID</x:v>
      </x:c>
      <x:c r="B6" s="9" t="str">
        <x:v>Bereich</x:v>
      </x:c>
      <x:c r="C6" s="9" t="str">
        <x:v>Fachcode</x:v>
      </x:c>
      <x:c r="D6" s="9" t="str">
        <x:v>Fach</x:v>
      </x:c>
      <x:c r="E6" s="9" t="str">
        <x:v>Quellfach</x:v>
      </x:c>
      <x:c r="F6" s="9" t="str">
        <x:v>UI-Key</x:v>
      </x:c>
      <x:c r="G6" s="9" t="str">
        <x:v>Oberthema</x:v>
      </x:c>
      <x:c r="H6" s="9" t="str">
        <x:v>DetailKey</x:v>
      </x:c>
      <x:c r="I6" s="9" t="str">
        <x:v>Primärpunkt</x:v>
      </x:c>
      <x:c r="J6" s="9" t="str">
        <x:v>Primärbezug</x:v>
      </x:c>
      <x:c r="K6" s="9" t="str">
        <x:v>Querverweise</x:v>
      </x:c>
      <x:c r="L6" s="9" t="str">
        <x:v>Altes Thema</x:v>
      </x:c>
      <x:c r="M6" s="9" t="str">
        <x:v>UI-Reihenfolge</x:v>
      </x:c>
      <x:c r="N6" s="9" t="str">
        <x:v>Detail-Reihenfolge</x:v>
      </x:c>
      <x:c r="O6" s="9" t="str">
        <x:v>Entscheidung</x:v>
      </x:c>
      <x:c r="P6" s="9" t="str">
        <x:v>Prüfstatus</x:v>
      </x:c>
      <x:c r="Q6" s="9" t="str">
        <x:v>Begründung</x:v>
      </x:c>
      <x:c r="R6" s="9" t="str">
        <x:v>Frage</x:v>
      </x:c>
      <x:c r="S6" s="9" t="str">
        <x:v>Lehrinhalt-SHA256</x:v>
      </x:c>
    </x:row>
    <x:row r="7" ht="36" customHeight="1">
      <x:c r="A7" s="5" t="str">
        <x:v>BWL-0001</x:v>
      </x:c>
      <x:c r="B7" s="5" t="str">
        <x:v>WQ</x:v>
      </x:c>
      <x:c r="C7" s="5" t="str">
        <x:v>1</x:v>
      </x:c>
      <x:c r="D7" s="5" t="str">
        <x:v>Volks- und Betriebswirtschaft</x:v>
      </x:c>
      <x:c r="E7" s="5" t="str">
        <x:v>BWL</x:v>
      </x:c>
      <x:c r="F7" s="5" t="str">
        <x:v>ui-wq-0002</x:v>
      </x:c>
      <x:c r="G7" s="5" t="str">
        <x:v>Betriebliche Funktionen und deren Zusammenwirken</x:v>
      </x:c>
      <x:c r="H7" s="5" t="str">
        <x:v>dg-wq-0044</x:v>
      </x:c>
      <x:c r="I7" s="5" t="str">
        <x:v>1.2.2</x:v>
      </x:c>
      <x:c r="J7" s="5" t="str">
        <x:v>Zusammenwirken der betrieblichen Funktionen</x:v>
      </x:c>
      <x:c r="K7" s="5" t="str"/>
      <x:c r="L7" s="5" t="str">
        <x:v>Zusammenwirken, Führung, Ziele &amp; Nachhaltigkeit</x:v>
      </x:c>
      <x:c r="M7" s="5" t="n">
        <x:v>1</x:v>
      </x:c>
      <x:c r="N7" s="5" t="n">
        <x:v>1</x:v>
      </x:c>
      <x:c r="O7" s="5" t="str"/>
      <x:c r="P7" s="5" t="str">
        <x:v>Zuordnungsvorschlag; Fachfreigabe ausstehend</x:v>
      </x:c>
      <x:c r="Q7" s="5" t="str">
        <x:v>Bestehendes Lernthema fachlich unter passendem Rahmenplan-Unterbereich behalten</x:v>
      </x:c>
      <x:c r="R7" s="5" t="str">
        <x:v>Welche Kernfunktionen und unterstützenden Funktionen wirken bei der betrieblichen Leistungserstellung zusammen und wie entsteht betriebliche Wertschöpfung?</x:v>
      </x:c>
      <x:c r="S7" s="5" t="str">
        <x:v>2dd982603c73c9719666c91562b1391c2ebcdb76d42cb4e0c6439fc7ec495913</x:v>
      </x:c>
    </x:row>
    <x:row r="8" ht="36" customHeight="1">
      <x:c r="A8" s="5" t="str">
        <x:v>BWL-0002</x:v>
      </x:c>
      <x:c r="B8" s="5" t="str">
        <x:v>WQ</x:v>
      </x:c>
      <x:c r="C8" s="5" t="str">
        <x:v>1</x:v>
      </x:c>
      <x:c r="D8" s="5" t="str">
        <x:v>Volks- und Betriebswirtschaft</x:v>
      </x:c>
      <x:c r="E8" s="5" t="str">
        <x:v>BWL</x:v>
      </x:c>
      <x:c r="F8" s="5" t="str">
        <x:v>ui-wq-0002</x:v>
      </x:c>
      <x:c r="G8" s="5" t="str">
        <x:v>Betriebliche Funktionen und deren Zusammenwirken</x:v>
      </x:c>
      <x:c r="H8" s="5" t="str">
        <x:v>dg-wq-0045</x:v>
      </x:c>
      <x:c r="I8" s="5" t="str">
        <x:v>1.2.1.1</x:v>
      </x:c>
      <x:c r="J8" s="5" t="str">
        <x:v>Produktion</x:v>
      </x:c>
      <x:c r="K8" s="5" t="str"/>
      <x:c r="L8" s="5" t="str">
        <x:v>Produktion &amp; Leistungserstellung</x:v>
      </x:c>
      <x:c r="M8" s="5" t="n">
        <x:v>2</x:v>
      </x:c>
      <x:c r="N8" s="5" t="n">
        <x:v>1</x:v>
      </x:c>
      <x:c r="O8" s="5" t="str"/>
      <x:c r="P8" s="5" t="str">
        <x:v>Zuordnungsvorschlag; Fachfreigabe ausstehend</x:v>
      </x:c>
      <x:c r="Q8" s="5" t="str">
        <x:v>Bestehendes Lernthema fachlich unter passendem Rahmenplan-Unterbereich behalten</x:v>
      </x:c>
      <x:c r="R8" s="5" t="str">
        <x:v>Wie gliedert Gutenberg die Produktionsfaktoren in Elementarfaktoren und dispositiven Faktor und welche Aufgaben haben diese Faktoren?</x:v>
      </x:c>
      <x:c r="S8" s="5" t="str">
        <x:v>0063604262a9dff05c530eed4cd3ee0bddd064a53531e7f6702455b9065d6640</x:v>
      </x:c>
    </x:row>
    <x:row r="9" ht="36" customHeight="1">
      <x:c r="A9" s="5" t="str">
        <x:v>BWL-0003</x:v>
      </x:c>
      <x:c r="B9" s="5" t="str">
        <x:v>WQ</x:v>
      </x:c>
      <x:c r="C9" s="5" t="str">
        <x:v>1</x:v>
      </x:c>
      <x:c r="D9" s="5" t="str">
        <x:v>Volks- und Betriebswirtschaft</x:v>
      </x:c>
      <x:c r="E9" s="5" t="str">
        <x:v>BWL</x:v>
      </x:c>
      <x:c r="F9" s="5" t="str">
        <x:v>ui-wq-0002</x:v>
      </x:c>
      <x:c r="G9" s="5" t="str">
        <x:v>Betriebliche Funktionen und deren Zusammenwirken</x:v>
      </x:c>
      <x:c r="H9" s="5" t="str">
        <x:v>dg-wq-0045</x:v>
      </x:c>
      <x:c r="I9" s="5" t="str">
        <x:v>1.2.1.1</x:v>
      </x:c>
      <x:c r="J9" s="5" t="str">
        <x:v>Produktion</x:v>
      </x:c>
      <x:c r="K9" s="5" t="str"/>
      <x:c r="L9" s="5" t="str">
        <x:v>Produktion &amp; Leistungserstellung</x:v>
      </x:c>
      <x:c r="M9" s="5" t="n">
        <x:v>3</x:v>
      </x:c>
      <x:c r="N9" s="5" t="n">
        <x:v>2</x:v>
      </x:c>
      <x:c r="O9" s="5" t="str"/>
      <x:c r="P9" s="5" t="str">
        <x:v>Zuordnungsvorschlag; Fachfreigabe ausstehend</x:v>
      </x:c>
      <x:c r="Q9" s="5" t="str">
        <x:v>Bestehendes Lernthema fachlich unter passendem Rahmenplan-Unterbereich behalten</x:v>
      </x:c>
      <x:c r="R9" s="5" t="str">
        <x:v>Unterscheiden Sie Rohstoffe, Hilfsstoffe, Betriebsstoffe und Betriebsmittel und nennen Sie jeweils ein Beispiel aus der Herstellung von Haushaltsgeräten.</x:v>
      </x:c>
      <x:c r="S9" s="5" t="str">
        <x:v>c7b8213742764e432ed9825db21c2ee74d308a0f1a63f503ab74c511170075d4</x:v>
      </x:c>
    </x:row>
    <x:row r="10" ht="36" customHeight="1">
      <x:c r="A10" s="5" t="str">
        <x:v>BWL-0004</x:v>
      </x:c>
      <x:c r="B10" s="5" t="str">
        <x:v>WQ</x:v>
      </x:c>
      <x:c r="C10" s="5" t="str">
        <x:v>1</x:v>
      </x:c>
      <x:c r="D10" s="5" t="str">
        <x:v>Volks- und Betriebswirtschaft</x:v>
      </x:c>
      <x:c r="E10" s="5" t="str">
        <x:v>BWL</x:v>
      </x:c>
      <x:c r="F10" s="5" t="str">
        <x:v>ui-wq-0002</x:v>
      </x:c>
      <x:c r="G10" s="5" t="str">
        <x:v>Betriebliche Funktionen und deren Zusammenwirken</x:v>
      </x:c>
      <x:c r="H10" s="5" t="str">
        <x:v>dg-wq-0045</x:v>
      </x:c>
      <x:c r="I10" s="5" t="str">
        <x:v>1.2.1.1</x:v>
      </x:c>
      <x:c r="J10" s="5" t="str">
        <x:v>Produktion</x:v>
      </x:c>
      <x:c r="K10" s="5" t="str"/>
      <x:c r="L10" s="5" t="str">
        <x:v>Produktion &amp; Leistungserstellung</x:v>
      </x:c>
      <x:c r="M10" s="5" t="n">
        <x:v>4</x:v>
      </x:c>
      <x:c r="N10" s="5" t="n">
        <x:v>3</x:v>
      </x:c>
      <x:c r="O10" s="5" t="str"/>
      <x:c r="P10" s="5" t="str">
        <x:v>Zuordnungsvorschlag; Fachfreigabe ausstehend</x:v>
      </x:c>
      <x:c r="Q10" s="5" t="str">
        <x:v>Bestehendes Lernthema fachlich unter passendem Rahmenplan-Unterbereich behalten</x:v>
      </x:c>
      <x:c r="R10" s="5" t="str">
        <x:v>Ordnen Sie die genannten Einsatzgüter eines Automobilherstellers den Produktionsfaktoren Betriebsmittel, Rohstoff, Hilfsstoff oder Betriebsstoff zu.</x:v>
      </x:c>
      <x:c r="S10" s="5" t="str">
        <x:v>92356909afedbcb05332378f2a2c38e43646216062c4c97ee026609184baabc0</x:v>
      </x:c>
    </x:row>
    <x:row r="11" ht="36" customHeight="1">
      <x:c r="A11" s="5" t="str">
        <x:v>BWL-0005</x:v>
      </x:c>
      <x:c r="B11" s="5" t="str">
        <x:v>WQ</x:v>
      </x:c>
      <x:c r="C11" s="5" t="str">
        <x:v>1</x:v>
      </x:c>
      <x:c r="D11" s="5" t="str">
        <x:v>Volks- und Betriebswirtschaft</x:v>
      </x:c>
      <x:c r="E11" s="5" t="str">
        <x:v>BWL</x:v>
      </x:c>
      <x:c r="F11" s="5" t="str">
        <x:v>ui-wq-0002</x:v>
      </x:c>
      <x:c r="G11" s="5" t="str">
        <x:v>Betriebliche Funktionen und deren Zusammenwirken</x:v>
      </x:c>
      <x:c r="H11" s="5" t="str">
        <x:v>dg-wq-0045</x:v>
      </x:c>
      <x:c r="I11" s="5" t="str">
        <x:v>1.2.1.1</x:v>
      </x:c>
      <x:c r="J11" s="5" t="str">
        <x:v>Produktion</x:v>
      </x:c>
      <x:c r="K11" s="5" t="str"/>
      <x:c r="L11" s="5" t="str">
        <x:v>Produktion &amp; Leistungserstellung</x:v>
      </x:c>
      <x:c r="M11" s="5" t="n">
        <x:v>5</x:v>
      </x:c>
      <x:c r="N11" s="5" t="n">
        <x:v>4</x:v>
      </x:c>
      <x:c r="O11" s="5" t="str"/>
      <x:c r="P11" s="5" t="str">
        <x:v>Zuordnungsvorschlag; Fachfreigabe ausstehend</x:v>
      </x:c>
      <x:c r="Q11" s="5" t="str">
        <x:v>Bestehendes Lernthema fachlich unter passendem Rahmenplan-Unterbereich behalten</x:v>
      </x:c>
      <x:c r="R11" s="5" t="str">
        <x:v>Was versteht man unter Fertigungstiefe, welche Vor- und Nachteile hat eine hohe Fertigungstiefe und wann spricht mehr für Eigenfertigung bzw. Fremdbezug?</x:v>
      </x:c>
      <x:c r="S11" s="5" t="str">
        <x:v>c3d61493e2f392e6e51e3f4e712fb3df1f08fa9c4b8dc6806b20874a06364d69</x:v>
      </x:c>
    </x:row>
    <x:row r="12" ht="36" customHeight="1">
      <x:c r="A12" s="5" t="str">
        <x:v>BWL-0006</x:v>
      </x:c>
      <x:c r="B12" s="5" t="str">
        <x:v>WQ</x:v>
      </x:c>
      <x:c r="C12" s="5" t="str">
        <x:v>1</x:v>
      </x:c>
      <x:c r="D12" s="5" t="str">
        <x:v>Volks- und Betriebswirtschaft</x:v>
      </x:c>
      <x:c r="E12" s="5" t="str">
        <x:v>BWL</x:v>
      </x:c>
      <x:c r="F12" s="5" t="str">
        <x:v>ui-wq-0002</x:v>
      </x:c>
      <x:c r="G12" s="5" t="str">
        <x:v>Betriebliche Funktionen und deren Zusammenwirken</x:v>
      </x:c>
      <x:c r="H12" s="5" t="str">
        <x:v>dg-wq-0045</x:v>
      </x:c>
      <x:c r="I12" s="5" t="str">
        <x:v>1.2.1.1</x:v>
      </x:c>
      <x:c r="J12" s="5" t="str">
        <x:v>Produktion</x:v>
      </x:c>
      <x:c r="K12" s="5" t="str"/>
      <x:c r="L12" s="5" t="str">
        <x:v>Produktion &amp; Leistungserstellung</x:v>
      </x:c>
      <x:c r="M12" s="5" t="n">
        <x:v>6</x:v>
      </x:c>
      <x:c r="N12" s="5" t="n">
        <x:v>5</x:v>
      </x:c>
      <x:c r="O12" s="5" t="str"/>
      <x:c r="P12" s="5" t="str">
        <x:v>Zuordnungsvorschlag; Fachfreigabe ausstehend</x:v>
      </x:c>
      <x:c r="Q12" s="5" t="str">
        <x:v>Bestehendes Lernthema fachlich unter passendem Rahmenplan-Unterbereich behalten</x:v>
      </x:c>
      <x:c r="R12" s="5" t="str">
        <x:v>Stellen Sie Werkstatt-, Fließ-, Gruppen- und Inselfertigung gegenüber. Nach welchem Prinzip sind die Arbeitsplätze angeordnet und welche typischen Vor- und Nachteile ergeben sich?</x:v>
      </x:c>
      <x:c r="S12" s="5" t="str">
        <x:v>bf3fe427e2545e0193cd479b5b6f2ce1140a6a8aa28bf7bc4f7bc6c5ab8a32e7</x:v>
      </x:c>
    </x:row>
    <x:row r="13" ht="36" customHeight="1">
      <x:c r="A13" s="5" t="str">
        <x:v>BWL-0007</x:v>
      </x:c>
      <x:c r="B13" s="5" t="str">
        <x:v>WQ</x:v>
      </x:c>
      <x:c r="C13" s="5" t="str">
        <x:v>1</x:v>
      </x:c>
      <x:c r="D13" s="5" t="str">
        <x:v>Volks- und Betriebswirtschaft</x:v>
      </x:c>
      <x:c r="E13" s="5" t="str">
        <x:v>BWL</x:v>
      </x:c>
      <x:c r="F13" s="5" t="str">
        <x:v>ui-wq-0002</x:v>
      </x:c>
      <x:c r="G13" s="5" t="str">
        <x:v>Betriebliche Funktionen und deren Zusammenwirken</x:v>
      </x:c>
      <x:c r="H13" s="5" t="str">
        <x:v>dg-wq-0045</x:v>
      </x:c>
      <x:c r="I13" s="5" t="str">
        <x:v>1.2.1.1</x:v>
      </x:c>
      <x:c r="J13" s="5" t="str">
        <x:v>Produktion</x:v>
      </x:c>
      <x:c r="K13" s="5" t="str"/>
      <x:c r="L13" s="5" t="str">
        <x:v>Produktion &amp; Leistungserstellung</x:v>
      </x:c>
      <x:c r="M13" s="5" t="n">
        <x:v>7</x:v>
      </x:c>
      <x:c r="N13" s="5" t="n">
        <x:v>6</x:v>
      </x:c>
      <x:c r="O13" s="5" t="str"/>
      <x:c r="P13" s="5" t="str">
        <x:v>Zuordnungsvorschlag; Fachfreigabe ausstehend</x:v>
      </x:c>
      <x:c r="Q13" s="5" t="str">
        <x:v>Bestehendes Lernthema fachlich unter passendem Rahmenplan-Unterbereich behalten</x:v>
      </x:c>
      <x:c r="R13" s="5" t="str">
        <x:v>Unterscheiden Sie Einzel-, Massen-, Sorten- und Serienfertigung und nennen Sie jeweils ein passendes Beispiel.</x:v>
      </x:c>
      <x:c r="S13" s="5" t="str">
        <x:v>8c58d9fc0fd09b770ddcc4c1037d98451cefaf463b7a229c0634a4da21de4b9d</x:v>
      </x:c>
    </x:row>
    <x:row r="14" ht="36" customHeight="1">
      <x:c r="A14" s="5" t="str">
        <x:v>BWL-0008</x:v>
      </x:c>
      <x:c r="B14" s="5" t="str">
        <x:v>WQ</x:v>
      </x:c>
      <x:c r="C14" s="5" t="str">
        <x:v>1</x:v>
      </x:c>
      <x:c r="D14" s="5" t="str">
        <x:v>Volks- und Betriebswirtschaft</x:v>
      </x:c>
      <x:c r="E14" s="5" t="str">
        <x:v>BWL</x:v>
      </x:c>
      <x:c r="F14" s="5" t="str">
        <x:v>ui-wq-0002</x:v>
      </x:c>
      <x:c r="G14" s="5" t="str">
        <x:v>Betriebliche Funktionen und deren Zusammenwirken</x:v>
      </x:c>
      <x:c r="H14" s="5" t="str">
        <x:v>dg-wq-0046</x:v>
      </x:c>
      <x:c r="I14" s="5" t="str">
        <x:v>1.2.1.2</x:v>
      </x:c>
      <x:c r="J14" s="5" t="str">
        <x:v>Logistik</x:v>
      </x:c>
      <x:c r="K14" s="5" t="str"/>
      <x:c r="L14" s="5" t="str">
        <x:v>Logistik &amp; Supply Chain</x:v>
      </x:c>
      <x:c r="M14" s="5" t="n">
        <x:v>8</x:v>
      </x:c>
      <x:c r="N14" s="5" t="n">
        <x:v>1</x:v>
      </x:c>
      <x:c r="O14" s="5" t="str"/>
      <x:c r="P14" s="5" t="str">
        <x:v>Zuordnungsvorschlag; Fachfreigabe ausstehend</x:v>
      </x:c>
      <x:c r="Q14" s="5" t="str">
        <x:v>Bestehendes Lernthema fachlich unter passendem Rahmenplan-Unterbereich behalten</x:v>
      </x:c>
      <x:c r="R14" s="5" t="str">
        <x:v>Was ist unter Supply-Chain-Management zu verstehen und welche Partner werden dabei miteinander abgestimmt?</x:v>
      </x:c>
      <x:c r="S14" s="5" t="str">
        <x:v>d6c2b00df78ab2977b57efbcd3bd1941a5e28010352bd169bdc385e1baf4dba6</x:v>
      </x:c>
    </x:row>
    <x:row r="15" ht="36" customHeight="1">
      <x:c r="A15" s="5" t="str">
        <x:v>BWL-0009</x:v>
      </x:c>
      <x:c r="B15" s="5" t="str">
        <x:v>WQ</x:v>
      </x:c>
      <x:c r="C15" s="5" t="str">
        <x:v>1</x:v>
      </x:c>
      <x:c r="D15" s="5" t="str">
        <x:v>Volks- und Betriebswirtschaft</x:v>
      </x:c>
      <x:c r="E15" s="5" t="str">
        <x:v>BWL</x:v>
      </x:c>
      <x:c r="F15" s="5" t="str">
        <x:v>ui-wq-0002</x:v>
      </x:c>
      <x:c r="G15" s="5" t="str">
        <x:v>Betriebliche Funktionen und deren Zusammenwirken</x:v>
      </x:c>
      <x:c r="H15" s="5" t="str">
        <x:v>dg-wq-0046</x:v>
      </x:c>
      <x:c r="I15" s="5" t="str">
        <x:v>1.2.1.2</x:v>
      </x:c>
      <x:c r="J15" s="5" t="str">
        <x:v>Logistik</x:v>
      </x:c>
      <x:c r="K15" s="5" t="str"/>
      <x:c r="L15" s="5" t="str">
        <x:v>Logistik &amp; Supply Chain</x:v>
      </x:c>
      <x:c r="M15" s="5" t="n">
        <x:v>9</x:v>
      </x:c>
      <x:c r="N15" s="5" t="n">
        <x:v>2</x:v>
      </x:c>
      <x:c r="O15" s="5" t="str"/>
      <x:c r="P15" s="5" t="str">
        <x:v>Zuordnungsvorschlag; Fachfreigabe ausstehend</x:v>
      </x:c>
      <x:c r="Q15" s="5" t="str">
        <x:v>Bestehendes Lernthema fachlich unter passendem Rahmenplan-Unterbereich behalten</x:v>
      </x:c>
      <x:c r="R15" s="5" t="str">
        <x:v>Aus Sicht von Circle Harbor: Nach welchen Kriterien kann ein Unternehmen mögliche neue Lieferanten systematisch beurteilen?</x:v>
      </x:c>
      <x:c r="S15" s="5" t="str">
        <x:v>cfa1bc1113fb136c2882ca0d7a623855cb3582f25abbc10eec04a9a78444f23d</x:v>
      </x:c>
    </x:row>
    <x:row r="16" ht="36" customHeight="1">
      <x:c r="A16" s="5" t="str">
        <x:v>BWL-0010</x:v>
      </x:c>
      <x:c r="B16" s="5" t="str">
        <x:v>WQ</x:v>
      </x:c>
      <x:c r="C16" s="5" t="str">
        <x:v>1</x:v>
      </x:c>
      <x:c r="D16" s="5" t="str">
        <x:v>Volks- und Betriebswirtschaft</x:v>
      </x:c>
      <x:c r="E16" s="5" t="str">
        <x:v>BWL</x:v>
      </x:c>
      <x:c r="F16" s="5" t="str">
        <x:v>ui-wq-0002</x:v>
      </x:c>
      <x:c r="G16" s="5" t="str">
        <x:v>Betriebliche Funktionen und deren Zusammenwirken</x:v>
      </x:c>
      <x:c r="H16" s="5" t="str">
        <x:v>dg-wq-0046</x:v>
      </x:c>
      <x:c r="I16" s="5" t="str">
        <x:v>1.2.1.2</x:v>
      </x:c>
      <x:c r="J16" s="5" t="str">
        <x:v>Logistik</x:v>
      </x:c>
      <x:c r="K16" s="5" t="str"/>
      <x:c r="L16" s="5" t="str">
        <x:v>Logistik &amp; Supply Chain</x:v>
      </x:c>
      <x:c r="M16" s="5" t="n">
        <x:v>10</x:v>
      </x:c>
      <x:c r="N16" s="5" t="n">
        <x:v>3</x:v>
      </x:c>
      <x:c r="O16" s="5" t="str"/>
      <x:c r="P16" s="5" t="str">
        <x:v>Zuordnungsvorschlag; Fachfreigabe ausstehend</x:v>
      </x:c>
      <x:c r="Q16" s="5" t="str">
        <x:v>Bestehendes Lernthema fachlich unter passendem Rahmenplan-Unterbereich behalten</x:v>
      </x:c>
      <x:c r="R16" s="5" t="str">
        <x:v>Nennen Sie konkrete Beispiele für humanitäre, ökologische, Leistungs- und Qualitätsziele der Logistik.</x:v>
      </x:c>
      <x:c r="S16" s="5" t="str">
        <x:v>21d479c094b588496f6a9ee78f80d51b705b10e9eceff67741ece2daea62361c</x:v>
      </x:c>
    </x:row>
    <x:row r="17" ht="36" customHeight="1">
      <x:c r="A17" s="5" t="str">
        <x:v>BWL-0011</x:v>
      </x:c>
      <x:c r="B17" s="5" t="str">
        <x:v>WQ</x:v>
      </x:c>
      <x:c r="C17" s="5" t="str">
        <x:v>1</x:v>
      </x:c>
      <x:c r="D17" s="5" t="str">
        <x:v>Volks- und Betriebswirtschaft</x:v>
      </x:c>
      <x:c r="E17" s="5" t="str">
        <x:v>BWL</x:v>
      </x:c>
      <x:c r="F17" s="5" t="str">
        <x:v>ui-wq-0002</x:v>
      </x:c>
      <x:c r="G17" s="5" t="str">
        <x:v>Betriebliche Funktionen und deren Zusammenwirken</x:v>
      </x:c>
      <x:c r="H17" s="5" t="str">
        <x:v>dg-wq-0046</x:v>
      </x:c>
      <x:c r="I17" s="5" t="str">
        <x:v>1.2.1.2</x:v>
      </x:c>
      <x:c r="J17" s="5" t="str">
        <x:v>Logistik</x:v>
      </x:c>
      <x:c r="K17" s="5" t="str"/>
      <x:c r="L17" s="5" t="str">
        <x:v>Logistik &amp; Supply Chain</x:v>
      </x:c>
      <x:c r="M17" s="5" t="n">
        <x:v>11</x:v>
      </x:c>
      <x:c r="N17" s="5" t="n">
        <x:v>4</x:v>
      </x:c>
      <x:c r="O17" s="5" t="str"/>
      <x:c r="P17" s="5" t="str">
        <x:v>Zuordnungsvorschlag; Fachfreigabe ausstehend</x:v>
      </x:c>
      <x:c r="Q17" s="5" t="str">
        <x:v>Bestehendes Lernthema fachlich unter passendem Rahmenplan-Unterbereich behalten</x:v>
      </x:c>
      <x:c r="R17" s="5" t="str">
        <x:v>Korrigieren Sie typische Fehlannahmen zu Beschaffungs-, Produktions-, Distributions- und Entsorgungslogistik.</x:v>
      </x:c>
      <x:c r="S17" s="5" t="str">
        <x:v>f3b0197a0d96e460a66c89d658593c506fe060a4539eb6c362ec0d9602c9b708</x:v>
      </x:c>
    </x:row>
    <x:row r="18" ht="36" customHeight="1">
      <x:c r="A18" s="5" t="str">
        <x:v>BWL-0012</x:v>
      </x:c>
      <x:c r="B18" s="5" t="str">
        <x:v>WQ</x:v>
      </x:c>
      <x:c r="C18" s="5" t="str">
        <x:v>1</x:v>
      </x:c>
      <x:c r="D18" s="5" t="str">
        <x:v>Volks- und Betriebswirtschaft</x:v>
      </x:c>
      <x:c r="E18" s="5" t="str">
        <x:v>BWL</x:v>
      </x:c>
      <x:c r="F18" s="5" t="str">
        <x:v>ui-wq-0002</x:v>
      </x:c>
      <x:c r="G18" s="5" t="str">
        <x:v>Betriebliche Funktionen und deren Zusammenwirken</x:v>
      </x:c>
      <x:c r="H18" s="5" t="str">
        <x:v>dg-wq-0046</x:v>
      </x:c>
      <x:c r="I18" s="5" t="str">
        <x:v>1.2.1.2</x:v>
      </x:c>
      <x:c r="J18" s="5" t="str">
        <x:v>Logistik</x:v>
      </x:c>
      <x:c r="K18" s="5" t="str"/>
      <x:c r="L18" s="5" t="str">
        <x:v>Logistik &amp; Supply Chain</x:v>
      </x:c>
      <x:c r="M18" s="5" t="n">
        <x:v>12</x:v>
      </x:c>
      <x:c r="N18" s="5" t="n">
        <x:v>5</x:v>
      </x:c>
      <x:c r="O18" s="5" t="str"/>
      <x:c r="P18" s="5" t="str">
        <x:v>Zuordnungsvorschlag; Fachfreigabe ausstehend</x:v>
      </x:c>
      <x:c r="Q18" s="5" t="str">
        <x:v>Bestehendes Lernthema fachlich unter passendem Rahmenplan-Unterbereich behalten</x:v>
      </x:c>
      <x:c r="R18" s="5" t="str">
        <x:v>Welche sechs Bereitstellungsziele muss die Logistik erfüllen und welcher typische Zielkonflikt entsteht dabei?</x:v>
      </x:c>
      <x:c r="S18" s="5" t="str">
        <x:v>013f8df24d62291c323abf35926697724e78e15be2918317a1a6e9d8d6521307</x:v>
      </x:c>
    </x:row>
    <x:row r="19" ht="36" customHeight="1">
      <x:c r="A19" s="5" t="str">
        <x:v>BWL-0013</x:v>
      </x:c>
      <x:c r="B19" s="5" t="str">
        <x:v>WQ</x:v>
      </x:c>
      <x:c r="C19" s="5" t="str">
        <x:v>1</x:v>
      </x:c>
      <x:c r="D19" s="5" t="str">
        <x:v>Volks- und Betriebswirtschaft</x:v>
      </x:c>
      <x:c r="E19" s="5" t="str">
        <x:v>BWL</x:v>
      </x:c>
      <x:c r="F19" s="5" t="str">
        <x:v>ui-wq-0002</x:v>
      </x:c>
      <x:c r="G19" s="5" t="str">
        <x:v>Betriebliche Funktionen und deren Zusammenwirken</x:v>
      </x:c>
      <x:c r="H19" s="5" t="str">
        <x:v>dg-wq-0046</x:v>
      </x:c>
      <x:c r="I19" s="5" t="str">
        <x:v>1.2.1.2</x:v>
      </x:c>
      <x:c r="J19" s="5" t="str">
        <x:v>Logistik</x:v>
      </x:c>
      <x:c r="K19" s="5" t="str"/>
      <x:c r="L19" s="5" t="str">
        <x:v>Logistik &amp; Supply Chain</x:v>
      </x:c>
      <x:c r="M19" s="5" t="n">
        <x:v>13</x:v>
      </x:c>
      <x:c r="N19" s="5" t="n">
        <x:v>6</x:v>
      </x:c>
      <x:c r="O19" s="5" t="str"/>
      <x:c r="P19" s="5" t="str">
        <x:v>Zuordnungsvorschlag; Fachfreigabe ausstehend</x:v>
      </x:c>
      <x:c r="Q19" s="5" t="str">
        <x:v>Bestehendes Lernthema fachlich unter passendem Rahmenplan-Unterbereich behalten</x:v>
      </x:c>
      <x:c r="R19" s="5" t="str">
        <x:v>Welche Folgen haben aktuelle Logistiktrends wie mehr Fremdbezug, häufigere Lieferkettenstörungen, Digitalisierung, individualisierte Kundenlösungen sowie stärkerer Zeit- und Qualitätswettbewerb?</x:v>
      </x:c>
      <x:c r="S19" s="5" t="str">
        <x:v>8b8e99987d0ec50bebc409093b3ca3d86a9f0dd55ea76a52df428c37ac207a6d</x:v>
      </x:c>
    </x:row>
    <x:row r="20" ht="36" customHeight="1">
      <x:c r="A20" s="5" t="str">
        <x:v>BWL-0014</x:v>
      </x:c>
      <x:c r="B20" s="5" t="str">
        <x:v>WQ</x:v>
      </x:c>
      <x:c r="C20" s="5" t="str">
        <x:v>1</x:v>
      </x:c>
      <x:c r="D20" s="5" t="str">
        <x:v>Volks- und Betriebswirtschaft</x:v>
      </x:c>
      <x:c r="E20" s="5" t="str">
        <x:v>BWL</x:v>
      </x:c>
      <x:c r="F20" s="5" t="str">
        <x:v>ui-wq-0002</x:v>
      </x:c>
      <x:c r="G20" s="5" t="str">
        <x:v>Betriebliche Funktionen und deren Zusammenwirken</x:v>
      </x:c>
      <x:c r="H20" s="5" t="str">
        <x:v>dg-wq-0046</x:v>
      </x:c>
      <x:c r="I20" s="5" t="str">
        <x:v>1.2.1.2</x:v>
      </x:c>
      <x:c r="J20" s="5" t="str">
        <x:v>Logistik</x:v>
      </x:c>
      <x:c r="K20" s="5" t="str"/>
      <x:c r="L20" s="5" t="str">
        <x:v>Logistik &amp; Supply Chain</x:v>
      </x:c>
      <x:c r="M20" s="5" t="n">
        <x:v>14</x:v>
      </x:c>
      <x:c r="N20" s="5" t="n">
        <x:v>7</x:v>
      </x:c>
      <x:c r="O20" s="5" t="str"/>
      <x:c r="P20" s="5" t="str">
        <x:v>Zuordnungsvorschlag; Fachfreigabe ausstehend</x:v>
      </x:c>
      <x:c r="Q20" s="5" t="str">
        <x:v>Bestehendes Lernthema fachlich unter passendem Rahmenplan-Unterbereich behalten</x:v>
      </x:c>
      <x:c r="R20" s="5" t="str">
        <x:v>Welche Auswirkungen hat ein bewusst hoher Lagerbestand wichtiger Komponenten?</x:v>
      </x:c>
      <x:c r="S20" s="5" t="str">
        <x:v>087cd787cbbe1c3739a10612b9f4e0c17e6d3d1a81460342c9f9622143078132</x:v>
      </x:c>
    </x:row>
    <x:row r="21" ht="36" customHeight="1">
      <x:c r="A21" s="5" t="str">
        <x:v>BWL-0015</x:v>
      </x:c>
      <x:c r="B21" s="5" t="str">
        <x:v>WQ</x:v>
      </x:c>
      <x:c r="C21" s="5" t="str">
        <x:v>1</x:v>
      </x:c>
      <x:c r="D21" s="5" t="str">
        <x:v>Volks- und Betriebswirtschaft</x:v>
      </x:c>
      <x:c r="E21" s="5" t="str">
        <x:v>BWL</x:v>
      </x:c>
      <x:c r="F21" s="5" t="str">
        <x:v>ui-wq-0002</x:v>
      </x:c>
      <x:c r="G21" s="5" t="str">
        <x:v>Betriebliche Funktionen und deren Zusammenwirken</x:v>
      </x:c>
      <x:c r="H21" s="5" t="str">
        <x:v>dg-wq-0047</x:v>
      </x:c>
      <x:c r="I21" s="5" t="str">
        <x:v>1.2.1.3</x:v>
      </x:c>
      <x:c r="J21" s="5" t="str">
        <x:v>Absatz / Marketing</x:v>
      </x:c>
      <x:c r="K21" s="5" t="str"/>
      <x:c r="L21" s="5" t="str">
        <x:v>Marketing, Marktforschung &amp; F&amp;E</x:v>
      </x:c>
      <x:c r="M21" s="5" t="n">
        <x:v>15</x:v>
      </x:c>
      <x:c r="N21" s="5" t="n">
        <x:v>1</x:v>
      </x:c>
      <x:c r="O21" s="5" t="str"/>
      <x:c r="P21" s="5" t="str">
        <x:v>Zuordnungsvorschlag; Fachfreigabe ausstehend</x:v>
      </x:c>
      <x:c r="Q21" s="5" t="str">
        <x:v>Bestehendes Lernthema fachlich unter passendem Rahmenplan-Unterbereich behalten</x:v>
      </x:c>
      <x:c r="R21" s="5" t="str">
        <x:v>Charakterisieren Sie Forschung und Entwicklung und nennen Sie die typischen Teilbereiche bis zur Markteinführung.</x:v>
      </x:c>
      <x:c r="S21" s="5" t="str">
        <x:v>1f9a7aeef6b746758f812ff94cd1fee6b8e29637638a68b36ae1f1b54a574615</x:v>
      </x:c>
    </x:row>
    <x:row r="22" ht="36" customHeight="1">
      <x:c r="A22" s="5" t="str">
        <x:v>BWL-0016</x:v>
      </x:c>
      <x:c r="B22" s="5" t="str">
        <x:v>WQ</x:v>
      </x:c>
      <x:c r="C22" s="5" t="str">
        <x:v>1</x:v>
      </x:c>
      <x:c r="D22" s="5" t="str">
        <x:v>Volks- und Betriebswirtschaft</x:v>
      </x:c>
      <x:c r="E22" s="5" t="str">
        <x:v>BWL</x:v>
      </x:c>
      <x:c r="F22" s="5" t="str">
        <x:v>ui-wq-0002</x:v>
      </x:c>
      <x:c r="G22" s="5" t="str">
        <x:v>Betriebliche Funktionen und deren Zusammenwirken</x:v>
      </x:c>
      <x:c r="H22" s="5" t="str">
        <x:v>dg-wq-0047</x:v>
      </x:c>
      <x:c r="I22" s="5" t="str">
        <x:v>1.2.1.3</x:v>
      </x:c>
      <x:c r="J22" s="5" t="str">
        <x:v>Absatz / Marketing</x:v>
      </x:c>
      <x:c r="K22" s="5" t="str"/>
      <x:c r="L22" s="5" t="str">
        <x:v>Marketing, Marktforschung &amp; F&amp;E</x:v>
      </x:c>
      <x:c r="M22" s="5" t="n">
        <x:v>16</x:v>
      </x:c>
      <x:c r="N22" s="5" t="n">
        <x:v>2</x:v>
      </x:c>
      <x:c r="O22" s="5" t="str"/>
      <x:c r="P22" s="5" t="str">
        <x:v>Zuordnungsvorschlag; Fachfreigabe ausstehend</x:v>
      </x:c>
      <x:c r="Q22" s="5" t="str">
        <x:v>Bestehendes Lernthema fachlich unter passendem Rahmenplan-Unterbereich behalten</x:v>
      </x:c>
      <x:c r="R22" s="5" t="str">
        <x:v>Welche Vorteile und Nachteile hat eine konsequente Kundenorientierung und eignet sie sich grundsätzlich als Ausgangspunkt unternehmerischen Handelns?</x:v>
      </x:c>
      <x:c r="S22" s="5" t="str">
        <x:v>71e2d7c95c6771c27c6b50b1e9edb148c3f41b63cfcc9f21755fa93aac610114</x:v>
      </x:c>
    </x:row>
    <x:row r="23" ht="36" customHeight="1">
      <x:c r="A23" s="5" t="str">
        <x:v>BWL-0017</x:v>
      </x:c>
      <x:c r="B23" s="5" t="str">
        <x:v>WQ</x:v>
      </x:c>
      <x:c r="C23" s="5" t="str">
        <x:v>1</x:v>
      </x:c>
      <x:c r="D23" s="5" t="str">
        <x:v>Volks- und Betriebswirtschaft</x:v>
      </x:c>
      <x:c r="E23" s="5" t="str">
        <x:v>BWL</x:v>
      </x:c>
      <x:c r="F23" s="5" t="str">
        <x:v>ui-wq-0002</x:v>
      </x:c>
      <x:c r="G23" s="5" t="str">
        <x:v>Betriebliche Funktionen und deren Zusammenwirken</x:v>
      </x:c>
      <x:c r="H23" s="5" t="str">
        <x:v>dg-wq-0047</x:v>
      </x:c>
      <x:c r="I23" s="5" t="str">
        <x:v>1.2.1.3</x:v>
      </x:c>
      <x:c r="J23" s="5" t="str">
        <x:v>Absatz / Marketing</x:v>
      </x:c>
      <x:c r="K23" s="5" t="str"/>
      <x:c r="L23" s="5" t="str">
        <x:v>Marketing, Marktforschung &amp; F&amp;E</x:v>
      </x:c>
      <x:c r="M23" s="5" t="n">
        <x:v>17</x:v>
      </x:c>
      <x:c r="N23" s="5" t="n">
        <x:v>3</x:v>
      </x:c>
      <x:c r="O23" s="5" t="str"/>
      <x:c r="P23" s="5" t="str">
        <x:v>Zuordnungsvorschlag; Fachfreigabe ausstehend</x:v>
      </x:c>
      <x:c r="Q23" s="5" t="str">
        <x:v>Bestehendes Lernthema fachlich unter passendem Rahmenplan-Unterbereich behalten</x:v>
      </x:c>
      <x:c r="R23" s="5" t="str">
        <x:v>Worin unterscheiden sich ökonomische und psychografische Marketingziele? Nennen Sie jeweils typische Beispiele.</x:v>
      </x:c>
      <x:c r="S23" s="5" t="str">
        <x:v>2e9d8c3001980787afe7237a5e8d136b9b20c20eecf88a72b94e64c923980e7d</x:v>
      </x:c>
    </x:row>
    <x:row r="24" ht="36" customHeight="1">
      <x:c r="A24" s="5" t="str">
        <x:v>BWL-0018</x:v>
      </x:c>
      <x:c r="B24" s="5" t="str">
        <x:v>WQ</x:v>
      </x:c>
      <x:c r="C24" s="5" t="str">
        <x:v>1</x:v>
      </x:c>
      <x:c r="D24" s="5" t="str">
        <x:v>Volks- und Betriebswirtschaft</x:v>
      </x:c>
      <x:c r="E24" s="5" t="str">
        <x:v>BWL</x:v>
      </x:c>
      <x:c r="F24" s="5" t="str">
        <x:v>ui-wq-0002</x:v>
      </x:c>
      <x:c r="G24" s="5" t="str">
        <x:v>Betriebliche Funktionen und deren Zusammenwirken</x:v>
      </x:c>
      <x:c r="H24" s="5" t="str">
        <x:v>dg-wq-0047</x:v>
      </x:c>
      <x:c r="I24" s="5" t="str">
        <x:v>1.2.1.3</x:v>
      </x:c>
      <x:c r="J24" s="5" t="str">
        <x:v>Absatz / Marketing</x:v>
      </x:c>
      <x:c r="K24" s="5" t="str"/>
      <x:c r="L24" s="5" t="str">
        <x:v>Marketing, Marktforschung &amp; F&amp;E</x:v>
      </x:c>
      <x:c r="M24" s="5" t="n">
        <x:v>18</x:v>
      </x:c>
      <x:c r="N24" s="5" t="n">
        <x:v>4</x:v>
      </x:c>
      <x:c r="O24" s="5" t="str"/>
      <x:c r="P24" s="5" t="str">
        <x:v>Zuordnungsvorschlag; Fachfreigabe ausstehend</x:v>
      </x:c>
      <x:c r="Q24" s="5" t="str">
        <x:v>Bestehendes Lernthema fachlich unter passendem Rahmenplan-Unterbereich behalten</x:v>
      </x:c>
      <x:c r="R24" s="5" t="str">
        <x:v>Definieren Sie Marktpotenzial, Marktvolumen, Absatzpotenzial, Absatzvolumen und absoluten Marktanteil und grenzen Sie die Größen voneinander ab.</x:v>
      </x:c>
      <x:c r="S24" s="5" t="str">
        <x:v>4ec1c5fb47de05f2cbf23b02c3c9b059a23ab0d250501dc87f29c679e59d88c3</x:v>
      </x:c>
    </x:row>
    <x:row r="25" ht="36" customHeight="1">
      <x:c r="A25" s="5" t="str">
        <x:v>BWL-0019</x:v>
      </x:c>
      <x:c r="B25" s="5" t="str">
        <x:v>WQ</x:v>
      </x:c>
      <x:c r="C25" s="5" t="str">
        <x:v>1</x:v>
      </x:c>
      <x:c r="D25" s="5" t="str">
        <x:v>Volks- und Betriebswirtschaft</x:v>
      </x:c>
      <x:c r="E25" s="5" t="str">
        <x:v>BWL</x:v>
      </x:c>
      <x:c r="F25" s="5" t="str">
        <x:v>ui-wq-0002</x:v>
      </x:c>
      <x:c r="G25" s="5" t="str">
        <x:v>Betriebliche Funktionen und deren Zusammenwirken</x:v>
      </x:c>
      <x:c r="H25" s="5" t="str">
        <x:v>dg-wq-0047</x:v>
      </x:c>
      <x:c r="I25" s="5" t="str">
        <x:v>1.2.1.3</x:v>
      </x:c>
      <x:c r="J25" s="5" t="str">
        <x:v>Absatz / Marketing</x:v>
      </x:c>
      <x:c r="K25" s="5" t="str"/>
      <x:c r="L25" s="5" t="str">
        <x:v>Marketing, Marktforschung &amp; F&amp;E</x:v>
      </x:c>
      <x:c r="M25" s="5" t="n">
        <x:v>19</x:v>
      </x:c>
      <x:c r="N25" s="5" t="n">
        <x:v>5</x:v>
      </x:c>
      <x:c r="O25" s="5" t="str"/>
      <x:c r="P25" s="5" t="str">
        <x:v>Zuordnungsvorschlag; Fachfreigabe ausstehend</x:v>
      </x:c>
      <x:c r="Q25" s="5" t="str">
        <x:v>Bestehendes Lernthema fachlich unter passendem Rahmenplan-Unterbereich behalten</x:v>
      </x:c>
      <x:c r="R25" s="5" t="str">
        <x:v>Bringen Sie die zentralen Schritte des Marketingmanagements in eine sinnvolle Reihenfolge.</x:v>
      </x:c>
      <x:c r="S25" s="5" t="str">
        <x:v>1e4a3d8c88ad8b70159c02f2064cbdeed51ed591ffdeb562a87084dadb7f2123</x:v>
      </x:c>
    </x:row>
    <x:row r="26" ht="36" customHeight="1">
      <x:c r="A26" s="5" t="str">
        <x:v>BWL-0020</x:v>
      </x:c>
      <x:c r="B26" s="5" t="str">
        <x:v>WQ</x:v>
      </x:c>
      <x:c r="C26" s="5" t="str">
        <x:v>1</x:v>
      </x:c>
      <x:c r="D26" s="5" t="str">
        <x:v>Volks- und Betriebswirtschaft</x:v>
      </x:c>
      <x:c r="E26" s="5" t="str">
        <x:v>BWL</x:v>
      </x:c>
      <x:c r="F26" s="5" t="str">
        <x:v>ui-wq-0002</x:v>
      </x:c>
      <x:c r="G26" s="5" t="str">
        <x:v>Betriebliche Funktionen und deren Zusammenwirken</x:v>
      </x:c>
      <x:c r="H26" s="5" t="str">
        <x:v>dg-wq-0047</x:v>
      </x:c>
      <x:c r="I26" s="5" t="str">
        <x:v>1.2.1.3</x:v>
      </x:c>
      <x:c r="J26" s="5" t="str">
        <x:v>Absatz / Marketing</x:v>
      </x:c>
      <x:c r="K26" s="5" t="str"/>
      <x:c r="L26" s="5" t="str">
        <x:v>Marketing, Marktforschung &amp; F&amp;E</x:v>
      </x:c>
      <x:c r="M26" s="5" t="n">
        <x:v>20</x:v>
      </x:c>
      <x:c r="N26" s="5" t="n">
        <x:v>6</x:v>
      </x:c>
      <x:c r="O26" s="5" t="str"/>
      <x:c r="P26" s="5" t="str">
        <x:v>Zuordnungsvorschlag; Fachfreigabe ausstehend</x:v>
      </x:c>
      <x:c r="Q26" s="5" t="str">
        <x:v>Bestehendes Lernthema fachlich unter passendem Rahmenplan-Unterbereich behalten</x:v>
      </x:c>
      <x:c r="R26" s="5" t="str">
        <x:v>Aus Sicht von Circle Harbor: Welche Informationsbereiche sollten bei der Analyse einer Markt- und Ausgangssituation untersucht werden? Nennen Sie je Bereich konkrete Beispiele.</x:v>
      </x:c>
      <x:c r="S26" s="5" t="str">
        <x:v>aeb2f1459c6e33fb748c46b379ec0673e3fb77a6c7f589fb51ca9a4d1b79787b</x:v>
      </x:c>
    </x:row>
    <x:row r="27" ht="36" customHeight="1">
      <x:c r="A27" s="5" t="str">
        <x:v>BWL-0021</x:v>
      </x:c>
      <x:c r="B27" s="5" t="str">
        <x:v>WQ</x:v>
      </x:c>
      <x:c r="C27" s="5" t="str">
        <x:v>1</x:v>
      </x:c>
      <x:c r="D27" s="5" t="str">
        <x:v>Volks- und Betriebswirtschaft</x:v>
      </x:c>
      <x:c r="E27" s="5" t="str">
        <x:v>BWL</x:v>
      </x:c>
      <x:c r="F27" s="5" t="str">
        <x:v>ui-wq-0002</x:v>
      </x:c>
      <x:c r="G27" s="5" t="str">
        <x:v>Betriebliche Funktionen und deren Zusammenwirken</x:v>
      </x:c>
      <x:c r="H27" s="5" t="str">
        <x:v>dg-wq-0047</x:v>
      </x:c>
      <x:c r="I27" s="5" t="str">
        <x:v>1.2.1.3</x:v>
      </x:c>
      <x:c r="J27" s="5" t="str">
        <x:v>Absatz / Marketing</x:v>
      </x:c>
      <x:c r="K27" s="5" t="str"/>
      <x:c r="L27" s="5" t="str">
        <x:v>Marketing, Marktforschung &amp; F&amp;E</x:v>
      </x:c>
      <x:c r="M27" s="5" t="n">
        <x:v>21</x:v>
      </x:c>
      <x:c r="N27" s="5" t="n">
        <x:v>7</x:v>
      </x:c>
      <x:c r="O27" s="5" t="str"/>
      <x:c r="P27" s="5" t="str">
        <x:v>Zuordnungsvorschlag; Fachfreigabe ausstehend</x:v>
      </x:c>
      <x:c r="Q27" s="5" t="str">
        <x:v>Bestehendes Lernthema fachlich unter passendem Rahmenplan-Unterbereich behalten</x:v>
      </x:c>
      <x:c r="R27" s="5" t="str">
        <x:v>Bewerten Sie zentrale Aussagen zum Marketingmanagement als richtig oder falsch.</x:v>
      </x:c>
      <x:c r="S27" s="5" t="str">
        <x:v>48ea7d62717d6ed4f0ed1fd6b0f9ac0c9e1a2384ff7dec82ffbb028775faf6bf</x:v>
      </x:c>
    </x:row>
    <x:row r="28" ht="36" customHeight="1">
      <x:c r="A28" s="5" t="str">
        <x:v>BWL-0022</x:v>
      </x:c>
      <x:c r="B28" s="5" t="str">
        <x:v>WQ</x:v>
      </x:c>
      <x:c r="C28" s="5" t="str">
        <x:v>1</x:v>
      </x:c>
      <x:c r="D28" s="5" t="str">
        <x:v>Volks- und Betriebswirtschaft</x:v>
      </x:c>
      <x:c r="E28" s="5" t="str">
        <x:v>BWL</x:v>
      </x:c>
      <x:c r="F28" s="5" t="str">
        <x:v>ui-wq-0002</x:v>
      </x:c>
      <x:c r="G28" s="5" t="str">
        <x:v>Betriebliche Funktionen und deren Zusammenwirken</x:v>
      </x:c>
      <x:c r="H28" s="5" t="str">
        <x:v>dg-wq-0047</x:v>
      </x:c>
      <x:c r="I28" s="5" t="str">
        <x:v>1.2.1.3</x:v>
      </x:c>
      <x:c r="J28" s="5" t="str">
        <x:v>Absatz / Marketing</x:v>
      </x:c>
      <x:c r="K28" s="5" t="str"/>
      <x:c r="L28" s="5" t="str">
        <x:v>Marketing, Marktforschung &amp; F&amp;E</x:v>
      </x:c>
      <x:c r="M28" s="5" t="n">
        <x:v>22</x:v>
      </x:c>
      <x:c r="N28" s="5" t="n">
        <x:v>8</x:v>
      </x:c>
      <x:c r="O28" s="5" t="str"/>
      <x:c r="P28" s="5" t="str">
        <x:v>Zuordnungsvorschlag; Fachfreigabe ausstehend</x:v>
      </x:c>
      <x:c r="Q28" s="5" t="str">
        <x:v>Bestehendes Lernthema fachlich unter passendem Rahmenplan-Unterbereich behalten</x:v>
      </x:c>
      <x:c r="R28" s="5" t="str">
        <x:v>Welche typischen Entscheidungsbereiche gehören zu Produkt- und Leistungspolitik, Kontrahierungspolitik, Distributionspolitik und Kommunikationspolitik?</x:v>
      </x:c>
      <x:c r="S28" s="5" t="str">
        <x:v>68f13aa83639a8fa1d23965c9ea5b1d1c5d9fc7f7a9fe924d80cb894d39c479c</x:v>
      </x:c>
    </x:row>
    <x:row r="29" ht="36" customHeight="1">
      <x:c r="A29" s="5" t="str">
        <x:v>BWL-0023</x:v>
      </x:c>
      <x:c r="B29" s="5" t="str">
        <x:v>WQ</x:v>
      </x:c>
      <x:c r="C29" s="5" t="str">
        <x:v>1</x:v>
      </x:c>
      <x:c r="D29" s="5" t="str">
        <x:v>Volks- und Betriebswirtschaft</x:v>
      </x:c>
      <x:c r="E29" s="5" t="str">
        <x:v>BWL</x:v>
      </x:c>
      <x:c r="F29" s="5" t="str">
        <x:v>ui-wq-0002</x:v>
      </x:c>
      <x:c r="G29" s="5" t="str">
        <x:v>Betriebliche Funktionen und deren Zusammenwirken</x:v>
      </x:c>
      <x:c r="H29" s="5" t="str">
        <x:v>dg-wq-0047</x:v>
      </x:c>
      <x:c r="I29" s="5" t="str">
        <x:v>1.2.1.3</x:v>
      </x:c>
      <x:c r="J29" s="5" t="str">
        <x:v>Absatz / Marketing</x:v>
      </x:c>
      <x:c r="K29" s="5" t="str"/>
      <x:c r="L29" s="5" t="str">
        <x:v>Marketing, Marktforschung &amp; F&amp;E</x:v>
      </x:c>
      <x:c r="M29" s="5" t="n">
        <x:v>23</x:v>
      </x:c>
      <x:c r="N29" s="5" t="n">
        <x:v>9</x:v>
      </x:c>
      <x:c r="O29" s="5" t="str"/>
      <x:c r="P29" s="5" t="str">
        <x:v>Zuordnungsvorschlag; Fachfreigabe ausstehend</x:v>
      </x:c>
      <x:c r="Q29" s="5" t="str">
        <x:v>Bestehendes Lernthema fachlich unter passendem Rahmenplan-Unterbereich behalten</x:v>
      </x:c>
      <x:c r="R29" s="5" t="str">
        <x:v>Fallbezug: Die folgenden betrieblichen Angaben und Situationen beziehen sich auf die Circle Harbor GmbH.
Ein neues Produkt verursacht 150.000 € Fixkosten, 14 € variable Kosten je Stück und soll für 30 € verkauft werden. Bei 15.000 erwarteten Stück: Ermitteln Sie die Gewinnschwelle und beurteilen Sie das Vorhaben aus Kostensicht.</x:v>
      </x:c>
      <x:c r="S29" s="5" t="str">
        <x:v>97e5ccef8f2ce18859d1992b74a3b674b856d06eee4ffd114421979bc8e86cd3</x:v>
      </x:c>
    </x:row>
    <x:row r="30" ht="36" customHeight="1">
      <x:c r="A30" s="5" t="str">
        <x:v>BWL-0024</x:v>
      </x:c>
      <x:c r="B30" s="5" t="str">
        <x:v>WQ</x:v>
      </x:c>
      <x:c r="C30" s="5" t="str">
        <x:v>1</x:v>
      </x:c>
      <x:c r="D30" s="5" t="str">
        <x:v>Volks- und Betriebswirtschaft</x:v>
      </x:c>
      <x:c r="E30" s="5" t="str">
        <x:v>BWL</x:v>
      </x:c>
      <x:c r="F30" s="5" t="str">
        <x:v>ui-wq-0002</x:v>
      </x:c>
      <x:c r="G30" s="5" t="str">
        <x:v>Betriebliche Funktionen und deren Zusammenwirken</x:v>
      </x:c>
      <x:c r="H30" s="5" t="str">
        <x:v>dg-wq-0047</x:v>
      </x:c>
      <x:c r="I30" s="5" t="str">
        <x:v>1.2.1.3</x:v>
      </x:c>
      <x:c r="J30" s="5" t="str">
        <x:v>Absatz / Marketing</x:v>
      </x:c>
      <x:c r="K30" s="5" t="str"/>
      <x:c r="L30" s="5" t="str">
        <x:v>Marketing, Marktforschung &amp; F&amp;E</x:v>
      </x:c>
      <x:c r="M30" s="5" t="n">
        <x:v>24</x:v>
      </x:c>
      <x:c r="N30" s="5" t="n">
        <x:v>10</x:v>
      </x:c>
      <x:c r="O30" s="5" t="str"/>
      <x:c r="P30" s="5" t="str">
        <x:v>Zuordnungsvorschlag; Fachfreigabe ausstehend</x:v>
      </x:c>
      <x:c r="Q30" s="5" t="str">
        <x:v>Bestehendes Lernthema fachlich unter passendem Rahmenplan-Unterbereich behalten</x:v>
      </x:c>
      <x:c r="R30" s="5" t="str">
        <x:v>Was bedeuten Programm- beziehungsweise Sortimentsbreite und -tiefe und welche wirtschaftlichen Vor- und Nachteile haben breite oder tiefe Angebote?</x:v>
      </x:c>
      <x:c r="S30" s="5" t="str">
        <x:v>db02f0067bb5aa8d8bd813f16904558151ec372804fd22c25b1e170057388133</x:v>
      </x:c>
    </x:row>
    <x:row r="31" ht="36" customHeight="1">
      <x:c r="A31" s="5" t="str">
        <x:v>BWL-0025</x:v>
      </x:c>
      <x:c r="B31" s="5" t="str">
        <x:v>WQ</x:v>
      </x:c>
      <x:c r="C31" s="5" t="str">
        <x:v>1</x:v>
      </x:c>
      <x:c r="D31" s="5" t="str">
        <x:v>Volks- und Betriebswirtschaft</x:v>
      </x:c>
      <x:c r="E31" s="5" t="str">
        <x:v>BWL</x:v>
      </x:c>
      <x:c r="F31" s="5" t="str">
        <x:v>ui-wq-0002</x:v>
      </x:c>
      <x:c r="G31" s="5" t="str">
        <x:v>Betriebliche Funktionen und deren Zusammenwirken</x:v>
      </x:c>
      <x:c r="H31" s="5" t="str">
        <x:v>dg-wq-0047</x:v>
      </x:c>
      <x:c r="I31" s="5" t="str">
        <x:v>1.2.1.3</x:v>
      </x:c>
      <x:c r="J31" s="5" t="str">
        <x:v>Absatz / Marketing</x:v>
      </x:c>
      <x:c r="K31" s="5" t="str"/>
      <x:c r="L31" s="5" t="str">
        <x:v>Marketing, Marktforschung &amp; F&amp;E</x:v>
      </x:c>
      <x:c r="M31" s="5" t="n">
        <x:v>25</x:v>
      </x:c>
      <x:c r="N31" s="5" t="n">
        <x:v>11</x:v>
      </x:c>
      <x:c r="O31" s="5" t="str"/>
      <x:c r="P31" s="5" t="str">
        <x:v>Zuordnungsvorschlag; Fachfreigabe ausstehend</x:v>
      </x:c>
      <x:c r="Q31" s="5" t="str">
        <x:v>Bestehendes Lernthema fachlich unter passendem Rahmenplan-Unterbereich behalten</x:v>
      </x:c>
      <x:c r="R31" s="5" t="str">
        <x:v>Worin unterscheiden sich Werbung und Public Relations?</x:v>
      </x:c>
      <x:c r="S31" s="5" t="str">
        <x:v>aa849bb8c6b0703b84d4611c3f7ef2b6a50195af25804f41be761724c3ecb779</x:v>
      </x:c>
    </x:row>
    <x:row r="32" ht="36" customHeight="1">
      <x:c r="A32" s="5" t="str">
        <x:v>BWL-0026</x:v>
      </x:c>
      <x:c r="B32" s="5" t="str">
        <x:v>WQ</x:v>
      </x:c>
      <x:c r="C32" s="5" t="str">
        <x:v>1</x:v>
      </x:c>
      <x:c r="D32" s="5" t="str">
        <x:v>Volks- und Betriebswirtschaft</x:v>
      </x:c>
      <x:c r="E32" s="5" t="str">
        <x:v>BWL</x:v>
      </x:c>
      <x:c r="F32" s="5" t="str">
        <x:v>ui-wq-0002</x:v>
      </x:c>
      <x:c r="G32" s="5" t="str">
        <x:v>Betriebliche Funktionen und deren Zusammenwirken</x:v>
      </x:c>
      <x:c r="H32" s="5" t="str">
        <x:v>dg-wq-0047</x:v>
      </x:c>
      <x:c r="I32" s="5" t="str">
        <x:v>1.2.1.3</x:v>
      </x:c>
      <x:c r="J32" s="5" t="str">
        <x:v>Absatz / Marketing</x:v>
      </x:c>
      <x:c r="K32" s="5" t="str"/>
      <x:c r="L32" s="5" t="str">
        <x:v>Marketing, Marktforschung &amp; F&amp;E</x:v>
      </x:c>
      <x:c r="M32" s="5" t="n">
        <x:v>26</x:v>
      </x:c>
      <x:c r="N32" s="5" t="n">
        <x:v>12</x:v>
      </x:c>
      <x:c r="O32" s="5" t="str"/>
      <x:c r="P32" s="5" t="str">
        <x:v>Zuordnungsvorschlag; Fachfreigabe ausstehend</x:v>
      </x:c>
      <x:c r="Q32" s="5" t="str">
        <x:v>Bestehendes Lernthema fachlich unter passendem Rahmenplan-Unterbereich behalten</x:v>
      </x:c>
      <x:c r="R32" s="5" t="str">
        <x:v>Aus Sicht von Circle Harbor: An welchen drei Größen sollte sich ein Unternehmen bei der Preisbestimmung grundsätzlich orientieren?</x:v>
      </x:c>
      <x:c r="S32" s="5" t="str">
        <x:v>0c9fbb508e167794431b2e4496dc5feeee8b80e6b4ef1e03d34babe7556a1cb7</x:v>
      </x:c>
    </x:row>
    <x:row r="33" ht="36" customHeight="1">
      <x:c r="A33" s="5" t="str">
        <x:v>BWL-0027</x:v>
      </x:c>
      <x:c r="B33" s="5" t="str">
        <x:v>WQ</x:v>
      </x:c>
      <x:c r="C33" s="5" t="str">
        <x:v>1</x:v>
      </x:c>
      <x:c r="D33" s="5" t="str">
        <x:v>Volks- und Betriebswirtschaft</x:v>
      </x:c>
      <x:c r="E33" s="5" t="str">
        <x:v>BWL</x:v>
      </x:c>
      <x:c r="F33" s="5" t="str">
        <x:v>ui-wq-0002</x:v>
      </x:c>
      <x:c r="G33" s="5" t="str">
        <x:v>Betriebliche Funktionen und deren Zusammenwirken</x:v>
      </x:c>
      <x:c r="H33" s="5" t="str">
        <x:v>dg-wq-0047</x:v>
      </x:c>
      <x:c r="I33" s="5" t="str">
        <x:v>1.2.1.3</x:v>
      </x:c>
      <x:c r="J33" s="5" t="str">
        <x:v>Absatz / Marketing</x:v>
      </x:c>
      <x:c r="K33" s="5" t="str"/>
      <x:c r="L33" s="5" t="str">
        <x:v>Marketing, Marktforschung &amp; F&amp;E</x:v>
      </x:c>
      <x:c r="M33" s="5" t="n">
        <x:v>27</x:v>
      </x:c>
      <x:c r="N33" s="5" t="n">
        <x:v>13</x:v>
      </x:c>
      <x:c r="O33" s="5" t="str"/>
      <x:c r="P33" s="5" t="str">
        <x:v>Zuordnungsvorschlag; Fachfreigabe ausstehend</x:v>
      </x:c>
      <x:c r="Q33" s="5" t="str">
        <x:v>Bestehendes Lernthema fachlich unter passendem Rahmenplan-Unterbereich behalten</x:v>
      </x:c>
      <x:c r="R33" s="5" t="str">
        <x:v>Korrigieren Sie typische Fehlannahmen zur Distributionspolitik und zu direkten bzw. indirekten Vertriebswegen.</x:v>
      </x:c>
      <x:c r="S33" s="5" t="str">
        <x:v>4acd8a8932e51ca167bdc6eda857b48d81249d8183f483772cd18aa936886caa</x:v>
      </x:c>
    </x:row>
    <x:row r="34" ht="36" customHeight="1">
      <x:c r="A34" s="5" t="str">
        <x:v>BWL-0028</x:v>
      </x:c>
      <x:c r="B34" s="5" t="str">
        <x:v>WQ</x:v>
      </x:c>
      <x:c r="C34" s="5" t="str">
        <x:v>1</x:v>
      </x:c>
      <x:c r="D34" s="5" t="str">
        <x:v>Volks- und Betriebswirtschaft</x:v>
      </x:c>
      <x:c r="E34" s="5" t="str">
        <x:v>BWL</x:v>
      </x:c>
      <x:c r="F34" s="5" t="str">
        <x:v>ui-wq-0002</x:v>
      </x:c>
      <x:c r="G34" s="5" t="str">
        <x:v>Betriebliche Funktionen und deren Zusammenwirken</x:v>
      </x:c>
      <x:c r="H34" s="5" t="str">
        <x:v>dg-wq-0047</x:v>
      </x:c>
      <x:c r="I34" s="5" t="str">
        <x:v>1.2.1.3</x:v>
      </x:c>
      <x:c r="J34" s="5" t="str">
        <x:v>Absatz / Marketing</x:v>
      </x:c>
      <x:c r="K34" s="5" t="str"/>
      <x:c r="L34" s="5" t="str">
        <x:v>Marketing, Marktforschung &amp; F&amp;E</x:v>
      </x:c>
      <x:c r="M34" s="5" t="n">
        <x:v>28</x:v>
      </x:c>
      <x:c r="N34" s="5" t="n">
        <x:v>14</x:v>
      </x:c>
      <x:c r="O34" s="5" t="str"/>
      <x:c r="P34" s="5" t="str">
        <x:v>Zuordnungsvorschlag; Fachfreigabe ausstehend</x:v>
      </x:c>
      <x:c r="Q34" s="5" t="str">
        <x:v>Bestehendes Lernthema fachlich unter passendem Rahmenplan-Unterbereich behalten</x:v>
      </x:c>
      <x:c r="R34" s="5" t="str">
        <x:v>Ordnen Sie typische Serviceleistungen den Phasen vor dem Kauf, während des Kaufs und nach dem Kauf zu.</x:v>
      </x:c>
      <x:c r="S34" s="5" t="str">
        <x:v>31fcde584ada5a654237cb48519b8a321d442202d95c816559f9fb9412fe287e</x:v>
      </x:c>
    </x:row>
    <x:row r="35" ht="36" customHeight="1">
      <x:c r="A35" s="5" t="str">
        <x:v>BWL-0029</x:v>
      </x:c>
      <x:c r="B35" s="5" t="str">
        <x:v>WQ</x:v>
      </x:c>
      <x:c r="C35" s="5" t="str">
        <x:v>1</x:v>
      </x:c>
      <x:c r="D35" s="5" t="str">
        <x:v>Volks- und Betriebswirtschaft</x:v>
      </x:c>
      <x:c r="E35" s="5" t="str">
        <x:v>BWL</x:v>
      </x:c>
      <x:c r="F35" s="5" t="str">
        <x:v>ui-wq-0002</x:v>
      </x:c>
      <x:c r="G35" s="5" t="str">
        <x:v>Betriebliche Funktionen und deren Zusammenwirken</x:v>
      </x:c>
      <x:c r="H35" s="5" t="str">
        <x:v>dg-wq-0044</x:v>
      </x:c>
      <x:c r="I35" s="5" t="str">
        <x:v>1.2.2</x:v>
      </x:c>
      <x:c r="J35" s="5" t="str">
        <x:v>Zusammenwirken der betrieblichen Funktionen</x:v>
      </x:c>
      <x:c r="K35" s="5" t="str"/>
      <x:c r="L35" s="5" t="str">
        <x:v>Zusammenwirken, Führung, Ziele &amp; Nachhaltigkeit</x:v>
      </x:c>
      <x:c r="M35" s="5" t="n">
        <x:v>29</x:v>
      </x:c>
      <x:c r="N35" s="5" t="n">
        <x:v>2</x:v>
      </x:c>
      <x:c r="O35" s="5" t="str"/>
      <x:c r="P35" s="5" t="str">
        <x:v>Zuordnungsvorschlag; Fachfreigabe ausstehend</x:v>
      </x:c>
      <x:c r="Q35" s="5" t="str">
        <x:v>Bestehendes Lernthema fachlich unter passendem Rahmenplan-Unterbereich behalten</x:v>
      </x:c>
      <x:c r="R35" s="5" t="str">
        <x:v>Nennen Sie Möglichkeiten für umweltgerechteres Verhalten in Produktpolitik, Rechnungswesen, Personal und Logistik.</x:v>
      </x:c>
      <x:c r="S35" s="5" t="str">
        <x:v>bf8c884f8969342c277a4b90accd7a177a8ee884798960d9c4084b7beb0beda6</x:v>
      </x:c>
    </x:row>
    <x:row r="36" ht="36" customHeight="1">
      <x:c r="A36" s="5" t="str">
        <x:v>BWL-0030</x:v>
      </x:c>
      <x:c r="B36" s="5" t="str">
        <x:v>WQ</x:v>
      </x:c>
      <x:c r="C36" s="5" t="str">
        <x:v>1</x:v>
      </x:c>
      <x:c r="D36" s="5" t="str">
        <x:v>Volks- und Betriebswirtschaft</x:v>
      </x:c>
      <x:c r="E36" s="5" t="str">
        <x:v>BWL</x:v>
      </x:c>
      <x:c r="F36" s="5" t="str">
        <x:v>ui-wq-0002</x:v>
      </x:c>
      <x:c r="G36" s="5" t="str">
        <x:v>Betriebliche Funktionen und deren Zusammenwirken</x:v>
      </x:c>
      <x:c r="H36" s="5" t="str">
        <x:v>dg-wq-0047</x:v>
      </x:c>
      <x:c r="I36" s="5" t="str">
        <x:v>1.2.1.3</x:v>
      </x:c>
      <x:c r="J36" s="5" t="str">
        <x:v>Absatz / Marketing</x:v>
      </x:c>
      <x:c r="K36" s="5" t="str"/>
      <x:c r="L36" s="5" t="str">
        <x:v>Marketing, Marktforschung &amp; F&amp;E</x:v>
      </x:c>
      <x:c r="M36" s="5" t="n">
        <x:v>30</x:v>
      </x:c>
      <x:c r="N36" s="5" t="n">
        <x:v>15</x:v>
      </x:c>
      <x:c r="O36" s="5" t="str"/>
      <x:c r="P36" s="5" t="str">
        <x:v>Zuordnungsvorschlag; Fachfreigabe ausstehend</x:v>
      </x:c>
      <x:c r="Q36" s="5" t="str">
        <x:v>Bestehendes Lernthema fachlich unter passendem Rahmenplan-Unterbereich behalten</x:v>
      </x:c>
      <x:c r="R36" s="5" t="str">
        <x:v>Unterscheiden Sie Konsumgüter-, Investitionsgüter-, Dienstleistungs-, Handels- und Non-Profit-Marketing und ordnen Sie typische Beispiele zu.</x:v>
      </x:c>
      <x:c r="S36" s="5" t="str">
        <x:v>d34a9b0e3d7085df4a0ee762a7a2972430bfcad8a2f4c83f6a50de3ac304d57b</x:v>
      </x:c>
    </x:row>
    <x:row r="37" ht="36" customHeight="1">
      <x:c r="A37" s="5" t="str">
        <x:v>BWL-0031</x:v>
      </x:c>
      <x:c r="B37" s="5" t="str">
        <x:v>WQ</x:v>
      </x:c>
      <x:c r="C37" s="5" t="str">
        <x:v>1</x:v>
      </x:c>
      <x:c r="D37" s="5" t="str">
        <x:v>Volks- und Betriebswirtschaft</x:v>
      </x:c>
      <x:c r="E37" s="5" t="str">
        <x:v>BWL</x:v>
      </x:c>
      <x:c r="F37" s="5" t="str">
        <x:v>ui-wq-0002</x:v>
      </x:c>
      <x:c r="G37" s="5" t="str">
        <x:v>Betriebliche Funktionen und deren Zusammenwirken</x:v>
      </x:c>
      <x:c r="H37" s="5" t="str">
        <x:v>dg-wq-0048</x:v>
      </x:c>
      <x:c r="I37" s="5" t="str">
        <x:v>1.2.1.4</x:v>
      </x:c>
      <x:c r="J37" s="5" t="str">
        <x:v>Rechnungswesen</x:v>
      </x:c>
      <x:c r="K37" s="5" t="str"/>
      <x:c r="L37" s="5" t="str">
        <x:v>Rechnungswesen &amp; Kostenrechnung</x:v>
      </x:c>
      <x:c r="M37" s="5" t="n">
        <x:v>31</x:v>
      </x:c>
      <x:c r="N37" s="5" t="n">
        <x:v>1</x:v>
      </x:c>
      <x:c r="O37" s="5" t="str"/>
      <x:c r="P37" s="5" t="str">
        <x:v>Zuordnungsvorschlag; Fachfreigabe ausstehend</x:v>
      </x:c>
      <x:c r="Q37" s="5" t="str">
        <x:v>Bestehendes Lernthema fachlich unter passendem Rahmenplan-Unterbereich behalten</x:v>
      </x:c>
      <x:c r="R37" s="5" t="str">
        <x:v>Stellen Sie die wichtigsten Unterschiede zwischen internem und externem Rechnungswesen gegenüber.</x:v>
      </x:c>
      <x:c r="S37" s="5" t="str">
        <x:v>f35d1835924d7a83ca1dae36db9926c0b4fc7de6ace76adfd5f1520fcb9bd507</x:v>
      </x:c>
    </x:row>
    <x:row r="38" ht="36" customHeight="1">
      <x:c r="A38" s="5" t="str">
        <x:v>BWL-0032</x:v>
      </x:c>
      <x:c r="B38" s="5" t="str">
        <x:v>WQ</x:v>
      </x:c>
      <x:c r="C38" s="5" t="str">
        <x:v>1</x:v>
      </x:c>
      <x:c r="D38" s="5" t="str">
        <x:v>Volks- und Betriebswirtschaft</x:v>
      </x:c>
      <x:c r="E38" s="5" t="str">
        <x:v>BWL</x:v>
      </x:c>
      <x:c r="F38" s="5" t="str">
        <x:v>ui-wq-0002</x:v>
      </x:c>
      <x:c r="G38" s="5" t="str">
        <x:v>Betriebliche Funktionen und deren Zusammenwirken</x:v>
      </x:c>
      <x:c r="H38" s="5" t="str">
        <x:v>dg-wq-0048</x:v>
      </x:c>
      <x:c r="I38" s="5" t="str">
        <x:v>1.2.1.4</x:v>
      </x:c>
      <x:c r="J38" s="5" t="str">
        <x:v>Rechnungswesen</x:v>
      </x:c>
      <x:c r="K38" s="5" t="str"/>
      <x:c r="L38" s="5" t="str">
        <x:v>Rechnungswesen &amp; Kostenrechnung</x:v>
      </x:c>
      <x:c r="M38" s="5" t="n">
        <x:v>32</x:v>
      </x:c>
      <x:c r="N38" s="5" t="n">
        <x:v>2</x:v>
      </x:c>
      <x:c r="O38" s="5" t="str"/>
      <x:c r="P38" s="5" t="str">
        <x:v>Zuordnungsvorschlag; Fachfreigabe ausstehend</x:v>
      </x:c>
      <x:c r="Q38" s="5" t="str">
        <x:v>Bestehendes Lernthema fachlich unter passendem Rahmenplan-Unterbereich behalten</x:v>
      </x:c>
      <x:c r="R38" s="5" t="str">
        <x:v>Welche internen und externen Adressaten nutzen Informationen des Rechnungswesens und zu welchen Zwecken?</x:v>
      </x:c>
      <x:c r="S38" s="5" t="str">
        <x:v>7553258a56b46b6acbb4c0c2f029597c8398e2fa9d4bbddb16350192bd775ed1</x:v>
      </x:c>
    </x:row>
    <x:row r="39" ht="36" customHeight="1">
      <x:c r="A39" s="5" t="str">
        <x:v>BWL-0033</x:v>
      </x:c>
      <x:c r="B39" s="5" t="str">
        <x:v>WQ</x:v>
      </x:c>
      <x:c r="C39" s="5" t="str">
        <x:v>1</x:v>
      </x:c>
      <x:c r="D39" s="5" t="str">
        <x:v>Volks- und Betriebswirtschaft</x:v>
      </x:c>
      <x:c r="E39" s="5" t="str">
        <x:v>BWL</x:v>
      </x:c>
      <x:c r="F39" s="5" t="str">
        <x:v>ui-wq-0002</x:v>
      </x:c>
      <x:c r="G39" s="5" t="str">
        <x:v>Betriebliche Funktionen und deren Zusammenwirken</x:v>
      </x:c>
      <x:c r="H39" s="5" t="str">
        <x:v>dg-wq-0048</x:v>
      </x:c>
      <x:c r="I39" s="5" t="str">
        <x:v>1.2.1.4</x:v>
      </x:c>
      <x:c r="J39" s="5" t="str">
        <x:v>Rechnungswesen</x:v>
      </x:c>
      <x:c r="K39" s="5" t="str"/>
      <x:c r="L39" s="5" t="str">
        <x:v>Rechnungswesen &amp; Kostenrechnung</x:v>
      </x:c>
      <x:c r="M39" s="5" t="n">
        <x:v>33</x:v>
      </x:c>
      <x:c r="N39" s="5" t="n">
        <x:v>3</x:v>
      </x:c>
      <x:c r="O39" s="5" t="str"/>
      <x:c r="P39" s="5" t="str">
        <x:v>Zuordnungsvorschlag; Fachfreigabe ausstehend</x:v>
      </x:c>
      <x:c r="Q39" s="5" t="str">
        <x:v>Bestehendes Lernthema fachlich unter passendem Rahmenplan-Unterbereich behalten</x:v>
      </x:c>
      <x:c r="R39" s="5" t="str">
        <x:v>Ordnen Sie Bilanzgewinn, Finanzanlagen, Sachanlagen, Stammkapital, Umlaufvermögen, Verbindlichkeiten und Vorräte der Aktiv- oder Passivseite zu.</x:v>
      </x:c>
      <x:c r="S39" s="5" t="str">
        <x:v>257c460872f0bcf0baeaaba8aee3fb35b8bba365a48c53ef817cc15b49a72b96</x:v>
      </x:c>
    </x:row>
    <x:row r="40" ht="36" customHeight="1">
      <x:c r="A40" s="5" t="str">
        <x:v>BWL-0034</x:v>
      </x:c>
      <x:c r="B40" s="5" t="str">
        <x:v>WQ</x:v>
      </x:c>
      <x:c r="C40" s="5" t="str">
        <x:v>1</x:v>
      </x:c>
      <x:c r="D40" s="5" t="str">
        <x:v>Volks- und Betriebswirtschaft</x:v>
      </x:c>
      <x:c r="E40" s="5" t="str">
        <x:v>BWL</x:v>
      </x:c>
      <x:c r="F40" s="5" t="str">
        <x:v>ui-wq-0002</x:v>
      </x:c>
      <x:c r="G40" s="5" t="str">
        <x:v>Betriebliche Funktionen und deren Zusammenwirken</x:v>
      </x:c>
      <x:c r="H40" s="5" t="str">
        <x:v>dg-wq-0048</x:v>
      </x:c>
      <x:c r="I40" s="5" t="str">
        <x:v>1.2.1.4</x:v>
      </x:c>
      <x:c r="J40" s="5" t="str">
        <x:v>Rechnungswesen</x:v>
      </x:c>
      <x:c r="K40" s="5" t="str"/>
      <x:c r="L40" s="5" t="str">
        <x:v>Rechnungswesen &amp; Kostenrechnung</x:v>
      </x:c>
      <x:c r="M40" s="5" t="n">
        <x:v>34</x:v>
      </x:c>
      <x:c r="N40" s="5" t="n">
        <x:v>4</x:v>
      </x:c>
      <x:c r="O40" s="5" t="str"/>
      <x:c r="P40" s="5" t="str">
        <x:v>Zuordnungsvorschlag; Fachfreigabe ausstehend</x:v>
      </x:c>
      <x:c r="Q40" s="5" t="str">
        <x:v>Bestehendes Lernthema fachlich unter passendem Rahmenplan-Unterbereich behalten</x:v>
      </x:c>
      <x:c r="R40" s="5" t="str">
        <x:v>Bewerten Sie grundlegende Aussagen zur Bilanz als richtig oder falsch.</x:v>
      </x:c>
      <x:c r="S40" s="5" t="str">
        <x:v>2202e249adac7b77cba80396a9aef5302a0502bffdc74536e2d791aa73603a39</x:v>
      </x:c>
    </x:row>
    <x:row r="41" ht="36" customHeight="1">
      <x:c r="A41" s="5" t="str">
        <x:v>BWL-0035</x:v>
      </x:c>
      <x:c r="B41" s="5" t="str">
        <x:v>WQ</x:v>
      </x:c>
      <x:c r="C41" s="5" t="str">
        <x:v>1</x:v>
      </x:c>
      <x:c r="D41" s="5" t="str">
        <x:v>Volks- und Betriebswirtschaft</x:v>
      </x:c>
      <x:c r="E41" s="5" t="str">
        <x:v>BWL</x:v>
      </x:c>
      <x:c r="F41" s="5" t="str">
        <x:v>ui-wq-0002</x:v>
      </x:c>
      <x:c r="G41" s="5" t="str">
        <x:v>Betriebliche Funktionen und deren Zusammenwirken</x:v>
      </x:c>
      <x:c r="H41" s="5" t="str">
        <x:v>dg-wq-0048</x:v>
      </x:c>
      <x:c r="I41" s="5" t="str">
        <x:v>1.2.1.4</x:v>
      </x:c>
      <x:c r="J41" s="5" t="str">
        <x:v>Rechnungswesen</x:v>
      </x:c>
      <x:c r="K41" s="5" t="str"/>
      <x:c r="L41" s="5" t="str">
        <x:v>Rechnungswesen &amp; Kostenrechnung</x:v>
      </x:c>
      <x:c r="M41" s="5" t="n">
        <x:v>35</x:v>
      </x:c>
      <x:c r="N41" s="5" t="n">
        <x:v>5</x:v>
      </x:c>
      <x:c r="O41" s="5" t="str"/>
      <x:c r="P41" s="5" t="str">
        <x:v>Zuordnungsvorschlag; Fachfreigabe ausstehend</x:v>
      </x:c>
      <x:c r="Q41" s="5" t="str">
        <x:v>Bestehendes Lernthema fachlich unter passendem Rahmenplan-Unterbereich behalten</x:v>
      </x:c>
      <x:c r="R41" s="5" t="str">
        <x:v>Aus Sicht von Circle Harbor: Warum werden kalkulatorische Miete und kalkulatorischer Unternehmerlohn in der Kostenrechnung berücksichtigt, obwohl ihnen nicht immer ein entsprechender Aufwand gegenübersteht?</x:v>
      </x:c>
      <x:c r="S41" s="5" t="str">
        <x:v>0d84fcbefd1be919d229312531ca4e936b7d9dbb2504a2a4b5d39178dd6e5cc4</x:v>
      </x:c>
    </x:row>
    <x:row r="42" ht="36" customHeight="1">
      <x:c r="A42" s="5" t="str">
        <x:v>BWL-0036</x:v>
      </x:c>
      <x:c r="B42" s="5" t="str">
        <x:v>WQ</x:v>
      </x:c>
      <x:c r="C42" s="5" t="str">
        <x:v>1</x:v>
      </x:c>
      <x:c r="D42" s="5" t="str">
        <x:v>Volks- und Betriebswirtschaft</x:v>
      </x:c>
      <x:c r="E42" s="5" t="str">
        <x:v>BWL</x:v>
      </x:c>
      <x:c r="F42" s="5" t="str">
        <x:v>ui-wq-0002</x:v>
      </x:c>
      <x:c r="G42" s="5" t="str">
        <x:v>Betriebliche Funktionen und deren Zusammenwirken</x:v>
      </x:c>
      <x:c r="H42" s="5" t="str">
        <x:v>dg-wq-0048</x:v>
      </x:c>
      <x:c r="I42" s="5" t="str">
        <x:v>1.2.1.4</x:v>
      </x:c>
      <x:c r="J42" s="5" t="str">
        <x:v>Rechnungswesen</x:v>
      </x:c>
      <x:c r="K42" s="5" t="str"/>
      <x:c r="L42" s="5" t="str">
        <x:v>Rechnungswesen &amp; Kostenrechnung</x:v>
      </x:c>
      <x:c r="M42" s="5" t="n">
        <x:v>36</x:v>
      </x:c>
      <x:c r="N42" s="5" t="n">
        <x:v>6</x:v>
      </x:c>
      <x:c r="O42" s="5" t="str"/>
      <x:c r="P42" s="5" t="str">
        <x:v>Zuordnungsvorschlag; Fachfreigabe ausstehend</x:v>
      </x:c>
      <x:c r="Q42" s="5" t="str">
        <x:v>Bestehendes Lernthema fachlich unter passendem Rahmenplan-Unterbereich behalten</x:v>
      </x:c>
      <x:c r="R42" s="5" t="str">
        <x:v>Welche Aufgaben haben Kostenarten-, Kostenstellen- und Kostenträgerrechnung und wie werden Einzel- und Gemeinkosten zugerechnet?</x:v>
      </x:c>
      <x:c r="S42" s="5" t="str">
        <x:v>75b6d6aced8f130fab3d269c40d4473ed82833a49001ce4c0844b5ec586efbe7</x:v>
      </x:c>
    </x:row>
    <x:row r="43" ht="36" customHeight="1">
      <x:c r="A43" s="5" t="str">
        <x:v>BWL-0037</x:v>
      </x:c>
      <x:c r="B43" s="5" t="str">
        <x:v>WQ</x:v>
      </x:c>
      <x:c r="C43" s="5" t="str">
        <x:v>1</x:v>
      </x:c>
      <x:c r="D43" s="5" t="str">
        <x:v>Volks- und Betriebswirtschaft</x:v>
      </x:c>
      <x:c r="E43" s="5" t="str">
        <x:v>BWL</x:v>
      </x:c>
      <x:c r="F43" s="5" t="str">
        <x:v>ui-wq-0002</x:v>
      </x:c>
      <x:c r="G43" s="5" t="str">
        <x:v>Betriebliche Funktionen und deren Zusammenwirken</x:v>
      </x:c>
      <x:c r="H43" s="5" t="str">
        <x:v>dg-wq-0048</x:v>
      </x:c>
      <x:c r="I43" s="5" t="str">
        <x:v>1.2.1.4</x:v>
      </x:c>
      <x:c r="J43" s="5" t="str">
        <x:v>Rechnungswesen</x:v>
      </x:c>
      <x:c r="K43" s="5" t="str"/>
      <x:c r="L43" s="5" t="str">
        <x:v>Rechnungswesen &amp; Kostenrechnung</x:v>
      </x:c>
      <x:c r="M43" s="5" t="n">
        <x:v>37</x:v>
      </x:c>
      <x:c r="N43" s="5" t="n">
        <x:v>7</x:v>
      </x:c>
      <x:c r="O43" s="5" t="str"/>
      <x:c r="P43" s="5" t="str">
        <x:v>Zuordnungsvorschlag; Fachfreigabe ausstehend</x:v>
      </x:c>
      <x:c r="Q43" s="5" t="str">
        <x:v>Bestehendes Lernthema fachlich unter passendem Rahmenplan-Unterbereich behalten</x:v>
      </x:c>
      <x:c r="R43" s="5" t="str">
        <x:v>Nennen und definieren Sie drei wichtige Unternehmenskennzahlen aus dem Rechnungswesen und geben Sie ihre Datenquelle an.</x:v>
      </x:c>
      <x:c r="S43" s="5" t="str">
        <x:v>b30a5e0d44e9b74a8ff456963d1e2fe681816d59152f5aabaf46e96982f45e00</x:v>
      </x:c>
    </x:row>
    <x:row r="44" ht="36" customHeight="1">
      <x:c r="A44" s="5" t="str">
        <x:v>BWL-0038</x:v>
      </x:c>
      <x:c r="B44" s="5" t="str">
        <x:v>WQ</x:v>
      </x:c>
      <x:c r="C44" s="5" t="str">
        <x:v>1</x:v>
      </x:c>
      <x:c r="D44" s="5" t="str">
        <x:v>Volks- und Betriebswirtschaft</x:v>
      </x:c>
      <x:c r="E44" s="5" t="str">
        <x:v>BWL</x:v>
      </x:c>
      <x:c r="F44" s="5" t="str">
        <x:v>ui-wq-0002</x:v>
      </x:c>
      <x:c r="G44" s="5" t="str">
        <x:v>Betriebliche Funktionen und deren Zusammenwirken</x:v>
      </x:c>
      <x:c r="H44" s="5" t="str">
        <x:v>dg-wq-0048</x:v>
      </x:c>
      <x:c r="I44" s="5" t="str">
        <x:v>1.2.1.4</x:v>
      </x:c>
      <x:c r="J44" s="5" t="str">
        <x:v>Rechnungswesen</x:v>
      </x:c>
      <x:c r="K44" s="5" t="str"/>
      <x:c r="L44" s="5" t="str">
        <x:v>Rechnungswesen &amp; Kostenrechnung</x:v>
      </x:c>
      <x:c r="M44" s="5" t="n">
        <x:v>38</x:v>
      </x:c>
      <x:c r="N44" s="5" t="n">
        <x:v>8</x:v>
      </x:c>
      <x:c r="O44" s="5" t="str"/>
      <x:c r="P44" s="5" t="str">
        <x:v>Zuordnungsvorschlag; Fachfreigabe ausstehend</x:v>
      </x:c>
      <x:c r="Q44" s="5" t="str">
        <x:v>Bestehendes Lernthema fachlich unter passendem Rahmenplan-Unterbereich behalten</x:v>
      </x:c>
      <x:c r="R44" s="5" t="str">
        <x:v>Ordnen Sie typische Kostenarten danach ein, ob sie innerhalb einer betrachteten Beschäftigungsbandbreite eher fix oder variabel sind.</x:v>
      </x:c>
      <x:c r="S44" s="5" t="str">
        <x:v>daa87501bed1df181d980117f6b632838963363b757cb31155b90770d3860e56</x:v>
      </x:c>
    </x:row>
    <x:row r="45" ht="36" customHeight="1">
      <x:c r="A45" s="5" t="str">
        <x:v>BWL-0039</x:v>
      </x:c>
      <x:c r="B45" s="5" t="str">
        <x:v>WQ</x:v>
      </x:c>
      <x:c r="C45" s="5" t="str">
        <x:v>1</x:v>
      </x:c>
      <x:c r="D45" s="5" t="str">
        <x:v>Volks- und Betriebswirtschaft</x:v>
      </x:c>
      <x:c r="E45" s="5" t="str">
        <x:v>BWL</x:v>
      </x:c>
      <x:c r="F45" s="5" t="str">
        <x:v>ui-wq-0002</x:v>
      </x:c>
      <x:c r="G45" s="5" t="str">
        <x:v>Betriebliche Funktionen und deren Zusammenwirken</x:v>
      </x:c>
      <x:c r="H45" s="5" t="str">
        <x:v>dg-wq-0049</x:v>
      </x:c>
      <x:c r="I45" s="5" t="str">
        <x:v>1.2.1.5</x:v>
      </x:c>
      <x:c r="J45" s="5" t="str">
        <x:v>Finanzierung / Investition</x:v>
      </x:c>
      <x:c r="K45" s="5" t="str"/>
      <x:c r="L45" s="5" t="str">
        <x:v>Finanzierung &amp; Investition</x:v>
      </x:c>
      <x:c r="M45" s="5" t="n">
        <x:v>39</x:v>
      </x:c>
      <x:c r="N45" s="5" t="n">
        <x:v>1</x:v>
      </x:c>
      <x:c r="O45" s="5" t="str"/>
      <x:c r="P45" s="5" t="str">
        <x:v>Zuordnungsvorschlag; Fachfreigabe ausstehend</x:v>
      </x:c>
      <x:c r="Q45" s="5" t="str">
        <x:v>Bestehendes Lernthema fachlich unter passendem Rahmenplan-Unterbereich behalten</x:v>
      </x:c>
      <x:c r="R45" s="5" t="str">
        <x:v>Ordnen Sie typische Zahlungsströme danach, ob sie aus dem laufenden Leistungsprozess oder aus langfristigen Finanzierungs- bzw. Investitionsentscheidungen entstehen und ob Mittel zu- oder abfließen.</x:v>
      </x:c>
      <x:c r="S45" s="5" t="str">
        <x:v>d7f4de9b2f8e3a03293c5b6a15a2e98c5ed8193ac4aa86f1f58b02b35f546e77</x:v>
      </x:c>
    </x:row>
    <x:row r="46" ht="36" customHeight="1">
      <x:c r="A46" s="5" t="str">
        <x:v>BWL-0040</x:v>
      </x:c>
      <x:c r="B46" s="5" t="str">
        <x:v>WQ</x:v>
      </x:c>
      <x:c r="C46" s="5" t="str">
        <x:v>1</x:v>
      </x:c>
      <x:c r="D46" s="5" t="str">
        <x:v>Volks- und Betriebswirtschaft</x:v>
      </x:c>
      <x:c r="E46" s="5" t="str">
        <x:v>BWL</x:v>
      </x:c>
      <x:c r="F46" s="5" t="str">
        <x:v>ui-wq-0002</x:v>
      </x:c>
      <x:c r="G46" s="5" t="str">
        <x:v>Betriebliche Funktionen und deren Zusammenwirken</x:v>
      </x:c>
      <x:c r="H46" s="5" t="str">
        <x:v>dg-wq-0049</x:v>
      </x:c>
      <x:c r="I46" s="5" t="str">
        <x:v>1.2.1.5</x:v>
      </x:c>
      <x:c r="J46" s="5" t="str">
        <x:v>Finanzierung / Investition</x:v>
      </x:c>
      <x:c r="K46" s="5" t="str"/>
      <x:c r="L46" s="5" t="str">
        <x:v>Finanzierung &amp; Investition</x:v>
      </x:c>
      <x:c r="M46" s="5" t="n">
        <x:v>40</x:v>
      </x:c>
      <x:c r="N46" s="5" t="n">
        <x:v>2</x:v>
      </x:c>
      <x:c r="O46" s="5" t="str"/>
      <x:c r="P46" s="5" t="str">
        <x:v>Zuordnungsvorschlag; Fachfreigabe ausstehend</x:v>
      </x:c>
      <x:c r="Q46" s="5" t="str">
        <x:v>Bestehendes Lernthema fachlich unter passendem Rahmenplan-Unterbereich behalten</x:v>
      </x:c>
      <x:c r="R46" s="5" t="str">
        <x:v>Welche Merkmale unterscheiden Eigenkapital typischerweise von Fremdkapital?</x:v>
      </x:c>
      <x:c r="S46" s="5" t="str">
        <x:v>7ada8c88ff2b5729dd74013a657f3dafadf52b43ff73ab177acc44cafc4f4e3a</x:v>
      </x:c>
    </x:row>
    <x:row r="47" ht="36" customHeight="1">
      <x:c r="A47" s="5" t="str">
        <x:v>BWL-0041</x:v>
      </x:c>
      <x:c r="B47" s="5" t="str">
        <x:v>WQ</x:v>
      </x:c>
      <x:c r="C47" s="5" t="str">
        <x:v>1</x:v>
      </x:c>
      <x:c r="D47" s="5" t="str">
        <x:v>Volks- und Betriebswirtschaft</x:v>
      </x:c>
      <x:c r="E47" s="5" t="str">
        <x:v>BWL</x:v>
      </x:c>
      <x:c r="F47" s="5" t="str">
        <x:v>ui-wq-0002</x:v>
      </x:c>
      <x:c r="G47" s="5" t="str">
        <x:v>Betriebliche Funktionen und deren Zusammenwirken</x:v>
      </x:c>
      <x:c r="H47" s="5" t="str">
        <x:v>dg-wq-0049</x:v>
      </x:c>
      <x:c r="I47" s="5" t="str">
        <x:v>1.2.1.5</x:v>
      </x:c>
      <x:c r="J47" s="5" t="str">
        <x:v>Finanzierung / Investition</x:v>
      </x:c>
      <x:c r="K47" s="5" t="str"/>
      <x:c r="L47" s="5" t="str">
        <x:v>Finanzierung &amp; Investition</x:v>
      </x:c>
      <x:c r="M47" s="5" t="n">
        <x:v>41</x:v>
      </x:c>
      <x:c r="N47" s="5" t="n">
        <x:v>3</x:v>
      </x:c>
      <x:c r="O47" s="5" t="str"/>
      <x:c r="P47" s="5" t="str">
        <x:v>Zuordnungsvorschlag; Fachfreigabe ausstehend</x:v>
      </x:c>
      <x:c r="Q47" s="5" t="str">
        <x:v>Bestehendes Lernthema fachlich unter passendem Rahmenplan-Unterbereich behalten</x:v>
      </x:c>
      <x:c r="R47" s="5" t="str">
        <x:v>Ordnen Sie typische Finanzierungsfälle nach Außen-/Innenfinanzierung sowie Eigen-/Fremdfinanzierung ein.</x:v>
      </x:c>
      <x:c r="S47" s="5" t="str">
        <x:v>a09a5619da08ac035eeea43a985a29e4e995fa7f771f61c2956296b34168b5a9</x:v>
      </x:c>
    </x:row>
    <x:row r="48" ht="36" customHeight="1">
      <x:c r="A48" s="5" t="str">
        <x:v>BWL-0042</x:v>
      </x:c>
      <x:c r="B48" s="5" t="str">
        <x:v>WQ</x:v>
      </x:c>
      <x:c r="C48" s="5" t="str">
        <x:v>1</x:v>
      </x:c>
      <x:c r="D48" s="5" t="str">
        <x:v>Volks- und Betriebswirtschaft</x:v>
      </x:c>
      <x:c r="E48" s="5" t="str">
        <x:v>BWL</x:v>
      </x:c>
      <x:c r="F48" s="5" t="str">
        <x:v>ui-wq-0002</x:v>
      </x:c>
      <x:c r="G48" s="5" t="str">
        <x:v>Betriebliche Funktionen und deren Zusammenwirken</x:v>
      </x:c>
      <x:c r="H48" s="5" t="str">
        <x:v>dg-wq-0049</x:v>
      </x:c>
      <x:c r="I48" s="5" t="str">
        <x:v>1.2.1.5</x:v>
      </x:c>
      <x:c r="J48" s="5" t="str">
        <x:v>Finanzierung / Investition</x:v>
      </x:c>
      <x:c r="K48" s="5" t="str"/>
      <x:c r="L48" s="5" t="str">
        <x:v>Finanzierung &amp; Investition</x:v>
      </x:c>
      <x:c r="M48" s="5" t="n">
        <x:v>42</x:v>
      </x:c>
      <x:c r="N48" s="5" t="n">
        <x:v>4</x:v>
      </x:c>
      <x:c r="O48" s="5" t="str"/>
      <x:c r="P48" s="5" t="str">
        <x:v>Zuordnungsvorschlag; Fachfreigabe ausstehend</x:v>
      </x:c>
      <x:c r="Q48" s="5" t="str">
        <x:v>Bestehendes Lernthema fachlich unter passendem Rahmenplan-Unterbereich behalten</x:v>
      </x:c>
      <x:c r="R48" s="5" t="str">
        <x:v>Warum wird Selbstfinanzierung häufig positiv beurteilt und welche Nachteile oder Grenzen kann sie haben?</x:v>
      </x:c>
      <x:c r="S48" s="5" t="str">
        <x:v>600a3baed4fc21acce1bca33c2c2902f9c9ad03a4e2ab05a6297380a6bc62fe4</x:v>
      </x:c>
    </x:row>
    <x:row r="49" ht="36" customHeight="1">
      <x:c r="A49" s="5" t="str">
        <x:v>BWL-0043</x:v>
      </x:c>
      <x:c r="B49" s="5" t="str">
        <x:v>WQ</x:v>
      </x:c>
      <x:c r="C49" s="5" t="str">
        <x:v>1</x:v>
      </x:c>
      <x:c r="D49" s="5" t="str">
        <x:v>Volks- und Betriebswirtschaft</x:v>
      </x:c>
      <x:c r="E49" s="5" t="str">
        <x:v>BWL</x:v>
      </x:c>
      <x:c r="F49" s="5" t="str">
        <x:v>ui-wq-0002</x:v>
      </x:c>
      <x:c r="G49" s="5" t="str">
        <x:v>Betriebliche Funktionen und deren Zusammenwirken</x:v>
      </x:c>
      <x:c r="H49" s="5" t="str">
        <x:v>dg-wq-0049</x:v>
      </x:c>
      <x:c r="I49" s="5" t="str">
        <x:v>1.2.1.5</x:v>
      </x:c>
      <x:c r="J49" s="5" t="str">
        <x:v>Finanzierung / Investition</x:v>
      </x:c>
      <x:c r="K49" s="5" t="str"/>
      <x:c r="L49" s="5" t="str">
        <x:v>Finanzierung &amp; Investition</x:v>
      </x:c>
      <x:c r="M49" s="5" t="n">
        <x:v>43</x:v>
      </x:c>
      <x:c r="N49" s="5" t="n">
        <x:v>5</x:v>
      </x:c>
      <x:c r="O49" s="5" t="str"/>
      <x:c r="P49" s="5" t="str">
        <x:v>Zuordnungsvorschlag; Fachfreigabe ausstehend</x:v>
      </x:c>
      <x:c r="Q49" s="5" t="str">
        <x:v>Bestehendes Lernthema fachlich unter passendem Rahmenplan-Unterbereich behalten</x:v>
      </x:c>
      <x:c r="R49" s="5" t="str">
        <x:v>Ordnen Sie typische Merkmale einer Kreditfinanzierung als Vorteil oder Nachteil ein.</x:v>
      </x:c>
      <x:c r="S49" s="5" t="str">
        <x:v>81416d63c1c6f76379e67008e495725b36ebae39b229b44d31207a4567a8ce25</x:v>
      </x:c>
    </x:row>
    <x:row r="50" ht="36" customHeight="1">
      <x:c r="A50" s="5" t="str">
        <x:v>BWL-0044</x:v>
      </x:c>
      <x:c r="B50" s="5" t="str">
        <x:v>WQ</x:v>
      </x:c>
      <x:c r="C50" s="5" t="str">
        <x:v>1</x:v>
      </x:c>
      <x:c r="D50" s="5" t="str">
        <x:v>Volks- und Betriebswirtschaft</x:v>
      </x:c>
      <x:c r="E50" s="5" t="str">
        <x:v>BWL</x:v>
      </x:c>
      <x:c r="F50" s="5" t="str">
        <x:v>ui-wq-0002</x:v>
      </x:c>
      <x:c r="G50" s="5" t="str">
        <x:v>Betriebliche Funktionen und deren Zusammenwirken</x:v>
      </x:c>
      <x:c r="H50" s="5" t="str">
        <x:v>dg-wq-0049</x:v>
      </x:c>
      <x:c r="I50" s="5" t="str">
        <x:v>1.2.1.5</x:v>
      </x:c>
      <x:c r="J50" s="5" t="str">
        <x:v>Finanzierung / Investition</x:v>
      </x:c>
      <x:c r="K50" s="5" t="str"/>
      <x:c r="L50" s="5" t="str">
        <x:v>Finanzierung &amp; Investition</x:v>
      </x:c>
      <x:c r="M50" s="5" t="n">
        <x:v>44</x:v>
      </x:c>
      <x:c r="N50" s="5" t="n">
        <x:v>6</x:v>
      </x:c>
      <x:c r="O50" s="5" t="str"/>
      <x:c r="P50" s="5" t="str">
        <x:v>Zuordnungsvorschlag; Fachfreigabe ausstehend</x:v>
      </x:c>
      <x:c r="Q50" s="5" t="str">
        <x:v>Bestehendes Lernthema fachlich unter passendem Rahmenplan-Unterbereich behalten</x:v>
      </x:c>
      <x:c r="R50" s="5" t="str">
        <x:v>Wie stehen Liquiditäts- und Rentabilitätsziele der Finanzierung zueinander und welches weitere Finanzierungsziel ist üblich?</x:v>
      </x:c>
      <x:c r="S50" s="5" t="str">
        <x:v>cba71bd46ea411a98b96383df7b4f3666fa0228812c0736e77577fdfa29f7612</x:v>
      </x:c>
    </x:row>
    <x:row r="51" ht="36" customHeight="1">
      <x:c r="A51" s="5" t="str">
        <x:v>BWL-0045</x:v>
      </x:c>
      <x:c r="B51" s="5" t="str">
        <x:v>WQ</x:v>
      </x:c>
      <x:c r="C51" s="5" t="str">
        <x:v>1</x:v>
      </x:c>
      <x:c r="D51" s="5" t="str">
        <x:v>Volks- und Betriebswirtschaft</x:v>
      </x:c>
      <x:c r="E51" s="5" t="str">
        <x:v>BWL</x:v>
      </x:c>
      <x:c r="F51" s="5" t="str">
        <x:v>ui-wq-0002</x:v>
      </x:c>
      <x:c r="G51" s="5" t="str">
        <x:v>Betriebliche Funktionen und deren Zusammenwirken</x:v>
      </x:c>
      <x:c r="H51" s="5" t="str">
        <x:v>dg-wq-0049</x:v>
      </x:c>
      <x:c r="I51" s="5" t="str">
        <x:v>1.2.1.5</x:v>
      </x:c>
      <x:c r="J51" s="5" t="str">
        <x:v>Finanzierung / Investition</x:v>
      </x:c>
      <x:c r="K51" s="5" t="str"/>
      <x:c r="L51" s="5" t="str">
        <x:v>Finanzierung &amp; Investition</x:v>
      </x:c>
      <x:c r="M51" s="5" t="n">
        <x:v>45</x:v>
      </x:c>
      <x:c r="N51" s="5" t="n">
        <x:v>7</x:v>
      </x:c>
      <x:c r="O51" s="5" t="str"/>
      <x:c r="P51" s="5" t="str">
        <x:v>Zuordnungsvorschlag; Fachfreigabe ausstehend</x:v>
      </x:c>
      <x:c r="Q51" s="5" t="str">
        <x:v>Bestehendes Lernthema fachlich unter passendem Rahmenplan-Unterbereich behalten</x:v>
      </x:c>
      <x:c r="R51" s="5" t="str">
        <x:v>Bewerten Sie typische Aussagen über Leasing als Vorteil, Nachteil oder sachlich falsch.</x:v>
      </x:c>
      <x:c r="S51" s="5" t="str">
        <x:v>e82c84a5ceef3a2f318270ff9118ff6643b1e78df81adeb31c757663559669c1</x:v>
      </x:c>
    </x:row>
    <x:row r="52" ht="36" customHeight="1">
      <x:c r="A52" s="5" t="str">
        <x:v>BWL-0046</x:v>
      </x:c>
      <x:c r="B52" s="5" t="str">
        <x:v>WQ</x:v>
      </x:c>
      <x:c r="C52" s="5" t="str">
        <x:v>1</x:v>
      </x:c>
      <x:c r="D52" s="5" t="str">
        <x:v>Volks- und Betriebswirtschaft</x:v>
      </x:c>
      <x:c r="E52" s="5" t="str">
        <x:v>BWL</x:v>
      </x:c>
      <x:c r="F52" s="5" t="str">
        <x:v>ui-wq-0002</x:v>
      </x:c>
      <x:c r="G52" s="5" t="str">
        <x:v>Betriebliche Funktionen und deren Zusammenwirken</x:v>
      </x:c>
      <x:c r="H52" s="5" t="str">
        <x:v>dg-wq-0049</x:v>
      </x:c>
      <x:c r="I52" s="5" t="str">
        <x:v>1.2.1.5</x:v>
      </x:c>
      <x:c r="J52" s="5" t="str">
        <x:v>Finanzierung / Investition</x:v>
      </x:c>
      <x:c r="K52" s="5" t="str"/>
      <x:c r="L52" s="5" t="str">
        <x:v>Finanzierung &amp; Investition</x:v>
      </x:c>
      <x:c r="M52" s="5" t="n">
        <x:v>46</x:v>
      </x:c>
      <x:c r="N52" s="5" t="n">
        <x:v>8</x:v>
      </x:c>
      <x:c r="O52" s="5" t="str"/>
      <x:c r="P52" s="5" t="str">
        <x:v>Zuordnungsvorschlag; Fachfreigabe ausstehend</x:v>
      </x:c>
      <x:c r="Q52" s="5" t="str">
        <x:v>Bestehendes Lernthema fachlich unter passendem Rahmenplan-Unterbereich behalten</x:v>
      </x:c>
      <x:c r="R52" s="5" t="str">
        <x:v>Bewerten Sie zentrale Aussagen zum Factoring als richtig oder falsch.</x:v>
      </x:c>
      <x:c r="S52" s="5" t="str">
        <x:v>d28695582f0a92e87564ed1329012916dead7c91b31a6fc99e374dc1c9618901</x:v>
      </x:c>
    </x:row>
    <x:row r="53" ht="36" customHeight="1">
      <x:c r="A53" s="5" t="str">
        <x:v>BWL-0047</x:v>
      </x:c>
      <x:c r="B53" s="5" t="str">
        <x:v>WQ</x:v>
      </x:c>
      <x:c r="C53" s="5" t="str">
        <x:v>1</x:v>
      </x:c>
      <x:c r="D53" s="5" t="str">
        <x:v>Volks- und Betriebswirtschaft</x:v>
      </x:c>
      <x:c r="E53" s="5" t="str">
        <x:v>BWL</x:v>
      </x:c>
      <x:c r="F53" s="5" t="str">
        <x:v>ui-wq-0002</x:v>
      </x:c>
      <x:c r="G53" s="5" t="str">
        <x:v>Betriebliche Funktionen und deren Zusammenwirken</x:v>
      </x:c>
      <x:c r="H53" s="5" t="str">
        <x:v>dg-wq-0049</x:v>
      </x:c>
      <x:c r="I53" s="5" t="str">
        <x:v>1.2.1.5</x:v>
      </x:c>
      <x:c r="J53" s="5" t="str">
        <x:v>Finanzierung / Investition</x:v>
      </x:c>
      <x:c r="K53" s="5" t="str"/>
      <x:c r="L53" s="5" t="str">
        <x:v>Finanzierung &amp; Investition</x:v>
      </x:c>
      <x:c r="M53" s="5" t="n">
        <x:v>47</x:v>
      </x:c>
      <x:c r="N53" s="5" t="n">
        <x:v>9</x:v>
      </x:c>
      <x:c r="O53" s="5" t="str"/>
      <x:c r="P53" s="5" t="str">
        <x:v>Zuordnungsvorschlag; Fachfreigabe ausstehend</x:v>
      </x:c>
      <x:c r="Q53" s="5" t="str">
        <x:v>Bestehendes Lernthema fachlich unter passendem Rahmenplan-Unterbereich behalten</x:v>
      </x:c>
      <x:c r="R53" s="5" t="str">
        <x:v>Welche Investitionsart liegt beim Ersatz einer defekten Produktionsanlage vor, wie läuft eine rationale Investitionsentscheidung ab und worin unterscheiden sich statische und dynamische Verfahren?</x:v>
      </x:c>
      <x:c r="S53" s="5" t="str">
        <x:v>2da651c29b44fcff92dd56f9f029061275264262de12fa421f49a39f16ee362d</x:v>
      </x:c>
    </x:row>
    <x:row r="54" ht="36" customHeight="1">
      <x:c r="A54" s="5" t="str">
        <x:v>BWL-0048</x:v>
      </x:c>
      <x:c r="B54" s="5" t="str">
        <x:v>WQ</x:v>
      </x:c>
      <x:c r="C54" s="5" t="str">
        <x:v>1</x:v>
      </x:c>
      <x:c r="D54" s="5" t="str">
        <x:v>Volks- und Betriebswirtschaft</x:v>
      </x:c>
      <x:c r="E54" s="5" t="str">
        <x:v>BWL</x:v>
      </x:c>
      <x:c r="F54" s="5" t="str">
        <x:v>ui-wq-0002</x:v>
      </x:c>
      <x:c r="G54" s="5" t="str">
        <x:v>Betriebliche Funktionen und deren Zusammenwirken</x:v>
      </x:c>
      <x:c r="H54" s="5" t="str">
        <x:v>dg-wq-0049</x:v>
      </x:c>
      <x:c r="I54" s="5" t="str">
        <x:v>1.2.1.5</x:v>
      </x:c>
      <x:c r="J54" s="5" t="str">
        <x:v>Finanzierung / Investition</x:v>
      </x:c>
      <x:c r="K54" s="5" t="str"/>
      <x:c r="L54" s="5" t="str">
        <x:v>Finanzierung &amp; Investition</x:v>
      </x:c>
      <x:c r="M54" s="5" t="n">
        <x:v>48</x:v>
      </x:c>
      <x:c r="N54" s="5" t="n">
        <x:v>10</x:v>
      </x:c>
      <x:c r="O54" s="5" t="str"/>
      <x:c r="P54" s="5" t="str">
        <x:v>Zuordnungsvorschlag; Fachfreigabe ausstehend</x:v>
      </x:c>
      <x:c r="Q54" s="5" t="str">
        <x:v>Bestehendes Lernthema fachlich unter passendem Rahmenplan-Unterbereich behalten</x:v>
      </x:c>
      <x:c r="R54" s="5" t="str">
        <x:v>Warum sind Investitionsentscheidungen durch viele Daten, schwer prognostizierbare Größen und ein besonderes Risiko gekennzeichnet?</x:v>
      </x:c>
      <x:c r="S54" s="5" t="str">
        <x:v>b8f83f3f1133985696377803aeb65e1f9bafd767a9607abc483df21885ce9207</x:v>
      </x:c>
    </x:row>
    <x:row r="55" ht="36" customHeight="1">
      <x:c r="A55" s="5" t="str">
        <x:v>BWL-0049</x:v>
      </x:c>
      <x:c r="B55" s="5" t="str">
        <x:v>WQ</x:v>
      </x:c>
      <x:c r="C55" s="5" t="str">
        <x:v>1</x:v>
      </x:c>
      <x:c r="D55" s="5" t="str">
        <x:v>Volks- und Betriebswirtschaft</x:v>
      </x:c>
      <x:c r="E55" s="5" t="str">
        <x:v>BWL</x:v>
      </x:c>
      <x:c r="F55" s="5" t="str">
        <x:v>ui-wq-0002</x:v>
      </x:c>
      <x:c r="G55" s="5" t="str">
        <x:v>Betriebliche Funktionen und deren Zusammenwirken</x:v>
      </x:c>
      <x:c r="H55" s="5" t="str">
        <x:v>dg-wq-0049</x:v>
      </x:c>
      <x:c r="I55" s="5" t="str">
        <x:v>1.2.1.5</x:v>
      </x:c>
      <x:c r="J55" s="5" t="str">
        <x:v>Finanzierung / Investition</x:v>
      </x:c>
      <x:c r="K55" s="5" t="str"/>
      <x:c r="L55" s="5" t="str">
        <x:v>Finanzierung &amp; Investition</x:v>
      </x:c>
      <x:c r="M55" s="5" t="n">
        <x:v>49</x:v>
      </x:c>
      <x:c r="N55" s="5" t="n">
        <x:v>11</x:v>
      </x:c>
      <x:c r="O55" s="5" t="str"/>
      <x:c r="P55" s="5" t="str">
        <x:v>Zuordnungsvorschlag; Fachfreigabe ausstehend</x:v>
      </x:c>
      <x:c r="Q55" s="5" t="str">
        <x:v>Bestehendes Lernthema fachlich unter passendem Rahmenplan-Unterbereich behalten</x:v>
      </x:c>
      <x:c r="R55" s="5" t="str">
        <x:v>Wie werden Eigenkapitalrentabilität und Gesamtkapitalrentabilität berechnet und was sagen sie aus?</x:v>
      </x:c>
      <x:c r="S55" s="5" t="str">
        <x:v>7d27fc4efca6291a4cd96d9b19717cd5b5b7f06115ab1ca03cd5e895dab284ec</x:v>
      </x:c>
    </x:row>
    <x:row r="56" ht="36" customHeight="1">
      <x:c r="A56" s="5" t="str">
        <x:v>BWL-0050</x:v>
      </x:c>
      <x:c r="B56" s="5" t="str">
        <x:v>WQ</x:v>
      </x:c>
      <x:c r="C56" s="5" t="str">
        <x:v>1</x:v>
      </x:c>
      <x:c r="D56" s="5" t="str">
        <x:v>Volks- und Betriebswirtschaft</x:v>
      </x:c>
      <x:c r="E56" s="5" t="str">
        <x:v>BWL</x:v>
      </x:c>
      <x:c r="F56" s="5" t="str">
        <x:v>ui-wq-0003</x:v>
      </x:c>
      <x:c r="G56" s="5" t="str">
        <x:v>Existenzgründung und Unternehmensrechtsformen</x:v>
      </x:c>
      <x:c r="H56" s="5" t="str">
        <x:v>dg-wq-0050</x:v>
      </x:c>
      <x:c r="I56" s="5" t="str">
        <x:v>1.3.3</x:v>
      </x:c>
      <x:c r="J56" s="5" t="str">
        <x:v>Rechtsformen</x:v>
      </x:c>
      <x:c r="K56" s="5" t="str"/>
      <x:c r="L56" s="5" t="str">
        <x:v>Existenzgründung &amp; Rechtsformen</x:v>
      </x:c>
      <x:c r="M56" s="5" t="n">
        <x:v>1</x:v>
      </x:c>
      <x:c r="N56" s="5" t="n">
        <x:v>1</x:v>
      </x:c>
      <x:c r="O56" s="5" t="str"/>
      <x:c r="P56" s="5" t="str">
        <x:v>Zuordnungsvorschlag; Fachfreigabe ausstehend</x:v>
      </x:c>
      <x:c r="Q56" s="5" t="str">
        <x:v>Bestehendes Lernthema fachlich unter passendem Rahmenplan-Unterbereich behalten</x:v>
      </x:c>
      <x:c r="R56" s="5" t="str">
        <x:v>Was versteht man unter einem Start-up und unter Venture Capital?</x:v>
      </x:c>
      <x:c r="S56" s="5" t="str">
        <x:v>220cc68374a96aa817249aa2d1460afe6d496648b7f288a47f4990801e909416</x:v>
      </x:c>
    </x:row>
    <x:row r="57" ht="36" customHeight="1">
      <x:c r="A57" s="5" t="str">
        <x:v>BWL-0051</x:v>
      </x:c>
      <x:c r="B57" s="5" t="str">
        <x:v>WQ</x:v>
      </x:c>
      <x:c r="C57" s="5" t="str">
        <x:v>1</x:v>
      </x:c>
      <x:c r="D57" s="5" t="str">
        <x:v>Volks- und Betriebswirtschaft</x:v>
      </x:c>
      <x:c r="E57" s="5" t="str">
        <x:v>BWL</x:v>
      </x:c>
      <x:c r="F57" s="5" t="str">
        <x:v>ui-wq-0002</x:v>
      </x:c>
      <x:c r="G57" s="5" t="str">
        <x:v>Betriebliche Funktionen und deren Zusammenwirken</x:v>
      </x:c>
      <x:c r="H57" s="5" t="str">
        <x:v>dg-wq-0049</x:v>
      </x:c>
      <x:c r="I57" s="5" t="str">
        <x:v>1.2.1.5</x:v>
      </x:c>
      <x:c r="J57" s="5" t="str">
        <x:v>Finanzierung / Investition</x:v>
      </x:c>
      <x:c r="K57" s="5" t="str"/>
      <x:c r="L57" s="5" t="str">
        <x:v>Finanzierung &amp; Investition</x:v>
      </x:c>
      <x:c r="M57" s="5" t="n">
        <x:v>50</x:v>
      </x:c>
      <x:c r="N57" s="5" t="n">
        <x:v>12</x:v>
      </x:c>
      <x:c r="O57" s="5" t="str"/>
      <x:c r="P57" s="5" t="str">
        <x:v>Zuordnungsvorschlag; Fachfreigabe ausstehend</x:v>
      </x:c>
      <x:c r="Q57" s="5" t="str">
        <x:v>Bestehendes Lernthema fachlich unter passendem Rahmenplan-Unterbereich behalten</x:v>
      </x:c>
      <x:c r="R57" s="5" t="str">
        <x:v>Ordnen Sie typische Investitionen den Kategorien Sachinvestition, immaterielle Investition oder Finanzinvestition zu.</x:v>
      </x:c>
      <x:c r="S57" s="5" t="str">
        <x:v>8f4dd697c4c493d8fd59bdc61c7228a3d3c317d6245eefda657190f15dee4bc8</x:v>
      </x:c>
    </x:row>
    <x:row r="58" ht="36" customHeight="1">
      <x:c r="A58" s="5" t="str">
        <x:v>BWL-0052</x:v>
      </x:c>
      <x:c r="B58" s="5" t="str">
        <x:v>WQ</x:v>
      </x:c>
      <x:c r="C58" s="5" t="str">
        <x:v>1</x:v>
      </x:c>
      <x:c r="D58" s="5" t="str">
        <x:v>Volks- und Betriebswirtschaft</x:v>
      </x:c>
      <x:c r="E58" s="5" t="str">
        <x:v>BWL</x:v>
      </x:c>
      <x:c r="F58" s="5" t="str">
        <x:v>ui-wq-0002</x:v>
      </x:c>
      <x:c r="G58" s="5" t="str">
        <x:v>Betriebliche Funktionen und deren Zusammenwirken</x:v>
      </x:c>
      <x:c r="H58" s="5" t="str">
        <x:v>dg-wq-0051</x:v>
      </x:c>
      <x:c r="I58" s="5" t="str">
        <x:v>1.2.1.6</x:v>
      </x:c>
      <x:c r="J58" s="5" t="str">
        <x:v>Controlling</x:v>
      </x:c>
      <x:c r="K58" s="5" t="str"/>
      <x:c r="L58" s="5" t="str">
        <x:v>Controlling &amp; Planung</x:v>
      </x:c>
      <x:c r="M58" s="5" t="n">
        <x:v>51</x:v>
      </x:c>
      <x:c r="N58" s="5" t="n">
        <x:v>1</x:v>
      </x:c>
      <x:c r="O58" s="5" t="str"/>
      <x:c r="P58" s="5" t="str">
        <x:v>Zuordnungsvorschlag; Fachfreigabe ausstehend</x:v>
      </x:c>
      <x:c r="Q58" s="5" t="str">
        <x:v>Bestehendes Lernthema fachlich unter passendem Rahmenplan-Unterbereich behalten</x:v>
      </x:c>
      <x:c r="R58" s="5" t="str">
        <x:v>Worin unterscheidet sich Controlling von Kontrolle bzw. interner Revision und welche Aufgaben und Qualifikationen sind für Controller typisch?</x:v>
      </x:c>
      <x:c r="S58" s="5" t="str">
        <x:v>608ad1fdf6d9a8e9c165024a55f842732eef69f0f8c0b589c4281a40ae32dbc1</x:v>
      </x:c>
    </x:row>
    <x:row r="59" ht="36" customHeight="1">
      <x:c r="A59" s="5" t="str">
        <x:v>BWL-0053</x:v>
      </x:c>
      <x:c r="B59" s="5" t="str">
        <x:v>WQ</x:v>
      </x:c>
      <x:c r="C59" s="5" t="str">
        <x:v>1</x:v>
      </x:c>
      <x:c r="D59" s="5" t="str">
        <x:v>Volks- und Betriebswirtschaft</x:v>
      </x:c>
      <x:c r="E59" s="5" t="str">
        <x:v>BWL</x:v>
      </x:c>
      <x:c r="F59" s="5" t="str">
        <x:v>ui-wq-0002</x:v>
      </x:c>
      <x:c r="G59" s="5" t="str">
        <x:v>Betriebliche Funktionen und deren Zusammenwirken</x:v>
      </x:c>
      <x:c r="H59" s="5" t="str">
        <x:v>dg-wq-0051</x:v>
      </x:c>
      <x:c r="I59" s="5" t="str">
        <x:v>1.2.1.6</x:v>
      </x:c>
      <x:c r="J59" s="5" t="str">
        <x:v>Controlling</x:v>
      </x:c>
      <x:c r="K59" s="5" t="str"/>
      <x:c r="L59" s="5" t="str">
        <x:v>Controlling &amp; Planung</x:v>
      </x:c>
      <x:c r="M59" s="5" t="n">
        <x:v>52</x:v>
      </x:c>
      <x:c r="N59" s="5" t="n">
        <x:v>2</x:v>
      </x:c>
      <x:c r="O59" s="5" t="str"/>
      <x:c r="P59" s="5" t="str">
        <x:v>Zuordnungsvorschlag; Fachfreigabe ausstehend</x:v>
      </x:c>
      <x:c r="Q59" s="5" t="str">
        <x:v>Bestehendes Lernthema fachlich unter passendem Rahmenplan-Unterbereich behalten</x:v>
      </x:c>
      <x:c r="R59" s="5" t="str">
        <x:v>Welche Controllingfunktionen unterstützen die Managementphasen Planen, Entscheiden, Realisieren und Kontrollieren?</x:v>
      </x:c>
      <x:c r="S59" s="5" t="str">
        <x:v>3e43d39cab013aa9dbcffe7647550b402f524f8bae9d25d27e13351af60d069f</x:v>
      </x:c>
    </x:row>
    <x:row r="60" ht="36" customHeight="1">
      <x:c r="A60" s="5" t="str">
        <x:v>BWL-0054</x:v>
      </x:c>
      <x:c r="B60" s="5" t="str">
        <x:v>WQ</x:v>
      </x:c>
      <x:c r="C60" s="5" t="str">
        <x:v>1</x:v>
      </x:c>
      <x:c r="D60" s="5" t="str">
        <x:v>Volks- und Betriebswirtschaft</x:v>
      </x:c>
      <x:c r="E60" s="5" t="str">
        <x:v>BWL</x:v>
      </x:c>
      <x:c r="F60" s="5" t="str">
        <x:v>ui-wq-0002</x:v>
      </x:c>
      <x:c r="G60" s="5" t="str">
        <x:v>Betriebliche Funktionen und deren Zusammenwirken</x:v>
      </x:c>
      <x:c r="H60" s="5" t="str">
        <x:v>dg-wq-0051</x:v>
      </x:c>
      <x:c r="I60" s="5" t="str">
        <x:v>1.2.1.6</x:v>
      </x:c>
      <x:c r="J60" s="5" t="str">
        <x:v>Controlling</x:v>
      </x:c>
      <x:c r="K60" s="5" t="str"/>
      <x:c r="L60" s="5" t="str">
        <x:v>Controlling &amp; Planung</x:v>
      </x:c>
      <x:c r="M60" s="5" t="n">
        <x:v>53</x:v>
      </x:c>
      <x:c r="N60" s="5" t="n">
        <x:v>3</x:v>
      </x:c>
      <x:c r="O60" s="5" t="str"/>
      <x:c r="P60" s="5" t="str">
        <x:v>Zuordnungsvorschlag; Fachfreigabe ausstehend</x:v>
      </x:c>
      <x:c r="Q60" s="5" t="str">
        <x:v>Bestehendes Lernthema fachlich unter passendem Rahmenplan-Unterbereich behalten</x:v>
      </x:c>
      <x:c r="R60" s="5" t="str">
        <x:v>Unterscheiden Sie strategische und operative Planung anhand von Ziel, Planungshorizont, Führungsebene und Breite der Handlungsalternativen.</x:v>
      </x:c>
      <x:c r="S60" s="5" t="str">
        <x:v>6f5685d40baabde2f5b9ce456d717b9503fa71a780c9d8cd98dd5a45c651241a</x:v>
      </x:c>
    </x:row>
    <x:row r="61" ht="36" customHeight="1">
      <x:c r="A61" s="5" t="str">
        <x:v>BWL-0055</x:v>
      </x:c>
      <x:c r="B61" s="5" t="str">
        <x:v>WQ</x:v>
      </x:c>
      <x:c r="C61" s="5" t="str">
        <x:v>1</x:v>
      </x:c>
      <x:c r="D61" s="5" t="str">
        <x:v>Volks- und Betriebswirtschaft</x:v>
      </x:c>
      <x:c r="E61" s="5" t="str">
        <x:v>BWL</x:v>
      </x:c>
      <x:c r="F61" s="5" t="str">
        <x:v>ui-wq-0002</x:v>
      </x:c>
      <x:c r="G61" s="5" t="str">
        <x:v>Betriebliche Funktionen und deren Zusammenwirken</x:v>
      </x:c>
      <x:c r="H61" s="5" t="str">
        <x:v>dg-wq-0051</x:v>
      </x:c>
      <x:c r="I61" s="5" t="str">
        <x:v>1.2.1.6</x:v>
      </x:c>
      <x:c r="J61" s="5" t="str">
        <x:v>Controlling</x:v>
      </x:c>
      <x:c r="K61" s="5" t="str"/>
      <x:c r="L61" s="5" t="str">
        <x:v>Controlling &amp; Planung</x:v>
      </x:c>
      <x:c r="M61" s="5" t="n">
        <x:v>54</x:v>
      </x:c>
      <x:c r="N61" s="5" t="n">
        <x:v>4</x:v>
      </x:c>
      <x:c r="O61" s="5" t="str"/>
      <x:c r="P61" s="5" t="str">
        <x:v>Zuordnungsvorschlag; Fachfreigabe ausstehend</x:v>
      </x:c>
      <x:c r="Q61" s="5" t="str">
        <x:v>Bestehendes Lernthema fachlich unter passendem Rahmenplan-Unterbereich behalten</x:v>
      </x:c>
      <x:c r="R61" s="5" t="str">
        <x:v>Welche Ziele verfolgt das Controlling und wie wirken Informationsversorgung, Frühwarnung und Koordination bei der Unternehmenssteuerung zusammen?</x:v>
      </x:c>
      <x:c r="S61" s="5" t="str">
        <x:v>5da9057963c8a93861e09a2990e57e7d5708f28c37b11745e45c8aa4e76fbe79</x:v>
      </x:c>
    </x:row>
    <x:row r="62" ht="36" customHeight="1">
      <x:c r="A62" s="5" t="str">
        <x:v>BWL-0056</x:v>
      </x:c>
      <x:c r="B62" s="5" t="str">
        <x:v>WQ</x:v>
      </x:c>
      <x:c r="C62" s="5" t="str">
        <x:v>1</x:v>
      </x:c>
      <x:c r="D62" s="5" t="str">
        <x:v>Volks- und Betriebswirtschaft</x:v>
      </x:c>
      <x:c r="E62" s="5" t="str">
        <x:v>BWL</x:v>
      </x:c>
      <x:c r="F62" s="5" t="str">
        <x:v>ui-wq-0002</x:v>
      </x:c>
      <x:c r="G62" s="5" t="str">
        <x:v>Betriebliche Funktionen und deren Zusammenwirken</x:v>
      </x:c>
      <x:c r="H62" s="5" t="str">
        <x:v>dg-wq-0052</x:v>
      </x:c>
      <x:c r="I62" s="5" t="str">
        <x:v>1.2.1.7</x:v>
      </x:c>
      <x:c r="J62" s="5" t="str">
        <x:v>Personal</x:v>
      </x:c>
      <x:c r="K62" s="5" t="str"/>
      <x:c r="L62" s="5" t="str">
        <x:v>Personalmanagement</x:v>
      </x:c>
      <x:c r="M62" s="5" t="n">
        <x:v>55</x:v>
      </x:c>
      <x:c r="N62" s="5" t="n">
        <x:v>1</x:v>
      </x:c>
      <x:c r="O62" s="5" t="str"/>
      <x:c r="P62" s="5" t="str">
        <x:v>Zuordnungsvorschlag; Fachfreigabe ausstehend</x:v>
      </x:c>
      <x:c r="Q62" s="5" t="str">
        <x:v>Bestehendes Lernthema fachlich unter passendem Rahmenplan-Unterbereich behalten</x:v>
      </x:c>
      <x:c r="R62" s="5" t="str">
        <x:v>Nennen Sie sechs zentrale Aufgabenbereiche des Personalmanagements und jeweils typische Beispiele.</x:v>
      </x:c>
      <x:c r="S62" s="5" t="str">
        <x:v>97f431f4c578565276d1b94302ebc02c83e9d9af2d19d84024f443fb1af1006a</x:v>
      </x:c>
    </x:row>
    <x:row r="63" ht="36" customHeight="1">
      <x:c r="A63" s="5" t="str">
        <x:v>BWL-0057</x:v>
      </x:c>
      <x:c r="B63" s="5" t="str">
        <x:v>WQ</x:v>
      </x:c>
      <x:c r="C63" s="5" t="str">
        <x:v>1</x:v>
      </x:c>
      <x:c r="D63" s="5" t="str">
        <x:v>Volks- und Betriebswirtschaft</x:v>
      </x:c>
      <x:c r="E63" s="5" t="str">
        <x:v>BWL</x:v>
      </x:c>
      <x:c r="F63" s="5" t="str">
        <x:v>ui-wq-0002</x:v>
      </x:c>
      <x:c r="G63" s="5" t="str">
        <x:v>Betriebliche Funktionen und deren Zusammenwirken</x:v>
      </x:c>
      <x:c r="H63" s="5" t="str">
        <x:v>dg-wq-0052</x:v>
      </x:c>
      <x:c r="I63" s="5" t="str">
        <x:v>1.2.1.7</x:v>
      </x:c>
      <x:c r="J63" s="5" t="str">
        <x:v>Personal</x:v>
      </x:c>
      <x:c r="K63" s="5" t="str"/>
      <x:c r="L63" s="5" t="str">
        <x:v>Personalmanagement</x:v>
      </x:c>
      <x:c r="M63" s="5" t="n">
        <x:v>56</x:v>
      </x:c>
      <x:c r="N63" s="5" t="n">
        <x:v>2</x:v>
      </x:c>
      <x:c r="O63" s="5" t="str"/>
      <x:c r="P63" s="5" t="str">
        <x:v>Zuordnungsvorschlag; Fachfreigabe ausstehend</x:v>
      </x:c>
      <x:c r="Q63" s="5" t="str">
        <x:v>Bestehendes Lernthema fachlich unter passendem Rahmenplan-Unterbereich behalten</x:v>
      </x:c>
      <x:c r="R63" s="5" t="str">
        <x:v>Welche personalpolitischen Folgen haben demografische Entwicklung, Diversity, steigende Marktdynamik und Digitalisierung?</x:v>
      </x:c>
      <x:c r="S63" s="5" t="str">
        <x:v>78708ad249941de442de9c157c2c60aa14d07a277ffe2bee1ea687a9c1d3c668</x:v>
      </x:c>
    </x:row>
    <x:row r="64" ht="36" customHeight="1">
      <x:c r="A64" s="5" t="str">
        <x:v>BWL-0058</x:v>
      </x:c>
      <x:c r="B64" s="5" t="str">
        <x:v>WQ</x:v>
      </x:c>
      <x:c r="C64" s="5" t="str">
        <x:v>1</x:v>
      </x:c>
      <x:c r="D64" s="5" t="str">
        <x:v>Volks- und Betriebswirtschaft</x:v>
      </x:c>
      <x:c r="E64" s="5" t="str">
        <x:v>BWL</x:v>
      </x:c>
      <x:c r="F64" s="5" t="str">
        <x:v>ui-wq-0002</x:v>
      </x:c>
      <x:c r="G64" s="5" t="str">
        <x:v>Betriebliche Funktionen und deren Zusammenwirken</x:v>
      </x:c>
      <x:c r="H64" s="5" t="str">
        <x:v>dg-wq-0052</x:v>
      </x:c>
      <x:c r="I64" s="5" t="str">
        <x:v>1.2.1.7</x:v>
      </x:c>
      <x:c r="J64" s="5" t="str">
        <x:v>Personal</x:v>
      </x:c>
      <x:c r="K64" s="5" t="str"/>
      <x:c r="L64" s="5" t="str">
        <x:v>Personalmanagement</x:v>
      </x:c>
      <x:c r="M64" s="5" t="n">
        <x:v>57</x:v>
      </x:c>
      <x:c r="N64" s="5" t="n">
        <x:v>3</x:v>
      </x:c>
      <x:c r="O64" s="5" t="str"/>
      <x:c r="P64" s="5" t="str">
        <x:v>Zuordnungsvorschlag; Fachfreigabe ausstehend</x:v>
      </x:c>
      <x:c r="Q64" s="5" t="str">
        <x:v>Bestehendes Lernthema fachlich unter passendem Rahmenplan-Unterbereich behalten</x:v>
      </x:c>
      <x:c r="R64" s="5" t="str">
        <x:v>Nennen Sie wirtschaftliche und soziale Ziele des Personalmanagements und erläutern Sie je ein Beispiel für Zielharmonie und Zielkonflikt.</x:v>
      </x:c>
      <x:c r="S64" s="5" t="str">
        <x:v>5f05f64b40edd530cf5d7c7d07d58d95b0a653c3627bcf641878fcf49f0306c9</x:v>
      </x:c>
    </x:row>
    <x:row r="65" ht="36" customHeight="1">
      <x:c r="A65" s="5" t="str">
        <x:v>BWL-0059</x:v>
      </x:c>
      <x:c r="B65" s="5" t="str">
        <x:v>WQ</x:v>
      </x:c>
      <x:c r="C65" s="5" t="str">
        <x:v>1</x:v>
      </x:c>
      <x:c r="D65" s="5" t="str">
        <x:v>Volks- und Betriebswirtschaft</x:v>
      </x:c>
      <x:c r="E65" s="5" t="str">
        <x:v>BWL</x:v>
      </x:c>
      <x:c r="F65" s="5" t="str">
        <x:v>ui-wq-0002</x:v>
      </x:c>
      <x:c r="G65" s="5" t="str">
        <x:v>Betriebliche Funktionen und deren Zusammenwirken</x:v>
      </x:c>
      <x:c r="H65" s="5" t="str">
        <x:v>dg-wq-0052</x:v>
      </x:c>
      <x:c r="I65" s="5" t="str">
        <x:v>1.2.1.7</x:v>
      </x:c>
      <x:c r="J65" s="5" t="str">
        <x:v>Personal</x:v>
      </x:c>
      <x:c r="K65" s="5" t="str"/>
      <x:c r="L65" s="5" t="str">
        <x:v>Personalmanagement</x:v>
      </x:c>
      <x:c r="M65" s="5" t="n">
        <x:v>58</x:v>
      </x:c>
      <x:c r="N65" s="5" t="n">
        <x:v>4</x:v>
      </x:c>
      <x:c r="O65" s="5" t="str"/>
      <x:c r="P65" s="5" t="str">
        <x:v>Zuordnungsvorschlag; Fachfreigabe ausstehend</x:v>
      </x:c>
      <x:c r="Q65" s="5" t="str">
        <x:v>Bestehendes Lernthema fachlich unter passendem Rahmenplan-Unterbereich behalten</x:v>
      </x:c>
      <x:c r="R65" s="5" t="str">
        <x:v>Wie funktioniert eine Personalportfolio-Matrix aus Leistungsverhalten und Entwicklungspotenzial und welche Entwicklungsziele ergeben sich für die vier Typen?</x:v>
      </x:c>
      <x:c r="S65" s="5" t="str">
        <x:v>ed37204de87019c3d679b5fd1ab0e0794db1643c2540eef206a2328f0744bdfe</x:v>
      </x:c>
    </x:row>
    <x:row r="66" ht="36" customHeight="1">
      <x:c r="A66" s="5" t="str">
        <x:v>BWL-0060</x:v>
      </x:c>
      <x:c r="B66" s="5" t="str">
        <x:v>WQ</x:v>
      </x:c>
      <x:c r="C66" s="5" t="str">
        <x:v>1</x:v>
      </x:c>
      <x:c r="D66" s="5" t="str">
        <x:v>Volks- und Betriebswirtschaft</x:v>
      </x:c>
      <x:c r="E66" s="5" t="str">
        <x:v>BWL</x:v>
      </x:c>
      <x:c r="F66" s="5" t="str">
        <x:v>ui-wq-0002</x:v>
      </x:c>
      <x:c r="G66" s="5" t="str">
        <x:v>Betriebliche Funktionen und deren Zusammenwirken</x:v>
      </x:c>
      <x:c r="H66" s="5" t="str">
        <x:v>dg-wq-0052</x:v>
      </x:c>
      <x:c r="I66" s="5" t="str">
        <x:v>1.2.1.7</x:v>
      </x:c>
      <x:c r="J66" s="5" t="str">
        <x:v>Personal</x:v>
      </x:c>
      <x:c r="K66" s="5" t="str"/>
      <x:c r="L66" s="5" t="str">
        <x:v>Personalmanagement</x:v>
      </x:c>
      <x:c r="M66" s="5" t="n">
        <x:v>59</x:v>
      </x:c>
      <x:c r="N66" s="5" t="n">
        <x:v>5</x:v>
      </x:c>
      <x:c r="O66" s="5" t="str"/>
      <x:c r="P66" s="5" t="str">
        <x:v>Zuordnungsvorschlag; Fachfreigabe ausstehend</x:v>
      </x:c>
      <x:c r="Q66" s="5" t="str">
        <x:v>Bestehendes Lernthema fachlich unter passendem Rahmenplan-Unterbereich behalten</x:v>
      </x:c>
      <x:c r="R66" s="5" t="str">
        <x:v>Ordnen Sie typische Formulierungen in Arbeitszeugnissen den Schulnoten 1 bis 5 zu.</x:v>
      </x:c>
      <x:c r="S66" s="5" t="str">
        <x:v>3fbf4d1bf7c2de47171df69addb7a4031c49037d67a97b103249b539e94f9c3d</x:v>
      </x:c>
    </x:row>
    <x:row r="67" ht="36" customHeight="1">
      <x:c r="A67" s="5" t="str">
        <x:v>BWL-0061</x:v>
      </x:c>
      <x:c r="B67" s="5" t="str">
        <x:v>WQ</x:v>
      </x:c>
      <x:c r="C67" s="5" t="str">
        <x:v>1</x:v>
      </x:c>
      <x:c r="D67" s="5" t="str">
        <x:v>Volks- und Betriebswirtschaft</x:v>
      </x:c>
      <x:c r="E67" s="5" t="str">
        <x:v>BWL</x:v>
      </x:c>
      <x:c r="F67" s="5" t="str">
        <x:v>ui-wq-0002</x:v>
      </x:c>
      <x:c r="G67" s="5" t="str">
        <x:v>Betriebliche Funktionen und deren Zusammenwirken</x:v>
      </x:c>
      <x:c r="H67" s="5" t="str">
        <x:v>dg-wq-0052</x:v>
      </x:c>
      <x:c r="I67" s="5" t="str">
        <x:v>1.2.1.7</x:v>
      </x:c>
      <x:c r="J67" s="5" t="str">
        <x:v>Personal</x:v>
      </x:c>
      <x:c r="K67" s="5" t="str"/>
      <x:c r="L67" s="5" t="str">
        <x:v>Personalmanagement</x:v>
      </x:c>
      <x:c r="M67" s="5" t="n">
        <x:v>60</x:v>
      </x:c>
      <x:c r="N67" s="5" t="n">
        <x:v>6</x:v>
      </x:c>
      <x:c r="O67" s="5" t="str"/>
      <x:c r="P67" s="5" t="str">
        <x:v>Zuordnungsvorschlag; Fachfreigabe ausstehend</x:v>
      </x:c>
      <x:c r="Q67" s="5" t="str">
        <x:v>Bestehendes Lernthema fachlich unter passendem Rahmenplan-Unterbereich behalten</x:v>
      </x:c>
      <x:c r="R67" s="5" t="str">
        <x:v>Circle Harbor produziert mit 12 Beschäftigten in jeweils 160 Arbeitsstunden insgesamt 4.800 Stück. Berechnen Sie die Arbeitsproduktivität je Beschäftigten und je Arbeitsstunde und erläutern Sie die Aussage der Kennzahl.</x:v>
      </x:c>
      <x:c r="S67" s="5" t="str">
        <x:v>2f98189bfda8d00725fe9bf5a23f82609a5d9209ad7887665439f93af99785d5</x:v>
      </x:c>
    </x:row>
    <x:row r="68" ht="36" customHeight="1">
      <x:c r="A68" s="5" t="str">
        <x:v>BWL-0062</x:v>
      </x:c>
      <x:c r="B68" s="5" t="str">
        <x:v>WQ</x:v>
      </x:c>
      <x:c r="C68" s="5" t="str">
        <x:v>1</x:v>
      </x:c>
      <x:c r="D68" s="5" t="str">
        <x:v>Volks- und Betriebswirtschaft</x:v>
      </x:c>
      <x:c r="E68" s="5" t="str">
        <x:v>BWL</x:v>
      </x:c>
      <x:c r="F68" s="5" t="str">
        <x:v>ui-wq-0002</x:v>
      </x:c>
      <x:c r="G68" s="5" t="str">
        <x:v>Betriebliche Funktionen und deren Zusammenwirken</x:v>
      </x:c>
      <x:c r="H68" s="5" t="str">
        <x:v>dg-wq-0044</x:v>
      </x:c>
      <x:c r="I68" s="5" t="str">
        <x:v>1.2.2</x:v>
      </x:c>
      <x:c r="J68" s="5" t="str">
        <x:v>Zusammenwirken der betrieblichen Funktionen</x:v>
      </x:c>
      <x:c r="K68" s="5" t="str"/>
      <x:c r="L68" s="5" t="str">
        <x:v>Zusammenwirken, Führung, Ziele &amp; Nachhaltigkeit</x:v>
      </x:c>
      <x:c r="M68" s="5" t="n">
        <x:v>61</x:v>
      </x:c>
      <x:c r="N68" s="5" t="n">
        <x:v>3</x:v>
      </x:c>
      <x:c r="O68" s="5" t="str"/>
      <x:c r="P68" s="5" t="str">
        <x:v>Zuordnungsvorschlag; Fachfreigabe ausstehend</x:v>
      </x:c>
      <x:c r="Q68" s="5" t="str">
        <x:v>Bestehendes Lernthema fachlich unter passendem Rahmenplan-Unterbereich behalten</x:v>
      </x:c>
      <x:c r="R68" s="5" t="str">
        <x:v>Was bedeutet Stakeholderorientierung und welche typischen Interessen verfolgen Eigentümer, Kunden, Wettbewerber, Beschäftigte, Lieferanten und Staat?</x:v>
      </x:c>
      <x:c r="S68" s="5" t="str">
        <x:v>2e1043d08d0b23529a686055eb6c5067b6462c02dd14f0ebbc9b79c600b26102</x:v>
      </x:c>
    </x:row>
    <x:row r="69" ht="36" customHeight="1">
      <x:c r="A69" s="5" t="str">
        <x:v>BWL-0063</x:v>
      </x:c>
      <x:c r="B69" s="5" t="str">
        <x:v>WQ</x:v>
      </x:c>
      <x:c r="C69" s="5" t="str">
        <x:v>1</x:v>
      </x:c>
      <x:c r="D69" s="5" t="str">
        <x:v>Volks- und Betriebswirtschaft</x:v>
      </x:c>
      <x:c r="E69" s="5" t="str">
        <x:v>BWL</x:v>
      </x:c>
      <x:c r="F69" s="5" t="str">
        <x:v>ui-wq-0002</x:v>
      </x:c>
      <x:c r="G69" s="5" t="str">
        <x:v>Betriebliche Funktionen und deren Zusammenwirken</x:v>
      </x:c>
      <x:c r="H69" s="5" t="str">
        <x:v>dg-wq-0044</x:v>
      </x:c>
      <x:c r="I69" s="5" t="str">
        <x:v>1.2.2</x:v>
      </x:c>
      <x:c r="J69" s="5" t="str">
        <x:v>Zusammenwirken der betrieblichen Funktionen</x:v>
      </x:c>
      <x:c r="K69" s="5" t="str"/>
      <x:c r="L69" s="5" t="str">
        <x:v>Zusammenwirken, Führung, Ziele &amp; Nachhaltigkeit</x:v>
      </x:c>
      <x:c r="M69" s="5" t="n">
        <x:v>62</x:v>
      </x:c>
      <x:c r="N69" s="5" t="n">
        <x:v>4</x:v>
      </x:c>
      <x:c r="O69" s="5" t="str"/>
      <x:c r="P69" s="5" t="str">
        <x:v>Zuordnungsvorschlag; Fachfreigabe ausstehend</x:v>
      </x:c>
      <x:c r="Q69" s="5" t="str">
        <x:v>Bestehendes Lernthema fachlich unter passendem Rahmenplan-Unterbereich behalten</x:v>
      </x:c>
      <x:c r="R69" s="5" t="str">
        <x:v>Wie wird ein betriebliches Zielsystem von der Vision bis zu den Funktionszielen aufgebaut und welche Anforderungen muss ein nach SMART formuliertes Ziel erfüllen?</x:v>
      </x:c>
      <x:c r="S69" s="5" t="str">
        <x:v>9bae48329275632baa44e2db41d15a56e7b890270dfb9f997055f41e617c7609</x:v>
      </x:c>
    </x:row>
    <x:row r="70" ht="36" customHeight="1">
      <x:c r="A70" s="5" t="str">
        <x:v>BWL-0064</x:v>
      </x:c>
      <x:c r="B70" s="5" t="str">
        <x:v>WQ</x:v>
      </x:c>
      <x:c r="C70" s="5" t="str">
        <x:v>1</x:v>
      </x:c>
      <x:c r="D70" s="5" t="str">
        <x:v>Volks- und Betriebswirtschaft</x:v>
      </x:c>
      <x:c r="E70" s="5" t="str">
        <x:v>BWL</x:v>
      </x:c>
      <x:c r="F70" s="5" t="str">
        <x:v>ui-wq-0002</x:v>
      </x:c>
      <x:c r="G70" s="5" t="str">
        <x:v>Betriebliche Funktionen und deren Zusammenwirken</x:v>
      </x:c>
      <x:c r="H70" s="5" t="str">
        <x:v>dg-wq-0044</x:v>
      </x:c>
      <x:c r="I70" s="5" t="str">
        <x:v>1.2.2</x:v>
      </x:c>
      <x:c r="J70" s="5" t="str">
        <x:v>Zusammenwirken der betrieblichen Funktionen</x:v>
      </x:c>
      <x:c r="K70" s="5" t="str"/>
      <x:c r="L70" s="5" t="str">
        <x:v>Zusammenwirken, Führung, Ziele &amp; Nachhaltigkeit</x:v>
      </x:c>
      <x:c r="M70" s="5" t="n">
        <x:v>63</x:v>
      </x:c>
      <x:c r="N70" s="5" t="n">
        <x:v>5</x:v>
      </x:c>
      <x:c r="O70" s="5" t="str"/>
      <x:c r="P70" s="5" t="str">
        <x:v>Zuordnungsvorschlag; Fachfreigabe ausstehend</x:v>
      </x:c>
      <x:c r="Q70" s="5" t="str">
        <x:v>Bestehendes Lernthema fachlich unter passendem Rahmenplan-Unterbereich behalten</x:v>
      </x:c>
      <x:c r="R70" s="5" t="str">
        <x:v>Welche drei Dimensionen umfasst Nachhaltigkeit im Unternehmen und welches Kernziel steht jeweils im Mittelpunkt?</x:v>
      </x:c>
      <x:c r="S70" s="5" t="str">
        <x:v>4fdf05b0649a8da8a114ca37f696c773d2cb2bab7e4f5c587bb578b7af46e85e</x:v>
      </x:c>
    </x:row>
    <x:row r="71" ht="36" customHeight="1">
      <x:c r="A71" s="5" t="str">
        <x:v>BWL-0065</x:v>
      </x:c>
      <x:c r="B71" s="5" t="str">
        <x:v>WQ</x:v>
      </x:c>
      <x:c r="C71" s="5" t="str">
        <x:v>1</x:v>
      </x:c>
      <x:c r="D71" s="5" t="str">
        <x:v>Volks- und Betriebswirtschaft</x:v>
      </x:c>
      <x:c r="E71" s="5" t="str">
        <x:v>BWL</x:v>
      </x:c>
      <x:c r="F71" s="5" t="str">
        <x:v>ui-wq-0002</x:v>
      </x:c>
      <x:c r="G71" s="5" t="str">
        <x:v>Betriebliche Funktionen und deren Zusammenwirken</x:v>
      </x:c>
      <x:c r="H71" s="5" t="str">
        <x:v>dg-wq-0044</x:v>
      </x:c>
      <x:c r="I71" s="5" t="str">
        <x:v>1.2.2</x:v>
      </x:c>
      <x:c r="J71" s="5" t="str">
        <x:v>Zusammenwirken der betrieblichen Funktionen</x:v>
      </x:c>
      <x:c r="K71" s="5" t="str"/>
      <x:c r="L71" s="5" t="str">
        <x:v>Zusammenwirken, Führung, Ziele &amp; Nachhaltigkeit</x:v>
      </x:c>
      <x:c r="M71" s="5" t="n">
        <x:v>64</x:v>
      </x:c>
      <x:c r="N71" s="5" t="n">
        <x:v>6</x:v>
      </x:c>
      <x:c r="O71" s="5" t="str"/>
      <x:c r="P71" s="5" t="str">
        <x:v>Zuordnungsvorschlag; Fachfreigabe ausstehend</x:v>
      </x:c>
      <x:c r="Q71" s="5" t="str">
        <x:v>Bestehendes Lernthema fachlich unter passendem Rahmenplan-Unterbereich behalten</x:v>
      </x:c>
      <x:c r="R71" s="5" t="str">
        <x:v>Aus Sicht von Circle Harbor: Beschreiben Sie ein Unternehmen als offenes System und ordnen Sie die wichtigsten Güter- und Geldströme zu Beschaffungsmarkt, Absatzmarkt, Staat, Geld- und Kapitalmarkt sowie Entsorgung ein.</x:v>
      </x:c>
      <x:c r="S71" s="5" t="str">
        <x:v>eee87376ba04841c6955c107d31715fbce029b515c982f29685a526917e846d6</x:v>
      </x:c>
    </x:row>
    <x:row r="72" ht="36" customHeight="1">
      <x:c r="A72" s="5" t="str">
        <x:v>BWL-0066</x:v>
      </x:c>
      <x:c r="B72" s="5" t="str">
        <x:v>WQ</x:v>
      </x:c>
      <x:c r="C72" s="5" t="str">
        <x:v>1</x:v>
      </x:c>
      <x:c r="D72" s="5" t="str">
        <x:v>Volks- und Betriebswirtschaft</x:v>
      </x:c>
      <x:c r="E72" s="5" t="str">
        <x:v>BWL</x:v>
      </x:c>
      <x:c r="F72" s="5" t="str">
        <x:v>ui-wq-0003</x:v>
      </x:c>
      <x:c r="G72" s="5" t="str">
        <x:v>Existenzgründung und Unternehmensrechtsformen</x:v>
      </x:c>
      <x:c r="H72" s="5" t="str">
        <x:v>dg-wq-0053</x:v>
      </x:c>
      <x:c r="I72" s="5" t="str">
        <x:v>1.3.2</x:v>
      </x:c>
      <x:c r="J72" s="5" t="str">
        <x:v>Voraussetzungen der Existenzgründung</x:v>
      </x:c>
      <x:c r="K72" s="5" t="str"/>
      <x:c r="L72" s="5" t="str">
        <x:v>Existenzgründung &amp; Rechtsformen</x:v>
      </x:c>
      <x:c r="M72" s="5" t="n">
        <x:v>2</x:v>
      </x:c>
      <x:c r="N72" s="5" t="n">
        <x:v>1</x:v>
      </x:c>
      <x:c r="O72" s="5" t="str"/>
      <x:c r="P72" s="5" t="str">
        <x:v>Zuordnungsvorschlag; Fachfreigabe ausstehend</x:v>
      </x:c>
      <x:c r="Q72" s="5" t="str">
        <x:v>Frageinhalt präzisiert bzw. teilt bisheriges Sammelthema</x:v>
      </x:c>
      <x:c r="R72" s="5" t="str">
        <x:v>Welche finanziellen Voraussetzungen, Formalitäten und Fördermöglichkeiten sollten bei der Umsetzung einer Existenzgründung berücksichtigt werden?</x:v>
      </x:c>
      <x:c r="S72" s="5" t="str">
        <x:v>9162e664cec63afe68537f92bf9c7ddcbdc1ad53a55ae18ef5bc0cddd23e06a1</x:v>
      </x:c>
    </x:row>
    <x:row r="73" ht="36" customHeight="1">
      <x:c r="A73" s="5" t="str">
        <x:v>BWL-0067</x:v>
      </x:c>
      <x:c r="B73" s="5" t="str">
        <x:v>WQ</x:v>
      </x:c>
      <x:c r="C73" s="5" t="str">
        <x:v>1</x:v>
      </x:c>
      <x:c r="D73" s="5" t="str">
        <x:v>Volks- und Betriebswirtschaft</x:v>
      </x:c>
      <x:c r="E73" s="5" t="str">
        <x:v>BWL</x:v>
      </x:c>
      <x:c r="F73" s="5" t="str">
        <x:v>ui-wq-0003</x:v>
      </x:c>
      <x:c r="G73" s="5" t="str">
        <x:v>Existenzgründung und Unternehmensrechtsformen</x:v>
      </x:c>
      <x:c r="H73" s="5" t="str">
        <x:v>dg-wq-0050</x:v>
      </x:c>
      <x:c r="I73" s="5" t="str">
        <x:v>1.3.3</x:v>
      </x:c>
      <x:c r="J73" s="5" t="str">
        <x:v>Rechtsformen</x:v>
      </x:c>
      <x:c r="K73" s="5" t="str"/>
      <x:c r="L73" s="5" t="str">
        <x:v>Existenzgründung &amp; Rechtsformen</x:v>
      </x:c>
      <x:c r="M73" s="5" t="n">
        <x:v>3</x:v>
      </x:c>
      <x:c r="N73" s="5" t="n">
        <x:v>2</x:v>
      </x:c>
      <x:c r="O73" s="5" t="str"/>
      <x:c r="P73" s="5" t="str">
        <x:v>Zuordnungsvorschlag; Fachfreigabe ausstehend</x:v>
      </x:c>
      <x:c r="Q73" s="5" t="str">
        <x:v>Bestehendes Lernthema fachlich unter passendem Rahmenplan-Unterbereich behalten</x:v>
      </x:c>
      <x:c r="R73" s="5" t="str">
        <x:v>Bringen Sie die Phasen einer Existenzgründung in eine sinnvolle Reihenfolge und erläutern Sie Ziel sowie typische Instrumente jeder Phase.</x:v>
      </x:c>
      <x:c r="S73" s="5" t="str">
        <x:v>e29dc3f5a617ac831377e729a27fe796fda4ea8cb1eb4932c6c539b5fc1362c6</x:v>
      </x:c>
    </x:row>
    <x:row r="74" ht="36" customHeight="1">
      <x:c r="A74" s="5" t="str">
        <x:v>BWL-0068</x:v>
      </x:c>
      <x:c r="B74" s="5" t="str">
        <x:v>WQ</x:v>
      </x:c>
      <x:c r="C74" s="5" t="str">
        <x:v>1</x:v>
      </x:c>
      <x:c r="D74" s="5" t="str">
        <x:v>Volks- und Betriebswirtschaft</x:v>
      </x:c>
      <x:c r="E74" s="5" t="str">
        <x:v>BWL</x:v>
      </x:c>
      <x:c r="F74" s="5" t="str">
        <x:v>ui-wq-0003</x:v>
      </x:c>
      <x:c r="G74" s="5" t="str">
        <x:v>Existenzgründung und Unternehmensrechtsformen</x:v>
      </x:c>
      <x:c r="H74" s="5" t="str">
        <x:v>dg-wq-0050</x:v>
      </x:c>
      <x:c r="I74" s="5" t="str">
        <x:v>1.3.3</x:v>
      </x:c>
      <x:c r="J74" s="5" t="str">
        <x:v>Rechtsformen</x:v>
      </x:c>
      <x:c r="K74" s="5" t="str"/>
      <x:c r="L74" s="5" t="str">
        <x:v>Existenzgründung &amp; Rechtsformen</x:v>
      </x:c>
      <x:c r="M74" s="5" t="n">
        <x:v>4</x:v>
      </x:c>
      <x:c r="N74" s="5" t="n">
        <x:v>3</x:v>
      </x:c>
      <x:c r="O74" s="5" t="str"/>
      <x:c r="P74" s="5" t="str">
        <x:v>Zuordnungsvorschlag; Fachfreigabe ausstehend</x:v>
      </x:c>
      <x:c r="Q74" s="5" t="str">
        <x:v>Bestehendes Lernthema fachlich unter passendem Rahmenplan-Unterbereich behalten</x:v>
      </x:c>
      <x:c r="R74" s="5" t="str">
        <x:v>Vervollständigen Sie die Aussagen zur Bedeutung eines Businessplans.</x:v>
      </x:c>
      <x:c r="S74" s="5" t="str">
        <x:v>6cacd0e3c539757c349c00b33219e3ba268bd760e68b36b55d1848c2d17950e7</x:v>
      </x:c>
    </x:row>
    <x:row r="75" ht="36" customHeight="1">
      <x:c r="A75" s="5" t="str">
        <x:v>BWL-0069</x:v>
      </x:c>
      <x:c r="B75" s="5" t="str">
        <x:v>WQ</x:v>
      </x:c>
      <x:c r="C75" s="5" t="str">
        <x:v>1</x:v>
      </x:c>
      <x:c r="D75" s="5" t="str">
        <x:v>Volks- und Betriebswirtschaft</x:v>
      </x:c>
      <x:c r="E75" s="5" t="str">
        <x:v>BWL</x:v>
      </x:c>
      <x:c r="F75" s="5" t="str">
        <x:v>ui-wq-0003</x:v>
      </x:c>
      <x:c r="G75" s="5" t="str">
        <x:v>Existenzgründung und Unternehmensrechtsformen</x:v>
      </x:c>
      <x:c r="H75" s="5" t="str">
        <x:v>dg-wq-0050</x:v>
      </x:c>
      <x:c r="I75" s="5" t="str">
        <x:v>1.3.3</x:v>
      </x:c>
      <x:c r="J75" s="5" t="str">
        <x:v>Rechtsformen</x:v>
      </x:c>
      <x:c r="K75" s="5" t="str"/>
      <x:c r="L75" s="5" t="str">
        <x:v>Existenzgründung &amp; Rechtsformen</x:v>
      </x:c>
      <x:c r="M75" s="5" t="n">
        <x:v>5</x:v>
      </x:c>
      <x:c r="N75" s="5" t="n">
        <x:v>4</x:v>
      </x:c>
      <x:c r="O75" s="5" t="str"/>
      <x:c r="P75" s="5" t="str">
        <x:v>Zuordnungsvorschlag; Fachfreigabe ausstehend</x:v>
      </x:c>
      <x:c r="Q75" s="5" t="str">
        <x:v>Bestehendes Lernthema fachlich unter passendem Rahmenplan-Unterbereich behalten</x:v>
      </x:c>
      <x:c r="R75" s="5" t="str">
        <x:v>Ordnen Sie die Informationen zur geplanten Kochsendung den SWOT-Kategorien Stärke, Schwäche, Chance oder Risiko zu.</x:v>
      </x:c>
      <x:c r="S75" s="5" t="str">
        <x:v>f096ea698bdb3e86bf1bfa3d336172f8b036e2de67f17d6a01c17db8815485d7</x:v>
      </x:c>
    </x:row>
    <x:row r="76" ht="36" customHeight="1">
      <x:c r="A76" s="5" t="str">
        <x:v>BWL-0070</x:v>
      </x:c>
      <x:c r="B76" s="5" t="str">
        <x:v>WQ</x:v>
      </x:c>
      <x:c r="C76" s="5" t="str">
        <x:v>1</x:v>
      </x:c>
      <x:c r="D76" s="5" t="str">
        <x:v>Volks- und Betriebswirtschaft</x:v>
      </x:c>
      <x:c r="E76" s="5" t="str">
        <x:v>BWL</x:v>
      </x:c>
      <x:c r="F76" s="5" t="str">
        <x:v>ui-wq-0003</x:v>
      </x:c>
      <x:c r="G76" s="5" t="str">
        <x:v>Existenzgründung und Unternehmensrechtsformen</x:v>
      </x:c>
      <x:c r="H76" s="5" t="str">
        <x:v>dg-wq-0050</x:v>
      </x:c>
      <x:c r="I76" s="5" t="str">
        <x:v>1.3.3</x:v>
      </x:c>
      <x:c r="J76" s="5" t="str">
        <x:v>Rechtsformen</x:v>
      </x:c>
      <x:c r="K76" s="5" t="str"/>
      <x:c r="L76" s="5" t="str">
        <x:v>Existenzgründung &amp; Rechtsformen</x:v>
      </x:c>
      <x:c r="M76" s="5" t="n">
        <x:v>6</x:v>
      </x:c>
      <x:c r="N76" s="5" t="n">
        <x:v>5</x:v>
      </x:c>
      <x:c r="O76" s="5" t="str"/>
      <x:c r="P76" s="5" t="str">
        <x:v>Zuordnungsvorschlag; Fachfreigabe ausstehend</x:v>
      </x:c>
      <x:c r="Q76" s="5" t="str">
        <x:v>Bestehendes Lernthema fachlich unter passendem Rahmenplan-Unterbereich behalten</x:v>
      </x:c>
      <x:c r="R76" s="5" t="str">
        <x:v>Welche Inhalte sollte ein Businessplan in den Bereichen Markt und Wettbewerb, Finanzierung sowie Marketing und Vertrieb behandeln und welche weiteren Bestandteile sind sinnvoll?</x:v>
      </x:c>
      <x:c r="S76" s="5" t="str">
        <x:v>d3e69b42316a28038dfa6bbea26be62ccad4dc6ec6cf358fbbac935efdedc55b</x:v>
      </x:c>
    </x:row>
    <x:row r="77" ht="36" customHeight="1">
      <x:c r="A77" s="5" t="str">
        <x:v>BWL-0071</x:v>
      </x:c>
      <x:c r="B77" s="5" t="str">
        <x:v>WQ</x:v>
      </x:c>
      <x:c r="C77" s="5" t="str">
        <x:v>1</x:v>
      </x:c>
      <x:c r="D77" s="5" t="str">
        <x:v>Volks- und Betriebswirtschaft</x:v>
      </x:c>
      <x:c r="E77" s="5" t="str">
        <x:v>BWL</x:v>
      </x:c>
      <x:c r="F77" s="5" t="str">
        <x:v>ui-wq-0003</x:v>
      </x:c>
      <x:c r="G77" s="5" t="str">
        <x:v>Existenzgründung und Unternehmensrechtsformen</x:v>
      </x:c>
      <x:c r="H77" s="5" t="str">
        <x:v>dg-wq-0053</x:v>
      </x:c>
      <x:c r="I77" s="5" t="str">
        <x:v>1.3.2</x:v>
      </x:c>
      <x:c r="J77" s="5" t="str">
        <x:v>Voraussetzungen der Existenzgründung</x:v>
      </x:c>
      <x:c r="K77" s="5" t="str"/>
      <x:c r="L77" s="5" t="str">
        <x:v>Existenzgründung &amp; Rechtsformen</x:v>
      </x:c>
      <x:c r="M77" s="5" t="n">
        <x:v>7</x:v>
      </x:c>
      <x:c r="N77" s="5" t="n">
        <x:v>2</x:v>
      </x:c>
      <x:c r="O77" s="5" t="str"/>
      <x:c r="P77" s="5" t="str">
        <x:v>Zuordnungsvorschlag; Fachfreigabe ausstehend</x:v>
      </x:c>
      <x:c r="Q77" s="5" t="str">
        <x:v>Frageinhalt präzisiert bzw. teilt bisheriges Sammelthema</x:v>
      </x:c>
      <x:c r="R77" s="5" t="str">
        <x:v>Welche persönlichen, fachlichen und unternehmerischen Voraussetzungen sollten Gründerinnen und Gründer vor einer Existenzgründung prüfen?</x:v>
      </x:c>
      <x:c r="S77" s="5" t="str">
        <x:v>3ac417866ba2878cccc4acda3a823bb60aceaabad7dddd683e569c66978b9c89</x:v>
      </x:c>
    </x:row>
    <x:row r="78" ht="36" customHeight="1">
      <x:c r="A78" s="5" t="str">
        <x:v>BWL-0072</x:v>
      </x:c>
      <x:c r="B78" s="5" t="str">
        <x:v>WQ</x:v>
      </x:c>
      <x:c r="C78" s="5" t="str">
        <x:v>1</x:v>
      </x:c>
      <x:c r="D78" s="5" t="str">
        <x:v>Volks- und Betriebswirtschaft</x:v>
      </x:c>
      <x:c r="E78" s="5" t="str">
        <x:v>BWL</x:v>
      </x:c>
      <x:c r="F78" s="5" t="str">
        <x:v>ui-wq-0003</x:v>
      </x:c>
      <x:c r="G78" s="5" t="str">
        <x:v>Existenzgründung und Unternehmensrechtsformen</x:v>
      </x:c>
      <x:c r="H78" s="5" t="str">
        <x:v>dg-wq-0050</x:v>
      </x:c>
      <x:c r="I78" s="5" t="str">
        <x:v>1.3.3</x:v>
      </x:c>
      <x:c r="J78" s="5" t="str">
        <x:v>Rechtsformen</x:v>
      </x:c>
      <x:c r="K78" s="5" t="str"/>
      <x:c r="L78" s="5" t="str">
        <x:v>Existenzgründung &amp; Rechtsformen</x:v>
      </x:c>
      <x:c r="M78" s="5" t="n">
        <x:v>8</x:v>
      </x:c>
      <x:c r="N78" s="5" t="n">
        <x:v>6</x:v>
      </x:c>
      <x:c r="O78" s="5" t="str"/>
      <x:c r="P78" s="5" t="str">
        <x:v>Zuordnungsvorschlag; Fachfreigabe ausstehend</x:v>
      </x:c>
      <x:c r="Q78" s="5" t="str">
        <x:v>Bestehendes Lernthema fachlich unter passendem Rahmenplan-Unterbereich behalten</x:v>
      </x:c>
      <x:c r="R78" s="5" t="str">
        <x:v>Unterscheiden Sie die Gründungsformen Start-up, Franchising, Ausgründung und Management-Buy-out.</x:v>
      </x:c>
      <x:c r="S78" s="5" t="str">
        <x:v>e84a8d42165dd70d37c4127d3c5f21da5d8d7bd6be326453aa56eaa126dc8ce9</x:v>
      </x:c>
    </x:row>
    <x:row r="79" ht="36" customHeight="1">
      <x:c r="A79" s="5" t="str">
        <x:v>BWL-0073</x:v>
      </x:c>
      <x:c r="B79" s="5" t="str">
        <x:v>WQ</x:v>
      </x:c>
      <x:c r="C79" s="5" t="str">
        <x:v>1</x:v>
      </x:c>
      <x:c r="D79" s="5" t="str">
        <x:v>Volks- und Betriebswirtschaft</x:v>
      </x:c>
      <x:c r="E79" s="5" t="str">
        <x:v>BWL</x:v>
      </x:c>
      <x:c r="F79" s="5" t="str">
        <x:v>ui-wq-0003</x:v>
      </x:c>
      <x:c r="G79" s="5" t="str">
        <x:v>Existenzgründung und Unternehmensrechtsformen</x:v>
      </x:c>
      <x:c r="H79" s="5" t="str">
        <x:v>dg-wq-0050</x:v>
      </x:c>
      <x:c r="I79" s="5" t="str">
        <x:v>1.3.3.2</x:v>
      </x:c>
      <x:c r="J79" s="5" t="str">
        <x:v>Ansprüche an Haftung, Geschäftsführung und Vertretung</x:v>
      </x:c>
      <x:c r="K79" s="5" t="str"/>
      <x:c r="L79" s="5" t="str">
        <x:v>Existenzgründung &amp; Rechtsformen</x:v>
      </x:c>
      <x:c r="M79" s="5" t="n">
        <x:v>9</x:v>
      </x:c>
      <x:c r="N79" s="5" t="n">
        <x:v>7</x:v>
      </x:c>
      <x:c r="O79" s="5" t="str"/>
      <x:c r="P79" s="5" t="str">
        <x:v>Zuordnungsvorschlag; Fachfreigabe ausstehend</x:v>
      </x:c>
      <x:c r="Q79" s="5" t="str">
        <x:v>Bestehendes Lernthema fachlich unter passendem Rahmenplan-Unterbereich behalten</x:v>
      </x:c>
      <x:c r="R79" s="5" t="str">
        <x:v>Vergleichen Sie GbR beziehungsweise eGbR, OHG, KG und Partnerschaftsgesellschaft hinsichtlich Gründung, Register, Haftung sowie Geschäftsführung und Vertretung.</x:v>
      </x:c>
      <x:c r="S79" s="5" t="str">
        <x:v>3878f7150fef29af2c3dd2290d6097a2ece64104f5d0690048869a2c1e400a49</x:v>
      </x:c>
    </x:row>
    <x:row r="80" ht="36" customHeight="1">
      <x:c r="A80" s="5" t="str">
        <x:v>BWL-0074</x:v>
      </x:c>
      <x:c r="B80" s="5" t="str">
        <x:v>WQ</x:v>
      </x:c>
      <x:c r="C80" s="5" t="str">
        <x:v>1</x:v>
      </x:c>
      <x:c r="D80" s="5" t="str">
        <x:v>Volks- und Betriebswirtschaft</x:v>
      </x:c>
      <x:c r="E80" s="5" t="str">
        <x:v>BWL</x:v>
      </x:c>
      <x:c r="F80" s="5" t="str">
        <x:v>ui-wq-0003</x:v>
      </x:c>
      <x:c r="G80" s="5" t="str">
        <x:v>Existenzgründung und Unternehmensrechtsformen</x:v>
      </x:c>
      <x:c r="H80" s="5" t="str">
        <x:v>dg-wq-0050</x:v>
      </x:c>
      <x:c r="I80" s="5" t="str">
        <x:v>1.3.3.2</x:v>
      </x:c>
      <x:c r="J80" s="5" t="str">
        <x:v>Ansprüche an Haftung, Geschäftsführung und Vertretung</x:v>
      </x:c>
      <x:c r="K80" s="5" t="str"/>
      <x:c r="L80" s="5" t="str">
        <x:v>Existenzgründung &amp; Rechtsformen</x:v>
      </x:c>
      <x:c r="M80" s="5" t="n">
        <x:v>10</x:v>
      </x:c>
      <x:c r="N80" s="5" t="n">
        <x:v>8</x:v>
      </x:c>
      <x:c r="O80" s="5" t="str"/>
      <x:c r="P80" s="5" t="str">
        <x:v>Zuordnungsvorschlag; Fachfreigabe ausstehend</x:v>
      </x:c>
      <x:c r="Q80" s="5" t="str">
        <x:v>Bestehendes Lernthema fachlich unter passendem Rahmenplan-Unterbereich behalten</x:v>
      </x:c>
      <x:c r="R80" s="5" t="str">
        <x:v>Unterscheiden Sie Einzelunternehmen, eingetragenen Kaufmann beziehungsweise eingetragene Kauffrau, Kleingewerbe und freiberufliche Tätigkeit hinsichtlich Gründung, Register, Firma und Haftung.</x:v>
      </x:c>
      <x:c r="S80" s="5" t="str">
        <x:v>b8ef2d0299d25d96e2653ebb31440f1e937dd3f7d0213bd647d483b7a0438d33</x:v>
      </x:c>
    </x:row>
    <x:row r="81" ht="36" customHeight="1">
      <x:c r="A81" s="5" t="str">
        <x:v>BWL-0075</x:v>
      </x:c>
      <x:c r="B81" s="5" t="str">
        <x:v>WQ</x:v>
      </x:c>
      <x:c r="C81" s="5" t="str">
        <x:v>1</x:v>
      </x:c>
      <x:c r="D81" s="5" t="str">
        <x:v>Volks- und Betriebswirtschaft</x:v>
      </x:c>
      <x:c r="E81" s="5" t="str">
        <x:v>BWL</x:v>
      </x:c>
      <x:c r="F81" s="5" t="str">
        <x:v>ui-wq-0003</x:v>
      </x:c>
      <x:c r="G81" s="5" t="str">
        <x:v>Existenzgründung und Unternehmensrechtsformen</x:v>
      </x:c>
      <x:c r="H81" s="5" t="str">
        <x:v>dg-wq-0050</x:v>
      </x:c>
      <x:c r="I81" s="5" t="str">
        <x:v>1.3.3</x:v>
      </x:c>
      <x:c r="J81" s="5" t="str">
        <x:v>Rechtsformen</x:v>
      </x:c>
      <x:c r="K81" s="5" t="str"/>
      <x:c r="L81" s="5" t="str">
        <x:v>Existenzgründung &amp; Rechtsformen</x:v>
      </x:c>
      <x:c r="M81" s="5" t="n">
        <x:v>11</x:v>
      </x:c>
      <x:c r="N81" s="5" t="n">
        <x:v>9</x:v>
      </x:c>
      <x:c r="O81" s="5" t="str"/>
      <x:c r="P81" s="5" t="str">
        <x:v>Zuordnungsvorschlag; Fachfreigabe ausstehend</x:v>
      </x:c>
      <x:c r="Q81" s="5" t="str">
        <x:v>Bestehendes Lernthema fachlich unter passendem Rahmenplan-Unterbereich behalten</x:v>
      </x:c>
      <x:c r="R81" s="5" t="str">
        <x:v>Stellen Sie die Grundstruktur einer Aktiengesellschaft sowie Zusammensetzung und Aufgaben ihrer Organe dar.</x:v>
      </x:c>
      <x:c r="S81" s="5" t="str">
        <x:v>29110f2f5da19281b65adcf49d9f5220a1dbbc381c2111025707b4f076df20c1</x:v>
      </x:c>
    </x:row>
    <x:row r="82" ht="36" customHeight="1">
      <x:c r="A82" s="5" t="str">
        <x:v>BWL-0076</x:v>
      </x:c>
      <x:c r="B82" s="5" t="str">
        <x:v>WQ</x:v>
      </x:c>
      <x:c r="C82" s="5" t="str">
        <x:v>1</x:v>
      </x:c>
      <x:c r="D82" s="5" t="str">
        <x:v>Volks- und Betriebswirtschaft</x:v>
      </x:c>
      <x:c r="E82" s="5" t="str">
        <x:v>BWL</x:v>
      </x:c>
      <x:c r="F82" s="5" t="str">
        <x:v>ui-wq-0003</x:v>
      </x:c>
      <x:c r="G82" s="5" t="str">
        <x:v>Existenzgründung und Unternehmensrechtsformen</x:v>
      </x:c>
      <x:c r="H82" s="5" t="str">
        <x:v>dg-wq-0050</x:v>
      </x:c>
      <x:c r="I82" s="5" t="str">
        <x:v>1.3.3</x:v>
      </x:c>
      <x:c r="J82" s="5" t="str">
        <x:v>Rechtsformen</x:v>
      </x:c>
      <x:c r="K82" s="5" t="str"/>
      <x:c r="L82" s="5" t="str">
        <x:v>Existenzgründung &amp; Rechtsformen</x:v>
      </x:c>
      <x:c r="M82" s="5" t="n">
        <x:v>12</x:v>
      </x:c>
      <x:c r="N82" s="5" t="n">
        <x:v>10</x:v>
      </x:c>
      <x:c r="O82" s="5" t="str"/>
      <x:c r="P82" s="5" t="str">
        <x:v>Zuordnungsvorschlag; Fachfreigabe ausstehend</x:v>
      </x:c>
      <x:c r="Q82" s="5" t="str">
        <x:v>Bestehendes Lernthema fachlich unter passendem Rahmenplan-Unterbereich behalten</x:v>
      </x:c>
      <x:c r="R82" s="5" t="str">
        <x:v>Aus Sicht von Circle Harbor: Nennen Sie wesentliche Gemeinsamkeiten und Unterschiede zwischen GmbH und AG.</x:v>
      </x:c>
      <x:c r="S82" s="5" t="str">
        <x:v>bc9635c325334980861b777ba4fbaa9985445261b3f62c8d8c972aa67451b8a7</x:v>
      </x:c>
    </x:row>
    <x:row r="83" ht="36" customHeight="1">
      <x:c r="A83" s="5" t="str">
        <x:v>BWL-0077</x:v>
      </x:c>
      <x:c r="B83" s="5" t="str">
        <x:v>WQ</x:v>
      </x:c>
      <x:c r="C83" s="5" t="str">
        <x:v>1</x:v>
      </x:c>
      <x:c r="D83" s="5" t="str">
        <x:v>Volks- und Betriebswirtschaft</x:v>
      </x:c>
      <x:c r="E83" s="5" t="str">
        <x:v>BWL</x:v>
      </x:c>
      <x:c r="F83" s="5" t="str">
        <x:v>ui-wq-0003</x:v>
      </x:c>
      <x:c r="G83" s="5" t="str">
        <x:v>Existenzgründung und Unternehmensrechtsformen</x:v>
      </x:c>
      <x:c r="H83" s="5" t="str">
        <x:v>dg-wq-0050</x:v>
      </x:c>
      <x:c r="I83" s="5" t="str">
        <x:v>1.3.3.2</x:v>
      </x:c>
      <x:c r="J83" s="5" t="str">
        <x:v>Ansprüche an Haftung, Geschäftsführung und Vertretung</x:v>
      </x:c>
      <x:c r="K83" s="5" t="str"/>
      <x:c r="L83" s="5" t="str">
        <x:v>Existenzgründung &amp; Rechtsformen</x:v>
      </x:c>
      <x:c r="M83" s="5" t="n">
        <x:v>13</x:v>
      </x:c>
      <x:c r="N83" s="5" t="n">
        <x:v>11</x:v>
      </x:c>
      <x:c r="O83" s="5" t="str"/>
      <x:c r="P83" s="5" t="str">
        <x:v>Zuordnungsvorschlag; Fachfreigabe ausstehend</x:v>
      </x:c>
      <x:c r="Q83" s="5" t="str">
        <x:v>Bestehendes Lernthema fachlich unter passendem Rahmenplan-Unterbereich behalten</x:v>
      </x:c>
      <x:c r="R83" s="5" t="str">
        <x:v>Welche Rechtsformen passen zu unterschiedlichen Gründungswünschen wie Haftungsbegrenzung, geringem Startkapital, Börsenzugang, Verzicht auf Handelsregistereintrag oder persönlicher Haftungsbereitschaft?</x:v>
      </x:c>
      <x:c r="S83" s="5" t="str">
        <x:v>07718145638ef6da8917d8aa26835331b380762ce5bee2f6ab5d14144b177e96</x:v>
      </x:c>
    </x:row>
    <x:row r="84" ht="36" customHeight="1">
      <x:c r="A84" s="5" t="str">
        <x:v>BWL-0078</x:v>
      </x:c>
      <x:c r="B84" s="5" t="str">
        <x:v>WQ</x:v>
      </x:c>
      <x:c r="C84" s="5" t="str">
        <x:v>1</x:v>
      </x:c>
      <x:c r="D84" s="5" t="str">
        <x:v>Volks- und Betriebswirtschaft</x:v>
      </x:c>
      <x:c r="E84" s="5" t="str">
        <x:v>BWL</x:v>
      </x:c>
      <x:c r="F84" s="5" t="str">
        <x:v>ui-wq-0003</x:v>
      </x:c>
      <x:c r="G84" s="5" t="str">
        <x:v>Existenzgründung und Unternehmensrechtsformen</x:v>
      </x:c>
      <x:c r="H84" s="5" t="str">
        <x:v>dg-wq-0050</x:v>
      </x:c>
      <x:c r="I84" s="5" t="str">
        <x:v>1.3.3.2</x:v>
      </x:c>
      <x:c r="J84" s="5" t="str">
        <x:v>Ansprüche an Haftung, Geschäftsführung und Vertretung</x:v>
      </x:c>
      <x:c r="K84" s="5" t="str"/>
      <x:c r="L84" s="5" t="str">
        <x:v>Existenzgründung &amp; Rechtsformen</x:v>
      </x:c>
      <x:c r="M84" s="5" t="n">
        <x:v>14</x:v>
      </x:c>
      <x:c r="N84" s="5" t="n">
        <x:v>12</x:v>
      </x:c>
      <x:c r="O84" s="5" t="str"/>
      <x:c r="P84" s="5" t="str">
        <x:v>Zuordnungsvorschlag; Fachfreigabe ausstehend</x:v>
      </x:c>
      <x:c r="Q84" s="5" t="str">
        <x:v>Bestehendes Lernthema fachlich unter passendem Rahmenplan-Unterbereich behalten</x:v>
      </x:c>
      <x:c r="R84" s="5" t="str">
        <x:v>Aus Sicht von Circle Harbor: Wie sind Haftung, Geschäftsführung, Anmeldung und Firmenbezeichnung bei einer GmbH &amp; Co. KG geregelt?</x:v>
      </x:c>
      <x:c r="S84" s="5" t="str">
        <x:v>616563bfc62bd97c4e26b3f06c3d1823ac73611c4f4a741bb37f8b80d2bc48c3</x:v>
      </x:c>
    </x:row>
    <x:row r="85" ht="36" customHeight="1">
      <x:c r="A85" s="5" t="str">
        <x:v>BWL-0079</x:v>
      </x:c>
      <x:c r="B85" s="5" t="str">
        <x:v>WQ</x:v>
      </x:c>
      <x:c r="C85" s="5" t="str">
        <x:v>1</x:v>
      </x:c>
      <x:c r="D85" s="5" t="str">
        <x:v>Volks- und Betriebswirtschaft</x:v>
      </x:c>
      <x:c r="E85" s="5" t="str">
        <x:v>BWL</x:v>
      </x:c>
      <x:c r="F85" s="5" t="str">
        <x:v>ui-wq-0002</x:v>
      </x:c>
      <x:c r="G85" s="5" t="str">
        <x:v>Betriebliche Funktionen und deren Zusammenwirken</x:v>
      </x:c>
      <x:c r="H85" s="5" t="str">
        <x:v>dg-wq-0049</x:v>
      </x:c>
      <x:c r="I85" s="5" t="str">
        <x:v>1.2.1.5</x:v>
      </x:c>
      <x:c r="J85" s="5" t="str">
        <x:v>Finanzierung / Investition</x:v>
      </x:c>
      <x:c r="K85" s="5" t="str"/>
      <x:c r="L85" s="5" t="str">
        <x:v>Finanzierung &amp; Investition</x:v>
      </x:c>
      <x:c r="M85" s="5" t="n">
        <x:v>65</x:v>
      </x:c>
      <x:c r="N85" s="5" t="n">
        <x:v>13</x:v>
      </x:c>
      <x:c r="O85" s="5" t="str"/>
      <x:c r="P85" s="5" t="str">
        <x:v>Zuordnungsvorschlag; Fachfreigabe ausstehend</x:v>
      </x:c>
      <x:c r="Q85" s="5" t="str">
        <x:v>Bestehendes Lernthema fachlich unter passendem Rahmenplan-Unterbereich behalten</x:v>
      </x:c>
      <x:c r="R85" s="5" t="str">
        <x:v>Mit welchen kurzfristigen Maßnahmen können Beschaffung und Logistik, Produktion, Marketing und Vertrieb sowie Finanzierung einer angespannten Liquiditätslage entgegenwirken?</x:v>
      </x:c>
      <x:c r="S85" s="5" t="str">
        <x:v>333315a91bfef93ed3a2a0203a180c5dbdea7845b2eb363e2c80ff7359ec9ff3</x:v>
      </x:c>
    </x:row>
    <x:row r="86" ht="36" customHeight="1">
      <x:c r="A86" s="5" t="str">
        <x:v>BWL-0080</x:v>
      </x:c>
      <x:c r="B86" s="5" t="str">
        <x:v>WQ</x:v>
      </x:c>
      <x:c r="C86" s="5" t="str">
        <x:v>1</x:v>
      </x:c>
      <x:c r="D86" s="5" t="str">
        <x:v>Volks- und Betriebswirtschaft</x:v>
      </x:c>
      <x:c r="E86" s="5" t="str">
        <x:v>BWL</x:v>
      </x:c>
      <x:c r="F86" s="5" t="str">
        <x:v>ui-wq-0004</x:v>
      </x:c>
      <x:c r="G86" s="5" t="str">
        <x:v>Unternehmenszusammenschlüsse</x:v>
      </x:c>
      <x:c r="H86" s="5" t="str">
        <x:v>dg-wq-0054</x:v>
      </x:c>
      <x:c r="I86" s="5" t="str">
        <x:v>1.4.2.2</x:v>
      </x:c>
      <x:c r="J86" s="5" t="str">
        <x:v>Ziele der Konzentration</x:v>
      </x:c>
      <x:c r="K86" s="5" t="str"/>
      <x:c r="L86" s="5" t="str">
        <x:v>Unternehmenszusammenschlüsse</x:v>
      </x:c>
      <x:c r="M86" s="5" t="n">
        <x:v>1</x:v>
      </x:c>
      <x:c r="N86" s="5" t="n">
        <x:v>1</x:v>
      </x:c>
      <x:c r="O86" s="5" t="str"/>
      <x:c r="P86" s="5" t="str">
        <x:v>Zuordnungsvorschlag; Fachfreigabe ausstehend</x:v>
      </x:c>
      <x:c r="Q86" s="5" t="str">
        <x:v>Frageinhalt präzisiert bzw. teilt bisheriges Sammelthema</x:v>
      </x:c>
      <x:c r="R86" s="5" t="str">
        <x:v>Grenzen Sie Kooperation und Konzentration anhand der rechtlichen und wirtschaftlichen Selbstständigkeit ab und ordnen Sie Arbeitsgemeinschaft, Konsortium, strategische Allianz, Kartell, Joint Venture, Konzern und Fusion zu.</x:v>
      </x:c>
      <x:c r="S86" s="5" t="str">
        <x:v>640128961b42c178ec0d076c1503ee6d0dd57b4f62500569e2155310bf8a838d</x:v>
      </x:c>
    </x:row>
    <x:row r="87" ht="36" customHeight="1">
      <x:c r="A87" s="5" t="str">
        <x:v>BWL-0081</x:v>
      </x:c>
      <x:c r="B87" s="5" t="str">
        <x:v>WQ</x:v>
      </x:c>
      <x:c r="C87" s="5" t="str">
        <x:v>1</x:v>
      </x:c>
      <x:c r="D87" s="5" t="str">
        <x:v>Volks- und Betriebswirtschaft</x:v>
      </x:c>
      <x:c r="E87" s="5" t="str">
        <x:v>BWL</x:v>
      </x:c>
      <x:c r="F87" s="5" t="str">
        <x:v>ui-wq-0004</x:v>
      </x:c>
      <x:c r="G87" s="5" t="str">
        <x:v>Unternehmenszusammenschlüsse</x:v>
      </x:c>
      <x:c r="H87" s="5" t="str">
        <x:v>dg-wq-0055</x:v>
      </x:c>
      <x:c r="I87" s="5" t="str">
        <x:v>1.4.1</x:v>
      </x:c>
      <x:c r="J87" s="5" t="str">
        <x:v>Formen der Kooperation</x:v>
      </x:c>
      <x:c r="K87" s="5" t="str"/>
      <x:c r="L87" s="5" t="str">
        <x:v>Unternehmenszusammenschlüsse</x:v>
      </x:c>
      <x:c r="M87" s="5" t="n">
        <x:v>2</x:v>
      </x:c>
      <x:c r="N87" s="5" t="n">
        <x:v>1</x:v>
      </x:c>
      <x:c r="O87" s="5" t="str"/>
      <x:c r="P87" s="5" t="str">
        <x:v>Zuordnungsvorschlag; Fachfreigabe ausstehend</x:v>
      </x:c>
      <x:c r="Q87" s="5" t="str">
        <x:v>Bestehendes Lernthema fachlich unter passendem Rahmenplan-Unterbereich behalten</x:v>
      </x:c>
      <x:c r="R87" s="5" t="str">
        <x:v>Wie funktioniert eine projektbezogene Arbeitsgemeinschaft zwischen rechtlich selbstständigen Unternehmen und welche Vor- und Nachteile kann sie haben?</x:v>
      </x:c>
      <x:c r="S87" s="5" t="str">
        <x:v>3da732654ca066c9ddb1be283d109a80339fa8e60724c7ae7da5160ca0569a33</x:v>
      </x:c>
    </x:row>
    <x:row r="88" ht="36" customHeight="1">
      <x:c r="A88" s="5" t="str">
        <x:v>BWL-0082</x:v>
      </x:c>
      <x:c r="B88" s="5" t="str">
        <x:v>WQ</x:v>
      </x:c>
      <x:c r="C88" s="5" t="str">
        <x:v>1</x:v>
      </x:c>
      <x:c r="D88" s="5" t="str">
        <x:v>Volks- und Betriebswirtschaft</x:v>
      </x:c>
      <x:c r="E88" s="5" t="str">
        <x:v>BWL</x:v>
      </x:c>
      <x:c r="F88" s="5" t="str">
        <x:v>ui-wq-0004</x:v>
      </x:c>
      <x:c r="G88" s="5" t="str">
        <x:v>Unternehmenszusammenschlüsse</x:v>
      </x:c>
      <x:c r="H88" s="5" t="str">
        <x:v>dg-wq-0054</x:v>
      </x:c>
      <x:c r="I88" s="5" t="str">
        <x:v>1.4.2</x:v>
      </x:c>
      <x:c r="J88" s="5" t="str">
        <x:v>Formen der Konzentration</x:v>
      </x:c>
      <x:c r="K88" s="5" t="str"/>
      <x:c r="L88" s="5" t="str">
        <x:v>Unternehmenszusammenschlüsse</x:v>
      </x:c>
      <x:c r="M88" s="5" t="n">
        <x:v>3</x:v>
      </x:c>
      <x:c r="N88" s="5" t="n">
        <x:v>2</x:v>
      </x:c>
      <x:c r="O88" s="5" t="str"/>
      <x:c r="P88" s="5" t="str">
        <x:v>Zuordnungsvorschlag; Fachfreigabe ausstehend</x:v>
      </x:c>
      <x:c r="Q88" s="5" t="str">
        <x:v>Frageinhalt präzisiert bzw. teilt bisheriges Sammelthema</x:v>
      </x:c>
      <x:c r="R88" s="5" t="str">
        <x:v>Ordnen Sie typische Merkmale den Formen Joint Venture, Fusion, Konzern, Konsortium und Kartell zu und nennen Sie Chancen und Risiken von Unternehmenszusammenschlüssen.</x:v>
      </x:c>
      <x:c r="S88" s="5" t="str">
        <x:v>f7a732dffc53ddd0b7c4c44a09943e3ba7c8ee8e12db2f80df4dd38e917c4e48</x:v>
      </x:c>
    </x:row>
    <x:row r="89" ht="36" customHeight="1">
      <x:c r="A89" s="5" t="str">
        <x:v>BWL-0083</x:v>
      </x:c>
      <x:c r="B89" s="5" t="str">
        <x:v>WQ</x:v>
      </x:c>
      <x:c r="C89" s="5" t="str">
        <x:v>1</x:v>
      </x:c>
      <x:c r="D89" s="5" t="str">
        <x:v>Volks- und Betriebswirtschaft</x:v>
      </x:c>
      <x:c r="E89" s="5" t="str">
        <x:v>BWL</x:v>
      </x:c>
      <x:c r="F89" s="5" t="str">
        <x:v>ui-wq-0004</x:v>
      </x:c>
      <x:c r="G89" s="5" t="str">
        <x:v>Unternehmenszusammenschlüsse</x:v>
      </x:c>
      <x:c r="H89" s="5" t="str">
        <x:v>dg-wq-0055</x:v>
      </x:c>
      <x:c r="I89" s="5" t="str">
        <x:v>1.4.1</x:v>
      </x:c>
      <x:c r="J89" s="5" t="str">
        <x:v>Formen der Kooperation</x:v>
      </x:c>
      <x:c r="K89" s="5" t="str"/>
      <x:c r="L89" s="5" t="str">
        <x:v>Unternehmenszusammenschlüsse</x:v>
      </x:c>
      <x:c r="M89" s="5" t="n">
        <x:v>4</x:v>
      </x:c>
      <x:c r="N89" s="5" t="n">
        <x:v>2</x:v>
      </x:c>
      <x:c r="O89" s="5" t="str"/>
      <x:c r="P89" s="5" t="str">
        <x:v>Zuordnungsvorschlag; Fachfreigabe ausstehend</x:v>
      </x:c>
      <x:c r="Q89" s="5" t="str">
        <x:v>Bestehendes Lernthema fachlich unter passendem Rahmenplan-Unterbereich behalten</x:v>
      </x:c>
      <x:c r="R89" s="5" t="str">
        <x:v>Nennen Sie für einen Hersteller von Großküchen jeweils ein Beispiel für horizontale, vertikale rückwärtsgerichtete, vertikale vorwärtsgerichtete und diagonale Unternehmensverbindungen.</x:v>
      </x:c>
      <x:c r="S89" s="5" t="str">
        <x:v>f9a4f13a8842793dfeffee7a3b1c1cab108870e0aca17c7604efc6ef43bc9c25</x:v>
      </x:c>
    </x:row>
    <x:row r="90" ht="36" customHeight="1">
      <x:c r="A90" s="5" t="str">
        <x:v>BWL-0084</x:v>
      </x:c>
      <x:c r="B90" s="5" t="str">
        <x:v>WQ</x:v>
      </x:c>
      <x:c r="C90" s="5" t="str">
        <x:v>1</x:v>
      </x:c>
      <x:c r="D90" s="5" t="str">
        <x:v>Volks- und Betriebswirtschaft</x:v>
      </x:c>
      <x:c r="E90" s="5" t="str">
        <x:v>BWL</x:v>
      </x:c>
      <x:c r="F90" s="5" t="str">
        <x:v>ui-wq-0004</x:v>
      </x:c>
      <x:c r="G90" s="5" t="str">
        <x:v>Unternehmenszusammenschlüsse</x:v>
      </x:c>
      <x:c r="H90" s="5" t="str">
        <x:v>dg-wq-0055</x:v>
      </x:c>
      <x:c r="I90" s="5" t="str">
        <x:v>1.4.1</x:v>
      </x:c>
      <x:c r="J90" s="5" t="str">
        <x:v>Formen der Kooperation</x:v>
      </x:c>
      <x:c r="K90" s="5" t="str"/>
      <x:c r="L90" s="5" t="str">
        <x:v>Unternehmenszusammenschlüsse</x:v>
      </x:c>
      <x:c r="M90" s="5" t="n">
        <x:v>5</x:v>
      </x:c>
      <x:c r="N90" s="5" t="n">
        <x:v>3</x:v>
      </x:c>
      <x:c r="O90" s="5" t="str"/>
      <x:c r="P90" s="5" t="str">
        <x:v>Zuordnungsvorschlag; Fachfreigabe ausstehend</x:v>
      </x:c>
      <x:c r="Q90" s="5" t="str">
        <x:v>Bestehendes Lernthema fachlich unter passendem Rahmenplan-Unterbereich behalten</x:v>
      </x:c>
      <x:c r="R90" s="5" t="str">
        <x:v>Welche Richtung eines Unternehmenszusammenschlusses eignet sich typischerweise für Ziele wie Rohstoffsicherung, Kostensenkung, Risikostreuung, Vertriebsstärkung oder Mengenrabatte?</x:v>
      </x:c>
      <x:c r="S90" s="5" t="str">
        <x:v>9275bd8285fa32b206d6f7b1eb654eff74b21b2ccf14037b4636a762b2becd91</x:v>
      </x:c>
    </x:row>
    <x:row r="91" ht="36" customHeight="1">
      <x:c r="A91" s="5" t="str">
        <x:v>BWL-0085</x:v>
      </x:c>
      <x:c r="B91" s="5" t="str">
        <x:v>WQ</x:v>
      </x:c>
      <x:c r="C91" s="5" t="str">
        <x:v>1</x:v>
      </x:c>
      <x:c r="D91" s="5" t="str">
        <x:v>Volks- und Betriebswirtschaft</x:v>
      </x:c>
      <x:c r="E91" s="5" t="str">
        <x:v>BWL</x:v>
      </x:c>
      <x:c r="F91" s="5" t="str">
        <x:v>ui-wq-0004</x:v>
      </x:c>
      <x:c r="G91" s="5" t="str">
        <x:v>Unternehmenszusammenschlüsse</x:v>
      </x:c>
      <x:c r="H91" s="5" t="str">
        <x:v>dg-wq-0054</x:v>
      </x:c>
      <x:c r="I91" s="5" t="str">
        <x:v>1.4.2.2</x:v>
      </x:c>
      <x:c r="J91" s="5" t="str">
        <x:v>Ziele der Konzentration</x:v>
      </x:c>
      <x:c r="K91" s="5" t="str"/>
      <x:c r="L91" s="5" t="str">
        <x:v>Unternehmenszusammenschlüsse</x:v>
      </x:c>
      <x:c r="M91" s="5" t="n">
        <x:v>6</x:v>
      </x:c>
      <x:c r="N91" s="5" t="n">
        <x:v>3</x:v>
      </x:c>
      <x:c r="O91" s="5" t="str"/>
      <x:c r="P91" s="5" t="str">
        <x:v>Zuordnungsvorschlag; Fachfreigabe ausstehend</x:v>
      </x:c>
      <x:c r="Q91" s="5" t="str">
        <x:v>Frageinhalt präzisiert bzw. teilt bisheriges Sammelthema</x:v>
      </x:c>
      <x:c r="R91" s="5" t="str">
        <x:v>Was ist ein Konzern und welche Vor- und Nachteile kann zunehmende Unternehmenskonzentration für internationale Wettbewerbsfähigkeit, Verbraucher und die Übernahme eines insolvenzgefährdeten Wettbewerbers haben?</x:v>
      </x:c>
      <x:c r="S91" s="5" t="str">
        <x:v>5e9d56a82d18c6727614b868d321608d1f0f924014b384eaddba1c631d3ee75d</x:v>
      </x:c>
    </x:row>
    <x:row r="92" ht="36" customHeight="1">
      <x:c r="A92" s="5" t="str">
        <x:v>BWL-0086</x:v>
      </x:c>
      <x:c r="B92" s="5" t="str">
        <x:v>WQ</x:v>
      </x:c>
      <x:c r="C92" s="5" t="str">
        <x:v>1</x:v>
      </x:c>
      <x:c r="D92" s="5" t="str">
        <x:v>Volks- und Betriebswirtschaft</x:v>
      </x:c>
      <x:c r="E92" s="5" t="str">
        <x:v>BWL</x:v>
      </x:c>
      <x:c r="F92" s="5" t="str">
        <x:v>ui-wq-0004</x:v>
      </x:c>
      <x:c r="G92" s="5" t="str">
        <x:v>Unternehmenszusammenschlüsse</x:v>
      </x:c>
      <x:c r="H92" s="5" t="str">
        <x:v>dg-wq-0055</x:v>
      </x:c>
      <x:c r="I92" s="5" t="str">
        <x:v>1.4.1</x:v>
      </x:c>
      <x:c r="J92" s="5" t="str">
        <x:v>Formen der Kooperation</x:v>
      </x:c>
      <x:c r="K92" s="5" t="str"/>
      <x:c r="L92" s="5" t="str">
        <x:v>Unternehmenszusammenschlüsse</x:v>
      </x:c>
      <x:c r="M92" s="5" t="n">
        <x:v>7</x:v>
      </x:c>
      <x:c r="N92" s="5" t="n">
        <x:v>4</x:v>
      </x:c>
      <x:c r="O92" s="5" t="str"/>
      <x:c r="P92" s="5" t="str">
        <x:v>Zuordnungsvorschlag; Fachfreigabe ausstehend</x:v>
      </x:c>
      <x:c r="Q92" s="5" t="str">
        <x:v>Bestehendes Lernthema fachlich unter passendem Rahmenplan-Unterbereich behalten</x:v>
      </x:c>
      <x:c r="R92" s="5" t="str">
        <x:v>Welche drei Kernsäulen enthält das Gesetz gegen Wettbewerbsbeschränkungen, welche Aufgabe hat das Bundeskartellamt und wann kann eine wettbewerbsbeschränkende Vereinbarung ausnahmsweise freigestellt sein?</x:v>
      </x:c>
      <x:c r="S92" s="5" t="str">
        <x:v>f2a9d0370059396c8824d6e30b80939e2dab82563d5c84a539d0d3dc851bd461</x:v>
      </x:c>
    </x:row>
    <x:row r="93" ht="36" customHeight="1">
      <x:c r="A93" s="5" t="str">
        <x:v>BWL-0087</x:v>
      </x:c>
      <x:c r="B93" s="5" t="str">
        <x:v>WQ</x:v>
      </x:c>
      <x:c r="C93" s="5" t="str">
        <x:v>1</x:v>
      </x:c>
      <x:c r="D93" s="5" t="str">
        <x:v>Volks- und Betriebswirtschaft</x:v>
      </x:c>
      <x:c r="E93" s="5" t="str">
        <x:v>BWL</x:v>
      </x:c>
      <x:c r="F93" s="5" t="str">
        <x:v>ui-wq-0004</x:v>
      </x:c>
      <x:c r="G93" s="5" t="str">
        <x:v>Unternehmenszusammenschlüsse</x:v>
      </x:c>
      <x:c r="H93" s="5" t="str">
        <x:v>dg-wq-0054</x:v>
      </x:c>
      <x:c r="I93" s="5" t="str">
        <x:v>1.4.2</x:v>
      </x:c>
      <x:c r="J93" s="5" t="str">
        <x:v>Formen der Konzentration</x:v>
      </x:c>
      <x:c r="K93" s="5" t="str"/>
      <x:c r="L93" s="5" t="str">
        <x:v>Unternehmenszusammenschlüsse</x:v>
      </x:c>
      <x:c r="M93" s="5" t="n">
        <x:v>8</x:v>
      </x:c>
      <x:c r="N93" s="5" t="n">
        <x:v>4</x:v>
      </x:c>
      <x:c r="O93" s="5" t="str"/>
      <x:c r="P93" s="5" t="str">
        <x:v>Zuordnungsvorschlag; Fachfreigabe ausstehend</x:v>
      </x:c>
      <x:c r="Q93" s="5" t="str">
        <x:v>Frageinhalt präzisiert bzw. teilt bisheriges Sammelthema</x:v>
      </x:c>
      <x:c r="R93" s="5" t="str">
        <x:v>Unterscheiden Sie Unterordnungs- und Gleichordnungskonzern, Stammhauskonzern und Holding sowie Fusion durch Aufnahme und Fusion durch Neugründung.</x:v>
      </x:c>
      <x:c r="S93" s="5" t="str">
        <x:v>afee110ebc7aa2cc2e2035a395a347760bce81f972e80adccdc2b425d0609175</x:v>
      </x:c>
    </x:row>
    <x:row r="94" ht="36" customHeight="1">
      <x:c r="A94" s="5" t="str">
        <x:v>BWL-0088</x:v>
      </x:c>
      <x:c r="B94" s="5" t="str">
        <x:v>WQ</x:v>
      </x:c>
      <x:c r="C94" s="5" t="str">
        <x:v>1</x:v>
      </x:c>
      <x:c r="D94" s="5" t="str">
        <x:v>Volks- und Betriebswirtschaft</x:v>
      </x:c>
      <x:c r="E94" s="5" t="str">
        <x:v>BWL</x:v>
      </x:c>
      <x:c r="F94" s="5" t="str">
        <x:v>ui-wq-0002</x:v>
      </x:c>
      <x:c r="G94" s="5" t="str">
        <x:v>Betriebliche Funktionen und deren Zusammenwirken</x:v>
      </x:c>
      <x:c r="H94" s="5" t="str">
        <x:v>dg-wq-0044</x:v>
      </x:c>
      <x:c r="I94" s="5" t="str">
        <x:v>1.2.2</x:v>
      </x:c>
      <x:c r="J94" s="5" t="str">
        <x:v>Zusammenwirken der betrieblichen Funktionen</x:v>
      </x:c>
      <x:c r="K94" s="5" t="str"/>
      <x:c r="L94" s="5" t="str">
        <x:v>Zusammenwirken, Führung, Ziele &amp; Nachhaltigkeit</x:v>
      </x:c>
      <x:c r="M94" s="5" t="n">
        <x:v>66</x:v>
      </x:c>
      <x:c r="N94" s="5" t="n">
        <x:v>7</x:v>
      </x:c>
      <x:c r="O94" s="5" t="str"/>
      <x:c r="P94" s="5" t="str">
        <x:v>Zuordnungsvorschlag; Fachfreigabe ausstehend</x:v>
      </x:c>
      <x:c r="Q94" s="5" t="str">
        <x:v>Bestehendes Lernthema fachlich unter passendem Rahmenplan-Unterbereich behalten</x:v>
      </x:c>
      <x:c r="R94" s="5" t="str">
        <x:v>Fallbezug: Die folgenden betrieblichen Angaben und Situationen beziehen sich auf die Circle Harbor GmbH.
Ein Industrieunternehmen will wegen dauerhaft gestiegener Nachfrage einen zusätzlichen Produktionsstandort eröffnen. Nennen Sie fünf betriebliche Funktionsbereiche, die an der Planung beteiligt sein sollten, und beschreiben Sie je Bereich zwei konkrete Aufgaben.</x:v>
      </x:c>
      <x:c r="S94" s="5" t="str">
        <x:v>d112694fc723ef07552209b2db58e6a1374c27d08f8a3ad355561701f481e66b</x:v>
      </x:c>
    </x:row>
    <x:row r="95" ht="36" customHeight="1">
      <x:c r="A95" s="5" t="str">
        <x:v>BWL-0089</x:v>
      </x:c>
      <x:c r="B95" s="5" t="str">
        <x:v>WQ</x:v>
      </x:c>
      <x:c r="C95" s="5" t="str">
        <x:v>1</x:v>
      </x:c>
      <x:c r="D95" s="5" t="str">
        <x:v>Volks- und Betriebswirtschaft</x:v>
      </x:c>
      <x:c r="E95" s="5" t="str">
        <x:v>BWL</x:v>
      </x:c>
      <x:c r="F95" s="5" t="str">
        <x:v>ui-wq-0003</x:v>
      </x:c>
      <x:c r="G95" s="5" t="str">
        <x:v>Existenzgründung und Unternehmensrechtsformen</x:v>
      </x:c>
      <x:c r="H95" s="5" t="str">
        <x:v>dg-wq-0053</x:v>
      </x:c>
      <x:c r="I95" s="5" t="str">
        <x:v>1.3.2</x:v>
      </x:c>
      <x:c r="J95" s="5" t="str">
        <x:v>Voraussetzungen der Existenzgründung</x:v>
      </x:c>
      <x:c r="K95" s="5" t="str"/>
      <x:c r="L95" s="5" t="str">
        <x:v>Existenzgründung &amp; Rechtsformen</x:v>
      </x:c>
      <x:c r="M95" s="5" t="n">
        <x:v>15</x:v>
      </x:c>
      <x:c r="N95" s="5" t="n">
        <x:v>3</x:v>
      </x:c>
      <x:c r="O95" s="5" t="str"/>
      <x:c r="P95" s="5" t="str">
        <x:v>Zuordnungsvorschlag; Fachfreigabe ausstehend</x:v>
      </x:c>
      <x:c r="Q95" s="5" t="str">
        <x:v>Frageinhalt präzisiert bzw. teilt bisheriges Sammelthema</x:v>
      </x:c>
      <x:c r="R95" s="5" t="str">
        <x:v>Eine Person möchte allein ein kleines Dienstleistungsunternehmen gründen. Das Eigenkapital ist gering, persönliche Haftung soll möglichst vermieden werden und der organisatorische Aufwand soll überschaubar bleiben. Nennen Sie drei Voraussetzungen für eine erfolgversprechende Gründung und empfehlen Sie eine passende Rechtsform mit Begründung.</x:v>
      </x:c>
      <x:c r="S95" s="5" t="str">
        <x:v>e030dbbc54a856e2a14fb8cabc1e28d53fa664973c426e133dede8c747e1baaa</x:v>
      </x:c>
    </x:row>
    <x:row r="96" ht="36" customHeight="1">
      <x:c r="A96" s="5" t="str">
        <x:v>BWL-0090</x:v>
      </x:c>
      <x:c r="B96" s="5" t="str">
        <x:v>WQ</x:v>
      </x:c>
      <x:c r="C96" s="5" t="str">
        <x:v>1</x:v>
      </x:c>
      <x:c r="D96" s="5" t="str">
        <x:v>Volks- und Betriebswirtschaft</x:v>
      </x:c>
      <x:c r="E96" s="5" t="str">
        <x:v>BWL</x:v>
      </x:c>
      <x:c r="F96" s="5" t="str">
        <x:v>ui-wq-0003</x:v>
      </x:c>
      <x:c r="G96" s="5" t="str">
        <x:v>Existenzgründung und Unternehmensrechtsformen</x:v>
      </x:c>
      <x:c r="H96" s="5" t="str">
        <x:v>dg-wq-0050</x:v>
      </x:c>
      <x:c r="I96" s="5" t="str">
        <x:v>1.3.3.2</x:v>
      </x:c>
      <x:c r="J96" s="5" t="str">
        <x:v>Ansprüche an Haftung, Geschäftsführung und Vertretung</x:v>
      </x:c>
      <x:c r="K96" s="5" t="str"/>
      <x:c r="L96" s="5" t="str">
        <x:v>Existenzgründung &amp; Rechtsformen</x:v>
      </x:c>
      <x:c r="M96" s="5" t="n">
        <x:v>16</x:v>
      </x:c>
      <x:c r="N96" s="5" t="n">
        <x:v>13</x:v>
      </x:c>
      <x:c r="O96" s="5" t="str"/>
      <x:c r="P96" s="5" t="str">
        <x:v>Zuordnungsvorschlag; Fachfreigabe ausstehend</x:v>
      </x:c>
      <x:c r="Q96" s="5" t="str">
        <x:v>Bestehendes Lernthema fachlich unter passendem Rahmenplan-Unterbereich behalten</x:v>
      </x:c>
      <x:c r="R96" s="5" t="str">
        <x:v>Die Circle Harbor Mobility OHG ist wegen hoher Haftungsrisiken mit mehreren Schadensersatzforderungen konfrontiert. Die Gesellschafter möchten die persönliche Haftung für künftige Geschäfte möglichst begrenzen. Welche Zielrechtsform bietet sich an und welche wesentlichen rechtlichen Folgen eines Formwechsels sind für Eintragung, Althaftung und Beschäftigte zu beachten?</x:v>
      </x:c>
      <x:c r="S96" s="5" t="str">
        <x:v>77842412b792d61e5d1a4017575b4cb1b973554c370ec89a744ce1e4b9893847</x:v>
      </x:c>
    </x:row>
    <x:row r="97" ht="36" customHeight="1">
      <x:c r="A97" s="5" t="str">
        <x:v>BWL-0091</x:v>
      </x:c>
      <x:c r="B97" s="5" t="str">
        <x:v>WQ</x:v>
      </x:c>
      <x:c r="C97" s="5" t="str">
        <x:v>1</x:v>
      </x:c>
      <x:c r="D97" s="5" t="str">
        <x:v>Volks- und Betriebswirtschaft</x:v>
      </x:c>
      <x:c r="E97" s="5" t="str">
        <x:v>BWL</x:v>
      </x:c>
      <x:c r="F97" s="5" t="str">
        <x:v>ui-wq-0004</x:v>
      </x:c>
      <x:c r="G97" s="5" t="str">
        <x:v>Unternehmenszusammenschlüsse</x:v>
      </x:c>
      <x:c r="H97" s="5" t="str">
        <x:v>dg-wq-0054</x:v>
      </x:c>
      <x:c r="I97" s="5" t="str">
        <x:v>1.4.2</x:v>
      </x:c>
      <x:c r="J97" s="5" t="str">
        <x:v>Formen der Konzentration</x:v>
      </x:c>
      <x:c r="K97" s="5" t="str"/>
      <x:c r="L97" s="5" t="str">
        <x:v>Unternehmenszusammenschlüsse</x:v>
      </x:c>
      <x:c r="M97" s="5" t="n">
        <x:v>9</x:v>
      </x:c>
      <x:c r="N97" s="5" t="n">
        <x:v>5</x:v>
      </x:c>
      <x:c r="O97" s="5" t="str"/>
      <x:c r="P97" s="5" t="str">
        <x:v>Zuordnungsvorschlag; Fachfreigabe ausstehend</x:v>
      </x:c>
      <x:c r="Q97" s="5" t="str">
        <x:v>Frageinhalt präzisiert bzw. teilt bisheriges Sammelthema</x:v>
      </x:c>
      <x:c r="R97" s="5" t="str">
        <x:v>Fallbezug: Die folgenden betrieblichen Angaben und Situationen beziehen sich auf die Circle Harbor GmbH.
Ein mittelständischer Hersteller erhält ein Fusionsangebot eines deutlich größeren Wettbewerbers. Nennen und erläutern Sie vier wirtschaftliche Kriterien, die aus Sicht des kleineren Unternehmens für die Fusion sprechen können, und nennen Sie einen wichtigen Prüfpunkt, der gegen die Fusion sprechen könnte.</x:v>
      </x:c>
      <x:c r="S97" s="5" t="str">
        <x:v>ac9f1e315c3043fa76f7c8ae0258effec9bdf810ba1b38b119d1ec54f9a6f5fc</x:v>
      </x:c>
    </x:row>
    <x:row r="98" ht="36" customHeight="1">
      <x:c r="A98" s="5" t="str">
        <x:v>BWL-0092</x:v>
      </x:c>
      <x:c r="B98" s="5" t="str">
        <x:v>WQ</x:v>
      </x:c>
      <x:c r="C98" s="5" t="str">
        <x:v>1</x:v>
      </x:c>
      <x:c r="D98" s="5" t="str">
        <x:v>Volks- und Betriebswirtschaft</x:v>
      </x:c>
      <x:c r="E98" s="5" t="str">
        <x:v>BWL</x:v>
      </x:c>
      <x:c r="F98" s="5" t="str">
        <x:v>ui-wq-0002</x:v>
      </x:c>
      <x:c r="G98" s="5" t="str">
        <x:v>Betriebliche Funktionen und deren Zusammenwirken</x:v>
      </x:c>
      <x:c r="H98" s="5" t="str">
        <x:v>dg-wq-0045</x:v>
      </x:c>
      <x:c r="I98" s="5" t="str">
        <x:v>1.2.1.1</x:v>
      </x:c>
      <x:c r="J98" s="5" t="str">
        <x:v>Produktion</x:v>
      </x:c>
      <x:c r="K98" s="5" t="str"/>
      <x:c r="L98" s="5" t="str">
        <x:v>Produktion &amp; Leistungserstellung</x:v>
      </x:c>
      <x:c r="M98" s="5" t="n">
        <x:v>67</x:v>
      </x:c>
      <x:c r="N98" s="5" t="n">
        <x:v>7</x:v>
      </x:c>
      <x:c r="O98" s="5" t="str"/>
      <x:c r="P98" s="5" t="str">
        <x:v>Zuordnungsvorschlag; Fachfreigabe ausstehend</x:v>
      </x:c>
      <x:c r="Q98" s="5" t="str">
        <x:v>Bestehendes Lernthema fachlich unter passendem Rahmenplan-Unterbereich behalten</x:v>
      </x:c>
      <x:c r="R98" s="5" t="str">
        <x:v>Worin unterscheiden sich Sachgüter und Dienstleistungen bei der Produktion und welche Besonderheiten sind bei Dienstleistungen zu berücksichtigen?</x:v>
      </x:c>
      <x:c r="S98" s="5" t="str">
        <x:v>0e4032b4f7bfdc38b5f0a7932639db1808e3f13f216703f84c18a3ac1ea31191</x:v>
      </x:c>
    </x:row>
    <x:row r="99" ht="36" customHeight="1">
      <x:c r="A99" s="5" t="str">
        <x:v>BWL-0093</x:v>
      </x:c>
      <x:c r="B99" s="5" t="str">
        <x:v>WQ</x:v>
      </x:c>
      <x:c r="C99" s="5" t="str">
        <x:v>1</x:v>
      </x:c>
      <x:c r="D99" s="5" t="str">
        <x:v>Volks- und Betriebswirtschaft</x:v>
      </x:c>
      <x:c r="E99" s="5" t="str">
        <x:v>BWL</x:v>
      </x:c>
      <x:c r="F99" s="5" t="str">
        <x:v>ui-wq-0002</x:v>
      </x:c>
      <x:c r="G99" s="5" t="str">
        <x:v>Betriebliche Funktionen und deren Zusammenwirken</x:v>
      </x:c>
      <x:c r="H99" s="5" t="str">
        <x:v>dg-wq-0045</x:v>
      </x:c>
      <x:c r="I99" s="5" t="str">
        <x:v>1.2.1.1</x:v>
      </x:c>
      <x:c r="J99" s="5" t="str">
        <x:v>Produktion</x:v>
      </x:c>
      <x:c r="K99" s="5" t="str"/>
      <x:c r="L99" s="5" t="str">
        <x:v>Produktion &amp; Leistungserstellung</x:v>
      </x:c>
      <x:c r="M99" s="5" t="n">
        <x:v>68</x:v>
      </x:c>
      <x:c r="N99" s="5" t="n">
        <x:v>8</x:v>
      </x:c>
      <x:c r="O99" s="5" t="str"/>
      <x:c r="P99" s="5" t="str">
        <x:v>Zuordnungsvorschlag; Fachfreigabe ausstehend</x:v>
      </x:c>
      <x:c r="Q99" s="5" t="str">
        <x:v>Bestehendes Lernthema fachlich unter passendem Rahmenplan-Unterbereich behalten</x:v>
      </x:c>
      <x:c r="R99" s="5" t="str">
        <x:v>Was zeigen Produktions- und Kostenfunktion und wie unterscheiden sich fixe, variable und Grenzkosten?</x:v>
      </x:c>
      <x:c r="S99" s="5" t="str">
        <x:v>c7381d0312647fb20449b823cd20a4fb2bf30c5da4995ccdd3e696f82c8025a7</x:v>
      </x:c>
    </x:row>
    <x:row r="100" ht="36" customHeight="1">
      <x:c r="A100" s="5" t="str">
        <x:v>BWL-0094</x:v>
      </x:c>
      <x:c r="B100" s="5" t="str">
        <x:v>WQ</x:v>
      </x:c>
      <x:c r="C100" s="5" t="str">
        <x:v>1</x:v>
      </x:c>
      <x:c r="D100" s="5" t="str">
        <x:v>Volks- und Betriebswirtschaft</x:v>
      </x:c>
      <x:c r="E100" s="5" t="str">
        <x:v>BWL</x:v>
      </x:c>
      <x:c r="F100" s="5" t="str">
        <x:v>ui-wq-0002</x:v>
      </x:c>
      <x:c r="G100" s="5" t="str">
        <x:v>Betriebliche Funktionen und deren Zusammenwirken</x:v>
      </x:c>
      <x:c r="H100" s="5" t="str">
        <x:v>dg-wq-0045</x:v>
      </x:c>
      <x:c r="I100" s="5" t="str">
        <x:v>1.2.1.1</x:v>
      </x:c>
      <x:c r="J100" s="5" t="str">
        <x:v>Produktion</x:v>
      </x:c>
      <x:c r="K100" s="5" t="str"/>
      <x:c r="L100" s="5" t="str">
        <x:v>Produktion &amp; Leistungserstellung</x:v>
      </x:c>
      <x:c r="M100" s="5" t="n">
        <x:v>69</x:v>
      </x:c>
      <x:c r="N100" s="5" t="n">
        <x:v>9</x:v>
      </x:c>
      <x:c r="O100" s="5" t="str"/>
      <x:c r="P100" s="5" t="str">
        <x:v>Zuordnungsvorschlag; Fachfreigabe ausstehend</x:v>
      </x:c>
      <x:c r="Q100" s="5" t="str">
        <x:v>Bestehendes Lernthema fachlich unter passendem Rahmenplan-Unterbereich behalten</x:v>
      </x:c>
      <x:c r="R100" s="5" t="str">
        <x:v>Welche Ziele und Hauptaufgaben hat die Produktion und worin unterscheiden sich strategische und operative Produktionsentscheidungen?</x:v>
      </x:c>
      <x:c r="S100" s="5" t="str">
        <x:v>5698eddb28c8a3cb82261aacb2a23dc6c2f16e0b31bc2028398f24d593c6ddf0</x:v>
      </x:c>
    </x:row>
    <x:row r="101" ht="36" customHeight="1">
      <x:c r="A101" s="5" t="str">
        <x:v>BWL-0095</x:v>
      </x:c>
      <x:c r="B101" s="5" t="str">
        <x:v>WQ</x:v>
      </x:c>
      <x:c r="C101" s="5" t="str">
        <x:v>1</x:v>
      </x:c>
      <x:c r="D101" s="5" t="str">
        <x:v>Volks- und Betriebswirtschaft</x:v>
      </x:c>
      <x:c r="E101" s="5" t="str">
        <x:v>BWL</x:v>
      </x:c>
      <x:c r="F101" s="5" t="str">
        <x:v>ui-wq-0002</x:v>
      </x:c>
      <x:c r="G101" s="5" t="str">
        <x:v>Betriebliche Funktionen und deren Zusammenwirken</x:v>
      </x:c>
      <x:c r="H101" s="5" t="str">
        <x:v>dg-wq-0045</x:v>
      </x:c>
      <x:c r="I101" s="5" t="str">
        <x:v>1.2.1.1</x:v>
      </x:c>
      <x:c r="J101" s="5" t="str">
        <x:v>Produktion</x:v>
      </x:c>
      <x:c r="K101" s="5" t="str"/>
      <x:c r="L101" s="5" t="str">
        <x:v>Produktion &amp; Leistungserstellung</x:v>
      </x:c>
      <x:c r="M101" s="5" t="n">
        <x:v>70</x:v>
      </x:c>
      <x:c r="N101" s="5" t="n">
        <x:v>10</x:v>
      </x:c>
      <x:c r="O101" s="5" t="str"/>
      <x:c r="P101" s="5" t="str">
        <x:v>Zuordnungsvorschlag; Fachfreigabe ausstehend</x:v>
      </x:c>
      <x:c r="Q101" s="5" t="str">
        <x:v>Bestehendes Lernthema fachlich unter passendem Rahmenplan-Unterbereich behalten</x:v>
      </x:c>
      <x:c r="R101" s="5" t="str">
        <x:v>Bringen Sie die Schritte eines typischen Produktionsprozesses vom Kundenauftrag bis zur Auslieferung in die richtige Reihenfolge und erläutern Sie kurz ihre Funktion.</x:v>
      </x:c>
      <x:c r="S101" s="5" t="str">
        <x:v>416321f350ea4ad31820f54d8db8b07f06c2dbf204ba36d75a4ad3d22827fe1a</x:v>
      </x:c>
    </x:row>
    <x:row r="102" ht="36" customHeight="1">
      <x:c r="A102" s="5" t="str">
        <x:v>BWL-0096</x:v>
      </x:c>
      <x:c r="B102" s="5" t="str">
        <x:v>WQ</x:v>
      </x:c>
      <x:c r="C102" s="5" t="str">
        <x:v>1</x:v>
      </x:c>
      <x:c r="D102" s="5" t="str">
        <x:v>Volks- und Betriebswirtschaft</x:v>
      </x:c>
      <x:c r="E102" s="5" t="str">
        <x:v>BWL</x:v>
      </x:c>
      <x:c r="F102" s="5" t="str">
        <x:v>ui-wq-0002</x:v>
      </x:c>
      <x:c r="G102" s="5" t="str">
        <x:v>Betriebliche Funktionen und deren Zusammenwirken</x:v>
      </x:c>
      <x:c r="H102" s="5" t="str">
        <x:v>dg-wq-0046</x:v>
      </x:c>
      <x:c r="I102" s="5" t="str">
        <x:v>1.2.1.2</x:v>
      </x:c>
      <x:c r="J102" s="5" t="str">
        <x:v>Logistik</x:v>
      </x:c>
      <x:c r="K102" s="5" t="str"/>
      <x:c r="L102" s="5" t="str">
        <x:v>Logistik &amp; Supply Chain</x:v>
      </x:c>
      <x:c r="M102" s="5" t="n">
        <x:v>71</x:v>
      </x:c>
      <x:c r="N102" s="5" t="n">
        <x:v>8</x:v>
      </x:c>
      <x:c r="O102" s="5" t="str"/>
      <x:c r="P102" s="5" t="str">
        <x:v>Zuordnungsvorschlag; Fachfreigabe ausstehend</x:v>
      </x:c>
      <x:c r="Q102" s="5" t="str">
        <x:v>Bestehendes Lernthema fachlich unter passendem Rahmenplan-Unterbereich behalten</x:v>
      </x:c>
      <x:c r="R102" s="5" t="str">
        <x:v>Definieren Sie Logistik und nennen Sie ihre zentralen Aufgaben im Güter- und Informationsfluss.</x:v>
      </x:c>
      <x:c r="S102" s="5" t="str">
        <x:v>e4f2cb7cd904aba72cf7af1d30aabbfc3197ab2b761f467eb1538fbf7d7cc528</x:v>
      </x:c>
    </x:row>
    <x:row r="103" ht="36" customHeight="1">
      <x:c r="A103" s="5" t="str">
        <x:v>BWL-0097</x:v>
      </x:c>
      <x:c r="B103" s="5" t="str">
        <x:v>WQ</x:v>
      </x:c>
      <x:c r="C103" s="5" t="str">
        <x:v>1</x:v>
      </x:c>
      <x:c r="D103" s="5" t="str">
        <x:v>Volks- und Betriebswirtschaft</x:v>
      </x:c>
      <x:c r="E103" s="5" t="str">
        <x:v>BWL</x:v>
      </x:c>
      <x:c r="F103" s="5" t="str">
        <x:v>ui-wq-0002</x:v>
      </x:c>
      <x:c r="G103" s="5" t="str">
        <x:v>Betriebliche Funktionen und deren Zusammenwirken</x:v>
      </x:c>
      <x:c r="H103" s="5" t="str">
        <x:v>dg-wq-0046</x:v>
      </x:c>
      <x:c r="I103" s="5" t="str">
        <x:v>1.2.1.2</x:v>
      </x:c>
      <x:c r="J103" s="5" t="str">
        <x:v>Logistik</x:v>
      </x:c>
      <x:c r="K103" s="5" t="str"/>
      <x:c r="L103" s="5" t="str">
        <x:v>Logistik &amp; Supply Chain</x:v>
      </x:c>
      <x:c r="M103" s="5" t="n">
        <x:v>72</x:v>
      </x:c>
      <x:c r="N103" s="5" t="n">
        <x:v>9</x:v>
      </x:c>
      <x:c r="O103" s="5" t="str"/>
      <x:c r="P103" s="5" t="str">
        <x:v>Zuordnungsvorschlag; Fachfreigabe ausstehend</x:v>
      </x:c>
      <x:c r="Q103" s="5" t="str">
        <x:v>Bestehendes Lernthema fachlich unter passendem Rahmenplan-Unterbereich behalten</x:v>
      </x:c>
      <x:c r="R103" s="5" t="str">
        <x:v>Wie funktioniert Just-in-Sequence und welche Chancen, Risiken und Verantwortungen entstehen durch eine eng verknüpfte Lieferkette?</x:v>
      </x:c>
      <x:c r="S103" s="5" t="str">
        <x:v>bee2ac3237279e6f99ae67960e45ed5bbdcae8684888c10615ffdaebecce384e</x:v>
      </x:c>
    </x:row>
    <x:row r="104" ht="36" customHeight="1">
      <x:c r="A104" s="5" t="str">
        <x:v>BWL-0098</x:v>
      </x:c>
      <x:c r="B104" s="5" t="str">
        <x:v>WQ</x:v>
      </x:c>
      <x:c r="C104" s="5" t="str">
        <x:v>1</x:v>
      </x:c>
      <x:c r="D104" s="5" t="str">
        <x:v>Volks- und Betriebswirtschaft</x:v>
      </x:c>
      <x:c r="E104" s="5" t="str">
        <x:v>BWL</x:v>
      </x:c>
      <x:c r="F104" s="5" t="str">
        <x:v>ui-wq-0002</x:v>
      </x:c>
      <x:c r="G104" s="5" t="str">
        <x:v>Betriebliche Funktionen und deren Zusammenwirken</x:v>
      </x:c>
      <x:c r="H104" s="5" t="str">
        <x:v>dg-wq-0047</x:v>
      </x:c>
      <x:c r="I104" s="5" t="str">
        <x:v>1.2.1.3</x:v>
      </x:c>
      <x:c r="J104" s="5" t="str">
        <x:v>Absatz / Marketing</x:v>
      </x:c>
      <x:c r="K104" s="5" t="str"/>
      <x:c r="L104" s="5" t="str">
        <x:v>Marketing, Marktforschung &amp; F&amp;E</x:v>
      </x:c>
      <x:c r="M104" s="5" t="n">
        <x:v>73</x:v>
      </x:c>
      <x:c r="N104" s="5" t="n">
        <x:v>16</x:v>
      </x:c>
      <x:c r="O104" s="5" t="str"/>
      <x:c r="P104" s="5" t="str">
        <x:v>Zuordnungsvorschlag; Fachfreigabe ausstehend</x:v>
      </x:c>
      <x:c r="Q104" s="5" t="str">
        <x:v>Bestehendes Lernthema fachlich unter passendem Rahmenplan-Unterbereich behalten</x:v>
      </x:c>
      <x:c r="R104" s="5" t="str">
        <x:v>Warum wird der klassische Marketingmix bei Dienstleistungen von vier auf sieben Instrumente erweitert und was bedeuten die zusätzlichen drei P?</x:v>
      </x:c>
      <x:c r="S104" s="5" t="str">
        <x:v>4f349d62acbdf52c0fe6d75c132c8d0d5d02eadee02acfe708014b2f0f2fa287</x:v>
      </x:c>
    </x:row>
    <x:row r="105" ht="36" customHeight="1">
      <x:c r="A105" s="5" t="str">
        <x:v>BWL-0099</x:v>
      </x:c>
      <x:c r="B105" s="5" t="str">
        <x:v>WQ</x:v>
      </x:c>
      <x:c r="C105" s="5" t="str">
        <x:v>1</x:v>
      </x:c>
      <x:c r="D105" s="5" t="str">
        <x:v>Volks- und Betriebswirtschaft</x:v>
      </x:c>
      <x:c r="E105" s="5" t="str">
        <x:v>BWL</x:v>
      </x:c>
      <x:c r="F105" s="5" t="str">
        <x:v>ui-wq-0002</x:v>
      </x:c>
      <x:c r="G105" s="5" t="str">
        <x:v>Betriebliche Funktionen und deren Zusammenwirken</x:v>
      </x:c>
      <x:c r="H105" s="5" t="str">
        <x:v>dg-wq-0047</x:v>
      </x:c>
      <x:c r="I105" s="5" t="str">
        <x:v>1.2.1.3</x:v>
      </x:c>
      <x:c r="J105" s="5" t="str">
        <x:v>Absatz / Marketing</x:v>
      </x:c>
      <x:c r="K105" s="5" t="str"/>
      <x:c r="L105" s="5" t="str">
        <x:v>Marketing, Marktforschung &amp; F&amp;E</x:v>
      </x:c>
      <x:c r="M105" s="5" t="n">
        <x:v>74</x:v>
      </x:c>
      <x:c r="N105" s="5" t="n">
        <x:v>17</x:v>
      </x:c>
      <x:c r="O105" s="5" t="str"/>
      <x:c r="P105" s="5" t="str">
        <x:v>Zuordnungsvorschlag; Fachfreigabe ausstehend</x:v>
      </x:c>
      <x:c r="Q105" s="5" t="str">
        <x:v>Bestehendes Lernthema fachlich unter passendem Rahmenplan-Unterbereich behalten</x:v>
      </x:c>
      <x:c r="R105" s="5" t="str">
        <x:v>Welche Instrumente gehören zur Kommunikationspolitik und nach welchen Kriterien sollten klassische und neue Medien ausgewählt werden?</x:v>
      </x:c>
      <x:c r="S105" s="5" t="str">
        <x:v>12991278969defe628063d9d6cc56931c5d8f641b569eb5a4c441ebde4d07390</x:v>
      </x:c>
    </x:row>
    <x:row r="106" ht="36" customHeight="1">
      <x:c r="A106" s="5" t="str">
        <x:v>BWL-0100</x:v>
      </x:c>
      <x:c r="B106" s="5" t="str">
        <x:v>WQ</x:v>
      </x:c>
      <x:c r="C106" s="5" t="str">
        <x:v>1</x:v>
      </x:c>
      <x:c r="D106" s="5" t="str">
        <x:v>Volks- und Betriebswirtschaft</x:v>
      </x:c>
      <x:c r="E106" s="5" t="str">
        <x:v>BWL</x:v>
      </x:c>
      <x:c r="F106" s="5" t="str">
        <x:v>ui-wq-0002</x:v>
      </x:c>
      <x:c r="G106" s="5" t="str">
        <x:v>Betriebliche Funktionen und deren Zusammenwirken</x:v>
      </x:c>
      <x:c r="H106" s="5" t="str">
        <x:v>dg-wq-0048</x:v>
      </x:c>
      <x:c r="I106" s="5" t="str">
        <x:v>1.2.1.4</x:v>
      </x:c>
      <x:c r="J106" s="5" t="str">
        <x:v>Rechnungswesen</x:v>
      </x:c>
      <x:c r="K106" s="5" t="str"/>
      <x:c r="L106" s="5" t="str">
        <x:v>Rechnungswesen &amp; Kostenrechnung</x:v>
      </x:c>
      <x:c r="M106" s="5" t="n">
        <x:v>75</x:v>
      </x:c>
      <x:c r="N106" s="5" t="n">
        <x:v>9</x:v>
      </x:c>
      <x:c r="O106" s="5" t="str"/>
      <x:c r="P106" s="5" t="str">
        <x:v>Zuordnungsvorschlag; Fachfreigabe ausstehend</x:v>
      </x:c>
      <x:c r="Q106" s="5" t="str">
        <x:v>Bestehendes Lernthema fachlich unter passendem Rahmenplan-Unterbereich behalten</x:v>
      </x:c>
      <x:c r="R106" s="5" t="str">
        <x:v>Definieren und unterscheiden Sie Auszahlung, Ausgabe, Aufwand und Kosten sowie Einzahlung, Einnahme, Ertrag und Leistung.</x:v>
      </x:c>
      <x:c r="S106" s="5" t="str">
        <x:v>edc6f8d8f6b3a21de5d2b51e9d37c4424c106e7b182baabc3882a46a6aef11ac</x:v>
      </x:c>
    </x:row>
    <x:row r="107" ht="36" customHeight="1">
      <x:c r="A107" s="5" t="str">
        <x:v>BWL-0101</x:v>
      </x:c>
      <x:c r="B107" s="5" t="str">
        <x:v>WQ</x:v>
      </x:c>
      <x:c r="C107" s="5" t="str">
        <x:v>1</x:v>
      </x:c>
      <x:c r="D107" s="5" t="str">
        <x:v>Volks- und Betriebswirtschaft</x:v>
      </x:c>
      <x:c r="E107" s="5" t="str">
        <x:v>BWL</x:v>
      </x:c>
      <x:c r="F107" s="5" t="str">
        <x:v>ui-wq-0002</x:v>
      </x:c>
      <x:c r="G107" s="5" t="str">
        <x:v>Betriebliche Funktionen und deren Zusammenwirken</x:v>
      </x:c>
      <x:c r="H107" s="5" t="str">
        <x:v>dg-wq-0048</x:v>
      </x:c>
      <x:c r="I107" s="5" t="str">
        <x:v>1.2.1.4</x:v>
      </x:c>
      <x:c r="J107" s="5" t="str">
        <x:v>Rechnungswesen</x:v>
      </x:c>
      <x:c r="K107" s="5" t="str"/>
      <x:c r="L107" s="5" t="str">
        <x:v>Rechnungswesen &amp; Kostenrechnung</x:v>
      </x:c>
      <x:c r="M107" s="5" t="n">
        <x:v>76</x:v>
      </x:c>
      <x:c r="N107" s="5" t="n">
        <x:v>10</x:v>
      </x:c>
      <x:c r="O107" s="5" t="str"/>
      <x:c r="P107" s="5" t="str">
        <x:v>Zuordnungsvorschlag; Fachfreigabe ausstehend</x:v>
      </x:c>
      <x:c r="Q107" s="5" t="str">
        <x:v>Bestehendes Lernthema fachlich unter passendem Rahmenplan-Unterbereich behalten</x:v>
      </x:c>
      <x:c r="R107" s="5" t="str">
        <x:v>Was sind die Grundsätze ordnungsmäßiger Buchführung und aus welchen wesentlichen Bestandteilen besteht der Jahresabschluss?</x:v>
      </x:c>
      <x:c r="S107" s="5" t="str">
        <x:v>15ad77767adfff33f29ec33cd224431357cf3bda4fadfddbbdd2593e73c4dbfb</x:v>
      </x:c>
    </x:row>
    <x:row r="108" ht="36" customHeight="1">
      <x:c r="A108" s="5" t="str">
        <x:v>BWL-0102</x:v>
      </x:c>
      <x:c r="B108" s="5" t="str">
        <x:v>WQ</x:v>
      </x:c>
      <x:c r="C108" s="5" t="str">
        <x:v>1</x:v>
      </x:c>
      <x:c r="D108" s="5" t="str">
        <x:v>Volks- und Betriebswirtschaft</x:v>
      </x:c>
      <x:c r="E108" s="5" t="str">
        <x:v>BWL</x:v>
      </x:c>
      <x:c r="F108" s="5" t="str">
        <x:v>ui-wq-0002</x:v>
      </x:c>
      <x:c r="G108" s="5" t="str">
        <x:v>Betriebliche Funktionen und deren Zusammenwirken</x:v>
      </x:c>
      <x:c r="H108" s="5" t="str">
        <x:v>dg-wq-0048</x:v>
      </x:c>
      <x:c r="I108" s="5" t="str">
        <x:v>1.2.1.4</x:v>
      </x:c>
      <x:c r="J108" s="5" t="str">
        <x:v>Rechnungswesen</x:v>
      </x:c>
      <x:c r="K108" s="5" t="str"/>
      <x:c r="L108" s="5" t="str">
        <x:v>Rechnungswesen &amp; Kostenrechnung</x:v>
      </x:c>
      <x:c r="M108" s="5" t="n">
        <x:v>77</x:v>
      </x:c>
      <x:c r="N108" s="5" t="n">
        <x:v>11</x:v>
      </x:c>
      <x:c r="O108" s="5" t="str"/>
      <x:c r="P108" s="5" t="str">
        <x:v>Zuordnungsvorschlag; Fachfreigabe ausstehend</x:v>
      </x:c>
      <x:c r="Q108" s="5" t="str">
        <x:v>Bestehendes Lernthema fachlich unter passendem Rahmenplan-Unterbereich behalten</x:v>
      </x:c>
      <x:c r="R108" s="5" t="str">
        <x:v>Grenzen Sie Bilanz, Gewinn-und-Verlust-Rechnung, Betriebsergebnis, Jahresüberschuss und Bilanzgewinn voneinander ab.</x:v>
      </x:c>
      <x:c r="S108" s="5" t="str">
        <x:v>ff4db2e60b1f23636f5093b3720adc6ae7b37c2e9145fb21f2e2670ff94fa72b</x:v>
      </x:c>
    </x:row>
    <x:row r="109" ht="36" customHeight="1">
      <x:c r="A109" s="5" t="str">
        <x:v>BWL-0103</x:v>
      </x:c>
      <x:c r="B109" s="5" t="str">
        <x:v>WQ</x:v>
      </x:c>
      <x:c r="C109" s="5" t="str">
        <x:v>1</x:v>
      </x:c>
      <x:c r="D109" s="5" t="str">
        <x:v>Volks- und Betriebswirtschaft</x:v>
      </x:c>
      <x:c r="E109" s="5" t="str">
        <x:v>BWL</x:v>
      </x:c>
      <x:c r="F109" s="5" t="str">
        <x:v>ui-wq-0002</x:v>
      </x:c>
      <x:c r="G109" s="5" t="str">
        <x:v>Betriebliche Funktionen und deren Zusammenwirken</x:v>
      </x:c>
      <x:c r="H109" s="5" t="str">
        <x:v>dg-wq-0048</x:v>
      </x:c>
      <x:c r="I109" s="5" t="str">
        <x:v>1.2.1.4</x:v>
      </x:c>
      <x:c r="J109" s="5" t="str">
        <x:v>Rechnungswesen</x:v>
      </x:c>
      <x:c r="K109" s="5" t="str"/>
      <x:c r="L109" s="5" t="str">
        <x:v>Rechnungswesen &amp; Kostenrechnung</x:v>
      </x:c>
      <x:c r="M109" s="5" t="n">
        <x:v>78</x:v>
      </x:c>
      <x:c r="N109" s="5" t="n">
        <x:v>12</x:v>
      </x:c>
      <x:c r="O109" s="5" t="str"/>
      <x:c r="P109" s="5" t="str">
        <x:v>Zuordnungsvorschlag; Fachfreigabe ausstehend</x:v>
      </x:c>
      <x:c r="Q109" s="5" t="str">
        <x:v>Bestehendes Lernthema fachlich unter passendem Rahmenplan-Unterbereich behalten</x:v>
      </x:c>
      <x:c r="R109" s="5" t="str">
        <x:v>Welche finanziellen und nichtfinanziellen Informationsinstrumente ergänzen den Jahresabschluss und welche Informationen liefern sie?</x:v>
      </x:c>
      <x:c r="S109" s="5" t="str">
        <x:v>df084c057fb48f52026f7c54d78ddb3b63883ef0acb6b261d15adc4867a6e3e5</x:v>
      </x:c>
    </x:row>
    <x:row r="110" ht="36" customHeight="1">
      <x:c r="A110" s="5" t="str">
        <x:v>BWL-0104</x:v>
      </x:c>
      <x:c r="B110" s="5" t="str">
        <x:v>WQ</x:v>
      </x:c>
      <x:c r="C110" s="5" t="str">
        <x:v>1</x:v>
      </x:c>
      <x:c r="D110" s="5" t="str">
        <x:v>Volks- und Betriebswirtschaft</x:v>
      </x:c>
      <x:c r="E110" s="5" t="str">
        <x:v>BWL</x:v>
      </x:c>
      <x:c r="F110" s="5" t="str">
        <x:v>ui-wq-0002</x:v>
      </x:c>
      <x:c r="G110" s="5" t="str">
        <x:v>Betriebliche Funktionen und deren Zusammenwirken</x:v>
      </x:c>
      <x:c r="H110" s="5" t="str">
        <x:v>dg-wq-0049</x:v>
      </x:c>
      <x:c r="I110" s="5" t="str">
        <x:v>1.2.1.5</x:v>
      </x:c>
      <x:c r="J110" s="5" t="str">
        <x:v>Finanzierung / Investition</x:v>
      </x:c>
      <x:c r="K110" s="5" t="str"/>
      <x:c r="L110" s="5" t="str">
        <x:v>Finanzierung &amp; Investition</x:v>
      </x:c>
      <x:c r="M110" s="5" t="n">
        <x:v>79</x:v>
      </x:c>
      <x:c r="N110" s="5" t="n">
        <x:v>14</x:v>
      </x:c>
      <x:c r="O110" s="5" t="str"/>
      <x:c r="P110" s="5" t="str">
        <x:v>Zuordnungsvorschlag; Fachfreigabe ausstehend</x:v>
      </x:c>
      <x:c r="Q110" s="5" t="str">
        <x:v>Bestehendes Lernthema fachlich unter passendem Rahmenplan-Unterbereich behalten</x:v>
      </x:c>
      <x:c r="R110" s="5" t="str">
        <x:v>Wie wird der Verschuldungsgrad berechnet und wann entsteht ein positiver Leverageeffekt? Beurteilen Sie den Fall: Gesamtkapitalrentabilität 8 %, Fremdkapitalzins 4 %.</x:v>
      </x:c>
      <x:c r="S110" s="5" t="str">
        <x:v>b1fba3a1db8f36d1757f4eb0e3eea925ff5dd45d49bbf7ec03e4919e49393573</x:v>
      </x:c>
    </x:row>
    <x:row r="111" ht="36" customHeight="1">
      <x:c r="A111" s="5" t="str">
        <x:v>BWL-0105</x:v>
      </x:c>
      <x:c r="B111" s="5" t="str">
        <x:v>WQ</x:v>
      </x:c>
      <x:c r="C111" s="5" t="str">
        <x:v>1</x:v>
      </x:c>
      <x:c r="D111" s="5" t="str">
        <x:v>Volks- und Betriebswirtschaft</x:v>
      </x:c>
      <x:c r="E111" s="5" t="str">
        <x:v>BWL</x:v>
      </x:c>
      <x:c r="F111" s="5" t="str">
        <x:v>ui-wq-0002</x:v>
      </x:c>
      <x:c r="G111" s="5" t="str">
        <x:v>Betriebliche Funktionen und deren Zusammenwirken</x:v>
      </x:c>
      <x:c r="H111" s="5" t="str">
        <x:v>dg-wq-0049</x:v>
      </x:c>
      <x:c r="I111" s="5" t="str">
        <x:v>1.2.1.5</x:v>
      </x:c>
      <x:c r="J111" s="5" t="str">
        <x:v>Finanzierung / Investition</x:v>
      </x:c>
      <x:c r="K111" s="5" t="str"/>
      <x:c r="L111" s="5" t="str">
        <x:v>Finanzierung &amp; Investition</x:v>
      </x:c>
      <x:c r="M111" s="5" t="n">
        <x:v>80</x:v>
      </x:c>
      <x:c r="N111" s="5" t="n">
        <x:v>15</x:v>
      </x:c>
      <x:c r="O111" s="5" t="str"/>
      <x:c r="P111" s="5" t="str">
        <x:v>Zuordnungsvorschlag; Fachfreigabe ausstehend</x:v>
      </x:c>
      <x:c r="Q111" s="5" t="str">
        <x:v>Bestehendes Lernthema fachlich unter passendem Rahmenplan-Unterbereich behalten</x:v>
      </x:c>
      <x:c r="R111" s="5" t="str">
        <x:v>Fallbezug: Die folgenden betrieblichen Angaben und Situationen beziehen sich auf die Circle Harbor GmbH.
Eine Investition erzielt 20.000 € Jahresgewinn und 10.000 € kalkulatorische Zinsen bei durchschnittlich 200.000 € gebundenem Kapital. Berechnen Sie die Investitionsrentabilität und erklären Sie den Unterschied zwischen statischen und dynamischen Verfahren.</x:v>
      </x:c>
      <x:c r="S111" s="5" t="str">
        <x:v>774f636056a27f0e47e587eae4127802bd9ea706005f75db20ddf64f2bdcac8f</x:v>
      </x:c>
    </x:row>
    <x:row r="112" ht="36" customHeight="1">
      <x:c r="A112" s="5" t="str">
        <x:v>BWL-0106</x:v>
      </x:c>
      <x:c r="B112" s="5" t="str">
        <x:v>WQ</x:v>
      </x:c>
      <x:c r="C112" s="5" t="str">
        <x:v>1</x:v>
      </x:c>
      <x:c r="D112" s="5" t="str">
        <x:v>Volks- und Betriebswirtschaft</x:v>
      </x:c>
      <x:c r="E112" s="5" t="str">
        <x:v>BWL</x:v>
      </x:c>
      <x:c r="F112" s="5" t="str">
        <x:v>ui-wq-0002</x:v>
      </x:c>
      <x:c r="G112" s="5" t="str">
        <x:v>Betriebliche Funktionen und deren Zusammenwirken</x:v>
      </x:c>
      <x:c r="H112" s="5" t="str">
        <x:v>dg-wq-0052</x:v>
      </x:c>
      <x:c r="I112" s="5" t="str">
        <x:v>1.2.1.7</x:v>
      </x:c>
      <x:c r="J112" s="5" t="str">
        <x:v>Personal</x:v>
      </x:c>
      <x:c r="K112" s="5" t="str"/>
      <x:c r="L112" s="5" t="str">
        <x:v>Personalmanagement</x:v>
      </x:c>
      <x:c r="M112" s="5" t="n">
        <x:v>81</x:v>
      </x:c>
      <x:c r="N112" s="5" t="n">
        <x:v>7</x:v>
      </x:c>
      <x:c r="O112" s="5" t="str"/>
      <x:c r="P112" s="5" t="str">
        <x:v>Zuordnungsvorschlag; Fachfreigabe ausstehend</x:v>
      </x:c>
      <x:c r="Q112" s="5" t="str">
        <x:v>Bestehendes Lernthema fachlich unter passendem Rahmenplan-Unterbereich behalten</x:v>
      </x:c>
      <x:c r="R112" s="5" t="str">
        <x:v>Unterscheiden Sie Arbeit 4.0 und New Work, nennen Sie gemeinsame Gestaltungsmerkmale und erläutern Sie die drei Gruppen von Soft Skills.</x:v>
      </x:c>
      <x:c r="S112" s="5" t="str">
        <x:v>ff4c8e59e6d56534905562f148ac37697c8d98fae653fc1023fade592571530d</x:v>
      </x:c>
    </x:row>
    <x:row r="113" ht="36" customHeight="1">
      <x:c r="A113" s="5" t="str">
        <x:v>BWL-0107</x:v>
      </x:c>
      <x:c r="B113" s="5" t="str">
        <x:v>WQ</x:v>
      </x:c>
      <x:c r="C113" s="5" t="str">
        <x:v>1</x:v>
      </x:c>
      <x:c r="D113" s="5" t="str">
        <x:v>Volks- und Betriebswirtschaft</x:v>
      </x:c>
      <x:c r="E113" s="5" t="str">
        <x:v>BWL</x:v>
      </x:c>
      <x:c r="F113" s="5" t="str">
        <x:v>ui-wq-0002</x:v>
      </x:c>
      <x:c r="G113" s="5" t="str">
        <x:v>Betriebliche Funktionen und deren Zusammenwirken</x:v>
      </x:c>
      <x:c r="H113" s="5" t="str">
        <x:v>dg-wq-0044</x:v>
      </x:c>
      <x:c r="I113" s="5" t="str">
        <x:v>1.2.2</x:v>
      </x:c>
      <x:c r="J113" s="5" t="str">
        <x:v>Zusammenwirken der betrieblichen Funktionen</x:v>
      </x:c>
      <x:c r="K113" s="5" t="str"/>
      <x:c r="L113" s="5" t="str">
        <x:v>Zusammenwirken, Führung, Ziele &amp; Nachhaltigkeit</x:v>
      </x:c>
      <x:c r="M113" s="5" t="n">
        <x:v>82</x:v>
      </x:c>
      <x:c r="N113" s="5" t="n">
        <x:v>8</x:v>
      </x:c>
      <x:c r="O113" s="5" t="str"/>
      <x:c r="P113" s="5" t="str">
        <x:v>Zuordnungsvorschlag; Fachfreigabe ausstehend</x:v>
      </x:c>
      <x:c r="Q113" s="5" t="str">
        <x:v>Bestehendes Lernthema fachlich unter passendem Rahmenplan-Unterbereich behalten</x:v>
      </x:c>
      <x:c r="R113" s="5" t="str">
        <x:v>Welche Management-, Leistungs- und Supportprozesse gibt es im Unternehmen und welche Aufgabe übernimmt Führung auf den unterschiedlichen Ebenen?</x:v>
      </x:c>
      <x:c r="S113" s="5" t="str">
        <x:v>26f3052b326e16ef5fcec89bda9ca6fc96e3ee3f5d63028bc4b1aed7b90a3f90</x:v>
      </x:c>
    </x:row>
    <x:row r="114" ht="36" customHeight="1">
      <x:c r="A114" s="5" t="str">
        <x:v>BWL-0108</x:v>
      </x:c>
      <x:c r="B114" s="5" t="str">
        <x:v>WQ</x:v>
      </x:c>
      <x:c r="C114" s="5" t="str">
        <x:v>1</x:v>
      </x:c>
      <x:c r="D114" s="5" t="str">
        <x:v>Volks- und Betriebswirtschaft</x:v>
      </x:c>
      <x:c r="E114" s="5" t="str">
        <x:v>BWL</x:v>
      </x:c>
      <x:c r="F114" s="5" t="str">
        <x:v>ui-wq-0002</x:v>
      </x:c>
      <x:c r="G114" s="5" t="str">
        <x:v>Betriebliche Funktionen und deren Zusammenwirken</x:v>
      </x:c>
      <x:c r="H114" s="5" t="str">
        <x:v>dg-wq-0044</x:v>
      </x:c>
      <x:c r="I114" s="5" t="str">
        <x:v>1.2.2</x:v>
      </x:c>
      <x:c r="J114" s="5" t="str">
        <x:v>Zusammenwirken der betrieblichen Funktionen</x:v>
      </x:c>
      <x:c r="K114" s="5" t="str"/>
      <x:c r="L114" s="5" t="str">
        <x:v>Zusammenwirken, Führung, Ziele &amp; Nachhaltigkeit</x:v>
      </x:c>
      <x:c r="M114" s="5" t="n">
        <x:v>83</x:v>
      </x:c>
      <x:c r="N114" s="5" t="n">
        <x:v>9</x:v>
      </x:c>
      <x:c r="O114" s="5" t="str"/>
      <x:c r="P114" s="5" t="str">
        <x:v>Zuordnungsvorschlag; Fachfreigabe ausstehend</x:v>
      </x:c>
      <x:c r="Q114" s="5" t="str">
        <x:v>Bestehendes Lernthema fachlich unter passendem Rahmenplan-Unterbereich behalten</x:v>
      </x:c>
      <x:c r="R114" s="5" t="str">
        <x:v>Was bedeutet Compliance, welche typischen Themen umfasst sie und welche Ziele verfolgt ein Compliance-Management?</x:v>
      </x:c>
      <x:c r="S114" s="5" t="str">
        <x:v>7e6a2586c861ef00a9da47d852561f3d5394d9ee84eed9862b8a7ce67005c095</x:v>
      </x:c>
    </x:row>
    <x:row r="115" ht="36" customHeight="1">
      <x:c r="A115" s="5" t="str">
        <x:v>BWL-0109</x:v>
      </x:c>
      <x:c r="B115" s="5" t="str">
        <x:v>WQ</x:v>
      </x:c>
      <x:c r="C115" s="5" t="str">
        <x:v>1</x:v>
      </x:c>
      <x:c r="D115" s="5" t="str">
        <x:v>Volks- und Betriebswirtschaft</x:v>
      </x:c>
      <x:c r="E115" s="5" t="str">
        <x:v>BWL</x:v>
      </x:c>
      <x:c r="F115" s="5" t="str">
        <x:v>ui-wq-0002</x:v>
      </x:c>
      <x:c r="G115" s="5" t="str">
        <x:v>Betriebliche Funktionen und deren Zusammenwirken</x:v>
      </x:c>
      <x:c r="H115" s="5" t="str">
        <x:v>dg-wq-0044</x:v>
      </x:c>
      <x:c r="I115" s="5" t="str">
        <x:v>1.2.2</x:v>
      </x:c>
      <x:c r="J115" s="5" t="str">
        <x:v>Zusammenwirken der betrieblichen Funktionen</x:v>
      </x:c>
      <x:c r="K115" s="5" t="str"/>
      <x:c r="L115" s="5" t="str">
        <x:v>Zusammenwirken, Führung, Ziele &amp; Nachhaltigkeit</x:v>
      </x:c>
      <x:c r="M115" s="5" t="n">
        <x:v>84</x:v>
      </x:c>
      <x:c r="N115" s="5" t="n">
        <x:v>10</x:v>
      </x:c>
      <x:c r="O115" s="5" t="str"/>
      <x:c r="P115" s="5" t="str">
        <x:v>Zuordnungsvorschlag; Fachfreigabe ausstehend</x:v>
      </x:c>
      <x:c r="Q115" s="5" t="str">
        <x:v>Bestehendes Lernthema fachlich unter passendem Rahmenplan-Unterbereich behalten</x:v>
      </x:c>
      <x:c r="R115" s="5" t="str">
        <x:v>Nennen Sie je ein fachbuchbezogenes Beispiel dafür, wie die digitale Transformation Produktion, Logistik, Marketing, Rechnungswesen, Finanzierung, Controlling und Personalmanagement verändert.</x:v>
      </x:c>
      <x:c r="S115" s="5" t="str">
        <x:v>5174e77ee46210658c0d5b8f743faf9c4af5800d74b379700fbbad8cda583eaa</x:v>
      </x:c>
    </x:row>
    <x:row r="116" ht="36" customHeight="1">
      <x:c r="A116" s="5" t="str">
        <x:v>BWL-0110</x:v>
      </x:c>
      <x:c r="B116" s="5" t="str">
        <x:v>WQ</x:v>
      </x:c>
      <x:c r="C116" s="5" t="str">
        <x:v>1</x:v>
      </x:c>
      <x:c r="D116" s="5" t="str">
        <x:v>Volks- und Betriebswirtschaft</x:v>
      </x:c>
      <x:c r="E116" s="5" t="str">
        <x:v>BWL</x:v>
      </x:c>
      <x:c r="F116" s="5" t="str">
        <x:v>ui-wq-0003</x:v>
      </x:c>
      <x:c r="G116" s="5" t="str">
        <x:v>Existenzgründung und Unternehmensrechtsformen</x:v>
      </x:c>
      <x:c r="H116" s="5" t="str">
        <x:v>dg-wq-0050</x:v>
      </x:c>
      <x:c r="I116" s="5" t="str">
        <x:v>1.3.3.2</x:v>
      </x:c>
      <x:c r="J116" s="5" t="str">
        <x:v>Ansprüche an Haftung, Geschäftsführung und Vertretung</x:v>
      </x:c>
      <x:c r="K116" s="5" t="str"/>
      <x:c r="L116" s="5" t="str">
        <x:v>Existenzgründung &amp; Rechtsformen</x:v>
      </x:c>
      <x:c r="M116" s="5" t="n">
        <x:v>17</x:v>
      </x:c>
      <x:c r="N116" s="5" t="n">
        <x:v>14</x:v>
      </x:c>
      <x:c r="O116" s="5" t="str"/>
      <x:c r="P116" s="5" t="str">
        <x:v>Zuordnungsvorschlag; Fachfreigabe ausstehend</x:v>
      </x:c>
      <x:c r="Q116" s="5" t="str">
        <x:v>Bestehendes Lernthema fachlich unter passendem Rahmenplan-Unterbereich behalten</x:v>
      </x:c>
      <x:c r="R116" s="5" t="str">
        <x:v>Vergleichen Sie Societas Europaea und Kommanditgesellschaft auf Aktien hinsichtlich Zweck, Kapital, Haftung und Leitung.</x:v>
      </x:c>
      <x:c r="S116" s="5" t="str">
        <x:v>d9c5fe22596389fe7a3c4f1fa6a9ede97ae2e93d42bf8b77a8cd79313ee6011f</x:v>
      </x:c>
    </x:row>
    <x:row r="117" ht="36" customHeight="1">
      <x:c r="A117" s="5" t="str">
        <x:v>BWL-0111</x:v>
      </x:c>
      <x:c r="B117" s="5" t="str">
        <x:v>WQ</x:v>
      </x:c>
      <x:c r="C117" s="5" t="str">
        <x:v>1</x:v>
      </x:c>
      <x:c r="D117" s="5" t="str">
        <x:v>Volks- und Betriebswirtschaft</x:v>
      </x:c>
      <x:c r="E117" s="5" t="str">
        <x:v>BWL</x:v>
      </x:c>
      <x:c r="F117" s="5" t="str">
        <x:v>ui-wq-0003</x:v>
      </x:c>
      <x:c r="G117" s="5" t="str">
        <x:v>Existenzgründung und Unternehmensrechtsformen</x:v>
      </x:c>
      <x:c r="H117" s="5" t="str">
        <x:v>dg-wq-0050</x:v>
      </x:c>
      <x:c r="I117" s="5" t="str">
        <x:v>1.3.3</x:v>
      </x:c>
      <x:c r="J117" s="5" t="str">
        <x:v>Rechtsformen</x:v>
      </x:c>
      <x:c r="K117" s="5" t="str"/>
      <x:c r="L117" s="5" t="str">
        <x:v>Existenzgründung &amp; Rechtsformen</x:v>
      </x:c>
      <x:c r="M117" s="5" t="n">
        <x:v>18</x:v>
      </x:c>
      <x:c r="N117" s="5" t="n">
        <x:v>15</x:v>
      </x:c>
      <x:c r="O117" s="5" t="str"/>
      <x:c r="P117" s="5" t="str">
        <x:v>Zuordnungsvorschlag; Fachfreigabe ausstehend</x:v>
      </x:c>
      <x:c r="Q117" s="5" t="str">
        <x:v>Bestehendes Lernthema fachlich unter passendem Rahmenplan-Unterbereich behalten</x:v>
      </x:c>
      <x:c r="R117" s="5" t="str">
        <x:v>Charakterisieren Sie Genossenschaft und stille Gesellschaft und grenzen Sie typische von atypischer stiller Beteiligung ab.</x:v>
      </x:c>
      <x:c r="S117" s="5" t="str">
        <x:v>48b68ca31368f45badb453f89e6c58610d84d0e944149027407a95ca4f3525a5</x:v>
      </x:c>
    </x:row>
    <x:row r="118" ht="36" customHeight="1">
      <x:c r="A118" s="5" t="str">
        <x:v>BWL-0112</x:v>
      </x:c>
      <x:c r="B118" s="5" t="str">
        <x:v>WQ</x:v>
      </x:c>
      <x:c r="C118" s="5" t="str">
        <x:v>1</x:v>
      </x:c>
      <x:c r="D118" s="5" t="str">
        <x:v>Volks- und Betriebswirtschaft</x:v>
      </x:c>
      <x:c r="E118" s="5" t="str">
        <x:v>BWL</x:v>
      </x:c>
      <x:c r="F118" s="5" t="str">
        <x:v>ui-wq-0003</x:v>
      </x:c>
      <x:c r="G118" s="5" t="str">
        <x:v>Existenzgründung und Unternehmensrechtsformen</x:v>
      </x:c>
      <x:c r="H118" s="5" t="str">
        <x:v>dg-wq-0050</x:v>
      </x:c>
      <x:c r="I118" s="5" t="str">
        <x:v>1.3.3</x:v>
      </x:c>
      <x:c r="J118" s="5" t="str">
        <x:v>Rechtsformen</x:v>
      </x:c>
      <x:c r="K118" s="5" t="str"/>
      <x:c r="L118" s="5" t="str">
        <x:v>Existenzgründung &amp; Rechtsformen</x:v>
      </x:c>
      <x:c r="M118" s="5" t="n">
        <x:v>19</x:v>
      </x:c>
      <x:c r="N118" s="5" t="n">
        <x:v>16</x:v>
      </x:c>
      <x:c r="O118" s="5" t="str"/>
      <x:c r="P118" s="5" t="str">
        <x:v>Zuordnungsvorschlag; Fachfreigabe ausstehend</x:v>
      </x:c>
      <x:c r="Q118" s="5" t="str">
        <x:v>Bestehendes Lernthema fachlich unter passendem Rahmenplan-Unterbereich behalten</x:v>
      </x:c>
      <x:c r="R118" s="5" t="str">
        <x:v>Worin unterscheiden sich Auflösung, Liquidation und Insolvenz und welche Gründe, Pflichten und Ziele sind bei einem Insolvenzverfahren zu beachten?</x:v>
      </x:c>
      <x:c r="S118" s="5" t="str">
        <x:v>76b96d72de43cd3ba5fac68110c04db97bd2a166bfa0a8688b06bae0cfef6108</x:v>
      </x:c>
    </x:row>
    <x:row r="119" ht="36" customHeight="1">
      <x:c r="A119" s="5" t="str">
        <x:v>BWL-0113</x:v>
      </x:c>
      <x:c r="B119" s="5" t="str">
        <x:v>WQ</x:v>
      </x:c>
      <x:c r="C119" s="5" t="str">
        <x:v>1</x:v>
      </x:c>
      <x:c r="D119" s="5" t="str">
        <x:v>Volks- und Betriebswirtschaft</x:v>
      </x:c>
      <x:c r="E119" s="5" t="str">
        <x:v>BWL</x:v>
      </x:c>
      <x:c r="F119" s="5" t="str">
        <x:v>ui-wq-0004</x:v>
      </x:c>
      <x:c r="G119" s="5" t="str">
        <x:v>Unternehmenszusammenschlüsse</x:v>
      </x:c>
      <x:c r="H119" s="5" t="str">
        <x:v>dg-wq-0055</x:v>
      </x:c>
      <x:c r="I119" s="5" t="str">
        <x:v>1.4.1</x:v>
      </x:c>
      <x:c r="J119" s="5" t="str">
        <x:v>Formen der Kooperation</x:v>
      </x:c>
      <x:c r="K119" s="5" t="str"/>
      <x:c r="L119" s="5" t="str">
        <x:v>Unternehmenszusammenschlüsse</x:v>
      </x:c>
      <x:c r="M119" s="5" t="n">
        <x:v>10</x:v>
      </x:c>
      <x:c r="N119" s="5" t="n">
        <x:v>5</x:v>
      </x:c>
      <x:c r="O119" s="5" t="str"/>
      <x:c r="P119" s="5" t="str">
        <x:v>Zuordnungsvorschlag; Fachfreigabe ausstehend</x:v>
      </x:c>
      <x:c r="Q119" s="5" t="str">
        <x:v>Bestehendes Lernthema fachlich unter passendem Rahmenplan-Unterbereich behalten</x:v>
      </x:c>
      <x:c r="R119" s="5" t="str">
        <x:v>Grenzen Sie Größenvorteile und Synergieeffekte bei Unternehmenszusammenschlüssen ab und nennen Sie Beispiele sowie mögliche Risiken.</x:v>
      </x:c>
      <x:c r="S119" s="5" t="str">
        <x:v>a8aae50f4ba4bd3b37c8358bf5bdc6675a18a56125a083b090238d434a0dbe61</x:v>
      </x:c>
    </x:row>
    <x:row r="120" ht="36" customHeight="1">
      <x:c r="A120" s="5" t="str">
        <x:v>BWL-0114</x:v>
      </x:c>
      <x:c r="B120" s="5" t="str">
        <x:v>WQ</x:v>
      </x:c>
      <x:c r="C120" s="5" t="str">
        <x:v>1</x:v>
      </x:c>
      <x:c r="D120" s="5" t="str">
        <x:v>Volks- und Betriebswirtschaft</x:v>
      </x:c>
      <x:c r="E120" s="5" t="str">
        <x:v>BWL</x:v>
      </x:c>
      <x:c r="F120" s="5" t="str">
        <x:v>ui-wq-0002</x:v>
      </x:c>
      <x:c r="G120" s="5" t="str">
        <x:v>Betriebliche Funktionen und deren Zusammenwirken</x:v>
      </x:c>
      <x:c r="H120" s="5" t="str">
        <x:v>dg-wq-0044</x:v>
      </x:c>
      <x:c r="I120" s="5" t="str">
        <x:v>1.2.2</x:v>
      </x:c>
      <x:c r="J120" s="5" t="str">
        <x:v>Zusammenwirken der betrieblichen Funktionen</x:v>
      </x:c>
      <x:c r="K120" s="5" t="str"/>
      <x:c r="L120" s="5" t="str">
        <x:v>Zusammenwirken, Führung, Ziele &amp; Nachhaltigkeit</x:v>
      </x:c>
      <x:c r="M120" s="5" t="n">
        <x:v>85</x:v>
      </x:c>
      <x:c r="N120" s="5" t="n">
        <x:v>11</x:v>
      </x:c>
      <x:c r="O120" s="5" t="str"/>
      <x:c r="P120" s="5" t="str">
        <x:v>Zuordnungsvorschlag; Fachfreigabe ausstehend</x:v>
      </x:c>
      <x:c r="Q120" s="5" t="str">
        <x:v>Bestehendes Lernthema fachlich unter passendem Rahmenplan-Unterbereich behalten</x:v>
      </x:c>
      <x:c r="R120" s="5" t="str">
        <x:v>Definieren Sie die Begriffe Wirtschaften und Betrieb und grenzen Sie Betrieb und Unternehmen im betriebswirtschaftlichen Sinn voneinander ab.</x:v>
      </x:c>
      <x:c r="S120" s="5" t="str">
        <x:v>2befbf5aab98e24a9cec0b55ac01051003f0d71ff77f6207dbdd43d24cd87ccf</x:v>
      </x:c>
    </x:row>
    <x:row r="121" ht="36" customHeight="1">
      <x:c r="A121" s="5" t="str">
        <x:v>BWL-0115</x:v>
      </x:c>
      <x:c r="B121" s="5" t="str">
        <x:v>WQ</x:v>
      </x:c>
      <x:c r="C121" s="5" t="str">
        <x:v>1</x:v>
      </x:c>
      <x:c r="D121" s="5" t="str">
        <x:v>Volks- und Betriebswirtschaft</x:v>
      </x:c>
      <x:c r="E121" s="5" t="str">
        <x:v>BWL</x:v>
      </x:c>
      <x:c r="F121" s="5" t="str">
        <x:v>ui-wq-0002</x:v>
      </x:c>
      <x:c r="G121" s="5" t="str">
        <x:v>Betriebliche Funktionen und deren Zusammenwirken</x:v>
      </x:c>
      <x:c r="H121" s="5" t="str">
        <x:v>dg-wq-0044</x:v>
      </x:c>
      <x:c r="I121" s="5" t="str">
        <x:v>1.2.2</x:v>
      </x:c>
      <x:c r="J121" s="5" t="str">
        <x:v>Zusammenwirken der betrieblichen Funktionen</x:v>
      </x:c>
      <x:c r="K121" s="5" t="str"/>
      <x:c r="L121" s="5" t="str">
        <x:v>Zusammenwirken, Führung, Ziele &amp; Nachhaltigkeit</x:v>
      </x:c>
      <x:c r="M121" s="5" t="n">
        <x:v>86</x:v>
      </x:c>
      <x:c r="N121" s="5" t="n">
        <x:v>12</x:v>
      </x:c>
      <x:c r="O121" s="5" t="str"/>
      <x:c r="P121" s="5" t="str">
        <x:v>Zuordnungsvorschlag; Fachfreigabe ausstehend</x:v>
      </x:c>
      <x:c r="Q121" s="5" t="str">
        <x:v>Bestehendes Lernthema fachlich unter passendem Rahmenplan-Unterbereich behalten</x:v>
      </x:c>
      <x:c r="R121" s="5" t="str">
        <x:v>Grenzen Sie die Begriffe Firma, Fabrik und Geschäft vom Betrieb beziehungsweise Unternehmen ab und nennen Sie jeweils ein Beispiel.</x:v>
      </x:c>
      <x:c r="S121" s="5" t="str">
        <x:v>e174875cf93858e37387b0e7065b7da19b2d3bf568c1aab194d9dcf7e6365ff9</x:v>
      </x:c>
    </x:row>
    <x:row r="122" ht="36" customHeight="1">
      <x:c r="A122" s="5" t="str">
        <x:v>BWL-0116</x:v>
      </x:c>
      <x:c r="B122" s="5" t="str">
        <x:v>WQ</x:v>
      </x:c>
      <x:c r="C122" s="5" t="str">
        <x:v>1</x:v>
      </x:c>
      <x:c r="D122" s="5" t="str">
        <x:v>Volks- und Betriebswirtschaft</x:v>
      </x:c>
      <x:c r="E122" s="5" t="str">
        <x:v>BWL</x:v>
      </x:c>
      <x:c r="F122" s="5" t="str">
        <x:v>ui-wq-0002</x:v>
      </x:c>
      <x:c r="G122" s="5" t="str">
        <x:v>Betriebliche Funktionen und deren Zusammenwirken</x:v>
      </x:c>
      <x:c r="H122" s="5" t="str">
        <x:v>dg-wq-0045</x:v>
      </x:c>
      <x:c r="I122" s="5" t="str">
        <x:v>1.2.1.1</x:v>
      </x:c>
      <x:c r="J122" s="5" t="str">
        <x:v>Produktion</x:v>
      </x:c>
      <x:c r="K122" s="5" t="str"/>
      <x:c r="L122" s="5" t="str">
        <x:v>Produktion &amp; Leistungserstellung</x:v>
      </x:c>
      <x:c r="M122" s="5" t="n">
        <x:v>87</x:v>
      </x:c>
      <x:c r="N122" s="5" t="n">
        <x:v>11</x:v>
      </x:c>
      <x:c r="O122" s="5" t="str"/>
      <x:c r="P122" s="5" t="str">
        <x:v>Zuordnungsvorschlag; Fachfreigabe ausstehend</x:v>
      </x:c>
      <x:c r="Q122" s="5" t="str">
        <x:v>Bestehendes Lernthema fachlich unter passendem Rahmenplan-Unterbereich behalten</x:v>
      </x:c>
      <x:c r="R122" s="5" t="str">
        <x:v>Unterscheiden Sie Konsum- und Produktions- beziehungsweise Investitionsgüter sowie Gebrauchs- und Verbrauchsgüter. Ordnen Sie zusätzlich Dienstleistungen ein.</x:v>
      </x:c>
      <x:c r="S122" s="5" t="str">
        <x:v>c5c07247b958e988dfb7be9efbb107da62c1f2810b2f0b502634a273f39f8b1f</x:v>
      </x:c>
    </x:row>
    <x:row r="123" ht="36" customHeight="1">
      <x:c r="A123" s="5" t="str">
        <x:v>BWL-0117</x:v>
      </x:c>
      <x:c r="B123" s="5" t="str">
        <x:v>WQ</x:v>
      </x:c>
      <x:c r="C123" s="5" t="str">
        <x:v>1</x:v>
      </x:c>
      <x:c r="D123" s="5" t="str">
        <x:v>Volks- und Betriebswirtschaft</x:v>
      </x:c>
      <x:c r="E123" s="5" t="str">
        <x:v>BWL</x:v>
      </x:c>
      <x:c r="F123" s="5" t="str">
        <x:v>ui-wq-0002</x:v>
      </x:c>
      <x:c r="G123" s="5" t="str">
        <x:v>Betriebliche Funktionen und deren Zusammenwirken</x:v>
      </x:c>
      <x:c r="H123" s="5" t="str">
        <x:v>dg-wq-0044</x:v>
      </x:c>
      <x:c r="I123" s="5" t="str">
        <x:v>1.2.2</x:v>
      </x:c>
      <x:c r="J123" s="5" t="str">
        <x:v>Zusammenwirken der betrieblichen Funktionen</x:v>
      </x:c>
      <x:c r="K123" s="5" t="str"/>
      <x:c r="L123" s="5" t="str">
        <x:v>Zusammenwirken, Führung, Ziele &amp; Nachhaltigkeit</x:v>
      </x:c>
      <x:c r="M123" s="5" t="n">
        <x:v>88</x:v>
      </x:c>
      <x:c r="N123" s="5" t="n">
        <x:v>13</x:v>
      </x:c>
      <x:c r="O123" s="5" t="str"/>
      <x:c r="P123" s="5" t="str">
        <x:v>Zuordnungsvorschlag; Fachfreigabe ausstehend</x:v>
      </x:c>
      <x:c r="Q123" s="5" t="str">
        <x:v>Bestehendes Lernthema fachlich unter passendem Rahmenplan-Unterbereich behalten</x:v>
      </x:c>
      <x:c r="R123" s="5" t="str">
        <x:v>Die Circle Harbor GmbH plant die Einführung einer neuen Produktlinie. Ordnen Sie Beschaffung, Logistik, Produktion und Marketing sowie Finanzierung/Investition, Rechnungswesen, Controlling und Personal den primären beziehungsweise sekundären betrieblichen Funktionen zu und erläutern Sie den Unterschied.</x:v>
      </x:c>
      <x:c r="S123" s="5" t="str">
        <x:v>aa4f5e998001e0bf0b88c77100b8856a93e7dca1029257a48a794fc27aa90d2f</x:v>
      </x:c>
    </x:row>
    <x:row r="124" ht="36" customHeight="1">
      <x:c r="A124" s="5" t="str">
        <x:v>BWL-0118</x:v>
      </x:c>
      <x:c r="B124" s="5" t="str">
        <x:v>WQ</x:v>
      </x:c>
      <x:c r="C124" s="5" t="str">
        <x:v>1</x:v>
      </x:c>
      <x:c r="D124" s="5" t="str">
        <x:v>Volks- und Betriebswirtschaft</x:v>
      </x:c>
      <x:c r="E124" s="5" t="str">
        <x:v>BWL</x:v>
      </x:c>
      <x:c r="F124" s="5" t="str">
        <x:v>ui-wq-0002</x:v>
      </x:c>
      <x:c r="G124" s="5" t="str">
        <x:v>Betriebliche Funktionen und deren Zusammenwirken</x:v>
      </x:c>
      <x:c r="H124" s="5" t="str">
        <x:v>dg-wq-0045</x:v>
      </x:c>
      <x:c r="I124" s="5" t="str">
        <x:v>1.2.1.1</x:v>
      </x:c>
      <x:c r="J124" s="5" t="str">
        <x:v>Produktion</x:v>
      </x:c>
      <x:c r="K124" s="5" t="str"/>
      <x:c r="L124" s="5" t="str">
        <x:v>Produktion &amp; Leistungserstellung</x:v>
      </x:c>
      <x:c r="M124" s="5" t="n">
        <x:v>89</x:v>
      </x:c>
      <x:c r="N124" s="5" t="n">
        <x:v>12</x:v>
      </x:c>
      <x:c r="O124" s="5" t="str"/>
      <x:c r="P124" s="5" t="str">
        <x:v>Zuordnungsvorschlag; Fachfreigabe ausstehend</x:v>
      </x:c>
      <x:c r="Q124" s="5" t="str">
        <x:v>Bestehendes Lernthema fachlich unter passendem Rahmenplan-Unterbereich behalten</x:v>
      </x:c>
      <x:c r="R124" s="5" t="str">
        <x:v>Worin unterscheiden sich Produktion und Fertigung? Erläutern Sie außerdem Sachziel, Formalziel und Humanziel des Produktionsbereichs mit je einem Beispiel.</x:v>
      </x:c>
      <x:c r="S124" s="5" t="str">
        <x:v>ac0510e8cfc22a5d460cfd4e225c063c59a58affecbdc3a6ed59752310acecb1</x:v>
      </x:c>
    </x:row>
    <x:row r="125" ht="36" customHeight="1">
      <x:c r="A125" s="5" t="str">
        <x:v>BWL-0119</x:v>
      </x:c>
      <x:c r="B125" s="5" t="str">
        <x:v>WQ</x:v>
      </x:c>
      <x:c r="C125" s="5" t="str">
        <x:v>1</x:v>
      </x:c>
      <x:c r="D125" s="5" t="str">
        <x:v>Volks- und Betriebswirtschaft</x:v>
      </x:c>
      <x:c r="E125" s="5" t="str">
        <x:v>BWL</x:v>
      </x:c>
      <x:c r="F125" s="5" t="str">
        <x:v>ui-wq-0002</x:v>
      </x:c>
      <x:c r="G125" s="5" t="str">
        <x:v>Betriebliche Funktionen und deren Zusammenwirken</x:v>
      </x:c>
      <x:c r="H125" s="5" t="str">
        <x:v>dg-wq-0045</x:v>
      </x:c>
      <x:c r="I125" s="5" t="str">
        <x:v>1.2.1.1</x:v>
      </x:c>
      <x:c r="J125" s="5" t="str">
        <x:v>Produktion</x:v>
      </x:c>
      <x:c r="K125" s="5" t="str"/>
      <x:c r="L125" s="5" t="str">
        <x:v>Produktion &amp; Leistungserstellung</x:v>
      </x:c>
      <x:c r="M125" s="5" t="n">
        <x:v>90</x:v>
      </x:c>
      <x:c r="N125" s="5" t="n">
        <x:v>13</x:v>
      </x:c>
      <x:c r="O125" s="5" t="str"/>
      <x:c r="P125" s="5" t="str">
        <x:v>Zuordnungsvorschlag; Fachfreigabe ausstehend</x:v>
      </x:c>
      <x:c r="Q125" s="5" t="str">
        <x:v>Bestehendes Lernthema fachlich unter passendem Rahmenplan-Unterbereich behalten</x:v>
      </x:c>
      <x:c r="R125" s="5" t="str">
        <x:v>Circle Harbor montiert eine sehr große, kundenspezifische Anlage direkt auf dem Gelände des Kunden, weil das Arbeitsobjekt kaum transportierbar ist. Welcher Organisationstyp der Fertigung ist geeignet? Erläutern Sie Prinzip, zwei Vorteile und zwei Nachteile.</x:v>
      </x:c>
      <x:c r="S125" s="5" t="str">
        <x:v>e02bd42de120275a44c430c254e125fce420f8ff45f0e1f1e356a58e53004250</x:v>
      </x:c>
    </x:row>
    <x:row r="126" ht="36" customHeight="1">
      <x:c r="A126" s="5" t="str">
        <x:v>BWL-0120</x:v>
      </x:c>
      <x:c r="B126" s="5" t="str">
        <x:v>WQ</x:v>
      </x:c>
      <x:c r="C126" s="5" t="str">
        <x:v>1</x:v>
      </x:c>
      <x:c r="D126" s="5" t="str">
        <x:v>Volks- und Betriebswirtschaft</x:v>
      </x:c>
      <x:c r="E126" s="5" t="str">
        <x:v>BWL</x:v>
      </x:c>
      <x:c r="F126" s="5" t="str">
        <x:v>ui-wq-0002</x:v>
      </x:c>
      <x:c r="G126" s="5" t="str">
        <x:v>Betriebliche Funktionen und deren Zusammenwirken</x:v>
      </x:c>
      <x:c r="H126" s="5" t="str">
        <x:v>dg-wq-0046</x:v>
      </x:c>
      <x:c r="I126" s="5" t="str">
        <x:v>1.2.1.2</x:v>
      </x:c>
      <x:c r="J126" s="5" t="str">
        <x:v>Logistik</x:v>
      </x:c>
      <x:c r="K126" s="5" t="str"/>
      <x:c r="L126" s="5" t="str">
        <x:v>Logistik &amp; Supply Chain</x:v>
      </x:c>
      <x:c r="M126" s="5" t="n">
        <x:v>91</x:v>
      </x:c>
      <x:c r="N126" s="5" t="n">
        <x:v>10</x:v>
      </x:c>
      <x:c r="O126" s="5" t="str"/>
      <x:c r="P126" s="5" t="str">
        <x:v>Zuordnungsvorschlag; Fachfreigabe ausstehend</x:v>
      </x:c>
      <x:c r="Q126" s="5" t="str">
        <x:v>Bestehendes Lernthema fachlich unter passendem Rahmenplan-Unterbereich behalten</x:v>
      </x:c>
      <x:c r="R126" s="5" t="str">
        <x:v>Die Circle Harbor GmbH will ihren Logistikservice verbessern. Erläutern Sie Lieferzeit, Lieferzuverlässigkeit, Lieferflexibilität und Lieferbeschaffenheit und zeigen Sie den Zielkonflikt zu den Logistikkosten.</x:v>
      </x:c>
      <x:c r="S126" s="5" t="str">
        <x:v>b1a76538176482eaa26d9607313aa2fb8ba1e4689375ad20238396f8ec359d1f</x:v>
      </x:c>
    </x:row>
    <x:row r="127" ht="36" customHeight="1">
      <x:c r="A127" s="5" t="str">
        <x:v>BWL-0121</x:v>
      </x:c>
      <x:c r="B127" s="5" t="str">
        <x:v>WQ</x:v>
      </x:c>
      <x:c r="C127" s="5" t="str">
        <x:v>1</x:v>
      </x:c>
      <x:c r="D127" s="5" t="str">
        <x:v>Volks- und Betriebswirtschaft</x:v>
      </x:c>
      <x:c r="E127" s="5" t="str">
        <x:v>BWL</x:v>
      </x:c>
      <x:c r="F127" s="5" t="str">
        <x:v>ui-wq-0002</x:v>
      </x:c>
      <x:c r="G127" s="5" t="str">
        <x:v>Betriebliche Funktionen und deren Zusammenwirken</x:v>
      </x:c>
      <x:c r="H127" s="5" t="str">
        <x:v>dg-wq-0047</x:v>
      </x:c>
      <x:c r="I127" s="5" t="str">
        <x:v>1.2.1.3</x:v>
      </x:c>
      <x:c r="J127" s="5" t="str">
        <x:v>Absatz / Marketing</x:v>
      </x:c>
      <x:c r="K127" s="5" t="str"/>
      <x:c r="L127" s="5" t="str">
        <x:v>Marketing, Marktforschung &amp; F&amp;E</x:v>
      </x:c>
      <x:c r="M127" s="5" t="n">
        <x:v>92</x:v>
      </x:c>
      <x:c r="N127" s="5" t="n">
        <x:v>18</x:v>
      </x:c>
      <x:c r="O127" s="5" t="str"/>
      <x:c r="P127" s="5" t="str">
        <x:v>Zuordnungsvorschlag; Fachfreigabe ausstehend</x:v>
      </x:c>
      <x:c r="Q127" s="5" t="str">
        <x:v>Bestehendes Lernthema fachlich unter passendem Rahmenplan-Unterbereich behalten</x:v>
      </x:c>
      <x:c r="R127" s="5" t="str">
        <x:v>Unterscheiden Sie qualitative und quantitative Marktforschung sowie Primär- und Sekundärforschung. Warum handelt es sich um zwei unterschiedliche Einteilungsachsen?</x:v>
      </x:c>
      <x:c r="S127" s="5" t="str">
        <x:v>41b42a99088747f118cef997ef6994a0e0ac121460e54c080d07ee148f8cba06</x:v>
      </x:c>
    </x:row>
    <x:row r="128" ht="36" customHeight="1">
      <x:c r="A128" s="5" t="str">
        <x:v>BWL-0122</x:v>
      </x:c>
      <x:c r="B128" s="5" t="str">
        <x:v>WQ</x:v>
      </x:c>
      <x:c r="C128" s="5" t="str">
        <x:v>1</x:v>
      </x:c>
      <x:c r="D128" s="5" t="str">
        <x:v>Volks- und Betriebswirtschaft</x:v>
      </x:c>
      <x:c r="E128" s="5" t="str">
        <x:v>BWL</x:v>
      </x:c>
      <x:c r="F128" s="5" t="str">
        <x:v>ui-wq-0002</x:v>
      </x:c>
      <x:c r="G128" s="5" t="str">
        <x:v>Betriebliche Funktionen und deren Zusammenwirken</x:v>
      </x:c>
      <x:c r="H128" s="5" t="str">
        <x:v>dg-wq-0047</x:v>
      </x:c>
      <x:c r="I128" s="5" t="str">
        <x:v>1.2.1.3</x:v>
      </x:c>
      <x:c r="J128" s="5" t="str">
        <x:v>Absatz / Marketing</x:v>
      </x:c>
      <x:c r="K128" s="5" t="str"/>
      <x:c r="L128" s="5" t="str">
        <x:v>Marketing, Marktforschung &amp; F&amp;E</x:v>
      </x:c>
      <x:c r="M128" s="5" t="n">
        <x:v>93</x:v>
      </x:c>
      <x:c r="N128" s="5" t="n">
        <x:v>19</x:v>
      </x:c>
      <x:c r="O128" s="5" t="str"/>
      <x:c r="P128" s="5" t="str">
        <x:v>Zuordnungsvorschlag; Fachfreigabe ausstehend</x:v>
      </x:c>
      <x:c r="Q128" s="5" t="str">
        <x:v>Bestehendes Lernthema fachlich unter passendem Rahmenplan-Unterbereich behalten</x:v>
      </x:c>
      <x:c r="R128" s="5" t="str">
        <x:v>Circle Harbor erwägt einen neuen Service. Zunächst werden vorhandene Reklamations- und CRM-Daten ausgewertet, danach zehn offene Tiefeninterviews geführt und anschließend 800 Kunden standardisiert befragt. Ordnen Sie die drei Schritte methodisch ein und erläutern Sie ihren jeweiligen Nutzen.</x:v>
      </x:c>
      <x:c r="S128" s="5" t="str">
        <x:v>fc7eff767f9f10528b05f3ea91750f4b503e375b7778d9175a4f59a10eb91004</x:v>
      </x:c>
    </x:row>
    <x:row r="129" ht="36" customHeight="1">
      <x:c r="A129" s="5" t="str">
        <x:v>BWL-0123</x:v>
      </x:c>
      <x:c r="B129" s="5" t="str">
        <x:v>WQ</x:v>
      </x:c>
      <x:c r="C129" s="5" t="str">
        <x:v>1</x:v>
      </x:c>
      <x:c r="D129" s="5" t="str">
        <x:v>Volks- und Betriebswirtschaft</x:v>
      </x:c>
      <x:c r="E129" s="5" t="str">
        <x:v>BWL</x:v>
      </x:c>
      <x:c r="F129" s="5" t="str">
        <x:v>ui-wq-0002</x:v>
      </x:c>
      <x:c r="G129" s="5" t="str">
        <x:v>Betriebliche Funktionen und deren Zusammenwirken</x:v>
      </x:c>
      <x:c r="H129" s="5" t="str">
        <x:v>dg-wq-0049</x:v>
      </x:c>
      <x:c r="I129" s="5" t="str">
        <x:v>1.2.1.5</x:v>
      </x:c>
      <x:c r="J129" s="5" t="str">
        <x:v>Finanzierung / Investition</x:v>
      </x:c>
      <x:c r="K129" s="5" t="str"/>
      <x:c r="L129" s="5" t="str">
        <x:v>Finanzierung &amp; Investition</x:v>
      </x:c>
      <x:c r="M129" s="5" t="n">
        <x:v>94</x:v>
      </x:c>
      <x:c r="N129" s="5" t="n">
        <x:v>16</x:v>
      </x:c>
      <x:c r="O129" s="5" t="str"/>
      <x:c r="P129" s="5" t="str">
        <x:v>Zuordnungsvorschlag; Fachfreigabe ausstehend</x:v>
      </x:c>
      <x:c r="Q129" s="5" t="str">
        <x:v>Bestehendes Lernthema fachlich unter passendem Rahmenplan-Unterbereich behalten</x:v>
      </x:c>
      <x:c r="R129" s="5" t="str">
        <x:v>Grenzen Sie Finanzierung und Investition sowohl zahlungsstromorientiert als auch bilanzorientiert voneinander ab.</x:v>
      </x:c>
      <x:c r="S129" s="5" t="str">
        <x:v>f6e1f720ae302d3d1a07a2d28175df5d1754bc32656817f5b6bbd5b8b9d1da25</x:v>
      </x:c>
    </x:row>
    <x:row r="130" ht="36" customHeight="1">
      <x:c r="A130" s="5" t="str">
        <x:v>BWL-0124</x:v>
      </x:c>
      <x:c r="B130" s="5" t="str">
        <x:v>WQ</x:v>
      </x:c>
      <x:c r="C130" s="5" t="str">
        <x:v>1</x:v>
      </x:c>
      <x:c r="D130" s="5" t="str">
        <x:v>Volks- und Betriebswirtschaft</x:v>
      </x:c>
      <x:c r="E130" s="5" t="str">
        <x:v>BWL</x:v>
      </x:c>
      <x:c r="F130" s="5" t="str">
        <x:v>ui-wq-0002</x:v>
      </x:c>
      <x:c r="G130" s="5" t="str">
        <x:v>Betriebliche Funktionen und deren Zusammenwirken</x:v>
      </x:c>
      <x:c r="H130" s="5" t="str">
        <x:v>dg-wq-0049</x:v>
      </x:c>
      <x:c r="I130" s="5" t="str">
        <x:v>1.2.1.5</x:v>
      </x:c>
      <x:c r="J130" s="5" t="str">
        <x:v>Finanzierung / Investition</x:v>
      </x:c>
      <x:c r="K130" s="5" t="str"/>
      <x:c r="L130" s="5" t="str">
        <x:v>Finanzierung &amp; Investition</x:v>
      </x:c>
      <x:c r="M130" s="5" t="n">
        <x:v>95</x:v>
      </x:c>
      <x:c r="N130" s="5" t="n">
        <x:v>17</x:v>
      </x:c>
      <x:c r="O130" s="5" t="str"/>
      <x:c r="P130" s="5" t="str">
        <x:v>Zuordnungsvorschlag; Fachfreigabe ausstehend</x:v>
      </x:c>
      <x:c r="Q130" s="5" t="str">
        <x:v>Bestehendes Lernthema fachlich unter passendem Rahmenplan-Unterbereich behalten</x:v>
      </x:c>
      <x:c r="R130" s="5" t="str">
        <x:v>Welche vier zentralen finanzwirtschaftlichen Ziele nennt die Dozentensystematik und welche typischen Zielkonflikte können zwischen ihnen entstehen?</x:v>
      </x:c>
      <x:c r="S130" s="5" t="str">
        <x:v>098a4ef1615bc6af1d1d5a520c5dae1734a652a8d582a6cbcf788221e4acf680</x:v>
      </x:c>
    </x:row>
    <x:row r="131" ht="36" customHeight="1">
      <x:c r="A131" s="5" t="str">
        <x:v>BWL-0125</x:v>
      </x:c>
      <x:c r="B131" s="5" t="str">
        <x:v>WQ</x:v>
      </x:c>
      <x:c r="C131" s="5" t="str">
        <x:v>1</x:v>
      </x:c>
      <x:c r="D131" s="5" t="str">
        <x:v>Volks- und Betriebswirtschaft</x:v>
      </x:c>
      <x:c r="E131" s="5" t="str">
        <x:v>BWL</x:v>
      </x:c>
      <x:c r="F131" s="5" t="str">
        <x:v>ui-wq-0002</x:v>
      </x:c>
      <x:c r="G131" s="5" t="str">
        <x:v>Betriebliche Funktionen und deren Zusammenwirken</x:v>
      </x:c>
      <x:c r="H131" s="5" t="str">
        <x:v>dg-wq-0044</x:v>
      </x:c>
      <x:c r="I131" s="5" t="str">
        <x:v>1.2.2</x:v>
      </x:c>
      <x:c r="J131" s="5" t="str">
        <x:v>Zusammenwirken der betrieblichen Funktionen</x:v>
      </x:c>
      <x:c r="K131" s="5" t="str"/>
      <x:c r="L131" s="5" t="str">
        <x:v>Zusammenwirken, Führung, Ziele &amp; Nachhaltigkeit</x:v>
      </x:c>
      <x:c r="M131" s="5" t="n">
        <x:v>96</x:v>
      </x:c>
      <x:c r="N131" s="5" t="n">
        <x:v>14</x:v>
      </x:c>
      <x:c r="O131" s="5" t="str"/>
      <x:c r="P131" s="5" t="str">
        <x:v>Zuordnungsvorschlag; Fachfreigabe ausstehend</x:v>
      </x:c>
      <x:c r="Q131" s="5" t="str">
        <x:v>Bestehendes Lernthema fachlich unter passendem Rahmenplan-Unterbereich behalten</x:v>
      </x:c>
      <x:c r="R131" s="5" t="str">
        <x:v>Unterscheiden Sie private und öffentliche Einzelwirtschaften und erläutern Sie für private Unternehmen das Prinzip des Privateigentums, das Autonomieprinzip und das erwerbswirtschaftliche Prinzip.</x:v>
      </x:c>
      <x:c r="S131" s="5" t="str">
        <x:v>b90fb697436dd821cd3303208015ac6f6f25da7f785a072dc1ea284d812d9d00</x:v>
      </x:c>
    </x:row>
    <x:row r="132" ht="36" customHeight="1">
      <x:c r="A132" s="5" t="str">
        <x:v>BWL-0126</x:v>
      </x:c>
      <x:c r="B132" s="5" t="str">
        <x:v>WQ</x:v>
      </x:c>
      <x:c r="C132" s="5" t="str">
        <x:v>1</x:v>
      </x:c>
      <x:c r="D132" s="5" t="str">
        <x:v>Volks- und Betriebswirtschaft</x:v>
      </x:c>
      <x:c r="E132" s="5" t="str">
        <x:v>BWL</x:v>
      </x:c>
      <x:c r="F132" s="5" t="str">
        <x:v>ui-wq-0003</x:v>
      </x:c>
      <x:c r="G132" s="5" t="str">
        <x:v>Existenzgründung und Unternehmensrechtsformen</x:v>
      </x:c>
      <x:c r="H132" s="5" t="str">
        <x:v>dg-wq-0050</x:v>
      </x:c>
      <x:c r="I132" s="5" t="str">
        <x:v>1.3.3</x:v>
      </x:c>
      <x:c r="J132" s="5" t="str">
        <x:v>Rechtsformen</x:v>
      </x:c>
      <x:c r="K132" s="5" t="str"/>
      <x:c r="L132" s="5" t="str">
        <x:v>Existenzgründung &amp; Rechtsformen</x:v>
      </x:c>
      <x:c r="M132" s="5" t="n">
        <x:v>20</x:v>
      </x:c>
      <x:c r="N132" s="5" t="n">
        <x:v>17</x:v>
      </x:c>
      <x:c r="O132" s="5" t="str"/>
      <x:c r="P132" s="5" t="str">
        <x:v>Zuordnungsvorschlag; Fachfreigabe ausstehend</x:v>
      </x:c>
      <x:c r="Q132" s="5" t="str">
        <x:v>Bestehendes Lernthema fachlich unter passendem Rahmenplan-Unterbereich behalten</x:v>
      </x:c>
      <x:c r="R132" s="5" t="str">
        <x:v>Die Circle Harbor GmbH prüft einen neuen Betriebsstandort. Nennen und erläutern Sie acht relevante Standortfaktoren und zeigen Sie, warum die Gewichtung vom Geschäftsmodell abhängt.</x:v>
      </x:c>
      <x:c r="S132" s="5" t="str">
        <x:v>bb05437c83aa192a2a5412718c3feeb5baa21dc1a75e76315b973e6d100d0bf5</x:v>
      </x:c>
    </x:row>
    <x:row r="133" ht="36" customHeight="1">
      <x:c r="A133" s="5" t="str">
        <x:v>VWL-0001</x:v>
      </x:c>
      <x:c r="B133" s="5" t="str">
        <x:v>WQ</x:v>
      </x:c>
      <x:c r="C133" s="5" t="str">
        <x:v>1</x:v>
      </x:c>
      <x:c r="D133" s="5" t="str">
        <x:v>Volks- und Betriebswirtschaft</x:v>
      </x:c>
      <x:c r="E133" s="5" t="str">
        <x:v>VWL</x:v>
      </x:c>
      <x:c r="F133" s="5" t="str">
        <x:v>ui-wq-0001</x:v>
      </x:c>
      <x:c r="G133" s="5" t="str">
        <x:v>Volkswirtschaftliche Grundlagen</x:v>
      </x:c>
      <x:c r="H133" s="5" t="str">
        <x:v>dg-wq-0056</x:v>
      </x:c>
      <x:c r="I133" s="5" t="str">
        <x:v>1.1.1</x:v>
      </x:c>
      <x:c r="J133" s="5" t="str">
        <x:v>Markt, Preis und Wettbewerb</x:v>
      </x:c>
      <x:c r="K133" s="5" t="str"/>
      <x:c r="L133" s="5" t="str">
        <x:v>Grundlagen, Bedürfnisse, Güter &amp; ökonomisches Prinzip</x:v>
      </x:c>
      <x:c r="M133" s="5" t="n">
        <x:v>1</x:v>
      </x:c>
      <x:c r="N133" s="5" t="n">
        <x:v>1</x:v>
      </x:c>
      <x:c r="O133" s="5" t="str"/>
      <x:c r="P133" s="5" t="str">
        <x:v>Zuordnungsvorschlag; Fachfreigabe ausstehend</x:v>
      </x:c>
      <x:c r="Q133" s="5" t="str">
        <x:v>Bestehendes Lernthema fachlich unter passendem Rahmenplan-Unterbereich behalten</x:v>
      </x:c>
      <x:c r="R133" s="5" t="str">
        <x:v>Was sind Güter und wozu dienen sie in der volkswirtschaftlichen Betrachtung?</x:v>
      </x:c>
      <x:c r="S133" s="5" t="str">
        <x:v>e92d17e273c48458de1bd793965c01b998a0b2cd8e53bdf1b2748024623f8217</x:v>
      </x:c>
    </x:row>
    <x:row r="134" ht="36" customHeight="1">
      <x:c r="A134" s="5" t="str">
        <x:v>VWL-0002</x:v>
      </x:c>
      <x:c r="B134" s="5" t="str">
        <x:v>WQ</x:v>
      </x:c>
      <x:c r="C134" s="5" t="str">
        <x:v>1</x:v>
      </x:c>
      <x:c r="D134" s="5" t="str">
        <x:v>Volks- und Betriebswirtschaft</x:v>
      </x:c>
      <x:c r="E134" s="5" t="str">
        <x:v>VWL</x:v>
      </x:c>
      <x:c r="F134" s="5" t="str">
        <x:v>ui-wq-0001</x:v>
      </x:c>
      <x:c r="G134" s="5" t="str">
        <x:v>Volkswirtschaftliche Grundlagen</x:v>
      </x:c>
      <x:c r="H134" s="5" t="str">
        <x:v>dg-wq-0056</x:v>
      </x:c>
      <x:c r="I134" s="5" t="str">
        <x:v>1.1.1</x:v>
      </x:c>
      <x:c r="J134" s="5" t="str">
        <x:v>Markt, Preis und Wettbewerb</x:v>
      </x:c>
      <x:c r="K134" s="5" t="str"/>
      <x:c r="L134" s="5" t="str">
        <x:v>Grundlagen, Bedürfnisse, Güter &amp; ökonomisches Prinzip</x:v>
      </x:c>
      <x:c r="M134" s="5" t="n">
        <x:v>2</x:v>
      </x:c>
      <x:c r="N134" s="5" t="n">
        <x:v>2</x:v>
      </x:c>
      <x:c r="O134" s="5" t="str"/>
      <x:c r="P134" s="5" t="str">
        <x:v>Zuordnungsvorschlag; Fachfreigabe ausstehend</x:v>
      </x:c>
      <x:c r="Q134" s="5" t="str">
        <x:v>Bestehendes Lernthema fachlich unter passendem Rahmenplan-Unterbereich behalten</x:v>
      </x:c>
      <x:c r="R134" s="5" t="str">
        <x:v>Worin unterscheiden sich freie und knappe Güter grundlegend?</x:v>
      </x:c>
      <x:c r="S134" s="5" t="str">
        <x:v>0dd4b3e9b87222a48c38debd238554fdadd1e76e0d53c6208a1ce944e06bc9ab</x:v>
      </x:c>
    </x:row>
    <x:row r="135" ht="36" customHeight="1">
      <x:c r="A135" s="5" t="str">
        <x:v>VWL-0003</x:v>
      </x:c>
      <x:c r="B135" s="5" t="str">
        <x:v>WQ</x:v>
      </x:c>
      <x:c r="C135" s="5" t="str">
        <x:v>1</x:v>
      </x:c>
      <x:c r="D135" s="5" t="str">
        <x:v>Volks- und Betriebswirtschaft</x:v>
      </x:c>
      <x:c r="E135" s="5" t="str">
        <x:v>VWL</x:v>
      </x:c>
      <x:c r="F135" s="5" t="str">
        <x:v>ui-wq-0001</x:v>
      </x:c>
      <x:c r="G135" s="5" t="str">
        <x:v>Volkswirtschaftliche Grundlagen</x:v>
      </x:c>
      <x:c r="H135" s="5" t="str">
        <x:v>dg-wq-0056</x:v>
      </x:c>
      <x:c r="I135" s="5" t="str">
        <x:v>1.1.1</x:v>
      </x:c>
      <x:c r="J135" s="5" t="str">
        <x:v>Markt, Preis und Wettbewerb</x:v>
      </x:c>
      <x:c r="K135" s="5" t="str"/>
      <x:c r="L135" s="5" t="str">
        <x:v>Grundlagen, Bedürfnisse, Güter &amp; ökonomisches Prinzip</x:v>
      </x:c>
      <x:c r="M135" s="5" t="n">
        <x:v>3</x:v>
      </x:c>
      <x:c r="N135" s="5" t="n">
        <x:v>3</x:v>
      </x:c>
      <x:c r="O135" s="5" t="str"/>
      <x:c r="P135" s="5" t="str">
        <x:v>Zuordnungsvorschlag; Fachfreigabe ausstehend</x:v>
      </x:c>
      <x:c r="Q135" s="5" t="str">
        <x:v>Bestehendes Lernthema fachlich unter passendem Rahmenplan-Unterbereich behalten</x:v>
      </x:c>
      <x:c r="R135" s="5" t="str">
        <x:v>Was ist der Unterschied zwischen VWL und BWL? </x:v>
      </x:c>
      <x:c r="S135" s="5" t="str">
        <x:v>479bf853f5a8fd8ad299d6d439460c2e02b53340ce59729183bb7e525c004ae1</x:v>
      </x:c>
    </x:row>
    <x:row r="136" ht="36" customHeight="1">
      <x:c r="A136" s="5" t="str">
        <x:v>VWL-0004</x:v>
      </x:c>
      <x:c r="B136" s="5" t="str">
        <x:v>WQ</x:v>
      </x:c>
      <x:c r="C136" s="5" t="str">
        <x:v>1</x:v>
      </x:c>
      <x:c r="D136" s="5" t="str">
        <x:v>Volks- und Betriebswirtschaft</x:v>
      </x:c>
      <x:c r="E136" s="5" t="str">
        <x:v>VWL</x:v>
      </x:c>
      <x:c r="F136" s="5" t="str">
        <x:v>ui-wq-0001</x:v>
      </x:c>
      <x:c r="G136" s="5" t="str">
        <x:v>Volkswirtschaftliche Grundlagen</x:v>
      </x:c>
      <x:c r="H136" s="5" t="str">
        <x:v>dg-wq-0056</x:v>
      </x:c>
      <x:c r="I136" s="5" t="str">
        <x:v>1.1.1</x:v>
      </x:c>
      <x:c r="J136" s="5" t="str">
        <x:v>Markt, Preis und Wettbewerb</x:v>
      </x:c>
      <x:c r="K136" s="5" t="str"/>
      <x:c r="L136" s="5" t="str">
        <x:v>Grundlagen, Bedürfnisse, Güter &amp; ökonomisches Prinzip</x:v>
      </x:c>
      <x:c r="M136" s="5" t="n">
        <x:v>4</x:v>
      </x:c>
      <x:c r="N136" s="5" t="n">
        <x:v>4</x:v>
      </x:c>
      <x:c r="O136" s="5" t="str"/>
      <x:c r="P136" s="5" t="str">
        <x:v>Zuordnungsvorschlag; Fachfreigabe ausstehend</x:v>
      </x:c>
      <x:c r="Q136" s="5" t="str">
        <x:v>Bestehendes Lernthema fachlich unter passendem Rahmenplan-Unterbereich behalten</x:v>
      </x:c>
      <x:c r="R136" s="5" t="str">
        <x:v>Welche Bedeutung haben Bedürfnisse im Rahmen von wirtschaftlichen Betrachtungsweisen?</x:v>
      </x:c>
      <x:c r="S136" s="5" t="str">
        <x:v>65a0a8e5f500249a58f0a81471919a8ccb715af74c17e2b8dcbf132ae631ec3c</x:v>
      </x:c>
    </x:row>
    <x:row r="137" ht="36" customHeight="1">
      <x:c r="A137" s="5" t="str">
        <x:v>VWL-0005</x:v>
      </x:c>
      <x:c r="B137" s="5" t="str">
        <x:v>WQ</x:v>
      </x:c>
      <x:c r="C137" s="5" t="str">
        <x:v>1</x:v>
      </x:c>
      <x:c r="D137" s="5" t="str">
        <x:v>Volks- und Betriebswirtschaft</x:v>
      </x:c>
      <x:c r="E137" s="5" t="str">
        <x:v>VWL</x:v>
      </x:c>
      <x:c r="F137" s="5" t="str">
        <x:v>ui-wq-0001</x:v>
      </x:c>
      <x:c r="G137" s="5" t="str">
        <x:v>Volkswirtschaftliche Grundlagen</x:v>
      </x:c>
      <x:c r="H137" s="5" t="str">
        <x:v>dg-wq-0056</x:v>
      </x:c>
      <x:c r="I137" s="5" t="str">
        <x:v>1.1.1</x:v>
      </x:c>
      <x:c r="J137" s="5" t="str">
        <x:v>Markt, Preis und Wettbewerb</x:v>
      </x:c>
      <x:c r="K137" s="5" t="str"/>
      <x:c r="L137" s="5" t="str">
        <x:v>Grundlagen, Bedürfnisse, Güter &amp; ökonomisches Prinzip</x:v>
      </x:c>
      <x:c r="M137" s="5" t="n">
        <x:v>5</x:v>
      </x:c>
      <x:c r="N137" s="5" t="n">
        <x:v>5</x:v>
      </x:c>
      <x:c r="O137" s="5" t="str"/>
      <x:c r="P137" s="5" t="str">
        <x:v>Zuordnungsvorschlag; Fachfreigabe ausstehend</x:v>
      </x:c>
      <x:c r="Q137" s="5" t="str">
        <x:v>Bestehendes Lernthema fachlich unter passendem Rahmenplan-Unterbereich behalten</x:v>
      </x:c>
      <x:c r="R137" s="5" t="str">
        <x:v>Was ist unter Bedürfnissen zu verstehen und wie lassen sich diese unterteilen?</x:v>
      </x:c>
      <x:c r="S137" s="5" t="str">
        <x:v>2bf032466795289db7b50fc5aa086c6899594b46a9499df08aa217bb9f6553ff</x:v>
      </x:c>
    </x:row>
    <x:row r="138" ht="36" customHeight="1">
      <x:c r="A138" s="5" t="str">
        <x:v>VWL-0006</x:v>
      </x:c>
      <x:c r="B138" s="5" t="str">
        <x:v>WQ</x:v>
      </x:c>
      <x:c r="C138" s="5" t="str">
        <x:v>1</x:v>
      </x:c>
      <x:c r="D138" s="5" t="str">
        <x:v>Volks- und Betriebswirtschaft</x:v>
      </x:c>
      <x:c r="E138" s="5" t="str">
        <x:v>VWL</x:v>
      </x:c>
      <x:c r="F138" s="5" t="str">
        <x:v>ui-wq-0001</x:v>
      </x:c>
      <x:c r="G138" s="5" t="str">
        <x:v>Volkswirtschaftliche Grundlagen</x:v>
      </x:c>
      <x:c r="H138" s="5" t="str">
        <x:v>dg-wq-0056</x:v>
      </x:c>
      <x:c r="I138" s="5" t="str">
        <x:v>1.1.1</x:v>
      </x:c>
      <x:c r="J138" s="5" t="str">
        <x:v>Markt, Preis und Wettbewerb</x:v>
      </x:c>
      <x:c r="K138" s="5" t="str"/>
      <x:c r="L138" s="5" t="str">
        <x:v>Grundlagen, Bedürfnisse, Güter &amp; ökonomisches Prinzip</x:v>
      </x:c>
      <x:c r="M138" s="5" t="n">
        <x:v>6</x:v>
      </x:c>
      <x:c r="N138" s="5" t="n">
        <x:v>6</x:v>
      </x:c>
      <x:c r="O138" s="5" t="str"/>
      <x:c r="P138" s="5" t="str">
        <x:v>Zuordnungsvorschlag; Fachfreigabe ausstehend</x:v>
      </x:c>
      <x:c r="Q138" s="5" t="str">
        <x:v>Bestehendes Lernthema fachlich unter passendem Rahmenplan-Unterbereich behalten</x:v>
      </x:c>
      <x:c r="R138" s="5" t="str">
        <x:v>Beschreiben Sie die Maslowische Bedürfnispyramide!</x:v>
      </x:c>
      <x:c r="S138" s="5" t="str">
        <x:v>2e05f7f71a7560379514b30ccf4107784d9e56ac37200d0c5d25e7d228786553</x:v>
      </x:c>
    </x:row>
    <x:row r="139" ht="36" customHeight="1">
      <x:c r="A139" s="5" t="str">
        <x:v>VWL-0007</x:v>
      </x:c>
      <x:c r="B139" s="5" t="str">
        <x:v>WQ</x:v>
      </x:c>
      <x:c r="C139" s="5" t="str">
        <x:v>1</x:v>
      </x:c>
      <x:c r="D139" s="5" t="str">
        <x:v>Volks- und Betriebswirtschaft</x:v>
      </x:c>
      <x:c r="E139" s="5" t="str">
        <x:v>VWL</x:v>
      </x:c>
      <x:c r="F139" s="5" t="str">
        <x:v>ui-wq-0001</x:v>
      </x:c>
      <x:c r="G139" s="5" t="str">
        <x:v>Volkswirtschaftliche Grundlagen</x:v>
      </x:c>
      <x:c r="H139" s="5" t="str">
        <x:v>dg-wq-0056</x:v>
      </x:c>
      <x:c r="I139" s="5" t="str">
        <x:v>1.1.1</x:v>
      </x:c>
      <x:c r="J139" s="5" t="str">
        <x:v>Markt, Preis und Wettbewerb</x:v>
      </x:c>
      <x:c r="K139" s="5" t="str"/>
      <x:c r="L139" s="5" t="str">
        <x:v>Grundlagen, Bedürfnisse, Güter &amp; ökonomisches Prinzip</x:v>
      </x:c>
      <x:c r="M139" s="5" t="n">
        <x:v>7</x:v>
      </x:c>
      <x:c r="N139" s="5" t="n">
        <x:v>7</x:v>
      </x:c>
      <x:c r="O139" s="5" t="str"/>
      <x:c r="P139" s="5" t="str">
        <x:v>Zuordnungsvorschlag; Fachfreigabe ausstehend</x:v>
      </x:c>
      <x:c r="Q139" s="5" t="str">
        <x:v>Bestehendes Lernthema fachlich unter passendem Rahmenplan-Unterbereich behalten</x:v>
      </x:c>
      <x:c r="R139" s="5" t="str">
        <x:v>Unterscheiden Sie die Wachstums- und Defizitbedürfnisse und wie stehen diese im Zusammenhang?</x:v>
      </x:c>
      <x:c r="S139" s="5" t="str">
        <x:v>f838afd4bd50ee182687f7e93c1e87240c9cac8e5dc8eedeab07989ecfb6b76d</x:v>
      </x:c>
    </x:row>
    <x:row r="140" ht="36" customHeight="1">
      <x:c r="A140" s="5" t="str">
        <x:v>VWL-0008</x:v>
      </x:c>
      <x:c r="B140" s="5" t="str">
        <x:v>WQ</x:v>
      </x:c>
      <x:c r="C140" s="5" t="str">
        <x:v>1</x:v>
      </x:c>
      <x:c r="D140" s="5" t="str">
        <x:v>Volks- und Betriebswirtschaft</x:v>
      </x:c>
      <x:c r="E140" s="5" t="str">
        <x:v>VWL</x:v>
      </x:c>
      <x:c r="F140" s="5" t="str">
        <x:v>ui-wq-0001</x:v>
      </x:c>
      <x:c r="G140" s="5" t="str">
        <x:v>Volkswirtschaftliche Grundlagen</x:v>
      </x:c>
      <x:c r="H140" s="5" t="str">
        <x:v>dg-wq-0056</x:v>
      </x:c>
      <x:c r="I140" s="5" t="str">
        <x:v>1.1.1</x:v>
      </x:c>
      <x:c r="J140" s="5" t="str">
        <x:v>Markt, Preis und Wettbewerb</x:v>
      </x:c>
      <x:c r="K140" s="5" t="str"/>
      <x:c r="L140" s="5" t="str">
        <x:v>Grundlagen, Bedürfnisse, Güter &amp; ökonomisches Prinzip</x:v>
      </x:c>
      <x:c r="M140" s="5" t="n">
        <x:v>8</x:v>
      </x:c>
      <x:c r="N140" s="5" t="n">
        <x:v>8</x:v>
      </x:c>
      <x:c r="O140" s="5" t="str"/>
      <x:c r="P140" s="5" t="str">
        <x:v>Zuordnungsvorschlag; Fachfreigabe ausstehend</x:v>
      </x:c>
      <x:c r="Q140" s="5" t="str">
        <x:v>Bestehendes Lernthema fachlich unter passendem Rahmenplan-Unterbereich behalten</x:v>
      </x:c>
      <x:c r="R140" s="5" t="str">
        <x:v>Was sind Konsumgüter?</x:v>
      </x:c>
      <x:c r="S140" s="5" t="str">
        <x:v>32f22f7dd0ed37fc1e7af068d6a51048f43069232afe43deb23ad49c10996bad</x:v>
      </x:c>
    </x:row>
    <x:row r="141" ht="36" customHeight="1">
      <x:c r="A141" s="5" t="str">
        <x:v>VWL-0009</x:v>
      </x:c>
      <x:c r="B141" s="5" t="str">
        <x:v>WQ</x:v>
      </x:c>
      <x:c r="C141" s="5" t="str">
        <x:v>1</x:v>
      </x:c>
      <x:c r="D141" s="5" t="str">
        <x:v>Volks- und Betriebswirtschaft</x:v>
      </x:c>
      <x:c r="E141" s="5" t="str">
        <x:v>VWL</x:v>
      </x:c>
      <x:c r="F141" s="5" t="str">
        <x:v>ui-wq-0001</x:v>
      </x:c>
      <x:c r="G141" s="5" t="str">
        <x:v>Volkswirtschaftliche Grundlagen</x:v>
      </x:c>
      <x:c r="H141" s="5" t="str">
        <x:v>dg-wq-0056</x:v>
      </x:c>
      <x:c r="I141" s="5" t="str">
        <x:v>1.1.1</x:v>
      </x:c>
      <x:c r="J141" s="5" t="str">
        <x:v>Markt, Preis und Wettbewerb</x:v>
      </x:c>
      <x:c r="K141" s="5" t="str"/>
      <x:c r="L141" s="5" t="str">
        <x:v>Grundlagen, Bedürfnisse, Güter &amp; ökonomisches Prinzip</x:v>
      </x:c>
      <x:c r="M141" s="5" t="n">
        <x:v>9</x:v>
      </x:c>
      <x:c r="N141" s="5" t="n">
        <x:v>9</x:v>
      </x:c>
      <x:c r="O141" s="5" t="str"/>
      <x:c r="P141" s="5" t="str">
        <x:v>Zuordnungsvorschlag; Fachfreigabe ausstehend</x:v>
      </x:c>
      <x:c r="Q141" s="5" t="str">
        <x:v>Bestehendes Lernthema fachlich unter passendem Rahmenplan-Unterbereich behalten</x:v>
      </x:c>
      <x:c r="R141" s="5" t="str">
        <x:v>Was sind Sachgüter?</x:v>
      </x:c>
      <x:c r="S141" s="5" t="str">
        <x:v>0f2e58c68d1f1b14654ee548c68bc5c3862f957f83706a2152b9c32a11f87538</x:v>
      </x:c>
    </x:row>
    <x:row r="142" ht="36" customHeight="1">
      <x:c r="A142" s="5" t="str">
        <x:v>VWL-0010</x:v>
      </x:c>
      <x:c r="B142" s="5" t="str">
        <x:v>WQ</x:v>
      </x:c>
      <x:c r="C142" s="5" t="str">
        <x:v>1</x:v>
      </x:c>
      <x:c r="D142" s="5" t="str">
        <x:v>Volks- und Betriebswirtschaft</x:v>
      </x:c>
      <x:c r="E142" s="5" t="str">
        <x:v>VWL</x:v>
      </x:c>
      <x:c r="F142" s="5" t="str">
        <x:v>ui-wq-0001</x:v>
      </x:c>
      <x:c r="G142" s="5" t="str">
        <x:v>Volkswirtschaftliche Grundlagen</x:v>
      </x:c>
      <x:c r="H142" s="5" t="str">
        <x:v>dg-wq-0056</x:v>
      </x:c>
      <x:c r="I142" s="5" t="str">
        <x:v>1.1.1</x:v>
      </x:c>
      <x:c r="J142" s="5" t="str">
        <x:v>Markt, Preis und Wettbewerb</x:v>
      </x:c>
      <x:c r="K142" s="5" t="str"/>
      <x:c r="L142" s="5" t="str">
        <x:v>Grundlagen, Bedürfnisse, Güter &amp; ökonomisches Prinzip</x:v>
      </x:c>
      <x:c r="M142" s="5" t="n">
        <x:v>10</x:v>
      </x:c>
      <x:c r="N142" s="5" t="n">
        <x:v>10</x:v>
      </x:c>
      <x:c r="O142" s="5" t="str"/>
      <x:c r="P142" s="5" t="str">
        <x:v>Zuordnungsvorschlag; Fachfreigabe ausstehend</x:v>
      </x:c>
      <x:c r="Q142" s="5" t="str">
        <x:v>Bestehendes Lernthema fachlich unter passendem Rahmenplan-Unterbereich behalten</x:v>
      </x:c>
      <x:c r="R142" s="5" t="str">
        <x:v>Was sind Dienstleistungen?</x:v>
      </x:c>
      <x:c r="S142" s="5" t="str">
        <x:v>ee35b43c93186b4415e0199dadb3ca243f89537b27297a9656d1465eb1e4d86f</x:v>
      </x:c>
    </x:row>
    <x:row r="143" ht="36" customHeight="1">
      <x:c r="A143" s="5" t="str">
        <x:v>VWL-0011</x:v>
      </x:c>
      <x:c r="B143" s="5" t="str">
        <x:v>WQ</x:v>
      </x:c>
      <x:c r="C143" s="5" t="str">
        <x:v>1</x:v>
      </x:c>
      <x:c r="D143" s="5" t="str">
        <x:v>Volks- und Betriebswirtschaft</x:v>
      </x:c>
      <x:c r="E143" s="5" t="str">
        <x:v>VWL</x:v>
      </x:c>
      <x:c r="F143" s="5" t="str">
        <x:v>ui-wq-0001</x:v>
      </x:c>
      <x:c r="G143" s="5" t="str">
        <x:v>Volkswirtschaftliche Grundlagen</x:v>
      </x:c>
      <x:c r="H143" s="5" t="str">
        <x:v>dg-wq-0056</x:v>
      </x:c>
      <x:c r="I143" s="5" t="str">
        <x:v>1.1.1</x:v>
      </x:c>
      <x:c r="J143" s="5" t="str">
        <x:v>Markt, Preis und Wettbewerb</x:v>
      </x:c>
      <x:c r="K143" s="5" t="str"/>
      <x:c r="L143" s="5" t="str">
        <x:v>Grundlagen, Bedürfnisse, Güter &amp; ökonomisches Prinzip</x:v>
      </x:c>
      <x:c r="M143" s="5" t="n">
        <x:v>11</x:v>
      </x:c>
      <x:c r="N143" s="5" t="n">
        <x:v>11</x:v>
      </x:c>
      <x:c r="O143" s="5" t="str"/>
      <x:c r="P143" s="5" t="str">
        <x:v>Zuordnungsvorschlag; Fachfreigabe ausstehend</x:v>
      </x:c>
      <x:c r="Q143" s="5" t="str">
        <x:v>Bestehendes Lernthema fachlich unter passendem Rahmenplan-Unterbereich behalten</x:v>
      </x:c>
      <x:c r="R143" s="5" t="str">
        <x:v>Was sind Produktionsgüter?</x:v>
      </x:c>
      <x:c r="S143" s="5" t="str">
        <x:v>575bcb07f6f4d53be048b28dcebd5dedd8b48eb4af026304bd17f38d59c22ea9</x:v>
      </x:c>
    </x:row>
    <x:row r="144" ht="36" customHeight="1">
      <x:c r="A144" s="5" t="str">
        <x:v>VWL-0012</x:v>
      </x:c>
      <x:c r="B144" s="5" t="str">
        <x:v>WQ</x:v>
      </x:c>
      <x:c r="C144" s="5" t="str">
        <x:v>1</x:v>
      </x:c>
      <x:c r="D144" s="5" t="str">
        <x:v>Volks- und Betriebswirtschaft</x:v>
      </x:c>
      <x:c r="E144" s="5" t="str">
        <x:v>VWL</x:v>
      </x:c>
      <x:c r="F144" s="5" t="str">
        <x:v>ui-wq-0001</x:v>
      </x:c>
      <x:c r="G144" s="5" t="str">
        <x:v>Volkswirtschaftliche Grundlagen</x:v>
      </x:c>
      <x:c r="H144" s="5" t="str">
        <x:v>dg-wq-0056</x:v>
      </x:c>
      <x:c r="I144" s="5" t="str">
        <x:v>1.1.1</x:v>
      </x:c>
      <x:c r="J144" s="5" t="str">
        <x:v>Markt, Preis und Wettbewerb</x:v>
      </x:c>
      <x:c r="K144" s="5" t="str"/>
      <x:c r="L144" s="5" t="str">
        <x:v>Grundlagen, Bedürfnisse, Güter &amp; ökonomisches Prinzip</x:v>
      </x:c>
      <x:c r="M144" s="5" t="n">
        <x:v>12</x:v>
      </x:c>
      <x:c r="N144" s="5" t="n">
        <x:v>12</x:v>
      </x:c>
      <x:c r="O144" s="5" t="str"/>
      <x:c r="P144" s="5" t="str">
        <x:v>Zuordnungsvorschlag; Fachfreigabe ausstehend</x:v>
      </x:c>
      <x:c r="Q144" s="5" t="str">
        <x:v>Bestehendes Lernthema fachlich unter passendem Rahmenplan-Unterbereich behalten</x:v>
      </x:c>
      <x:c r="R144" s="5" t="str">
        <x:v>Worin unterscheiden sich Verbrauchs- und Gebrauchsgüter?</x:v>
      </x:c>
      <x:c r="S144" s="5" t="str">
        <x:v>bbf809ae645094c4de8156cb1c10178f141b6db675a302010145bacab53de75c</x:v>
      </x:c>
    </x:row>
    <x:row r="145" ht="36" customHeight="1">
      <x:c r="A145" s="5" t="str">
        <x:v>VWL-0013</x:v>
      </x:c>
      <x:c r="B145" s="5" t="str">
        <x:v>WQ</x:v>
      </x:c>
      <x:c r="C145" s="5" t="str">
        <x:v>1</x:v>
      </x:c>
      <x:c r="D145" s="5" t="str">
        <x:v>Volks- und Betriebswirtschaft</x:v>
      </x:c>
      <x:c r="E145" s="5" t="str">
        <x:v>VWL</x:v>
      </x:c>
      <x:c r="F145" s="5" t="str">
        <x:v>ui-wq-0001</x:v>
      </x:c>
      <x:c r="G145" s="5" t="str">
        <x:v>Volkswirtschaftliche Grundlagen</x:v>
      </x:c>
      <x:c r="H145" s="5" t="str">
        <x:v>dg-wq-0056</x:v>
      </x:c>
      <x:c r="I145" s="5" t="str">
        <x:v>1.1.1</x:v>
      </x:c>
      <x:c r="J145" s="5" t="str">
        <x:v>Markt, Preis und Wettbewerb</x:v>
      </x:c>
      <x:c r="K145" s="5" t="str"/>
      <x:c r="L145" s="5" t="str">
        <x:v>Grundlagen, Bedürfnisse, Güter &amp; ökonomisches Prinzip</x:v>
      </x:c>
      <x:c r="M145" s="5" t="n">
        <x:v>13</x:v>
      </x:c>
      <x:c r="N145" s="5" t="n">
        <x:v>13</x:v>
      </x:c>
      <x:c r="O145" s="5" t="str"/>
      <x:c r="P145" s="5" t="str">
        <x:v>Zuordnungsvorschlag; Fachfreigabe ausstehend</x:v>
      </x:c>
      <x:c r="Q145" s="5" t="str">
        <x:v>Bestehendes Lernthema fachlich unter passendem Rahmenplan-Unterbereich behalten</x:v>
      </x:c>
      <x:c r="R145" s="5" t="str">
        <x:v>Was sind Komplementärgüter?</x:v>
      </x:c>
      <x:c r="S145" s="5" t="str">
        <x:v>447659f74586c68bd1c4ef508a25f23a3891c7c90b476892e4319e62ed391c3f</x:v>
      </x:c>
    </x:row>
    <x:row r="146" ht="36" customHeight="1">
      <x:c r="A146" s="5" t="str">
        <x:v>VWL-0014</x:v>
      </x:c>
      <x:c r="B146" s="5" t="str">
        <x:v>WQ</x:v>
      </x:c>
      <x:c r="C146" s="5" t="str">
        <x:v>1</x:v>
      </x:c>
      <x:c r="D146" s="5" t="str">
        <x:v>Volks- und Betriebswirtschaft</x:v>
      </x:c>
      <x:c r="E146" s="5" t="str">
        <x:v>VWL</x:v>
      </x:c>
      <x:c r="F146" s="5" t="str">
        <x:v>ui-wq-0001</x:v>
      </x:c>
      <x:c r="G146" s="5" t="str">
        <x:v>Volkswirtschaftliche Grundlagen</x:v>
      </x:c>
      <x:c r="H146" s="5" t="str">
        <x:v>dg-wq-0056</x:v>
      </x:c>
      <x:c r="I146" s="5" t="str">
        <x:v>1.1.1</x:v>
      </x:c>
      <x:c r="J146" s="5" t="str">
        <x:v>Markt, Preis und Wettbewerb</x:v>
      </x:c>
      <x:c r="K146" s="5" t="str"/>
      <x:c r="L146" s="5" t="str">
        <x:v>Grundlagen, Bedürfnisse, Güter &amp; ökonomisches Prinzip</x:v>
      </x:c>
      <x:c r="M146" s="5" t="n">
        <x:v>14</x:v>
      </x:c>
      <x:c r="N146" s="5" t="n">
        <x:v>14</x:v>
      </x:c>
      <x:c r="O146" s="5" t="str"/>
      <x:c r="P146" s="5" t="str">
        <x:v>Zuordnungsvorschlag; Fachfreigabe ausstehend</x:v>
      </x:c>
      <x:c r="Q146" s="5" t="str">
        <x:v>Bestehendes Lernthema fachlich unter passendem Rahmenplan-Unterbereich behalten</x:v>
      </x:c>
      <x:c r="R146" s="5" t="str">
        <x:v>Was sind Substitutionsgüter?</x:v>
      </x:c>
      <x:c r="S146" s="5" t="str">
        <x:v>c544e95108be4edf756e3254460721fc5e0614d5a8b2754c2bb7c89d82868674</x:v>
      </x:c>
    </x:row>
    <x:row r="147" ht="36" customHeight="1">
      <x:c r="A147" s="5" t="str">
        <x:v>VWL-0015</x:v>
      </x:c>
      <x:c r="B147" s="5" t="str">
        <x:v>WQ</x:v>
      </x:c>
      <x:c r="C147" s="5" t="str">
        <x:v>1</x:v>
      </x:c>
      <x:c r="D147" s="5" t="str">
        <x:v>Volks- und Betriebswirtschaft</x:v>
      </x:c>
      <x:c r="E147" s="5" t="str">
        <x:v>VWL</x:v>
      </x:c>
      <x:c r="F147" s="5" t="str">
        <x:v>ui-wq-0001</x:v>
      </x:c>
      <x:c r="G147" s="5" t="str">
        <x:v>Volkswirtschaftliche Grundlagen</x:v>
      </x:c>
      <x:c r="H147" s="5" t="str">
        <x:v>dg-wq-0056</x:v>
      </x:c>
      <x:c r="I147" s="5" t="str">
        <x:v>1.1.1</x:v>
      </x:c>
      <x:c r="J147" s="5" t="str">
        <x:v>Markt, Preis und Wettbewerb</x:v>
      </x:c>
      <x:c r="K147" s="5" t="str"/>
      <x:c r="L147" s="5" t="str">
        <x:v>Grundlagen, Bedürfnisse, Güter &amp; ökonomisches Prinzip</x:v>
      </x:c>
      <x:c r="M147" s="5" t="n">
        <x:v>15</x:v>
      </x:c>
      <x:c r="N147" s="5" t="n">
        <x:v>15</x:v>
      </x:c>
      <x:c r="O147" s="5" t="str"/>
      <x:c r="P147" s="5" t="str">
        <x:v>Zuordnungsvorschlag; Fachfreigabe ausstehend</x:v>
      </x:c>
      <x:c r="Q147" s="5" t="str">
        <x:v>Bestehendes Lernthema fachlich unter passendem Rahmenplan-Unterbereich behalten</x:v>
      </x:c>
      <x:c r="R147" s="5" t="str">
        <x:v>Was sind Homogene Güter?</x:v>
      </x:c>
      <x:c r="S147" s="5" t="str">
        <x:v>ebe610aef4686d02ba375f155865f8dfdc04e847199948d542a189f639b11ac5</x:v>
      </x:c>
    </x:row>
    <x:row r="148" ht="36" customHeight="1">
      <x:c r="A148" s="5" t="str">
        <x:v>VWL-0016</x:v>
      </x:c>
      <x:c r="B148" s="5" t="str">
        <x:v>WQ</x:v>
      </x:c>
      <x:c r="C148" s="5" t="str">
        <x:v>1</x:v>
      </x:c>
      <x:c r="D148" s="5" t="str">
        <x:v>Volks- und Betriebswirtschaft</x:v>
      </x:c>
      <x:c r="E148" s="5" t="str">
        <x:v>VWL</x:v>
      </x:c>
      <x:c r="F148" s="5" t="str">
        <x:v>ui-wq-0001</x:v>
      </x:c>
      <x:c r="G148" s="5" t="str">
        <x:v>Volkswirtschaftliche Grundlagen</x:v>
      </x:c>
      <x:c r="H148" s="5" t="str">
        <x:v>dg-wq-0056</x:v>
      </x:c>
      <x:c r="I148" s="5" t="str">
        <x:v>1.1.1</x:v>
      </x:c>
      <x:c r="J148" s="5" t="str">
        <x:v>Markt, Preis und Wettbewerb</x:v>
      </x:c>
      <x:c r="K148" s="5" t="str"/>
      <x:c r="L148" s="5" t="str">
        <x:v>Grundlagen, Bedürfnisse, Güter &amp; ökonomisches Prinzip</x:v>
      </x:c>
      <x:c r="M148" s="5" t="n">
        <x:v>16</x:v>
      </x:c>
      <x:c r="N148" s="5" t="n">
        <x:v>16</x:v>
      </x:c>
      <x:c r="O148" s="5" t="str"/>
      <x:c r="P148" s="5" t="str">
        <x:v>Zuordnungsvorschlag; Fachfreigabe ausstehend</x:v>
      </x:c>
      <x:c r="Q148" s="5" t="str">
        <x:v>Bestehendes Lernthema fachlich unter passendem Rahmenplan-Unterbereich behalten</x:v>
      </x:c>
      <x:c r="R148" s="5" t="str">
        <x:v>Was sind Heterogene Güter?</x:v>
      </x:c>
      <x:c r="S148" s="5" t="str">
        <x:v>0d66375c4bbfd86d9f35180ffcd6341c3185750cea45a5677fd524f9f3c35313</x:v>
      </x:c>
    </x:row>
    <x:row r="149" ht="36" customHeight="1">
      <x:c r="A149" s="5" t="str">
        <x:v>VWL-0017</x:v>
      </x:c>
      <x:c r="B149" s="5" t="str">
        <x:v>WQ</x:v>
      </x:c>
      <x:c r="C149" s="5" t="str">
        <x:v>1</x:v>
      </x:c>
      <x:c r="D149" s="5" t="str">
        <x:v>Volks- und Betriebswirtschaft</x:v>
      </x:c>
      <x:c r="E149" s="5" t="str">
        <x:v>VWL</x:v>
      </x:c>
      <x:c r="F149" s="5" t="str">
        <x:v>ui-wq-0001</x:v>
      </x:c>
      <x:c r="G149" s="5" t="str">
        <x:v>Volkswirtschaftliche Grundlagen</x:v>
      </x:c>
      <x:c r="H149" s="5" t="str">
        <x:v>dg-wq-0056</x:v>
      </x:c>
      <x:c r="I149" s="5" t="str">
        <x:v>1.1.1</x:v>
      </x:c>
      <x:c r="J149" s="5" t="str">
        <x:v>Markt, Preis und Wettbewerb</x:v>
      </x:c>
      <x:c r="K149" s="5" t="str"/>
      <x:c r="L149" s="5" t="str">
        <x:v>Grundlagen, Bedürfnisse, Güter &amp; ökonomisches Prinzip</x:v>
      </x:c>
      <x:c r="M149" s="5" t="n">
        <x:v>17</x:v>
      </x:c>
      <x:c r="N149" s="5" t="n">
        <x:v>17</x:v>
      </x:c>
      <x:c r="O149" s="5" t="str"/>
      <x:c r="P149" s="5" t="str">
        <x:v>Zuordnungsvorschlag; Fachfreigabe ausstehend</x:v>
      </x:c>
      <x:c r="Q149" s="5" t="str">
        <x:v>Bestehendes Lernthema fachlich unter passendem Rahmenplan-Unterbereich behalten</x:v>
      </x:c>
      <x:c r="R149" s="5" t="str">
        <x:v>Was sind inferiore Güter?</x:v>
      </x:c>
      <x:c r="S149" s="5" t="str">
        <x:v>0864e6630adaaca74be828709b92e658b1d7f55845787c1996d739f10597d75e</x:v>
      </x:c>
    </x:row>
    <x:row r="150" ht="36" customHeight="1">
      <x:c r="A150" s="5" t="str">
        <x:v>VWL-0018</x:v>
      </x:c>
      <x:c r="B150" s="5" t="str">
        <x:v>WQ</x:v>
      </x:c>
      <x:c r="C150" s="5" t="str">
        <x:v>1</x:v>
      </x:c>
      <x:c r="D150" s="5" t="str">
        <x:v>Volks- und Betriebswirtschaft</x:v>
      </x:c>
      <x:c r="E150" s="5" t="str">
        <x:v>VWL</x:v>
      </x:c>
      <x:c r="F150" s="5" t="str">
        <x:v>ui-wq-0001</x:v>
      </x:c>
      <x:c r="G150" s="5" t="str">
        <x:v>Volkswirtschaftliche Grundlagen</x:v>
      </x:c>
      <x:c r="H150" s="5" t="str">
        <x:v>dg-wq-0056</x:v>
      </x:c>
      <x:c r="I150" s="5" t="str">
        <x:v>1.1.1</x:v>
      </x:c>
      <x:c r="J150" s="5" t="str">
        <x:v>Markt, Preis und Wettbewerb</x:v>
      </x:c>
      <x:c r="K150" s="5" t="str"/>
      <x:c r="L150" s="5" t="str">
        <x:v>Grundlagen, Bedürfnisse, Güter &amp; ökonomisches Prinzip</x:v>
      </x:c>
      <x:c r="M150" s="5" t="n">
        <x:v>18</x:v>
      </x:c>
      <x:c r="N150" s="5" t="n">
        <x:v>18</x:v>
      </x:c>
      <x:c r="O150" s="5" t="str"/>
      <x:c r="P150" s="5" t="str">
        <x:v>Zuordnungsvorschlag; Fachfreigabe ausstehend</x:v>
      </x:c>
      <x:c r="Q150" s="5" t="str">
        <x:v>Bestehendes Lernthema fachlich unter passendem Rahmenplan-Unterbereich behalten</x:v>
      </x:c>
      <x:c r="R150" s="5" t="str">
        <x:v>Was sind superiore Güter?</x:v>
      </x:c>
      <x:c r="S150" s="5" t="str">
        <x:v>a618147e8d940ce1a579b53d29b99316ce44aeb20954c5483e5e42811e5ac707</x:v>
      </x:c>
    </x:row>
    <x:row r="151" ht="36" customHeight="1">
      <x:c r="A151" s="5" t="str">
        <x:v>VWL-0019</x:v>
      </x:c>
      <x:c r="B151" s="5" t="str">
        <x:v>WQ</x:v>
      </x:c>
      <x:c r="C151" s="5" t="str">
        <x:v>1</x:v>
      </x:c>
      <x:c r="D151" s="5" t="str">
        <x:v>Volks- und Betriebswirtschaft</x:v>
      </x:c>
      <x:c r="E151" s="5" t="str">
        <x:v>VWL</x:v>
      </x:c>
      <x:c r="F151" s="5" t="str">
        <x:v>ui-wq-0001</x:v>
      </x:c>
      <x:c r="G151" s="5" t="str">
        <x:v>Volkswirtschaftliche Grundlagen</x:v>
      </x:c>
      <x:c r="H151" s="5" t="str">
        <x:v>dg-wq-0056</x:v>
      </x:c>
      <x:c r="I151" s="5" t="str">
        <x:v>1.1.1</x:v>
      </x:c>
      <x:c r="J151" s="5" t="str">
        <x:v>Markt, Preis und Wettbewerb</x:v>
      </x:c>
      <x:c r="K151" s="5" t="str"/>
      <x:c r="L151" s="5" t="str">
        <x:v>Grundlagen, Bedürfnisse, Güter &amp; ökonomisches Prinzip</x:v>
      </x:c>
      <x:c r="M151" s="5" t="n">
        <x:v>19</x:v>
      </x:c>
      <x:c r="N151" s="5" t="n">
        <x:v>19</x:v>
      </x:c>
      <x:c r="O151" s="5" t="str"/>
      <x:c r="P151" s="5" t="str">
        <x:v>Zuordnungsvorschlag; Fachfreigabe ausstehend</x:v>
      </x:c>
      <x:c r="Q151" s="5" t="str">
        <x:v>Bestehendes Lernthema fachlich unter passendem Rahmenplan-Unterbereich behalten</x:v>
      </x:c>
      <x:c r="R151" s="5" t="str">
        <x:v>Was bedeutet es wirtschaftlich zu handeln?</x:v>
      </x:c>
      <x:c r="S151" s="5" t="str">
        <x:v>957c0724403c4a035cf63b9ff6982994a320e78a1076ee80378ab2e3c29d874d</x:v>
      </x:c>
    </x:row>
    <x:row r="152" ht="36" customHeight="1">
      <x:c r="A152" s="5" t="str">
        <x:v>VWL-0020</x:v>
      </x:c>
      <x:c r="B152" s="5" t="str">
        <x:v>WQ</x:v>
      </x:c>
      <x:c r="C152" s="5" t="str">
        <x:v>1</x:v>
      </x:c>
      <x:c r="D152" s="5" t="str">
        <x:v>Volks- und Betriebswirtschaft</x:v>
      </x:c>
      <x:c r="E152" s="5" t="str">
        <x:v>VWL</x:v>
      </x:c>
      <x:c r="F152" s="5" t="str">
        <x:v>ui-wq-0001</x:v>
      </x:c>
      <x:c r="G152" s="5" t="str">
        <x:v>Volkswirtschaftliche Grundlagen</x:v>
      </x:c>
      <x:c r="H152" s="5" t="str">
        <x:v>dg-wq-0056</x:v>
      </x:c>
      <x:c r="I152" s="5" t="str">
        <x:v>1.1.1</x:v>
      </x:c>
      <x:c r="J152" s="5" t="str">
        <x:v>Markt, Preis und Wettbewerb</x:v>
      </x:c>
      <x:c r="K152" s="5" t="str"/>
      <x:c r="L152" s="5" t="str">
        <x:v>Grundlagen, Bedürfnisse, Güter &amp; ökonomisches Prinzip</x:v>
      </x:c>
      <x:c r="M152" s="5" t="n">
        <x:v>20</x:v>
      </x:c>
      <x:c r="N152" s="5" t="n">
        <x:v>20</x:v>
      </x:c>
      <x:c r="O152" s="5" t="str"/>
      <x:c r="P152" s="5" t="str">
        <x:v>Zuordnungsvorschlag; Fachfreigabe ausstehend</x:v>
      </x:c>
      <x:c r="Q152" s="5" t="str">
        <x:v>Bestehendes Lernthema fachlich unter passendem Rahmenplan-Unterbereich behalten</x:v>
      </x:c>
      <x:c r="R152" s="5" t="str">
        <x:v>Erläutern Sie das ökonomische Prinzip und die drei Teilprinzipien.</x:v>
      </x:c>
      <x:c r="S152" s="5" t="str">
        <x:v>37db7e9875a3d58c0acbf172e48646240ea8917ae4f78701760818f4992080f0</x:v>
      </x:c>
    </x:row>
    <x:row r="153" ht="36" customHeight="1">
      <x:c r="A153" s="5" t="str">
        <x:v>VWL-0021</x:v>
      </x:c>
      <x:c r="B153" s="5" t="str">
        <x:v>WQ</x:v>
      </x:c>
      <x:c r="C153" s="5" t="str">
        <x:v>1</x:v>
      </x:c>
      <x:c r="D153" s="5" t="str">
        <x:v>Volks- und Betriebswirtschaft</x:v>
      </x:c>
      <x:c r="E153" s="5" t="str">
        <x:v>VWL</x:v>
      </x:c>
      <x:c r="F153" s="5" t="str">
        <x:v>ui-wq-0001</x:v>
      </x:c>
      <x:c r="G153" s="5" t="str">
        <x:v>Volkswirtschaftliche Grundlagen</x:v>
      </x:c>
      <x:c r="H153" s="5" t="str">
        <x:v>dg-wq-0056</x:v>
      </x:c>
      <x:c r="I153" s="5" t="str">
        <x:v>1.1.1</x:v>
      </x:c>
      <x:c r="J153" s="5" t="str">
        <x:v>Markt, Preis und Wettbewerb</x:v>
      </x:c>
      <x:c r="K153" s="5" t="str"/>
      <x:c r="L153" s="5" t="str">
        <x:v>Grundlagen, Bedürfnisse, Güter &amp; ökonomisches Prinzip</x:v>
      </x:c>
      <x:c r="M153" s="5" t="n">
        <x:v>21</x:v>
      </x:c>
      <x:c r="N153" s="5" t="n">
        <x:v>21</x:v>
      </x:c>
      <x:c r="O153" s="5" t="str"/>
      <x:c r="P153" s="5" t="str">
        <x:v>Zuordnungsvorschlag; Fachfreigabe ausstehend</x:v>
      </x:c>
      <x:c r="Q153" s="5" t="str">
        <x:v>Bestehendes Lernthema fachlich unter passendem Rahmenplan-Unterbereich behalten</x:v>
      </x:c>
      <x:c r="R153" s="5" t="str">
        <x:v>Welche Prinzipien sollte das ökonomische Prinzip ergänzen?</x:v>
      </x:c>
      <x:c r="S153" s="5" t="str">
        <x:v>bc71ffef622980aba44e2e2c970d441d1ea33175cc0100cf6c3bb0ebc918ef9d</x:v>
      </x:c>
    </x:row>
    <x:row r="154" ht="36" customHeight="1">
      <x:c r="A154" s="5" t="str">
        <x:v>VWL-0022</x:v>
      </x:c>
      <x:c r="B154" s="5" t="str">
        <x:v>WQ</x:v>
      </x:c>
      <x:c r="C154" s="5" t="str">
        <x:v>1</x:v>
      </x:c>
      <x:c r="D154" s="5" t="str">
        <x:v>Volks- und Betriebswirtschaft</x:v>
      </x:c>
      <x:c r="E154" s="5" t="str">
        <x:v>VWL</x:v>
      </x:c>
      <x:c r="F154" s="5" t="str">
        <x:v>ui-wq-0001</x:v>
      </x:c>
      <x:c r="G154" s="5" t="str">
        <x:v>Volkswirtschaftliche Grundlagen</x:v>
      </x:c>
      <x:c r="H154" s="5" t="str">
        <x:v>dg-wq-0056</x:v>
      </x:c>
      <x:c r="I154" s="5" t="str">
        <x:v>1.1.1</x:v>
      </x:c>
      <x:c r="J154" s="5" t="str">
        <x:v>Markt, Preis und Wettbewerb</x:v>
      </x:c>
      <x:c r="K154" s="5" t="str"/>
      <x:c r="L154" s="5" t="str">
        <x:v>Grundlagen, Bedürfnisse, Güter &amp; ökonomisches Prinzip</x:v>
      </x:c>
      <x:c r="M154" s="5" t="n">
        <x:v>22</x:v>
      </x:c>
      <x:c r="N154" s="5" t="n">
        <x:v>22</x:v>
      </x:c>
      <x:c r="O154" s="5" t="str"/>
      <x:c r="P154" s="5" t="str">
        <x:v>Zuordnungsvorschlag; Fachfreigabe ausstehend</x:v>
      </x:c>
      <x:c r="Q154" s="5" t="str">
        <x:v>Bestehendes Lernthema fachlich unter passendem Rahmenplan-Unterbereich behalten</x:v>
      </x:c>
      <x:c r="R154" s="5" t="str">
        <x:v>Welche beiden Theorien der VWL lassen sich unterscheiden?</x:v>
      </x:c>
      <x:c r="S154" s="5" t="str">
        <x:v>085eb61f4a0ba4a262a7618e766dd1a9bc5666c8d672f1d20f16a0b37e9e36cc</x:v>
      </x:c>
    </x:row>
    <x:row r="155" ht="36" customHeight="1">
      <x:c r="A155" s="5" t="str">
        <x:v>VWL-0023</x:v>
      </x:c>
      <x:c r="B155" s="5" t="str">
        <x:v>WQ</x:v>
      </x:c>
      <x:c r="C155" s="5" t="str">
        <x:v>1</x:v>
      </x:c>
      <x:c r="D155" s="5" t="str">
        <x:v>Volks- und Betriebswirtschaft</x:v>
      </x:c>
      <x:c r="E155" s="5" t="str">
        <x:v>VWL</x:v>
      </x:c>
      <x:c r="F155" s="5" t="str">
        <x:v>ui-wq-0001</x:v>
      </x:c>
      <x:c r="G155" s="5" t="str">
        <x:v>Volkswirtschaftliche Grundlagen</x:v>
      </x:c>
      <x:c r="H155" s="5" t="str">
        <x:v>dg-wq-0056</x:v>
      </x:c>
      <x:c r="I155" s="5" t="str">
        <x:v>1.1.1</x:v>
      </x:c>
      <x:c r="J155" s="5" t="str">
        <x:v>Markt, Preis und Wettbewerb</x:v>
      </x:c>
      <x:c r="K155" s="5" t="str"/>
      <x:c r="L155" s="5" t="str">
        <x:v>Grundlagen, Bedürfnisse, Güter &amp; ökonomisches Prinzip</x:v>
      </x:c>
      <x:c r="M155" s="5" t="n">
        <x:v>23</x:v>
      </x:c>
      <x:c r="N155" s="5" t="n">
        <x:v>23</x:v>
      </x:c>
      <x:c r="O155" s="5" t="str"/>
      <x:c r="P155" s="5" t="str">
        <x:v>Zuordnungsvorschlag; Fachfreigabe ausstehend</x:v>
      </x:c>
      <x:c r="Q155" s="5" t="str">
        <x:v>Bestehendes Lernthema fachlich unter passendem Rahmenplan-Unterbereich behalten</x:v>
      </x:c>
      <x:c r="R155" s="5" t="str">
        <x:v>Welche Bereiche umfasst die Wirtschaftspolitik?</x:v>
      </x:c>
      <x:c r="S155" s="5" t="str">
        <x:v>b00475f3cbb8d31221bba71e3cc081746c1092fbd7f6e7826f4ab2ebb5766107</x:v>
      </x:c>
    </x:row>
    <x:row r="156" ht="36" customHeight="1">
      <x:c r="A156" s="5" t="str">
        <x:v>VWL-0024</x:v>
      </x:c>
      <x:c r="B156" s="5" t="str">
        <x:v>WQ</x:v>
      </x:c>
      <x:c r="C156" s="5" t="str">
        <x:v>1</x:v>
      </x:c>
      <x:c r="D156" s="5" t="str">
        <x:v>Volks- und Betriebswirtschaft</x:v>
      </x:c>
      <x:c r="E156" s="5" t="str">
        <x:v>VWL</x:v>
      </x:c>
      <x:c r="F156" s="5" t="str">
        <x:v>ui-wq-0001</x:v>
      </x:c>
      <x:c r="G156" s="5" t="str">
        <x:v>Volkswirtschaftliche Grundlagen</x:v>
      </x:c>
      <x:c r="H156" s="5" t="str">
        <x:v>dg-wq-0056</x:v>
      </x:c>
      <x:c r="I156" s="5" t="str">
        <x:v>1.1.1</x:v>
      </x:c>
      <x:c r="J156" s="5" t="str">
        <x:v>Markt, Preis und Wettbewerb</x:v>
      </x:c>
      <x:c r="K156" s="5" t="str"/>
      <x:c r="L156" s="5" t="str">
        <x:v>Grundlagen, Bedürfnisse, Güter &amp; ökonomisches Prinzip</x:v>
      </x:c>
      <x:c r="M156" s="5" t="n">
        <x:v>24</x:v>
      </x:c>
      <x:c r="N156" s="5" t="n">
        <x:v>24</x:v>
      </x:c>
      <x:c r="O156" s="5" t="str"/>
      <x:c r="P156" s="5" t="str">
        <x:v>Zuordnungsvorschlag; Fachfreigabe ausstehend</x:v>
      </x:c>
      <x:c r="Q156" s="5" t="str">
        <x:v>Bestehendes Lernthema fachlich unter passendem Rahmenplan-Unterbereich behalten</x:v>
      </x:c>
      <x:c r="R156" s="5" t="str">
        <x:v>Beschreiben Sie, welches Ziel Nachfragerinnen bzw. Nachfrager und Anbieterinnen bzw. Anbieter auf dem Markt verfolgen.</x:v>
      </x:c>
      <x:c r="S156" s="5" t="str">
        <x:v>d6c52681a50245103b938ba6d51e74e447ee84c062270b4e9e8b20e53b67b708</x:v>
      </x:c>
    </x:row>
    <x:row r="157" ht="36" customHeight="1">
      <x:c r="A157" s="5" t="str">
        <x:v>VWL-0025</x:v>
      </x:c>
      <x:c r="B157" s="5" t="str">
        <x:v>WQ</x:v>
      </x:c>
      <x:c r="C157" s="5" t="str">
        <x:v>1</x:v>
      </x:c>
      <x:c r="D157" s="5" t="str">
        <x:v>Volks- und Betriebswirtschaft</x:v>
      </x:c>
      <x:c r="E157" s="5" t="str">
        <x:v>VWL</x:v>
      </x:c>
      <x:c r="F157" s="5" t="str">
        <x:v>ui-wq-0001</x:v>
      </x:c>
      <x:c r="G157" s="5" t="str">
        <x:v>Volkswirtschaftliche Grundlagen</x:v>
      </x:c>
      <x:c r="H157" s="5" t="str">
        <x:v>dg-wq-0057</x:v>
      </x:c>
      <x:c r="I157" s="5" t="str">
        <x:v>1.1.1.1</x:v>
      </x:c>
      <x:c r="J157" s="5" t="str">
        <x:v>Preisbildung auf den unterschiedlichen Märkten</x:v>
      </x:c>
      <x:c r="K157" s="5" t="str"/>
      <x:c r="L157" s="5" t="str">
        <x:v>Marktformen, Angebot, Nachfrage &amp; Preisbildung</x:v>
      </x:c>
      <x:c r="M157" s="5" t="n">
        <x:v>25</x:v>
      </x:c>
      <x:c r="N157" s="5" t="n">
        <x:v>1</x:v>
      </x:c>
      <x:c r="O157" s="5" t="str"/>
      <x:c r="P157" s="5" t="str">
        <x:v>Zuordnungsvorschlag; Fachfreigabe ausstehend</x:v>
      </x:c>
      <x:c r="Q157" s="5" t="str">
        <x:v>Bestehendes Lernthema fachlich unter passendem Rahmenplan-Unterbereich behalten</x:v>
      </x:c>
      <x:c r="R157" s="5" t="str">
        <x:v>Kreuzen Sie an, ob die Aussagen zu Marktformen richtig oder falsch sind.</x:v>
      </x:c>
      <x:c r="S157" s="5" t="str">
        <x:v>24764831ff0f3243971d51f84730590c3cd837b656aa4a11ce66f19d8e832aba</x:v>
      </x:c>
    </x:row>
    <x:row r="158" ht="36" customHeight="1">
      <x:c r="A158" s="5" t="str">
        <x:v>VWL-0026</x:v>
      </x:c>
      <x:c r="B158" s="5" t="str">
        <x:v>WQ</x:v>
      </x:c>
      <x:c r="C158" s="5" t="str">
        <x:v>1</x:v>
      </x:c>
      <x:c r="D158" s="5" t="str">
        <x:v>Volks- und Betriebswirtschaft</x:v>
      </x:c>
      <x:c r="E158" s="5" t="str">
        <x:v>VWL</x:v>
      </x:c>
      <x:c r="F158" s="5" t="str">
        <x:v>ui-wq-0001</x:v>
      </x:c>
      <x:c r="G158" s="5" t="str">
        <x:v>Volkswirtschaftliche Grundlagen</x:v>
      </x:c>
      <x:c r="H158" s="5" t="str">
        <x:v>dg-wq-0057</x:v>
      </x:c>
      <x:c r="I158" s="5" t="str">
        <x:v>1.1.1.1</x:v>
      </x:c>
      <x:c r="J158" s="5" t="str">
        <x:v>Preisbildung auf den unterschiedlichen Märkten</x:v>
      </x:c>
      <x:c r="K158" s="5" t="str"/>
      <x:c r="L158" s="5" t="str">
        <x:v>Marktformen, Angebot, Nachfrage &amp; Preisbildung</x:v>
      </x:c>
      <x:c r="M158" s="5" t="n">
        <x:v>26</x:v>
      </x:c>
      <x:c r="N158" s="5" t="n">
        <x:v>2</x:v>
      </x:c>
      <x:c r="O158" s="5" t="str"/>
      <x:c r="P158" s="5" t="str">
        <x:v>Zuordnungsvorschlag; Fachfreigabe ausstehend</x:v>
      </x:c>
      <x:c r="Q158" s="5" t="str">
        <x:v>Bestehendes Lernthema fachlich unter passendem Rahmenplan-Unterbereich behalten</x:v>
      </x:c>
      <x:c r="R158" s="5" t="str">
        <x:v>Nennen Sie den Markt, der annäherungsweise als Beispiel für einen vollkommenen Markt gilt.</x:v>
      </x:c>
      <x:c r="S158" s="5" t="str">
        <x:v>ef566e5a535769ae9b6d2eed9f6eab9aa6c35e5e0cf0116d4d2d382c51892df9</x:v>
      </x:c>
    </x:row>
    <x:row r="159" ht="36" customHeight="1">
      <x:c r="A159" s="5" t="str">
        <x:v>VWL-0027</x:v>
      </x:c>
      <x:c r="B159" s="5" t="str">
        <x:v>WQ</x:v>
      </x:c>
      <x:c r="C159" s="5" t="str">
        <x:v>1</x:v>
      </x:c>
      <x:c r="D159" s="5" t="str">
        <x:v>Volks- und Betriebswirtschaft</x:v>
      </x:c>
      <x:c r="E159" s="5" t="str">
        <x:v>VWL</x:v>
      </x:c>
      <x:c r="F159" s="5" t="str">
        <x:v>ui-wq-0001</x:v>
      </x:c>
      <x:c r="G159" s="5" t="str">
        <x:v>Volkswirtschaftliche Grundlagen</x:v>
      </x:c>
      <x:c r="H159" s="5" t="str">
        <x:v>dg-wq-0057</x:v>
      </x:c>
      <x:c r="I159" s="5" t="str">
        <x:v>1.1.1.1</x:v>
      </x:c>
      <x:c r="J159" s="5" t="str">
        <x:v>Preisbildung auf den unterschiedlichen Märkten</x:v>
      </x:c>
      <x:c r="K159" s="5" t="str"/>
      <x:c r="L159" s="5" t="str">
        <x:v>Marktformen, Angebot, Nachfrage &amp; Preisbildung</x:v>
      </x:c>
      <x:c r="M159" s="5" t="n">
        <x:v>27</x:v>
      </x:c>
      <x:c r="N159" s="5" t="n">
        <x:v>3</x:v>
      </x:c>
      <x:c r="O159" s="5" t="str"/>
      <x:c r="P159" s="5" t="str">
        <x:v>Zuordnungsvorschlag; Fachfreigabe ausstehend</x:v>
      </x:c>
      <x:c r="Q159" s="5" t="str">
        <x:v>Bestehendes Lernthema fachlich unter passendem Rahmenplan-Unterbereich behalten</x:v>
      </x:c>
      <x:c r="R159" s="5" t="str">
        <x:v>Prüfen Sie die Aussagen zu den Bedingungen eines vollkommenen Marktes auf richtig oder falsch.</x:v>
      </x:c>
      <x:c r="S159" s="5" t="str">
        <x:v>0f7f9b30c7fdd37920c42a1622fdeab55ee7a86ef472e62794220f2804ca3cf0</x:v>
      </x:c>
    </x:row>
    <x:row r="160" ht="36" customHeight="1">
      <x:c r="A160" s="5" t="str">
        <x:v>VWL-0028</x:v>
      </x:c>
      <x:c r="B160" s="5" t="str">
        <x:v>WQ</x:v>
      </x:c>
      <x:c r="C160" s="5" t="str">
        <x:v>1</x:v>
      </x:c>
      <x:c r="D160" s="5" t="str">
        <x:v>Volks- und Betriebswirtschaft</x:v>
      </x:c>
      <x:c r="E160" s="5" t="str">
        <x:v>VWL</x:v>
      </x:c>
      <x:c r="F160" s="5" t="str">
        <x:v>ui-wq-0001</x:v>
      </x:c>
      <x:c r="G160" s="5" t="str">
        <x:v>Volkswirtschaftliche Grundlagen</x:v>
      </x:c>
      <x:c r="H160" s="5" t="str">
        <x:v>dg-wq-0057</x:v>
      </x:c>
      <x:c r="I160" s="5" t="str">
        <x:v>1.1.1.1</x:v>
      </x:c>
      <x:c r="J160" s="5" t="str">
        <x:v>Preisbildung auf den unterschiedlichen Märkten</x:v>
      </x:c>
      <x:c r="K160" s="5" t="str"/>
      <x:c r="L160" s="5" t="str">
        <x:v>Marktformen, Angebot, Nachfrage &amp; Preisbildung</x:v>
      </x:c>
      <x:c r="M160" s="5" t="n">
        <x:v>28</x:v>
      </x:c>
      <x:c r="N160" s="5" t="n">
        <x:v>4</x:v>
      </x:c>
      <x:c r="O160" s="5" t="str"/>
      <x:c r="P160" s="5" t="str">
        <x:v>Zuordnungsvorschlag; Fachfreigabe ausstehend</x:v>
      </x:c>
      <x:c r="Q160" s="5" t="str">
        <x:v>Bestehendes Lernthema fachlich unter passendem Rahmenplan-Unterbereich behalten</x:v>
      </x:c>
      <x:c r="R160" s="5" t="str">
        <x:v>Nennen Sie mindestens sechs Bestimmungsfaktoren des Güterangebots auf dem Markt.</x:v>
      </x:c>
      <x:c r="S160" s="5" t="str">
        <x:v>e4d2c8addaeddc31536c56c60a3932c0443071204288ffb27737173c16299b05</x:v>
      </x:c>
    </x:row>
    <x:row r="161" ht="36" customHeight="1">
      <x:c r="A161" s="5" t="str">
        <x:v>VWL-0029</x:v>
      </x:c>
      <x:c r="B161" s="5" t="str">
        <x:v>WQ</x:v>
      </x:c>
      <x:c r="C161" s="5" t="str">
        <x:v>1</x:v>
      </x:c>
      <x:c r="D161" s="5" t="str">
        <x:v>Volks- und Betriebswirtschaft</x:v>
      </x:c>
      <x:c r="E161" s="5" t="str">
        <x:v>VWL</x:v>
      </x:c>
      <x:c r="F161" s="5" t="str">
        <x:v>ui-wq-0001</x:v>
      </x:c>
      <x:c r="G161" s="5" t="str">
        <x:v>Volkswirtschaftliche Grundlagen</x:v>
      </x:c>
      <x:c r="H161" s="5" t="str">
        <x:v>dg-wq-0057</x:v>
      </x:c>
      <x:c r="I161" s="5" t="str">
        <x:v>1.1.1.1</x:v>
      </x:c>
      <x:c r="J161" s="5" t="str">
        <x:v>Preisbildung auf den unterschiedlichen Märkten</x:v>
      </x:c>
      <x:c r="K161" s="5" t="str"/>
      <x:c r="L161" s="5" t="str">
        <x:v>Marktformen, Angebot, Nachfrage &amp; Preisbildung</x:v>
      </x:c>
      <x:c r="M161" s="5" t="n">
        <x:v>29</x:v>
      </x:c>
      <x:c r="N161" s="5" t="n">
        <x:v>5</x:v>
      </x:c>
      <x:c r="O161" s="5" t="str"/>
      <x:c r="P161" s="5" t="str">
        <x:v>Zuordnungsvorschlag; Fachfreigabe ausstehend</x:v>
      </x:c>
      <x:c r="Q161" s="5" t="str">
        <x:v>Bestehendes Lernthema fachlich unter passendem Rahmenplan-Unterbereich behalten</x:v>
      </x:c>
      <x:c r="R161" s="5" t="str">
        <x:v>Nennen Sie mindestens vier Bestimmungsfaktoren der Güternachfrage auf dem Markt.</x:v>
      </x:c>
      <x:c r="S161" s="5" t="str">
        <x:v>4fcc7db67bffb0e940e60004ec2658aa164d37bcda2c8c4832631a0f0ff80870</x:v>
      </x:c>
    </x:row>
    <x:row r="162" ht="36" customHeight="1">
      <x:c r="A162" s="5" t="str">
        <x:v>VWL-0030</x:v>
      </x:c>
      <x:c r="B162" s="5" t="str">
        <x:v>WQ</x:v>
      </x:c>
      <x:c r="C162" s="5" t="str">
        <x:v>1</x:v>
      </x:c>
      <x:c r="D162" s="5" t="str">
        <x:v>Volks- und Betriebswirtschaft</x:v>
      </x:c>
      <x:c r="E162" s="5" t="str">
        <x:v>VWL</x:v>
      </x:c>
      <x:c r="F162" s="5" t="str">
        <x:v>ui-wq-0001</x:v>
      </x:c>
      <x:c r="G162" s="5" t="str">
        <x:v>Volkswirtschaftliche Grundlagen</x:v>
      </x:c>
      <x:c r="H162" s="5" t="str">
        <x:v>dg-wq-0057</x:v>
      </x:c>
      <x:c r="I162" s="5" t="str">
        <x:v>1.1.1.1</x:v>
      </x:c>
      <x:c r="J162" s="5" t="str">
        <x:v>Preisbildung auf den unterschiedlichen Märkten</x:v>
      </x:c>
      <x:c r="K162" s="5" t="str"/>
      <x:c r="L162" s="5" t="str">
        <x:v>Marktformen, Angebot, Nachfrage &amp; Preisbildung</x:v>
      </x:c>
      <x:c r="M162" s="5" t="n">
        <x:v>30</x:v>
      </x:c>
      <x:c r="N162" s="5" t="n">
        <x:v>6</x:v>
      </x:c>
      <x:c r="O162" s="5" t="str"/>
      <x:c r="P162" s="5" t="str">
        <x:v>Zuordnungsvorschlag; Fachfreigabe ausstehend</x:v>
      </x:c>
      <x:c r="Q162" s="5" t="str">
        <x:v>Bestehendes Lernthema fachlich unter passendem Rahmenplan-Unterbereich behalten</x:v>
      </x:c>
      <x:c r="R162" s="5" t="str">
        <x:v>Gegeben sind folgende Prognosewerte: Bei 6.000 € beträgt die Nachfrage 300 Stück und das Angebot 600 Stück. Bei 4.000 € beträgt die Nachfrage 400 Stück und das Angebot 400 Stück. Bei 2.000 € beträgt die Nachfrage 500 Stück und das Angebot 200 Stück. Zeichnen Sie daraus in einem Preis-Mengen-Diagramm die Nachfragekurve und die Angebotskurve. Beschriften Sie die Achsen, markieren Sie den Schnittpunkt und bestimmen Sie Gleichgewichtspreis und Gleichgewichtsmenge.</x:v>
      </x:c>
      <x:c r="S162" s="5" t="str">
        <x:v>5a556782f8dfc05d4f70461a6630d1af2e52bd8d9f864aa2ff2f4c1559f806f5</x:v>
      </x:c>
    </x:row>
    <x:row r="163" ht="36" customHeight="1">
      <x:c r="A163" s="5" t="str">
        <x:v>VWL-0031</x:v>
      </x:c>
      <x:c r="B163" s="5" t="str">
        <x:v>WQ</x:v>
      </x:c>
      <x:c r="C163" s="5" t="str">
        <x:v>1</x:v>
      </x:c>
      <x:c r="D163" s="5" t="str">
        <x:v>Volks- und Betriebswirtschaft</x:v>
      </x:c>
      <x:c r="E163" s="5" t="str">
        <x:v>VWL</x:v>
      </x:c>
      <x:c r="F163" s="5" t="str">
        <x:v>ui-wq-0001</x:v>
      </x:c>
      <x:c r="G163" s="5" t="str">
        <x:v>Volkswirtschaftliche Grundlagen</x:v>
      </x:c>
      <x:c r="H163" s="5" t="str">
        <x:v>dg-wq-0057</x:v>
      </x:c>
      <x:c r="I163" s="5" t="str">
        <x:v>1.1.1.1#2</x:v>
      </x:c>
      <x:c r="J163" s="5" t="str">
        <x:v>Preisbildung bei unvollständiger Konkurrenz</x:v>
      </x:c>
      <x:c r="K163" s="5" t="str"/>
      <x:c r="L163" s="5" t="str">
        <x:v>Marktformen, Angebot, Nachfrage &amp; Preisbildung</x:v>
      </x:c>
      <x:c r="M163" s="5" t="n">
        <x:v>31</x:v>
      </x:c>
      <x:c r="N163" s="5" t="n">
        <x:v>7</x:v>
      </x:c>
      <x:c r="O163" s="5" t="str"/>
      <x:c r="P163" s="5" t="str">
        <x:v>Zuordnungsvorschlag; Fachfreigabe ausstehend</x:v>
      </x:c>
      <x:c r="Q163" s="5" t="str">
        <x:v>Bestehendes Lernthema fachlich unter passendem Rahmenplan-Unterbereich behalten</x:v>
      </x:c>
      <x:c r="R163" s="5" t="str">
        <x:v>Bei 6.000 € beträgt die Nachfrage 300 Stück und das Angebot 600 Stück. Bei 4.000 € beträgt die Nachfrage 400 Stück und das Angebot 400 Stück. Bei 2.000 € beträgt die Nachfrage 500 Stück und das Angebot 200 Stück. Erklären Sie anhand dieser Werte den Angebotsüberschuss und den Nachfrageüberschuss und beurteilen Sie jeweils die Auswirkung auf die Preisbildung.</x:v>
      </x:c>
      <x:c r="S163" s="5" t="str">
        <x:v>6781e2ef4fcd2bcc8b6b77ec828a93987b264d5be06aba81d1b3bcf8ee56a94d</x:v>
      </x:c>
    </x:row>
    <x:row r="164" ht="36" customHeight="1">
      <x:c r="A164" s="5" t="str">
        <x:v>VWL-0032</x:v>
      </x:c>
      <x:c r="B164" s="5" t="str">
        <x:v>WQ</x:v>
      </x:c>
      <x:c r="C164" s="5" t="str">
        <x:v>1</x:v>
      </x:c>
      <x:c r="D164" s="5" t="str">
        <x:v>Volks- und Betriebswirtschaft</x:v>
      </x:c>
      <x:c r="E164" s="5" t="str">
        <x:v>VWL</x:v>
      </x:c>
      <x:c r="F164" s="5" t="str">
        <x:v>ui-wq-0001</x:v>
      </x:c>
      <x:c r="G164" s="5" t="str">
        <x:v>Volkswirtschaftliche Grundlagen</x:v>
      </x:c>
      <x:c r="H164" s="5" t="str">
        <x:v>dg-wq-0057</x:v>
      </x:c>
      <x:c r="I164" s="5" t="str">
        <x:v>1.1.1.1</x:v>
      </x:c>
      <x:c r="J164" s="5" t="str">
        <x:v>Preisbildung auf den unterschiedlichen Märkten</x:v>
      </x:c>
      <x:c r="K164" s="5" t="str"/>
      <x:c r="L164" s="5" t="str">
        <x:v>Marktformen, Angebot, Nachfrage &amp; Preisbildung</x:v>
      </x:c>
      <x:c r="M164" s="5" t="n">
        <x:v>32</x:v>
      </x:c>
      <x:c r="N164" s="5" t="n">
        <x:v>8</x:v>
      </x:c>
      <x:c r="O164" s="5" t="str"/>
      <x:c r="P164" s="5" t="str">
        <x:v>Zuordnungsvorschlag; Fachfreigabe ausstehend</x:v>
      </x:c>
      <x:c r="Q164" s="5" t="str">
        <x:v>Bestehendes Lernthema fachlich unter passendem Rahmenplan-Unterbereich behalten</x:v>
      </x:c>
      <x:c r="R164" s="5" t="str">
        <x:v>Erklären Sie die Begriffe Käufermarkt und Verkäufermarkt.</x:v>
      </x:c>
      <x:c r="S164" s="5" t="str">
        <x:v>f6b407d5e0cccb44a5bbec39bfc6c7f6fb2711ae9accf676ed64ef89bb41c985</x:v>
      </x:c>
    </x:row>
    <x:row r="165" ht="36" customHeight="1">
      <x:c r="A165" s="5" t="str">
        <x:v>VWL-0033</x:v>
      </x:c>
      <x:c r="B165" s="5" t="str">
        <x:v>WQ</x:v>
      </x:c>
      <x:c r="C165" s="5" t="str">
        <x:v>1</x:v>
      </x:c>
      <x:c r="D165" s="5" t="str">
        <x:v>Volks- und Betriebswirtschaft</x:v>
      </x:c>
      <x:c r="E165" s="5" t="str">
        <x:v>VWL</x:v>
      </x:c>
      <x:c r="F165" s="5" t="str">
        <x:v>ui-wq-0001</x:v>
      </x:c>
      <x:c r="G165" s="5" t="str">
        <x:v>Volkswirtschaftliche Grundlagen</x:v>
      </x:c>
      <x:c r="H165" s="5" t="str">
        <x:v>dg-wq-0057</x:v>
      </x:c>
      <x:c r="I165" s="5" t="str">
        <x:v>1.1.1.1</x:v>
      </x:c>
      <x:c r="J165" s="5" t="str">
        <x:v>Preisbildung auf den unterschiedlichen Märkten</x:v>
      </x:c>
      <x:c r="K165" s="5" t="str"/>
      <x:c r="L165" s="5" t="str">
        <x:v>Marktformen, Angebot, Nachfrage &amp; Preisbildung</x:v>
      </x:c>
      <x:c r="M165" s="5" t="n">
        <x:v>33</x:v>
      </x:c>
      <x:c r="N165" s="5" t="n">
        <x:v>9</x:v>
      </x:c>
      <x:c r="O165" s="5" t="str"/>
      <x:c r="P165" s="5" t="str">
        <x:v>Zuordnungsvorschlag; Fachfreigabe ausstehend</x:v>
      </x:c>
      <x:c r="Q165" s="5" t="str">
        <x:v>Bestehendes Lernthema fachlich unter passendem Rahmenplan-Unterbereich behalten</x:v>
      </x:c>
      <x:c r="R165" s="5" t="str">
        <x:v>Erklären Sie allgemein, wie sich eine Angebotserhöhung oder Angebotssenkung bei gleichbleibender Nachfrage auf den Gleichgewichtspreis auswirkt.</x:v>
      </x:c>
      <x:c r="S165" s="5" t="str">
        <x:v>07435b367c5aa15ec5f05dfeb6517300eef26d0fc5abf8a9ff7ee087f01d7e48</x:v>
      </x:c>
    </x:row>
    <x:row r="166" ht="36" customHeight="1">
      <x:c r="A166" s="5" t="str">
        <x:v>VWL-0034</x:v>
      </x:c>
      <x:c r="B166" s="5" t="str">
        <x:v>WQ</x:v>
      </x:c>
      <x:c r="C166" s="5" t="str">
        <x:v>1</x:v>
      </x:c>
      <x:c r="D166" s="5" t="str">
        <x:v>Volks- und Betriebswirtschaft</x:v>
      </x:c>
      <x:c r="E166" s="5" t="str">
        <x:v>VWL</x:v>
      </x:c>
      <x:c r="F166" s="5" t="str">
        <x:v>ui-wq-0001</x:v>
      </x:c>
      <x:c r="G166" s="5" t="str">
        <x:v>Volkswirtschaftliche Grundlagen</x:v>
      </x:c>
      <x:c r="H166" s="5" t="str">
        <x:v>dg-wq-0057</x:v>
      </x:c>
      <x:c r="I166" s="5" t="str">
        <x:v>1.1.1.1</x:v>
      </x:c>
      <x:c r="J166" s="5" t="str">
        <x:v>Preisbildung auf den unterschiedlichen Märkten</x:v>
      </x:c>
      <x:c r="K166" s="5" t="str"/>
      <x:c r="L166" s="5" t="str">
        <x:v>Marktformen, Angebot, Nachfrage &amp; Preisbildung</x:v>
      </x:c>
      <x:c r="M166" s="5" t="n">
        <x:v>34</x:v>
      </x:c>
      <x:c r="N166" s="5" t="n">
        <x:v>10</x:v>
      </x:c>
      <x:c r="O166" s="5" t="str"/>
      <x:c r="P166" s="5" t="str">
        <x:v>Zuordnungsvorschlag; Fachfreigabe ausstehend</x:v>
      </x:c>
      <x:c r="Q166" s="5" t="str">
        <x:v>Bestehendes Lernthema fachlich unter passendem Rahmenplan-Unterbereich behalten</x:v>
      </x:c>
      <x:c r="R166" s="5" t="str">
        <x:v>Erklären Sie allgemein, wie sich eine Nachfrageerhöhung oder Nachfragesenkung bei gleichbleibendem Angebot auf den Gleichgewichtspreis auswirkt.</x:v>
      </x:c>
      <x:c r="S166" s="5" t="str">
        <x:v>be9739fca0b170d80b4992e7c35c1cac87b5f1d30356d515d21cd1d28b43cd02</x:v>
      </x:c>
    </x:row>
    <x:row r="167" ht="36" customHeight="1">
      <x:c r="A167" s="5" t="str">
        <x:v>VWL-0035</x:v>
      </x:c>
      <x:c r="B167" s="5" t="str">
        <x:v>WQ</x:v>
      </x:c>
      <x:c r="C167" s="5" t="str">
        <x:v>1</x:v>
      </x:c>
      <x:c r="D167" s="5" t="str">
        <x:v>Volks- und Betriebswirtschaft</x:v>
      </x:c>
      <x:c r="E167" s="5" t="str">
        <x:v>VWL</x:v>
      </x:c>
      <x:c r="F167" s="5" t="str">
        <x:v>ui-wq-0001</x:v>
      </x:c>
      <x:c r="G167" s="5" t="str">
        <x:v>Volkswirtschaftliche Grundlagen</x:v>
      </x:c>
      <x:c r="H167" s="5" t="str">
        <x:v>dg-wq-0057</x:v>
      </x:c>
      <x:c r="I167" s="5" t="str">
        <x:v>1.1.1.1</x:v>
      </x:c>
      <x:c r="J167" s="5" t="str">
        <x:v>Preisbildung auf den unterschiedlichen Märkten</x:v>
      </x:c>
      <x:c r="K167" s="5" t="str"/>
      <x:c r="L167" s="5" t="str">
        <x:v>Marktformen, Angebot, Nachfrage &amp; Preisbildung</x:v>
      </x:c>
      <x:c r="M167" s="5" t="n">
        <x:v>35</x:v>
      </x:c>
      <x:c r="N167" s="5" t="n">
        <x:v>11</x:v>
      </x:c>
      <x:c r="O167" s="5" t="str"/>
      <x:c r="P167" s="5" t="str">
        <x:v>Zuordnungsvorschlag; Fachfreigabe ausstehend</x:v>
      </x:c>
      <x:c r="Q167" s="5" t="str">
        <x:v>Bestehendes Lernthema fachlich unter passendem Rahmenplan-Unterbereich behalten</x:v>
      </x:c>
      <x:c r="R167" s="5" t="str">
        <x:v>Erklären Sie anhand von je zwei Beispielen den Unterschied zwischen Substitutionsgütern und komplementären Gütern.</x:v>
      </x:c>
      <x:c r="S167" s="5" t="str">
        <x:v>76aead6f5ac82a259cf2de57aadbb8c374be132c3346d164ef2d491c6da08456</x:v>
      </x:c>
    </x:row>
    <x:row r="168" ht="36" customHeight="1">
      <x:c r="A168" s="5" t="str">
        <x:v>VWL-0036</x:v>
      </x:c>
      <x:c r="B168" s="5" t="str">
        <x:v>WQ</x:v>
      </x:c>
      <x:c r="C168" s="5" t="str">
        <x:v>1</x:v>
      </x:c>
      <x:c r="D168" s="5" t="str">
        <x:v>Volks- und Betriebswirtschaft</x:v>
      </x:c>
      <x:c r="E168" s="5" t="str">
        <x:v>VWL</x:v>
      </x:c>
      <x:c r="F168" s="5" t="str">
        <x:v>ui-wq-0001</x:v>
      </x:c>
      <x:c r="G168" s="5" t="str">
        <x:v>Volkswirtschaftliche Grundlagen</x:v>
      </x:c>
      <x:c r="H168" s="5" t="str">
        <x:v>dg-wq-0057</x:v>
      </x:c>
      <x:c r="I168" s="5" t="str">
        <x:v>1.1.1.1</x:v>
      </x:c>
      <x:c r="J168" s="5" t="str">
        <x:v>Preisbildung auf den unterschiedlichen Märkten</x:v>
      </x:c>
      <x:c r="K168" s="5" t="str"/>
      <x:c r="L168" s="5" t="str">
        <x:v>Marktformen, Angebot, Nachfrage &amp; Preisbildung</x:v>
      </x:c>
      <x:c r="M168" s="5" t="n">
        <x:v>36</x:v>
      </x:c>
      <x:c r="N168" s="5" t="n">
        <x:v>12</x:v>
      </x:c>
      <x:c r="O168" s="5" t="str"/>
      <x:c r="P168" s="5" t="str">
        <x:v>Zuordnungsvorschlag; Fachfreigabe ausstehend</x:v>
      </x:c>
      <x:c r="Q168" s="5" t="str">
        <x:v>Bestehendes Lernthema fachlich unter passendem Rahmenplan-Unterbereich behalten</x:v>
      </x:c>
      <x:c r="R168" s="5" t="str">
        <x:v>Erklären Sie, wie sich die Preiserhöhung eines Substitutionsgutes auf die Nachfrage des betrachteten Gutes auswirkt.</x:v>
      </x:c>
      <x:c r="S168" s="5" t="str">
        <x:v>faa3865f13ac19d4fa14203cca35565e88669d99856f910193cb21c93f5bb92c</x:v>
      </x:c>
    </x:row>
    <x:row r="169" ht="36" customHeight="1">
      <x:c r="A169" s="5" t="str">
        <x:v>VWL-0037</x:v>
      </x:c>
      <x:c r="B169" s="5" t="str">
        <x:v>WQ</x:v>
      </x:c>
      <x:c r="C169" s="5" t="str">
        <x:v>1</x:v>
      </x:c>
      <x:c r="D169" s="5" t="str">
        <x:v>Volks- und Betriebswirtschaft</x:v>
      </x:c>
      <x:c r="E169" s="5" t="str">
        <x:v>VWL</x:v>
      </x:c>
      <x:c r="F169" s="5" t="str">
        <x:v>ui-wq-0001</x:v>
      </x:c>
      <x:c r="G169" s="5" t="str">
        <x:v>Volkswirtschaftliche Grundlagen</x:v>
      </x:c>
      <x:c r="H169" s="5" t="str">
        <x:v>dg-wq-0057</x:v>
      </x:c>
      <x:c r="I169" s="5" t="str">
        <x:v>1.1.1.1</x:v>
      </x:c>
      <x:c r="J169" s="5" t="str">
        <x:v>Preisbildung auf den unterschiedlichen Märkten</x:v>
      </x:c>
      <x:c r="K169" s="5" t="str"/>
      <x:c r="L169" s="5" t="str">
        <x:v>Marktformen, Angebot, Nachfrage &amp; Preisbildung</x:v>
      </x:c>
      <x:c r="M169" s="5" t="n">
        <x:v>37</x:v>
      </x:c>
      <x:c r="N169" s="5" t="n">
        <x:v>13</x:v>
      </x:c>
      <x:c r="O169" s="5" t="str"/>
      <x:c r="P169" s="5" t="str">
        <x:v>Zuordnungsvorschlag; Fachfreigabe ausstehend</x:v>
      </x:c>
      <x:c r="Q169" s="5" t="str">
        <x:v>Bestehendes Lernthema fachlich unter passendem Rahmenplan-Unterbereich behalten</x:v>
      </x:c>
      <x:c r="R169" s="5" t="str">
        <x:v>Erklären Sie, wie sich die Preiserhöhung eines Komplementärgutes auf die Nachfrage des betrachteten Gutes auswirkt.</x:v>
      </x:c>
      <x:c r="S169" s="5" t="str">
        <x:v>a532508917f6f555799a9a8a2af85e540f3c4b4890353c8327c15c1c4b23245d</x:v>
      </x:c>
    </x:row>
    <x:row r="170" ht="36" customHeight="1">
      <x:c r="A170" s="5" t="str">
        <x:v>VWL-0038</x:v>
      </x:c>
      <x:c r="B170" s="5" t="str">
        <x:v>WQ</x:v>
      </x:c>
      <x:c r="C170" s="5" t="str">
        <x:v>1</x:v>
      </x:c>
      <x:c r="D170" s="5" t="str">
        <x:v>Volks- und Betriebswirtschaft</x:v>
      </x:c>
      <x:c r="E170" s="5" t="str">
        <x:v>VWL</x:v>
      </x:c>
      <x:c r="F170" s="5" t="str">
        <x:v>ui-wq-0001</x:v>
      </x:c>
      <x:c r="G170" s="5" t="str">
        <x:v>Volkswirtschaftliche Grundlagen</x:v>
      </x:c>
      <x:c r="H170" s="5" t="str">
        <x:v>dg-wq-0057</x:v>
      </x:c>
      <x:c r="I170" s="5" t="str">
        <x:v>1.1.1.1</x:v>
      </x:c>
      <x:c r="J170" s="5" t="str">
        <x:v>Preisbildung auf den unterschiedlichen Märkten</x:v>
      </x:c>
      <x:c r="K170" s="5" t="str"/>
      <x:c r="L170" s="5" t="str">
        <x:v>Marktformen, Angebot, Nachfrage &amp; Preisbildung</x:v>
      </x:c>
      <x:c r="M170" s="5" t="n">
        <x:v>38</x:v>
      </x:c>
      <x:c r="N170" s="5" t="n">
        <x:v>14</x:v>
      </x:c>
      <x:c r="O170" s="5" t="str"/>
      <x:c r="P170" s="5" t="str">
        <x:v>Zuordnungsvorschlag; Fachfreigabe ausstehend</x:v>
      </x:c>
      <x:c r="Q170" s="5" t="str">
        <x:v>Bestehendes Lernthema fachlich unter passendem Rahmenplan-Unterbereich behalten</x:v>
      </x:c>
      <x:c r="R170" s="5" t="str">
        <x:v>Vervollständigen Sie den Lückentext zur Preiselastizität mit den passenden Begriffen.</x:v>
      </x:c>
      <x:c r="S170" s="5" t="str">
        <x:v>36289010368611c8b79d13c4c2d5186d9754cdb3afa7350aab60ea83a879f0fe</x:v>
      </x:c>
    </x:row>
    <x:row r="171" ht="36" customHeight="1">
      <x:c r="A171" s="5" t="str">
        <x:v>VWL-0039</x:v>
      </x:c>
      <x:c r="B171" s="5" t="str">
        <x:v>WQ</x:v>
      </x:c>
      <x:c r="C171" s="5" t="str">
        <x:v>1</x:v>
      </x:c>
      <x:c r="D171" s="5" t="str">
        <x:v>Volks- und Betriebswirtschaft</x:v>
      </x:c>
      <x:c r="E171" s="5" t="str">
        <x:v>VWL</x:v>
      </x:c>
      <x:c r="F171" s="5" t="str">
        <x:v>ui-wq-0001</x:v>
      </x:c>
      <x:c r="G171" s="5" t="str">
        <x:v>Volkswirtschaftliche Grundlagen</x:v>
      </x:c>
      <x:c r="H171" s="5" t="str">
        <x:v>dg-wq-0057</x:v>
      </x:c>
      <x:c r="I171" s="5" t="str">
        <x:v>1.1.1.1</x:v>
      </x:c>
      <x:c r="J171" s="5" t="str">
        <x:v>Preisbildung auf den unterschiedlichen Märkten</x:v>
      </x:c>
      <x:c r="K171" s="5" t="str"/>
      <x:c r="L171" s="5" t="str">
        <x:v>Marktformen, Angebot, Nachfrage &amp; Preisbildung</x:v>
      </x:c>
      <x:c r="M171" s="5" t="n">
        <x:v>39</x:v>
      </x:c>
      <x:c r="N171" s="5" t="n">
        <x:v>15</x:v>
      </x:c>
      <x:c r="O171" s="5" t="str"/>
      <x:c r="P171" s="5" t="str">
        <x:v>Zuordnungsvorschlag; Fachfreigabe ausstehend</x:v>
      </x:c>
      <x:c r="Q171" s="5" t="str">
        <x:v>Bestehendes Lernthema fachlich unter passendem Rahmenplan-Unterbereich behalten</x:v>
      </x:c>
      <x:c r="R171" s="5" t="str">
        <x:v>Das Angebot für ein Gut sinkt, die Nachfrage bleibt konstant. Stellen Sie die Veränderung in einem Preis-Mengen-Diagramm dar: Zeichnen Sie die ursprüngliche Angebots- und Nachfragekurve, verschieben Sie die Angebotskurve entsprechend und kennzeichnen Sie das neue Gleichgewicht. Erläutern Sie anschließend die Auswirkung auf Gleichgewichtspreis und Gleichgewichtsmenge.</x:v>
      </x:c>
      <x:c r="S171" s="5" t="str">
        <x:v>a590828fd5b283484ee455c163bba7edbe4ccac0cdff9d6d75e71934bedb7592</x:v>
      </x:c>
    </x:row>
    <x:row r="172" ht="36" customHeight="1">
      <x:c r="A172" s="5" t="str">
        <x:v>VWL-0040</x:v>
      </x:c>
      <x:c r="B172" s="5" t="str">
        <x:v>WQ</x:v>
      </x:c>
      <x:c r="C172" s="5" t="str">
        <x:v>1</x:v>
      </x:c>
      <x:c r="D172" s="5" t="str">
        <x:v>Volks- und Betriebswirtschaft</x:v>
      </x:c>
      <x:c r="E172" s="5" t="str">
        <x:v>VWL</x:v>
      </x:c>
      <x:c r="F172" s="5" t="str">
        <x:v>ui-wq-0001</x:v>
      </x:c>
      <x:c r="G172" s="5" t="str">
        <x:v>Volkswirtschaftliche Grundlagen</x:v>
      </x:c>
      <x:c r="H172" s="5" t="str">
        <x:v>dg-wq-0057</x:v>
      </x:c>
      <x:c r="I172" s="5" t="str">
        <x:v>1.1.1.1</x:v>
      </x:c>
      <x:c r="J172" s="5" t="str">
        <x:v>Preisbildung auf den unterschiedlichen Märkten</x:v>
      </x:c>
      <x:c r="K172" s="5" t="str"/>
      <x:c r="L172" s="5" t="str">
        <x:v>Marktformen, Angebot, Nachfrage &amp; Preisbildung</x:v>
      </x:c>
      <x:c r="M172" s="5" t="n">
        <x:v>40</x:v>
      </x:c>
      <x:c r="N172" s="5" t="n">
        <x:v>16</x:v>
      </x:c>
      <x:c r="O172" s="5" t="str"/>
      <x:c r="P172" s="5" t="str">
        <x:v>Zuordnungsvorschlag; Fachfreigabe ausstehend</x:v>
      </x:c>
      <x:c r="Q172" s="5" t="str">
        <x:v>Bestehendes Lernthema fachlich unter passendem Rahmenplan-Unterbereich behalten</x:v>
      </x:c>
      <x:c r="R172" s="5" t="str">
        <x:v>Das Angebot für ein Gut sinkt und gleichzeitig steigt die Nachfrage. Stellen Sie beide Veränderungen in einem Preis-Mengen-Diagramm dar: Verschieben Sie die Angebotskurve nach links und die Nachfragekurve nach rechts und kennzeichnen Sie das neue Gleichgewicht. Erläutern Sie, welche Aussage sich sicher über den Gleichgewichtspreis treffen lässt und warum die neue Gleichgewichtsmenge ohne weitere Angaben nicht eindeutig bestimmbar ist.</x:v>
      </x:c>
      <x:c r="S172" s="5" t="str">
        <x:v>9ea72a935f18388b713f12f4f0dc8c8021a82fed9043189c9cc33e3ebfdb382d</x:v>
      </x:c>
    </x:row>
    <x:row r="173" ht="36" customHeight="1">
      <x:c r="A173" s="5" t="str">
        <x:v>VWL-0041</x:v>
      </x:c>
      <x:c r="B173" s="5" t="str">
        <x:v>WQ</x:v>
      </x:c>
      <x:c r="C173" s="5" t="str">
        <x:v>1</x:v>
      </x:c>
      <x:c r="D173" s="5" t="str">
        <x:v>Volks- und Betriebswirtschaft</x:v>
      </x:c>
      <x:c r="E173" s="5" t="str">
        <x:v>VWL</x:v>
      </x:c>
      <x:c r="F173" s="5" t="str">
        <x:v>ui-wq-0001</x:v>
      </x:c>
      <x:c r="G173" s="5" t="str">
        <x:v>Volkswirtschaftliche Grundlagen</x:v>
      </x:c>
      <x:c r="H173" s="5" t="str">
        <x:v>dg-wq-0057</x:v>
      </x:c>
      <x:c r="I173" s="5" t="str">
        <x:v>1.1.1.1</x:v>
      </x:c>
      <x:c r="J173" s="5" t="str">
        <x:v>Preisbildung auf den unterschiedlichen Märkten</x:v>
      </x:c>
      <x:c r="K173" s="5" t="str"/>
      <x:c r="L173" s="5" t="str">
        <x:v>Marktformen, Angebot, Nachfrage &amp; Preisbildung</x:v>
      </x:c>
      <x:c r="M173" s="5" t="n">
        <x:v>41</x:v>
      </x:c>
      <x:c r="N173" s="5" t="n">
        <x:v>17</x:v>
      </x:c>
      <x:c r="O173" s="5" t="str"/>
      <x:c r="P173" s="5" t="str">
        <x:v>Zuordnungsvorschlag; Fachfreigabe ausstehend</x:v>
      </x:c>
      <x:c r="Q173" s="5" t="str">
        <x:v>Bestehendes Lernthema fachlich unter passendem Rahmenplan-Unterbereich behalten</x:v>
      </x:c>
      <x:c r="R173" s="5" t="str">
        <x:v>Das Angebot für ein Gut erhöht sich, die Nachfrage bleibt konstant. Stellen Sie die Veränderung in einem Preis-Mengen-Diagramm dar: Zeichnen Sie die ursprüngliche Angebots- und Nachfragekurve, verschieben Sie die Angebotskurve entsprechend und kennzeichnen Sie das neue Gleichgewicht. Erläutern Sie anschließend die Auswirkung auf Gleichgewichtspreis und Gleichgewichtsmenge.</x:v>
      </x:c>
      <x:c r="S173" s="5" t="str">
        <x:v>a80e0425493d758e50c5c1a05a2d4a65bf47938bc84a9347999812251e11b8fe</x:v>
      </x:c>
    </x:row>
    <x:row r="174" ht="36" customHeight="1">
      <x:c r="A174" s="5" t="str">
        <x:v>VWL-0042</x:v>
      </x:c>
      <x:c r="B174" s="5" t="str">
        <x:v>WQ</x:v>
      </x:c>
      <x:c r="C174" s="5" t="str">
        <x:v>1</x:v>
      </x:c>
      <x:c r="D174" s="5" t="str">
        <x:v>Volks- und Betriebswirtschaft</x:v>
      </x:c>
      <x:c r="E174" s="5" t="str">
        <x:v>VWL</x:v>
      </x:c>
      <x:c r="F174" s="5" t="str">
        <x:v>ui-wq-0001</x:v>
      </x:c>
      <x:c r="G174" s="5" t="str">
        <x:v>Volkswirtschaftliche Grundlagen</x:v>
      </x:c>
      <x:c r="H174" s="5" t="str">
        <x:v>dg-wq-0057</x:v>
      </x:c>
      <x:c r="I174" s="5" t="str">
        <x:v>1.1.1.1#2</x:v>
      </x:c>
      <x:c r="J174" s="5" t="str">
        <x:v>Preisbildung bei unvollständiger Konkurrenz</x:v>
      </x:c>
      <x:c r="K174" s="5" t="str"/>
      <x:c r="L174" s="5" t="str">
        <x:v>Marktformen, Angebot, Nachfrage &amp; Preisbildung</x:v>
      </x:c>
      <x:c r="M174" s="5" t="n">
        <x:v>42</x:v>
      </x:c>
      <x:c r="N174" s="5" t="n">
        <x:v>18</x:v>
      </x:c>
      <x:c r="O174" s="5" t="str"/>
      <x:c r="P174" s="5" t="str">
        <x:v>Zuordnungsvorschlag; Fachfreigabe ausstehend</x:v>
      </x:c>
      <x:c r="Q174" s="5" t="str">
        <x:v>Bestehendes Lernthema fachlich unter passendem Rahmenplan-Unterbereich behalten</x:v>
      </x:c>
      <x:c r="R174" s="5" t="str">
        <x:v>Kreuzen Sie an, welche Einteilung der Preisbildung in den jeweiligen Marktformen zuzuordnen ist: Angebotsmonopol, Nachfragemonopol, Angebotsoligopol oder Nachfrageoligopol.</x:v>
      </x:c>
      <x:c r="S174" s="5" t="str">
        <x:v>9abc8228a49d27d88b4dc5cb234ff6df96e282308c6152f55a337a8e1b959e43</x:v>
      </x:c>
    </x:row>
    <x:row r="175" ht="36" customHeight="1">
      <x:c r="A175" s="5" t="str">
        <x:v>VWL-0043</x:v>
      </x:c>
      <x:c r="B175" s="5" t="str">
        <x:v>WQ</x:v>
      </x:c>
      <x:c r="C175" s="5" t="str">
        <x:v>1</x:v>
      </x:c>
      <x:c r="D175" s="5" t="str">
        <x:v>Volks- und Betriebswirtschaft</x:v>
      </x:c>
      <x:c r="E175" s="5" t="str">
        <x:v>VWL</x:v>
      </x:c>
      <x:c r="F175" s="5" t="str">
        <x:v>ui-wq-0001</x:v>
      </x:c>
      <x:c r="G175" s="5" t="str">
        <x:v>Volkswirtschaftliche Grundlagen</x:v>
      </x:c>
      <x:c r="H175" s="5" t="str">
        <x:v>dg-wq-0057</x:v>
      </x:c>
      <x:c r="I175" s="5" t="str">
        <x:v>1.1.1.1</x:v>
      </x:c>
      <x:c r="J175" s="5" t="str">
        <x:v>Preisbildung auf den unterschiedlichen Märkten</x:v>
      </x:c>
      <x:c r="K175" s="5" t="str"/>
      <x:c r="L175" s="5" t="str">
        <x:v>Marktformen, Angebot, Nachfrage &amp; Preisbildung</x:v>
      </x:c>
      <x:c r="M175" s="5" t="n">
        <x:v>43</x:v>
      </x:c>
      <x:c r="N175" s="5" t="n">
        <x:v>19</x:v>
      </x:c>
      <x:c r="O175" s="5" t="str"/>
      <x:c r="P175" s="5" t="str">
        <x:v>Zuordnungsvorschlag; Fachfreigabe ausstehend</x:v>
      </x:c>
      <x:c r="Q175" s="5" t="str">
        <x:v>Bestehendes Lernthema fachlich unter passendem Rahmenplan-Unterbereich behalten</x:v>
      </x:c>
      <x:c r="R175" s="5" t="str">
        <x:v>Verbinden Sie die Kriterien der Preisdifferenzierung mit den richtigen Erläuterungen.</x:v>
      </x:c>
      <x:c r="S175" s="5" t="str">
        <x:v>7b16bbcb08c1059495e4bdb4c2ff20279829f387e4eb6ef20ecf8eadc28eb931</x:v>
      </x:c>
    </x:row>
    <x:row r="176" ht="36" customHeight="1">
      <x:c r="A176" s="5" t="str">
        <x:v>VWL-0044</x:v>
      </x:c>
      <x:c r="B176" s="5" t="str">
        <x:v>WQ</x:v>
      </x:c>
      <x:c r="C176" s="5" t="str">
        <x:v>1</x:v>
      </x:c>
      <x:c r="D176" s="5" t="str">
        <x:v>Volks- und Betriebswirtschaft</x:v>
      </x:c>
      <x:c r="E176" s="5" t="str">
        <x:v>VWL</x:v>
      </x:c>
      <x:c r="F176" s="5" t="str">
        <x:v>ui-wq-0001</x:v>
      </x:c>
      <x:c r="G176" s="5" t="str">
        <x:v>Volkswirtschaftliche Grundlagen</x:v>
      </x:c>
      <x:c r="H176" s="5" t="str">
        <x:v>dg-wq-0058</x:v>
      </x:c>
      <x:c r="I176" s="5" t="str">
        <x:v>1.1.1.2#1</x:v>
      </x:c>
      <x:c r="J176" s="5" t="str">
        <x:v>Funktionen des Wettbewerbs</x:v>
      </x:c>
      <x:c r="K176" s="5" t="str"/>
      <x:c r="L176" s="5" t="str">
        <x:v>Wettbewerbspolitik &amp; staatliche Markteingriffe</x:v>
      </x:c>
      <x:c r="M176" s="5" t="n">
        <x:v>44</x:v>
      </x:c>
      <x:c r="N176" s="5" t="n">
        <x:v>1</x:v>
      </x:c>
      <x:c r="O176" s="5" t="str"/>
      <x:c r="P176" s="5" t="str">
        <x:v>Zuordnungsvorschlag; Fachfreigabe ausstehend</x:v>
      </x:c>
      <x:c r="Q176" s="5" t="str">
        <x:v>Bestehendes Lernthema fachlich unter passendem Rahmenplan-Unterbereich behalten</x:v>
      </x:c>
      <x:c r="R176" s="5" t="str">
        <x:v>Erläutern Sie die zentralen Funktionen des Wettbewerbs. Ordnen Sie dabei Koordinations-, Anpassungs- und Allokationsfunktion der Steuerungsfunktion zu.</x:v>
      </x:c>
      <x:c r="S176" s="5" t="str">
        <x:v>50dfb6d56cd25557036789ec9db3f3df885860897995f8747410cca96f2c2e5b</x:v>
      </x:c>
    </x:row>
    <x:row r="177" ht="36" customHeight="1">
      <x:c r="A177" s="5" t="str">
        <x:v>VWL-0045</x:v>
      </x:c>
      <x:c r="B177" s="5" t="str">
        <x:v>WQ</x:v>
      </x:c>
      <x:c r="C177" s="5" t="str">
        <x:v>1</x:v>
      </x:c>
      <x:c r="D177" s="5" t="str">
        <x:v>Volks- und Betriebswirtschaft</x:v>
      </x:c>
      <x:c r="E177" s="5" t="str">
        <x:v>VWL</x:v>
      </x:c>
      <x:c r="F177" s="5" t="str">
        <x:v>ui-wq-0001</x:v>
      </x:c>
      <x:c r="G177" s="5" t="str">
        <x:v>Volkswirtschaftliche Grundlagen</x:v>
      </x:c>
      <x:c r="H177" s="5" t="str">
        <x:v>dg-wq-0058</x:v>
      </x:c>
      <x:c r="I177" s="5" t="str">
        <x:v>1.1.1.2#1</x:v>
      </x:c>
      <x:c r="J177" s="5" t="str">
        <x:v>Funktionen des Wettbewerbs</x:v>
      </x:c>
      <x:c r="K177" s="5" t="str"/>
      <x:c r="L177" s="5" t="str">
        <x:v>Wettbewerbspolitik &amp; staatliche Markteingriffe</x:v>
      </x:c>
      <x:c r="M177" s="5" t="n">
        <x:v>45</x:v>
      </x:c>
      <x:c r="N177" s="5" t="n">
        <x:v>2</x:v>
      </x:c>
      <x:c r="O177" s="5" t="str"/>
      <x:c r="P177" s="5" t="str">
        <x:v>Zuordnungsvorschlag; Fachfreigabe ausstehend</x:v>
      </x:c>
      <x:c r="Q177" s="5" t="str">
        <x:v>Bestehendes Lernthema fachlich unter passendem Rahmenplan-Unterbereich behalten</x:v>
      </x:c>
      <x:c r="R177" s="5" t="str">
        <x:v>Durch welche vier Bestimmungen kann das Gesetz gegen Wettbewerbsbeschränkungen den Wettbewerb gewährleisten?</x:v>
      </x:c>
      <x:c r="S177" s="5" t="str">
        <x:v>10522fbd6cbef578b1e358cc47650bf78028f24532d610b7c8dda3d10d286ff2</x:v>
      </x:c>
    </x:row>
    <x:row r="178" ht="36" customHeight="1">
      <x:c r="A178" s="5" t="str">
        <x:v>VWL-0046</x:v>
      </x:c>
      <x:c r="B178" s="5" t="str">
        <x:v>WQ</x:v>
      </x:c>
      <x:c r="C178" s="5" t="str">
        <x:v>1</x:v>
      </x:c>
      <x:c r="D178" s="5" t="str">
        <x:v>Volks- und Betriebswirtschaft</x:v>
      </x:c>
      <x:c r="E178" s="5" t="str">
        <x:v>VWL</x:v>
      </x:c>
      <x:c r="F178" s="5" t="str">
        <x:v>ui-wq-0001</x:v>
      </x:c>
      <x:c r="G178" s="5" t="str">
        <x:v>Volkswirtschaftliche Grundlagen</x:v>
      </x:c>
      <x:c r="H178" s="5" t="str">
        <x:v>dg-wq-0058</x:v>
      </x:c>
      <x:c r="I178" s="5" t="str">
        <x:v>1.1.1.2</x:v>
      </x:c>
      <x:c r="J178" s="5" t="str">
        <x:v>Wettbewerbspolitik</x:v>
      </x:c>
      <x:c r="K178" s="5" t="str"/>
      <x:c r="L178" s="5" t="str">
        <x:v>Wettbewerbspolitik &amp; staatliche Markteingriffe</x:v>
      </x:c>
      <x:c r="M178" s="5" t="n">
        <x:v>46</x:v>
      </x:c>
      <x:c r="N178" s="5" t="n">
        <x:v>3</x:v>
      </x:c>
      <x:c r="O178" s="5" t="str"/>
      <x:c r="P178" s="5" t="str">
        <x:v>Zuordnungsvorschlag; Fachfreigabe ausstehend</x:v>
      </x:c>
      <x:c r="Q178" s="5" t="str">
        <x:v>Bestehendes Lernthema fachlich unter passendem Rahmenplan-Unterbereich behalten</x:v>
      </x:c>
      <x:c r="R178" s="5" t="str">
        <x:v>Kreuzen Sie an, welche Einrichtung in Deutschland für die Umsetzung der Wettbewerbspolitik zuständig ist.</x:v>
      </x:c>
      <x:c r="S178" s="5" t="str">
        <x:v>c3a2ec280638f8a57edc669dbfabbe3ba78761f6ab0ab50f8024792f6cfd9652</x:v>
      </x:c>
    </x:row>
    <x:row r="179" ht="36" customHeight="1">
      <x:c r="A179" s="5" t="str">
        <x:v>VWL-0047</x:v>
      </x:c>
      <x:c r="B179" s="5" t="str">
        <x:v>WQ</x:v>
      </x:c>
      <x:c r="C179" s="5" t="str">
        <x:v>1</x:v>
      </x:c>
      <x:c r="D179" s="5" t="str">
        <x:v>Volks- und Betriebswirtschaft</x:v>
      </x:c>
      <x:c r="E179" s="5" t="str">
        <x:v>VWL</x:v>
      </x:c>
      <x:c r="F179" s="5" t="str">
        <x:v>ui-wq-0001</x:v>
      </x:c>
      <x:c r="G179" s="5" t="str">
        <x:v>Volkswirtschaftliche Grundlagen</x:v>
      </x:c>
      <x:c r="H179" s="5" t="str">
        <x:v>dg-wq-0058</x:v>
      </x:c>
      <x:c r="I179" s="5" t="str">
        <x:v>1.1.1.2</x:v>
      </x:c>
      <x:c r="J179" s="5" t="str">
        <x:v>Wettbewerbspolitik</x:v>
      </x:c>
      <x:c r="K179" s="5" t="str"/>
      <x:c r="L179" s="5" t="str">
        <x:v>Wettbewerbspolitik &amp; staatliche Markteingriffe</x:v>
      </x:c>
      <x:c r="M179" s="5" t="n">
        <x:v>47</x:v>
      </x:c>
      <x:c r="N179" s="5" t="n">
        <x:v>4</x:v>
      </x:c>
      <x:c r="O179" s="5" t="str"/>
      <x:c r="P179" s="5" t="str">
        <x:v>Zuordnungsvorschlag; Fachfreigabe ausstehend</x:v>
      </x:c>
      <x:c r="Q179" s="5" t="str">
        <x:v>Bestehendes Lernthema fachlich unter passendem Rahmenplan-Unterbereich behalten</x:v>
      </x:c>
      <x:c r="R179" s="5" t="str">
        <x:v>Beschreiben Sie, wie der Staat durch Steuern und Subventionen in einen Markt eingreifen kann.</x:v>
      </x:c>
      <x:c r="S179" s="5" t="str">
        <x:v>90bd11a22b9fe72be448212dbd9e3eefd106fc2d0c220070b7386dcb0f7930d4</x:v>
      </x:c>
    </x:row>
    <x:row r="180" ht="36" customHeight="1">
      <x:c r="A180" s="5" t="str">
        <x:v>VWL-0048</x:v>
      </x:c>
      <x:c r="B180" s="5" t="str">
        <x:v>WQ</x:v>
      </x:c>
      <x:c r="C180" s="5" t="str">
        <x:v>1</x:v>
      </x:c>
      <x:c r="D180" s="5" t="str">
        <x:v>Volks- und Betriebswirtschaft</x:v>
      </x:c>
      <x:c r="E180" s="5" t="str">
        <x:v>VWL</x:v>
      </x:c>
      <x:c r="F180" s="5" t="str">
        <x:v>ui-wq-0001</x:v>
      </x:c>
      <x:c r="G180" s="5" t="str">
        <x:v>Volkswirtschaftliche Grundlagen</x:v>
      </x:c>
      <x:c r="H180" s="5" t="str">
        <x:v>dg-wq-0058</x:v>
      </x:c>
      <x:c r="I180" s="5" t="str">
        <x:v>1.1.1.2</x:v>
      </x:c>
      <x:c r="J180" s="5" t="str">
        <x:v>Wettbewerbspolitik</x:v>
      </x:c>
      <x:c r="K180" s="5" t="str"/>
      <x:c r="L180" s="5" t="str">
        <x:v>Wettbewerbspolitik &amp; staatliche Markteingriffe</x:v>
      </x:c>
      <x:c r="M180" s="5" t="n">
        <x:v>48</x:v>
      </x:c>
      <x:c r="N180" s="5" t="n">
        <x:v>5</x:v>
      </x:c>
      <x:c r="O180" s="5" t="str"/>
      <x:c r="P180" s="5" t="str">
        <x:v>Zuordnungsvorschlag; Fachfreigabe ausstehend</x:v>
      </x:c>
      <x:c r="Q180" s="5" t="str">
        <x:v>Bestehendes Lernthema fachlich unter passendem Rahmenplan-Unterbereich behalten</x:v>
      </x:c>
      <x:c r="R180" s="5" t="str">
        <x:v>In einem Markt liegt der Gleichgewichtspreis bei 150 € und die Gleichgewichtsmenge bei 20 kg. Der Staat setzt einen Höchstpreis von 75 € fest. Bei diesem Preis werden 5 kg angeboten und 35 kg nachgefragt. Bestimmen Sie Höchstpreis, Gleichgewichtsmenge, Angebots- und Nachfragemenge sowie die entstehende Angebotslücke.</x:v>
      </x:c>
      <x:c r="S180" s="5" t="str">
        <x:v>0b71e581f8959b95f989ed31f798f8bd62224c0f6eb84de70cf4f19509955c50</x:v>
      </x:c>
    </x:row>
    <x:row r="181" ht="36" customHeight="1">
      <x:c r="A181" s="5" t="str">
        <x:v>VWL-0049</x:v>
      </x:c>
      <x:c r="B181" s="5" t="str">
        <x:v>WQ</x:v>
      </x:c>
      <x:c r="C181" s="5" t="str">
        <x:v>1</x:v>
      </x:c>
      <x:c r="D181" s="5" t="str">
        <x:v>Volks- und Betriebswirtschaft</x:v>
      </x:c>
      <x:c r="E181" s="5" t="str">
        <x:v>VWL</x:v>
      </x:c>
      <x:c r="F181" s="5" t="str">
        <x:v>ui-wq-0001</x:v>
      </x:c>
      <x:c r="G181" s="5" t="str">
        <x:v>Volkswirtschaftliche Grundlagen</x:v>
      </x:c>
      <x:c r="H181" s="5" t="str">
        <x:v>dg-wq-0058</x:v>
      </x:c>
      <x:c r="I181" s="5" t="str">
        <x:v>1.1.1.2</x:v>
      </x:c>
      <x:c r="J181" s="5" t="str">
        <x:v>Wettbewerbspolitik</x:v>
      </x:c>
      <x:c r="K181" s="5" t="str"/>
      <x:c r="L181" s="5" t="str">
        <x:v>Wettbewerbspolitik &amp; staatliche Markteingriffe</x:v>
      </x:c>
      <x:c r="M181" s="5" t="n">
        <x:v>49</x:v>
      </x:c>
      <x:c r="N181" s="5" t="n">
        <x:v>6</x:v>
      </x:c>
      <x:c r="O181" s="5" t="str"/>
      <x:c r="P181" s="5" t="str">
        <x:v>Zuordnungsvorschlag; Fachfreigabe ausstehend</x:v>
      </x:c>
      <x:c r="Q181" s="5" t="str">
        <x:v>Bestehendes Lernthema fachlich unter passendem Rahmenplan-Unterbereich behalten</x:v>
      </x:c>
      <x:c r="R181" s="5" t="str">
        <x:v>Warum kann der Staat einen Höchstpreis festsetzen und welche Marktfolge entsteht, wenn dieser unterhalb des Gleichgewichtspreises liegt?</x:v>
      </x:c>
      <x:c r="S181" s="5" t="str">
        <x:v>64c776af960bca9b6854f63c8db78f008f81155f7b8f42b9d661b508336667d1</x:v>
      </x:c>
    </x:row>
    <x:row r="182" ht="36" customHeight="1">
      <x:c r="A182" s="5" t="str">
        <x:v>VWL-0050</x:v>
      </x:c>
      <x:c r="B182" s="5" t="str">
        <x:v>WQ</x:v>
      </x:c>
      <x:c r="C182" s="5" t="str">
        <x:v>1</x:v>
      </x:c>
      <x:c r="D182" s="5" t="str">
        <x:v>Volks- und Betriebswirtschaft</x:v>
      </x:c>
      <x:c r="E182" s="5" t="str">
        <x:v>VWL</x:v>
      </x:c>
      <x:c r="F182" s="5" t="str">
        <x:v>ui-wq-0001</x:v>
      </x:c>
      <x:c r="G182" s="5" t="str">
        <x:v>Volkswirtschaftliche Grundlagen</x:v>
      </x:c>
      <x:c r="H182" s="5" t="str">
        <x:v>dg-wq-0058</x:v>
      </x:c>
      <x:c r="I182" s="5" t="str">
        <x:v>1.1.1.2</x:v>
      </x:c>
      <x:c r="J182" s="5" t="str">
        <x:v>Wettbewerbspolitik</x:v>
      </x:c>
      <x:c r="K182" s="5" t="str"/>
      <x:c r="L182" s="5" t="str">
        <x:v>Wettbewerbspolitik &amp; staatliche Markteingriffe</x:v>
      </x:c>
      <x:c r="M182" s="5" t="n">
        <x:v>50</x:v>
      </x:c>
      <x:c r="N182" s="5" t="n">
        <x:v>7</x:v>
      </x:c>
      <x:c r="O182" s="5" t="str"/>
      <x:c r="P182" s="5" t="str">
        <x:v>Zuordnungsvorschlag; Fachfreigabe ausstehend</x:v>
      </x:c>
      <x:c r="Q182" s="5" t="str">
        <x:v>Bestehendes Lernthema fachlich unter passendem Rahmenplan-Unterbereich behalten</x:v>
      </x:c>
      <x:c r="R182" s="5" t="str">
        <x:v>Nennen Sie Gründe, warum staatliche Höchstpreise in der Praxis ihre gewünschte Wirkung nur teilweise erreichen können.</x:v>
      </x:c>
      <x:c r="S182" s="5" t="str">
        <x:v>db27d2c0a2c34a566c4f982376e50ccf4c7c81fab2e781904beff8b2992e113b</x:v>
      </x:c>
    </x:row>
    <x:row r="183" ht="36" customHeight="1">
      <x:c r="A183" s="5" t="str">
        <x:v>VWL-0051</x:v>
      </x:c>
      <x:c r="B183" s="5" t="str">
        <x:v>WQ</x:v>
      </x:c>
      <x:c r="C183" s="5" t="str">
        <x:v>1</x:v>
      </x:c>
      <x:c r="D183" s="5" t="str">
        <x:v>Volks- und Betriebswirtschaft</x:v>
      </x:c>
      <x:c r="E183" s="5" t="str">
        <x:v>VWL</x:v>
      </x:c>
      <x:c r="F183" s="5" t="str">
        <x:v>ui-wq-0001</x:v>
      </x:c>
      <x:c r="G183" s="5" t="str">
        <x:v>Volkswirtschaftliche Grundlagen</x:v>
      </x:c>
      <x:c r="H183" s="5" t="str">
        <x:v>dg-wq-0058</x:v>
      </x:c>
      <x:c r="I183" s="5" t="str">
        <x:v>1.1.1.2</x:v>
      </x:c>
      <x:c r="J183" s="5" t="str">
        <x:v>Wettbewerbspolitik</x:v>
      </x:c>
      <x:c r="K183" s="5" t="str"/>
      <x:c r="L183" s="5" t="str">
        <x:v>Wettbewerbspolitik &amp; staatliche Markteingriffe</x:v>
      </x:c>
      <x:c r="M183" s="5" t="n">
        <x:v>51</x:v>
      </x:c>
      <x:c r="N183" s="5" t="n">
        <x:v>8</x:v>
      </x:c>
      <x:c r="O183" s="5" t="str"/>
      <x:c r="P183" s="5" t="str">
        <x:v>Zuordnungsvorschlag; Fachfreigabe ausstehend</x:v>
      </x:c>
      <x:c r="Q183" s="5" t="str">
        <x:v>Bestehendes Lernthema fachlich unter passendem Rahmenplan-Unterbereich behalten</x:v>
      </x:c>
      <x:c r="R183" s="5" t="str">
        <x:v>Bewerten Sie die Aussagen zu Mindestpreisen und Markteintrittsbarrieren als richtig oder falsch.</x:v>
      </x:c>
      <x:c r="S183" s="5" t="str">
        <x:v>bd0c352d02e7f22fd8b15b6b057af27ad0c395251c6a4d8b1c12df96b555d808</x:v>
      </x:c>
    </x:row>
    <x:row r="184" ht="36" customHeight="1">
      <x:c r="A184" s="5" t="str">
        <x:v>VWL-0052</x:v>
      </x:c>
      <x:c r="B184" s="5" t="str">
        <x:v>WQ</x:v>
      </x:c>
      <x:c r="C184" s="5" t="str">
        <x:v>1</x:v>
      </x:c>
      <x:c r="D184" s="5" t="str">
        <x:v>Volks- und Betriebswirtschaft</x:v>
      </x:c>
      <x:c r="E184" s="5" t="str">
        <x:v>VWL</x:v>
      </x:c>
      <x:c r="F184" s="5" t="str">
        <x:v>ui-wq-0001</x:v>
      </x:c>
      <x:c r="G184" s="5" t="str">
        <x:v>Volkswirtschaftliche Grundlagen</x:v>
      </x:c>
      <x:c r="H184" s="5" t="str">
        <x:v>dg-wq-0059</x:v>
      </x:c>
      <x:c r="I184" s="5" t="str">
        <x:v>1.1.2</x:v>
      </x:c>
      <x:c r="J184" s="5" t="str">
        <x:v>Volkswirtschaftliche Gesamtrechnung</x:v>
      </x:c>
      <x:c r="K184" s="5" t="str"/>
      <x:c r="L184" s="5" t="str">
        <x:v>VGR &amp; Einkommensverteilung</x:v>
      </x:c>
      <x:c r="M184" s="5" t="n">
        <x:v>52</x:v>
      </x:c>
      <x:c r="N184" s="5" t="n">
        <x:v>1</x:v>
      </x:c>
      <x:c r="O184" s="5" t="str"/>
      <x:c r="P184" s="5" t="str">
        <x:v>Zuordnungsvorschlag; Fachfreigabe ausstehend</x:v>
      </x:c>
      <x:c r="Q184" s="5" t="str">
        <x:v>Bestehendes Lernthema fachlich unter passendem Rahmenplan-Unterbereich behalten</x:v>
      </x:c>
      <x:c r="R184" s="5" t="str">
        <x:v>Nennen Sie mindestens fünf Zwecke, für die Daten der Volkswirtschaftlichen Gesamtrechnungen (VGR) benötigt werden.</x:v>
      </x:c>
      <x:c r="S184" s="5" t="str">
        <x:v>31fa006e3ff78c3f2ea3418d03563f321c2d6b3c3760aaa74d75c574a6175ac3</x:v>
      </x:c>
    </x:row>
    <x:row r="185" ht="36" customHeight="1">
      <x:c r="A185" s="5" t="str">
        <x:v>VWL-0053</x:v>
      </x:c>
      <x:c r="B185" s="5" t="str">
        <x:v>WQ</x:v>
      </x:c>
      <x:c r="C185" s="5" t="str">
        <x:v>1</x:v>
      </x:c>
      <x:c r="D185" s="5" t="str">
        <x:v>Volks- und Betriebswirtschaft</x:v>
      </x:c>
      <x:c r="E185" s="5" t="str">
        <x:v>VWL</x:v>
      </x:c>
      <x:c r="F185" s="5" t="str">
        <x:v>ui-wq-0001</x:v>
      </x:c>
      <x:c r="G185" s="5" t="str">
        <x:v>Volkswirtschaftliche Grundlagen</x:v>
      </x:c>
      <x:c r="H185" s="5" t="str">
        <x:v>dg-wq-0059</x:v>
      </x:c>
      <x:c r="I185" s="5" t="str">
        <x:v>1.1.2</x:v>
      </x:c>
      <x:c r="J185" s="5" t="str">
        <x:v>Volkswirtschaftliche Gesamtrechnung</x:v>
      </x:c>
      <x:c r="K185" s="5" t="str"/>
      <x:c r="L185" s="5" t="str">
        <x:v>VGR &amp; Einkommensverteilung</x:v>
      </x:c>
      <x:c r="M185" s="5" t="n">
        <x:v>53</x:v>
      </x:c>
      <x:c r="N185" s="5" t="n">
        <x:v>2</x:v>
      </x:c>
      <x:c r="O185" s="5" t="str"/>
      <x:c r="P185" s="5" t="str">
        <x:v>Zuordnungsvorschlag; Fachfreigabe ausstehend</x:v>
      </x:c>
      <x:c r="Q185" s="5" t="str">
        <x:v>Bestehendes Lernthema fachlich unter passendem Rahmenplan-Unterbereich behalten</x:v>
      </x:c>
      <x:c r="R185" s="5" t="str">
        <x:v>Worin unterscheiden sich Entstehungs-, Verwendungs- und Verteilungsrechnung der gesamtwirtschaftlichen Leistung?</x:v>
      </x:c>
      <x:c r="S185" s="5" t="str">
        <x:v>b013c35897dad6bc66935ab8f11d5c371fdc857f8878cce8f938dcba32b7b077</x:v>
      </x:c>
    </x:row>
    <x:row r="186" ht="36" customHeight="1">
      <x:c r="A186" s="5" t="str">
        <x:v>VWL-0054</x:v>
      </x:c>
      <x:c r="B186" s="5" t="str">
        <x:v>WQ</x:v>
      </x:c>
      <x:c r="C186" s="5" t="str">
        <x:v>1</x:v>
      </x:c>
      <x:c r="D186" s="5" t="str">
        <x:v>Volks- und Betriebswirtschaft</x:v>
      </x:c>
      <x:c r="E186" s="5" t="str">
        <x:v>VWL</x:v>
      </x:c>
      <x:c r="F186" s="5" t="str">
        <x:v>ui-wq-0001</x:v>
      </x:c>
      <x:c r="G186" s="5" t="str">
        <x:v>Volkswirtschaftliche Grundlagen</x:v>
      </x:c>
      <x:c r="H186" s="5" t="str">
        <x:v>dg-wq-0059</x:v>
      </x:c>
      <x:c r="I186" s="5" t="str">
        <x:v>1.1.2.1</x:v>
      </x:c>
      <x:c r="J186" s="5" t="str">
        <x:v>Bruttoinlandsprodukt und Bruttonationaleinkommen</x:v>
      </x:c>
      <x:c r="K186" s="5" t="str"/>
      <x:c r="L186" s="5" t="str">
        <x:v>VGR &amp; Einkommensverteilung</x:v>
      </x:c>
      <x:c r="M186" s="5" t="n">
        <x:v>54</x:v>
      </x:c>
      <x:c r="N186" s="5" t="n">
        <x:v>3</x:v>
      </x:c>
      <x:c r="O186" s="5" t="str"/>
      <x:c r="P186" s="5" t="str">
        <x:v>Zuordnungsvorschlag; Fachfreigabe ausstehend</x:v>
      </x:c>
      <x:c r="Q186" s="5" t="str">
        <x:v>Bestehendes Lernthema fachlich unter passendem Rahmenplan-Unterbereich behalten</x:v>
      </x:c>
      <x:c r="R186" s="5" t="str">
        <x:v>Unterscheiden Sie Bruttoinlandsprodukt (BIP) und Bruttonationaleinkommen (BNE).</x:v>
      </x:c>
      <x:c r="S186" s="5" t="str">
        <x:v>4e95181766fa748fa5939c89fa83b28736b7c2e936c0017a2ca1a1a5fa721524</x:v>
      </x:c>
    </x:row>
    <x:row r="187" ht="36" customHeight="1">
      <x:c r="A187" s="5" t="str">
        <x:v>VWL-0055</x:v>
      </x:c>
      <x:c r="B187" s="5" t="str">
        <x:v>WQ</x:v>
      </x:c>
      <x:c r="C187" s="5" t="str">
        <x:v>1</x:v>
      </x:c>
      <x:c r="D187" s="5" t="str">
        <x:v>Volks- und Betriebswirtschaft</x:v>
      </x:c>
      <x:c r="E187" s="5" t="str">
        <x:v>VWL</x:v>
      </x:c>
      <x:c r="F187" s="5" t="str">
        <x:v>ui-wq-0001</x:v>
      </x:c>
      <x:c r="G187" s="5" t="str">
        <x:v>Volkswirtschaftliche Grundlagen</x:v>
      </x:c>
      <x:c r="H187" s="5" t="str">
        <x:v>dg-wq-0059</x:v>
      </x:c>
      <x:c r="I187" s="5" t="str">
        <x:v>1.1.2.1</x:v>
      </x:c>
      <x:c r="J187" s="5" t="str">
        <x:v>Bruttoinlandsprodukt und Bruttonationaleinkommen</x:v>
      </x:c>
      <x:c r="K187" s="5" t="str"/>
      <x:c r="L187" s="5" t="str">
        <x:v>VGR &amp; Einkommensverteilung</x:v>
      </x:c>
      <x:c r="M187" s="5" t="n">
        <x:v>55</x:v>
      </x:c>
      <x:c r="N187" s="5" t="n">
        <x:v>4</x:v>
      </x:c>
      <x:c r="O187" s="5" t="str"/>
      <x:c r="P187" s="5" t="str">
        <x:v>Zuordnungsvorschlag; Fachfreigabe ausstehend</x:v>
      </x:c>
      <x:c r="Q187" s="5" t="str">
        <x:v>Bestehendes Lernthema fachlich unter passendem Rahmenplan-Unterbereich behalten</x:v>
      </x:c>
      <x:c r="R187" s="5" t="str">
        <x:v>Wie wird vom Bruttoinlandsprodukt zum Bruttonationaleinkommen übergeleitet?</x:v>
      </x:c>
      <x:c r="S187" s="5" t="str">
        <x:v>e49609e48435dfe6c7337c1b7062d5ed9050344dcaaba1f3e3116c9d3d0ed587</x:v>
      </x:c>
    </x:row>
    <x:row r="188" ht="36" customHeight="1">
      <x:c r="A188" s="5" t="str">
        <x:v>VWL-0056</x:v>
      </x:c>
      <x:c r="B188" s="5" t="str">
        <x:v>WQ</x:v>
      </x:c>
      <x:c r="C188" s="5" t="str">
        <x:v>1</x:v>
      </x:c>
      <x:c r="D188" s="5" t="str">
        <x:v>Volks- und Betriebswirtschaft</x:v>
      </x:c>
      <x:c r="E188" s="5" t="str">
        <x:v>VWL</x:v>
      </x:c>
      <x:c r="F188" s="5" t="str">
        <x:v>ui-wq-0001</x:v>
      </x:c>
      <x:c r="G188" s="5" t="str">
        <x:v>Volkswirtschaftliche Grundlagen</x:v>
      </x:c>
      <x:c r="H188" s="5" t="str">
        <x:v>dg-wq-0059</x:v>
      </x:c>
      <x:c r="I188" s="5" t="str">
        <x:v>1.1.2</x:v>
      </x:c>
      <x:c r="J188" s="5" t="str">
        <x:v>Volkswirtschaftliche Gesamtrechnung</x:v>
      </x:c>
      <x:c r="K188" s="5" t="str"/>
      <x:c r="L188" s="5" t="str">
        <x:v>VGR &amp; Einkommensverteilung</x:v>
      </x:c>
      <x:c r="M188" s="5" t="n">
        <x:v>56</x:v>
      </x:c>
      <x:c r="N188" s="5" t="n">
        <x:v>5</x:v>
      </x:c>
      <x:c r="O188" s="5" t="str"/>
      <x:c r="P188" s="5" t="str">
        <x:v>Zuordnungsvorschlag; Fachfreigabe ausstehend</x:v>
      </x:c>
      <x:c r="Q188" s="5" t="str">
        <x:v>Bestehendes Lernthema fachlich unter passendem Rahmenplan-Unterbereich behalten</x:v>
      </x:c>
      <x:c r="R188" s="5" t="str">
        <x:v>Das nominale BIP steigt, während das reale BIP stagniert oder sinkt. Wie ist dieser Unterschied zu erklären?</x:v>
      </x:c>
      <x:c r="S188" s="5" t="str">
        <x:v>42680cc5d88f738f71e78d39c82d254d4a70e9fe9ea1b71f36ca5023cc08e09f</x:v>
      </x:c>
    </x:row>
    <x:row r="189" ht="36" customHeight="1">
      <x:c r="A189" s="5" t="str">
        <x:v>VWL-0057</x:v>
      </x:c>
      <x:c r="B189" s="5" t="str">
        <x:v>WQ</x:v>
      </x:c>
      <x:c r="C189" s="5" t="str">
        <x:v>1</x:v>
      </x:c>
      <x:c r="D189" s="5" t="str">
        <x:v>Volks- und Betriebswirtschaft</x:v>
      </x:c>
      <x:c r="E189" s="5" t="str">
        <x:v>VWL</x:v>
      </x:c>
      <x:c r="F189" s="5" t="str">
        <x:v>ui-wq-0001</x:v>
      </x:c>
      <x:c r="G189" s="5" t="str">
        <x:v>Volkswirtschaftliche Grundlagen</x:v>
      </x:c>
      <x:c r="H189" s="5" t="str">
        <x:v>dg-wq-0059</x:v>
      </x:c>
      <x:c r="I189" s="5" t="str">
        <x:v>1.1.2</x:v>
      </x:c>
      <x:c r="J189" s="5" t="str">
        <x:v>Volkswirtschaftliche Gesamtrechnung</x:v>
      </x:c>
      <x:c r="K189" s="5" t="str"/>
      <x:c r="L189" s="5" t="str">
        <x:v>VGR &amp; Einkommensverteilung</x:v>
      </x:c>
      <x:c r="M189" s="5" t="n">
        <x:v>57</x:v>
      </x:c>
      <x:c r="N189" s="5" t="n">
        <x:v>6</x:v>
      </x:c>
      <x:c r="O189" s="5" t="str"/>
      <x:c r="P189" s="5" t="str">
        <x:v>Zuordnungsvorschlag; Fachfreigabe ausstehend</x:v>
      </x:c>
      <x:c r="Q189" s="5" t="str">
        <x:v>Bestehendes Lernthema fachlich unter passendem Rahmenplan-Unterbereich behalten</x:v>
      </x:c>
      <x:c r="R189" s="5" t="str">
        <x:v>Wie sollten Konjunkturprognosen für BIP, Inflation, Arbeitslosigkeit und Staatsfinanzen interpretiert werden?</x:v>
      </x:c>
      <x:c r="S189" s="5" t="str">
        <x:v>f41597d3460bb9b9be594c41fd3e99020a74d63b87fbd3ee9285f22bb0d7c621</x:v>
      </x:c>
    </x:row>
    <x:row r="190" ht="36" customHeight="1">
      <x:c r="A190" s="5" t="str">
        <x:v>VWL-0058</x:v>
      </x:c>
      <x:c r="B190" s="5" t="str">
        <x:v>WQ</x:v>
      </x:c>
      <x:c r="C190" s="5" t="str">
        <x:v>1</x:v>
      </x:c>
      <x:c r="D190" s="5" t="str">
        <x:v>Volks- und Betriebswirtschaft</x:v>
      </x:c>
      <x:c r="E190" s="5" t="str">
        <x:v>VWL</x:v>
      </x:c>
      <x:c r="F190" s="5" t="str">
        <x:v>ui-wq-0001</x:v>
      </x:c>
      <x:c r="G190" s="5" t="str">
        <x:v>Volkswirtschaftliche Grundlagen</x:v>
      </x:c>
      <x:c r="H190" s="5" t="str">
        <x:v>dg-wq-0059</x:v>
      </x:c>
      <x:c r="I190" s="5" t="str">
        <x:v>1.1.2.1</x:v>
      </x:c>
      <x:c r="J190" s="5" t="str">
        <x:v>Bruttoinlandsprodukt und Bruttonationaleinkommen</x:v>
      </x:c>
      <x:c r="K190" s="5" t="str"/>
      <x:c r="L190" s="5" t="str">
        <x:v>VGR &amp; Einkommensverteilung</x:v>
      </x:c>
      <x:c r="M190" s="5" t="n">
        <x:v>58</x:v>
      </x:c>
      <x:c r="N190" s="5" t="n">
        <x:v>7</x:v>
      </x:c>
      <x:c r="O190" s="5" t="str"/>
      <x:c r="P190" s="5" t="str">
        <x:v>Zuordnungsvorschlag; Fachfreigabe ausstehend</x:v>
      </x:c>
      <x:c r="Q190" s="5" t="str">
        <x:v>Bestehendes Lernthema fachlich unter passendem Rahmenplan-Unterbereich behalten</x:v>
      </x:c>
      <x:c r="R190" s="5" t="str">
        <x:v>Wie wird das Nettoinlandsprodukt aus dem Bruttoinlandsprodukt berechnet?</x:v>
      </x:c>
      <x:c r="S190" s="5" t="str">
        <x:v>3322b1f0f753c4dc728ccb16699859b7c9ed3b9f969b826bb083db66ce600ac2</x:v>
      </x:c>
    </x:row>
    <x:row r="191" ht="36" customHeight="1">
      <x:c r="A191" s="5" t="str">
        <x:v>VWL-0059</x:v>
      </x:c>
      <x:c r="B191" s="5" t="str">
        <x:v>WQ</x:v>
      </x:c>
      <x:c r="C191" s="5" t="str">
        <x:v>1</x:v>
      </x:c>
      <x:c r="D191" s="5" t="str">
        <x:v>Volks- und Betriebswirtschaft</x:v>
      </x:c>
      <x:c r="E191" s="5" t="str">
        <x:v>VWL</x:v>
      </x:c>
      <x:c r="F191" s="5" t="str">
        <x:v>ui-wq-0001</x:v>
      </x:c>
      <x:c r="G191" s="5" t="str">
        <x:v>Volkswirtschaftliche Grundlagen</x:v>
      </x:c>
      <x:c r="H191" s="5" t="str">
        <x:v>dg-wq-0059</x:v>
      </x:c>
      <x:c r="I191" s="5" t="str">
        <x:v>1.1.2</x:v>
      </x:c>
      <x:c r="J191" s="5" t="str">
        <x:v>Volkswirtschaftliche Gesamtrechnung</x:v>
      </x:c>
      <x:c r="K191" s="5" t="str"/>
      <x:c r="L191" s="5" t="str">
        <x:v>VGR &amp; Einkommensverteilung</x:v>
      </x:c>
      <x:c r="M191" s="5" t="n">
        <x:v>59</x:v>
      </x:c>
      <x:c r="N191" s="5" t="n">
        <x:v>8</x:v>
      </x:c>
      <x:c r="O191" s="5" t="str"/>
      <x:c r="P191" s="5" t="str">
        <x:v>Zuordnungsvorschlag; Fachfreigabe ausstehend</x:v>
      </x:c>
      <x:c r="Q191" s="5" t="str">
        <x:v>Bestehendes Lernthema fachlich unter passendem Rahmenplan-Unterbereich behalten</x:v>
      </x:c>
      <x:c r="R191" s="5" t="str">
        <x:v>Worin unterscheiden sich nominales und reales BIP und welche Größe eignet sich besser zur Messung des Wirtschaftswachstums?</x:v>
      </x:c>
      <x:c r="S191" s="5" t="str">
        <x:v>f85b989ce40d23b1b9dfcfc325c0922233b985334c952e11f8d7e3300a67c64b</x:v>
      </x:c>
    </x:row>
    <x:row r="192" ht="36" customHeight="1">
      <x:c r="A192" s="5" t="str">
        <x:v>VWL-0060</x:v>
      </x:c>
      <x:c r="B192" s="5" t="str">
        <x:v>WQ</x:v>
      </x:c>
      <x:c r="C192" s="5" t="str">
        <x:v>1</x:v>
      </x:c>
      <x:c r="D192" s="5" t="str">
        <x:v>Volks- und Betriebswirtschaft</x:v>
      </x:c>
      <x:c r="E192" s="5" t="str">
        <x:v>VWL</x:v>
      </x:c>
      <x:c r="F192" s="5" t="str">
        <x:v>ui-wq-0001</x:v>
      </x:c>
      <x:c r="G192" s="5" t="str">
        <x:v>Volkswirtschaftliche Grundlagen</x:v>
      </x:c>
      <x:c r="H192" s="5" t="str">
        <x:v>dg-wq-0059</x:v>
      </x:c>
      <x:c r="I192" s="5" t="str">
        <x:v>1.1.2.2#1</x:v>
      </x:c>
      <x:c r="J192" s="5" t="str">
        <x:v>Lohn- und Gewinnquote</x:v>
      </x:c>
      <x:c r="K192" s="5" t="str"/>
      <x:c r="L192" s="5" t="str">
        <x:v>VGR &amp; Einkommensverteilung</x:v>
      </x:c>
      <x:c r="M192" s="5" t="n">
        <x:v>60</x:v>
      </x:c>
      <x:c r="N192" s="5" t="n">
        <x:v>9</x:v>
      </x:c>
      <x:c r="O192" s="5" t="str"/>
      <x:c r="P192" s="5" t="str">
        <x:v>Zuordnungsvorschlag; Fachfreigabe ausstehend</x:v>
      </x:c>
      <x:c r="Q192" s="5" t="str">
        <x:v>Bestehendes Lernthema fachlich unter passendem Rahmenplan-Unterbereich behalten</x:v>
      </x:c>
      <x:c r="R192" s="5" t="str">
        <x:v>Wie werden Lohnquote und Gewinnquote berechnet?</x:v>
      </x:c>
      <x:c r="S192" s="5" t="str">
        <x:v>e8c2db53aee00c91a2cac73e063415d778098898606731c691d68f5455b1ba2f</x:v>
      </x:c>
    </x:row>
    <x:row r="193" ht="36" customHeight="1">
      <x:c r="A193" s="5" t="str">
        <x:v>VWL-0061</x:v>
      </x:c>
      <x:c r="B193" s="5" t="str">
        <x:v>WQ</x:v>
      </x:c>
      <x:c r="C193" s="5" t="str">
        <x:v>1</x:v>
      </x:c>
      <x:c r="D193" s="5" t="str">
        <x:v>Volks- und Betriebswirtschaft</x:v>
      </x:c>
      <x:c r="E193" s="5" t="str">
        <x:v>VWL</x:v>
      </x:c>
      <x:c r="F193" s="5" t="str">
        <x:v>ui-wq-0001</x:v>
      </x:c>
      <x:c r="G193" s="5" t="str">
        <x:v>Volkswirtschaftliche Grundlagen</x:v>
      </x:c>
      <x:c r="H193" s="5" t="str">
        <x:v>dg-wq-0059</x:v>
      </x:c>
      <x:c r="I193" s="5" t="str">
        <x:v>1.1.2</x:v>
      </x:c>
      <x:c r="J193" s="5" t="str">
        <x:v>Volkswirtschaftliche Gesamtrechnung</x:v>
      </x:c>
      <x:c r="K193" s="5" t="str"/>
      <x:c r="L193" s="5" t="str">
        <x:v>VGR &amp; Einkommensverteilung</x:v>
      </x:c>
      <x:c r="M193" s="5" t="n">
        <x:v>61</x:v>
      </x:c>
      <x:c r="N193" s="5" t="n">
        <x:v>10</x:v>
      </x:c>
      <x:c r="O193" s="5" t="str"/>
      <x:c r="P193" s="5" t="str">
        <x:v>Zuordnungsvorschlag; Fachfreigabe ausstehend</x:v>
      </x:c>
      <x:c r="Q193" s="5" t="str">
        <x:v>Bestehendes Lernthema fachlich unter passendem Rahmenplan-Unterbereich behalten</x:v>
      </x:c>
      <x:c r="R193" s="5" t="str">
        <x:v>Nennen Sie mindestens fünf typische Sozialleistungen, die ein privater Haushalt vom Staat erhalten kann.</x:v>
      </x:c>
      <x:c r="S193" s="5" t="str">
        <x:v>7162214b5163a8dd2332ea9eb5de54fc409d1f04aafa351b3ec8f3087e3d88e8</x:v>
      </x:c>
    </x:row>
    <x:row r="194" ht="36" customHeight="1">
      <x:c r="A194" s="5" t="str">
        <x:v>VWL-0062</x:v>
      </x:c>
      <x:c r="B194" s="5" t="str">
        <x:v>WQ</x:v>
      </x:c>
      <x:c r="C194" s="5" t="str">
        <x:v>1</x:v>
      </x:c>
      <x:c r="D194" s="5" t="str">
        <x:v>Volks- und Betriebswirtschaft</x:v>
      </x:c>
      <x:c r="E194" s="5" t="str">
        <x:v>VWL</x:v>
      </x:c>
      <x:c r="F194" s="5" t="str">
        <x:v>ui-wq-0001</x:v>
      </x:c>
      <x:c r="G194" s="5" t="str">
        <x:v>Volkswirtschaftliche Grundlagen</x:v>
      </x:c>
      <x:c r="H194" s="5" t="str">
        <x:v>dg-wq-0059</x:v>
      </x:c>
      <x:c r="I194" s="5" t="str">
        <x:v>1.1.2</x:v>
      </x:c>
      <x:c r="J194" s="5" t="str">
        <x:v>Volkswirtschaftliche Gesamtrechnung</x:v>
      </x:c>
      <x:c r="K194" s="5" t="str"/>
      <x:c r="L194" s="5" t="str">
        <x:v>VGR &amp; Einkommensverteilung</x:v>
      </x:c>
      <x:c r="M194" s="5" t="n">
        <x:v>62</x:v>
      </x:c>
      <x:c r="N194" s="5" t="n">
        <x:v>11</x:v>
      </x:c>
      <x:c r="O194" s="5" t="str"/>
      <x:c r="P194" s="5" t="str">
        <x:v>Zuordnungsvorschlag; Fachfreigabe ausstehend</x:v>
      </x:c>
      <x:c r="Q194" s="5" t="str">
        <x:v>Bestehendes Lernthema fachlich unter passendem Rahmenplan-Unterbereich behalten</x:v>
      </x:c>
      <x:c r="R194" s="5" t="str">
        <x:v>Ergänzen Sie den Zusammenhang zwischen funktionaler, persönlicher, primärer und sekundärer Einkommensverteilung.</x:v>
      </x:c>
      <x:c r="S194" s="5" t="str">
        <x:v>75be6785e8cacad58b1968965728bd666d25a84a00de215fb574076913550a58</x:v>
      </x:c>
    </x:row>
    <x:row r="195" ht="36" customHeight="1">
      <x:c r="A195" s="5" t="str">
        <x:v>VWL-0063</x:v>
      </x:c>
      <x:c r="B195" s="5" t="str">
        <x:v>WQ</x:v>
      </x:c>
      <x:c r="C195" s="5" t="str">
        <x:v>1</x:v>
      </x:c>
      <x:c r="D195" s="5" t="str">
        <x:v>Volks- und Betriebswirtschaft</x:v>
      </x:c>
      <x:c r="E195" s="5" t="str">
        <x:v>VWL</x:v>
      </x:c>
      <x:c r="F195" s="5" t="str">
        <x:v>ui-wq-0001</x:v>
      </x:c>
      <x:c r="G195" s="5" t="str">
        <x:v>Volkswirtschaftliche Grundlagen</x:v>
      </x:c>
      <x:c r="H195" s="5" t="str">
        <x:v>dg-wq-0060</x:v>
      </x:c>
      <x:c r="I195" s="5" t="str">
        <x:v>1.1.3.1</x:v>
      </x:c>
      <x:c r="J195" s="5" t="str">
        <x:v>Ziele der Stabilitätspolitik</x:v>
      </x:c>
      <x:c r="K195" s="5" t="str"/>
      <x:c r="L195" s="5" t="str">
        <x:v>Konjunktur, Stabilitätsziele, Arbeitslosigkeit &amp; Inflation</x:v>
      </x:c>
      <x:c r="M195" s="5" t="n">
        <x:v>63</x:v>
      </x:c>
      <x:c r="N195" s="5" t="n">
        <x:v>1</x:v>
      </x:c>
      <x:c r="O195" s="5" t="str"/>
      <x:c r="P195" s="5" t="str">
        <x:v>Zuordnungsvorschlag; Fachfreigabe ausstehend</x:v>
      </x:c>
      <x:c r="Q195" s="5" t="str">
        <x:v>Bestehendes Lernthema fachlich unter passendem Rahmenplan-Unterbereich behalten</x:v>
      </x:c>
      <x:c r="R195" s="5" t="str">
        <x:v>Skizzieren Sie einen typischen Konjunkturzyklus. Beschriften Sie die vier Phasen Aufschwung (Expansion), Hochkonjunktur/Boom, Abschwung/Rezession und Konjunkturtief/Depression und zeichnen Sie zusätzlich den langfristigen Trend der realen Wirtschaftsleistung ein. Erläutern Sie kurz, was der Trend ausdrückt.</x:v>
      </x:c>
      <x:c r="S195" s="5" t="str">
        <x:v>4aa92bffe64c053c71985ba8c56587bba5813f678a4e397c0d1766d800ebc221</x:v>
      </x:c>
    </x:row>
    <x:row r="196" ht="36" customHeight="1">
      <x:c r="A196" s="5" t="str">
        <x:v>VWL-0064</x:v>
      </x:c>
      <x:c r="B196" s="5" t="str">
        <x:v>WQ</x:v>
      </x:c>
      <x:c r="C196" s="5" t="str">
        <x:v>1</x:v>
      </x:c>
      <x:c r="D196" s="5" t="str">
        <x:v>Volks- und Betriebswirtschaft</x:v>
      </x:c>
      <x:c r="E196" s="5" t="str">
        <x:v>VWL</x:v>
      </x:c>
      <x:c r="F196" s="5" t="str">
        <x:v>ui-wq-0001</x:v>
      </x:c>
      <x:c r="G196" s="5" t="str">
        <x:v>Volkswirtschaftliche Grundlagen</x:v>
      </x:c>
      <x:c r="H196" s="5" t="str">
        <x:v>dg-wq-0060</x:v>
      </x:c>
      <x:c r="I196" s="5" t="str">
        <x:v>1.1.3.1</x:v>
      </x:c>
      <x:c r="J196" s="5" t="str">
        <x:v>Ziele der Stabilitätspolitik</x:v>
      </x:c>
      <x:c r="K196" s="5" t="str"/>
      <x:c r="L196" s="5" t="str">
        <x:v>Konjunktur, Stabilitätsziele, Arbeitslosigkeit &amp; Inflation</x:v>
      </x:c>
      <x:c r="M196" s="5" t="n">
        <x:v>64</x:v>
      </x:c>
      <x:c r="N196" s="5" t="n">
        <x:v>2</x:v>
      </x:c>
      <x:c r="O196" s="5" t="str"/>
      <x:c r="P196" s="5" t="str">
        <x:v>Zuordnungsvorschlag; Fachfreigabe ausstehend</x:v>
      </x:c>
      <x:c r="Q196" s="5" t="str">
        <x:v>Bestehendes Lernthema fachlich unter passendem Rahmenplan-Unterbereich behalten</x:v>
      </x:c>
      <x:c r="R196" s="5" t="str">
        <x:v>Was versteht man unter Saisonschwankungen?</x:v>
      </x:c>
      <x:c r="S196" s="5" t="str">
        <x:v>f8f76267e9a17921e4325c2aa5e72973749848843b8de3aea568cb5410ffb010</x:v>
      </x:c>
    </x:row>
    <x:row r="197" ht="36" customHeight="1">
      <x:c r="A197" s="5" t="str">
        <x:v>VWL-0065</x:v>
      </x:c>
      <x:c r="B197" s="5" t="str">
        <x:v>WQ</x:v>
      </x:c>
      <x:c r="C197" s="5" t="str">
        <x:v>1</x:v>
      </x:c>
      <x:c r="D197" s="5" t="str">
        <x:v>Volks- und Betriebswirtschaft</x:v>
      </x:c>
      <x:c r="E197" s="5" t="str">
        <x:v>VWL</x:v>
      </x:c>
      <x:c r="F197" s="5" t="str">
        <x:v>ui-wq-0001</x:v>
      </x:c>
      <x:c r="G197" s="5" t="str">
        <x:v>Volkswirtschaftliche Grundlagen</x:v>
      </x:c>
      <x:c r="H197" s="5" t="str">
        <x:v>dg-wq-0060</x:v>
      </x:c>
      <x:c r="I197" s="5" t="str">
        <x:v>1.1.3.1</x:v>
      </x:c>
      <x:c r="J197" s="5" t="str">
        <x:v>Ziele der Stabilitätspolitik</x:v>
      </x:c>
      <x:c r="K197" s="5" t="str"/>
      <x:c r="L197" s="5" t="str">
        <x:v>Konjunktur, Stabilitätsziele, Arbeitslosigkeit &amp; Inflation</x:v>
      </x:c>
      <x:c r="M197" s="5" t="n">
        <x:v>65</x:v>
      </x:c>
      <x:c r="N197" s="5" t="n">
        <x:v>3</x:v>
      </x:c>
      <x:c r="O197" s="5" t="str"/>
      <x:c r="P197" s="5" t="str">
        <x:v>Zuordnungsvorschlag; Fachfreigabe ausstehend</x:v>
      </x:c>
      <x:c r="Q197" s="5" t="str">
        <x:v>Bestehendes Lernthema fachlich unter passendem Rahmenplan-Unterbereich behalten</x:v>
      </x:c>
      <x:c r="R197" s="5" t="str">
        <x:v>Was bedeutet der Begriff Trend in der Konjunkturanalyse?</x:v>
      </x:c>
      <x:c r="S197" s="5" t="str">
        <x:v>e9ce0058f1e51302d475897528fc731d4b2d94ed8e10c8434568093556982979</x:v>
      </x:c>
    </x:row>
    <x:row r="198" ht="36" customHeight="1">
      <x:c r="A198" s="5" t="str">
        <x:v>VWL-0066</x:v>
      </x:c>
      <x:c r="B198" s="5" t="str">
        <x:v>WQ</x:v>
      </x:c>
      <x:c r="C198" s="5" t="str">
        <x:v>1</x:v>
      </x:c>
      <x:c r="D198" s="5" t="str">
        <x:v>Volks- und Betriebswirtschaft</x:v>
      </x:c>
      <x:c r="E198" s="5" t="str">
        <x:v>VWL</x:v>
      </x:c>
      <x:c r="F198" s="5" t="str">
        <x:v>ui-wq-0001</x:v>
      </x:c>
      <x:c r="G198" s="5" t="str">
        <x:v>Volkswirtschaftliche Grundlagen</x:v>
      </x:c>
      <x:c r="H198" s="5" t="str">
        <x:v>dg-wq-0060</x:v>
      </x:c>
      <x:c r="I198" s="5" t="str">
        <x:v>1.1.3.1</x:v>
      </x:c>
      <x:c r="J198" s="5" t="str">
        <x:v>Ziele der Stabilitätspolitik</x:v>
      </x:c>
      <x:c r="K198" s="5" t="str"/>
      <x:c r="L198" s="5" t="str">
        <x:v>Konjunktur, Stabilitätsziele, Arbeitslosigkeit &amp; Inflation</x:v>
      </x:c>
      <x:c r="M198" s="5" t="n">
        <x:v>66</x:v>
      </x:c>
      <x:c r="N198" s="5" t="n">
        <x:v>4</x:v>
      </x:c>
      <x:c r="O198" s="5" t="str"/>
      <x:c r="P198" s="5" t="str">
        <x:v>Zuordnungsvorschlag; Fachfreigabe ausstehend</x:v>
      </x:c>
      <x:c r="Q198" s="5" t="str">
        <x:v>Bestehendes Lernthema fachlich unter passendem Rahmenplan-Unterbereich behalten</x:v>
      </x:c>
      <x:c r="R198" s="5" t="str">
        <x:v>Ordnen Sie typische Konjunkturindikatoren den Gruppen Früh-, Präsenz- und Spätindikatoren zu.</x:v>
      </x:c>
      <x:c r="S198" s="5" t="str">
        <x:v>2784a5ca904e6fd7cfa3a7eeaa05536c16095fec97f830686806dc3c88cd3382</x:v>
      </x:c>
    </x:row>
    <x:row r="199" ht="36" customHeight="1">
      <x:c r="A199" s="5" t="str">
        <x:v>VWL-0067</x:v>
      </x:c>
      <x:c r="B199" s="5" t="str">
        <x:v>WQ</x:v>
      </x:c>
      <x:c r="C199" s="5" t="str">
        <x:v>1</x:v>
      </x:c>
      <x:c r="D199" s="5" t="str">
        <x:v>Volks- und Betriebswirtschaft</x:v>
      </x:c>
      <x:c r="E199" s="5" t="str">
        <x:v>VWL</x:v>
      </x:c>
      <x:c r="F199" s="5" t="str">
        <x:v>ui-wq-0001</x:v>
      </x:c>
      <x:c r="G199" s="5" t="str">
        <x:v>Volkswirtschaftliche Grundlagen</x:v>
      </x:c>
      <x:c r="H199" s="5" t="str">
        <x:v>dg-wq-0060</x:v>
      </x:c>
      <x:c r="I199" s="5" t="str">
        <x:v>1.1.3.1</x:v>
      </x:c>
      <x:c r="J199" s="5" t="str">
        <x:v>Ziele der Stabilitätspolitik</x:v>
      </x:c>
      <x:c r="K199" s="5" t="str"/>
      <x:c r="L199" s="5" t="str">
        <x:v>Konjunktur, Stabilitätsziele, Arbeitslosigkeit &amp; Inflation</x:v>
      </x:c>
      <x:c r="M199" s="5" t="n">
        <x:v>67</x:v>
      </x:c>
      <x:c r="N199" s="5" t="n">
        <x:v>5</x:v>
      </x:c>
      <x:c r="O199" s="5" t="str"/>
      <x:c r="P199" s="5" t="str">
        <x:v>Zuordnungsvorschlag; Fachfreigabe ausstehend</x:v>
      </x:c>
      <x:c r="Q199" s="5" t="str">
        <x:v>Bestehendes Lernthema fachlich unter passendem Rahmenplan-Unterbereich behalten</x:v>
      </x:c>
      <x:c r="R199" s="5" t="str">
        <x:v>Welche sechs Ziele bilden das sogenannte magische Sechseck der Wirtschaftspolitik?</x:v>
      </x:c>
      <x:c r="S199" s="5" t="str">
        <x:v>e789f7acf5f96a06c1767848bc3aa6d91f39d934e517d869136a389bdcd3d60d</x:v>
      </x:c>
    </x:row>
    <x:row r="200" ht="36" customHeight="1">
      <x:c r="A200" s="5" t="str">
        <x:v>VWL-0068</x:v>
      </x:c>
      <x:c r="B200" s="5" t="str">
        <x:v>WQ</x:v>
      </x:c>
      <x:c r="C200" s="5" t="str">
        <x:v>1</x:v>
      </x:c>
      <x:c r="D200" s="5" t="str">
        <x:v>Volks- und Betriebswirtschaft</x:v>
      </x:c>
      <x:c r="E200" s="5" t="str">
        <x:v>VWL</x:v>
      </x:c>
      <x:c r="F200" s="5" t="str">
        <x:v>ui-wq-0001</x:v>
      </x:c>
      <x:c r="G200" s="5" t="str">
        <x:v>Volkswirtschaftliche Grundlagen</x:v>
      </x:c>
      <x:c r="H200" s="5" t="str">
        <x:v>dg-wq-0060</x:v>
      </x:c>
      <x:c r="I200" s="5" t="str">
        <x:v>1.1.3.1</x:v>
      </x:c>
      <x:c r="J200" s="5" t="str">
        <x:v>Ziele der Stabilitätspolitik</x:v>
      </x:c>
      <x:c r="K200" s="5" t="str"/>
      <x:c r="L200" s="5" t="str">
        <x:v>Konjunktur, Stabilitätsziele, Arbeitslosigkeit &amp; Inflation</x:v>
      </x:c>
      <x:c r="M200" s="5" t="n">
        <x:v>68</x:v>
      </x:c>
      <x:c r="N200" s="5" t="n">
        <x:v>6</x:v>
      </x:c>
      <x:c r="O200" s="5" t="str"/>
      <x:c r="P200" s="5" t="str">
        <x:v>Zuordnungsvorschlag; Fachfreigabe ausstehend</x:v>
      </x:c>
      <x:c r="Q200" s="5" t="str">
        <x:v>Bestehendes Lernthema fachlich unter passendem Rahmenplan-Unterbereich behalten</x:v>
      </x:c>
      <x:c r="R200" s="5" t="str">
        <x:v>Mit welchen Messgrößen werden die vier klassischen Ziele des magischen Vierecks typischerweise beurteilt?</x:v>
      </x:c>
      <x:c r="S200" s="5" t="str">
        <x:v>513d973d12b59956b737c20b7b430d96b5bddd28d1c5d8a042ff1815fd8cca4a</x:v>
      </x:c>
    </x:row>
    <x:row r="201" ht="36" customHeight="1">
      <x:c r="A201" s="5" t="str">
        <x:v>VWL-0069</x:v>
      </x:c>
      <x:c r="B201" s="5" t="str">
        <x:v>WQ</x:v>
      </x:c>
      <x:c r="C201" s="5" t="str">
        <x:v>1</x:v>
      </x:c>
      <x:c r="D201" s="5" t="str">
        <x:v>Volks- und Betriebswirtschaft</x:v>
      </x:c>
      <x:c r="E201" s="5" t="str">
        <x:v>VWL</x:v>
      </x:c>
      <x:c r="F201" s="5" t="str">
        <x:v>ui-wq-0001</x:v>
      </x:c>
      <x:c r="G201" s="5" t="str">
        <x:v>Volkswirtschaftliche Grundlagen</x:v>
      </x:c>
      <x:c r="H201" s="5" t="str">
        <x:v>dg-wq-0060</x:v>
      </x:c>
      <x:c r="I201" s="5" t="str">
        <x:v>1.1.3.1</x:v>
      </x:c>
      <x:c r="J201" s="5" t="str">
        <x:v>Ziele der Stabilitätspolitik</x:v>
      </x:c>
      <x:c r="K201" s="5" t="str"/>
      <x:c r="L201" s="5" t="str">
        <x:v>Konjunktur, Stabilitätsziele, Arbeitslosigkeit &amp; Inflation</x:v>
      </x:c>
      <x:c r="M201" s="5" t="n">
        <x:v>69</x:v>
      </x:c>
      <x:c r="N201" s="5" t="n">
        <x:v>7</x:v>
      </x:c>
      <x:c r="O201" s="5" t="str"/>
      <x:c r="P201" s="5" t="str">
        <x:v>Zuordnungsvorschlag; Fachfreigabe ausstehend</x:v>
      </x:c>
      <x:c r="Q201" s="5" t="str">
        <x:v>Bestehendes Lernthema fachlich unter passendem Rahmenplan-Unterbereich behalten</x:v>
      </x:c>
      <x:c r="R201" s="5" t="str">
        <x:v>Ergänzen Sie zentrale Begriffe zu Vollbeschäftigung, Preisstabilität, Wirtschaftswachstum und außenwirtschaftlichem Gleichgewicht.</x:v>
      </x:c>
      <x:c r="S201" s="5" t="str">
        <x:v>9dceb4993b27193948384c3520209148ea03b4a57008c7e34487bd62bcafbbf5</x:v>
      </x:c>
    </x:row>
    <x:row r="202" ht="36" customHeight="1">
      <x:c r="A202" s="5" t="str">
        <x:v>VWL-0070</x:v>
      </x:c>
      <x:c r="B202" s="5" t="str">
        <x:v>WQ</x:v>
      </x:c>
      <x:c r="C202" s="5" t="str">
        <x:v>1</x:v>
      </x:c>
      <x:c r="D202" s="5" t="str">
        <x:v>Volks- und Betriebswirtschaft</x:v>
      </x:c>
      <x:c r="E202" s="5" t="str">
        <x:v>VWL</x:v>
      </x:c>
      <x:c r="F202" s="5" t="str">
        <x:v>ui-wq-0001</x:v>
      </x:c>
      <x:c r="G202" s="5" t="str">
        <x:v>Volkswirtschaftliche Grundlagen</x:v>
      </x:c>
      <x:c r="H202" s="5" t="str">
        <x:v>dg-wq-0060</x:v>
      </x:c>
      <x:c r="I202" s="5" t="str">
        <x:v>1.1.3.1</x:v>
      </x:c>
      <x:c r="J202" s="5" t="str">
        <x:v>Ziele der Stabilitätspolitik</x:v>
      </x:c>
      <x:c r="K202" s="5" t="str"/>
      <x:c r="L202" s="5" t="str">
        <x:v>Konjunktur, Stabilitätsziele, Arbeitslosigkeit &amp; Inflation</x:v>
      </x:c>
      <x:c r="M202" s="5" t="n">
        <x:v>70</x:v>
      </x:c>
      <x:c r="N202" s="5" t="n">
        <x:v>8</x:v>
      </x:c>
      <x:c r="O202" s="5" t="str"/>
      <x:c r="P202" s="5" t="str">
        <x:v>Zuordnungsvorschlag; Fachfreigabe ausstehend</x:v>
      </x:c>
      <x:c r="Q202" s="5" t="str">
        <x:v>Bestehendes Lernthema fachlich unter passendem Rahmenplan-Unterbereich behalten</x:v>
      </x:c>
      <x:c r="R202" s="5" t="str">
        <x:v>Warum ist hohe Arbeitslosigkeit für die betroffene Person, die Gesellschaft sowie Staat und Volkswirtschaft problematisch?</x:v>
      </x:c>
      <x:c r="S202" s="5" t="str">
        <x:v>9286288725201d6c9cf6bc361fc2c970c2c7bc3cdecc9c8af550fc47d5f765e0</x:v>
      </x:c>
    </x:row>
    <x:row r="203" ht="36" customHeight="1">
      <x:c r="A203" s="5" t="str">
        <x:v>VWL-0071</x:v>
      </x:c>
      <x:c r="B203" s="5" t="str">
        <x:v>WQ</x:v>
      </x:c>
      <x:c r="C203" s="5" t="str">
        <x:v>1</x:v>
      </x:c>
      <x:c r="D203" s="5" t="str">
        <x:v>Volks- und Betriebswirtschaft</x:v>
      </x:c>
      <x:c r="E203" s="5" t="str">
        <x:v>VWL</x:v>
      </x:c>
      <x:c r="F203" s="5" t="str">
        <x:v>ui-wq-0001</x:v>
      </x:c>
      <x:c r="G203" s="5" t="str">
        <x:v>Volkswirtschaftliche Grundlagen</x:v>
      </x:c>
      <x:c r="H203" s="5" t="str">
        <x:v>dg-wq-0060</x:v>
      </x:c>
      <x:c r="I203" s="5" t="str">
        <x:v>1.1.3.1</x:v>
      </x:c>
      <x:c r="J203" s="5" t="str">
        <x:v>Ziele der Stabilitätspolitik</x:v>
      </x:c>
      <x:c r="K203" s="5" t="str"/>
      <x:c r="L203" s="5" t="str">
        <x:v>Konjunktur, Stabilitätsziele, Arbeitslosigkeit &amp; Inflation</x:v>
      </x:c>
      <x:c r="M203" s="5" t="n">
        <x:v>71</x:v>
      </x:c>
      <x:c r="N203" s="5" t="n">
        <x:v>9</x:v>
      </x:c>
      <x:c r="O203" s="5" t="str"/>
      <x:c r="P203" s="5" t="str">
        <x:v>Zuordnungsvorschlag; Fachfreigabe ausstehend</x:v>
      </x:c>
      <x:c r="Q203" s="5" t="str">
        <x:v>Bestehendes Lernthema fachlich unter passendem Rahmenplan-Unterbereich behalten</x:v>
      </x:c>
      <x:c r="R203" s="5" t="str">
        <x:v>Wo werden in Deutschland regelmäßig Daten zu Arbeitslosigkeit veröffentlicht und warum sollte bei aktuellen Quoten immer ein Stichtag genannt werden?</x:v>
      </x:c>
      <x:c r="S203" s="5" t="str">
        <x:v>0bc660b28531a8609bcb2e70e54e5bb5228878ad63ad77fb4daecc08e2f81cb5</x:v>
      </x:c>
    </x:row>
    <x:row r="204" ht="36" customHeight="1">
      <x:c r="A204" s="5" t="str">
        <x:v>VWL-0072</x:v>
      </x:c>
      <x:c r="B204" s="5" t="str">
        <x:v>WQ</x:v>
      </x:c>
      <x:c r="C204" s="5" t="str">
        <x:v>1</x:v>
      </x:c>
      <x:c r="D204" s="5" t="str">
        <x:v>Volks- und Betriebswirtschaft</x:v>
      </x:c>
      <x:c r="E204" s="5" t="str">
        <x:v>VWL</x:v>
      </x:c>
      <x:c r="F204" s="5" t="str">
        <x:v>ui-wq-0001</x:v>
      </x:c>
      <x:c r="G204" s="5" t="str">
        <x:v>Volkswirtschaftliche Grundlagen</x:v>
      </x:c>
      <x:c r="H204" s="5" t="str">
        <x:v>dg-wq-0060</x:v>
      </x:c>
      <x:c r="I204" s="5" t="str">
        <x:v>1.1.3.1</x:v>
      </x:c>
      <x:c r="J204" s="5" t="str">
        <x:v>Ziele der Stabilitätspolitik</x:v>
      </x:c>
      <x:c r="K204" s="5" t="str"/>
      <x:c r="L204" s="5" t="str">
        <x:v>Konjunktur, Stabilitätsziele, Arbeitslosigkeit &amp; Inflation</x:v>
      </x:c>
      <x:c r="M204" s="5" t="n">
        <x:v>72</x:v>
      </x:c>
      <x:c r="N204" s="5" t="n">
        <x:v>10</x:v>
      </x:c>
      <x:c r="O204" s="5" t="str"/>
      <x:c r="P204" s="5" t="str">
        <x:v>Zuordnungsvorschlag; Fachfreigabe ausstehend</x:v>
      </x:c>
      <x:c r="Q204" s="5" t="str">
        <x:v>Bestehendes Lernthema fachlich unter passendem Rahmenplan-Unterbereich behalten</x:v>
      </x:c>
      <x:c r="R204" s="5" t="str">
        <x:v>Unterscheiden Sie saisonale, friktionelle, konjunkturelle und strukturelle Arbeitslosigkeit.</x:v>
      </x:c>
      <x:c r="S204" s="5" t="str">
        <x:v>de22fa1df19669386c4a592f6b689c48390a1c524fc3a667c6b59cdd07c8d05f</x:v>
      </x:c>
    </x:row>
    <x:row r="205" ht="36" customHeight="1">
      <x:c r="A205" s="5" t="str">
        <x:v>VWL-0073</x:v>
      </x:c>
      <x:c r="B205" s="5" t="str">
        <x:v>WQ</x:v>
      </x:c>
      <x:c r="C205" s="5" t="str">
        <x:v>1</x:v>
      </x:c>
      <x:c r="D205" s="5" t="str">
        <x:v>Volks- und Betriebswirtschaft</x:v>
      </x:c>
      <x:c r="E205" s="5" t="str">
        <x:v>VWL</x:v>
      </x:c>
      <x:c r="F205" s="5" t="str">
        <x:v>ui-wq-0001</x:v>
      </x:c>
      <x:c r="G205" s="5" t="str">
        <x:v>Volkswirtschaftliche Grundlagen</x:v>
      </x:c>
      <x:c r="H205" s="5" t="str">
        <x:v>dg-wq-0060</x:v>
      </x:c>
      <x:c r="I205" s="5" t="str">
        <x:v>1.1.3.1</x:v>
      </x:c>
      <x:c r="J205" s="5" t="str">
        <x:v>Ziele der Stabilitätspolitik</x:v>
      </x:c>
      <x:c r="K205" s="5" t="str"/>
      <x:c r="L205" s="5" t="str">
        <x:v>Konjunktur, Stabilitätsziele, Arbeitslosigkeit &amp; Inflation</x:v>
      </x:c>
      <x:c r="M205" s="5" t="n">
        <x:v>73</x:v>
      </x:c>
      <x:c r="N205" s="5" t="n">
        <x:v>11</x:v>
      </x:c>
      <x:c r="O205" s="5" t="str"/>
      <x:c r="P205" s="5" t="str">
        <x:v>Zuordnungsvorschlag; Fachfreigabe ausstehend</x:v>
      </x:c>
      <x:c r="Q205" s="5" t="str">
        <x:v>Bestehendes Lernthema fachlich unter passendem Rahmenplan-Unterbereich behalten</x:v>
      </x:c>
      <x:c r="R205" s="5" t="str">
        <x:v>Prüfen Sie Aussagen zu Arbeitslosigkeitsarten und zur Berechnung der Arbeitslosenquote.</x:v>
      </x:c>
      <x:c r="S205" s="5" t="str">
        <x:v>fe25a8d6d9cdfdc0e9a7b48d96313dfd934215eb70b7fd23e9ae98750094d605</x:v>
      </x:c>
    </x:row>
    <x:row r="206" ht="36" customHeight="1">
      <x:c r="A206" s="5" t="str">
        <x:v>VWL-0074</x:v>
      </x:c>
      <x:c r="B206" s="5" t="str">
        <x:v>WQ</x:v>
      </x:c>
      <x:c r="C206" s="5" t="str">
        <x:v>1</x:v>
      </x:c>
      <x:c r="D206" s="5" t="str">
        <x:v>Volks- und Betriebswirtschaft</x:v>
      </x:c>
      <x:c r="E206" s="5" t="str">
        <x:v>VWL</x:v>
      </x:c>
      <x:c r="F206" s="5" t="str">
        <x:v>ui-wq-0001</x:v>
      </x:c>
      <x:c r="G206" s="5" t="str">
        <x:v>Volkswirtschaftliche Grundlagen</x:v>
      </x:c>
      <x:c r="H206" s="5" t="str">
        <x:v>dg-wq-0060</x:v>
      </x:c>
      <x:c r="I206" s="5" t="str">
        <x:v>1.1.3.1</x:v>
      </x:c>
      <x:c r="J206" s="5" t="str">
        <x:v>Ziele der Stabilitätspolitik</x:v>
      </x:c>
      <x:c r="K206" s="5" t="str"/>
      <x:c r="L206" s="5" t="str">
        <x:v>Konjunktur, Stabilitätsziele, Arbeitslosigkeit &amp; Inflation</x:v>
      </x:c>
      <x:c r="M206" s="5" t="n">
        <x:v>74</x:v>
      </x:c>
      <x:c r="N206" s="5" t="n">
        <x:v>12</x:v>
      </x:c>
      <x:c r="O206" s="5" t="str"/>
      <x:c r="P206" s="5" t="str">
        <x:v>Zuordnungsvorschlag; Fachfreigabe ausstehend</x:v>
      </x:c>
      <x:c r="Q206" s="5" t="str">
        <x:v>Bestehendes Lernthema fachlich unter passendem Rahmenplan-Unterbereich behalten</x:v>
      </x:c>
      <x:c r="R206" s="5" t="str">
        <x:v>In einer Volkswirtschaft gibt es 45,8 Mio. Erwerbstätige und 2,9 Mio. registrierte Arbeitslose. Berechnen Sie die Arbeitslosenquote.</x:v>
      </x:c>
      <x:c r="S206" s="5" t="str">
        <x:v>d4d8353555c9f625e935f76996d7c34a60b84f243f6434bb7ae3bc391279f6e5</x:v>
      </x:c>
    </x:row>
    <x:row r="207" ht="36" customHeight="1">
      <x:c r="A207" s="5" t="str">
        <x:v>VWL-0075</x:v>
      </x:c>
      <x:c r="B207" s="5" t="str">
        <x:v>WQ</x:v>
      </x:c>
      <x:c r="C207" s="5" t="str">
        <x:v>1</x:v>
      </x:c>
      <x:c r="D207" s="5" t="str">
        <x:v>Volks- und Betriebswirtschaft</x:v>
      </x:c>
      <x:c r="E207" s="5" t="str">
        <x:v>VWL</x:v>
      </x:c>
      <x:c r="F207" s="5" t="str">
        <x:v>ui-wq-0001</x:v>
      </x:c>
      <x:c r="G207" s="5" t="str">
        <x:v>Volkswirtschaftliche Grundlagen</x:v>
      </x:c>
      <x:c r="H207" s="5" t="str">
        <x:v>dg-wq-0060</x:v>
      </x:c>
      <x:c r="I207" s="5" t="str">
        <x:v>1.1.3.1</x:v>
      </x:c>
      <x:c r="J207" s="5" t="str">
        <x:v>Ziele der Stabilitätspolitik</x:v>
      </x:c>
      <x:c r="K207" s="5" t="str"/>
      <x:c r="L207" s="5" t="str">
        <x:v>Konjunktur, Stabilitätsziele, Arbeitslosigkeit &amp; Inflation</x:v>
      </x:c>
      <x:c r="M207" s="5" t="n">
        <x:v>75</x:v>
      </x:c>
      <x:c r="N207" s="5" t="n">
        <x:v>13</x:v>
      </x:c>
      <x:c r="O207" s="5" t="str"/>
      <x:c r="P207" s="5" t="str">
        <x:v>Zuordnungsvorschlag; Fachfreigabe ausstehend</x:v>
      </x:c>
      <x:c r="Q207" s="5" t="str">
        <x:v>Bestehendes Lernthema fachlich unter passendem Rahmenplan-Unterbereich behalten</x:v>
      </x:c>
      <x:c r="R207" s="5" t="str">
        <x:v>Welche Institution ermittelt in Deutschland den Verbraucherpreisindex und damit eine zentrale Grundlage für die Inflationsrate?</x:v>
      </x:c>
      <x:c r="S207" s="5" t="str">
        <x:v>7e8a51aa203bdd4fae89cf10630961cb4a30b930338d7fc598f0a529821ca986</x:v>
      </x:c>
    </x:row>
    <x:row r="208" ht="36" customHeight="1">
      <x:c r="A208" s="5" t="str">
        <x:v>VWL-0076</x:v>
      </x:c>
      <x:c r="B208" s="5" t="str">
        <x:v>WQ</x:v>
      </x:c>
      <x:c r="C208" s="5" t="str">
        <x:v>1</x:v>
      </x:c>
      <x:c r="D208" s="5" t="str">
        <x:v>Volks- und Betriebswirtschaft</x:v>
      </x:c>
      <x:c r="E208" s="5" t="str">
        <x:v>VWL</x:v>
      </x:c>
      <x:c r="F208" s="5" t="str">
        <x:v>ui-wq-0001</x:v>
      </x:c>
      <x:c r="G208" s="5" t="str">
        <x:v>Volkswirtschaftliche Grundlagen</x:v>
      </x:c>
      <x:c r="H208" s="5" t="str">
        <x:v>dg-wq-0060</x:v>
      </x:c>
      <x:c r="I208" s="5" t="str">
        <x:v>1.1.3.1</x:v>
      </x:c>
      <x:c r="J208" s="5" t="str">
        <x:v>Ziele der Stabilitätspolitik</x:v>
      </x:c>
      <x:c r="K208" s="5" t="str"/>
      <x:c r="L208" s="5" t="str">
        <x:v>Konjunktur, Stabilitätsziele, Arbeitslosigkeit &amp; Inflation</x:v>
      </x:c>
      <x:c r="M208" s="5" t="n">
        <x:v>76</x:v>
      </x:c>
      <x:c r="N208" s="5" t="n">
        <x:v>14</x:v>
      </x:c>
      <x:c r="O208" s="5" t="str"/>
      <x:c r="P208" s="5" t="str">
        <x:v>Zuordnungsvorschlag; Fachfreigabe ausstehend</x:v>
      </x:c>
      <x:c r="Q208" s="5" t="str">
        <x:v>Bestehendes Lernthema fachlich unter passendem Rahmenplan-Unterbereich behalten</x:v>
      </x:c>
      <x:c r="R208" s="5" t="str">
        <x:v>Wie werden Verbraucherpreisindex und Inflationsrate ermittelt? Geben Sie beide Formeln an und nennen Sie drei Grenzen des Messverfahrens.</x:v>
      </x:c>
      <x:c r="S208" s="5" t="str">
        <x:v>9e2e64d842b4f6ccb7897316ce5a7b5be744e521f1cb5504b806d96f002b3aef</x:v>
      </x:c>
    </x:row>
    <x:row r="209" ht="36" customHeight="1">
      <x:c r="A209" s="5" t="str">
        <x:v>VWL-0077</x:v>
      </x:c>
      <x:c r="B209" s="5" t="str">
        <x:v>WQ</x:v>
      </x:c>
      <x:c r="C209" s="5" t="str">
        <x:v>1</x:v>
      </x:c>
      <x:c r="D209" s="5" t="str">
        <x:v>Volks- und Betriebswirtschaft</x:v>
      </x:c>
      <x:c r="E209" s="5" t="str">
        <x:v>VWL</x:v>
      </x:c>
      <x:c r="F209" s="5" t="str">
        <x:v>ui-wq-0001</x:v>
      </x:c>
      <x:c r="G209" s="5" t="str">
        <x:v>Volkswirtschaftliche Grundlagen</x:v>
      </x:c>
      <x:c r="H209" s="5" t="str">
        <x:v>dg-wq-0060</x:v>
      </x:c>
      <x:c r="I209" s="5" t="str">
        <x:v>1.1.3.1</x:v>
      </x:c>
      <x:c r="J209" s="5" t="str">
        <x:v>Ziele der Stabilitätspolitik</x:v>
      </x:c>
      <x:c r="K209" s="5" t="str"/>
      <x:c r="L209" s="5" t="str">
        <x:v>Konjunktur, Stabilitätsziele, Arbeitslosigkeit &amp; Inflation</x:v>
      </x:c>
      <x:c r="M209" s="5" t="n">
        <x:v>77</x:v>
      </x:c>
      <x:c r="N209" s="5" t="n">
        <x:v>15</x:v>
      </x:c>
      <x:c r="O209" s="5" t="str"/>
      <x:c r="P209" s="5" t="str">
        <x:v>Zuordnungsvorschlag; Fachfreigabe ausstehend</x:v>
      </x:c>
      <x:c r="Q209" s="5" t="str">
        <x:v>Bestehendes Lernthema fachlich unter passendem Rahmenplan-Unterbereich behalten</x:v>
      </x:c>
      <x:c r="R209" s="5" t="str">
        <x:v>Was ist der Harmonisierte Verbraucherpreisindex (HVPI)?</x:v>
      </x:c>
      <x:c r="S209" s="5" t="str">
        <x:v>aeb7ccaef2e48db08e356722f6a235a9e3f60e5412afa2deb19bf1545015180e</x:v>
      </x:c>
    </x:row>
    <x:row r="210" ht="36" customHeight="1">
      <x:c r="A210" s="5" t="str">
        <x:v>VWL-0078</x:v>
      </x:c>
      <x:c r="B210" s="5" t="str">
        <x:v>WQ</x:v>
      </x:c>
      <x:c r="C210" s="5" t="str">
        <x:v>1</x:v>
      </x:c>
      <x:c r="D210" s="5" t="str">
        <x:v>Volks- und Betriebswirtschaft</x:v>
      </x:c>
      <x:c r="E210" s="5" t="str">
        <x:v>VWL</x:v>
      </x:c>
      <x:c r="F210" s="5" t="str">
        <x:v>ui-wq-0001</x:v>
      </x:c>
      <x:c r="G210" s="5" t="str">
        <x:v>Volkswirtschaftliche Grundlagen</x:v>
      </x:c>
      <x:c r="H210" s="5" t="str">
        <x:v>dg-wq-0060</x:v>
      </x:c>
      <x:c r="I210" s="5" t="str">
        <x:v>1.1.3.1</x:v>
      </x:c>
      <x:c r="J210" s="5" t="str">
        <x:v>Ziele der Stabilitätspolitik</x:v>
      </x:c>
      <x:c r="K210" s="5" t="str"/>
      <x:c r="L210" s="5" t="str">
        <x:v>Konjunktur, Stabilitätsziele, Arbeitslosigkeit &amp; Inflation</x:v>
      </x:c>
      <x:c r="M210" s="5" t="n">
        <x:v>78</x:v>
      </x:c>
      <x:c r="N210" s="5" t="n">
        <x:v>16</x:v>
      </x:c>
      <x:c r="O210" s="5" t="str"/>
      <x:c r="P210" s="5" t="str">
        <x:v>Zuordnungsvorschlag; Fachfreigabe ausstehend</x:v>
      </x:c>
      <x:c r="Q210" s="5" t="str">
        <x:v>Bestehendes Lernthema fachlich unter passendem Rahmenplan-Unterbereich behalten</x:v>
      </x:c>
      <x:c r="R210" s="5" t="str">
        <x:v>Warum können sich der deutsche VPI und der HVPI unterscheiden?</x:v>
      </x:c>
      <x:c r="S210" s="5" t="str">
        <x:v>2bb89a783d8029af715989425603376e624d2ea3b87c3dfbd5036d1f08396f45</x:v>
      </x:c>
    </x:row>
    <x:row r="211" ht="36" customHeight="1">
      <x:c r="A211" s="5" t="str">
        <x:v>VWL-0079</x:v>
      </x:c>
      <x:c r="B211" s="5" t="str">
        <x:v>WQ</x:v>
      </x:c>
      <x:c r="C211" s="5" t="str">
        <x:v>1</x:v>
      </x:c>
      <x:c r="D211" s="5" t="str">
        <x:v>Volks- und Betriebswirtschaft</x:v>
      </x:c>
      <x:c r="E211" s="5" t="str">
        <x:v>VWL</x:v>
      </x:c>
      <x:c r="F211" s="5" t="str">
        <x:v>ui-wq-0001</x:v>
      </x:c>
      <x:c r="G211" s="5" t="str">
        <x:v>Volkswirtschaftliche Grundlagen</x:v>
      </x:c>
      <x:c r="H211" s="5" t="str">
        <x:v>dg-wq-0060</x:v>
      </x:c>
      <x:c r="I211" s="5" t="str">
        <x:v>1.1.3.1</x:v>
      </x:c>
      <x:c r="J211" s="5" t="str">
        <x:v>Ziele der Stabilitätspolitik</x:v>
      </x:c>
      <x:c r="K211" s="5" t="str"/>
      <x:c r="L211" s="5" t="str">
        <x:v>Konjunktur, Stabilitätsziele, Arbeitslosigkeit &amp; Inflation</x:v>
      </x:c>
      <x:c r="M211" s="5" t="n">
        <x:v>79</x:v>
      </x:c>
      <x:c r="N211" s="5" t="n">
        <x:v>17</x:v>
      </x:c>
      <x:c r="O211" s="5" t="str"/>
      <x:c r="P211" s="5" t="str">
        <x:v>Zuordnungsvorschlag; Fachfreigabe ausstehend</x:v>
      </x:c>
      <x:c r="Q211" s="5" t="str">
        <x:v>Bestehendes Lernthema fachlich unter passendem Rahmenplan-Unterbereich behalten</x:v>
      </x:c>
      <x:c r="R211" s="5" t="str">
        <x:v>Was versteht man unter angemessenem und stetigem Wirtschaftswachstum?</x:v>
      </x:c>
      <x:c r="S211" s="5" t="str">
        <x:v>7396e1f4d8bda2aae3522060114ab0fe5ad9c87ec4d19754fed3295c5a82e324</x:v>
      </x:c>
    </x:row>
    <x:row r="212" ht="36" customHeight="1">
      <x:c r="A212" s="5" t="str">
        <x:v>VWL-0080</x:v>
      </x:c>
      <x:c r="B212" s="5" t="str">
        <x:v>WQ</x:v>
      </x:c>
      <x:c r="C212" s="5" t="str">
        <x:v>1</x:v>
      </x:c>
      <x:c r="D212" s="5" t="str">
        <x:v>Volks- und Betriebswirtschaft</x:v>
      </x:c>
      <x:c r="E212" s="5" t="str">
        <x:v>VWL</x:v>
      </x:c>
      <x:c r="F212" s="5" t="str">
        <x:v>ui-wq-0001</x:v>
      </x:c>
      <x:c r="G212" s="5" t="str">
        <x:v>Volkswirtschaftliche Grundlagen</x:v>
      </x:c>
      <x:c r="H212" s="5" t="str">
        <x:v>dg-wq-0060</x:v>
      </x:c>
      <x:c r="I212" s="5" t="str">
        <x:v>1.1.3.1</x:v>
      </x:c>
      <x:c r="J212" s="5" t="str">
        <x:v>Ziele der Stabilitätspolitik</x:v>
      </x:c>
      <x:c r="K212" s="5" t="str"/>
      <x:c r="L212" s="5" t="str">
        <x:v>Konjunktur, Stabilitätsziele, Arbeitslosigkeit &amp; Inflation</x:v>
      </x:c>
      <x:c r="M212" s="5" t="n">
        <x:v>80</x:v>
      </x:c>
      <x:c r="N212" s="5" t="n">
        <x:v>18</x:v>
      </x:c>
      <x:c r="O212" s="5" t="str"/>
      <x:c r="P212" s="5" t="str">
        <x:v>Zuordnungsvorschlag; Fachfreigabe ausstehend</x:v>
      </x:c>
      <x:c r="Q212" s="5" t="str">
        <x:v>Bestehendes Lernthema fachlich unter passendem Rahmenplan-Unterbereich behalten</x:v>
      </x:c>
      <x:c r="R212" s="5" t="str">
        <x:v>Nennen Sie mindestens fünf Faktoren, die langfristiges Wirtschaftswachstum fördern können.</x:v>
      </x:c>
      <x:c r="S212" s="5" t="str">
        <x:v>dacc3c8b9da23f4cfdcc79c4e163ccca7379772536fe0c02efbe6eb6a7f17702</x:v>
      </x:c>
    </x:row>
    <x:row r="213" ht="36" customHeight="1">
      <x:c r="A213" s="5" t="str">
        <x:v>VWL-0081</x:v>
      </x:c>
      <x:c r="B213" s="5" t="str">
        <x:v>WQ</x:v>
      </x:c>
      <x:c r="C213" s="5" t="str">
        <x:v>1</x:v>
      </x:c>
      <x:c r="D213" s="5" t="str">
        <x:v>Volks- und Betriebswirtschaft</x:v>
      </x:c>
      <x:c r="E213" s="5" t="str">
        <x:v>VWL</x:v>
      </x:c>
      <x:c r="F213" s="5" t="str">
        <x:v>ui-wq-0001</x:v>
      </x:c>
      <x:c r="G213" s="5" t="str">
        <x:v>Volkswirtschaftliche Grundlagen</x:v>
      </x:c>
      <x:c r="H213" s="5" t="str">
        <x:v>dg-wq-0060</x:v>
      </x:c>
      <x:c r="I213" s="5" t="str">
        <x:v>1.1.3.1</x:v>
      </x:c>
      <x:c r="J213" s="5" t="str">
        <x:v>Ziele der Stabilitätspolitik</x:v>
      </x:c>
      <x:c r="K213" s="5" t="str"/>
      <x:c r="L213" s="5" t="str">
        <x:v>Konjunktur, Stabilitätsziele, Arbeitslosigkeit &amp; Inflation</x:v>
      </x:c>
      <x:c r="M213" s="5" t="n">
        <x:v>81</x:v>
      </x:c>
      <x:c r="N213" s="5" t="n">
        <x:v>19</x:v>
      </x:c>
      <x:c r="O213" s="5" t="str"/>
      <x:c r="P213" s="5" t="str">
        <x:v>Zuordnungsvorschlag; Fachfreigabe ausstehend</x:v>
      </x:c>
      <x:c r="Q213" s="5" t="str">
        <x:v>Bestehendes Lernthema fachlich unter passendem Rahmenplan-Unterbereich behalten</x:v>
      </x:c>
      <x:c r="R213" s="5" t="str">
        <x:v>Warum können Wirtschaftswachstum und Umweltschutz sowohl konkurrierende als auch komplementäre Ziele sein?</x:v>
      </x:c>
      <x:c r="S213" s="5" t="str">
        <x:v>34424f10076429990bfcfaf92828650ba3273a541dc3321a383a2c1420322b35</x:v>
      </x:c>
    </x:row>
    <x:row r="214" ht="36" customHeight="1">
      <x:c r="A214" s="5" t="str">
        <x:v>VWL-0082</x:v>
      </x:c>
      <x:c r="B214" s="5" t="str">
        <x:v>WQ</x:v>
      </x:c>
      <x:c r="C214" s="5" t="str">
        <x:v>1</x:v>
      </x:c>
      <x:c r="D214" s="5" t="str">
        <x:v>Volks- und Betriebswirtschaft</x:v>
      </x:c>
      <x:c r="E214" s="5" t="str">
        <x:v>VWL</x:v>
      </x:c>
      <x:c r="F214" s="5" t="str">
        <x:v>ui-wq-0001</x:v>
      </x:c>
      <x:c r="G214" s="5" t="str">
        <x:v>Volkswirtschaftliche Grundlagen</x:v>
      </x:c>
      <x:c r="H214" s="5" t="str">
        <x:v>dg-wq-0060</x:v>
      </x:c>
      <x:c r="I214" s="5" t="str">
        <x:v>1.1.3.1</x:v>
      </x:c>
      <x:c r="J214" s="5" t="str">
        <x:v>Ziele der Stabilitätspolitik</x:v>
      </x:c>
      <x:c r="K214" s="5" t="str"/>
      <x:c r="L214" s="5" t="str">
        <x:v>Konjunktur, Stabilitätsziele, Arbeitslosigkeit &amp; Inflation</x:v>
      </x:c>
      <x:c r="M214" s="5" t="n">
        <x:v>82</x:v>
      </x:c>
      <x:c r="N214" s="5" t="n">
        <x:v>20</x:v>
      </x:c>
      <x:c r="O214" s="5" t="str"/>
      <x:c r="P214" s="5" t="str">
        <x:v>Zuordnungsvorschlag; Fachfreigabe ausstehend</x:v>
      </x:c>
      <x:c r="Q214" s="5" t="str">
        <x:v>Bestehendes Lernthema fachlich unter passendem Rahmenplan-Unterbereich behalten</x:v>
      </x:c>
      <x:c r="R214" s="5" t="str">
        <x:v>Nennen Sie je zwei typische konkurrierende und komplementäre Zielbeziehungen innerhalb des magischen Sechsecks.</x:v>
      </x:c>
      <x:c r="S214" s="5" t="str">
        <x:v>75516d2d9170142e0d5a6729ea3379f6b43c218502922043b2470bc68cbabd04</x:v>
      </x:c>
    </x:row>
    <x:row r="215" ht="36" customHeight="1">
      <x:c r="A215" s="5" t="str">
        <x:v>VWL-0083</x:v>
      </x:c>
      <x:c r="B215" s="5" t="str">
        <x:v>WQ</x:v>
      </x:c>
      <x:c r="C215" s="5" t="str">
        <x:v>1</x:v>
      </x:c>
      <x:c r="D215" s="5" t="str">
        <x:v>Volks- und Betriebswirtschaft</x:v>
      </x:c>
      <x:c r="E215" s="5" t="str">
        <x:v>VWL</x:v>
      </x:c>
      <x:c r="F215" s="5" t="str">
        <x:v>ui-wq-0001</x:v>
      </x:c>
      <x:c r="G215" s="5" t="str">
        <x:v>Volkswirtschaftliche Grundlagen</x:v>
      </x:c>
      <x:c r="H215" s="5" t="str">
        <x:v>dg-wq-0061</x:v>
      </x:c>
      <x:c r="I215" s="5" t="str">
        <x:v>1.1.3.2</x:v>
      </x:c>
      <x:c r="J215" s="5" t="str">
        <x:v>Wirtschaftspolitische Maßnahmen und Konzeptionen</x:v>
      </x:c>
      <x:c r="K215" s="5" t="str"/>
      <x:c r="L215" s="5" t="str">
        <x:v>Geld- &amp; Finanzpolitik</x:v>
      </x:c>
      <x:c r="M215" s="5" t="n">
        <x:v>83</x:v>
      </x:c>
      <x:c r="N215" s="5" t="n">
        <x:v>1</x:v>
      </x:c>
      <x:c r="O215" s="5" t="str"/>
      <x:c r="P215" s="5" t="str">
        <x:v>Zuordnungsvorschlag; Fachfreigabe ausstehend</x:v>
      </x:c>
      <x:c r="Q215" s="5" t="str">
        <x:v>Bestehendes Lernthema fachlich unter passendem Rahmenplan-Unterbereich behalten</x:v>
      </x:c>
      <x:c r="R215" s="5" t="str">
        <x:v>Was versteht man unter Offenmarktpolitik einer Zentralbank?</x:v>
      </x:c>
      <x:c r="S215" s="5" t="str">
        <x:v>f2a31e87d94cce8bb260d913685d39f871ff0d646af0c7dfa9be9defdc8d0cef</x:v>
      </x:c>
    </x:row>
    <x:row r="216" ht="36" customHeight="1">
      <x:c r="A216" s="5" t="str">
        <x:v>VWL-0084</x:v>
      </x:c>
      <x:c r="B216" s="5" t="str">
        <x:v>WQ</x:v>
      </x:c>
      <x:c r="C216" s="5" t="str">
        <x:v>1</x:v>
      </x:c>
      <x:c r="D216" s="5" t="str">
        <x:v>Volks- und Betriebswirtschaft</x:v>
      </x:c>
      <x:c r="E216" s="5" t="str">
        <x:v>VWL</x:v>
      </x:c>
      <x:c r="F216" s="5" t="str">
        <x:v>ui-wq-0001</x:v>
      </x:c>
      <x:c r="G216" s="5" t="str">
        <x:v>Volkswirtschaftliche Grundlagen</x:v>
      </x:c>
      <x:c r="H216" s="5" t="str">
        <x:v>dg-wq-0061</x:v>
      </x:c>
      <x:c r="I216" s="5" t="str">
        <x:v>1.1.3.2</x:v>
      </x:c>
      <x:c r="J216" s="5" t="str">
        <x:v>Wirtschaftspolitische Maßnahmen und Konzeptionen</x:v>
      </x:c>
      <x:c r="K216" s="5" t="str"/>
      <x:c r="L216" s="5" t="str">
        <x:v>Geld- &amp; Finanzpolitik</x:v>
      </x:c>
      <x:c r="M216" s="5" t="n">
        <x:v>84</x:v>
      </x:c>
      <x:c r="N216" s="5" t="n">
        <x:v>2</x:v>
      </x:c>
      <x:c r="O216" s="5" t="str"/>
      <x:c r="P216" s="5" t="str">
        <x:v>Zuordnungsvorschlag; Fachfreigabe ausstehend</x:v>
      </x:c>
      <x:c r="Q216" s="5" t="str">
        <x:v>Bestehendes Lernthema fachlich unter passendem Rahmenplan-Unterbereich behalten</x:v>
      </x:c>
      <x:c r="R216" s="5" t="str">
        <x:v>Was ist das Hauptrefinanzierungsgeschäft der EZB?</x:v>
      </x:c>
      <x:c r="S216" s="5" t="str">
        <x:v>1e17e3c6f52d7fc94dc0bd57ee74eba6dc050443f9e71211a58eb1374b95829c</x:v>
      </x:c>
    </x:row>
    <x:row r="217" ht="36" customHeight="1">
      <x:c r="A217" s="5" t="str">
        <x:v>VWL-0085</x:v>
      </x:c>
      <x:c r="B217" s="5" t="str">
        <x:v>WQ</x:v>
      </x:c>
      <x:c r="C217" s="5" t="str">
        <x:v>1</x:v>
      </x:c>
      <x:c r="D217" s="5" t="str">
        <x:v>Volks- und Betriebswirtschaft</x:v>
      </x:c>
      <x:c r="E217" s="5" t="str">
        <x:v>VWL</x:v>
      </x:c>
      <x:c r="F217" s="5" t="str">
        <x:v>ui-wq-0001</x:v>
      </x:c>
      <x:c r="G217" s="5" t="str">
        <x:v>Volkswirtschaftliche Grundlagen</x:v>
      </x:c>
      <x:c r="H217" s="5" t="str">
        <x:v>dg-wq-0061</x:v>
      </x:c>
      <x:c r="I217" s="5" t="str">
        <x:v>1.1.3.2</x:v>
      </x:c>
      <x:c r="J217" s="5" t="str">
        <x:v>Wirtschaftspolitische Maßnahmen und Konzeptionen</x:v>
      </x:c>
      <x:c r="K217" s="5" t="str"/>
      <x:c r="L217" s="5" t="str">
        <x:v>Geld- &amp; Finanzpolitik</x:v>
      </x:c>
      <x:c r="M217" s="5" t="n">
        <x:v>85</x:v>
      </x:c>
      <x:c r="N217" s="5" t="n">
        <x:v>3</x:v>
      </x:c>
      <x:c r="O217" s="5" t="str"/>
      <x:c r="P217" s="5" t="str">
        <x:v>Zuordnungsvorschlag; Fachfreigabe ausstehend</x:v>
      </x:c>
      <x:c r="Q217" s="5" t="str">
        <x:v>Bestehendes Lernthema fachlich unter passendem Rahmenplan-Unterbereich behalten</x:v>
      </x:c>
      <x:c r="R217" s="5" t="str">
        <x:v>Ergänzen Sie zentrale Begriffe zur Organisation und Hauptrefinanzierung der EZB.</x:v>
      </x:c>
      <x:c r="S217" s="5" t="str">
        <x:v>39a0d87cb05ba2d2646318dde8f3f8ee603228b4c1ed6aacba2688cd6a4a5d5b</x:v>
      </x:c>
    </x:row>
    <x:row r="218" ht="36" customHeight="1">
      <x:c r="A218" s="5" t="str">
        <x:v>VWL-0086</x:v>
      </x:c>
      <x:c r="B218" s="5" t="str">
        <x:v>WQ</x:v>
      </x:c>
      <x:c r="C218" s="5" t="str">
        <x:v>1</x:v>
      </x:c>
      <x:c r="D218" s="5" t="str">
        <x:v>Volks- und Betriebswirtschaft</x:v>
      </x:c>
      <x:c r="E218" s="5" t="str">
        <x:v>VWL</x:v>
      </x:c>
      <x:c r="F218" s="5" t="str">
        <x:v>ui-wq-0001</x:v>
      </x:c>
      <x:c r="G218" s="5" t="str">
        <x:v>Volkswirtschaftliche Grundlagen</x:v>
      </x:c>
      <x:c r="H218" s="5" t="str">
        <x:v>dg-wq-0061</x:v>
      </x:c>
      <x:c r="I218" s="5" t="str">
        <x:v>1.1.3.2</x:v>
      </x:c>
      <x:c r="J218" s="5" t="str">
        <x:v>Wirtschaftspolitische Maßnahmen und Konzeptionen</x:v>
      </x:c>
      <x:c r="K218" s="5" t="str"/>
      <x:c r="L218" s="5" t="str">
        <x:v>Geld- &amp; Finanzpolitik</x:v>
      </x:c>
      <x:c r="M218" s="5" t="n">
        <x:v>86</x:v>
      </x:c>
      <x:c r="N218" s="5" t="n">
        <x:v>4</x:v>
      </x:c>
      <x:c r="O218" s="5" t="str"/>
      <x:c r="P218" s="5" t="str">
        <x:v>Zuordnungsvorschlag; Fachfreigabe ausstehend</x:v>
      </x:c>
      <x:c r="Q218" s="5" t="str">
        <x:v>Bestehendes Lernthema fachlich unter passendem Rahmenplan-Unterbereich behalten</x:v>
      </x:c>
      <x:c r="R218" s="5" t="str">
        <x:v>Welche drei klassischen geldpolitischen Instrumente neben den Hauptrefinanzierungsgeschäften sind besonders wichtig und welchem Zweck dienen sie?</x:v>
      </x:c>
      <x:c r="S218" s="5" t="str">
        <x:v>5203518affaba13e1f8652d5937c074624b0a3815047c93e6845c9b0007c4b6c</x:v>
      </x:c>
    </x:row>
    <x:row r="219" ht="36" customHeight="1">
      <x:c r="A219" s="5" t="str">
        <x:v>VWL-0087</x:v>
      </x:c>
      <x:c r="B219" s="5" t="str">
        <x:v>WQ</x:v>
      </x:c>
      <x:c r="C219" s="5" t="str">
        <x:v>1</x:v>
      </x:c>
      <x:c r="D219" s="5" t="str">
        <x:v>Volks- und Betriebswirtschaft</x:v>
      </x:c>
      <x:c r="E219" s="5" t="str">
        <x:v>VWL</x:v>
      </x:c>
      <x:c r="F219" s="5" t="str">
        <x:v>ui-wq-0001</x:v>
      </x:c>
      <x:c r="G219" s="5" t="str">
        <x:v>Volkswirtschaftliche Grundlagen</x:v>
      </x:c>
      <x:c r="H219" s="5" t="str">
        <x:v>dg-wq-0061</x:v>
      </x:c>
      <x:c r="I219" s="5" t="str">
        <x:v>1.1.3.2</x:v>
      </x:c>
      <x:c r="J219" s="5" t="str">
        <x:v>Wirtschaftspolitische Maßnahmen und Konzeptionen</x:v>
      </x:c>
      <x:c r="K219" s="5" t="str"/>
      <x:c r="L219" s="5" t="str">
        <x:v>Geld- &amp; Finanzpolitik</x:v>
      </x:c>
      <x:c r="M219" s="5" t="n">
        <x:v>87</x:v>
      </x:c>
      <x:c r="N219" s="5" t="n">
        <x:v>5</x:v>
      </x:c>
      <x:c r="O219" s="5" t="str"/>
      <x:c r="P219" s="5" t="str">
        <x:v>Zuordnungsvorschlag; Fachfreigabe ausstehend</x:v>
      </x:c>
      <x:c r="Q219" s="5" t="str">
        <x:v>Bestehendes Lernthema fachlich unter passendem Rahmenplan-Unterbereich behalten</x:v>
      </x:c>
      <x:c r="R219" s="5" t="str">
        <x:v>Welche drei Zinssätze des Eurosystems werden häufig als zentrale Leitzinsen genannt und wo können ihre aktuellen Werte verlässlich nachgeschlagen werden?</x:v>
      </x:c>
      <x:c r="S219" s="5" t="str">
        <x:v>3a0e49387fe52c6927b9bcd98e43b75f6eb1457b9ca5d6277c65095e8055c2d1</x:v>
      </x:c>
    </x:row>
    <x:row r="220" ht="36" customHeight="1">
      <x:c r="A220" s="5" t="str">
        <x:v>VWL-0088</x:v>
      </x:c>
      <x:c r="B220" s="5" t="str">
        <x:v>WQ</x:v>
      </x:c>
      <x:c r="C220" s="5" t="str">
        <x:v>1</x:v>
      </x:c>
      <x:c r="D220" s="5" t="str">
        <x:v>Volks- und Betriebswirtschaft</x:v>
      </x:c>
      <x:c r="E220" s="5" t="str">
        <x:v>VWL</x:v>
      </x:c>
      <x:c r="F220" s="5" t="str">
        <x:v>ui-wq-0001</x:v>
      </x:c>
      <x:c r="G220" s="5" t="str">
        <x:v>Volkswirtschaftliche Grundlagen</x:v>
      </x:c>
      <x:c r="H220" s="5" t="str">
        <x:v>dg-wq-0061</x:v>
      </x:c>
      <x:c r="I220" s="5" t="str">
        <x:v>1.1.3.2</x:v>
      </x:c>
      <x:c r="J220" s="5" t="str">
        <x:v>Wirtschaftspolitische Maßnahmen und Konzeptionen</x:v>
      </x:c>
      <x:c r="K220" s="5" t="str"/>
      <x:c r="L220" s="5" t="str">
        <x:v>Geld- &amp; Finanzpolitik</x:v>
      </x:c>
      <x:c r="M220" s="5" t="n">
        <x:v>88</x:v>
      </x:c>
      <x:c r="N220" s="5" t="n">
        <x:v>6</x:v>
      </x:c>
      <x:c r="O220" s="5" t="str"/>
      <x:c r="P220" s="5" t="str">
        <x:v>Zuordnungsvorschlag; Fachfreigabe ausstehend</x:v>
      </x:c>
      <x:c r="Q220" s="5" t="str">
        <x:v>Bestehendes Lernthema fachlich unter passendem Rahmenplan-Unterbereich behalten</x:v>
      </x:c>
      <x:c r="R220" s="5" t="str">
        <x:v>Prüfen Sie Aussagen zu Mindestreserve, ständigen Fazilitäten und Leitzinsen.</x:v>
      </x:c>
      <x:c r="S220" s="5" t="str">
        <x:v>2ac06192584ade97000d0b101dcf558d3b4a418c8b8615d7e1ba25f385ff58a0</x:v>
      </x:c>
    </x:row>
    <x:row r="221" ht="36" customHeight="1">
      <x:c r="A221" s="5" t="str">
        <x:v>VWL-0089</x:v>
      </x:c>
      <x:c r="B221" s="5" t="str">
        <x:v>WQ</x:v>
      </x:c>
      <x:c r="C221" s="5" t="str">
        <x:v>1</x:v>
      </x:c>
      <x:c r="D221" s="5" t="str">
        <x:v>Volks- und Betriebswirtschaft</x:v>
      </x:c>
      <x:c r="E221" s="5" t="str">
        <x:v>VWL</x:v>
      </x:c>
      <x:c r="F221" s="5" t="str">
        <x:v>ui-wq-0001</x:v>
      </x:c>
      <x:c r="G221" s="5" t="str">
        <x:v>Volkswirtschaftliche Grundlagen</x:v>
      </x:c>
      <x:c r="H221" s="5" t="str">
        <x:v>dg-wq-0061</x:v>
      </x:c>
      <x:c r="I221" s="5" t="str">
        <x:v>1.1.3.2#1</x:v>
      </x:c>
      <x:c r="J221" s="5" t="str">
        <x:v>Geldpolitik</x:v>
      </x:c>
      <x:c r="K221" s="5" t="str"/>
      <x:c r="L221" s="5" t="str">
        <x:v>Geld- &amp; Finanzpolitik</x:v>
      </x:c>
      <x:c r="M221" s="5" t="n">
        <x:v>89</x:v>
      </x:c>
      <x:c r="N221" s="5" t="n">
        <x:v>7</x:v>
      </x:c>
      <x:c r="O221" s="5" t="str"/>
      <x:c r="P221" s="5" t="str">
        <x:v>Zuordnungsvorschlag; Fachfreigabe ausstehend</x:v>
      </x:c>
      <x:c r="Q221" s="5" t="str">
        <x:v>Bestehendes Lernthema fachlich unter passendem Rahmenplan-Unterbereich behalten</x:v>
      </x:c>
      <x:c r="R221" s="5" t="str">
        <x:v>Vergleichen Sie expansive und restriktive Geldpolitik hinsichtlich Maßnahmen und Wirkungen auf Kreditvergabe, Nachfrage, Konjunktur, Beschäftigung und Preisniveau.</x:v>
      </x:c>
      <x:c r="S221" s="5" t="str">
        <x:v>e009979d38e6129035aaee368b42f38de003d541dc20290c17b130ae4ca494ff</x:v>
      </x:c>
    </x:row>
    <x:row r="222" ht="36" customHeight="1">
      <x:c r="A222" s="5" t="str">
        <x:v>VWL-0090</x:v>
      </x:c>
      <x:c r="B222" s="5" t="str">
        <x:v>WQ</x:v>
      </x:c>
      <x:c r="C222" s="5" t="str">
        <x:v>1</x:v>
      </x:c>
      <x:c r="D222" s="5" t="str">
        <x:v>Volks- und Betriebswirtschaft</x:v>
      </x:c>
      <x:c r="E222" s="5" t="str">
        <x:v>VWL</x:v>
      </x:c>
      <x:c r="F222" s="5" t="str">
        <x:v>ui-wq-0001</x:v>
      </x:c>
      <x:c r="G222" s="5" t="str">
        <x:v>Volkswirtschaftliche Grundlagen</x:v>
      </x:c>
      <x:c r="H222" s="5" t="str">
        <x:v>dg-wq-0061</x:v>
      </x:c>
      <x:c r="I222" s="5" t="str">
        <x:v>1.1.3.2</x:v>
      </x:c>
      <x:c r="J222" s="5" t="str">
        <x:v>Wirtschaftspolitische Maßnahmen und Konzeptionen</x:v>
      </x:c>
      <x:c r="K222" s="5" t="str"/>
      <x:c r="L222" s="5" t="str">
        <x:v>Geld- &amp; Finanzpolitik</x:v>
      </x:c>
      <x:c r="M222" s="5" t="n">
        <x:v>90</x:v>
      </x:c>
      <x:c r="N222" s="5" t="n">
        <x:v>8</x:v>
      </x:c>
      <x:c r="O222" s="5" t="str"/>
      <x:c r="P222" s="5" t="str">
        <x:v>Zuordnungsvorschlag; Fachfreigabe ausstehend</x:v>
      </x:c>
      <x:c r="Q222" s="5" t="str">
        <x:v>Bestehendes Lernthema fachlich unter passendem Rahmenplan-Unterbereich behalten</x:v>
      </x:c>
      <x:c r="R222" s="5" t="str">
        <x:v>Ergänzen Sie zentrale Begriffe zur Europäischen Zentralbank, zum ESZB und zum Eurosystem.</x:v>
      </x:c>
      <x:c r="S222" s="5" t="str">
        <x:v>f9b128d3f74bd76567f2bc610a8c749527c6981163c467ee7544a489643119f0</x:v>
      </x:c>
    </x:row>
    <x:row r="223" ht="36" customHeight="1">
      <x:c r="A223" s="5" t="str">
        <x:v>VWL-0091</x:v>
      </x:c>
      <x:c r="B223" s="5" t="str">
        <x:v>WQ</x:v>
      </x:c>
      <x:c r="C223" s="5" t="str">
        <x:v>1</x:v>
      </x:c>
      <x:c r="D223" s="5" t="str">
        <x:v>Volks- und Betriebswirtschaft</x:v>
      </x:c>
      <x:c r="E223" s="5" t="str">
        <x:v>VWL</x:v>
      </x:c>
      <x:c r="F223" s="5" t="str">
        <x:v>ui-wq-0001</x:v>
      </x:c>
      <x:c r="G223" s="5" t="str">
        <x:v>Volkswirtschaftliche Grundlagen</x:v>
      </x:c>
      <x:c r="H223" s="5" t="str">
        <x:v>dg-wq-0061</x:v>
      </x:c>
      <x:c r="I223" s="5" t="str">
        <x:v>1.1.3.2#1</x:v>
      </x:c>
      <x:c r="J223" s="5" t="str">
        <x:v>Geldpolitik</x:v>
      </x:c>
      <x:c r="K223" s="5" t="str"/>
      <x:c r="L223" s="5" t="str">
        <x:v>Geld- &amp; Finanzpolitik</x:v>
      </x:c>
      <x:c r="M223" s="5" t="n">
        <x:v>91</x:v>
      </x:c>
      <x:c r="N223" s="5" t="n">
        <x:v>9</x:v>
      </x:c>
      <x:c r="O223" s="5" t="str"/>
      <x:c r="P223" s="5" t="str">
        <x:v>Zuordnungsvorschlag; Fachfreigabe ausstehend</x:v>
      </x:c>
      <x:c r="Q223" s="5" t="str">
        <x:v>Bestehendes Lernthema fachlich unter passendem Rahmenplan-Unterbereich behalten</x:v>
      </x:c>
      <x:c r="R223" s="5" t="str">
        <x:v>Nennen Sie mindestens vier Grenzen, die die Wirksamkeit der Geldpolitik der EZB einschränken können.</x:v>
      </x:c>
      <x:c r="S223" s="5" t="str">
        <x:v>3b66bd8733185d5de5e929a45b489acdd3eb889e765f0636b242b6af15114004</x:v>
      </x:c>
    </x:row>
    <x:row r="224" ht="36" customHeight="1">
      <x:c r="A224" s="5" t="str">
        <x:v>VWL-0092</x:v>
      </x:c>
      <x:c r="B224" s="5" t="str">
        <x:v>WQ</x:v>
      </x:c>
      <x:c r="C224" s="5" t="str">
        <x:v>1</x:v>
      </x:c>
      <x:c r="D224" s="5" t="str">
        <x:v>Volks- und Betriebswirtschaft</x:v>
      </x:c>
      <x:c r="E224" s="5" t="str">
        <x:v>VWL</x:v>
      </x:c>
      <x:c r="F224" s="5" t="str">
        <x:v>ui-wq-0001</x:v>
      </x:c>
      <x:c r="G224" s="5" t="str">
        <x:v>Volkswirtschaftliche Grundlagen</x:v>
      </x:c>
      <x:c r="H224" s="5" t="str">
        <x:v>dg-wq-0061</x:v>
      </x:c>
      <x:c r="I224" s="5" t="str">
        <x:v>1.1.3.2</x:v>
      </x:c>
      <x:c r="J224" s="5" t="str">
        <x:v>Wirtschaftspolitische Maßnahmen und Konzeptionen</x:v>
      </x:c>
      <x:c r="K224" s="5" t="str"/>
      <x:c r="L224" s="5" t="str">
        <x:v>Geld- &amp; Finanzpolitik</x:v>
      </x:c>
      <x:c r="M224" s="5" t="n">
        <x:v>92</x:v>
      </x:c>
      <x:c r="N224" s="5" t="n">
        <x:v>10</x:v>
      </x:c>
      <x:c r="O224" s="5" t="str"/>
      <x:c r="P224" s="5" t="str">
        <x:v>Zuordnungsvorschlag; Fachfreigabe ausstehend</x:v>
      </x:c>
      <x:c r="Q224" s="5" t="str">
        <x:v>Bestehendes Lernthema fachlich unter passendem Rahmenplan-Unterbereich behalten</x:v>
      </x:c>
      <x:c r="R224" s="5" t="str">
        <x:v>Nennen Sie typische Einnahmen und Ausgaben des Staates.</x:v>
      </x:c>
      <x:c r="S224" s="5" t="str">
        <x:v>4084643a0521b134a9cdd266336c75b5bb02fc4300fc8d9ace983b3d1dbb113d</x:v>
      </x:c>
    </x:row>
    <x:row r="225" ht="36" customHeight="1">
      <x:c r="A225" s="5" t="str">
        <x:v>VWL-0093</x:v>
      </x:c>
      <x:c r="B225" s="5" t="str">
        <x:v>WQ</x:v>
      </x:c>
      <x:c r="C225" s="5" t="str">
        <x:v>1</x:v>
      </x:c>
      <x:c r="D225" s="5" t="str">
        <x:v>Volks- und Betriebswirtschaft</x:v>
      </x:c>
      <x:c r="E225" s="5" t="str">
        <x:v>VWL</x:v>
      </x:c>
      <x:c r="F225" s="5" t="str">
        <x:v>ui-wq-0001</x:v>
      </x:c>
      <x:c r="G225" s="5" t="str">
        <x:v>Volkswirtschaftliche Grundlagen</x:v>
      </x:c>
      <x:c r="H225" s="5" t="str">
        <x:v>dg-wq-0061</x:v>
      </x:c>
      <x:c r="I225" s="5" t="str">
        <x:v>1.1.3.2</x:v>
      </x:c>
      <x:c r="J225" s="5" t="str">
        <x:v>Wirtschaftspolitische Maßnahmen und Konzeptionen</x:v>
      </x:c>
      <x:c r="K225" s="5" t="str"/>
      <x:c r="L225" s="5" t="str">
        <x:v>Geld- &amp; Finanzpolitik</x:v>
      </x:c>
      <x:c r="M225" s="5" t="n">
        <x:v>93</x:v>
      </x:c>
      <x:c r="N225" s="5" t="n">
        <x:v>11</x:v>
      </x:c>
      <x:c r="O225" s="5" t="str"/>
      <x:c r="P225" s="5" t="str">
        <x:v>Zuordnungsvorschlag; Fachfreigabe ausstehend</x:v>
      </x:c>
      <x:c r="Q225" s="5" t="str">
        <x:v>Bestehendes Lernthema fachlich unter passendem Rahmenplan-Unterbereich behalten</x:v>
      </x:c>
      <x:c r="R225" s="5" t="str">
        <x:v>Nennen Sie mindestens drei mögliche negative Folgen einer stark steigenden Staatsverschuldung.</x:v>
      </x:c>
      <x:c r="S225" s="5" t="str">
        <x:v>81bd3c46e55532526737d03c4cef94aaeb165d30c8f4af226625a2e09d9de04a</x:v>
      </x:c>
    </x:row>
    <x:row r="226" ht="36" customHeight="1">
      <x:c r="A226" s="5" t="str">
        <x:v>VWL-0094</x:v>
      </x:c>
      <x:c r="B226" s="5" t="str">
        <x:v>WQ</x:v>
      </x:c>
      <x:c r="C226" s="5" t="str">
        <x:v>1</x:v>
      </x:c>
      <x:c r="D226" s="5" t="str">
        <x:v>Volks- und Betriebswirtschaft</x:v>
      </x:c>
      <x:c r="E226" s="5" t="str">
        <x:v>VWL</x:v>
      </x:c>
      <x:c r="F226" s="5" t="str">
        <x:v>ui-wq-0001</x:v>
      </x:c>
      <x:c r="G226" s="5" t="str">
        <x:v>Volkswirtschaftliche Grundlagen</x:v>
      </x:c>
      <x:c r="H226" s="5" t="str">
        <x:v>dg-wq-0061</x:v>
      </x:c>
      <x:c r="I226" s="5" t="str">
        <x:v>1.1.3.2</x:v>
      </x:c>
      <x:c r="J226" s="5" t="str">
        <x:v>Wirtschaftspolitische Maßnahmen und Konzeptionen</x:v>
      </x:c>
      <x:c r="K226" s="5" t="str"/>
      <x:c r="L226" s="5" t="str">
        <x:v>Geld- &amp; Finanzpolitik</x:v>
      </x:c>
      <x:c r="M226" s="5" t="n">
        <x:v>94</x:v>
      </x:c>
      <x:c r="N226" s="5" t="n">
        <x:v>12</x:v>
      </x:c>
      <x:c r="O226" s="5" t="str"/>
      <x:c r="P226" s="5" t="str">
        <x:v>Zuordnungsvorschlag; Fachfreigabe ausstehend</x:v>
      </x:c>
      <x:c r="Q226" s="5" t="str">
        <x:v>Bestehendes Lernthema fachlich unter passendem Rahmenplan-Unterbereich behalten</x:v>
      </x:c>
      <x:c r="R226" s="5" t="str">
        <x:v>Erläutern Sie das Prinzip der antizyklischen Fiskalpolitik. Zeigen Sie Maßnahmen und Haushaltswirkungen in Rezession und Boom und ordnen Sie Deficit Spending ein.</x:v>
      </x:c>
      <x:c r="S226" s="5" t="str">
        <x:v>6fe07b29265ef4e2fad86c885ec6ec82d51c8bf11af1eb17dc6da541d11ae953</x:v>
      </x:c>
    </x:row>
    <x:row r="227" ht="36" customHeight="1">
      <x:c r="A227" s="5" t="str">
        <x:v>VWL-0095</x:v>
      </x:c>
      <x:c r="B227" s="5" t="str">
        <x:v>WQ</x:v>
      </x:c>
      <x:c r="C227" s="5" t="str">
        <x:v>1</x:v>
      </x:c>
      <x:c r="D227" s="5" t="str">
        <x:v>Volks- und Betriebswirtschaft</x:v>
      </x:c>
      <x:c r="E227" s="5" t="str">
        <x:v>VWL</x:v>
      </x:c>
      <x:c r="F227" s="5" t="str">
        <x:v>ui-wq-0001</x:v>
      </x:c>
      <x:c r="G227" s="5" t="str">
        <x:v>Volkswirtschaftliche Grundlagen</x:v>
      </x:c>
      <x:c r="H227" s="5" t="str">
        <x:v>dg-wq-0061</x:v>
      </x:c>
      <x:c r="I227" s="5" t="str">
        <x:v>1.1.3.2</x:v>
      </x:c>
      <x:c r="J227" s="5" t="str">
        <x:v>Wirtschaftspolitische Maßnahmen und Konzeptionen</x:v>
      </x:c>
      <x:c r="K227" s="5" t="str"/>
      <x:c r="L227" s="5" t="str">
        <x:v>Geld- &amp; Finanzpolitik</x:v>
      </x:c>
      <x:c r="M227" s="5" t="n">
        <x:v>95</x:v>
      </x:c>
      <x:c r="N227" s="5" t="n">
        <x:v>13</x:v>
      </x:c>
      <x:c r="O227" s="5" t="str"/>
      <x:c r="P227" s="5" t="str">
        <x:v>Zuordnungsvorschlag; Fachfreigabe ausstehend</x:v>
      </x:c>
      <x:c r="Q227" s="5" t="str">
        <x:v>Bestehendes Lernthema fachlich unter passendem Rahmenplan-Unterbereich behalten</x:v>
      </x:c>
      <x:c r="R227" s="5" t="str">
        <x:v>Erläutern Sie das Grundprinzip der deutschen Schuldenbremse nach aktuellem Verfassungsrecht.</x:v>
      </x:c>
      <x:c r="S227" s="5" t="str">
        <x:v>d99b59dc2aaa1307c56a4640bf4b945a3f98e2d8e93c8e71f0f387785d6707c9</x:v>
      </x:c>
    </x:row>
    <x:row r="228" ht="36" customHeight="1">
      <x:c r="A228" s="5" t="str">
        <x:v>VWL-0096</x:v>
      </x:c>
      <x:c r="B228" s="5" t="str">
        <x:v>WQ</x:v>
      </x:c>
      <x:c r="C228" s="5" t="str">
        <x:v>1</x:v>
      </x:c>
      <x:c r="D228" s="5" t="str">
        <x:v>Volks- und Betriebswirtschaft</x:v>
      </x:c>
      <x:c r="E228" s="5" t="str">
        <x:v>VWL</x:v>
      </x:c>
      <x:c r="F228" s="5" t="str">
        <x:v>ui-wq-0001</x:v>
      </x:c>
      <x:c r="G228" s="5" t="str">
        <x:v>Volkswirtschaftliche Grundlagen</x:v>
      </x:c>
      <x:c r="H228" s="5" t="str">
        <x:v>dg-wq-0061</x:v>
      </x:c>
      <x:c r="I228" s="5" t="str">
        <x:v>1.1.3.2</x:v>
      </x:c>
      <x:c r="J228" s="5" t="str">
        <x:v>Wirtschaftspolitische Maßnahmen und Konzeptionen</x:v>
      </x:c>
      <x:c r="K228" s="5" t="str"/>
      <x:c r="L228" s="5" t="str">
        <x:v>Wachstums-, Tarif- &amp; Arbeitsmarktpolitik</x:v>
      </x:c>
      <x:c r="M228" s="5" t="n">
        <x:v>96</x:v>
      </x:c>
      <x:c r="N228" s="5" t="n">
        <x:v>14</x:v>
      </x:c>
      <x:c r="O228" s="5" t="str"/>
      <x:c r="P228" s="5" t="str">
        <x:v>Zuordnungsvorschlag; Fachfreigabe ausstehend</x:v>
      </x:c>
      <x:c r="Q228" s="5" t="str">
        <x:v>Bestehendes Lernthema fachlich unter passendem Rahmenplan-Unterbereich behalten</x:v>
      </x:c>
      <x:c r="R228" s="5" t="str">
        <x:v>Unterscheiden Sie quantitatives und qualitatives Wirtschaftswachstum und erklären Sie, warum das BIP kein vollständiger Wohlstandsindikator ist.</x:v>
      </x:c>
      <x:c r="S228" s="5" t="str">
        <x:v>f82c132c47d26a7a2956b9fd48cb21ff2d2a7e12f5bfd9c1f4cffe3d7a17d54e</x:v>
      </x:c>
    </x:row>
    <x:row r="229" ht="36" customHeight="1">
      <x:c r="A229" s="5" t="str">
        <x:v>VWL-0097</x:v>
      </x:c>
      <x:c r="B229" s="5" t="str">
        <x:v>WQ</x:v>
      </x:c>
      <x:c r="C229" s="5" t="str">
        <x:v>1</x:v>
      </x:c>
      <x:c r="D229" s="5" t="str">
        <x:v>Volks- und Betriebswirtschaft</x:v>
      </x:c>
      <x:c r="E229" s="5" t="str">
        <x:v>VWL</x:v>
      </x:c>
      <x:c r="F229" s="5" t="str">
        <x:v>ui-wq-0001</x:v>
      </x:c>
      <x:c r="G229" s="5" t="str">
        <x:v>Volkswirtschaftliche Grundlagen</x:v>
      </x:c>
      <x:c r="H229" s="5" t="str">
        <x:v>dg-wq-0061</x:v>
      </x:c>
      <x:c r="I229" s="5" t="str">
        <x:v>1.1.3.2</x:v>
      </x:c>
      <x:c r="J229" s="5" t="str">
        <x:v>Wirtschaftspolitische Maßnahmen und Konzeptionen</x:v>
      </x:c>
      <x:c r="K229" s="5" t="str"/>
      <x:c r="L229" s="5" t="str">
        <x:v>Wachstums-, Tarif- &amp; Arbeitsmarktpolitik</x:v>
      </x:c>
      <x:c r="M229" s="5" t="n">
        <x:v>97</x:v>
      </x:c>
      <x:c r="N229" s="5" t="n">
        <x:v>15</x:v>
      </x:c>
      <x:c r="O229" s="5" t="str"/>
      <x:c r="P229" s="5" t="str">
        <x:v>Zuordnungsvorschlag; Fachfreigabe ausstehend</x:v>
      </x:c>
      <x:c r="Q229" s="5" t="str">
        <x:v>Bestehendes Lernthema fachlich unter passendem Rahmenplan-Unterbereich behalten</x:v>
      </x:c>
      <x:c r="R229" s="5" t="str">
        <x:v>Welche Parteien können in Deutschland Tarifverträge abschließen?</x:v>
      </x:c>
      <x:c r="S229" s="5" t="str">
        <x:v>494e0051125869d863740f0fff6edeb63f3264c666bf41577f2e126c5f9606ff</x:v>
      </x:c>
    </x:row>
    <x:row r="230" ht="36" customHeight="1">
      <x:c r="A230" s="5" t="str">
        <x:v>VWL-0098</x:v>
      </x:c>
      <x:c r="B230" s="5" t="str">
        <x:v>WQ</x:v>
      </x:c>
      <x:c r="C230" s="5" t="str">
        <x:v>1</x:v>
      </x:c>
      <x:c r="D230" s="5" t="str">
        <x:v>Volks- und Betriebswirtschaft</x:v>
      </x:c>
      <x:c r="E230" s="5" t="str">
        <x:v>VWL</x:v>
      </x:c>
      <x:c r="F230" s="5" t="str">
        <x:v>ui-wq-0001</x:v>
      </x:c>
      <x:c r="G230" s="5" t="str">
        <x:v>Volkswirtschaftliche Grundlagen</x:v>
      </x:c>
      <x:c r="H230" s="5" t="str">
        <x:v>dg-wq-0061</x:v>
      </x:c>
      <x:c r="I230" s="5" t="str">
        <x:v>1.1.3.2</x:v>
      </x:c>
      <x:c r="J230" s="5" t="str">
        <x:v>Wirtschaftspolitische Maßnahmen und Konzeptionen</x:v>
      </x:c>
      <x:c r="K230" s="5" t="str"/>
      <x:c r="L230" s="5" t="str">
        <x:v>Wachstums-, Tarif- &amp; Arbeitsmarktpolitik</x:v>
      </x:c>
      <x:c r="M230" s="5" t="n">
        <x:v>98</x:v>
      </x:c>
      <x:c r="N230" s="5" t="n">
        <x:v>16</x:v>
      </x:c>
      <x:c r="O230" s="5" t="str"/>
      <x:c r="P230" s="5" t="str">
        <x:v>Zuordnungsvorschlag; Fachfreigabe ausstehend</x:v>
      </x:c>
      <x:c r="Q230" s="5" t="str">
        <x:v>Bestehendes Lernthema fachlich unter passendem Rahmenplan-Unterbereich behalten</x:v>
      </x:c>
      <x:c r="R230" s="5" t="str">
        <x:v>Ergänzen Sie den Lückentext zur Tarifautonomie.</x:v>
      </x:c>
      <x:c r="S230" s="5" t="str">
        <x:v>dd17fc62606613b199be126b802e46757f8eb90c2678c155cbb3e313eb289977</x:v>
      </x:c>
    </x:row>
    <x:row r="231" ht="36" customHeight="1">
      <x:c r="A231" s="5" t="str">
        <x:v>VWL-0099</x:v>
      </x:c>
      <x:c r="B231" s="5" t="str">
        <x:v>WQ</x:v>
      </x:c>
      <x:c r="C231" s="5" t="str">
        <x:v>1</x:v>
      </x:c>
      <x:c r="D231" s="5" t="str">
        <x:v>Volks- und Betriebswirtschaft</x:v>
      </x:c>
      <x:c r="E231" s="5" t="str">
        <x:v>VWL</x:v>
      </x:c>
      <x:c r="F231" s="5" t="str">
        <x:v>ui-wq-0001</x:v>
      </x:c>
      <x:c r="G231" s="5" t="str">
        <x:v>Volkswirtschaftliche Grundlagen</x:v>
      </x:c>
      <x:c r="H231" s="5" t="str">
        <x:v>dg-wq-0061</x:v>
      </x:c>
      <x:c r="I231" s="5" t="str">
        <x:v>1.1.3.2</x:v>
      </x:c>
      <x:c r="J231" s="5" t="str">
        <x:v>Wirtschaftspolitische Maßnahmen und Konzeptionen</x:v>
      </x:c>
      <x:c r="K231" s="5" t="str"/>
      <x:c r="L231" s="5" t="str">
        <x:v>Wachstums-, Tarif- &amp; Arbeitsmarktpolitik</x:v>
      </x:c>
      <x:c r="M231" s="5" t="n">
        <x:v>99</x:v>
      </x:c>
      <x:c r="N231" s="5" t="n">
        <x:v>17</x:v>
      </x:c>
      <x:c r="O231" s="5" t="str"/>
      <x:c r="P231" s="5" t="str">
        <x:v>Zuordnungsvorschlag; Fachfreigabe ausstehend</x:v>
      </x:c>
      <x:c r="Q231" s="5" t="str">
        <x:v>Bestehendes Lernthema fachlich unter passendem Rahmenplan-Unterbereich behalten</x:v>
      </x:c>
      <x:c r="R231" s="5" t="str">
        <x:v>Stellen Sie produktivitätsorientierte und kaufkraftorientierte Lohnpolitik gegenüber und erläutern Sie mögliche volkswirtschaftliche Folgen überhöhter Lohnsteigerungen.</x:v>
      </x:c>
      <x:c r="S231" s="5" t="str">
        <x:v>b2a5cc0c4fbd4ed21f61d79aae64b27fd64234c2323b05aa165ae7f751409828</x:v>
      </x:c>
    </x:row>
    <x:row r="232" ht="36" customHeight="1">
      <x:c r="A232" s="5" t="str">
        <x:v>VWL-0100</x:v>
      </x:c>
      <x:c r="B232" s="5" t="str">
        <x:v>WQ</x:v>
      </x:c>
      <x:c r="C232" s="5" t="str">
        <x:v>1</x:v>
      </x:c>
      <x:c r="D232" s="5" t="str">
        <x:v>Volks- und Betriebswirtschaft</x:v>
      </x:c>
      <x:c r="E232" s="5" t="str">
        <x:v>VWL</x:v>
      </x:c>
      <x:c r="F232" s="5" t="str">
        <x:v>ui-wq-0001</x:v>
      </x:c>
      <x:c r="G232" s="5" t="str">
        <x:v>Volkswirtschaftliche Grundlagen</x:v>
      </x:c>
      <x:c r="H232" s="5" t="str">
        <x:v>dg-wq-0061</x:v>
      </x:c>
      <x:c r="I232" s="5" t="str">
        <x:v>1.1.3.2#5</x:v>
      </x:c>
      <x:c r="J232" s="5" t="str">
        <x:v>Arbeitsmarktpolitik</x:v>
      </x:c>
      <x:c r="K232" s="5" t="str"/>
      <x:c r="L232" s="5" t="str">
        <x:v>Wachstums-, Tarif- &amp; Arbeitsmarktpolitik</x:v>
      </x:c>
      <x:c r="M232" s="5" t="n">
        <x:v>100</x:v>
      </x:c>
      <x:c r="N232" s="5" t="n">
        <x:v>18</x:v>
      </x:c>
      <x:c r="O232" s="5" t="str"/>
      <x:c r="P232" s="5" t="str">
        <x:v>Zuordnungsvorschlag; Fachfreigabe ausstehend</x:v>
      </x:c>
      <x:c r="Q232" s="5" t="str">
        <x:v>Bestehendes Lernthema fachlich unter passendem Rahmenplan-Unterbereich behalten</x:v>
      </x:c>
      <x:c r="R232" s="5" t="str">
        <x:v>Unterscheiden Sie ersten und zweiten Arbeitsmarkt sowie aktive und passive Arbeitsmarktpolitik. Erläutern Sie außerdem das Prinzip „Fördern und Fordern“.</x:v>
      </x:c>
      <x:c r="S232" s="5" t="str">
        <x:v>d6804043dc45d597dc26285b970b03cecaed8dc546cfd010aba316f2285fe24f</x:v>
      </x:c>
    </x:row>
    <x:row r="233" ht="36" customHeight="1">
      <x:c r="A233" s="5" t="str">
        <x:v>VWL-0101</x:v>
      </x:c>
      <x:c r="B233" s="5" t="str">
        <x:v>WQ</x:v>
      </x:c>
      <x:c r="C233" s="5" t="str">
        <x:v>1</x:v>
      </x:c>
      <x:c r="D233" s="5" t="str">
        <x:v>Volks- und Betriebswirtschaft</x:v>
      </x:c>
      <x:c r="E233" s="5" t="str">
        <x:v>VWL</x:v>
      </x:c>
      <x:c r="F233" s="5" t="str">
        <x:v>ui-wq-0001</x:v>
      </x:c>
      <x:c r="G233" s="5" t="str">
        <x:v>Volkswirtschaftliche Grundlagen</x:v>
      </x:c>
      <x:c r="H233" s="5" t="str">
        <x:v>dg-wq-0061</x:v>
      </x:c>
      <x:c r="I233" s="5" t="str">
        <x:v>1.1.3.2</x:v>
      </x:c>
      <x:c r="J233" s="5" t="str">
        <x:v>Wirtschaftspolitische Maßnahmen und Konzeptionen</x:v>
      </x:c>
      <x:c r="K233" s="5" t="str"/>
      <x:c r="L233" s="5" t="str">
        <x:v>Wachstums-, Tarif- &amp; Arbeitsmarktpolitik</x:v>
      </x:c>
      <x:c r="M233" s="5" t="n">
        <x:v>101</x:v>
      </x:c>
      <x:c r="N233" s="5" t="n">
        <x:v>19</x:v>
      </x:c>
      <x:c r="O233" s="5" t="str"/>
      <x:c r="P233" s="5" t="str">
        <x:v>Zuordnungsvorschlag; Fachfreigabe ausstehend</x:v>
      </x:c>
      <x:c r="Q233" s="5" t="str">
        <x:v>Bestehendes Lernthema fachlich unter passendem Rahmenplan-Unterbereich behalten</x:v>
      </x:c>
      <x:c r="R233" s="5" t="str">
        <x:v>Nennen Sie mindestens vier strukturelle Kritikpunkte, die trotz hoher Beschäftigung auf einem Arbeitsmarkt bestehen können.</x:v>
      </x:c>
      <x:c r="S233" s="5" t="str">
        <x:v>1339ffb52d6a82f2de4488c295248454cb3cc160a3ce324f5fd4f90dcfa4a126</x:v>
      </x:c>
    </x:row>
    <x:row r="234" ht="36" customHeight="1">
      <x:c r="A234" s="5" t="str">
        <x:v>VWL-0102</x:v>
      </x:c>
      <x:c r="B234" s="5" t="str">
        <x:v>WQ</x:v>
      </x:c>
      <x:c r="C234" s="5" t="str">
        <x:v>1</x:v>
      </x:c>
      <x:c r="D234" s="5" t="str">
        <x:v>Volks- und Betriebswirtschaft</x:v>
      </x:c>
      <x:c r="E234" s="5" t="str">
        <x:v>VWL</x:v>
      </x:c>
      <x:c r="F234" s="5" t="str">
        <x:v>ui-wq-0001</x:v>
      </x:c>
      <x:c r="G234" s="5" t="str">
        <x:v>Volkswirtschaftliche Grundlagen</x:v>
      </x:c>
      <x:c r="H234" s="5" t="str">
        <x:v>dg-wq-0061</x:v>
      </x:c>
      <x:c r="I234" s="5" t="str">
        <x:v>1.1.3.2</x:v>
      </x:c>
      <x:c r="J234" s="5" t="str">
        <x:v>Wirtschaftspolitische Maßnahmen und Konzeptionen</x:v>
      </x:c>
      <x:c r="K234" s="5" t="str"/>
      <x:c r="L234" s="5" t="str">
        <x:v>Wachstums-, Tarif- &amp; Arbeitsmarktpolitik</x:v>
      </x:c>
      <x:c r="M234" s="5" t="n">
        <x:v>102</x:v>
      </x:c>
      <x:c r="N234" s="5" t="n">
        <x:v>20</x:v>
      </x:c>
      <x:c r="O234" s="5" t="str"/>
      <x:c r="P234" s="5" t="str">
        <x:v>Zuordnungsvorschlag; Fachfreigabe ausstehend</x:v>
      </x:c>
      <x:c r="Q234" s="5" t="str">
        <x:v>Bestehendes Lernthema fachlich unter passendem Rahmenplan-Unterbereich behalten</x:v>
      </x:c>
      <x:c r="R234" s="5" t="str">
        <x:v>Nennen Sie aktuelle strukturelle Herausforderungen des deutschen Arbeitsmarkts.</x:v>
      </x:c>
      <x:c r="S234" s="5" t="str">
        <x:v>8c20e3f5be0625b27d3bd4c4c0800d1f7caa28d727950f4c3995facd5a448985</x:v>
      </x:c>
    </x:row>
    <x:row r="235" ht="36" customHeight="1">
      <x:c r="A235" s="5" t="str">
        <x:v>VWL-0103</x:v>
      </x:c>
      <x:c r="B235" s="5" t="str">
        <x:v>WQ</x:v>
      </x:c>
      <x:c r="C235" s="5" t="str">
        <x:v>1</x:v>
      </x:c>
      <x:c r="D235" s="5" t="str">
        <x:v>Volks- und Betriebswirtschaft</x:v>
      </x:c>
      <x:c r="E235" s="5" t="str">
        <x:v>VWL</x:v>
      </x:c>
      <x:c r="F235" s="5" t="str">
        <x:v>ui-wq-0001</x:v>
      </x:c>
      <x:c r="G235" s="5" t="str">
        <x:v>Volkswirtschaftliche Grundlagen</x:v>
      </x:c>
      <x:c r="H235" s="5" t="str">
        <x:v>dg-wq-0061</x:v>
      </x:c>
      <x:c r="I235" s="5" t="str">
        <x:v>1.1.3.2</x:v>
      </x:c>
      <x:c r="J235" s="5" t="str">
        <x:v>Wirtschaftspolitische Maßnahmen und Konzeptionen</x:v>
      </x:c>
      <x:c r="K235" s="5" t="str"/>
      <x:c r="L235" s="5" t="str">
        <x:v>Umweltpolitik &amp; nachfrage-/angebotsorientierte Politik</x:v>
      </x:c>
      <x:c r="M235" s="5" t="n">
        <x:v>103</x:v>
      </x:c>
      <x:c r="N235" s="5" t="n">
        <x:v>21</x:v>
      </x:c>
      <x:c r="O235" s="5" t="str"/>
      <x:c r="P235" s="5" t="str">
        <x:v>Zuordnungsvorschlag; Fachfreigabe ausstehend</x:v>
      </x:c>
      <x:c r="Q235" s="5" t="str">
        <x:v>Bestehendes Lernthema fachlich unter passendem Rahmenplan-Unterbereich behalten</x:v>
      </x:c>
      <x:c r="R235" s="5" t="str">
        <x:v>Ordnen Sie Vorsorge-, Verursacher-, Kooperations- und Gemeinlastprinzip den passenden Aussagen zu.</x:v>
      </x:c>
      <x:c r="S235" s="5" t="str">
        <x:v>6c948a4049063d8eccf05b96961ac2169053bdd59fbc9b7767324d6c443e78be</x:v>
      </x:c>
    </x:row>
    <x:row r="236" ht="36" customHeight="1">
      <x:c r="A236" s="5" t="str">
        <x:v>VWL-0104</x:v>
      </x:c>
      <x:c r="B236" s="5" t="str">
        <x:v>WQ</x:v>
      </x:c>
      <x:c r="C236" s="5" t="str">
        <x:v>1</x:v>
      </x:c>
      <x:c r="D236" s="5" t="str">
        <x:v>Volks- und Betriebswirtschaft</x:v>
      </x:c>
      <x:c r="E236" s="5" t="str">
        <x:v>VWL</x:v>
      </x:c>
      <x:c r="F236" s="5" t="str">
        <x:v>ui-wq-0001</x:v>
      </x:c>
      <x:c r="G236" s="5" t="str">
        <x:v>Volkswirtschaftliche Grundlagen</x:v>
      </x:c>
      <x:c r="H236" s="5" t="str">
        <x:v>dg-wq-0061</x:v>
      </x:c>
      <x:c r="I236" s="5" t="str">
        <x:v>1.1.3.2#6</x:v>
      </x:c>
      <x:c r="J236" s="5" t="str">
        <x:v>Umweltpolitik</x:v>
      </x:c>
      <x:c r="K236" s="5" t="str"/>
      <x:c r="L236" s="5" t="str">
        <x:v>Umweltpolitik &amp; nachfrage-/angebotsorientierte Politik</x:v>
      </x:c>
      <x:c r="M236" s="5" t="n">
        <x:v>104</x:v>
      </x:c>
      <x:c r="N236" s="5" t="n">
        <x:v>22</x:v>
      </x:c>
      <x:c r="O236" s="5" t="str"/>
      <x:c r="P236" s="5" t="str">
        <x:v>Zuordnungsvorschlag; Fachfreigabe ausstehend</x:v>
      </x:c>
      <x:c r="Q236" s="5" t="str">
        <x:v>Bestehendes Lernthema fachlich unter passendem Rahmenplan-Unterbereich behalten</x:v>
      </x:c>
      <x:c r="R236" s="5" t="str">
        <x:v>Nennen Sie mindestens drei Instrumente, mit denen der Staat das Verhalten privater Wirtschaftssubjekte in der Umweltpolitik beeinflussen kann.</x:v>
      </x:c>
      <x:c r="S236" s="5" t="str">
        <x:v>61ad00893860b41602e626ecd9041c09a5f0b4dd4a3c2de5f9b87b123a49e481</x:v>
      </x:c>
    </x:row>
    <x:row r="237" ht="36" customHeight="1">
      <x:c r="A237" s="5" t="str">
        <x:v>VWL-0105</x:v>
      </x:c>
      <x:c r="B237" s="5" t="str">
        <x:v>WQ</x:v>
      </x:c>
      <x:c r="C237" s="5" t="str">
        <x:v>1</x:v>
      </x:c>
      <x:c r="D237" s="5" t="str">
        <x:v>Volks- und Betriebswirtschaft</x:v>
      </x:c>
      <x:c r="E237" s="5" t="str">
        <x:v>VWL</x:v>
      </x:c>
      <x:c r="F237" s="5" t="str">
        <x:v>ui-wq-0001</x:v>
      </x:c>
      <x:c r="G237" s="5" t="str">
        <x:v>Volkswirtschaftliche Grundlagen</x:v>
      </x:c>
      <x:c r="H237" s="5" t="str">
        <x:v>dg-wq-0061</x:v>
      </x:c>
      <x:c r="I237" s="5" t="str">
        <x:v>1.1.3.2</x:v>
      </x:c>
      <x:c r="J237" s="5" t="str">
        <x:v>Wirtschaftspolitische Maßnahmen und Konzeptionen</x:v>
      </x:c>
      <x:c r="K237" s="5" t="str"/>
      <x:c r="L237" s="5" t="str">
        <x:v>Umweltpolitik &amp; nachfrage-/angebotsorientierte Politik</x:v>
      </x:c>
      <x:c r="M237" s="5" t="n">
        <x:v>105</x:v>
      </x:c>
      <x:c r="N237" s="5" t="n">
        <x:v>23</x:v>
      </x:c>
      <x:c r="O237" s="5" t="str"/>
      <x:c r="P237" s="5" t="str">
        <x:v>Zuordnungsvorschlag; Fachfreigabe ausstehend</x:v>
      </x:c>
      <x:c r="Q237" s="5" t="str">
        <x:v>Bestehendes Lernthema fachlich unter passendem Rahmenplan-Unterbereich behalten</x:v>
      </x:c>
      <x:c r="R237" s="5" t="str">
        <x:v>Erklären Sie das Grundprinzip eines Emissionszertifikatehandels.</x:v>
      </x:c>
      <x:c r="S237" s="5" t="str">
        <x:v>47783675cb96165bf095049ce9f44421874fcafd72f15e524ab2f5ae532be9cf</x:v>
      </x:c>
    </x:row>
    <x:row r="238" ht="36" customHeight="1">
      <x:c r="A238" s="5" t="str">
        <x:v>VWL-0106</x:v>
      </x:c>
      <x:c r="B238" s="5" t="str">
        <x:v>WQ</x:v>
      </x:c>
      <x:c r="C238" s="5" t="str">
        <x:v>1</x:v>
      </x:c>
      <x:c r="D238" s="5" t="str">
        <x:v>Volks- und Betriebswirtschaft</x:v>
      </x:c>
      <x:c r="E238" s="5" t="str">
        <x:v>VWL</x:v>
      </x:c>
      <x:c r="F238" s="5" t="str">
        <x:v>ui-wq-0001</x:v>
      </x:c>
      <x:c r="G238" s="5" t="str">
        <x:v>Volkswirtschaftliche Grundlagen</x:v>
      </x:c>
      <x:c r="H238" s="5" t="str">
        <x:v>dg-wq-0061</x:v>
      </x:c>
      <x:c r="I238" s="5" t="str">
        <x:v>1.1.3.2</x:v>
      </x:c>
      <x:c r="J238" s="5" t="str">
        <x:v>Wirtschaftspolitische Maßnahmen und Konzeptionen</x:v>
      </x:c>
      <x:c r="K238" s="5" t="str"/>
      <x:c r="L238" s="5" t="str">
        <x:v>Umweltpolitik &amp; nachfrage-/angebotsorientierte Politik</x:v>
      </x:c>
      <x:c r="M238" s="5" t="n">
        <x:v>106</x:v>
      </x:c>
      <x:c r="N238" s="5" t="n">
        <x:v>24</x:v>
      </x:c>
      <x:c r="O238" s="5" t="str"/>
      <x:c r="P238" s="5" t="str">
        <x:v>Zuordnungsvorschlag; Fachfreigabe ausstehend</x:v>
      </x:c>
      <x:c r="Q238" s="5" t="str">
        <x:v>Bestehendes Lernthema fachlich unter passendem Rahmenplan-Unterbereich behalten</x:v>
      </x:c>
      <x:c r="R238" s="5" t="str">
        <x:v>Nennen Sie mindestens drei Regeln nachhaltigen Wirtschaftens.</x:v>
      </x:c>
      <x:c r="S238" s="5" t="str">
        <x:v>39ea7fde94cba5bd6580caee0109b6fe28f1331848b9ab0fb6f59a74f6078c79</x:v>
      </x:c>
    </x:row>
    <x:row r="239" ht="36" customHeight="1">
      <x:c r="A239" s="5" t="str">
        <x:v>VWL-0107</x:v>
      </x:c>
      <x:c r="B239" s="5" t="str">
        <x:v>WQ</x:v>
      </x:c>
      <x:c r="C239" s="5" t="str">
        <x:v>1</x:v>
      </x:c>
      <x:c r="D239" s="5" t="str">
        <x:v>Volks- und Betriebswirtschaft</x:v>
      </x:c>
      <x:c r="E239" s="5" t="str">
        <x:v>VWL</x:v>
      </x:c>
      <x:c r="F239" s="5" t="str">
        <x:v>ui-wq-0001</x:v>
      </x:c>
      <x:c r="G239" s="5" t="str">
        <x:v>Volkswirtschaftliche Grundlagen</x:v>
      </x:c>
      <x:c r="H239" s="5" t="str">
        <x:v>dg-wq-0061</x:v>
      </x:c>
      <x:c r="I239" s="5" t="str">
        <x:v>1.1.3.2#7</x:v>
      </x:c>
      <x:c r="J239" s="5" t="str">
        <x:v>Unterscheidung nachfrage- und angebotsorientierte Wirtschaftspolitik</x:v>
      </x:c>
      <x:c r="K239" s="5" t="str"/>
      <x:c r="L239" s="5" t="str">
        <x:v>Umweltpolitik &amp; nachfrage-/angebotsorientierte Politik</x:v>
      </x:c>
      <x:c r="M239" s="5" t="n">
        <x:v>107</x:v>
      </x:c>
      <x:c r="N239" s="5" t="n">
        <x:v>25</x:v>
      </x:c>
      <x:c r="O239" s="5" t="str"/>
      <x:c r="P239" s="5" t="str">
        <x:v>Zuordnungsvorschlag; Fachfreigabe ausstehend</x:v>
      </x:c>
      <x:c r="Q239" s="5" t="str">
        <x:v>Bestehendes Lernthema fachlich unter passendem Rahmenplan-Unterbereich behalten</x:v>
      </x:c>
      <x:c r="R239" s="5" t="str">
        <x:v>Vergleichen Sie nachfrageorientierte und angebotsorientierte Wirtschaftspolitik hinsichtlich Ziel, Ansatzpunkt und typischer Maßnahmen.</x:v>
      </x:c>
      <x:c r="S239" s="5" t="str">
        <x:v>0b8faff6009231f80bd0b2d03105128821af4f1c90955ab3bbef66cff0b57f7f</x:v>
      </x:c>
    </x:row>
    <x:row r="240" ht="36" customHeight="1">
      <x:c r="A240" s="5" t="str">
        <x:v>VWL-0108</x:v>
      </x:c>
      <x:c r="B240" s="5" t="str">
        <x:v>WQ</x:v>
      </x:c>
      <x:c r="C240" s="5" t="str">
        <x:v>1</x:v>
      </x:c>
      <x:c r="D240" s="5" t="str">
        <x:v>Volks- und Betriebswirtschaft</x:v>
      </x:c>
      <x:c r="E240" s="5" t="str">
        <x:v>VWL</x:v>
      </x:c>
      <x:c r="F240" s="5" t="str">
        <x:v>ui-wq-0001</x:v>
      </x:c>
      <x:c r="G240" s="5" t="str">
        <x:v>Volkswirtschaftliche Grundlagen</x:v>
      </x:c>
      <x:c r="H240" s="5" t="str">
        <x:v>dg-wq-0061</x:v>
      </x:c>
      <x:c r="I240" s="5" t="str">
        <x:v>1.1.3.2#7</x:v>
      </x:c>
      <x:c r="J240" s="5" t="str">
        <x:v>Unterscheidung nachfrage- und angebotsorientierte Wirtschaftspolitik</x:v>
      </x:c>
      <x:c r="K240" s="5" t="str"/>
      <x:c r="L240" s="5" t="str">
        <x:v>Umweltpolitik &amp; nachfrage-/angebotsorientierte Politik</x:v>
      </x:c>
      <x:c r="M240" s="5" t="n">
        <x:v>108</x:v>
      </x:c>
      <x:c r="N240" s="5" t="n">
        <x:v>26</x:v>
      </x:c>
      <x:c r="O240" s="5" t="str"/>
      <x:c r="P240" s="5" t="str">
        <x:v>Zuordnungsvorschlag; Fachfreigabe ausstehend</x:v>
      </x:c>
      <x:c r="Q240" s="5" t="str">
        <x:v>Bestehendes Lernthema fachlich unter passendem Rahmenplan-Unterbereich behalten</x:v>
      </x:c>
      <x:c r="R240" s="5" t="str">
        <x:v>Wie unterscheidet sich die Rolle des Staates in der nachfrageorientierten von der angebotsorientierten Wirtschaftspolitik?</x:v>
      </x:c>
      <x:c r="S240" s="5" t="str">
        <x:v>ec841aac071a89eec541ba800650721ebbda7e8401f84879fabf2c01fb4a88d0</x:v>
      </x:c>
    </x:row>
    <x:row r="241" ht="36" customHeight="1">
      <x:c r="A241" s="5" t="str">
        <x:v>VWL-0109</x:v>
      </x:c>
      <x:c r="B241" s="5" t="str">
        <x:v>WQ</x:v>
      </x:c>
      <x:c r="C241" s="5" t="str">
        <x:v>1</x:v>
      </x:c>
      <x:c r="D241" s="5" t="str">
        <x:v>Volks- und Betriebswirtschaft</x:v>
      </x:c>
      <x:c r="E241" s="5" t="str">
        <x:v>VWL</x:v>
      </x:c>
      <x:c r="F241" s="5" t="str">
        <x:v>ui-wq-0001</x:v>
      </x:c>
      <x:c r="G241" s="5" t="str">
        <x:v>Volkswirtschaftliche Grundlagen</x:v>
      </x:c>
      <x:c r="H241" s="5" t="str">
        <x:v>dg-wq-0061</x:v>
      </x:c>
      <x:c r="I241" s="5" t="str">
        <x:v>1.1.3.2#7</x:v>
      </x:c>
      <x:c r="J241" s="5" t="str">
        <x:v>Unterscheidung nachfrage- und angebotsorientierte Wirtschaftspolitik</x:v>
      </x:c>
      <x:c r="K241" s="5" t="str"/>
      <x:c r="L241" s="5" t="str">
        <x:v>Umweltpolitik &amp; nachfrage-/angebotsorientierte Politik</x:v>
      </x:c>
      <x:c r="M241" s="5" t="n">
        <x:v>109</x:v>
      </x:c>
      <x:c r="N241" s="5" t="n">
        <x:v>27</x:v>
      </x:c>
      <x:c r="O241" s="5" t="str"/>
      <x:c r="P241" s="5" t="str">
        <x:v>Zuordnungsvorschlag; Fachfreigabe ausstehend</x:v>
      </x:c>
      <x:c r="Q241" s="5" t="str">
        <x:v>Bestehendes Lernthema fachlich unter passendem Rahmenplan-Unterbereich behalten</x:v>
      </x:c>
      <x:c r="R241" s="5" t="str">
        <x:v>Nennen Sie jeweils mindestens drei Kritikpunkte an nachfrageorientierter und angebotsorientierter Wirtschaftspolitik.</x:v>
      </x:c>
      <x:c r="S241" s="5" t="str">
        <x:v>23e02e31173d5d798d830aa46cdc7775b43f6cdd7ab10b25050a634c6469ed8a</x:v>
      </x:c>
    </x:row>
    <x:row r="242" ht="36" customHeight="1">
      <x:c r="A242" s="5" t="str">
        <x:v>VWL-0110</x:v>
      </x:c>
      <x:c r="B242" s="5" t="str">
        <x:v>WQ</x:v>
      </x:c>
      <x:c r="C242" s="5" t="str">
        <x:v>1</x:v>
      </x:c>
      <x:c r="D242" s="5" t="str">
        <x:v>Volks- und Betriebswirtschaft</x:v>
      </x:c>
      <x:c r="E242" s="5" t="str">
        <x:v>VWL</x:v>
      </x:c>
      <x:c r="F242" s="5" t="str">
        <x:v>ui-wq-0001</x:v>
      </x:c>
      <x:c r="G242" s="5" t="str">
        <x:v>Volkswirtschaftliche Grundlagen</x:v>
      </x:c>
      <x:c r="H242" s="5" t="str">
        <x:v>dg-wq-0061</x:v>
      </x:c>
      <x:c r="I242" s="5" t="str">
        <x:v>1.1.3.2</x:v>
      </x:c>
      <x:c r="J242" s="5" t="str">
        <x:v>Wirtschaftspolitische Maßnahmen und Konzeptionen</x:v>
      </x:c>
      <x:c r="K242" s="5" t="str"/>
      <x:c r="L242" s="5" t="str">
        <x:v>Umweltpolitik &amp; nachfrage-/angebotsorientierte Politik</x:v>
      </x:c>
      <x:c r="M242" s="5" t="n">
        <x:v>110</x:v>
      </x:c>
      <x:c r="N242" s="5" t="n">
        <x:v>28</x:v>
      </x:c>
      <x:c r="O242" s="5" t="str"/>
      <x:c r="P242" s="5" t="str">
        <x:v>Zuordnungsvorschlag; Fachfreigabe ausstehend</x:v>
      </x:c>
      <x:c r="Q242" s="5" t="str">
        <x:v>Bestehendes Lernthema fachlich unter passendem Rahmenplan-Unterbereich behalten</x:v>
      </x:c>
      <x:c r="R242" s="5" t="str">
        <x:v>Wer sind die sogenannten „fünf Wirtschaftsweisen“ und welche Aufgabe haben sie?</x:v>
      </x:c>
      <x:c r="S242" s="5" t="str">
        <x:v>213d762a7447bd921df24e6e50a0c823a32ceff9b39888d81d7c57dad193ea6c</x:v>
      </x:c>
    </x:row>
    <x:row r="243" ht="36" customHeight="1">
      <x:c r="A243" s="5" t="str">
        <x:v>VWL-0111</x:v>
      </x:c>
      <x:c r="B243" s="5" t="str">
        <x:v>WQ</x:v>
      </x:c>
      <x:c r="C243" s="5" t="str">
        <x:v>1</x:v>
      </x:c>
      <x:c r="D243" s="5" t="str">
        <x:v>Volks- und Betriebswirtschaft</x:v>
      </x:c>
      <x:c r="E243" s="5" t="str">
        <x:v>VWL</x:v>
      </x:c>
      <x:c r="F243" s="5" t="str">
        <x:v>ui-wq-0001</x:v>
      </x:c>
      <x:c r="G243" s="5" t="str">
        <x:v>Volkswirtschaftliche Grundlagen</x:v>
      </x:c>
      <x:c r="H243" s="5" t="str">
        <x:v>dg-wq-0061</x:v>
      </x:c>
      <x:c r="I243" s="5" t="str">
        <x:v>1.1.3.2</x:v>
      </x:c>
      <x:c r="J243" s="5" t="str">
        <x:v>Wirtschaftspolitische Maßnahmen und Konzeptionen</x:v>
      </x:c>
      <x:c r="K243" s="5" t="str"/>
      <x:c r="L243" s="5" t="str">
        <x:v>Umweltpolitik &amp; nachfrage-/angebotsorientierte Politik</x:v>
      </x:c>
      <x:c r="M243" s="5" t="n">
        <x:v>111</x:v>
      </x:c>
      <x:c r="N243" s="5" t="n">
        <x:v>29</x:v>
      </x:c>
      <x:c r="O243" s="5" t="str"/>
      <x:c r="P243" s="5" t="str">
        <x:v>Zuordnungsvorschlag; Fachfreigabe ausstehend</x:v>
      </x:c>
      <x:c r="Q243" s="5" t="str">
        <x:v>Bestehendes Lernthema fachlich unter passendem Rahmenplan-Unterbereich behalten</x:v>
      </x:c>
      <x:c r="R243" s="5" t="str">
        <x:v>Wie sollte eine Tabelle mit BIP-Wachstum, Konsum, Investitionen, Außenhandel, Beschäftigung und Inflation zur Beurteilung der Wirtschaftslage ausgewertet werden?</x:v>
      </x:c>
      <x:c r="S243" s="5" t="str">
        <x:v>68404ca0acf9189b44188dcad82b1d2b493114c8d9cb3d57193d34d56336c90c</x:v>
      </x:c>
    </x:row>
    <x:row r="244" ht="36" customHeight="1">
      <x:c r="A244" s="5" t="str">
        <x:v>VWL-0112</x:v>
      </x:c>
      <x:c r="B244" s="5" t="str">
        <x:v>WQ</x:v>
      </x:c>
      <x:c r="C244" s="5" t="str">
        <x:v>1</x:v>
      </x:c>
      <x:c r="D244" s="5" t="str">
        <x:v>Volks- und Betriebswirtschaft</x:v>
      </x:c>
      <x:c r="E244" s="5" t="str">
        <x:v>VWL</x:v>
      </x:c>
      <x:c r="F244" s="5" t="str">
        <x:v>ui-wq-0001</x:v>
      </x:c>
      <x:c r="G244" s="5" t="str">
        <x:v>Volkswirtschaftliche Grundlagen</x:v>
      </x:c>
      <x:c r="H244" s="5" t="str">
        <x:v>dg-wq-0062</x:v>
      </x:c>
      <x:c r="I244" s="5" t="str">
        <x:v>1.1.4.1</x:v>
      </x:c>
      <x:c r="J244" s="5" t="str">
        <x:v>Freihandel und Protektionismus</x:v>
      </x:c>
      <x:c r="K244" s="5" t="str"/>
      <x:c r="L244" s="5" t="str">
        <x:v>Außenwirtschaft, Freihandel &amp; Protektionismus</x:v>
      </x:c>
      <x:c r="M244" s="5" t="n">
        <x:v>112</x:v>
      </x:c>
      <x:c r="N244" s="5" t="n">
        <x:v>1</x:v>
      </x:c>
      <x:c r="O244" s="5" t="str"/>
      <x:c r="P244" s="5" t="str">
        <x:v>Zuordnungsvorschlag; Fachfreigabe ausstehend</x:v>
      </x:c>
      <x:c r="Q244" s="5" t="str">
        <x:v>Bestehendes Lernthema fachlich unter passendem Rahmenplan-Unterbereich behalten</x:v>
      </x:c>
      <x:c r="R244" s="5" t="str">
        <x:v>Stellen Sie Freihandel und Protektionismus gegenüber. Nennen Sie mindestens drei Vorteile des Freihandels und drei Gründe für protektionistische Maßnahmen.</x:v>
      </x:c>
      <x:c r="S244" s="5" t="str">
        <x:v>c9dc45061d52a01c02e9046070c698a700ba068487de9e6685e67d4c76a4c0bb</x:v>
      </x:c>
    </x:row>
    <x:row r="245" ht="36" customHeight="1">
      <x:c r="A245" s="5" t="str">
        <x:v>VWL-0113</x:v>
      </x:c>
      <x:c r="B245" s="5" t="str">
        <x:v>WQ</x:v>
      </x:c>
      <x:c r="C245" s="5" t="str">
        <x:v>1</x:v>
      </x:c>
      <x:c r="D245" s="5" t="str">
        <x:v>Volks- und Betriebswirtschaft</x:v>
      </x:c>
      <x:c r="E245" s="5" t="str">
        <x:v>VWL</x:v>
      </x:c>
      <x:c r="F245" s="5" t="str">
        <x:v>ui-wq-0001</x:v>
      </x:c>
      <x:c r="G245" s="5" t="str">
        <x:v>Volkswirtschaftliche Grundlagen</x:v>
      </x:c>
      <x:c r="H245" s="5" t="str">
        <x:v>dg-wq-0062</x:v>
      </x:c>
      <x:c r="I245" s="5" t="str">
        <x:v>1.1.4.1</x:v>
      </x:c>
      <x:c r="J245" s="5" t="str">
        <x:v>Freihandel und Protektionismus</x:v>
      </x:c>
      <x:c r="K245" s="5" t="str"/>
      <x:c r="L245" s="5" t="str">
        <x:v>Außenwirtschaft, Freihandel &amp; Protektionismus</x:v>
      </x:c>
      <x:c r="M245" s="5" t="n">
        <x:v>113</x:v>
      </x:c>
      <x:c r="N245" s="5" t="n">
        <x:v>2</x:v>
      </x:c>
      <x:c r="O245" s="5" t="str"/>
      <x:c r="P245" s="5" t="str">
        <x:v>Zuordnungsvorschlag; Fachfreigabe ausstehend</x:v>
      </x:c>
      <x:c r="Q245" s="5" t="str">
        <x:v>Bestehendes Lernthema fachlich unter passendem Rahmenplan-Unterbereich behalten</x:v>
      </x:c>
      <x:c r="R245" s="5" t="str">
        <x:v>Unterscheiden Sie tarifäre und nichttarifäre Handelshemmnisse und nennen Sie Beispiele.</x:v>
      </x:c>
      <x:c r="S245" s="5" t="str">
        <x:v>11d553f2d0fbd6121f294c5ee65e36a0581300bc9733c8014b0f79f48629f1bc</x:v>
      </x:c>
    </x:row>
    <x:row r="246" ht="36" customHeight="1">
      <x:c r="A246" s="5" t="str">
        <x:v>VWL-0114</x:v>
      </x:c>
      <x:c r="B246" s="5" t="str">
        <x:v>WQ</x:v>
      </x:c>
      <x:c r="C246" s="5" t="str">
        <x:v>1</x:v>
      </x:c>
      <x:c r="D246" s="5" t="str">
        <x:v>Volks- und Betriebswirtschaft</x:v>
      </x:c>
      <x:c r="E246" s="5" t="str">
        <x:v>VWL</x:v>
      </x:c>
      <x:c r="F246" s="5" t="str">
        <x:v>ui-wq-0001</x:v>
      </x:c>
      <x:c r="G246" s="5" t="str">
        <x:v>Volkswirtschaftliche Grundlagen</x:v>
      </x:c>
      <x:c r="H246" s="5" t="str">
        <x:v>dg-wq-0062</x:v>
      </x:c>
      <x:c r="I246" s="5" t="str">
        <x:v>1.1.4.1</x:v>
      </x:c>
      <x:c r="J246" s="5" t="str">
        <x:v>Freihandel und Protektionismus</x:v>
      </x:c>
      <x:c r="K246" s="5" t="str"/>
      <x:c r="L246" s="5" t="str">
        <x:v>Außenwirtschaft, Freihandel &amp; Protektionismus</x:v>
      </x:c>
      <x:c r="M246" s="5" t="n">
        <x:v>114</x:v>
      </x:c>
      <x:c r="N246" s="5" t="n">
        <x:v>3</x:v>
      </x:c>
      <x:c r="O246" s="5" t="str"/>
      <x:c r="P246" s="5" t="str">
        <x:v>Zuordnungsvorschlag; Fachfreigabe ausstehend</x:v>
      </x:c>
      <x:c r="Q246" s="5" t="str">
        <x:v>Bestehendes Lernthema fachlich unter passendem Rahmenplan-Unterbereich behalten</x:v>
      </x:c>
      <x:c r="R246" s="5" t="str">
        <x:v>Ergänzen Sie zentrale Begriffe zu Zöllen und Importkontingenten.</x:v>
      </x:c>
      <x:c r="S246" s="5" t="str">
        <x:v>48f90b58e0dc353272a9c5ac370cc1f09e44b2a1df1e9da66b3752fee40eee86</x:v>
      </x:c>
    </x:row>
    <x:row r="247" ht="36" customHeight="1">
      <x:c r="A247" s="5" t="str">
        <x:v>VWL-0115</x:v>
      </x:c>
      <x:c r="B247" s="5" t="str">
        <x:v>WQ</x:v>
      </x:c>
      <x:c r="C247" s="5" t="str">
        <x:v>1</x:v>
      </x:c>
      <x:c r="D247" s="5" t="str">
        <x:v>Volks- und Betriebswirtschaft</x:v>
      </x:c>
      <x:c r="E247" s="5" t="str">
        <x:v>VWL</x:v>
      </x:c>
      <x:c r="F247" s="5" t="str">
        <x:v>ui-wq-0001</x:v>
      </x:c>
      <x:c r="G247" s="5" t="str">
        <x:v>Volkswirtschaftliche Grundlagen</x:v>
      </x:c>
      <x:c r="H247" s="5" t="str">
        <x:v>dg-wq-0063</x:v>
      </x:c>
      <x:c r="I247" s="5" t="str">
        <x:v>1.1.4.2#2</x:v>
      </x:c>
      <x:c r="J247" s="5" t="str">
        <x:v>Europäische Währungsunion</x:v>
      </x:c>
      <x:c r="K247" s="5" t="str"/>
      <x:c r="L247" s="5" t="str">
        <x:v>EU-Binnenmarkt &amp; Wirtschafts- und Währungsunion</x:v>
      </x:c>
      <x:c r="M247" s="5" t="n">
        <x:v>115</x:v>
      </x:c>
      <x:c r="N247" s="5" t="n">
        <x:v>1</x:v>
      </x:c>
      <x:c r="O247" s="5" t="str"/>
      <x:c r="P247" s="5" t="str">
        <x:v>Zuordnungsvorschlag; Fachfreigabe ausstehend</x:v>
      </x:c>
      <x:c r="Q247" s="5" t="str">
        <x:v>Bestehendes Lernthema fachlich unter passendem Rahmenplan-Unterbereich behalten</x:v>
      </x:c>
      <x:c r="R247" s="5" t="str">
        <x:v>Wie viele Mitgliedstaaten hat die Europäische Union und wie viele davon verwenden seit 2026 den Euro?</x:v>
      </x:c>
      <x:c r="S247" s="5" t="str">
        <x:v>4e40f9372265254ea2942c847d46384414b1f757d84b1401fd194804f1beddde</x:v>
      </x:c>
    </x:row>
    <x:row r="248" ht="36" customHeight="1">
      <x:c r="A248" s="5" t="str">
        <x:v>VWL-0116</x:v>
      </x:c>
      <x:c r="B248" s="5" t="str">
        <x:v>WQ</x:v>
      </x:c>
      <x:c r="C248" s="5" t="str">
        <x:v>1</x:v>
      </x:c>
      <x:c r="D248" s="5" t="str">
        <x:v>Volks- und Betriebswirtschaft</x:v>
      </x:c>
      <x:c r="E248" s="5" t="str">
        <x:v>VWL</x:v>
      </x:c>
      <x:c r="F248" s="5" t="str">
        <x:v>ui-wq-0001</x:v>
      </x:c>
      <x:c r="G248" s="5" t="str">
        <x:v>Volkswirtschaftliche Grundlagen</x:v>
      </x:c>
      <x:c r="H248" s="5" t="str">
        <x:v>dg-wq-0063</x:v>
      </x:c>
      <x:c r="I248" s="5" t="str">
        <x:v>1.1.4.2</x:v>
      </x:c>
      <x:c r="J248" s="5" t="str">
        <x:v>Besonderheiten der EU</x:v>
      </x:c>
      <x:c r="K248" s="5" t="str"/>
      <x:c r="L248" s="5" t="str">
        <x:v>EU-Binnenmarkt &amp; Wirtschafts- und Währungsunion</x:v>
      </x:c>
      <x:c r="M248" s="5" t="n">
        <x:v>116</x:v>
      </x:c>
      <x:c r="N248" s="5" t="n">
        <x:v>2</x:v>
      </x:c>
      <x:c r="O248" s="5" t="str"/>
      <x:c r="P248" s="5" t="str">
        <x:v>Zuordnungsvorschlag; Fachfreigabe ausstehend</x:v>
      </x:c>
      <x:c r="Q248" s="5" t="str">
        <x:v>Bestehendes Lernthema fachlich unter passendem Rahmenplan-Unterbereich behalten</x:v>
      </x:c>
      <x:c r="R248" s="5" t="str">
        <x:v>Nennen Sie mindestens sieben wirtschaftliche Vorteile bzw. Chancen des europäischen Binnenmarkts.</x:v>
      </x:c>
      <x:c r="S248" s="5" t="str">
        <x:v>b50dcd2756aeb87f96f0af69a834053d38f2c0953cd77259a76b7d3822b5edb1</x:v>
      </x:c>
    </x:row>
    <x:row r="249" ht="36" customHeight="1">
      <x:c r="A249" s="5" t="str">
        <x:v>VWL-0117</x:v>
      </x:c>
      <x:c r="B249" s="5" t="str">
        <x:v>WQ</x:v>
      </x:c>
      <x:c r="C249" s="5" t="str">
        <x:v>1</x:v>
      </x:c>
      <x:c r="D249" s="5" t="str">
        <x:v>Volks- und Betriebswirtschaft</x:v>
      </x:c>
      <x:c r="E249" s="5" t="str">
        <x:v>VWL</x:v>
      </x:c>
      <x:c r="F249" s="5" t="str">
        <x:v>ui-wq-0001</x:v>
      </x:c>
      <x:c r="G249" s="5" t="str">
        <x:v>Volkswirtschaftliche Grundlagen</x:v>
      </x:c>
      <x:c r="H249" s="5" t="str">
        <x:v>dg-wq-0063</x:v>
      </x:c>
      <x:c r="I249" s="5" t="str">
        <x:v>1.1.4.2#2</x:v>
      </x:c>
      <x:c r="J249" s="5" t="str">
        <x:v>Europäische Währungsunion</x:v>
      </x:c>
      <x:c r="K249" s="5" t="str"/>
      <x:c r="L249" s="5" t="str">
        <x:v>EU-Binnenmarkt &amp; Wirtschafts- und Währungsunion</x:v>
      </x:c>
      <x:c r="M249" s="5" t="n">
        <x:v>117</x:v>
      </x:c>
      <x:c r="N249" s="5" t="n">
        <x:v>3</x:v>
      </x:c>
      <x:c r="O249" s="5" t="str"/>
      <x:c r="P249" s="5" t="str">
        <x:v>Zuordnungsvorschlag; Fachfreigabe ausstehend</x:v>
      </x:c>
      <x:c r="Q249" s="5" t="str">
        <x:v>Bestehendes Lernthema fachlich unter passendem Rahmenplan-Unterbereich behalten</x:v>
      </x:c>
      <x:c r="R249" s="5" t="str">
        <x:v>Nennen Sie jeweils mindestens drei wirtschaftliche Vorteile und Nachteile einer gemeinsamen europäischen Währung.</x:v>
      </x:c>
      <x:c r="S249" s="5" t="str">
        <x:v>79e8a031fb1a20c0dbccddc75428ea2deed92c5039f56dc4fd63c3a9a6e66631</x:v>
      </x:c>
    </x:row>
    <x:row r="250" ht="36" customHeight="1">
      <x:c r="A250" s="5" t="str">
        <x:v>VWL-0118</x:v>
      </x:c>
      <x:c r="B250" s="5" t="str">
        <x:v>WQ</x:v>
      </x:c>
      <x:c r="C250" s="5" t="str">
        <x:v>1</x:v>
      </x:c>
      <x:c r="D250" s="5" t="str">
        <x:v>Volks- und Betriebswirtschaft</x:v>
      </x:c>
      <x:c r="E250" s="5" t="str">
        <x:v>VWL</x:v>
      </x:c>
      <x:c r="F250" s="5" t="str">
        <x:v>ui-wq-0001</x:v>
      </x:c>
      <x:c r="G250" s="5" t="str">
        <x:v>Volkswirtschaftliche Grundlagen</x:v>
      </x:c>
      <x:c r="H250" s="5" t="str">
        <x:v>dg-wq-0063</x:v>
      </x:c>
      <x:c r="I250" s="5" t="str">
        <x:v>1.1.4.2#1</x:v>
      </x:c>
      <x:c r="J250" s="5" t="str">
        <x:v>Europäischer Binnenmarkt</x:v>
      </x:c>
      <x:c r="K250" s="5" t="str"/>
      <x:c r="L250" s="5" t="str">
        <x:v>EU-Binnenmarkt &amp; Wirtschafts- und Währungsunion</x:v>
      </x:c>
      <x:c r="M250" s="5" t="n">
        <x:v>118</x:v>
      </x:c>
      <x:c r="N250" s="5" t="n">
        <x:v>4</x:v>
      </x:c>
      <x:c r="O250" s="5" t="str"/>
      <x:c r="P250" s="5" t="str">
        <x:v>Zuordnungsvorschlag; Fachfreigabe ausstehend</x:v>
      </x:c>
      <x:c r="Q250" s="5" t="str">
        <x:v>Bestehendes Lernthema fachlich unter passendem Rahmenplan-Unterbereich behalten</x:v>
      </x:c>
      <x:c r="R250" s="5" t="str">
        <x:v>Welche vier Grundfreiheiten kennzeichnen den EU-Binnenmarkt?</x:v>
      </x:c>
      <x:c r="S250" s="5" t="str">
        <x:v>12ee30feac83dba46a4c6569a142e965164cfd344e45bde2efadd484bc4e2927</x:v>
      </x:c>
    </x:row>
    <x:row r="251" ht="36" customHeight="1">
      <x:c r="A251" s="5" t="str">
        <x:v>VWL-0119</x:v>
      </x:c>
      <x:c r="B251" s="5" t="str">
        <x:v>WQ</x:v>
      </x:c>
      <x:c r="C251" s="5" t="str">
        <x:v>1</x:v>
      </x:c>
      <x:c r="D251" s="5" t="str">
        <x:v>Volks- und Betriebswirtschaft</x:v>
      </x:c>
      <x:c r="E251" s="5" t="str">
        <x:v>VWL</x:v>
      </x:c>
      <x:c r="F251" s="5" t="str">
        <x:v>ui-wq-0001</x:v>
      </x:c>
      <x:c r="G251" s="5" t="str">
        <x:v>Volkswirtschaftliche Grundlagen</x:v>
      </x:c>
      <x:c r="H251" s="5" t="str">
        <x:v>dg-wq-0063</x:v>
      </x:c>
      <x:c r="I251" s="5" t="str">
        <x:v>1.1.4.2</x:v>
      </x:c>
      <x:c r="J251" s="5" t="str">
        <x:v>Besonderheiten der EU</x:v>
      </x:c>
      <x:c r="K251" s="5" t="str"/>
      <x:c r="L251" s="5" t="str">
        <x:v>EU-Binnenmarkt &amp; Wirtschafts- und Währungsunion</x:v>
      </x:c>
      <x:c r="M251" s="5" t="n">
        <x:v>119</x:v>
      </x:c>
      <x:c r="N251" s="5" t="n">
        <x:v>5</x:v>
      </x:c>
      <x:c r="O251" s="5" t="str"/>
      <x:c r="P251" s="5" t="str">
        <x:v>Zuordnungsvorschlag; Fachfreigabe ausstehend</x:v>
      </x:c>
      <x:c r="Q251" s="5" t="str">
        <x:v>Bestehendes Lernthema fachlich unter passendem Rahmenplan-Unterbereich behalten</x:v>
      </x:c>
      <x:c r="R251" s="5" t="str">
        <x:v>Nennen Sie die zentralen Konvergenzkriterien für den Beitritt zum Euroraum.</x:v>
      </x:c>
      <x:c r="S251" s="5" t="str">
        <x:v>219a3f85488819545d944676bdbb418b00ae722ae99eca7fae04a3048e89bf19</x:v>
      </x:c>
    </x:row>
    <x:row r="252" ht="36" customHeight="1">
      <x:c r="A252" s="5" t="str">
        <x:v>VWL-0120</x:v>
      </x:c>
      <x:c r="B252" s="5" t="str">
        <x:v>WQ</x:v>
      </x:c>
      <x:c r="C252" s="5" t="str">
        <x:v>1</x:v>
      </x:c>
      <x:c r="D252" s="5" t="str">
        <x:v>Volks- und Betriebswirtschaft</x:v>
      </x:c>
      <x:c r="E252" s="5" t="str">
        <x:v>VWL</x:v>
      </x:c>
      <x:c r="F252" s="5" t="str">
        <x:v>ui-wq-0001</x:v>
      </x:c>
      <x:c r="G252" s="5" t="str">
        <x:v>Volkswirtschaftliche Grundlagen</x:v>
      </x:c>
      <x:c r="H252" s="5" t="str">
        <x:v>dg-wq-0062</x:v>
      </x:c>
      <x:c r="I252" s="5" t="str">
        <x:v>1.1.4.1</x:v>
      </x:c>
      <x:c r="J252" s="5" t="str">
        <x:v>Freihandel und Protektionismus</x:v>
      </x:c>
      <x:c r="K252" s="5" t="str"/>
      <x:c r="L252" s="5" t="str">
        <x:v>Außenwirtschaft, Freihandel &amp; Protektionismus</x:v>
      </x:c>
      <x:c r="M252" s="5" t="n">
        <x:v>120</x:v>
      </x:c>
      <x:c r="N252" s="5" t="n">
        <x:v>4</x:v>
      </x:c>
      <x:c r="O252" s="5" t="str"/>
      <x:c r="P252" s="5" t="str">
        <x:v>Zuordnungsvorschlag; Fachfreigabe ausstehend</x:v>
      </x:c>
      <x:c r="Q252" s="5" t="str">
        <x:v>Bestehendes Lernthema fachlich unter passendem Rahmenplan-Unterbereich behalten</x:v>
      </x:c>
      <x:c r="R252" s="5" t="str">
        <x:v>Nennen Sie Beispiele für Freihandelsabkommen der EU und erläutern Sie deren Grundidee.</x:v>
      </x:c>
      <x:c r="S252" s="5" t="str">
        <x:v>1c600c4555db74c8ef2854a985379b3195f88fcf60724f914b9966e794702f1a</x:v>
      </x:c>
    </x:row>
    <x:row r="253" ht="36" customHeight="1">
      <x:c r="A253" s="5" t="str">
        <x:v>VWL-0121</x:v>
      </x:c>
      <x:c r="B253" s="5" t="str">
        <x:v>WQ</x:v>
      </x:c>
      <x:c r="C253" s="5" t="str">
        <x:v>1</x:v>
      </x:c>
      <x:c r="D253" s="5" t="str">
        <x:v>Volks- und Betriebswirtschaft</x:v>
      </x:c>
      <x:c r="E253" s="5" t="str">
        <x:v>VWL</x:v>
      </x:c>
      <x:c r="F253" s="5" t="str">
        <x:v>ui-wq-0001</x:v>
      </x:c>
      <x:c r="G253" s="5" t="str">
        <x:v>Volkswirtschaftliche Grundlagen</x:v>
      </x:c>
      <x:c r="H253" s="5" t="str">
        <x:v>dg-wq-0062</x:v>
      </x:c>
      <x:c r="I253" s="5" t="str">
        <x:v>1.1.4.1</x:v>
      </x:c>
      <x:c r="J253" s="5" t="str">
        <x:v>Freihandel und Protektionismus</x:v>
      </x:c>
      <x:c r="K253" s="5" t="str"/>
      <x:c r="L253" s="5" t="str">
        <x:v>Außenwirtschaft, Freihandel &amp; Protektionismus</x:v>
      </x:c>
      <x:c r="M253" s="5" t="n">
        <x:v>121</x:v>
      </x:c>
      <x:c r="N253" s="5" t="n">
        <x:v>5</x:v>
      </x:c>
      <x:c r="O253" s="5" t="str"/>
      <x:c r="P253" s="5" t="str">
        <x:v>Zuordnungsvorschlag; Fachfreigabe ausstehend</x:v>
      </x:c>
      <x:c r="Q253" s="5" t="str">
        <x:v>Bestehendes Lernthema fachlich unter passendem Rahmenplan-Unterbereich behalten</x:v>
      </x:c>
      <x:c r="R253" s="5" t="str">
        <x:v>Welche vier Länder waren nach den revidierten Jahresdaten 2024 Deutschlands wichtigste Handelspartner nach gesamtem Warenhandelsvolumen?</x:v>
      </x:c>
      <x:c r="S253" s="5" t="str">
        <x:v>fd725b7e9180fd576b32c03a7d41d58f961a9a451c1750cc77d514ce6664aeec</x:v>
      </x:c>
    </x:row>
    <x:row r="254" ht="36" customHeight="1">
      <x:c r="A254" s="5" t="str">
        <x:v>VWL-0122</x:v>
      </x:c>
      <x:c r="B254" s="5" t="str">
        <x:v>WQ</x:v>
      </x:c>
      <x:c r="C254" s="5" t="str">
        <x:v>1</x:v>
      </x:c>
      <x:c r="D254" s="5" t="str">
        <x:v>Volks- und Betriebswirtschaft</x:v>
      </x:c>
      <x:c r="E254" s="5" t="str">
        <x:v>VWL</x:v>
      </x:c>
      <x:c r="F254" s="5" t="str">
        <x:v>ui-wq-0001</x:v>
      </x:c>
      <x:c r="G254" s="5" t="str">
        <x:v>Volkswirtschaftliche Grundlagen</x:v>
      </x:c>
      <x:c r="H254" s="5" t="str">
        <x:v>dg-wq-0062</x:v>
      </x:c>
      <x:c r="I254" s="5" t="str">
        <x:v>1.1.4.1</x:v>
      </x:c>
      <x:c r="J254" s="5" t="str">
        <x:v>Freihandel und Protektionismus</x:v>
      </x:c>
      <x:c r="K254" s="5" t="str"/>
      <x:c r="L254" s="5" t="str">
        <x:v>Außenwirtschaft, Freihandel &amp; Protektionismus</x:v>
      </x:c>
      <x:c r="M254" s="5" t="n">
        <x:v>122</x:v>
      </x:c>
      <x:c r="N254" s="5" t="n">
        <x:v>6</x:v>
      </x:c>
      <x:c r="O254" s="5" t="str"/>
      <x:c r="P254" s="5" t="str">
        <x:v>Zuordnungsvorschlag; Fachfreigabe ausstehend</x:v>
      </x:c>
      <x:c r="Q254" s="5" t="str">
        <x:v>Bestehendes Lernthema fachlich unter passendem Rahmenplan-Unterbereich behalten</x:v>
      </x:c>
      <x:c r="R254" s="5" t="str">
        <x:v>Deutschland exportierte 2024 nach den revidierten Jahresdaten Waren im Wert von rund 161,4 Mrd. € in die USA und importierte rund 91,6 Mrd. €. Berechnen Sie Handelsvolumen und Handelsbilanzsaldo.</x:v>
      </x:c>
      <x:c r="S254" s="5" t="str">
        <x:v>861395d8da634ec5e1242f548fb083f36684fd081bf06827105ac6be91daa771</x:v>
      </x:c>
    </x:row>
    <x:row r="255" ht="36" customHeight="1">
      <x:c r="A255" s="5" t="str">
        <x:v>VWL-0123</x:v>
      </x:c>
      <x:c r="B255" s="5" t="str">
        <x:v>WQ</x:v>
      </x:c>
      <x:c r="C255" s="5" t="str">
        <x:v>1</x:v>
      </x:c>
      <x:c r="D255" s="5" t="str">
        <x:v>Volks- und Betriebswirtschaft</x:v>
      </x:c>
      <x:c r="E255" s="5" t="str">
        <x:v>VWL</x:v>
      </x:c>
      <x:c r="F255" s="5" t="str">
        <x:v>ui-wq-0001</x:v>
      </x:c>
      <x:c r="G255" s="5" t="str">
        <x:v>Volkswirtschaftliche Grundlagen</x:v>
      </x:c>
      <x:c r="H255" s="5" t="str">
        <x:v>dg-wq-0062</x:v>
      </x:c>
      <x:c r="I255" s="5" t="str">
        <x:v>1.1.4.1</x:v>
      </x:c>
      <x:c r="J255" s="5" t="str">
        <x:v>Freihandel und Protektionismus</x:v>
      </x:c>
      <x:c r="K255" s="5" t="str"/>
      <x:c r="L255" s="5" t="str">
        <x:v>Außenwirtschaft, Freihandel &amp; Protektionismus</x:v>
      </x:c>
      <x:c r="M255" s="5" t="n">
        <x:v>123</x:v>
      </x:c>
      <x:c r="N255" s="5" t="n">
        <x:v>7</x:v>
      </x:c>
      <x:c r="O255" s="5" t="str"/>
      <x:c r="P255" s="5" t="str">
        <x:v>Zuordnungsvorschlag; Fachfreigabe ausstehend</x:v>
      </x:c>
      <x:c r="Q255" s="5" t="str">
        <x:v>Bestehendes Lernthema fachlich unter passendem Rahmenplan-Unterbereich behalten</x:v>
      </x:c>
      <x:c r="R255" s="5" t="str">
        <x:v>Was lässt sich aus der Struktur der deutschen Exporte 2024 ableiten, wenn Kraftwagen und Kraftwagenteile rund 262,8 Mrd. €, Maschinen 217,4 Mrd. € und chemische Erzeugnisse 138,9 Mrd. € ausmachen?</x:v>
      </x:c>
      <x:c r="S255" s="5" t="str">
        <x:v>b0f2943361bd13edbca51e8af57e5713c1059e88307826284ae24dbab75ff733</x:v>
      </x:c>
    </x:row>
    <x:row r="256" ht="36" customHeight="1">
      <x:c r="A256" s="5" t="str">
        <x:v>VWL-0124</x:v>
      </x:c>
      <x:c r="B256" s="5" t="str">
        <x:v>WQ</x:v>
      </x:c>
      <x:c r="C256" s="5" t="str">
        <x:v>1</x:v>
      </x:c>
      <x:c r="D256" s="5" t="str">
        <x:v>Volks- und Betriebswirtschaft</x:v>
      </x:c>
      <x:c r="E256" s="5" t="str">
        <x:v>VWL</x:v>
      </x:c>
      <x:c r="F256" s="5" t="str">
        <x:v>ui-wq-0001</x:v>
      </x:c>
      <x:c r="G256" s="5" t="str">
        <x:v>Volkswirtschaftliche Grundlagen</x:v>
      </x:c>
      <x:c r="H256" s="5" t="str">
        <x:v>dg-wq-0063</x:v>
      </x:c>
      <x:c r="I256" s="5" t="str">
        <x:v>1.1.4.2</x:v>
      </x:c>
      <x:c r="J256" s="5" t="str">
        <x:v>Besonderheiten der EU</x:v>
      </x:c>
      <x:c r="K256" s="5" t="str"/>
      <x:c r="L256" s="5" t="str">
        <x:v>EU-Binnenmarkt &amp; Wirtschafts- und Währungsunion</x:v>
      </x:c>
      <x:c r="M256" s="5" t="n">
        <x:v>124</x:v>
      </x:c>
      <x:c r="N256" s="5" t="n">
        <x:v>6</x:v>
      </x:c>
      <x:c r="O256" s="5" t="str"/>
      <x:c r="P256" s="5" t="str">
        <x:v>Zuordnungsvorschlag; Fachfreigabe ausstehend</x:v>
      </x:c>
      <x:c r="Q256" s="5" t="str">
        <x:v>Bestehendes Lernthema fachlich unter passendem Rahmenplan-Unterbereich behalten</x:v>
      </x:c>
      <x:c r="R256" s="5" t="str">
        <x:v>Nennen Sie zwei mögliche wirtschaftliche Nachteile eines EU-Austritts und zwei Bereiche, die neu geregelt werden müssten.</x:v>
      </x:c>
      <x:c r="S256" s="5" t="str">
        <x:v>8a7bc9d0253c72f9cd221eba1f285676fd02461864ca97490e8ef4866242457b</x:v>
      </x:c>
    </x:row>
    <x:row r="257" ht="36" customHeight="1">
      <x:c r="A257" s="5" t="str">
        <x:v>VWL-0125</x:v>
      </x:c>
      <x:c r="B257" s="5" t="str">
        <x:v>WQ</x:v>
      </x:c>
      <x:c r="C257" s="5" t="str">
        <x:v>1</x:v>
      </x:c>
      <x:c r="D257" s="5" t="str">
        <x:v>Volks- und Betriebswirtschaft</x:v>
      </x:c>
      <x:c r="E257" s="5" t="str">
        <x:v>VWL</x:v>
      </x:c>
      <x:c r="F257" s="5" t="str">
        <x:v>ui-wq-0001</x:v>
      </x:c>
      <x:c r="G257" s="5" t="str">
        <x:v>Volkswirtschaftliche Grundlagen</x:v>
      </x:c>
      <x:c r="H257" s="5" t="str">
        <x:v>dg-wq-0062</x:v>
      </x:c>
      <x:c r="I257" s="5" t="str">
        <x:v>1.1.4.1</x:v>
      </x:c>
      <x:c r="J257" s="5" t="str">
        <x:v>Freihandel und Protektionismus</x:v>
      </x:c>
      <x:c r="K257" s="5" t="str"/>
      <x:c r="L257" s="5" t="str">
        <x:v>Außenwirtschaft, Freihandel &amp; Protektionismus</x:v>
      </x:c>
      <x:c r="M257" s="5" t="n">
        <x:v>125</x:v>
      </x:c>
      <x:c r="N257" s="5" t="n">
        <x:v>8</x:v>
      </x:c>
      <x:c r="O257" s="5" t="str"/>
      <x:c r="P257" s="5" t="str">
        <x:v>Zuordnungsvorschlag; Fachfreigabe ausstehend</x:v>
      </x:c>
      <x:c r="Q257" s="5" t="str">
        <x:v>Bestehendes Lernthema fachlich unter passendem Rahmenplan-Unterbereich behalten</x:v>
      </x:c>
      <x:c r="R257" s="5" t="str">
        <x:v>Interpretieren Sie die Entwicklung des deutschen Außenhandels von 2020 bis 2024: Welche außergewöhnlichen Einflüsse sind erkennbar?</x:v>
      </x:c>
      <x:c r="S257" s="5" t="str">
        <x:v>55070f18b22e85816a292a5487c8cc33928d898ca1591905dd9f1277abf5c3f4</x:v>
      </x:c>
    </x:row>
    <x:row r="258" ht="36" customHeight="1">
      <x:c r="A258" s="5" t="str">
        <x:v>VWL-0126</x:v>
      </x:c>
      <x:c r="B258" s="5" t="str">
        <x:v>WQ</x:v>
      </x:c>
      <x:c r="C258" s="5" t="str">
        <x:v>1</x:v>
      </x:c>
      <x:c r="D258" s="5" t="str">
        <x:v>Volks- und Betriebswirtschaft</x:v>
      </x:c>
      <x:c r="E258" s="5" t="str">
        <x:v>VWL</x:v>
      </x:c>
      <x:c r="F258" s="5" t="str">
        <x:v>ui-wq-0001</x:v>
      </x:c>
      <x:c r="G258" s="5" t="str">
        <x:v>Volkswirtschaftliche Grundlagen</x:v>
      </x:c>
      <x:c r="H258" s="5" t="str">
        <x:v>dg-wq-0062</x:v>
      </x:c>
      <x:c r="I258" s="5" t="str">
        <x:v>1.1.4.1</x:v>
      </x:c>
      <x:c r="J258" s="5" t="str">
        <x:v>Freihandel und Protektionismus</x:v>
      </x:c>
      <x:c r="K258" s="5" t="str"/>
      <x:c r="L258" s="5" t="str">
        <x:v>Außenwirtschaft, Freihandel &amp; Protektionismus</x:v>
      </x:c>
      <x:c r="M258" s="5" t="n">
        <x:v>126</x:v>
      </x:c>
      <x:c r="N258" s="5" t="n">
        <x:v>9</x:v>
      </x:c>
      <x:c r="O258" s="5" t="str"/>
      <x:c r="P258" s="5" t="str">
        <x:v>Zuordnungsvorschlag; Fachfreigabe ausstehend</x:v>
      </x:c>
      <x:c r="Q258" s="5" t="str">
        <x:v>Bestehendes Lernthema fachlich unter passendem Rahmenplan-Unterbereich behalten</x:v>
      </x:c>
      <x:c r="R258" s="5" t="str">
        <x:v>Unterscheiden Sie Handelsbilanzüberschuss und Leistungsbilanzüberschuss.</x:v>
      </x:c>
      <x:c r="S258" s="5" t="str">
        <x:v>26c2a831e9b40d1e3b65183e746609388fb7f55a95ab6d75806e26a529ee16ba</x:v>
      </x:c>
    </x:row>
    <x:row r="259" ht="36" customHeight="1">
      <x:c r="A259" s="5" t="str">
        <x:v>VWL-0127</x:v>
      </x:c>
      <x:c r="B259" s="5" t="str">
        <x:v>WQ</x:v>
      </x:c>
      <x:c r="C259" s="5" t="str">
        <x:v>1</x:v>
      </x:c>
      <x:c r="D259" s="5" t="str">
        <x:v>Volks- und Betriebswirtschaft</x:v>
      </x:c>
      <x:c r="E259" s="5" t="str">
        <x:v>VWL</x:v>
      </x:c>
      <x:c r="F259" s="5" t="str">
        <x:v>ui-wq-0003</x:v>
      </x:c>
      <x:c r="G259" s="5" t="str">
        <x:v>Existenzgründung und Unternehmensrechtsformen</x:v>
      </x:c>
      <x:c r="H259" s="5" t="str">
        <x:v>dg-wq-0064</x:v>
      </x:c>
      <x:c r="I259" s="5" t="str">
        <x:v>1.3.3.2</x:v>
      </x:c>
      <x:c r="J259" s="5" t="str">
        <x:v>Ansprüche an Haftung, Geschäftsführung und Vertretung</x:v>
      </x:c>
      <x:c r="K259" s="5" t="str">
        <x:v>1.3.3.1; 1.1.4</x:v>
      </x:c>
      <x:c r="L259" s="5" t="str">
        <x:v>Außenwirtschaft, Freihandel &amp; Protektionismus</x:v>
      </x:c>
      <x:c r="M259" s="5" t="n">
        <x:v>21</x:v>
      </x:c>
      <x:c r="N259" s="5" t="n">
        <x:v>1</x:v>
      </x:c>
      <x:c r="O259" s="5" t="str">
        <x:v>E01</x:v>
      </x:c>
      <x:c r="P259" s="5" t="str">
        <x:v>FACHLICHE ENTSCHEIDUNG FREIGEGEBEN; Inhaltsmaßnahme separat offen</x:v>
      </x:c>
      <x:c r="Q259" s="5" t="str">
        <x:v>Freigegeben: Auslandsgesellschaft/Zweigniederlassung primär als Haftungs-, Geschäftsführungs- und Vertretungsfrage. Kein Beleg für Freihandel; Haftung und Verwaltungsaufwand später fachlich präzisieren.</x:v>
      </x:c>
      <x:c r="R259" s="5" t="str">
        <x:v>Ein deutsches Personenhandelsunternehmen der Circle-Harbor-Fallwelt möchte einen außereuropäischen Markt erschließen. Zur Wahl stehen eine rechtlich eigenständige Auslandsgesellschaft oder eine rechtlich unselbstständige Zweigniederlassung des deutschen Unternehmens. Erläutern Sie vier mögliche Nachteile der unselbstständigen Zweigniederlassung gegenüber einer eigenständigen Gesellschaft.</x:v>
      </x:c>
      <x:c r="S259" s="5" t="str">
        <x:v>404877b52b15d7368ecfe24269f55aceb0d96d30279e765c8024adca71c90095</x:v>
      </x:c>
    </x:row>
    <x:row r="260" ht="36" customHeight="1">
      <x:c r="A260" s="5" t="str">
        <x:v>VWL-0128</x:v>
      </x:c>
      <x:c r="B260" s="5" t="str">
        <x:v>WQ</x:v>
      </x:c>
      <x:c r="C260" s="5" t="str">
        <x:v>1</x:v>
      </x:c>
      <x:c r="D260" s="5" t="str">
        <x:v>Volks- und Betriebswirtschaft</x:v>
      </x:c>
      <x:c r="E260" s="5" t="str">
        <x:v>VWL</x:v>
      </x:c>
      <x:c r="F260" s="5" t="str">
        <x:v>ui-wq-0001</x:v>
      </x:c>
      <x:c r="G260" s="5" t="str">
        <x:v>Volkswirtschaftliche Grundlagen</x:v>
      </x:c>
      <x:c r="H260" s="5" t="str">
        <x:v>dg-wq-0056</x:v>
      </x:c>
      <x:c r="I260" s="5" t="str">
        <x:v>1.1.1</x:v>
      </x:c>
      <x:c r="J260" s="5" t="str">
        <x:v>Markt, Preis und Wettbewerb</x:v>
      </x:c>
      <x:c r="K260" s="5" t="str"/>
      <x:c r="L260" s="5" t="str">
        <x:v>Grundlagen, Bedürfnisse, Güter &amp; ökonomisches Prinzip</x:v>
      </x:c>
      <x:c r="M260" s="5" t="n">
        <x:v>127</x:v>
      </x:c>
      <x:c r="N260" s="5" t="n">
        <x:v>25</x:v>
      </x:c>
      <x:c r="O260" s="5" t="str"/>
      <x:c r="P260" s="5" t="str">
        <x:v>Zuordnungsvorschlag; Fachfreigabe ausstehend</x:v>
      </x:c>
      <x:c r="Q260" s="5" t="str">
        <x:v>Bestehendes Lernthema fachlich unter passendem Rahmenplan-Unterbereich behalten</x:v>
      </x:c>
      <x:c r="R260" s="5" t="str">
        <x:v>Erläutern Sie die drei wirtschaftlichen Grundentscheidungen einer Volkswirtschaft, nennen Sie die vier Produktionsfaktoren und erklären Sie, was unter einem Wirtschaftssubjekt zu verstehen ist.</x:v>
      </x:c>
      <x:c r="S260" s="5" t="str">
        <x:v>95fa255c40d314e0db8e46f8ada0bead14c36c325e10cb13062104cf18dd469d</x:v>
      </x:c>
    </x:row>
    <x:row r="261" ht="36" customHeight="1">
      <x:c r="A261" s="5" t="str">
        <x:v>VWL-0129</x:v>
      </x:c>
      <x:c r="B261" s="5" t="str">
        <x:v>WQ</x:v>
      </x:c>
      <x:c r="C261" s="5" t="str">
        <x:v>1</x:v>
      </x:c>
      <x:c r="D261" s="5" t="str">
        <x:v>Volks- und Betriebswirtschaft</x:v>
      </x:c>
      <x:c r="E261" s="5" t="str">
        <x:v>VWL</x:v>
      </x:c>
      <x:c r="F261" s="5" t="str">
        <x:v>ui-wq-0001</x:v>
      </x:c>
      <x:c r="G261" s="5" t="str">
        <x:v>Volkswirtschaftliche Grundlagen</x:v>
      </x:c>
      <x:c r="H261" s="5" t="str">
        <x:v>dg-wq-0057</x:v>
      </x:c>
      <x:c r="I261" s="5" t="str">
        <x:v>1.1.1.1</x:v>
      </x:c>
      <x:c r="J261" s="5" t="str">
        <x:v>Preisbildung auf den unterschiedlichen Märkten</x:v>
      </x:c>
      <x:c r="K261" s="5" t="str"/>
      <x:c r="L261" s="5" t="str">
        <x:v>Marktformen, Angebot, Nachfrage &amp; Preisbildung</x:v>
      </x:c>
      <x:c r="M261" s="5" t="n">
        <x:v>128</x:v>
      </x:c>
      <x:c r="N261" s="5" t="n">
        <x:v>20</x:v>
      </x:c>
      <x:c r="O261" s="5" t="str"/>
      <x:c r="P261" s="5" t="str">
        <x:v>Zuordnungsvorschlag; Fachfreigabe ausstehend</x:v>
      </x:c>
      <x:c r="Q261" s="5" t="str">
        <x:v>Bestehendes Lernthema fachlich unter passendem Rahmenplan-Unterbereich behalten</x:v>
      </x:c>
      <x:c r="R261" s="5" t="str">
        <x:v>Stellen Sie die neun Marktformen anhand der Zahl der Anbieter und Nachfrager dar und nennen Sie zu drei Marktformen jeweils ein Beispiel.</x:v>
      </x:c>
      <x:c r="S261" s="5" t="str">
        <x:v>6daab5a88129a027f2ef93913b10b1ae670e071af3c16fcad4102ec256f83316</x:v>
      </x:c>
    </x:row>
    <x:row r="262" ht="36" customHeight="1">
      <x:c r="A262" s="5" t="str">
        <x:v>VWL-0130</x:v>
      </x:c>
      <x:c r="B262" s="5" t="str">
        <x:v>WQ</x:v>
      </x:c>
      <x:c r="C262" s="5" t="str">
        <x:v>1</x:v>
      </x:c>
      <x:c r="D262" s="5" t="str">
        <x:v>Volks- und Betriebswirtschaft</x:v>
      </x:c>
      <x:c r="E262" s="5" t="str">
        <x:v>VWL</x:v>
      </x:c>
      <x:c r="F262" s="5" t="str">
        <x:v>ui-wq-0001</x:v>
      </x:c>
      <x:c r="G262" s="5" t="str">
        <x:v>Volkswirtschaftliche Grundlagen</x:v>
      </x:c>
      <x:c r="H262" s="5" t="str">
        <x:v>dg-wq-0057</x:v>
      </x:c>
      <x:c r="I262" s="5" t="str">
        <x:v>1.1.1.1</x:v>
      </x:c>
      <x:c r="J262" s="5" t="str">
        <x:v>Preisbildung auf den unterschiedlichen Märkten</x:v>
      </x:c>
      <x:c r="K262" s="5" t="str"/>
      <x:c r="L262" s="5" t="str">
        <x:v>Marktformen, Angebot, Nachfrage &amp; Preisbildung</x:v>
      </x:c>
      <x:c r="M262" s="5" t="n">
        <x:v>129</x:v>
      </x:c>
      <x:c r="N262" s="5" t="n">
        <x:v>21</x:v>
      </x:c>
      <x:c r="O262" s="5" t="str"/>
      <x:c r="P262" s="5" t="str">
        <x:v>Zuordnungsvorschlag; Fachfreigabe ausstehend</x:v>
      </x:c>
      <x:c r="Q262" s="5" t="str">
        <x:v>Bestehendes Lernthema fachlich unter passendem Rahmenplan-Unterbereich behalten</x:v>
      </x:c>
      <x:c r="R262" s="5" t="str">
        <x:v>Der Preis eines Gutes steigt von 50 € auf 55 €, die nachgefragte Menge sinkt von 1.000 auf 850 Stück. Berechnen Sie die direkte Preiselastizität der Nachfrage und interpretieren Sie das Ergebnis.</x:v>
      </x:c>
      <x:c r="S262" s="5" t="str">
        <x:v>6cd18312eae0effc45a19aac01298d44fc49a9e42de97b397876bb6825e9e2c0</x:v>
      </x:c>
    </x:row>
    <x:row r="263" ht="36" customHeight="1">
      <x:c r="A263" s="5" t="str">
        <x:v>VWL-0131</x:v>
      </x:c>
      <x:c r="B263" s="5" t="str">
        <x:v>WQ</x:v>
      </x:c>
      <x:c r="C263" s="5" t="str">
        <x:v>1</x:v>
      </x:c>
      <x:c r="D263" s="5" t="str">
        <x:v>Volks- und Betriebswirtschaft</x:v>
      </x:c>
      <x:c r="E263" s="5" t="str">
        <x:v>VWL</x:v>
      </x:c>
      <x:c r="F263" s="5" t="str">
        <x:v>ui-wq-0001</x:v>
      </x:c>
      <x:c r="G263" s="5" t="str">
        <x:v>Volkswirtschaftliche Grundlagen</x:v>
      </x:c>
      <x:c r="H263" s="5" t="str">
        <x:v>dg-wq-0057</x:v>
      </x:c>
      <x:c r="I263" s="5" t="str">
        <x:v>1.1.1.1#1</x:v>
      </x:c>
      <x:c r="J263" s="5" t="str">
        <x:v>Marktgleichgewicht bei vollständiger Konkurrenz</x:v>
      </x:c>
      <x:c r="K263" s="5" t="str"/>
      <x:c r="L263" s="5" t="str">
        <x:v>Marktformen, Angebot, Nachfrage &amp; Preisbildung</x:v>
      </x:c>
      <x:c r="M263" s="5" t="n">
        <x:v>130</x:v>
      </x:c>
      <x:c r="N263" s="5" t="n">
        <x:v>22</x:v>
      </x:c>
      <x:c r="O263" s="5" t="str"/>
      <x:c r="P263" s="5" t="str">
        <x:v>Zuordnungsvorschlag; Fachfreigabe ausstehend</x:v>
      </x:c>
      <x:c r="Q263" s="5" t="str">
        <x:v>Bestehendes Lernthema fachlich unter passendem Rahmenplan-Unterbereich behalten</x:v>
      </x:c>
      <x:c r="R263" s="5" t="str">
        <x:v>Erläutern Sie die Stellung von Preisnehmern bzw. Mengenanpassern im Modell der vollständigen Konkurrenz sowie Konsumenten- und Produzentenrente. Nennen Sie außerdem die vier Funktionen des Marktpreises.</x:v>
      </x:c>
      <x:c r="S263" s="5" t="str">
        <x:v>993a7adfa1cd719b167d4d309ad424fcb39a7100352e9dda0aa4cdeac2f72ccc</x:v>
      </x:c>
    </x:row>
    <x:row r="264" ht="36" customHeight="1">
      <x:c r="A264" s="5" t="str">
        <x:v>VWL-0132</x:v>
      </x:c>
      <x:c r="B264" s="5" t="str">
        <x:v>WQ</x:v>
      </x:c>
      <x:c r="C264" s="5" t="str">
        <x:v>1</x:v>
      </x:c>
      <x:c r="D264" s="5" t="str">
        <x:v>Volks- und Betriebswirtschaft</x:v>
      </x:c>
      <x:c r="E264" s="5" t="str">
        <x:v>VWL</x:v>
      </x:c>
      <x:c r="F264" s="5" t="str">
        <x:v>ui-wq-0001</x:v>
      </x:c>
      <x:c r="G264" s="5" t="str">
        <x:v>Volkswirtschaftliche Grundlagen</x:v>
      </x:c>
      <x:c r="H264" s="5" t="str">
        <x:v>dg-wq-0057</x:v>
      </x:c>
      <x:c r="I264" s="5" t="str">
        <x:v>1.1.1.1#2</x:v>
      </x:c>
      <x:c r="J264" s="5" t="str">
        <x:v>Preisbildung bei unvollständiger Konkurrenz</x:v>
      </x:c>
      <x:c r="K264" s="5" t="str"/>
      <x:c r="L264" s="5" t="str">
        <x:v>Marktformen, Angebot, Nachfrage &amp; Preisbildung</x:v>
      </x:c>
      <x:c r="M264" s="5" t="n">
        <x:v>131</x:v>
      </x:c>
      <x:c r="N264" s="5" t="n">
        <x:v>23</x:v>
      </x:c>
      <x:c r="O264" s="5" t="str"/>
      <x:c r="P264" s="5" t="str">
        <x:v>Zuordnungsvorschlag; Fachfreigabe ausstehend</x:v>
      </x:c>
      <x:c r="Q264" s="5" t="str">
        <x:v>Bestehendes Lernthema fachlich unter passendem Rahmenplan-Unterbereich behalten</x:v>
      </x:c>
      <x:c r="R264" s="5" t="str">
        <x:v>Vergleichen Sie die Preisbildung im unvollkommenen Polypol, im Angebotsoligopol und im Angebotsmonopol.</x:v>
      </x:c>
      <x:c r="S264" s="5" t="str">
        <x:v>f1136247d256d375659cb891052de57d19b8519f3ef705a73c5ce4cab3128529</x:v>
      </x:c>
    </x:row>
    <x:row r="265" ht="36" customHeight="1">
      <x:c r="A265" s="5" t="str">
        <x:v>VWL-0133</x:v>
      </x:c>
      <x:c r="B265" s="5" t="str">
        <x:v>WQ</x:v>
      </x:c>
      <x:c r="C265" s="5" t="str">
        <x:v>1</x:v>
      </x:c>
      <x:c r="D265" s="5" t="str">
        <x:v>Volks- und Betriebswirtschaft</x:v>
      </x:c>
      <x:c r="E265" s="5" t="str">
        <x:v>VWL</x:v>
      </x:c>
      <x:c r="F265" s="5" t="str">
        <x:v>ui-wq-0001</x:v>
      </x:c>
      <x:c r="G265" s="5" t="str">
        <x:v>Volkswirtschaftliche Grundlagen</x:v>
      </x:c>
      <x:c r="H265" s="5" t="str">
        <x:v>dg-wq-0058</x:v>
      </x:c>
      <x:c r="I265" s="5" t="str">
        <x:v>1.1.1.2</x:v>
      </x:c>
      <x:c r="J265" s="5" t="str">
        <x:v>Wettbewerbspolitik</x:v>
      </x:c>
      <x:c r="K265" s="5" t="str"/>
      <x:c r="L265" s="5" t="str">
        <x:v>Wettbewerbspolitik &amp; staatliche Markteingriffe</x:v>
      </x:c>
      <x:c r="M265" s="5" t="n">
        <x:v>132</x:v>
      </x:c>
      <x:c r="N265" s="5" t="n">
        <x:v>9</x:v>
      </x:c>
      <x:c r="O265" s="5" t="str"/>
      <x:c r="P265" s="5" t="str">
        <x:v>Zuordnungsvorschlag; Fachfreigabe ausstehend</x:v>
      </x:c>
      <x:c r="Q265" s="5" t="str">
        <x:v>Bestehendes Lernthema fachlich unter passendem Rahmenplan-Unterbereich behalten</x:v>
      </x:c>
      <x:c r="R265" s="5" t="str">
        <x:v>Was ist ein Kartell? Nennen Sie vier Kartellarten, erläutern Sie die volkswirtschaftlichen Folgen und beschreiben Sie, unter welchen Voraussetzungen Ausnahmen vom Kartellverbot möglich sind.</x:v>
      </x:c>
      <x:c r="S265" s="5" t="str">
        <x:v>0e592be55b860376fed34bdf7febb13c1c3b4516ec666052c48f22398bd783fc</x:v>
      </x:c>
    </x:row>
    <x:row r="266" ht="36" customHeight="1">
      <x:c r="A266" s="5" t="str">
        <x:v>VWL-0134</x:v>
      </x:c>
      <x:c r="B266" s="5" t="str">
        <x:v>WQ</x:v>
      </x:c>
      <x:c r="C266" s="5" t="str">
        <x:v>1</x:v>
      </x:c>
      <x:c r="D266" s="5" t="str">
        <x:v>Volks- und Betriebswirtschaft</x:v>
      </x:c>
      <x:c r="E266" s="5" t="str">
        <x:v>VWL</x:v>
      </x:c>
      <x:c r="F266" s="5" t="str">
        <x:v>ui-wq-0001</x:v>
      </x:c>
      <x:c r="G266" s="5" t="str">
        <x:v>Volkswirtschaftliche Grundlagen</x:v>
      </x:c>
      <x:c r="H266" s="5" t="str">
        <x:v>dg-wq-0058</x:v>
      </x:c>
      <x:c r="I266" s="5" t="str">
        <x:v>1.1.1.2</x:v>
      </x:c>
      <x:c r="J266" s="5" t="str">
        <x:v>Wettbewerbspolitik</x:v>
      </x:c>
      <x:c r="K266" s="5" t="str"/>
      <x:c r="L266" s="5" t="str">
        <x:v>Wettbewerbspolitik &amp; staatliche Markteingriffe</x:v>
      </x:c>
      <x:c r="M266" s="5" t="n">
        <x:v>133</x:v>
      </x:c>
      <x:c r="N266" s="5" t="n">
        <x:v>10</x:v>
      </x:c>
      <x:c r="O266" s="5" t="str"/>
      <x:c r="P266" s="5" t="str">
        <x:v>Zuordnungsvorschlag; Fachfreigabe ausstehend</x:v>
      </x:c>
      <x:c r="Q266" s="5" t="str">
        <x:v>Bestehendes Lernthema fachlich unter passendem Rahmenplan-Unterbereich behalten</x:v>
      </x:c>
      <x:c r="R266" s="5" t="str">
        <x:v>Unterscheiden Sie Ausbeutungsmissbrauch, Behinderungsmissbrauch und Fusionskontrolle und erläutern Sie jeweils Zweck und Beispiel.</x:v>
      </x:c>
      <x:c r="S266" s="5" t="str">
        <x:v>ae8cd3ab8e58b9b166fd6a1845db10c46d4e9f099093f10367d186cd3cc4d95d</x:v>
      </x:c>
    </x:row>
    <x:row r="267" ht="36" customHeight="1">
      <x:c r="A267" s="5" t="str">
        <x:v>VWL-0135</x:v>
      </x:c>
      <x:c r="B267" s="5" t="str">
        <x:v>WQ</x:v>
      </x:c>
      <x:c r="C267" s="5" t="str">
        <x:v>1</x:v>
      </x:c>
      <x:c r="D267" s="5" t="str">
        <x:v>Volks- und Betriebswirtschaft</x:v>
      </x:c>
      <x:c r="E267" s="5" t="str">
        <x:v>VWL</x:v>
      </x:c>
      <x:c r="F267" s="5" t="str">
        <x:v>ui-wq-0001</x:v>
      </x:c>
      <x:c r="G267" s="5" t="str">
        <x:v>Volkswirtschaftliche Grundlagen</x:v>
      </x:c>
      <x:c r="H267" s="5" t="str">
        <x:v>dg-wq-0058</x:v>
      </x:c>
      <x:c r="I267" s="5" t="str">
        <x:v>1.1.1.2</x:v>
      </x:c>
      <x:c r="J267" s="5" t="str">
        <x:v>Wettbewerbspolitik</x:v>
      </x:c>
      <x:c r="K267" s="5" t="str"/>
      <x:c r="L267" s="5" t="str">
        <x:v>Wettbewerbspolitik &amp; staatliche Markteingriffe</x:v>
      </x:c>
      <x:c r="M267" s="5" t="n">
        <x:v>134</x:v>
      </x:c>
      <x:c r="N267" s="5" t="n">
        <x:v>11</x:v>
      </x:c>
      <x:c r="O267" s="5" t="str"/>
      <x:c r="P267" s="5" t="str">
        <x:v>Zuordnungsvorschlag; Fachfreigabe ausstehend</x:v>
      </x:c>
      <x:c r="Q267" s="5" t="str">
        <x:v>Bestehendes Lernthema fachlich unter passendem Rahmenplan-Unterbereich behalten</x:v>
      </x:c>
      <x:c r="R267" s="5" t="str">
        <x:v>Stellen Sie marktkonforme und marktkonträre Staatseingriffe gegenüber. Beziehen Sie Steuern, Zölle, Subventionen, Transfers, Mengenmaßnahmen sowie Mindest-, Höchst- und Festpreise ein und erläutern Sie typische Marktfolgen.</x:v>
      </x:c>
      <x:c r="S267" s="5" t="str">
        <x:v>1654f605e95bd742d29e6daa98931f1f4dcd100e79e8bf1672807e785fabef6a</x:v>
      </x:c>
    </x:row>
    <x:row r="268" ht="36" customHeight="1">
      <x:c r="A268" s="5" t="str">
        <x:v>VWL-0136</x:v>
      </x:c>
      <x:c r="B268" s="5" t="str">
        <x:v>WQ</x:v>
      </x:c>
      <x:c r="C268" s="5" t="str">
        <x:v>1</x:v>
      </x:c>
      <x:c r="D268" s="5" t="str">
        <x:v>Volks- und Betriebswirtschaft</x:v>
      </x:c>
      <x:c r="E268" s="5" t="str">
        <x:v>VWL</x:v>
      </x:c>
      <x:c r="F268" s="5" t="str">
        <x:v>ui-wq-0001</x:v>
      </x:c>
      <x:c r="G268" s="5" t="str">
        <x:v>Volkswirtschaftliche Grundlagen</x:v>
      </x:c>
      <x:c r="H268" s="5" t="str">
        <x:v>dg-wq-0059</x:v>
      </x:c>
      <x:c r="I268" s="5" t="str">
        <x:v>1.1.2</x:v>
      </x:c>
      <x:c r="J268" s="5" t="str">
        <x:v>Volkswirtschaftliche Gesamtrechnung</x:v>
      </x:c>
      <x:c r="K268" s="5" t="str"/>
      <x:c r="L268" s="5" t="str">
        <x:v>VGR &amp; Einkommensverteilung</x:v>
      </x:c>
      <x:c r="M268" s="5" t="n">
        <x:v>135</x:v>
      </x:c>
      <x:c r="N268" s="5" t="n">
        <x:v>12</x:v>
      </x:c>
      <x:c r="O268" s="5" t="str"/>
      <x:c r="P268" s="5" t="str">
        <x:v>Zuordnungsvorschlag; Fachfreigabe ausstehend</x:v>
      </x:c>
      <x:c r="Q268" s="5" t="str">
        <x:v>Bestehendes Lernthema fachlich unter passendem Rahmenplan-Unterbereich behalten</x:v>
      </x:c>
      <x:c r="R268" s="5" t="str">
        <x:v>Das nominale BIP beträgt 4,2 Billionen €, das reale BIP 4,0 Billionen €. Berechnen Sie den BIP-Deflator und interpretieren Sie das Ergebnis.</x:v>
      </x:c>
      <x:c r="S268" s="5" t="str">
        <x:v>99dd3b4838079fbcc8f587e8ea1466b8831980149c726be3911562d6120aa7da</x:v>
      </x:c>
    </x:row>
    <x:row r="269" ht="36" customHeight="1">
      <x:c r="A269" s="5" t="str">
        <x:v>VWL-0137</x:v>
      </x:c>
      <x:c r="B269" s="5" t="str">
        <x:v>WQ</x:v>
      </x:c>
      <x:c r="C269" s="5" t="str">
        <x:v>1</x:v>
      </x:c>
      <x:c r="D269" s="5" t="str">
        <x:v>Volks- und Betriebswirtschaft</x:v>
      </x:c>
      <x:c r="E269" s="5" t="str">
        <x:v>VWL</x:v>
      </x:c>
      <x:c r="F269" s="5" t="str">
        <x:v>ui-wq-0001</x:v>
      </x:c>
      <x:c r="G269" s="5" t="str">
        <x:v>Volkswirtschaftliche Grundlagen</x:v>
      </x:c>
      <x:c r="H269" s="5" t="str">
        <x:v>dg-wq-0059</x:v>
      </x:c>
      <x:c r="I269" s="5" t="str">
        <x:v>1.1.2.2#2</x:v>
      </x:c>
      <x:c r="J269" s="5" t="str">
        <x:v>Verfügbares Einkommen</x:v>
      </x:c>
      <x:c r="K269" s="5" t="str"/>
      <x:c r="L269" s="5" t="str">
        <x:v>VGR &amp; Einkommensverteilung</x:v>
      </x:c>
      <x:c r="M269" s="5" t="n">
        <x:v>136</x:v>
      </x:c>
      <x:c r="N269" s="5" t="n">
        <x:v>13</x:v>
      </x:c>
      <x:c r="O269" s="5" t="str"/>
      <x:c r="P269" s="5" t="str">
        <x:v>Zuordnungsvorschlag; Fachfreigabe ausstehend</x:v>
      </x:c>
      <x:c r="Q269" s="5" t="str">
        <x:v>Bestehendes Lernthema fachlich unter passendem Rahmenplan-Unterbereich behalten</x:v>
      </x:c>
      <x:c r="R269" s="5" t="str">
        <x:v>Erläutern Sie die Aussage der Lorenzkurve. Ein privater Haushalt erhält monatlich 4.200 € Faktoreinkommen, zahlt 550 € direkte Steuern und 850 € Sozialversicherungsbeiträge und erhält 600 € staatliche Transferleistungen. Berechnen Sie das verfügbare Einkommen und nennen Sie seine Verwendungsmöglichkeiten.</x:v>
      </x:c>
      <x:c r="S269" s="5" t="str">
        <x:v>49db705634ef41c6ee93d7fb6ab4e53da9fee6ab3498d02ca2f51bc0f513a1b3</x:v>
      </x:c>
    </x:row>
    <x:row r="270" ht="36" customHeight="1">
      <x:c r="A270" s="5" t="str">
        <x:v>VWL-0138</x:v>
      </x:c>
      <x:c r="B270" s="5" t="str">
        <x:v>WQ</x:v>
      </x:c>
      <x:c r="C270" s="5" t="str">
        <x:v>1</x:v>
      </x:c>
      <x:c r="D270" s="5" t="str">
        <x:v>Volks- und Betriebswirtschaft</x:v>
      </x:c>
      <x:c r="E270" s="5" t="str">
        <x:v>VWL</x:v>
      </x:c>
      <x:c r="F270" s="5" t="str">
        <x:v>ui-wq-0001</x:v>
      </x:c>
      <x:c r="G270" s="5" t="str">
        <x:v>Volkswirtschaftliche Grundlagen</x:v>
      </x:c>
      <x:c r="H270" s="5" t="str">
        <x:v>dg-wq-0060</x:v>
      </x:c>
      <x:c r="I270" s="5" t="str">
        <x:v>1.1.3.1</x:v>
      </x:c>
      <x:c r="J270" s="5" t="str">
        <x:v>Ziele der Stabilitätspolitik</x:v>
      </x:c>
      <x:c r="K270" s="5" t="str"/>
      <x:c r="L270" s="5" t="str">
        <x:v>Konjunktur, Stabilitätsziele, Arbeitslosigkeit &amp; Inflation</x:v>
      </x:c>
      <x:c r="M270" s="5" t="n">
        <x:v>137</x:v>
      </x:c>
      <x:c r="N270" s="5" t="n">
        <x:v>21</x:v>
      </x:c>
      <x:c r="O270" s="5" t="str"/>
      <x:c r="P270" s="5" t="str">
        <x:v>Zuordnungsvorschlag; Fachfreigabe ausstehend</x:v>
      </x:c>
      <x:c r="Q270" s="5" t="str">
        <x:v>Bestehendes Lernthema fachlich unter passendem Rahmenplan-Unterbereich behalten</x:v>
      </x:c>
      <x:c r="R270" s="5" t="str">
        <x:v>Unterscheiden Sie offene und verdeckte Arbeitslosigkeit und erläutern Sie Folgen hoher Arbeitslosigkeit für Gesellschaft, Volkswirtschaft und Staat.</x:v>
      </x:c>
      <x:c r="S270" s="5" t="str">
        <x:v>b8896411eb96c73e772c693582078a688055df57e630f3c8e6a3101e940bcf33</x:v>
      </x:c>
    </x:row>
    <x:row r="271" ht="36" customHeight="1">
      <x:c r="A271" s="5" t="str">
        <x:v>VWL-0139</x:v>
      </x:c>
      <x:c r="B271" s="5" t="str">
        <x:v>WQ</x:v>
      </x:c>
      <x:c r="C271" s="5" t="str">
        <x:v>1</x:v>
      </x:c>
      <x:c r="D271" s="5" t="str">
        <x:v>Volks- und Betriebswirtschaft</x:v>
      </x:c>
      <x:c r="E271" s="5" t="str">
        <x:v>VWL</x:v>
      </x:c>
      <x:c r="F271" s="5" t="str">
        <x:v>ui-wq-0001</x:v>
      </x:c>
      <x:c r="G271" s="5" t="str">
        <x:v>Volkswirtschaftliche Grundlagen</x:v>
      </x:c>
      <x:c r="H271" s="5" t="str">
        <x:v>dg-wq-0060</x:v>
      </x:c>
      <x:c r="I271" s="5" t="str">
        <x:v>1.1.3.1</x:v>
      </x:c>
      <x:c r="J271" s="5" t="str">
        <x:v>Ziele der Stabilitätspolitik</x:v>
      </x:c>
      <x:c r="K271" s="5" t="str"/>
      <x:c r="L271" s="5" t="str">
        <x:v>Konjunktur, Stabilitätsziele, Arbeitslosigkeit &amp; Inflation</x:v>
      </x:c>
      <x:c r="M271" s="5" t="n">
        <x:v>138</x:v>
      </x:c>
      <x:c r="N271" s="5" t="n">
        <x:v>22</x:v>
      </x:c>
      <x:c r="O271" s="5" t="str"/>
      <x:c r="P271" s="5" t="str">
        <x:v>Zuordnungsvorschlag; Fachfreigabe ausstehend</x:v>
      </x:c>
      <x:c r="Q271" s="5" t="str">
        <x:v>Bestehendes Lernthema fachlich unter passendem Rahmenplan-Unterbereich behalten</x:v>
      </x:c>
      <x:c r="R271" s="5" t="str">
        <x:v>Stellen Sie Inflation und Deflation gegenüber und erläutern Sie jeweils zentrale Folgen. Wer gehört typischerweise zu den Gewinnern und Verlierern einer Inflation?</x:v>
      </x:c>
      <x:c r="S271" s="5" t="str">
        <x:v>3b5065c924aa76ad74a5d4309e353736b1d77f776cf72b28ef9ef34c2f3f3043</x:v>
      </x:c>
    </x:row>
    <x:row r="272" ht="36" customHeight="1">
      <x:c r="A272" s="5" t="str">
        <x:v>VWL-0140</x:v>
      </x:c>
      <x:c r="B272" s="5" t="str">
        <x:v>WQ</x:v>
      </x:c>
      <x:c r="C272" s="5" t="str">
        <x:v>1</x:v>
      </x:c>
      <x:c r="D272" s="5" t="str">
        <x:v>Volks- und Betriebswirtschaft</x:v>
      </x:c>
      <x:c r="E272" s="5" t="str">
        <x:v>VWL</x:v>
      </x:c>
      <x:c r="F272" s="5" t="str">
        <x:v>ui-wq-0001</x:v>
      </x:c>
      <x:c r="G272" s="5" t="str">
        <x:v>Volkswirtschaftliche Grundlagen</x:v>
      </x:c>
      <x:c r="H272" s="5" t="str">
        <x:v>dg-wq-0061</x:v>
      </x:c>
      <x:c r="I272" s="5" t="str">
        <x:v>1.1.3.2#3</x:v>
      </x:c>
      <x:c r="J272" s="5" t="str">
        <x:v>Wachstumspolitik</x:v>
      </x:c>
      <x:c r="K272" s="5" t="str"/>
      <x:c r="L272" s="5" t="str">
        <x:v>Wachstums-, Tarif- &amp; Arbeitsmarktpolitik</x:v>
      </x:c>
      <x:c r="M272" s="5" t="n">
        <x:v>139</x:v>
      </x:c>
      <x:c r="N272" s="5" t="n">
        <x:v>30</x:v>
      </x:c>
      <x:c r="O272" s="5" t="str"/>
      <x:c r="P272" s="5" t="str">
        <x:v>Zuordnungsvorschlag; Fachfreigabe ausstehend</x:v>
      </x:c>
      <x:c r="Q272" s="5" t="str">
        <x:v>Bestehendes Lernthema fachlich unter passendem Rahmenplan-Unterbereich behalten</x:v>
      </x:c>
      <x:c r="R272" s="5" t="str">
        <x:v>Welche Ziele und Maßnahmen verfolgt die staatliche Wachstumspolitik, und wie versuchen alternative Wohlstandsindikatoren die Grenzen des BIP zu überwinden?</x:v>
      </x:c>
      <x:c r="S272" s="5" t="str">
        <x:v>6685e94c0e72e56263cd14178c5c3d4e285ce4f8cf1322ce951bd37225b68601</x:v>
      </x:c>
    </x:row>
    <x:row r="273" ht="36" customHeight="1">
      <x:c r="A273" s="5" t="str">
        <x:v>VWL-0141</x:v>
      </x:c>
      <x:c r="B273" s="5" t="str">
        <x:v>WQ</x:v>
      </x:c>
      <x:c r="C273" s="5" t="str">
        <x:v>1</x:v>
      </x:c>
      <x:c r="D273" s="5" t="str">
        <x:v>Volks- und Betriebswirtschaft</x:v>
      </x:c>
      <x:c r="E273" s="5" t="str">
        <x:v>VWL</x:v>
      </x:c>
      <x:c r="F273" s="5" t="str">
        <x:v>ui-wq-0001</x:v>
      </x:c>
      <x:c r="G273" s="5" t="str">
        <x:v>Volkswirtschaftliche Grundlagen</x:v>
      </x:c>
      <x:c r="H273" s="5" t="str">
        <x:v>dg-wq-0062</x:v>
      </x:c>
      <x:c r="I273" s="5" t="str">
        <x:v>1.1.4.1</x:v>
      </x:c>
      <x:c r="J273" s="5" t="str">
        <x:v>Freihandel und Protektionismus</x:v>
      </x:c>
      <x:c r="K273" s="5" t="str"/>
      <x:c r="L273" s="5" t="str">
        <x:v>Außenwirtschaft, Freihandel &amp; Protektionismus</x:v>
      </x:c>
      <x:c r="M273" s="5" t="n">
        <x:v>140</x:v>
      </x:c>
      <x:c r="N273" s="5" t="n">
        <x:v>10</x:v>
      </x:c>
      <x:c r="O273" s="5" t="str"/>
      <x:c r="P273" s="5" t="str">
        <x:v>Zuordnungsvorschlag; Fachfreigabe ausstehend</x:v>
      </x:c>
      <x:c r="Q273" s="5" t="str">
        <x:v>Bestehendes Lernthema fachlich unter passendem Rahmenplan-Unterbereich behalten</x:v>
      </x:c>
      <x:c r="R273" s="5" t="str">
        <x:v>Der Preisindex der Ausfuhrgüter beträgt 112, der Preisindex der Einfuhrgüter 125. Berechnen Sie die Terms of Trade und interpretieren Sie das Ergebnis.</x:v>
      </x:c>
      <x:c r="S273" s="5" t="str">
        <x:v>8d1715c64f4faa1a4d8c77408c43e660435be65e9d6c118a23b7d7d2211f4e97</x:v>
      </x:c>
    </x:row>
    <x:row r="274" ht="36" customHeight="1">
      <x:c r="A274" s="5" t="str">
        <x:v>VWL-0142</x:v>
      </x:c>
      <x:c r="B274" s="5" t="str">
        <x:v>WQ</x:v>
      </x:c>
      <x:c r="C274" s="5" t="str">
        <x:v>1</x:v>
      </x:c>
      <x:c r="D274" s="5" t="str">
        <x:v>Volks- und Betriebswirtschaft</x:v>
      </x:c>
      <x:c r="E274" s="5" t="str">
        <x:v>VWL</x:v>
      </x:c>
      <x:c r="F274" s="5" t="str">
        <x:v>ui-wq-0001</x:v>
      </x:c>
      <x:c r="G274" s="5" t="str">
        <x:v>Volkswirtschaftliche Grundlagen</x:v>
      </x:c>
      <x:c r="H274" s="5" t="str">
        <x:v>dg-wq-0062</x:v>
      </x:c>
      <x:c r="I274" s="5" t="str">
        <x:v>1.1.4.1</x:v>
      </x:c>
      <x:c r="J274" s="5" t="str">
        <x:v>Freihandel und Protektionismus</x:v>
      </x:c>
      <x:c r="K274" s="5" t="str"/>
      <x:c r="L274" s="5" t="str">
        <x:v>Außenwirtschaft, Freihandel &amp; Protektionismus</x:v>
      </x:c>
      <x:c r="M274" s="5" t="n">
        <x:v>141</x:v>
      </x:c>
      <x:c r="N274" s="5" t="n">
        <x:v>11</x:v>
      </x:c>
      <x:c r="O274" s="5" t="str"/>
      <x:c r="P274" s="5" t="str">
        <x:v>Zuordnungsvorschlag; Fachfreigabe ausstehend</x:v>
      </x:c>
      <x:c r="Q274" s="5" t="str">
        <x:v>Bestehendes Lernthema fachlich unter passendem Rahmenplan-Unterbereich behalten</x:v>
      </x:c>
      <x:c r="R274" s="5" t="str">
        <x:v>Erklären Sie Exportsubvention, Embargo und Globalisierung und ordnen Sie diese Begriffe in den Zusammenhang von Freihandel und Protektionismus ein.</x:v>
      </x:c>
      <x:c r="S274" s="5" t="str">
        <x:v>a5d8ada2ac6d559db58eecfead6120fcf1f82431fa6988c06d5023ff7465d9f3</x:v>
      </x:c>
    </x:row>
    <x:row r="275" ht="36" customHeight="1">
      <x:c r="A275" s="5" t="str">
        <x:v>VWL-0143</x:v>
      </x:c>
      <x:c r="B275" s="5" t="str">
        <x:v>WQ</x:v>
      </x:c>
      <x:c r="C275" s="5" t="str">
        <x:v>1</x:v>
      </x:c>
      <x:c r="D275" s="5" t="str">
        <x:v>Volks- und Betriebswirtschaft</x:v>
      </x:c>
      <x:c r="E275" s="5" t="str">
        <x:v>VWL</x:v>
      </x:c>
      <x:c r="F275" s="5" t="str">
        <x:v>ui-wq-0001</x:v>
      </x:c>
      <x:c r="G275" s="5" t="str">
        <x:v>Volkswirtschaftliche Grundlagen</x:v>
      </x:c>
      <x:c r="H275" s="5" t="str">
        <x:v>dg-wq-0056</x:v>
      </x:c>
      <x:c r="I275" s="5" t="str">
        <x:v>1.1.1</x:v>
      </x:c>
      <x:c r="J275" s="5" t="str">
        <x:v>Markt, Preis und Wettbewerb</x:v>
      </x:c>
      <x:c r="K275" s="5" t="str"/>
      <x:c r="L275" s="5" t="str">
        <x:v>Volkswirtschaftliche Grundtatbestände</x:v>
      </x:c>
      <x:c r="M275" s="5" t="n">
        <x:v>142</x:v>
      </x:c>
      <x:c r="N275" s="5" t="n">
        <x:v>26</x:v>
      </x:c>
      <x:c r="O275" s="5" t="str"/>
      <x:c r="P275" s="5" t="str">
        <x:v>Zuordnungsvorschlag; Fachfreigabe ausstehend</x:v>
      </x:c>
      <x:c r="Q275" s="5" t="str">
        <x:v>Bestehendes Lernthema fachlich unter passendem Rahmenplan-Unterbereich behalten</x:v>
      </x:c>
      <x:c r="R275" s="5" t="str">
        <x:v>Grenzen Sie Bedürfnis, Bedarf und Nachfrage voneinander ab und erläutern Sie die Abfolge an einem Beispiel.</x:v>
      </x:c>
      <x:c r="S275" s="5" t="str">
        <x:v>23889c8a4452a874c84efbed183b59fc96eb4912578062534051fece0aff4705</x:v>
      </x:c>
    </x:row>
    <x:row r="276" ht="36" customHeight="1">
      <x:c r="A276" s="5" t="str">
        <x:v>VWL-0144</x:v>
      </x:c>
      <x:c r="B276" s="5" t="str">
        <x:v>WQ</x:v>
      </x:c>
      <x:c r="C276" s="5" t="str">
        <x:v>1</x:v>
      </x:c>
      <x:c r="D276" s="5" t="str">
        <x:v>Volks- und Betriebswirtschaft</x:v>
      </x:c>
      <x:c r="E276" s="5" t="str">
        <x:v>VWL</x:v>
      </x:c>
      <x:c r="F276" s="5" t="str">
        <x:v>ui-wq-0001</x:v>
      </x:c>
      <x:c r="G276" s="5" t="str">
        <x:v>Volkswirtschaftliche Grundlagen</x:v>
      </x:c>
      <x:c r="H276" s="5" t="str">
        <x:v>dg-wq-0056</x:v>
      </x:c>
      <x:c r="I276" s="5" t="str">
        <x:v>1.1.1</x:v>
      </x:c>
      <x:c r="J276" s="5" t="str">
        <x:v>Markt, Preis und Wettbewerb</x:v>
      </x:c>
      <x:c r="K276" s="5" t="str"/>
      <x:c r="L276" s="5" t="str">
        <x:v>Volkswirtschaftliche Grundtatbestände</x:v>
      </x:c>
      <x:c r="M276" s="5" t="n">
        <x:v>143</x:v>
      </x:c>
      <x:c r="N276" s="5" t="n">
        <x:v>27</x:v>
      </x:c>
      <x:c r="O276" s="5" t="str"/>
      <x:c r="P276" s="5" t="str">
        <x:v>Zuordnungsvorschlag; Fachfreigabe ausstehend</x:v>
      </x:c>
      <x:c r="Q276" s="5" t="str">
        <x:v>Bestehendes Lernthema fachlich unter passendem Rahmenplan-Unterbereich behalten</x:v>
      </x:c>
      <x:c r="R276" s="5" t="str">
        <x:v>Unterscheiden Sie private Güter und reine öffentliche Güter anhand von Rivalität und Ausschließbarkeit. Erläutern Sie außerdem das Trittbrettfahrerproblem.</x:v>
      </x:c>
      <x:c r="S276" s="5" t="str">
        <x:v>62e15f8bd4d7639853ff3a6f003cd569a7448b77f4ae3f08ceb6f3e170ad9eea</x:v>
      </x:c>
    </x:row>
    <x:row r="277" ht="36" customHeight="1">
      <x:c r="A277" s="5" t="str">
        <x:v>VWL-0145</x:v>
      </x:c>
      <x:c r="B277" s="5" t="str">
        <x:v>WQ</x:v>
      </x:c>
      <x:c r="C277" s="5" t="str">
        <x:v>1</x:v>
      </x:c>
      <x:c r="D277" s="5" t="str">
        <x:v>Volks- und Betriebswirtschaft</x:v>
      </x:c>
      <x:c r="E277" s="5" t="str">
        <x:v>VWL</x:v>
      </x:c>
      <x:c r="F277" s="5" t="str">
        <x:v>ui-wq-0001</x:v>
      </x:c>
      <x:c r="G277" s="5" t="str">
        <x:v>Volkswirtschaftliche Grundlagen</x:v>
      </x:c>
      <x:c r="H277" s="5" t="str">
        <x:v>dg-wq-0056</x:v>
      </x:c>
      <x:c r="I277" s="5" t="str">
        <x:v>1.1.1</x:v>
      </x:c>
      <x:c r="J277" s="5" t="str">
        <x:v>Markt, Preis und Wettbewerb</x:v>
      </x:c>
      <x:c r="K277" s="5" t="str"/>
      <x:c r="L277" s="5" t="str">
        <x:v>Wirtschaftsordnung &amp; Soziale Marktwirtschaft</x:v>
      </x:c>
      <x:c r="M277" s="5" t="n">
        <x:v>144</x:v>
      </x:c>
      <x:c r="N277" s="5" t="n">
        <x:v>28</x:v>
      </x:c>
      <x:c r="O277" s="5" t="str"/>
      <x:c r="P277" s="5" t="str">
        <x:v>Zuordnungsvorschlag; Fachfreigabe ausstehend</x:v>
      </x:c>
      <x:c r="Q277" s="5" t="str">
        <x:v>Bestehendes Lernthema fachlich unter passendem Rahmenplan-Unterbereich behalten</x:v>
      </x:c>
      <x:c r="R277" s="5" t="str">
        <x:v>Grenzen Sie die Begriffe Wirtschaftssystem und Wirtschaftsordnung voneinander ab.</x:v>
      </x:c>
      <x:c r="S277" s="5" t="str">
        <x:v>522fd29b3901516a48832f2cdae47fcd47da91d03896c83e00104e80dcf82560</x:v>
      </x:c>
    </x:row>
    <x:row r="278" ht="36" customHeight="1">
      <x:c r="A278" s="5" t="str">
        <x:v>VWL-0146</x:v>
      </x:c>
      <x:c r="B278" s="5" t="str">
        <x:v>WQ</x:v>
      </x:c>
      <x:c r="C278" s="5" t="str">
        <x:v>1</x:v>
      </x:c>
      <x:c r="D278" s="5" t="str">
        <x:v>Volks- und Betriebswirtschaft</x:v>
      </x:c>
      <x:c r="E278" s="5" t="str">
        <x:v>VWL</x:v>
      </x:c>
      <x:c r="F278" s="5" t="str">
        <x:v>ui-wq-0001</x:v>
      </x:c>
      <x:c r="G278" s="5" t="str">
        <x:v>Volkswirtschaftliche Grundlagen</x:v>
      </x:c>
      <x:c r="H278" s="5" t="str">
        <x:v>dg-wq-0056</x:v>
      </x:c>
      <x:c r="I278" s="5" t="str">
        <x:v>1.1.1</x:v>
      </x:c>
      <x:c r="J278" s="5" t="str">
        <x:v>Markt, Preis und Wettbewerb</x:v>
      </x:c>
      <x:c r="K278" s="5" t="str"/>
      <x:c r="L278" s="5" t="str">
        <x:v>Wirtschaftsordnung &amp; Soziale Marktwirtschaft</x:v>
      </x:c>
      <x:c r="M278" s="5" t="n">
        <x:v>145</x:v>
      </x:c>
      <x:c r="N278" s="5" t="n">
        <x:v>29</x:v>
      </x:c>
      <x:c r="O278" s="5" t="str"/>
      <x:c r="P278" s="5" t="str">
        <x:v>Zuordnungsvorschlag; Fachfreigabe ausstehend</x:v>
      </x:c>
      <x:c r="Q278" s="5" t="str">
        <x:v>Bestehendes Lernthema fachlich unter passendem Rahmenplan-Unterbereich behalten</x:v>
      </x:c>
      <x:c r="R278" s="5" t="str">
        <x:v>Vergleichen Sie Zentralverwaltungswirtschaft, freie Marktwirtschaft und Soziale Marktwirtschaft hinsichtlich Planung, Eigentum, Preisbildung, Wettbewerb und sozialem Ausgleich.</x:v>
      </x:c>
      <x:c r="S278" s="5" t="str">
        <x:v>6e3ee91fb41892c970788998deab1d3c5e42ec8679eb58c7909096234914611e</x:v>
      </x:c>
    </x:row>
    <x:row r="279" ht="36" customHeight="1">
      <x:c r="A279" s="5" t="str">
        <x:v>VWL-0147</x:v>
      </x:c>
      <x:c r="B279" s="5" t="str">
        <x:v>WQ</x:v>
      </x:c>
      <x:c r="C279" s="5" t="str">
        <x:v>1</x:v>
      </x:c>
      <x:c r="D279" s="5" t="str">
        <x:v>Volks- und Betriebswirtschaft</x:v>
      </x:c>
      <x:c r="E279" s="5" t="str">
        <x:v>VWL</x:v>
      </x:c>
      <x:c r="F279" s="5" t="str">
        <x:v>ui-wq-0001</x:v>
      </x:c>
      <x:c r="G279" s="5" t="str">
        <x:v>Volkswirtschaftliche Grundlagen</x:v>
      </x:c>
      <x:c r="H279" s="5" t="str">
        <x:v>dg-wq-0056</x:v>
      </x:c>
      <x:c r="I279" s="5" t="str">
        <x:v>1.1.1</x:v>
      </x:c>
      <x:c r="J279" s="5" t="str">
        <x:v>Markt, Preis und Wettbewerb</x:v>
      </x:c>
      <x:c r="K279" s="5" t="str"/>
      <x:c r="L279" s="5" t="str">
        <x:v>Wirtschaftsordnung &amp; Soziale Marktwirtschaft</x:v>
      </x:c>
      <x:c r="M279" s="5" t="n">
        <x:v>146</x:v>
      </x:c>
      <x:c r="N279" s="5" t="n">
        <x:v>30</x:v>
      </x:c>
      <x:c r="O279" s="5" t="str"/>
      <x:c r="P279" s="5" t="str">
        <x:v>Zuordnungsvorschlag; Fachfreigabe ausstehend</x:v>
      </x:c>
      <x:c r="Q279" s="5" t="str">
        <x:v>Bestehendes Lernthema fachlich unter passendem Rahmenplan-Unterbereich behalten</x:v>
      </x:c>
      <x:c r="R279" s="5" t="str">
        <x:v>Die Circle Harbor GmbH kann Sortiment, Preise und Investitionen grundsätzlich selbst festlegen, muss aber Wettbewerbs-, Arbeits- und Umweltregeln beachten und finanziert über Steuern und Beiträge staatliche Aufgaben und soziale Sicherung mit. Welche Merkmale der Sozialen Marktwirtschaft zeigt dieser Fall?</x:v>
      </x:c>
      <x:c r="S279" s="5" t="str">
        <x:v>79e53bce956a452eed259de12962236985f10f4a261c5a9c72b783c26b44bf4c</x:v>
      </x:c>
    </x:row>
    <x:row r="280" ht="36" customHeight="1">
      <x:c r="A280" s="5" t="str">
        <x:v>VWL-0148</x:v>
      </x:c>
      <x:c r="B280" s="5" t="str">
        <x:v>WQ</x:v>
      </x:c>
      <x:c r="C280" s="5" t="str">
        <x:v>1</x:v>
      </x:c>
      <x:c r="D280" s="5" t="str">
        <x:v>Volks- und Betriebswirtschaft</x:v>
      </x:c>
      <x:c r="E280" s="5" t="str">
        <x:v>VWL</x:v>
      </x:c>
      <x:c r="F280" s="5" t="str">
        <x:v>ui-wq-0001</x:v>
      </x:c>
      <x:c r="G280" s="5" t="str">
        <x:v>Volkswirtschaftliche Grundlagen</x:v>
      </x:c>
      <x:c r="H280" s="5" t="str">
        <x:v>dg-wq-0057</x:v>
      </x:c>
      <x:c r="I280" s="5" t="str">
        <x:v>1.1.1.1</x:v>
      </x:c>
      <x:c r="J280" s="5" t="str">
        <x:v>Preisbildung auf den unterschiedlichen Märkten</x:v>
      </x:c>
      <x:c r="K280" s="5" t="str"/>
      <x:c r="L280" s="5" t="str">
        <x:v>Marktformen, Angebot, Nachfrage &amp; Preisbildung</x:v>
      </x:c>
      <x:c r="M280" s="5" t="n">
        <x:v>147</x:v>
      </x:c>
      <x:c r="N280" s="5" t="n">
        <x:v>24</x:v>
      </x:c>
      <x:c r="O280" s="5" t="str"/>
      <x:c r="P280" s="5" t="str">
        <x:v>Zuordnungsvorschlag; Fachfreigabe ausstehend</x:v>
      </x:c>
      <x:c r="Q280" s="5" t="str">
        <x:v>Bestehendes Lernthema fachlich unter passendem Rahmenplan-Unterbereich behalten</x:v>
      </x:c>
      <x:c r="R280" s="5" t="str">
        <x:v>Was misst die Preiselastizität des Angebots und unter welchen Bedingungen ist das Angebot eher elastisch beziehungsweise unelastisch?</x:v>
      </x:c>
      <x:c r="S280" s="5" t="str">
        <x:v>93ff3eeab89c5f748f4cc45524068c7ba7bcdf7f5a924c598de86bc468e740c6</x:v>
      </x:c>
    </x:row>
    <x:row r="281" ht="36" customHeight="1">
      <x:c r="A281" s="5" t="str">
        <x:v>VWL-0149</x:v>
      </x:c>
      <x:c r="B281" s="5" t="str">
        <x:v>WQ</x:v>
      </x:c>
      <x:c r="C281" s="5" t="str">
        <x:v>1</x:v>
      </x:c>
      <x:c r="D281" s="5" t="str">
        <x:v>Volks- und Betriebswirtschaft</x:v>
      </x:c>
      <x:c r="E281" s="5" t="str">
        <x:v>VWL</x:v>
      </x:c>
      <x:c r="F281" s="5" t="str">
        <x:v>ui-wq-0001</x:v>
      </x:c>
      <x:c r="G281" s="5" t="str">
        <x:v>Volkswirtschaftliche Grundlagen</x:v>
      </x:c>
      <x:c r="H281" s="5" t="str">
        <x:v>dg-wq-0057</x:v>
      </x:c>
      <x:c r="I281" s="5" t="str">
        <x:v>1.1.1.1</x:v>
      </x:c>
      <x:c r="J281" s="5" t="str">
        <x:v>Preisbildung auf den unterschiedlichen Märkten</x:v>
      </x:c>
      <x:c r="K281" s="5" t="str"/>
      <x:c r="L281" s="5" t="str">
        <x:v>Marktformen, Angebot, Nachfrage &amp; Preisbildung</x:v>
      </x:c>
      <x:c r="M281" s="5" t="n">
        <x:v>148</x:v>
      </x:c>
      <x:c r="N281" s="5" t="n">
        <x:v>25</x:v>
      </x:c>
      <x:c r="O281" s="5" t="str"/>
      <x:c r="P281" s="5" t="str">
        <x:v>Zuordnungsvorschlag; Fachfreigabe ausstehend</x:v>
      </x:c>
      <x:c r="Q281" s="5" t="str">
        <x:v>Bestehendes Lernthema fachlich unter passendem Rahmenplan-Unterbereich behalten</x:v>
      </x:c>
      <x:c r="R281" s="5" t="str">
        <x:v>Der Marktpreis eines Vorprodukts steigt um 8 %. Die angebotene Menge steigt daraufhin um 20 %. Berechnen Sie die Preiselastizität des Angebots und interpretieren Sie das Ergebnis.</x:v>
      </x:c>
      <x:c r="S281" s="5" t="str">
        <x:v>2feefd40202440389def9824b35e7438f27842203b43936f513f637049f88a03</x:v>
      </x:c>
    </x:row>
    <x:row r="282" ht="36" customHeight="1">
      <x:c r="A282" s="5" t="str">
        <x:v>VWL-0150</x:v>
      </x:c>
      <x:c r="B282" s="5" t="str">
        <x:v>WQ</x:v>
      </x:c>
      <x:c r="C282" s="5" t="str">
        <x:v>1</x:v>
      </x:c>
      <x:c r="D282" s="5" t="str">
        <x:v>Volks- und Betriebswirtschaft</x:v>
      </x:c>
      <x:c r="E282" s="5" t="str">
        <x:v>VWL</x:v>
      </x:c>
      <x:c r="F282" s="5" t="str">
        <x:v>ui-wq-0001</x:v>
      </x:c>
      <x:c r="G282" s="5" t="str">
        <x:v>Volkswirtschaftliche Grundlagen</x:v>
      </x:c>
      <x:c r="H282" s="5" t="str">
        <x:v>dg-wq-0059</x:v>
      </x:c>
      <x:c r="I282" s="5" t="str">
        <x:v>1.1.2</x:v>
      </x:c>
      <x:c r="J282" s="5" t="str">
        <x:v>Volkswirtschaftliche Gesamtrechnung</x:v>
      </x:c>
      <x:c r="K282" s="5" t="str"/>
      <x:c r="L282" s="5" t="str">
        <x:v>VGR &amp; Einkommensverteilung</x:v>
      </x:c>
      <x:c r="M282" s="5" t="n">
        <x:v>149</x:v>
      </x:c>
      <x:c r="N282" s="5" t="n">
        <x:v>14</x:v>
      </x:c>
      <x:c r="O282" s="5" t="str"/>
      <x:c r="P282" s="5" t="str">
        <x:v>Zuordnungsvorschlag; Fachfreigabe ausstehend</x:v>
      </x:c>
      <x:c r="Q282" s="5" t="str">
        <x:v>Bestehendes Lernthema fachlich unter passendem Rahmenplan-Unterbereich behalten</x:v>
      </x:c>
      <x:c r="R282" s="5" t="str">
        <x:v>Stellen Sie den einfachen Wirtschaftskreislauf zwischen privaten Haushalten und Unternehmen dar. Welche realen und monetären Ströme verlaufen zwischen beiden Sektoren?</x:v>
      </x:c>
      <x:c r="S282" s="5" t="str">
        <x:v>274b1f31b034e91da7bdaa0eb0616de9fe4cae385d2b096610d80fd32b7c7b50</x:v>
      </x:c>
    </x:row>
    <x:row r="283" ht="36" customHeight="1">
      <x:c r="A283" s="5" t="str">
        <x:v>VWL-0151</x:v>
      </x:c>
      <x:c r="B283" s="5" t="str">
        <x:v>WQ</x:v>
      </x:c>
      <x:c r="C283" s="5" t="str">
        <x:v>1</x:v>
      </x:c>
      <x:c r="D283" s="5" t="str">
        <x:v>Volks- und Betriebswirtschaft</x:v>
      </x:c>
      <x:c r="E283" s="5" t="str">
        <x:v>VWL</x:v>
      </x:c>
      <x:c r="F283" s="5" t="str">
        <x:v>ui-wq-0001</x:v>
      </x:c>
      <x:c r="G283" s="5" t="str">
        <x:v>Volkswirtschaftliche Grundlagen</x:v>
      </x:c>
      <x:c r="H283" s="5" t="str">
        <x:v>dg-wq-0059</x:v>
      </x:c>
      <x:c r="I283" s="5" t="str">
        <x:v>1.1.2</x:v>
      </x:c>
      <x:c r="J283" s="5" t="str">
        <x:v>Volkswirtschaftliche Gesamtrechnung</x:v>
      </x:c>
      <x:c r="K283" s="5" t="str"/>
      <x:c r="L283" s="5" t="str">
        <x:v>VGR &amp; Einkommensverteilung</x:v>
      </x:c>
      <x:c r="M283" s="5" t="n">
        <x:v>150</x:v>
      </x:c>
      <x:c r="N283" s="5" t="n">
        <x:v>15</x:v>
      </x:c>
      <x:c r="O283" s="5" t="str"/>
      <x:c r="P283" s="5" t="str">
        <x:v>Zuordnungsvorschlag; Fachfreigabe ausstehend</x:v>
      </x:c>
      <x:c r="Q283" s="5" t="str">
        <x:v>Bestehendes Lernthema fachlich unter passendem Rahmenplan-Unterbereich behalten</x:v>
      </x:c>
      <x:c r="R283" s="5" t="str">
        <x:v>Erweitern Sie den einfachen Wirtschaftskreislauf um Staat, Vermögensänderungs-/Finanzsektor und Ausland. Nennen Sie je Sektor typische Zahlungs- oder Leistungsströme.</x:v>
      </x:c>
      <x:c r="S283" s="5" t="str">
        <x:v>9fd513faeca57b072b5412d583ac36b58f132ee508d8b7c82cd9f47ad6408f19</x:v>
      </x:c>
    </x:row>
    <x:row r="284" ht="36" customHeight="1">
      <x:c r="A284" s="5" t="str">
        <x:v>VWL-0152</x:v>
      </x:c>
      <x:c r="B284" s="5" t="str">
        <x:v>WQ</x:v>
      </x:c>
      <x:c r="C284" s="5" t="str">
        <x:v>1</x:v>
      </x:c>
      <x:c r="D284" s="5" t="str">
        <x:v>Volks- und Betriebswirtschaft</x:v>
      </x:c>
      <x:c r="E284" s="5" t="str">
        <x:v>VWL</x:v>
      </x:c>
      <x:c r="F284" s="5" t="str">
        <x:v>ui-wq-0001</x:v>
      </x:c>
      <x:c r="G284" s="5" t="str">
        <x:v>Volkswirtschaftliche Grundlagen</x:v>
      </x:c>
      <x:c r="H284" s="5" t="str">
        <x:v>dg-wq-0060</x:v>
      </x:c>
      <x:c r="I284" s="5" t="str">
        <x:v>1.1.3.1</x:v>
      </x:c>
      <x:c r="J284" s="5" t="str">
        <x:v>Ziele der Stabilitätspolitik</x:v>
      </x:c>
      <x:c r="K284" s="5" t="str"/>
      <x:c r="L284" s="5" t="str">
        <x:v>Wirtschaftspolitik &amp; Stabilitätsziele</x:v>
      </x:c>
      <x:c r="M284" s="5" t="n">
        <x:v>151</x:v>
      </x:c>
      <x:c r="N284" s="5" t="n">
        <x:v>23</x:v>
      </x:c>
      <x:c r="O284" s="5" t="str"/>
      <x:c r="P284" s="5" t="str">
        <x:v>Zuordnungsvorschlag; Fachfreigabe ausstehend</x:v>
      </x:c>
      <x:c r="Q284" s="5" t="str">
        <x:v>Bestehendes Lernthema fachlich unter passendem Rahmenplan-Unterbereich behalten</x:v>
      </x:c>
      <x:c r="R284" s="5" t="str">
        <x:v>Welche institutionellen und gesellschaftlichen Träger beziehungsweise Einflussakteure der Wirtschaftspolitik lassen sich unterscheiden? Nennen Sie jeweils Beispiele und ihre Rolle.</x:v>
      </x:c>
      <x:c r="S284" s="5" t="str">
        <x:v>49d0d27a38228e51e7115b5cbddfa3372fe26f98adbc5758506f9721e819517d</x:v>
      </x:c>
    </x:row>
    <x:row r="285" ht="36" customHeight="1">
      <x:c r="A285" s="5" t="str">
        <x:v>VWL-0153</x:v>
      </x:c>
      <x:c r="B285" s="5" t="str">
        <x:v>WQ</x:v>
      </x:c>
      <x:c r="C285" s="5" t="str">
        <x:v>1</x:v>
      </x:c>
      <x:c r="D285" s="5" t="str">
        <x:v>Volks- und Betriebswirtschaft</x:v>
      </x:c>
      <x:c r="E285" s="5" t="str">
        <x:v>VWL</x:v>
      </x:c>
      <x:c r="F285" s="5" t="str">
        <x:v>ui-wq-0001</x:v>
      </x:c>
      <x:c r="G285" s="5" t="str">
        <x:v>Volkswirtschaftliche Grundlagen</x:v>
      </x:c>
      <x:c r="H285" s="5" t="str">
        <x:v>dg-wq-0060</x:v>
      </x:c>
      <x:c r="I285" s="5" t="str">
        <x:v>1.1.3.1</x:v>
      </x:c>
      <x:c r="J285" s="5" t="str">
        <x:v>Ziele der Stabilitätspolitik</x:v>
      </x:c>
      <x:c r="K285" s="5" t="str"/>
      <x:c r="L285" s="5" t="str">
        <x:v>Wirtschaftspolitik &amp; Stabilitätsziele</x:v>
      </x:c>
      <x:c r="M285" s="5" t="n">
        <x:v>152</x:v>
      </x:c>
      <x:c r="N285" s="5" t="n">
        <x:v>24</x:v>
      </x:c>
      <x:c r="O285" s="5" t="str"/>
      <x:c r="P285" s="5" t="str">
        <x:v>Zuordnungsvorschlag; Fachfreigabe ausstehend</x:v>
      </x:c>
      <x:c r="Q285" s="5" t="str">
        <x:v>Bestehendes Lernthema fachlich unter passendem Rahmenplan-Unterbereich behalten</x:v>
      </x:c>
      <x:c r="R285" s="5" t="str">
        <x:v>Welche drei Koordinations- und Planungsinstrumente des Stabilitäts- und Wachstumsgesetzes sind für die laufende Wirtschaftspolitik besonders prüfungsrelevant?</x:v>
      </x:c>
      <x:c r="S285" s="5" t="str">
        <x:v>7b45ef70c9f0f662d495cc706bb34f3c6687c6374d2b1486c18c986df3790b8a</x:v>
      </x:c>
    </x:row>
    <x:row r="286" ht="36" customHeight="1">
      <x:c r="A286" s="5" t="str">
        <x:v>VWL-0154</x:v>
      </x:c>
      <x:c r="B286" s="5" t="str">
        <x:v>WQ</x:v>
      </x:c>
      <x:c r="C286" s="5" t="str">
        <x:v>1</x:v>
      </x:c>
      <x:c r="D286" s="5" t="str">
        <x:v>Volks- und Betriebswirtschaft</x:v>
      </x:c>
      <x:c r="E286" s="5" t="str">
        <x:v>VWL</x:v>
      </x:c>
      <x:c r="F286" s="5" t="str">
        <x:v>ui-wq-0001</x:v>
      </x:c>
      <x:c r="G286" s="5" t="str">
        <x:v>Volkswirtschaftliche Grundlagen</x:v>
      </x:c>
      <x:c r="H286" s="5" t="str">
        <x:v>dg-wq-0062</x:v>
      </x:c>
      <x:c r="I286" s="5" t="str">
        <x:v>1.1.4.1</x:v>
      </x:c>
      <x:c r="J286" s="5" t="str">
        <x:v>Freihandel und Protektionismus</x:v>
      </x:c>
      <x:c r="K286" s="5" t="str"/>
      <x:c r="L286" s="5" t="str">
        <x:v>Außenwirtschaft, Freihandel &amp; Protektionismus</x:v>
      </x:c>
      <x:c r="M286" s="5" t="n">
        <x:v>153</x:v>
      </x:c>
      <x:c r="N286" s="5" t="n">
        <x:v>12</x:v>
      </x:c>
      <x:c r="O286" s="5" t="str"/>
      <x:c r="P286" s="5" t="str">
        <x:v>Zuordnungsvorschlag; Fachfreigabe ausstehend</x:v>
      </x:c>
      <x:c r="Q286" s="5" t="str">
        <x:v>Bestehendes Lernthema fachlich unter passendem Rahmenplan-Unterbereich behalten</x:v>
      </x:c>
      <x:c r="R286" s="5" t="str">
        <x:v>Die Circle Harbor GmbH exportiert aus Deutschland Waren im Wert von 1,5 Mrd. € und importiert Waren und Leistungen im Wert von 1,2 Mrd. €. Das BIP der betrachteten Volkswirtschaft beträgt 4,5 Mrd. €. Berechnen Sie die Außenhandelsquote. Erläutern Sie außerdem den Unterschied zwischen Intra- und Extrahandel.</x:v>
      </x:c>
      <x:c r="S286" s="5" t="str">
        <x:v>8f965668085d614e787da31a8dd098714b027fe64cea0cd4633f1a72c39006e8</x:v>
      </x:c>
    </x:row>
    <x:row r="287" ht="36" customHeight="1">
      <x:c r="A287" s="5" t="str">
        <x:v>VWL-0155</x:v>
      </x:c>
      <x:c r="B287" s="5" t="str">
        <x:v>WQ</x:v>
      </x:c>
      <x:c r="C287" s="5" t="str">
        <x:v>1</x:v>
      </x:c>
      <x:c r="D287" s="5" t="str">
        <x:v>Volks- und Betriebswirtschaft</x:v>
      </x:c>
      <x:c r="E287" s="5" t="str">
        <x:v>VWL</x:v>
      </x:c>
      <x:c r="F287" s="5" t="str">
        <x:v>ui-wq-0001</x:v>
      </x:c>
      <x:c r="G287" s="5" t="str">
        <x:v>Volkswirtschaftliche Grundlagen</x:v>
      </x:c>
      <x:c r="H287" s="5" t="str">
        <x:v>dg-wq-0062</x:v>
      </x:c>
      <x:c r="I287" s="5" t="str">
        <x:v>1.1.4.1</x:v>
      </x:c>
      <x:c r="J287" s="5" t="str">
        <x:v>Freihandel und Protektionismus</x:v>
      </x:c>
      <x:c r="K287" s="5" t="str"/>
      <x:c r="L287" s="5" t="str">
        <x:v>Außenwirtschaft, Freihandel &amp; Protektionismus</x:v>
      </x:c>
      <x:c r="M287" s="5" t="n">
        <x:v>154</x:v>
      </x:c>
      <x:c r="N287" s="5" t="n">
        <x:v>13</x:v>
      </x:c>
      <x:c r="O287" s="5" t="str"/>
      <x:c r="P287" s="5" t="str">
        <x:v>Zuordnungsvorschlag; Fachfreigabe ausstehend</x:v>
      </x:c>
      <x:c r="Q287" s="5" t="str">
        <x:v>Bestehendes Lernthema fachlich unter passendem Rahmenplan-Unterbereich behalten</x:v>
      </x:c>
      <x:c r="R287" s="5" t="str">
        <x:v>Wie ist die Zahlungsbilanz grundsätzlich aufgebaut und wie unterscheiden sich Leistungsbilanz, Vermögensänderungsbilanz und Kapitalbilanz?</x:v>
      </x:c>
      <x:c r="S287" s="5" t="str">
        <x:v>661c7affb95e08dae5b508e0e142779b2bd3ef46dea16b946897eaad0dbf5d55</x:v>
      </x:c>
    </x:row>
    <x:row r="288" ht="36" customHeight="1">
      <x:c r="A288" s="5" t="str">
        <x:v>VWL-0156</x:v>
      </x:c>
      <x:c r="B288" s="5" t="str">
        <x:v>WQ</x:v>
      </x:c>
      <x:c r="C288" s="5" t="str">
        <x:v>1</x:v>
      </x:c>
      <x:c r="D288" s="5" t="str">
        <x:v>Volks- und Betriebswirtschaft</x:v>
      </x:c>
      <x:c r="E288" s="5" t="str">
        <x:v>VWL</x:v>
      </x:c>
      <x:c r="F288" s="5" t="str">
        <x:v>ui-wq-0001</x:v>
      </x:c>
      <x:c r="G288" s="5" t="str">
        <x:v>Volkswirtschaftliche Grundlagen</x:v>
      </x:c>
      <x:c r="H288" s="5" t="str">
        <x:v>dg-wq-0062</x:v>
      </x:c>
      <x:c r="I288" s="5" t="str">
        <x:v>1.1.4.1</x:v>
      </x:c>
      <x:c r="J288" s="5" t="str">
        <x:v>Freihandel und Protektionismus</x:v>
      </x:c>
      <x:c r="K288" s="5" t="str"/>
      <x:c r="L288" s="5" t="str">
        <x:v>Außenwirtschaft, Freihandel &amp; Protektionismus</x:v>
      </x:c>
      <x:c r="M288" s="5" t="n">
        <x:v>155</x:v>
      </x:c>
      <x:c r="N288" s="5" t="n">
        <x:v>14</x:v>
      </x:c>
      <x:c r="O288" s="5" t="str"/>
      <x:c r="P288" s="5" t="str">
        <x:v>Zuordnungsvorschlag; Fachfreigabe ausstehend</x:v>
      </x:c>
      <x:c r="Q288" s="5" t="str">
        <x:v>Bestehendes Lernthema fachlich unter passendem Rahmenplan-Unterbereich behalten</x:v>
      </x:c>
      <x:c r="R288" s="5" t="str">
        <x:v>Ordnen Sie folgende grenzüberschreitende Vorgänge der richtigen Zahlungsbilanzposition zu: Warenexport, Beratungsleistung an einen ausländischen Kunden, Zinseinkommen aus einer ausländischen Anleihe, private Geldüberweisung ohne Gegenleistung ins Ausland, Schuldenerlass und Erwerb einer Beteiligung an einem ausländischen Unternehmen.</x:v>
      </x:c>
      <x:c r="S288" s="5" t="str">
        <x:v>319f49bf7c01d2a70a7459467a4089b97c445dd957bf5c8b458c133f5bbcdba4</x:v>
      </x:c>
    </x:row>
    <x:row r="289" ht="36" customHeight="1">
      <x:c r="A289" s="5" t="str">
        <x:v>VWL-0157</x:v>
      </x:c>
      <x:c r="B289" s="5" t="str">
        <x:v>WQ</x:v>
      </x:c>
      <x:c r="C289" s="5" t="str">
        <x:v>1</x:v>
      </x:c>
      <x:c r="D289" s="5" t="str">
        <x:v>Volks- und Betriebswirtschaft</x:v>
      </x:c>
      <x:c r="E289" s="5" t="str">
        <x:v>VWL</x:v>
      </x:c>
      <x:c r="F289" s="5" t="str">
        <x:v>ui-wq-0001</x:v>
      </x:c>
      <x:c r="G289" s="5" t="str">
        <x:v>Volkswirtschaftliche Grundlagen</x:v>
      </x:c>
      <x:c r="H289" s="5" t="str">
        <x:v>dg-wq-0062</x:v>
      </x:c>
      <x:c r="I289" s="5" t="str">
        <x:v>1.1.4.1</x:v>
      </x:c>
      <x:c r="J289" s="5" t="str">
        <x:v>Freihandel und Protektionismus</x:v>
      </x:c>
      <x:c r="K289" s="5" t="str"/>
      <x:c r="L289" s="5" t="str">
        <x:v>Außenwirtschaft, Freihandel &amp; Protektionismus</x:v>
      </x:c>
      <x:c r="M289" s="5" t="n">
        <x:v>156</x:v>
      </x:c>
      <x:c r="N289" s="5" t="n">
        <x:v>15</x:v>
      </x:c>
      <x:c r="O289" s="5" t="str"/>
      <x:c r="P289" s="5" t="str">
        <x:v>Zuordnungsvorschlag; Fachfreigabe ausstehend</x:v>
      </x:c>
      <x:c r="Q289" s="5" t="str">
        <x:v>Bestehendes Lernthema fachlich unter passendem Rahmenplan-Unterbereich behalten</x:v>
      </x:c>
      <x:c r="R289" s="5" t="str">
        <x:v>Grenzen Sie Außenbeitrag, Leistungsbilanz und Zahlungsbilanz voneinander ab und erklären Sie, warum die Begriffe nicht synonym verwendet werden dürfen.</x:v>
      </x:c>
      <x:c r="S289" s="5" t="str">
        <x:v>310b26ee027a29b23e9478a915e2c4e71820c66c3067949da82225aa50a173f7</x:v>
      </x:c>
    </x:row>
    <x:row r="290" ht="36" customHeight="1">
      <x:c r="A290" s="5" t="str">
        <x:v>BR-0001</x:v>
      </x:c>
      <x:c r="B290" s="5" t="str">
        <x:v>WQ</x:v>
      </x:c>
      <x:c r="C290" s="5" t="str">
        <x:v>2</x:v>
      </x:c>
      <x:c r="D290" s="5" t="str">
        <x:v>Rechnungswesen</x:v>
      </x:c>
      <x:c r="E290" s="5" t="str">
        <x:v>Rechnungswesen</x:v>
      </x:c>
      <x:c r="F290" s="5" t="str">
        <x:v>ui-wq-0007</x:v>
      </x:c>
      <x:c r="G290" s="5" t="str">
        <x:v>Kosten- und Leistungsrechnung</x:v>
      </x:c>
      <x:c r="H290" s="5" t="str">
        <x:v>dg-wq-0027</x:v>
      </x:c>
      <x:c r="I290" s="5" t="str">
        <x:v>2.3.5</x:v>
      </x:c>
      <x:c r="J290" s="5" t="str">
        <x:v>Vergleich von Vollkosten- und Teilkostenrechnung</x:v>
      </x:c>
      <x:c r="K290" s="5" t="str"/>
      <x:c r="L290" s="5" t="str">
        <x:v>Teilkostenrechnung, Deckungsbeitrag &amp; Break-even</x:v>
      </x:c>
      <x:c r="M290" s="5" t="n">
        <x:v>1</x:v>
      </x:c>
      <x:c r="N290" s="5" t="n">
        <x:v>1</x:v>
      </x:c>
      <x:c r="O290" s="5" t="str"/>
      <x:c r="P290" s="5" t="str">
        <x:v>Zuordnungsvorschlag; Fachfreigabe ausstehend</x:v>
      </x:c>
      <x:c r="Q290" s="5" t="str">
        <x:v>Bestehendes Lernthema fachlich unter passendem Rahmenplan-Unterbereich behalten</x:v>
      </x:c>
      <x:c r="R290" s="5" t="str">
        <x:v>Was gehört zur Vollkostenrechnung?</x:v>
      </x:c>
      <x:c r="S290" s="5" t="str">
        <x:v>e5ee5f4c778504091633f460a103f79223929aa5702edb839f4d67c434d6a159</x:v>
      </x:c>
    </x:row>
    <x:row r="291" ht="36" customHeight="1">
      <x:c r="A291" s="5" t="str">
        <x:v>BR-0002</x:v>
      </x:c>
      <x:c r="B291" s="5" t="str">
        <x:v>WQ</x:v>
      </x:c>
      <x:c r="C291" s="5" t="str">
        <x:v>2</x:v>
      </x:c>
      <x:c r="D291" s="5" t="str">
        <x:v>Rechnungswesen</x:v>
      </x:c>
      <x:c r="E291" s="5" t="str">
        <x:v>Rechnungswesen</x:v>
      </x:c>
      <x:c r="F291" s="5" t="str">
        <x:v>ui-wq-0007</x:v>
      </x:c>
      <x:c r="G291" s="5" t="str">
        <x:v>Kosten- und Leistungsrechnung</x:v>
      </x:c>
      <x:c r="H291" s="5" t="str">
        <x:v>dg-wq-0027</x:v>
      </x:c>
      <x:c r="I291" s="5" t="str">
        <x:v>2.3.5.1</x:v>
      </x:c>
      <x:c r="J291" s="5" t="str">
        <x:v>Begründung der Teilkostenrechnung</x:v>
      </x:c>
      <x:c r="K291" s="5" t="str"/>
      <x:c r="L291" s="5" t="str">
        <x:v>Teilkostenrechnung, Deckungsbeitrag &amp; Break-even</x:v>
      </x:c>
      <x:c r="M291" s="5" t="n">
        <x:v>2</x:v>
      </x:c>
      <x:c r="N291" s="5" t="n">
        <x:v>2</x:v>
      </x:c>
      <x:c r="O291" s="5" t="str"/>
      <x:c r="P291" s="5" t="str">
        <x:v>Zuordnungsvorschlag; Fachfreigabe ausstehend</x:v>
      </x:c>
      <x:c r="Q291" s="5" t="str">
        <x:v>Bestehendes Lernthema fachlich unter passendem Rahmenplan-Unterbereich behalten</x:v>
      </x:c>
      <x:c r="R291" s="5" t="str">
        <x:v>Was gehört zur Teilkostenrechnung?</x:v>
      </x:c>
      <x:c r="S291" s="5" t="str">
        <x:v>49fa8450de692dafdab9b9adcec43b34a27fd2ac22a2d6564fe485195a76061e</x:v>
      </x:c>
    </x:row>
    <x:row r="292" ht="36" customHeight="1">
      <x:c r="A292" s="5" t="str">
        <x:v>BR-0003</x:v>
      </x:c>
      <x:c r="B292" s="5" t="str">
        <x:v>WQ</x:v>
      </x:c>
      <x:c r="C292" s="5" t="str">
        <x:v>2</x:v>
      </x:c>
      <x:c r="D292" s="5" t="str">
        <x:v>Rechnungswesen</x:v>
      </x:c>
      <x:c r="E292" s="5" t="str">
        <x:v>Rechnungswesen</x:v>
      </x:c>
      <x:c r="F292" s="5" t="str">
        <x:v>ui-wq-0007</x:v>
      </x:c>
      <x:c r="G292" s="5" t="str">
        <x:v>Kosten- und Leistungsrechnung</x:v>
      </x:c>
      <x:c r="H292" s="5" t="str">
        <x:v>dg-wq-0027</x:v>
      </x:c>
      <x:c r="I292" s="5" t="str">
        <x:v>2.3.5</x:v>
      </x:c>
      <x:c r="J292" s="5" t="str">
        <x:v>Vergleich von Vollkosten- und Teilkostenrechnung</x:v>
      </x:c>
      <x:c r="K292" s="5" t="str"/>
      <x:c r="L292" s="5" t="str">
        <x:v>Teilkostenrechnung, Deckungsbeitrag &amp; Break-even</x:v>
      </x:c>
      <x:c r="M292" s="5" t="n">
        <x:v>3</x:v>
      </x:c>
      <x:c r="N292" s="5" t="n">
        <x:v>3</x:v>
      </x:c>
      <x:c r="O292" s="5" t="str"/>
      <x:c r="P292" s="5" t="str">
        <x:v>Zuordnungsvorschlag; Fachfreigabe ausstehend</x:v>
      </x:c>
      <x:c r="Q292" s="5" t="str">
        <x:v>Bestehendes Lernthema fachlich unter passendem Rahmenplan-Unterbereich behalten</x:v>
      </x:c>
      <x:c r="R292" s="5" t="str">
        <x:v>In welche Teilbeträge wird die mehrstufige Deckungsbeitragsrechnung zerlegt?</x:v>
      </x:c>
      <x:c r="S292" s="5" t="str">
        <x:v>83a66a93c73d05fdd03677803542bf58ded3f105e9d283fcc716f79789d148b6</x:v>
      </x:c>
    </x:row>
    <x:row r="293" ht="36" customHeight="1">
      <x:c r="A293" s="5" t="str">
        <x:v>BR-0004</x:v>
      </x:c>
      <x:c r="B293" s="5" t="str">
        <x:v>WQ</x:v>
      </x:c>
      <x:c r="C293" s="5" t="str">
        <x:v>2</x:v>
      </x:c>
      <x:c r="D293" s="5" t="str">
        <x:v>Rechnungswesen</x:v>
      </x:c>
      <x:c r="E293" s="5" t="str">
        <x:v>Rechnungswesen</x:v>
      </x:c>
      <x:c r="F293" s="5" t="str">
        <x:v>ui-wq-0007</x:v>
      </x:c>
      <x:c r="G293" s="5" t="str">
        <x:v>Kosten- und Leistungsrechnung</x:v>
      </x:c>
      <x:c r="H293" s="5" t="str">
        <x:v>dg-wq-0027</x:v>
      </x:c>
      <x:c r="I293" s="5" t="str">
        <x:v>2.3.5.2</x:v>
      </x:c>
      <x:c r="J293" s="5" t="str">
        <x:v>Absolute einstufige Deckungsbeitragsrechnung</x:v>
      </x:c>
      <x:c r="K293" s="5" t="str"/>
      <x:c r="L293" s="5" t="str">
        <x:v>Teilkostenrechnung, Deckungsbeitrag &amp; Break-even</x:v>
      </x:c>
      <x:c r="M293" s="5" t="n">
        <x:v>4</x:v>
      </x:c>
      <x:c r="N293" s="5" t="n">
        <x:v>4</x:v>
      </x:c>
      <x:c r="O293" s="5" t="str"/>
      <x:c r="P293" s="5" t="str">
        <x:v>Zuordnungsvorschlag; Fachfreigabe ausstehend</x:v>
      </x:c>
      <x:c r="Q293" s="5" t="str">
        <x:v>Bestehendes Lernthema fachlich unter passendem Rahmenplan-Unterbereich behalten</x:v>
      </x:c>
      <x:c r="R293" s="5" t="str">
        <x:v>Was ist die einstufige Deckungsbeitragsrechnung?</x:v>
      </x:c>
      <x:c r="S293" s="5" t="str">
        <x:v>52f1331d83a18569287b5bc2646cd552ef23f3e8b3201a824fe47f11bea359fe</x:v>
      </x:c>
    </x:row>
    <x:row r="294" ht="36" customHeight="1">
      <x:c r="A294" s="5" t="str">
        <x:v>BR-0005</x:v>
      </x:c>
      <x:c r="B294" s="5" t="str">
        <x:v>WQ</x:v>
      </x:c>
      <x:c r="C294" s="5" t="str">
        <x:v>2</x:v>
      </x:c>
      <x:c r="D294" s="5" t="str">
        <x:v>Rechnungswesen</x:v>
      </x:c>
      <x:c r="E294" s="5" t="str">
        <x:v>Rechnungswesen</x:v>
      </x:c>
      <x:c r="F294" s="5" t="str">
        <x:v>ui-wq-0005</x:v>
      </x:c>
      <x:c r="G294" s="5" t="str">
        <x:v>Grundlegende Aspekte des Rechnungswesens</x:v>
      </x:c>
      <x:c r="H294" s="5" t="str">
        <x:v>dg-wq-0028</x:v>
      </x:c>
      <x:c r="I294" s="5" t="str">
        <x:v>2.1.1</x:v>
      </x:c>
      <x:c r="J294" s="5" t="str">
        <x:v>Abgrenzung von Finanzbuchhaltung, Kosten- und Leistungsrechnung, Auswertungen und Planungsrechnung</x:v>
      </x:c>
      <x:c r="K294" s="5" t="str"/>
      <x:c r="L294" s="5" t="str">
        <x:v>Grundlagen des Rechnungswesens</x:v>
      </x:c>
      <x:c r="M294" s="5" t="n">
        <x:v>1</x:v>
      </x:c>
      <x:c r="N294" s="5" t="n">
        <x:v>1</x:v>
      </x:c>
      <x:c r="O294" s="5" t="str"/>
      <x:c r="P294" s="5" t="str">
        <x:v>Zuordnungsvorschlag; Fachfreigabe ausstehend</x:v>
      </x:c>
      <x:c r="Q294" s="5" t="str">
        <x:v>Bestehendes Lernthema fachlich unter passendem Rahmenplan-Unterbereich behalten</x:v>
      </x:c>
      <x:c r="R294" s="5" t="str">
        <x:v>Was ist das Ziel des betrieblichen Rechnungswesens?</x:v>
      </x:c>
      <x:c r="S294" s="5" t="str">
        <x:v>9051324de8aba37bf4b75981aec2996d0730638c958e20b4ab2d496f6024f4a7</x:v>
      </x:c>
    </x:row>
    <x:row r="295" ht="36" customHeight="1">
      <x:c r="A295" s="5" t="str">
        <x:v>BR-0006</x:v>
      </x:c>
      <x:c r="B295" s="5" t="str">
        <x:v>WQ</x:v>
      </x:c>
      <x:c r="C295" s="5" t="str">
        <x:v>2</x:v>
      </x:c>
      <x:c r="D295" s="5" t="str">
        <x:v>Rechnungswesen</x:v>
      </x:c>
      <x:c r="E295" s="5" t="str">
        <x:v>Rechnungswesen</x:v>
      </x:c>
      <x:c r="F295" s="5" t="str">
        <x:v>ui-wq-0005</x:v>
      </x:c>
      <x:c r="G295" s="5" t="str">
        <x:v>Grundlegende Aspekte des Rechnungswesens</x:v>
      </x:c>
      <x:c r="H295" s="5" t="str">
        <x:v>dg-wq-0028</x:v>
      </x:c>
      <x:c r="I295" s="5" t="str">
        <x:v>2.1.1</x:v>
      </x:c>
      <x:c r="J295" s="5" t="str">
        <x:v>Abgrenzung von Finanzbuchhaltung, Kosten- und Leistungsrechnung, Auswertungen und Planungsrechnung</x:v>
      </x:c>
      <x:c r="K295" s="5" t="str"/>
      <x:c r="L295" s="5" t="str">
        <x:v>Grundlagen des Rechnungswesens</x:v>
      </x:c>
      <x:c r="M295" s="5" t="n">
        <x:v>2</x:v>
      </x:c>
      <x:c r="N295" s="5" t="n">
        <x:v>2</x:v>
      </x:c>
      <x:c r="O295" s="5" t="str"/>
      <x:c r="P295" s="5" t="str">
        <x:v>Zuordnungsvorschlag; Fachfreigabe ausstehend</x:v>
      </x:c>
      <x:c r="Q295" s="5" t="str">
        <x:v>Bestehendes Lernthema fachlich unter passendem Rahmenplan-Unterbereich behalten</x:v>
      </x:c>
      <x:c r="R295" s="5" t="str">
        <x:v>Welche Hauptfunktionen erfüllt das Rechnungswesen?</x:v>
      </x:c>
      <x:c r="S295" s="5" t="str">
        <x:v>24f80847f2e835f4294b4921aceaa2cec392cddc93fa47ee13359396e1bf0724</x:v>
      </x:c>
    </x:row>
    <x:row r="296" ht="36" customHeight="1">
      <x:c r="A296" s="5" t="str">
        <x:v>BR-0007</x:v>
      </x:c>
      <x:c r="B296" s="5" t="str">
        <x:v>WQ</x:v>
      </x:c>
      <x:c r="C296" s="5" t="str">
        <x:v>2</x:v>
      </x:c>
      <x:c r="D296" s="5" t="str">
        <x:v>Rechnungswesen</x:v>
      </x:c>
      <x:c r="E296" s="5" t="str">
        <x:v>Rechnungswesen</x:v>
      </x:c>
      <x:c r="F296" s="5" t="str">
        <x:v>ui-wq-0005</x:v>
      </x:c>
      <x:c r="G296" s="5" t="str">
        <x:v>Grundlegende Aspekte des Rechnungswesens</x:v>
      </x:c>
      <x:c r="H296" s="5" t="str">
        <x:v>dg-wq-0028</x:v>
      </x:c>
      <x:c r="I296" s="5" t="str">
        <x:v>2.1.1</x:v>
      </x:c>
      <x:c r="J296" s="5" t="str">
        <x:v>Abgrenzung von Finanzbuchhaltung, Kosten- und Leistungsrechnung, Auswertungen und Planungsrechnung</x:v>
      </x:c>
      <x:c r="K296" s="5" t="str"/>
      <x:c r="L296" s="5" t="str">
        <x:v>Grundlagen des Rechnungswesens</x:v>
      </x:c>
      <x:c r="M296" s="5" t="n">
        <x:v>3</x:v>
      </x:c>
      <x:c r="N296" s="5" t="n">
        <x:v>3</x:v>
      </x:c>
      <x:c r="O296" s="5" t="str"/>
      <x:c r="P296" s="5" t="str">
        <x:v>Zuordnungsvorschlag; Fachfreigabe ausstehend</x:v>
      </x:c>
      <x:c r="Q296" s="5" t="str">
        <x:v>Bestehendes Lernthema fachlich unter passendem Rahmenplan-Unterbereich behalten</x:v>
      </x:c>
      <x:c r="R296" s="5" t="str">
        <x:v>Welche Teilbereiche gehören zum betrieblichen Rechnungswesen?</x:v>
      </x:c>
      <x:c r="S296" s="5" t="str">
        <x:v>7b3da38e4abb511204ab22a180923195bfd4c761c0a2ad0c8422eae987739a42</x:v>
      </x:c>
    </x:row>
    <x:row r="297" ht="36" customHeight="1">
      <x:c r="A297" s="5" t="str">
        <x:v>BR-0008</x:v>
      </x:c>
      <x:c r="B297" s="5" t="str">
        <x:v>WQ</x:v>
      </x:c>
      <x:c r="C297" s="5" t="str">
        <x:v>2</x:v>
      </x:c>
      <x:c r="D297" s="5" t="str">
        <x:v>Rechnungswesen</x:v>
      </x:c>
      <x:c r="E297" s="5" t="str">
        <x:v>Rechnungswesen</x:v>
      </x:c>
      <x:c r="F297" s="5" t="str">
        <x:v>ui-wq-0005</x:v>
      </x:c>
      <x:c r="G297" s="5" t="str">
        <x:v>Grundlegende Aspekte des Rechnungswesens</x:v>
      </x:c>
      <x:c r="H297" s="5" t="str">
        <x:v>dg-wq-0028</x:v>
      </x:c>
      <x:c r="I297" s="5" t="str">
        <x:v>2.1.1</x:v>
      </x:c>
      <x:c r="J297" s="5" t="str">
        <x:v>Abgrenzung von Finanzbuchhaltung, Kosten- und Leistungsrechnung, Auswertungen und Planungsrechnung</x:v>
      </x:c>
      <x:c r="K297" s="5" t="str"/>
      <x:c r="L297" s="5" t="str">
        <x:v>Grundlagen des Rechnungswesens</x:v>
      </x:c>
      <x:c r="M297" s="5" t="n">
        <x:v>4</x:v>
      </x:c>
      <x:c r="N297" s="5" t="n">
        <x:v>4</x:v>
      </x:c>
      <x:c r="O297" s="5" t="str"/>
      <x:c r="P297" s="5" t="str">
        <x:v>Zuordnungsvorschlag; Fachfreigabe ausstehend</x:v>
      </x:c>
      <x:c r="Q297" s="5" t="str">
        <x:v>Bestehendes Lernthema fachlich unter passendem Rahmenplan-Unterbereich behalten</x:v>
      </x:c>
      <x:c r="R297" s="5" t="str">
        <x:v>Wie unterscheiden sich externes und internes Rechnungswesen?</x:v>
      </x:c>
      <x:c r="S297" s="5" t="str">
        <x:v>cbd0d5e2c74643e7eab1c4e3e735b8d76d86e9b2abadfe147290befc3279915e</x:v>
      </x:c>
    </x:row>
    <x:row r="298" ht="36" customHeight="1">
      <x:c r="A298" s="5" t="str">
        <x:v>BR-0009</x:v>
      </x:c>
      <x:c r="B298" s="5" t="str">
        <x:v>WQ</x:v>
      </x:c>
      <x:c r="C298" s="5" t="str">
        <x:v>2</x:v>
      </x:c>
      <x:c r="D298" s="5" t="str">
        <x:v>Rechnungswesen</x:v>
      </x:c>
      <x:c r="E298" s="5" t="str">
        <x:v>Rechnungswesen</x:v>
      </x:c>
      <x:c r="F298" s="5" t="str">
        <x:v>ui-wq-0005</x:v>
      </x:c>
      <x:c r="G298" s="5" t="str">
        <x:v>Grundlegende Aspekte des Rechnungswesens</x:v>
      </x:c>
      <x:c r="H298" s="5" t="str">
        <x:v>dg-wq-0028</x:v>
      </x:c>
      <x:c r="I298" s="5" t="str">
        <x:v>2.1.1</x:v>
      </x:c>
      <x:c r="J298" s="5" t="str">
        <x:v>Abgrenzung von Finanzbuchhaltung, Kosten- und Leistungsrechnung, Auswertungen und Planungsrechnung</x:v>
      </x:c>
      <x:c r="K298" s="5" t="str"/>
      <x:c r="L298" s="5" t="str">
        <x:v>Grundlagen des Rechnungswesens</x:v>
      </x:c>
      <x:c r="M298" s="5" t="n">
        <x:v>5</x:v>
      </x:c>
      <x:c r="N298" s="5" t="n">
        <x:v>5</x:v>
      </x:c>
      <x:c r="O298" s="5" t="str"/>
      <x:c r="P298" s="5" t="str">
        <x:v>Zuordnungsvorschlag; Fachfreigabe ausstehend</x:v>
      </x:c>
      <x:c r="Q298" s="5" t="str">
        <x:v>Bestehendes Lernthema fachlich unter passendem Rahmenplan-Unterbereich behalten</x:v>
      </x:c>
      <x:c r="R298" s="5" t="str">
        <x:v>Welche Funktion übernimmt die betriebswirtschaftliche Statistik?</x:v>
      </x:c>
      <x:c r="S298" s="5" t="str">
        <x:v>e5d4fe208493fe6cd868e7c2e642c48baf3294808b297166b63d039070e96425</x:v>
      </x:c>
    </x:row>
    <x:row r="299" ht="36" customHeight="1">
      <x:c r="A299" s="5" t="str">
        <x:v>BR-0010</x:v>
      </x:c>
      <x:c r="B299" s="5" t="str">
        <x:v>WQ</x:v>
      </x:c>
      <x:c r="C299" s="5" t="str">
        <x:v>2</x:v>
      </x:c>
      <x:c r="D299" s="5" t="str">
        <x:v>Rechnungswesen</x:v>
      </x:c>
      <x:c r="E299" s="5" t="str">
        <x:v>Rechnungswesen</x:v>
      </x:c>
      <x:c r="F299" s="5" t="str">
        <x:v>ui-wq-0009</x:v>
      </x:c>
      <x:c r="G299" s="5" t="str">
        <x:v>Planungsrechnung</x:v>
      </x:c>
      <x:c r="H299" s="5" t="str">
        <x:v>dg-wq-0029</x:v>
      </x:c>
      <x:c r="I299" s="5" t="str">
        <x:v>2.5.1</x:v>
      </x:c>
      <x:c r="J299" s="5" t="str">
        <x:v>Inhalt der Planungsrechnung</x:v>
      </x:c>
      <x:c r="K299" s="5" t="str"/>
      <x:c r="L299" s="5" t="str">
        <x:v>Planungsrechnung</x:v>
      </x:c>
      <x:c r="M299" s="5" t="n">
        <x:v>1</x:v>
      </x:c>
      <x:c r="N299" s="5" t="n">
        <x:v>1</x:v>
      </x:c>
      <x:c r="O299" s="5" t="str"/>
      <x:c r="P299" s="5" t="str">
        <x:v>Zuordnungsvorschlag; Fachfreigabe ausstehend</x:v>
      </x:c>
      <x:c r="Q299" s="5" t="str">
        <x:v>Bestehendes Lernthema fachlich unter passendem Rahmenplan-Unterbereich behalten</x:v>
      </x:c>
      <x:c r="R299" s="5" t="str">
        <x:v>Welche Aufgaben hat die Planungsrechnung?</x:v>
      </x:c>
      <x:c r="S299" s="5" t="str">
        <x:v>4c0534e71720654a994a11ae8096d37a164653c64f65e6a790fa0678178aabdb</x:v>
      </x:c>
    </x:row>
    <x:row r="300" ht="36" customHeight="1">
      <x:c r="A300" s="5" t="str">
        <x:v>BR-0011</x:v>
      </x:c>
      <x:c r="B300" s="5" t="str">
        <x:v>WQ</x:v>
      </x:c>
      <x:c r="C300" s="5" t="str">
        <x:v>2</x:v>
      </x:c>
      <x:c r="D300" s="5" t="str">
        <x:v>Rechnungswesen</x:v>
      </x:c>
      <x:c r="E300" s="5" t="str">
        <x:v>Rechnungswesen</x:v>
      </x:c>
      <x:c r="F300" s="5" t="str">
        <x:v>ui-wq-0006</x:v>
      </x:c>
      <x:c r="G300" s="5" t="str">
        <x:v>Finanzbuchhaltung</x:v>
      </x:c>
      <x:c r="H300" s="5" t="str">
        <x:v>dg-wq-0030</x:v>
      </x:c>
      <x:c r="I300" s="5" t="str">
        <x:v>2.2.1</x:v>
      </x:c>
      <x:c r="J300" s="5" t="str">
        <x:v>Grundlagen</x:v>
      </x:c>
      <x:c r="K300" s="5" t="str"/>
      <x:c r="L300" s="5" t="str">
        <x:v>Finanzbuchhaltung &amp; Konten</x:v>
      </x:c>
      <x:c r="M300" s="5" t="n">
        <x:v>1</x:v>
      </x:c>
      <x:c r="N300" s="5" t="n">
        <x:v>1</x:v>
      </x:c>
      <x:c r="O300" s="5" t="str"/>
      <x:c r="P300" s="5" t="str">
        <x:v>Zuordnungsvorschlag; Fachfreigabe ausstehend</x:v>
      </x:c>
      <x:c r="Q300" s="5" t="str">
        <x:v>Bestehendes Lernthema fachlich unter passendem Rahmenplan-Unterbereich behalten</x:v>
      </x:c>
      <x:c r="R300" s="5" t="str">
        <x:v>Was ist das oberste Ziel der Finanzbuchhaltung?</x:v>
      </x:c>
      <x:c r="S300" s="5" t="str">
        <x:v>8cd3d85a40469c1e7289ec9b4dc78db52c4b42df27bbe037a9fddefc20694d3b</x:v>
      </x:c>
    </x:row>
    <x:row r="301" ht="36" customHeight="1">
      <x:c r="A301" s="5" t="str">
        <x:v>BR-0012</x:v>
      </x:c>
      <x:c r="B301" s="5" t="str">
        <x:v>WQ</x:v>
      </x:c>
      <x:c r="C301" s="5" t="str">
        <x:v>2</x:v>
      </x:c>
      <x:c r="D301" s="5" t="str">
        <x:v>Rechnungswesen</x:v>
      </x:c>
      <x:c r="E301" s="5" t="str">
        <x:v>Rechnungswesen</x:v>
      </x:c>
      <x:c r="F301" s="5" t="str">
        <x:v>ui-wq-0005</x:v>
      </x:c>
      <x:c r="G301" s="5" t="str">
        <x:v>Grundlegende Aspekte des Rechnungswesens</x:v>
      </x:c>
      <x:c r="H301" s="5" t="str">
        <x:v>dg-wq-0031</x:v>
      </x:c>
      <x:c r="I301" s="5" t="str">
        <x:v>2.1.3</x:v>
      </x:c>
      <x:c r="J301" s="5" t="str">
        <x:v>Buchführungspflichten nach Handels- und Steuerrecht</x:v>
      </x:c>
      <x:c r="K301" s="5" t="str"/>
      <x:c r="L301" s="5" t="str">
        <x:v>GoB, Buchführungspflicht &amp; Bewertung</x:v>
      </x:c>
      <x:c r="M301" s="5" t="n">
        <x:v>6</x:v>
      </x:c>
      <x:c r="N301" s="5" t="n">
        <x:v>1</x:v>
      </x:c>
      <x:c r="O301" s="5" t="str"/>
      <x:c r="P301" s="5" t="str">
        <x:v>Zuordnungsvorschlag; Fachfreigabe ausstehend</x:v>
      </x:c>
      <x:c r="Q301" s="5" t="str">
        <x:v>Frageinhalt präzisiert bzw. teilt bisheriges Sammelthema</x:v>
      </x:c>
      <x:c r="R301" s="5" t="str">
        <x:v>Wer ist buchführungspflichtig?</x:v>
      </x:c>
      <x:c r="S301" s="5" t="str">
        <x:v>0e0d057376a511d504635d0cad2d9ef67a7050149ff6ca9287b3b034fd304179</x:v>
      </x:c>
    </x:row>
    <x:row r="302" ht="36" customHeight="1">
      <x:c r="A302" s="5" t="str">
        <x:v>BR-0013</x:v>
      </x:c>
      <x:c r="B302" s="5" t="str">
        <x:v>WQ</x:v>
      </x:c>
      <x:c r="C302" s="5" t="str">
        <x:v>2</x:v>
      </x:c>
      <x:c r="D302" s="5" t="str">
        <x:v>Rechnungswesen</x:v>
      </x:c>
      <x:c r="E302" s="5" t="str">
        <x:v>Rechnungswesen</x:v>
      </x:c>
      <x:c r="F302" s="5" t="str">
        <x:v>ui-wq-0005</x:v>
      </x:c>
      <x:c r="G302" s="5" t="str">
        <x:v>Grundlegende Aspekte des Rechnungswesens</x:v>
      </x:c>
      <x:c r="H302" s="5" t="str">
        <x:v>dg-wq-0031</x:v>
      </x:c>
      <x:c r="I302" s="5" t="str">
        <x:v>2.1.3</x:v>
      </x:c>
      <x:c r="J302" s="5" t="str">
        <x:v>Buchführungspflichten nach Handels- und Steuerrecht</x:v>
      </x:c>
      <x:c r="K302" s="5" t="str"/>
      <x:c r="L302" s="5" t="str">
        <x:v>GoB, Buchführungspflicht &amp; Bewertung</x:v>
      </x:c>
      <x:c r="M302" s="5" t="n">
        <x:v>7</x:v>
      </x:c>
      <x:c r="N302" s="5" t="n">
        <x:v>2</x:v>
      </x:c>
      <x:c r="O302" s="5" t="str"/>
      <x:c r="P302" s="5" t="str">
        <x:v>Zuordnungsvorschlag; Fachfreigabe ausstehend</x:v>
      </x:c>
      <x:c r="Q302" s="5" t="str">
        <x:v>Frageinhalt präzisiert bzw. teilt bisheriges Sammelthema</x:v>
      </x:c>
      <x:c r="R302" s="5" t="str">
        <x:v>Welche Pflichten gehören zur Buchführungspflicht?</x:v>
      </x:c>
      <x:c r="S302" s="5" t="str">
        <x:v>574e65aa8a67cf2489b3688cc28d2e7a088c4fb21bc1d9bff263910bc1ff2fa9</x:v>
      </x:c>
    </x:row>
    <x:row r="303" ht="36" customHeight="1">
      <x:c r="A303" s="5" t="str">
        <x:v>BR-0014</x:v>
      </x:c>
      <x:c r="B303" s="5" t="str">
        <x:v>WQ</x:v>
      </x:c>
      <x:c r="C303" s="5" t="str">
        <x:v>2</x:v>
      </x:c>
      <x:c r="D303" s="5" t="str">
        <x:v>Rechnungswesen</x:v>
      </x:c>
      <x:c r="E303" s="5" t="str">
        <x:v>Rechnungswesen</x:v>
      </x:c>
      <x:c r="F303" s="5" t="str">
        <x:v>ui-wq-0006</x:v>
      </x:c>
      <x:c r="G303" s="5" t="str">
        <x:v>Finanzbuchhaltung</x:v>
      </x:c>
      <x:c r="H303" s="5" t="str">
        <x:v>dg-wq-0032</x:v>
      </x:c>
      <x:c r="I303" s="5" t="str">
        <x:v>2.2.2.1</x:v>
      </x:c>
      <x:c r="J303" s="5" t="str">
        <x:v>Aufbau der Bilanz</x:v>
      </x:c>
      <x:c r="K303" s="5" t="str"/>
      <x:c r="L303" s="5" t="str">
        <x:v>Inventur, Bilanz &amp; Jahresabschluss</x:v>
      </x:c>
      <x:c r="M303" s="5" t="n">
        <x:v>2</x:v>
      </x:c>
      <x:c r="N303" s="5" t="n">
        <x:v>1</x:v>
      </x:c>
      <x:c r="O303" s="5" t="str"/>
      <x:c r="P303" s="5" t="str">
        <x:v>Zuordnungsvorschlag; Fachfreigabe ausstehend</x:v>
      </x:c>
      <x:c r="Q303" s="5" t="str">
        <x:v>Bestehendes Lernthema fachlich unter passendem Rahmenplan-Unterbereich behalten</x:v>
      </x:c>
      <x:c r="R303" s="5" t="str">
        <x:v>Wie ist die Bilanz grob gegliedert?</x:v>
      </x:c>
      <x:c r="S303" s="5" t="str">
        <x:v>af5544e002e02196c7c8e2e20b687c6c67ae166f21e3712f4181bb948e6728ef</x:v>
      </x:c>
    </x:row>
    <x:row r="304" ht="36" customHeight="1">
      <x:c r="A304" s="5" t="str">
        <x:v>BR-0015</x:v>
      </x:c>
      <x:c r="B304" s="5" t="str">
        <x:v>WQ</x:v>
      </x:c>
      <x:c r="C304" s="5" t="str">
        <x:v>2</x:v>
      </x:c>
      <x:c r="D304" s="5" t="str">
        <x:v>Rechnungswesen</x:v>
      </x:c>
      <x:c r="E304" s="5" t="str">
        <x:v>Rechnungswesen</x:v>
      </x:c>
      <x:c r="F304" s="5" t="str">
        <x:v>ui-wq-0006</x:v>
      </x:c>
      <x:c r="G304" s="5" t="str">
        <x:v>Finanzbuchhaltung</x:v>
      </x:c>
      <x:c r="H304" s="5" t="str">
        <x:v>dg-wq-0030</x:v>
      </x:c>
      <x:c r="I304" s="5" t="str">
        <x:v>2.2.1</x:v>
      </x:c>
      <x:c r="J304" s="5" t="str">
        <x:v>Grundlagen</x:v>
      </x:c>
      <x:c r="K304" s="5" t="str"/>
      <x:c r="L304" s="5" t="str">
        <x:v>Finanzbuchhaltung &amp; Konten</x:v>
      </x:c>
      <x:c r="M304" s="5" t="n">
        <x:v>3</x:v>
      </x:c>
      <x:c r="N304" s="5" t="n">
        <x:v>2</x:v>
      </x:c>
      <x:c r="O304" s="5" t="str"/>
      <x:c r="P304" s="5" t="str">
        <x:v>Zuordnungsvorschlag; Fachfreigabe ausstehend</x:v>
      </x:c>
      <x:c r="Q304" s="5" t="str">
        <x:v>Bestehendes Lernthema fachlich unter passendem Rahmenplan-Unterbereich behalten</x:v>
      </x:c>
      <x:c r="R304" s="5" t="str">
        <x:v>Was sind erfolgsneutrale Geschäftsvorfälle?</x:v>
      </x:c>
      <x:c r="S304" s="5" t="str">
        <x:v>78972aa1ed513c53ac3b5cc0f435af49622b719ffa2e38df04afb707a24486df</x:v>
      </x:c>
    </x:row>
    <x:row r="305" ht="36" customHeight="1">
      <x:c r="A305" s="5" t="str">
        <x:v>BR-0016</x:v>
      </x:c>
      <x:c r="B305" s="5" t="str">
        <x:v>WQ</x:v>
      </x:c>
      <x:c r="C305" s="5" t="str">
        <x:v>2</x:v>
      </x:c>
      <x:c r="D305" s="5" t="str">
        <x:v>Rechnungswesen</x:v>
      </x:c>
      <x:c r="E305" s="5" t="str">
        <x:v>Rechnungswesen</x:v>
      </x:c>
      <x:c r="F305" s="5" t="str">
        <x:v>ui-wq-0006</x:v>
      </x:c>
      <x:c r="G305" s="5" t="str">
        <x:v>Finanzbuchhaltung</x:v>
      </x:c>
      <x:c r="H305" s="5" t="str">
        <x:v>dg-wq-0030</x:v>
      </x:c>
      <x:c r="I305" s="5" t="str">
        <x:v>2.2.1</x:v>
      </x:c>
      <x:c r="J305" s="5" t="str">
        <x:v>Grundlagen</x:v>
      </x:c>
      <x:c r="K305" s="5" t="str"/>
      <x:c r="L305" s="5" t="str">
        <x:v>Finanzbuchhaltung &amp; Konten</x:v>
      </x:c>
      <x:c r="M305" s="5" t="n">
        <x:v>4</x:v>
      </x:c>
      <x:c r="N305" s="5" t="n">
        <x:v>3</x:v>
      </x:c>
      <x:c r="O305" s="5" t="str"/>
      <x:c r="P305" s="5" t="str">
        <x:v>Zuordnungsvorschlag; Fachfreigabe ausstehend</x:v>
      </x:c>
      <x:c r="Q305" s="5" t="str">
        <x:v>Bestehendes Lernthema fachlich unter passendem Rahmenplan-Unterbereich behalten</x:v>
      </x:c>
      <x:c r="R305" s="5" t="str">
        <x:v>Was ist der Unterschied zu erfolgswirksamen Geschäftsvorfällen?</x:v>
      </x:c>
      <x:c r="S305" s="5" t="str">
        <x:v>c04605ee13e775018ded3b3aeac790d4ad5cee9e48fe9f0438574c1256271b02</x:v>
      </x:c>
    </x:row>
    <x:row r="306" ht="36" customHeight="1">
      <x:c r="A306" s="5" t="str">
        <x:v>BR-0017</x:v>
      </x:c>
      <x:c r="B306" s="5" t="str">
        <x:v>WQ</x:v>
      </x:c>
      <x:c r="C306" s="5" t="str">
        <x:v>2</x:v>
      </x:c>
      <x:c r="D306" s="5" t="str">
        <x:v>Rechnungswesen</x:v>
      </x:c>
      <x:c r="E306" s="5" t="str">
        <x:v>Rechnungswesen</x:v>
      </x:c>
      <x:c r="F306" s="5" t="str">
        <x:v>ui-wq-0006</x:v>
      </x:c>
      <x:c r="G306" s="5" t="str">
        <x:v>Finanzbuchhaltung</x:v>
      </x:c>
      <x:c r="H306" s="5" t="str">
        <x:v>dg-wq-0032</x:v>
      </x:c>
      <x:c r="I306" s="5" t="str">
        <x:v>2.2.2</x:v>
      </x:c>
      <x:c r="J306" s="5" t="str">
        <x:v>Jahresabschluss</x:v>
      </x:c>
      <x:c r="K306" s="5" t="str"/>
      <x:c r="L306" s="5" t="str">
        <x:v>Inventur, Bilanz &amp; Jahresabschluss</x:v>
      </x:c>
      <x:c r="M306" s="5" t="n">
        <x:v>5</x:v>
      </x:c>
      <x:c r="N306" s="5" t="n">
        <x:v>2</x:v>
      </x:c>
      <x:c r="O306" s="5" t="str"/>
      <x:c r="P306" s="5" t="str">
        <x:v>Zuordnungsvorschlag; Fachfreigabe ausstehend</x:v>
      </x:c>
      <x:c r="Q306" s="5" t="str">
        <x:v>Bestehendes Lernthema fachlich unter passendem Rahmenplan-Unterbereich behalten</x:v>
      </x:c>
      <x:c r="R306" s="5" t="str">
        <x:v>Was ist Inventur und Inventar?</x:v>
      </x:c>
      <x:c r="S306" s="5" t="str">
        <x:v>34668443ceaaf567f14f175e0a51d36770be9fca29e2a5b2d23c3d0abce5a3b0</x:v>
      </x:c>
    </x:row>
    <x:row r="307" ht="36" customHeight="1">
      <x:c r="A307" s="5" t="str">
        <x:v>BR-0018</x:v>
      </x:c>
      <x:c r="B307" s="5" t="str">
        <x:v>WQ</x:v>
      </x:c>
      <x:c r="C307" s="5" t="str">
        <x:v>2</x:v>
      </x:c>
      <x:c r="D307" s="5" t="str">
        <x:v>Rechnungswesen</x:v>
      </x:c>
      <x:c r="E307" s="5" t="str">
        <x:v>Rechnungswesen</x:v>
      </x:c>
      <x:c r="F307" s="5" t="str">
        <x:v>ui-wq-0006</x:v>
      </x:c>
      <x:c r="G307" s="5" t="str">
        <x:v>Finanzbuchhaltung</x:v>
      </x:c>
      <x:c r="H307" s="5" t="str">
        <x:v>dg-wq-0032</x:v>
      </x:c>
      <x:c r="I307" s="5" t="str">
        <x:v>2.2.2</x:v>
      </x:c>
      <x:c r="J307" s="5" t="str">
        <x:v>Jahresabschluss</x:v>
      </x:c>
      <x:c r="K307" s="5" t="str"/>
      <x:c r="L307" s="5" t="str">
        <x:v>Inventur, Bilanz &amp; Jahresabschluss</x:v>
      </x:c>
      <x:c r="M307" s="5" t="n">
        <x:v>6</x:v>
      </x:c>
      <x:c r="N307" s="5" t="n">
        <x:v>3</x:v>
      </x:c>
      <x:c r="O307" s="5" t="str"/>
      <x:c r="P307" s="5" t="str">
        <x:v>Zuordnungsvorschlag; Fachfreigabe ausstehend</x:v>
      </x:c>
      <x:c r="Q307" s="5" t="str">
        <x:v>Bestehendes Lernthema fachlich unter passendem Rahmenplan-Unterbereich behalten</x:v>
      </x:c>
      <x:c r="R307" s="5" t="str">
        <x:v>Welche Inventurverfahren gibt es?</x:v>
      </x:c>
      <x:c r="S307" s="5" t="str">
        <x:v>4665b3602c67c7f0d128847c92e64a3755691b9d88704ae772ceaf5480b372e0</x:v>
      </x:c>
    </x:row>
    <x:row r="308" ht="36" customHeight="1">
      <x:c r="A308" s="5" t="str">
        <x:v>BR-0019</x:v>
      </x:c>
      <x:c r="B308" s="5" t="str">
        <x:v>WQ</x:v>
      </x:c>
      <x:c r="C308" s="5" t="str">
        <x:v>2</x:v>
      </x:c>
      <x:c r="D308" s="5" t="str">
        <x:v>Rechnungswesen</x:v>
      </x:c>
      <x:c r="E308" s="5" t="str">
        <x:v>Rechnungswesen</x:v>
      </x:c>
      <x:c r="F308" s="5" t="str">
        <x:v>ui-wq-0006</x:v>
      </x:c>
      <x:c r="G308" s="5" t="str">
        <x:v>Finanzbuchhaltung</x:v>
      </x:c>
      <x:c r="H308" s="5" t="str">
        <x:v>dg-wq-0032</x:v>
      </x:c>
      <x:c r="I308" s="5" t="str">
        <x:v>2.2.2.3</x:v>
      </x:c>
      <x:c r="J308" s="5" t="str">
        <x:v>Gewinn- und Verlustrechnung</x:v>
      </x:c>
      <x:c r="K308" s="5" t="str"/>
      <x:c r="L308" s="5" t="str">
        <x:v>Inventur, Bilanz &amp; Jahresabschluss</x:v>
      </x:c>
      <x:c r="M308" s="5" t="n">
        <x:v>7</x:v>
      </x:c>
      <x:c r="N308" s="5" t="n">
        <x:v>4</x:v>
      </x:c>
      <x:c r="O308" s="5" t="str"/>
      <x:c r="P308" s="5" t="str">
        <x:v>Zuordnungsvorschlag; Fachfreigabe ausstehend</x:v>
      </x:c>
      <x:c r="Q308" s="5" t="str">
        <x:v>Bestehendes Lernthema fachlich unter passendem Rahmenplan-Unterbereich behalten</x:v>
      </x:c>
      <x:c r="R308" s="5" t="str">
        <x:v>Wie lautet die Struktur der Gewinn-und Verlustrechnung im Gesamtkostenverfahren?</x:v>
      </x:c>
      <x:c r="S308" s="5" t="str">
        <x:v>aac8c31621ba6ce196918ef4bc39f6e05b34ab4de9488569a5225c422520653a</x:v>
      </x:c>
    </x:row>
    <x:row r="309" ht="36" customHeight="1">
      <x:c r="A309" s="5" t="str">
        <x:v>BR-0020</x:v>
      </x:c>
      <x:c r="B309" s="5" t="str">
        <x:v>WQ</x:v>
      </x:c>
      <x:c r="C309" s="5" t="str">
        <x:v>2</x:v>
      </x:c>
      <x:c r="D309" s="5" t="str">
        <x:v>Rechnungswesen</x:v>
      </x:c>
      <x:c r="E309" s="5" t="str">
        <x:v>Rechnungswesen</x:v>
      </x:c>
      <x:c r="F309" s="5" t="str">
        <x:v>ui-wq-0006</x:v>
      </x:c>
      <x:c r="G309" s="5" t="str">
        <x:v>Finanzbuchhaltung</x:v>
      </x:c>
      <x:c r="H309" s="5" t="str">
        <x:v>dg-wq-0030</x:v>
      </x:c>
      <x:c r="I309" s="5" t="str">
        <x:v>2.2.1</x:v>
      </x:c>
      <x:c r="J309" s="5" t="str">
        <x:v>Grundlagen</x:v>
      </x:c>
      <x:c r="K309" s="5" t="str"/>
      <x:c r="L309" s="5" t="str">
        <x:v>Finanzbuchhaltung &amp; Konten</x:v>
      </x:c>
      <x:c r="M309" s="5" t="n">
        <x:v>8</x:v>
      </x:c>
      <x:c r="N309" s="5" t="n">
        <x:v>4</x:v>
      </x:c>
      <x:c r="O309" s="5" t="str"/>
      <x:c r="P309" s="5" t="str">
        <x:v>Zuordnungsvorschlag; Fachfreigabe ausstehend</x:v>
      </x:c>
      <x:c r="Q309" s="5" t="str">
        <x:v>Bestehendes Lernthema fachlich unter passendem Rahmenplan-Unterbereich behalten</x:v>
      </x:c>
      <x:c r="R309" s="5" t="str">
        <x:v>Welche Kontenarten gibt es für Erfolgsvorfälle?</x:v>
      </x:c>
      <x:c r="S309" s="5" t="str">
        <x:v>fbfb0b7f2128ef2188434f4f397129d070dbd553a5d92dd819318d98186d662f</x:v>
      </x:c>
    </x:row>
    <x:row r="310" ht="36" customHeight="1">
      <x:c r="A310" s="5" t="str">
        <x:v>BR-0021</x:v>
      </x:c>
      <x:c r="B310" s="5" t="str">
        <x:v>WQ</x:v>
      </x:c>
      <x:c r="C310" s="5" t="str">
        <x:v>2</x:v>
      </x:c>
      <x:c r="D310" s="5" t="str">
        <x:v>Rechnungswesen</x:v>
      </x:c>
      <x:c r="E310" s="5" t="str">
        <x:v>Rechnungswesen</x:v>
      </x:c>
      <x:c r="F310" s="5" t="str">
        <x:v>ui-wq-0005</x:v>
      </x:c>
      <x:c r="G310" s="5" t="str">
        <x:v>Grundlegende Aspekte des Rechnungswesens</x:v>
      </x:c>
      <x:c r="H310" s="5" t="str">
        <x:v>dg-wq-0033</x:v>
      </x:c>
      <x:c r="I310" s="5" t="str">
        <x:v>2.1.2</x:v>
      </x:c>
      <x:c r="J310" s="5" t="str">
        <x:v>Grundsätze ordnungsgemäßer Buchführung (GoB)</x:v>
      </x:c>
      <x:c r="K310" s="5" t="str"/>
      <x:c r="L310" s="5" t="str">
        <x:v>GoB, Buchführungspflicht &amp; Bewertung</x:v>
      </x:c>
      <x:c r="M310" s="5" t="n">
        <x:v>8</x:v>
      </x:c>
      <x:c r="N310" s="5" t="n">
        <x:v>1</x:v>
      </x:c>
      <x:c r="O310" s="5" t="str"/>
      <x:c r="P310" s="5" t="str">
        <x:v>Zuordnungsvorschlag; Fachfreigabe ausstehend</x:v>
      </x:c>
      <x:c r="Q310" s="5" t="str">
        <x:v>Bestehendes Lernthema fachlich unter passendem Rahmenplan-Unterbereich behalten</x:v>
      </x:c>
      <x:c r="R310" s="5" t="str">
        <x:v>Was sind die Grundsätze ordnungsgemäßer Buchführung?</x:v>
      </x:c>
      <x:c r="S310" s="5" t="str">
        <x:v>6d0826c5412ff45516ff257f2d6ce9f1bd2212184acfccbd56964c5e1744c980</x:v>
      </x:c>
    </x:row>
    <x:row r="311" ht="36" customHeight="1">
      <x:c r="A311" s="5" t="str">
        <x:v>BR-0022</x:v>
      </x:c>
      <x:c r="B311" s="5" t="str">
        <x:v>WQ</x:v>
      </x:c>
      <x:c r="C311" s="5" t="str">
        <x:v>2</x:v>
      </x:c>
      <x:c r="D311" s="5" t="str">
        <x:v>Rechnungswesen</x:v>
      </x:c>
      <x:c r="E311" s="5" t="str">
        <x:v>Rechnungswesen</x:v>
      </x:c>
      <x:c r="F311" s="5" t="str">
        <x:v>ui-wq-0005</x:v>
      </x:c>
      <x:c r="G311" s="5" t="str">
        <x:v>Grundlegende Aspekte des Rechnungswesens</x:v>
      </x:c>
      <x:c r="H311" s="5" t="str">
        <x:v>dg-wq-0033</x:v>
      </x:c>
      <x:c r="I311" s="5" t="str">
        <x:v>2.1.2</x:v>
      </x:c>
      <x:c r="J311" s="5" t="str">
        <x:v>Grundsätze ordnungsgemäßer Buchführung (GoB)</x:v>
      </x:c>
      <x:c r="K311" s="5" t="str"/>
      <x:c r="L311" s="5" t="str">
        <x:v>GoB, Buchführungspflicht &amp; Bewertung</x:v>
      </x:c>
      <x:c r="M311" s="5" t="n">
        <x:v>9</x:v>
      </x:c>
      <x:c r="N311" s="5" t="n">
        <x:v>2</x:v>
      </x:c>
      <x:c r="O311" s="5" t="str"/>
      <x:c r="P311" s="5" t="str">
        <x:v>Zuordnungsvorschlag; Fachfreigabe ausstehend</x:v>
      </x:c>
      <x:c r="Q311" s="5" t="str">
        <x:v>Bestehendes Lernthema fachlich unter passendem Rahmenplan-Unterbereich behalten</x:v>
      </x:c>
      <x:c r="R311" s="5" t="str">
        <x:v>Welche gesetzlichen Aufbewahrungsfristen gelten typischerweise für wichtige Buchführungsunterlagen?</x:v>
      </x:c>
      <x:c r="S311" s="5" t="str">
        <x:v>5c543b0717cbe9da7955356891fdd7550830b462e046a6bf2a41580ac94fe5a0</x:v>
      </x:c>
    </x:row>
    <x:row r="312" ht="36" customHeight="1">
      <x:c r="A312" s="5" t="str">
        <x:v>BR-0023</x:v>
      </x:c>
      <x:c r="B312" s="5" t="str">
        <x:v>WQ</x:v>
      </x:c>
      <x:c r="C312" s="5" t="str">
        <x:v>2</x:v>
      </x:c>
      <x:c r="D312" s="5" t="str">
        <x:v>Rechnungswesen</x:v>
      </x:c>
      <x:c r="E312" s="5" t="str">
        <x:v>Rechnungswesen</x:v>
      </x:c>
      <x:c r="F312" s="5" t="str">
        <x:v>ui-wq-0005</x:v>
      </x:c>
      <x:c r="G312" s="5" t="str">
        <x:v>Grundlegende Aspekte des Rechnungswesens</x:v>
      </x:c>
      <x:c r="H312" s="5" t="str">
        <x:v>dg-wq-0034</x:v>
      </x:c>
      <x:c r="I312" s="5" t="str">
        <x:v>2.1.4</x:v>
      </x:c>
      <x:c r="J312" s="5" t="str">
        <x:v>Bilanzierungs- und Bewertungsgrundsätze</x:v>
      </x:c>
      <x:c r="K312" s="5" t="str"/>
      <x:c r="L312" s="5" t="str">
        <x:v>GoB, Buchführungspflicht &amp; Bewertung</x:v>
      </x:c>
      <x:c r="M312" s="5" t="n">
        <x:v>10</x:v>
      </x:c>
      <x:c r="N312" s="5" t="n">
        <x:v>1</x:v>
      </x:c>
      <x:c r="O312" s="5" t="str"/>
      <x:c r="P312" s="5" t="str">
        <x:v>Zuordnungsvorschlag; Fachfreigabe ausstehend</x:v>
      </x:c>
      <x:c r="Q312" s="5" t="str">
        <x:v>Frageinhalt präzisiert bzw. teilt bisheriges Sammelthema</x:v>
      </x:c>
      <x:c r="R312" s="5" t="str">
        <x:v>Was bedeutet Bilanzansatz und Bilanzbewertung?</x:v>
      </x:c>
      <x:c r="S312" s="5" t="str">
        <x:v>6ea6fbd877708164edef61bb8e33effd65c7ee8b0c8ac0a3e4e42f81e19f6262</x:v>
      </x:c>
    </x:row>
    <x:row r="313" ht="36" customHeight="1">
      <x:c r="A313" s="5" t="str">
        <x:v>BR-0024</x:v>
      </x:c>
      <x:c r="B313" s="5" t="str">
        <x:v>WQ</x:v>
      </x:c>
      <x:c r="C313" s="5" t="str">
        <x:v>2</x:v>
      </x:c>
      <x:c r="D313" s="5" t="str">
        <x:v>Rechnungswesen</x:v>
      </x:c>
      <x:c r="E313" s="5" t="str">
        <x:v>Rechnungswesen</x:v>
      </x:c>
      <x:c r="F313" s="5" t="str">
        <x:v>ui-wq-0005</x:v>
      </x:c>
      <x:c r="G313" s="5" t="str">
        <x:v>Grundlegende Aspekte des Rechnungswesens</x:v>
      </x:c>
      <x:c r="H313" s="5" t="str">
        <x:v>dg-wq-0034</x:v>
      </x:c>
      <x:c r="I313" s="5" t="str">
        <x:v>2.1.4</x:v>
      </x:c>
      <x:c r="J313" s="5" t="str">
        <x:v>Bilanzierungs- und Bewertungsgrundsätze</x:v>
      </x:c>
      <x:c r="K313" s="5" t="str"/>
      <x:c r="L313" s="5" t="str">
        <x:v>GoB, Buchführungspflicht &amp; Bewertung</x:v>
      </x:c>
      <x:c r="M313" s="5" t="n">
        <x:v>11</x:v>
      </x:c>
      <x:c r="N313" s="5" t="n">
        <x:v>2</x:v>
      </x:c>
      <x:c r="O313" s="5" t="str"/>
      <x:c r="P313" s="5" t="str">
        <x:v>Zuordnungsvorschlag; Fachfreigabe ausstehend</x:v>
      </x:c>
      <x:c r="Q313" s="5" t="str">
        <x:v>Frageinhalt präzisiert bzw. teilt bisheriges Sammelthema</x:v>
      </x:c>
      <x:c r="R313" s="5" t="str">
        <x:v>Welche Bewertungsgrundsätze sind wichtig?</x:v>
      </x:c>
      <x:c r="S313" s="5" t="str">
        <x:v>3aa65ef815e35c3e6b9f7187da1d1541f9efb98029f7ad9a4db8a32186263bbe</x:v>
      </x:c>
    </x:row>
    <x:row r="314" ht="36" customHeight="1">
      <x:c r="A314" s="5" t="str">
        <x:v>BR-0025</x:v>
      </x:c>
      <x:c r="B314" s="5" t="str">
        <x:v>WQ</x:v>
      </x:c>
      <x:c r="C314" s="5" t="str">
        <x:v>2</x:v>
      </x:c>
      <x:c r="D314" s="5" t="str">
        <x:v>Rechnungswesen</x:v>
      </x:c>
      <x:c r="E314" s="5" t="str">
        <x:v>Rechnungswesen</x:v>
      </x:c>
      <x:c r="F314" s="5" t="str">
        <x:v>ui-wq-0005</x:v>
      </x:c>
      <x:c r="G314" s="5" t="str">
        <x:v>Grundlegende Aspekte des Rechnungswesens</x:v>
      </x:c>
      <x:c r="H314" s="5" t="str">
        <x:v>dg-wq-0034</x:v>
      </x:c>
      <x:c r="I314" s="5" t="str">
        <x:v>2.1.4</x:v>
      </x:c>
      <x:c r="J314" s="5" t="str">
        <x:v>Bilanzierungs- und Bewertungsgrundsätze</x:v>
      </x:c>
      <x:c r="K314" s="5" t="str"/>
      <x:c r="L314" s="5" t="str">
        <x:v>GoB, Buchführungspflicht &amp; Bewertung</x:v>
      </x:c>
      <x:c r="M314" s="5" t="n">
        <x:v>12</x:v>
      </x:c>
      <x:c r="N314" s="5" t="n">
        <x:v>3</x:v>
      </x:c>
      <x:c r="O314" s="5" t="str"/>
      <x:c r="P314" s="5" t="str">
        <x:v>Zuordnungsvorschlag; Fachfreigabe ausstehend</x:v>
      </x:c>
      <x:c r="Q314" s="5" t="str">
        <x:v>Frageinhalt präzisiert bzw. teilt bisheriges Sammelthema</x:v>
      </x:c>
      <x:c r="R314" s="5" t="str">
        <x:v>Wo gilt das strenge Niederstwertprinzip?</x:v>
      </x:c>
      <x:c r="S314" s="5" t="str">
        <x:v>6371508bb7f8185b99e8b566b9b3f174d1b9fd24d91695794617f71cd1d23058</x:v>
      </x:c>
    </x:row>
    <x:row r="315" ht="36" customHeight="1">
      <x:c r="A315" s="5" t="str">
        <x:v>BR-0026</x:v>
      </x:c>
      <x:c r="B315" s="5" t="str">
        <x:v>WQ</x:v>
      </x:c>
      <x:c r="C315" s="5" t="str">
        <x:v>2</x:v>
      </x:c>
      <x:c r="D315" s="5" t="str">
        <x:v>Rechnungswesen</x:v>
      </x:c>
      <x:c r="E315" s="5" t="str">
        <x:v>Rechnungswesen</x:v>
      </x:c>
      <x:c r="F315" s="5" t="str">
        <x:v>ui-wq-0005</x:v>
      </x:c>
      <x:c r="G315" s="5" t="str">
        <x:v>Grundlegende Aspekte des Rechnungswesens</x:v>
      </x:c>
      <x:c r="H315" s="5" t="str">
        <x:v>dg-wq-0033</x:v>
      </x:c>
      <x:c r="I315" s="5" t="str">
        <x:v>2.1.2</x:v>
      </x:c>
      <x:c r="J315" s="5" t="str">
        <x:v>Grundsätze ordnungsgemäßer Buchführung (GoB)</x:v>
      </x:c>
      <x:c r="K315" s="5" t="str"/>
      <x:c r="L315" s="5" t="str">
        <x:v>GoB, Buchführungspflicht &amp; Bewertung</x:v>
      </x:c>
      <x:c r="M315" s="5" t="n">
        <x:v>13</x:v>
      </x:c>
      <x:c r="N315" s="5" t="n">
        <x:v>3</x:v>
      </x:c>
      <x:c r="O315" s="5" t="str"/>
      <x:c r="P315" s="5" t="str">
        <x:v>Zuordnungsvorschlag; Fachfreigabe ausstehend</x:v>
      </x:c>
      <x:c r="Q315" s="5" t="str">
        <x:v>Bestehendes Lernthema fachlich unter passendem Rahmenplan-Unterbereich behalten</x:v>
      </x:c>
      <x:c r="R315" s="5" t="str">
        <x:v>Welche Verbrauchsfolgeverfahren werden handelsrechtlich akzeptiert?</x:v>
      </x:c>
      <x:c r="S315" s="5" t="str">
        <x:v>b1f16ac768fa1d38ce741827c25a0364c5bb156e9df12057f6906210d966de0b</x:v>
      </x:c>
    </x:row>
    <x:row r="316" ht="36" customHeight="1">
      <x:c r="A316" s="5" t="str">
        <x:v>BR-0027</x:v>
      </x:c>
      <x:c r="B316" s="5" t="str">
        <x:v>WQ</x:v>
      </x:c>
      <x:c r="C316" s="5" t="str">
        <x:v>2</x:v>
      </x:c>
      <x:c r="D316" s="5" t="str">
        <x:v>Rechnungswesen</x:v>
      </x:c>
      <x:c r="E316" s="5" t="str">
        <x:v>Rechnungswesen</x:v>
      </x:c>
      <x:c r="F316" s="5" t="str">
        <x:v>ui-wq-0006</x:v>
      </x:c>
      <x:c r="G316" s="5" t="str">
        <x:v>Finanzbuchhaltung</x:v>
      </x:c>
      <x:c r="H316" s="5" t="str">
        <x:v>dg-wq-0030</x:v>
      </x:c>
      <x:c r="I316" s="5" t="str">
        <x:v>2.2.1</x:v>
      </x:c>
      <x:c r="J316" s="5" t="str">
        <x:v>Grundlagen</x:v>
      </x:c>
      <x:c r="K316" s="5" t="str"/>
      <x:c r="L316" s="5" t="str">
        <x:v>Finanzbuchhaltung &amp; Konten</x:v>
      </x:c>
      <x:c r="M316" s="5" t="n">
        <x:v>9</x:v>
      </x:c>
      <x:c r="N316" s="5" t="n">
        <x:v>5</x:v>
      </x:c>
      <x:c r="O316" s="5" t="str"/>
      <x:c r="P316" s="5" t="str">
        <x:v>Zuordnungsvorschlag; Fachfreigabe ausstehend</x:v>
      </x:c>
      <x:c r="Q316" s="5" t="str">
        <x:v>Bestehendes Lernthema fachlich unter passendem Rahmenplan-Unterbereich behalten</x:v>
      </x:c>
      <x:c r="R316" s="5" t="str">
        <x:v>Was sind ARAP und PRAP?</x:v>
      </x:c>
      <x:c r="S316" s="5" t="str">
        <x:v>63bb1a8106049da23aadcebed3c85698869dd7e4458ac73ad123560aa65e0562</x:v>
      </x:c>
    </x:row>
    <x:row r="317" ht="36" customHeight="1">
      <x:c r="A317" s="5" t="str">
        <x:v>BR-0028</x:v>
      </x:c>
      <x:c r="B317" s="5" t="str">
        <x:v>WQ</x:v>
      </x:c>
      <x:c r="C317" s="5" t="str">
        <x:v>2</x:v>
      </x:c>
      <x:c r="D317" s="5" t="str">
        <x:v>Rechnungswesen</x:v>
      </x:c>
      <x:c r="E317" s="5" t="str">
        <x:v>Rechnungswesen</x:v>
      </x:c>
      <x:c r="F317" s="5" t="str">
        <x:v>ui-wq-0005</x:v>
      </x:c>
      <x:c r="G317" s="5" t="str">
        <x:v>Grundlegende Aspekte des Rechnungswesens</x:v>
      </x:c>
      <x:c r="H317" s="5" t="str">
        <x:v>dg-wq-0031</x:v>
      </x:c>
      <x:c r="I317" s="5" t="str">
        <x:v>2.1.3</x:v>
      </x:c>
      <x:c r="J317" s="5" t="str">
        <x:v>Buchführungspflichten nach Handels- und Steuerrecht</x:v>
      </x:c>
      <x:c r="K317" s="5" t="str"/>
      <x:c r="L317" s="5" t="str">
        <x:v>GoB, Buchführungspflicht &amp; Bewertung</x:v>
      </x:c>
      <x:c r="M317" s="5" t="n">
        <x:v>14</x:v>
      </x:c>
      <x:c r="N317" s="5" t="n">
        <x:v>3</x:v>
      </x:c>
      <x:c r="O317" s="5" t="str"/>
      <x:c r="P317" s="5" t="str">
        <x:v>Zuordnungsvorschlag; Fachfreigabe ausstehend</x:v>
      </x:c>
      <x:c r="Q317" s="5" t="str">
        <x:v>Frageinhalt präzisiert bzw. teilt bisheriges Sammelthema</x:v>
      </x:c>
      <x:c r="R317" s="5" t="str">
        <x:v>Welche Unternehmen sind nicht Buchführungspflichtig?</x:v>
      </x:c>
      <x:c r="S317" s="5" t="str">
        <x:v>cd68317413125bbdad111ed56b7a694741043ec3b351c761f8afc28a824db866</x:v>
      </x:c>
    </x:row>
    <x:row r="318" ht="36" customHeight="1">
      <x:c r="A318" s="5" t="str">
        <x:v>BR-0029</x:v>
      </x:c>
      <x:c r="B318" s="5" t="str">
        <x:v>WQ</x:v>
      </x:c>
      <x:c r="C318" s="5" t="str">
        <x:v>2</x:v>
      </x:c>
      <x:c r="D318" s="5" t="str">
        <x:v>Rechnungswesen</x:v>
      </x:c>
      <x:c r="E318" s="5" t="str">
        <x:v>Rechnungswesen</x:v>
      </x:c>
      <x:c r="F318" s="5" t="str">
        <x:v>ui-wq-0007</x:v>
      </x:c>
      <x:c r="G318" s="5" t="str">
        <x:v>Kosten- und Leistungsrechnung</x:v>
      </x:c>
      <x:c r="H318" s="5" t="str">
        <x:v>dg-wq-0035</x:v>
      </x:c>
      <x:c r="I318" s="5" t="str">
        <x:v>2.3.3.1</x:v>
      </x:c>
      <x:c r="J318" s="5" t="str">
        <x:v>Kostenzurechnung auf die Kostenstellen im Betriebsabrechnungsbogen</x:v>
      </x:c>
      <x:c r="K318" s="5" t="str"/>
      <x:c r="L318" s="5" t="str">
        <x:v>KLR: Kostenstellenrechnung &amp; BAB</x:v>
      </x:c>
      <x:c r="M318" s="5" t="n">
        <x:v>5</x:v>
      </x:c>
      <x:c r="N318" s="5" t="n">
        <x:v>1</x:v>
      </x:c>
      <x:c r="O318" s="5" t="str"/>
      <x:c r="P318" s="5" t="str">
        <x:v>Zuordnungsvorschlag; Fachfreigabe ausstehend</x:v>
      </x:c>
      <x:c r="Q318" s="5" t="str">
        <x:v>Bestehendes Lernthema fachlich unter passendem Rahmenplan-Unterbereich behalten</x:v>
      </x:c>
      <x:c r="R318" s="5" t="str">
        <x:v>Nennen Sie die Aufgaben der Kostenstellenrechnung</x:v>
      </x:c>
      <x:c r="S318" s="5" t="str">
        <x:v>9fb68c5a86445931ff3c48e5c9ba8c6e7147eb40af53a27a3e01f251fc61343a</x:v>
      </x:c>
    </x:row>
    <x:row r="319" ht="36" customHeight="1">
      <x:c r="A319" s="5" t="str">
        <x:v>BR-0030</x:v>
      </x:c>
      <x:c r="B319" s="5" t="str">
        <x:v>WQ</x:v>
      </x:c>
      <x:c r="C319" s="5" t="str">
        <x:v>2</x:v>
      </x:c>
      <x:c r="D319" s="5" t="str">
        <x:v>Rechnungswesen</x:v>
      </x:c>
      <x:c r="E319" s="5" t="str">
        <x:v>Rechnungswesen</x:v>
      </x:c>
      <x:c r="F319" s="5" t="str">
        <x:v>ui-wq-0007</x:v>
      </x:c>
      <x:c r="G319" s="5" t="str">
        <x:v>Kosten- und Leistungsrechnung</x:v>
      </x:c>
      <x:c r="H319" s="5" t="str">
        <x:v>dg-wq-0036</x:v>
      </x:c>
      <x:c r="I319" s="5" t="str">
        <x:v>2.3.1.4</x:v>
      </x:c>
      <x:c r="J319" s="5" t="str">
        <x:v>Abgrenzungsrechnung von der Finanzbuchhaltung zur Kosten- und Leistungsrechnung</x:v>
      </x:c>
      <x:c r="K319" s="5" t="str"/>
      <x:c r="L319" s="5" t="str">
        <x:v>KLR: Grundlagen, Abgrenzung &amp; Kostenarten</x:v>
      </x:c>
      <x:c r="M319" s="5" t="n">
        <x:v>6</x:v>
      </x:c>
      <x:c r="N319" s="5" t="n">
        <x:v>1</x:v>
      </x:c>
      <x:c r="O319" s="5" t="str"/>
      <x:c r="P319" s="5" t="str">
        <x:v>Zuordnungsvorschlag; Fachfreigabe ausstehend</x:v>
      </x:c>
      <x:c r="Q319" s="5" t="str">
        <x:v>Bestehendes Lernthema fachlich unter passendem Rahmenplan-Unterbereich behalten</x:v>
      </x:c>
      <x:c r="R319" s="5" t="str">
        <x:v>Erläutern Sie den Begriff "Grundkosten" und beschreiben Sie, was unter "kalkulatorischen Kosten" zu verstehen ist!</x:v>
      </x:c>
      <x:c r="S319" s="5" t="str">
        <x:v>bcbfbd7c183ab99c3632fb40d8cf6a648090ddb91b5309877245f2ccd070453f</x:v>
      </x:c>
    </x:row>
    <x:row r="320" ht="36" customHeight="1">
      <x:c r="A320" s="5" t="str">
        <x:v>BR-0031</x:v>
      </x:c>
      <x:c r="B320" s="5" t="str">
        <x:v>WQ</x:v>
      </x:c>
      <x:c r="C320" s="5" t="str">
        <x:v>2</x:v>
      </x:c>
      <x:c r="D320" s="5" t="str">
        <x:v>Rechnungswesen</x:v>
      </x:c>
      <x:c r="E320" s="5" t="str">
        <x:v>Rechnungswesen</x:v>
      </x:c>
      <x:c r="F320" s="5" t="str">
        <x:v>ui-wq-0006</x:v>
      </x:c>
      <x:c r="G320" s="5" t="str">
        <x:v>Finanzbuchhaltung</x:v>
      </x:c>
      <x:c r="H320" s="5" t="str">
        <x:v>dg-wq-0032</x:v>
      </x:c>
      <x:c r="I320" s="5" t="str">
        <x:v>2.2.2</x:v>
      </x:c>
      <x:c r="J320" s="5" t="str">
        <x:v>Jahresabschluss</x:v>
      </x:c>
      <x:c r="K320" s="5" t="str"/>
      <x:c r="L320" s="5" t="str">
        <x:v>Inventur, Bilanz &amp; Jahresabschluss</x:v>
      </x:c>
      <x:c r="M320" s="5" t="n">
        <x:v>10</x:v>
      </x:c>
      <x:c r="N320" s="5" t="n">
        <x:v>5</x:v>
      </x:c>
      <x:c r="O320" s="5" t="str"/>
      <x:c r="P320" s="5" t="str">
        <x:v>Zuordnungsvorschlag; Fachfreigabe ausstehend</x:v>
      </x:c>
      <x:c r="Q320" s="5" t="str">
        <x:v>Bestehendes Lernthema fachlich unter passendem Rahmenplan-Unterbereich behalten</x:v>
      </x:c>
      <x:c r="R320" s="5" t="str">
        <x:v>Wie wird der Jahresüberschuss bzw. Jahresfehlbetrag grundsätzlich ermittelt?</x:v>
      </x:c>
      <x:c r="S320" s="5" t="str">
        <x:v>8687bdfbe3a5162c8ac1c86d1dbef7c6c3e05301ad152e76f149b12b1a746b22</x:v>
      </x:c>
    </x:row>
    <x:row r="321" ht="36" customHeight="1">
      <x:c r="A321" s="5" t="str">
        <x:v>BR-0032</x:v>
      </x:c>
      <x:c r="B321" s="5" t="str">
        <x:v>WQ</x:v>
      </x:c>
      <x:c r="C321" s="5" t="str">
        <x:v>2</x:v>
      </x:c>
      <x:c r="D321" s="5" t="str">
        <x:v>Rechnungswesen</x:v>
      </x:c>
      <x:c r="E321" s="5" t="str">
        <x:v>Rechnungswesen</x:v>
      </x:c>
      <x:c r="F321" s="5" t="str">
        <x:v>ui-wq-0006</x:v>
      </x:c>
      <x:c r="G321" s="5" t="str">
        <x:v>Finanzbuchhaltung</x:v>
      </x:c>
      <x:c r="H321" s="5" t="str">
        <x:v>dg-wq-0030</x:v>
      </x:c>
      <x:c r="I321" s="5" t="str">
        <x:v>2.2.1</x:v>
      </x:c>
      <x:c r="J321" s="5" t="str">
        <x:v>Grundlagen</x:v>
      </x:c>
      <x:c r="K321" s="5" t="str"/>
      <x:c r="L321" s="5" t="str">
        <x:v>Finanzbuchhaltung &amp; Konten</x:v>
      </x:c>
      <x:c r="M321" s="5" t="n">
        <x:v>11</x:v>
      </x:c>
      <x:c r="N321" s="5" t="n">
        <x:v>6</x:v>
      </x:c>
      <x:c r="O321" s="5" t="str"/>
      <x:c r="P321" s="5" t="str">
        <x:v>Zuordnungsvorschlag; Fachfreigabe ausstehend</x:v>
      </x:c>
      <x:c r="Q321" s="5" t="str">
        <x:v>Bestehendes Lernthema fachlich unter passendem Rahmenplan-Unterbereich behalten</x:v>
      </x:c>
      <x:c r="R321" s="5" t="str">
        <x:v>Was sind Einzahlungen und was sind Auszahlungen?</x:v>
      </x:c>
      <x:c r="S321" s="5" t="str">
        <x:v>ca9634d2750b39512883208851d9a28f7e4100256450a5f1c400a19ceb031930</x:v>
      </x:c>
    </x:row>
    <x:row r="322" ht="36" customHeight="1">
      <x:c r="A322" s="5" t="str">
        <x:v>BR-0033</x:v>
      </x:c>
      <x:c r="B322" s="5" t="str">
        <x:v>WQ</x:v>
      </x:c>
      <x:c r="C322" s="5" t="str">
        <x:v>2</x:v>
      </x:c>
      <x:c r="D322" s="5" t="str">
        <x:v>Rechnungswesen</x:v>
      </x:c>
      <x:c r="E322" s="5" t="str">
        <x:v>Rechnungswesen</x:v>
      </x:c>
      <x:c r="F322" s="5" t="str">
        <x:v>ui-wq-0005</x:v>
      </x:c>
      <x:c r="G322" s="5" t="str">
        <x:v>Grundlegende Aspekte des Rechnungswesens</x:v>
      </x:c>
      <x:c r="H322" s="5" t="str">
        <x:v>dg-wq-0033</x:v>
      </x:c>
      <x:c r="I322" s="5" t="str">
        <x:v>2.1.2</x:v>
      </x:c>
      <x:c r="J322" s="5" t="str">
        <x:v>Grundsätze ordnungsgemäßer Buchführung (GoB)</x:v>
      </x:c>
      <x:c r="K322" s="5" t="str"/>
      <x:c r="L322" s="5" t="str">
        <x:v>GoB, Buchführungspflicht &amp; Bewertung</x:v>
      </x:c>
      <x:c r="M322" s="5" t="n">
        <x:v>15</x:v>
      </x:c>
      <x:c r="N322" s="5" t="n">
        <x:v>4</x:v>
      </x:c>
      <x:c r="O322" s="5" t="str"/>
      <x:c r="P322" s="5" t="str">
        <x:v>Zuordnungsvorschlag; Fachfreigabe ausstehend</x:v>
      </x:c>
      <x:c r="Q322" s="5" t="str">
        <x:v>Bestehendes Lernthema fachlich unter passendem Rahmenplan-Unterbereich behalten</x:v>
      </x:c>
      <x:c r="R322" s="5" t="str">
        <x:v>Beschreiben Sie die Abschreibungsvarianten: linear, degressiv und leistungsabhängig!</x:v>
      </x:c>
      <x:c r="S322" s="5" t="str">
        <x:v>4f1f004d2d863160418c197974eb93179ad0c6532752efc4cb62c01f5b525064</x:v>
      </x:c>
    </x:row>
    <x:row r="323" ht="36" customHeight="1">
      <x:c r="A323" s="5" t="str">
        <x:v>BR-0034</x:v>
      </x:c>
      <x:c r="B323" s="5" t="str">
        <x:v>WQ</x:v>
      </x:c>
      <x:c r="C323" s="5" t="str">
        <x:v>2</x:v>
      </x:c>
      <x:c r="D323" s="5" t="str">
        <x:v>Rechnungswesen</x:v>
      </x:c>
      <x:c r="E323" s="5" t="str">
        <x:v>Rechnungswesen</x:v>
      </x:c>
      <x:c r="F323" s="5" t="str">
        <x:v>ui-wq-0005</x:v>
      </x:c>
      <x:c r="G323" s="5" t="str">
        <x:v>Grundlegende Aspekte des Rechnungswesens</x:v>
      </x:c>
      <x:c r="H323" s="5" t="str">
        <x:v>dg-wq-0031</x:v>
      </x:c>
      <x:c r="I323" s="5" t="str">
        <x:v>2.1.3</x:v>
      </x:c>
      <x:c r="J323" s="5" t="str">
        <x:v>Buchführungspflichten nach Handels- und Steuerrecht</x:v>
      </x:c>
      <x:c r="K323" s="5" t="str"/>
      <x:c r="L323" s="5" t="str">
        <x:v>GoB, Buchführungspflicht &amp; Bewertung</x:v>
      </x:c>
      <x:c r="M323" s="5" t="n">
        <x:v>16</x:v>
      </x:c>
      <x:c r="N323" s="5" t="n">
        <x:v>4</x:v>
      </x:c>
      <x:c r="O323" s="5" t="str"/>
      <x:c r="P323" s="5" t="str">
        <x:v>Zuordnungsvorschlag; Fachfreigabe ausstehend</x:v>
      </x:c>
      <x:c r="Q323" s="5" t="str">
        <x:v>Frageinhalt präzisiert bzw. teilt bisheriges Sammelthema</x:v>
      </x:c>
      <x:c r="R323" s="5" t="str">
        <x:v>Welche Weiteren Vorschriften zur Buchführungspflicht gibt es?</x:v>
      </x:c>
      <x:c r="S323" s="5" t="str">
        <x:v>124f865abf8d61cda177bca3e3d18a3e58cfaa1192b4c4fbf02fb74b737389f0</x:v>
      </x:c>
    </x:row>
    <x:row r="324" ht="36" customHeight="1">
      <x:c r="A324" s="5" t="str">
        <x:v>BR-0035</x:v>
      </x:c>
      <x:c r="B324" s="5" t="str">
        <x:v>WQ</x:v>
      </x:c>
      <x:c r="C324" s="5" t="str">
        <x:v>2</x:v>
      </x:c>
      <x:c r="D324" s="5" t="str">
        <x:v>Rechnungswesen</x:v>
      </x:c>
      <x:c r="E324" s="5" t="str">
        <x:v>Rechnungswesen</x:v>
      </x:c>
      <x:c r="F324" s="5" t="str">
        <x:v>ui-wq-0007</x:v>
      </x:c>
      <x:c r="G324" s="5" t="str">
        <x:v>Kosten- und Leistungsrechnung</x:v>
      </x:c>
      <x:c r="H324" s="5" t="str">
        <x:v>dg-wq-0027</x:v>
      </x:c>
      <x:c r="I324" s="5" t="str">
        <x:v>2.3.5</x:v>
      </x:c>
      <x:c r="J324" s="5" t="str">
        <x:v>Vergleich von Vollkosten- und Teilkostenrechnung</x:v>
      </x:c>
      <x:c r="K324" s="5" t="str"/>
      <x:c r="L324" s="5" t="str">
        <x:v>Teilkostenrechnung, Deckungsbeitrag &amp; Break-even</x:v>
      </x:c>
      <x:c r="M324" s="5" t="n">
        <x:v>7</x:v>
      </x:c>
      <x:c r="N324" s="5" t="n">
        <x:v>5</x:v>
      </x:c>
      <x:c r="O324" s="5" t="str"/>
      <x:c r="P324" s="5" t="str">
        <x:v>Zuordnungsvorschlag; Fachfreigabe ausstehend</x:v>
      </x:c>
      <x:c r="Q324" s="5" t="str">
        <x:v>Bestehendes Lernthema fachlich unter passendem Rahmenplan-Unterbereich behalten</x:v>
      </x:c>
      <x:c r="R324" s="5" t="str">
        <x:v>Nenne die Vorteile der mehrstufigen Deckungsbeitragsrechnung</x:v>
      </x:c>
      <x:c r="S324" s="5" t="str">
        <x:v>3de3743e3ed7a92d9028cc24bba3153e4dbe39fb40546db73472dc99e1e838a3</x:v>
      </x:c>
    </x:row>
    <x:row r="325" ht="36" customHeight="1">
      <x:c r="A325" s="5" t="str">
        <x:v>BR-0036</x:v>
      </x:c>
      <x:c r="B325" s="5" t="str">
        <x:v>WQ</x:v>
      </x:c>
      <x:c r="C325" s="5" t="str">
        <x:v>2</x:v>
      </x:c>
      <x:c r="D325" s="5" t="str">
        <x:v>Rechnungswesen</x:v>
      </x:c>
      <x:c r="E325" s="5" t="str">
        <x:v>Rechnungswesen</x:v>
      </x:c>
      <x:c r="F325" s="5" t="str">
        <x:v>ui-wq-0005</x:v>
      </x:c>
      <x:c r="G325" s="5" t="str">
        <x:v>Grundlegende Aspekte des Rechnungswesens</x:v>
      </x:c>
      <x:c r="H325" s="5" t="str">
        <x:v>dg-wq-0028</x:v>
      </x:c>
      <x:c r="I325" s="5" t="str">
        <x:v>2.1.1</x:v>
      </x:c>
      <x:c r="J325" s="5" t="str">
        <x:v>Abgrenzung von Finanzbuchhaltung, Kosten- und Leistungsrechnung, Auswertungen und Planungsrechnung</x:v>
      </x:c>
      <x:c r="K325" s="5" t="str"/>
      <x:c r="L325" s="5" t="str">
        <x:v>Grundlagen des Rechnungswesens</x:v>
      </x:c>
      <x:c r="M325" s="5" t="n">
        <x:v>17</x:v>
      </x:c>
      <x:c r="N325" s="5" t="n">
        <x:v>6</x:v>
      </x:c>
      <x:c r="O325" s="5" t="str"/>
      <x:c r="P325" s="5" t="str">
        <x:v>Zuordnungsvorschlag; Fachfreigabe ausstehend</x:v>
      </x:c>
      <x:c r="Q325" s="5" t="str">
        <x:v>Bestehendes Lernthema fachlich unter passendem Rahmenplan-Unterbereich behalten</x:v>
      </x:c>
      <x:c r="R325" s="5" t="str">
        <x:v>Grenzen Sie Finanzbuchhaltung und Kosten- und Leistungsrechnung voneinander ab. Kreuzen Sie alle Aussagen an, die der Finanzbuchhaltung zuzuordnen sind.</x:v>
      </x:c>
      <x:c r="S325" s="5" t="str">
        <x:v>fb2a1f86baeb9b705911cdc0365ce96fb87492bb16411003623af4beaa995641</x:v>
      </x:c>
    </x:row>
    <x:row r="326" ht="36" customHeight="1">
      <x:c r="A326" s="5" t="str">
        <x:v>BR-0037</x:v>
      </x:c>
      <x:c r="B326" s="5" t="str">
        <x:v>WQ</x:v>
      </x:c>
      <x:c r="C326" s="5" t="str">
        <x:v>2</x:v>
      </x:c>
      <x:c r="D326" s="5" t="str">
        <x:v>Rechnungswesen</x:v>
      </x:c>
      <x:c r="E326" s="5" t="str">
        <x:v>Rechnungswesen</x:v>
      </x:c>
      <x:c r="F326" s="5" t="str">
        <x:v>ui-wq-0007</x:v>
      </x:c>
      <x:c r="G326" s="5" t="str">
        <x:v>Kosten- und Leistungsrechnung</x:v>
      </x:c>
      <x:c r="H326" s="5" t="str">
        <x:v>dg-wq-0037</x:v>
      </x:c>
      <x:c r="I326" s="5" t="str">
        <x:v>2.3.1.3</x:v>
      </x:c>
      <x:c r="J326" s="5" t="str">
        <x:v>Aufgaben und Ziele der Kosten- und Leistungsrechnung</x:v>
      </x:c>
      <x:c r="K326" s="5" t="str"/>
      <x:c r="L326" s="5" t="str">
        <x:v>Grundlagen des Rechnungswesens</x:v>
      </x:c>
      <x:c r="M326" s="5" t="n">
        <x:v>8</x:v>
      </x:c>
      <x:c r="N326" s="5" t="n">
        <x:v>1</x:v>
      </x:c>
      <x:c r="O326" s="5" t="str"/>
      <x:c r="P326" s="5" t="str">
        <x:v>Zuordnungsvorschlag; Fachfreigabe ausstehend</x:v>
      </x:c>
      <x:c r="Q326" s="5" t="str">
        <x:v>Gezielt geprüfter Einzelbeleg</x:v>
      </x:c>
      <x:c r="R326" s="5" t="str">
        <x:v>Kreuzen Sie alle Aussagen an, die der Kosten- und Leistungsrechnung zuzuordnen sind.</x:v>
      </x:c>
      <x:c r="S326" s="5" t="str">
        <x:v>a68b3efa221a639876746bf058d9aeabe4d4f5723f6dc38258fe28855baf2dda</x:v>
      </x:c>
    </x:row>
    <x:row r="327" ht="36" customHeight="1">
      <x:c r="A327" s="5" t="str">
        <x:v>BR-0038</x:v>
      </x:c>
      <x:c r="B327" s="5" t="str">
        <x:v>WQ</x:v>
      </x:c>
      <x:c r="C327" s="5" t="str">
        <x:v>2</x:v>
      </x:c>
      <x:c r="D327" s="5" t="str">
        <x:v>Rechnungswesen</x:v>
      </x:c>
      <x:c r="E327" s="5" t="str">
        <x:v>Rechnungswesen</x:v>
      </x:c>
      <x:c r="F327" s="5" t="str">
        <x:v>ui-wq-0007</x:v>
      </x:c>
      <x:c r="G327" s="5" t="str">
        <x:v>Kosten- und Leistungsrechnung</x:v>
      </x:c>
      <x:c r="H327" s="5" t="str">
        <x:v>dg-wq-0036</x:v>
      </x:c>
      <x:c r="I327" s="5" t="str">
        <x:v>2.3.1.2</x:v>
      </x:c>
      <x:c r="J327" s="5" t="str">
        <x:v>Bereiche der Kosten- und Leistungsrechnung</x:v>
      </x:c>
      <x:c r="K327" s="5" t="str"/>
      <x:c r="L327" s="5" t="str">
        <x:v>KLR: Grundlagen, Abgrenzung &amp; Kostenarten</x:v>
      </x:c>
      <x:c r="M327" s="5" t="n">
        <x:v>9</x:v>
      </x:c>
      <x:c r="N327" s="5" t="n">
        <x:v>2</x:v>
      </x:c>
      <x:c r="O327" s="5" t="str"/>
      <x:c r="P327" s="5" t="str">
        <x:v>Zuordnungsvorschlag; Fachfreigabe ausstehend</x:v>
      </x:c>
      <x:c r="Q327" s="5" t="str">
        <x:v>Bestehendes Lernthema fachlich unter passendem Rahmenplan-Unterbereich behalten</x:v>
      </x:c>
      <x:c r="R327" s="5" t="str">
        <x:v>Ordnen Sie die Begriffe der Kostenartenrechnung, Kostenstellenrechnung oder Kostenträgerrechnung zu.</x:v>
      </x:c>
      <x:c r="S327" s="5" t="str">
        <x:v>65421abe7904750218f6648b96905346d1b4d7edd9bf26d87742a7528bec6711</x:v>
      </x:c>
    </x:row>
    <x:row r="328" ht="36" customHeight="1">
      <x:c r="A328" s="5" t="str">
        <x:v>BR-0039</x:v>
      </x:c>
      <x:c r="B328" s="5" t="str">
        <x:v>WQ</x:v>
      </x:c>
      <x:c r="C328" s="5" t="str">
        <x:v>2</x:v>
      </x:c>
      <x:c r="D328" s="5" t="str">
        <x:v>Rechnungswesen</x:v>
      </x:c>
      <x:c r="E328" s="5" t="str">
        <x:v>Rechnungswesen</x:v>
      </x:c>
      <x:c r="F328" s="5" t="str">
        <x:v>ui-wq-0005</x:v>
      </x:c>
      <x:c r="G328" s="5" t="str">
        <x:v>Grundlegende Aspekte des Rechnungswesens</x:v>
      </x:c>
      <x:c r="H328" s="5" t="str">
        <x:v>dg-wq-0033</x:v>
      </x:c>
      <x:c r="I328" s="5" t="str">
        <x:v>2.1.2</x:v>
      </x:c>
      <x:c r="J328" s="5" t="str">
        <x:v>Grundsätze ordnungsgemäßer Buchführung (GoB)</x:v>
      </x:c>
      <x:c r="K328" s="5" t="str"/>
      <x:c r="L328" s="5" t="str">
        <x:v>GoB, Buchführungspflicht &amp; Bewertung</x:v>
      </x:c>
      <x:c r="M328" s="5" t="n">
        <x:v>18</x:v>
      </x:c>
      <x:c r="N328" s="5" t="n">
        <x:v>5</x:v>
      </x:c>
      <x:c r="O328" s="5" t="str"/>
      <x:c r="P328" s="5" t="str">
        <x:v>Zuordnungsvorschlag; Fachfreigabe ausstehend</x:v>
      </x:c>
      <x:c r="Q328" s="5" t="str">
        <x:v>Bestehendes Lernthema fachlich unter passendem Rahmenplan-Unterbereich behalten</x:v>
      </x:c>
      <x:c r="R328" s="5" t="str">
        <x:v>Kreuzen Sie an, welche Aussagen den Grundsätzen ordnungsgemäßer Buchführung (GoB) entsprechen.</x:v>
      </x:c>
      <x:c r="S328" s="5" t="str">
        <x:v>8446f79fe497558ab1b06d7723b900c7c4c5fdbe8cb201eeaad175d6153b6808</x:v>
      </x:c>
    </x:row>
    <x:row r="329" ht="36" customHeight="1">
      <x:c r="A329" s="5" t="str">
        <x:v>BR-0040</x:v>
      </x:c>
      <x:c r="B329" s="5" t="str">
        <x:v>WQ</x:v>
      </x:c>
      <x:c r="C329" s="5" t="str">
        <x:v>2</x:v>
      </x:c>
      <x:c r="D329" s="5" t="str">
        <x:v>Rechnungswesen</x:v>
      </x:c>
      <x:c r="E329" s="5" t="str">
        <x:v>Rechnungswesen</x:v>
      </x:c>
      <x:c r="F329" s="5" t="str">
        <x:v>ui-wq-0005</x:v>
      </x:c>
      <x:c r="G329" s="5" t="str">
        <x:v>Grundlegende Aspekte des Rechnungswesens</x:v>
      </x:c>
      <x:c r="H329" s="5" t="str">
        <x:v>dg-wq-0033</x:v>
      </x:c>
      <x:c r="I329" s="5" t="str">
        <x:v>2.1.2</x:v>
      </x:c>
      <x:c r="J329" s="5" t="str">
        <x:v>Grundsätze ordnungsgemäßer Buchführung (GoB)</x:v>
      </x:c>
      <x:c r="K329" s="5" t="str"/>
      <x:c r="L329" s="5" t="str">
        <x:v>GoB, Buchführungspflicht &amp; Bewertung</x:v>
      </x:c>
      <x:c r="M329" s="5" t="n">
        <x:v>19</x:v>
      </x:c>
      <x:c r="N329" s="5" t="n">
        <x:v>6</x:v>
      </x:c>
      <x:c r="O329" s="5" t="str"/>
      <x:c r="P329" s="5" t="str">
        <x:v>Zuordnungsvorschlag; Fachfreigabe ausstehend</x:v>
      </x:c>
      <x:c r="Q329" s="5" t="str">
        <x:v>Bestehendes Lernthema fachlich unter passendem Rahmenplan-Unterbereich behalten</x:v>
      </x:c>
      <x:c r="R329" s="5" t="str">
        <x:v>Ordnen Sie die folgenden Gesetze dem Handelsrecht oder dem Steuerrecht zu.</x:v>
      </x:c>
      <x:c r="S329" s="5" t="str">
        <x:v>6758c7207336f3fb23d5c409afa3f4b2afe9be45afffef50c9f2a6ab83530a08</x:v>
      </x:c>
    </x:row>
    <x:row r="330" ht="36" customHeight="1">
      <x:c r="A330" s="5" t="str">
        <x:v>BR-0041</x:v>
      </x:c>
      <x:c r="B330" s="5" t="str">
        <x:v>WQ</x:v>
      </x:c>
      <x:c r="C330" s="5" t="str">
        <x:v>2</x:v>
      </x:c>
      <x:c r="D330" s="5" t="str">
        <x:v>Rechnungswesen</x:v>
      </x:c>
      <x:c r="E330" s="5" t="str">
        <x:v>Rechnungswesen</x:v>
      </x:c>
      <x:c r="F330" s="5" t="str">
        <x:v>ui-wq-0005</x:v>
      </x:c>
      <x:c r="G330" s="5" t="str">
        <x:v>Grundlegende Aspekte des Rechnungswesens</x:v>
      </x:c>
      <x:c r="H330" s="5" t="str">
        <x:v>dg-wq-0031</x:v>
      </x:c>
      <x:c r="I330" s="5" t="str">
        <x:v>2.1.3</x:v>
      </x:c>
      <x:c r="J330" s="5" t="str">
        <x:v>Buchführungspflichten nach Handels- und Steuerrecht</x:v>
      </x:c>
      <x:c r="K330" s="5" t="str"/>
      <x:c r="L330" s="5" t="str">
        <x:v>GoB, Buchführungspflicht &amp; Bewertung</x:v>
      </x:c>
      <x:c r="M330" s="5" t="n">
        <x:v>20</x:v>
      </x:c>
      <x:c r="N330" s="5" t="n">
        <x:v>5</x:v>
      </x:c>
      <x:c r="O330" s="5" t="str"/>
      <x:c r="P330" s="5" t="str">
        <x:v>Zuordnungsvorschlag; Fachfreigabe ausstehend</x:v>
      </x:c>
      <x:c r="Q330" s="5" t="str">
        <x:v>Frageinhalt präzisiert bzw. teilt bisheriges Sammelthema</x:v>
      </x:c>
      <x:c r="R330" s="5" t="str">
        <x:v>Welche Aussagen zur steuerlichen Buchführungspflicht nach § 141 AO und zur Einnahmenüberschussrechnung sind richtig oder falsch?</x:v>
      </x:c>
      <x:c r="S330" s="5" t="str">
        <x:v>41aa2c673cc9250466bfbded456bb6004621072fb32101a5779fabc44a0c02d6</x:v>
      </x:c>
    </x:row>
    <x:row r="331" ht="36" customHeight="1">
      <x:c r="A331" s="5" t="str">
        <x:v>BR-0042</x:v>
      </x:c>
      <x:c r="B331" s="5" t="str">
        <x:v>WQ</x:v>
      </x:c>
      <x:c r="C331" s="5" t="str">
        <x:v>2</x:v>
      </x:c>
      <x:c r="D331" s="5" t="str">
        <x:v>Rechnungswesen</x:v>
      </x:c>
      <x:c r="E331" s="5" t="str">
        <x:v>Rechnungswesen</x:v>
      </x:c>
      <x:c r="F331" s="5" t="str">
        <x:v>ui-wq-0005</x:v>
      </x:c>
      <x:c r="G331" s="5" t="str">
        <x:v>Grundlegende Aspekte des Rechnungswesens</x:v>
      </x:c>
      <x:c r="H331" s="5" t="str">
        <x:v>dg-wq-0033</x:v>
      </x:c>
      <x:c r="I331" s="5" t="str">
        <x:v>2.1.2</x:v>
      </x:c>
      <x:c r="J331" s="5" t="str">
        <x:v>Grundsätze ordnungsgemäßer Buchführung (GoB)</x:v>
      </x:c>
      <x:c r="K331" s="5" t="str"/>
      <x:c r="L331" s="5" t="str">
        <x:v>GoB, Buchführungspflicht &amp; Bewertung</x:v>
      </x:c>
      <x:c r="M331" s="5" t="n">
        <x:v>21</x:v>
      </x:c>
      <x:c r="N331" s="5" t="n">
        <x:v>7</x:v>
      </x:c>
      <x:c r="O331" s="5" t="str"/>
      <x:c r="P331" s="5" t="str">
        <x:v>Zuordnungsvorschlag; Fachfreigabe ausstehend</x:v>
      </x:c>
      <x:c r="Q331" s="5" t="str">
        <x:v>Bestehendes Lernthema fachlich unter passendem Rahmenplan-Unterbereich behalten</x:v>
      </x:c>
      <x:c r="R331" s="5" t="str">
        <x:v>Ordnen Sie die folgenden Positionen dem Bilanzierungsgebot, Bilanzierungswahlrecht oder Bilanzierungsverbot zu.</x:v>
      </x:c>
      <x:c r="S331" s="5" t="str">
        <x:v>07067a94cc6b13de0e812d27726ac4915680f5d9511fb97c6de6ee6c6cf92e59</x:v>
      </x:c>
    </x:row>
    <x:row r="332" ht="36" customHeight="1">
      <x:c r="A332" s="5" t="str">
        <x:v>BR-0043</x:v>
      </x:c>
      <x:c r="B332" s="5" t="str">
        <x:v>WQ</x:v>
      </x:c>
      <x:c r="C332" s="5" t="str">
        <x:v>2</x:v>
      </x:c>
      <x:c r="D332" s="5" t="str">
        <x:v>Rechnungswesen</x:v>
      </x:c>
      <x:c r="E332" s="5" t="str">
        <x:v>Rechnungswesen</x:v>
      </x:c>
      <x:c r="F332" s="5" t="str">
        <x:v>ui-wq-0005</x:v>
      </x:c>
      <x:c r="G332" s="5" t="str">
        <x:v>Grundlegende Aspekte des Rechnungswesens</x:v>
      </x:c>
      <x:c r="H332" s="5" t="str">
        <x:v>dg-wq-0033</x:v>
      </x:c>
      <x:c r="I332" s="5" t="str">
        <x:v>2.1.2</x:v>
      </x:c>
      <x:c r="J332" s="5" t="str">
        <x:v>Grundsätze ordnungsgemäßer Buchführung (GoB)</x:v>
      </x:c>
      <x:c r="K332" s="5" t="str"/>
      <x:c r="L332" s="5" t="str">
        <x:v>GoB, Buchführungspflicht &amp; Bewertung</x:v>
      </x:c>
      <x:c r="M332" s="5" t="n">
        <x:v>22</x:v>
      </x:c>
      <x:c r="N332" s="5" t="n">
        <x:v>8</x:v>
      </x:c>
      <x:c r="O332" s="5" t="str"/>
      <x:c r="P332" s="5" t="str">
        <x:v>Zuordnungsvorschlag; Fachfreigabe ausstehend</x:v>
      </x:c>
      <x:c r="Q332" s="5" t="str">
        <x:v>Bestehendes Lernthema fachlich unter passendem Rahmenplan-Unterbereich behalten</x:v>
      </x:c>
      <x:c r="R332" s="5" t="str">
        <x:v>Ordnen Sie die Beschreibungen a) bis f) dem zutreffenden Bilanzierungsgrundsatz zu.</x:v>
      </x:c>
      <x:c r="S332" s="5" t="str">
        <x:v>3ff3c9adda11fecae3c08ab55f23d75be730c6aae12f72eb777a28becb21c555</x:v>
      </x:c>
    </x:row>
    <x:row r="333" ht="36" customHeight="1">
      <x:c r="A333" s="5" t="str">
        <x:v>BR-0044</x:v>
      </x:c>
      <x:c r="B333" s="5" t="str">
        <x:v>WQ</x:v>
      </x:c>
      <x:c r="C333" s="5" t="str">
        <x:v>2</x:v>
      </x:c>
      <x:c r="D333" s="5" t="str">
        <x:v>Rechnungswesen</x:v>
      </x:c>
      <x:c r="E333" s="5" t="str">
        <x:v>Rechnungswesen</x:v>
      </x:c>
      <x:c r="F333" s="5" t="str">
        <x:v>ui-wq-0006</x:v>
      </x:c>
      <x:c r="G333" s="5" t="str">
        <x:v>Finanzbuchhaltung</x:v>
      </x:c>
      <x:c r="H333" s="5" t="str">
        <x:v>dg-wq-0038</x:v>
      </x:c>
      <x:c r="I333" s="5" t="str">
        <x:v>2.2.1.1</x:v>
      </x:c>
      <x:c r="J333" s="5" t="str">
        <x:v>Adressaten der Finanzbuchhaltung</x:v>
      </x:c>
      <x:c r="K333" s="5" t="str">
        <x:v>2.4.1.1</x:v>
      </x:c>
      <x:c r="L333" s="5" t="str">
        <x:v>Finanzbuchhaltung &amp; Konten</x:v>
      </x:c>
      <x:c r="M333" s="5" t="n">
        <x:v>12</x:v>
      </x:c>
      <x:c r="N333" s="5" t="n">
        <x:v>1</x:v>
      </x:c>
      <x:c r="O333" s="5" t="str"/>
      <x:c r="P333" s="5" t="str">
        <x:v>Zuordnungsvorschlag; Fachfreigabe ausstehend</x:v>
      </x:c>
      <x:c r="Q333" s="5" t="str">
        <x:v>Gezielt geprüfter Einzelbeleg</x:v>
      </x:c>
      <x:c r="R333" s="5" t="str">
        <x:v>Welche Adressaten der Finanzbuchhaltung sind richtig?</x:v>
      </x:c>
      <x:c r="S333" s="5" t="str">
        <x:v>538acaf6c4ef35013467db6c6df14ca8ddeb3dc8cef14cb3ed47fcbb01221d2f</x:v>
      </x:c>
    </x:row>
    <x:row r="334" ht="36" customHeight="1">
      <x:c r="A334" s="5" t="str">
        <x:v>BR-0045</x:v>
      </x:c>
      <x:c r="B334" s="5" t="str">
        <x:v>WQ</x:v>
      </x:c>
      <x:c r="C334" s="5" t="str">
        <x:v>2</x:v>
      </x:c>
      <x:c r="D334" s="5" t="str">
        <x:v>Rechnungswesen</x:v>
      </x:c>
      <x:c r="E334" s="5" t="str">
        <x:v>Rechnungswesen</x:v>
      </x:c>
      <x:c r="F334" s="5" t="str">
        <x:v>ui-wq-0006</x:v>
      </x:c>
      <x:c r="G334" s="5" t="str">
        <x:v>Finanzbuchhaltung</x:v>
      </x:c>
      <x:c r="H334" s="5" t="str">
        <x:v>dg-wq-0030</x:v>
      </x:c>
      <x:c r="I334" s="5" t="str">
        <x:v>2.2.1</x:v>
      </x:c>
      <x:c r="J334" s="5" t="str">
        <x:v>Grundlagen</x:v>
      </x:c>
      <x:c r="K334" s="5" t="str"/>
      <x:c r="L334" s="5" t="str">
        <x:v>Finanzbuchhaltung &amp; Konten</x:v>
      </x:c>
      <x:c r="M334" s="5" t="n">
        <x:v>13</x:v>
      </x:c>
      <x:c r="N334" s="5" t="n">
        <x:v>7</x:v>
      </x:c>
      <x:c r="O334" s="5" t="str"/>
      <x:c r="P334" s="5" t="str">
        <x:v>Zuordnungsvorschlag; Fachfreigabe ausstehend</x:v>
      </x:c>
      <x:c r="Q334" s="5" t="str">
        <x:v>Bestehendes Lernthema fachlich unter passendem Rahmenplan-Unterbereich behalten</x:v>
      </x:c>
      <x:c r="R334" s="5" t="str">
        <x:v>Ordnen Sie die Vorgänge dem Grundbuch, Nebenbuch oder Hauptbuch zu.</x:v>
      </x:c>
      <x:c r="S334" s="5" t="str">
        <x:v>d9c9623ccf76849073fe163f52acc7799d72b6f39d751b05429e4a9cdaf518f0</x:v>
      </x:c>
    </x:row>
    <x:row r="335" ht="36" customHeight="1">
      <x:c r="A335" s="5" t="str">
        <x:v>BR-0046</x:v>
      </x:c>
      <x:c r="B335" s="5" t="str">
        <x:v>WQ</x:v>
      </x:c>
      <x:c r="C335" s="5" t="str">
        <x:v>2</x:v>
      </x:c>
      <x:c r="D335" s="5" t="str">
        <x:v>Rechnungswesen</x:v>
      </x:c>
      <x:c r="E335" s="5" t="str">
        <x:v>Rechnungswesen</x:v>
      </x:c>
      <x:c r="F335" s="5" t="str">
        <x:v>ui-wq-0006</x:v>
      </x:c>
      <x:c r="G335" s="5" t="str">
        <x:v>Finanzbuchhaltung</x:v>
      </x:c>
      <x:c r="H335" s="5" t="str">
        <x:v>dg-wq-0030</x:v>
      </x:c>
      <x:c r="I335" s="5" t="str">
        <x:v>2.2.1</x:v>
      </x:c>
      <x:c r="J335" s="5" t="str">
        <x:v>Grundlagen</x:v>
      </x:c>
      <x:c r="K335" s="5" t="str"/>
      <x:c r="L335" s="5" t="str">
        <x:v>Finanzbuchhaltung &amp; Konten</x:v>
      </x:c>
      <x:c r="M335" s="5" t="n">
        <x:v>14</x:v>
      </x:c>
      <x:c r="N335" s="5" t="n">
        <x:v>8</x:v>
      </x:c>
      <x:c r="O335" s="5" t="str"/>
      <x:c r="P335" s="5" t="str">
        <x:v>Zuordnungsvorschlag; Fachfreigabe ausstehend</x:v>
      </x:c>
      <x:c r="Q335" s="5" t="str">
        <x:v>Bestehendes Lernthema fachlich unter passendem Rahmenplan-Unterbereich behalten</x:v>
      </x:c>
      <x:c r="R335" s="5" t="str">
        <x:v>Nennen und beschreiben Sie die wichtigsten Nebenbuchhaltungen.</x:v>
      </x:c>
      <x:c r="S335" s="5" t="str">
        <x:v>357ac0f8c9d98f8a2bb1412e6329d7d428988f200871943af8a2702834d1fbfe</x:v>
      </x:c>
    </x:row>
    <x:row r="336" ht="36" customHeight="1">
      <x:c r="A336" s="5" t="str">
        <x:v>BR-0047</x:v>
      </x:c>
      <x:c r="B336" s="5" t="str">
        <x:v>WQ</x:v>
      </x:c>
      <x:c r="C336" s="5" t="str">
        <x:v>2</x:v>
      </x:c>
      <x:c r="D336" s="5" t="str">
        <x:v>Rechnungswesen</x:v>
      </x:c>
      <x:c r="E336" s="5" t="str">
        <x:v>Rechnungswesen</x:v>
      </x:c>
      <x:c r="F336" s="5" t="str">
        <x:v>ui-wq-0006</x:v>
      </x:c>
      <x:c r="G336" s="5" t="str">
        <x:v>Finanzbuchhaltung</x:v>
      </x:c>
      <x:c r="H336" s="5" t="str">
        <x:v>dg-wq-0030</x:v>
      </x:c>
      <x:c r="I336" s="5" t="str">
        <x:v>2.2.1</x:v>
      </x:c>
      <x:c r="J336" s="5" t="str">
        <x:v>Grundlagen</x:v>
      </x:c>
      <x:c r="K336" s="5" t="str"/>
      <x:c r="L336" s="5" t="str">
        <x:v>Finanzbuchhaltung &amp; Konten</x:v>
      </x:c>
      <x:c r="M336" s="5" t="n">
        <x:v>15</x:v>
      </x:c>
      <x:c r="N336" s="5" t="n">
        <x:v>9</x:v>
      </x:c>
      <x:c r="O336" s="5" t="str"/>
      <x:c r="P336" s="5" t="str">
        <x:v>Zuordnungsvorschlag; Fachfreigabe ausstehend</x:v>
      </x:c>
      <x:c r="Q336" s="5" t="str">
        <x:v>Bestehendes Lernthema fachlich unter passendem Rahmenplan-Unterbereich behalten</x:v>
      </x:c>
      <x:c r="R336" s="5" t="str">
        <x:v>Welche Aufgaben gehören zur Finanzbuchhaltung?</x:v>
      </x:c>
      <x:c r="S336" s="5" t="str">
        <x:v>92e2952118608aa48744fd13807a8dda279a1a15d9f01ee0e7fd5c2e69b25600</x:v>
      </x:c>
    </x:row>
    <x:row r="337" ht="36" customHeight="1">
      <x:c r="A337" s="5" t="str">
        <x:v>BR-0048</x:v>
      </x:c>
      <x:c r="B337" s="5" t="str">
        <x:v>WQ</x:v>
      </x:c>
      <x:c r="C337" s="5" t="str">
        <x:v>2</x:v>
      </x:c>
      <x:c r="D337" s="5" t="str">
        <x:v>Rechnungswesen</x:v>
      </x:c>
      <x:c r="E337" s="5" t="str">
        <x:v>Rechnungswesen</x:v>
      </x:c>
      <x:c r="F337" s="5" t="str">
        <x:v>ui-wq-0006</x:v>
      </x:c>
      <x:c r="G337" s="5" t="str">
        <x:v>Finanzbuchhaltung</x:v>
      </x:c>
      <x:c r="H337" s="5" t="str">
        <x:v>dg-wq-0032</x:v>
      </x:c>
      <x:c r="I337" s="5" t="str">
        <x:v>2.2.2</x:v>
      </x:c>
      <x:c r="J337" s="5" t="str">
        <x:v>Jahresabschluss</x:v>
      </x:c>
      <x:c r="K337" s="5" t="str"/>
      <x:c r="L337" s="5" t="str">
        <x:v>Inventur, Bilanz &amp; Jahresabschluss</x:v>
      </x:c>
      <x:c r="M337" s="5" t="n">
        <x:v>16</x:v>
      </x:c>
      <x:c r="N337" s="5" t="n">
        <x:v>6</x:v>
      </x:c>
      <x:c r="O337" s="5" t="str"/>
      <x:c r="P337" s="5" t="str">
        <x:v>Zuordnungsvorschlag; Fachfreigabe ausstehend</x:v>
      </x:c>
      <x:c r="Q337" s="5" t="str">
        <x:v>Bestehendes Lernthema fachlich unter passendem Rahmenplan-Unterbereich behalten</x:v>
      </x:c>
      <x:c r="R337" s="5" t="str">
        <x:v>Ergänzen Sie die Tabelle zu Offenlegung und Prüfung bei kleinen, mittleren und großen Kapitalgesellschaften mit ja oder nein.</x:v>
      </x:c>
      <x:c r="S337" s="5" t="str">
        <x:v>4a409a91f2dbc9e563f55b06a51875ff4af4dd0febfcc047504a6b54eafa034c</x:v>
      </x:c>
    </x:row>
    <x:row r="338" ht="36" customHeight="1">
      <x:c r="A338" s="5" t="str">
        <x:v>BR-0049</x:v>
      </x:c>
      <x:c r="B338" s="5" t="str">
        <x:v>WQ</x:v>
      </x:c>
      <x:c r="C338" s="5" t="str">
        <x:v>2</x:v>
      </x:c>
      <x:c r="D338" s="5" t="str">
        <x:v>Rechnungswesen</x:v>
      </x:c>
      <x:c r="E338" s="5" t="str">
        <x:v>Rechnungswesen</x:v>
      </x:c>
      <x:c r="F338" s="5" t="str">
        <x:v>ui-wq-0006</x:v>
      </x:c>
      <x:c r="G338" s="5" t="str">
        <x:v>Finanzbuchhaltung</x:v>
      </x:c>
      <x:c r="H338" s="5" t="str">
        <x:v>dg-wq-0032</x:v>
      </x:c>
      <x:c r="I338" s="5" t="str">
        <x:v>2.2.2</x:v>
      </x:c>
      <x:c r="J338" s="5" t="str">
        <x:v>Jahresabschluss</x:v>
      </x:c>
      <x:c r="K338" s="5" t="str"/>
      <x:c r="L338" s="5" t="str">
        <x:v>Inventur, Bilanz &amp; Jahresabschluss</x:v>
      </x:c>
      <x:c r="M338" s="5" t="n">
        <x:v>17</x:v>
      </x:c>
      <x:c r="N338" s="5" t="n">
        <x:v>7</x:v>
      </x:c>
      <x:c r="O338" s="5" t="str"/>
      <x:c r="P338" s="5" t="str">
        <x:v>Zuordnungsvorschlag; Fachfreigabe ausstehend</x:v>
      </x:c>
      <x:c r="Q338" s="5" t="str">
        <x:v>Bestehendes Lernthema fachlich unter passendem Rahmenplan-Unterbereich behalten</x:v>
      </x:c>
      <x:c r="R338" s="5" t="str">
        <x:v>Circle Harbor weist folgende Inventarwerte aus: Anlagevermögen 13.570.000 €, Vorräte 1.750.000 €, Forderungen aus Lieferungen und Leistungen 2.018.915 €, Kasse 85.000 €, Guthaben bei Kreditinstituten 454.000 € und Schulden 6.009.014 €. Stellen Sie die Vermögens- und Schuldensummen auf und ermitteln Sie das Reinvermögen.</x:v>
      </x:c>
      <x:c r="S338" s="5" t="str">
        <x:v>d7dcfcf2bbf99e3336ab6e73ef2fd7d3df04148bf7694a98d4e68660c8a4282a</x:v>
      </x:c>
    </x:row>
    <x:row r="339" ht="36" customHeight="1">
      <x:c r="A339" s="5" t="str">
        <x:v>BR-0050</x:v>
      </x:c>
      <x:c r="B339" s="5" t="str">
        <x:v>WQ</x:v>
      </x:c>
      <x:c r="C339" s="5" t="str">
        <x:v>2</x:v>
      </x:c>
      <x:c r="D339" s="5" t="str">
        <x:v>Rechnungswesen</x:v>
      </x:c>
      <x:c r="E339" s="5" t="str">
        <x:v>Rechnungswesen</x:v>
      </x:c>
      <x:c r="F339" s="5" t="str">
        <x:v>ui-wq-0006</x:v>
      </x:c>
      <x:c r="G339" s="5" t="str">
        <x:v>Finanzbuchhaltung</x:v>
      </x:c>
      <x:c r="H339" s="5" t="str">
        <x:v>dg-wq-0032</x:v>
      </x:c>
      <x:c r="I339" s="5" t="str">
        <x:v>2.2.2</x:v>
      </x:c>
      <x:c r="J339" s="5" t="str">
        <x:v>Jahresabschluss</x:v>
      </x:c>
      <x:c r="K339" s="5" t="str"/>
      <x:c r="L339" s="5" t="str">
        <x:v>Inventur, Bilanz &amp; Jahresabschluss</x:v>
      </x:c>
      <x:c r="M339" s="5" t="n">
        <x:v>18</x:v>
      </x:c>
      <x:c r="N339" s="5" t="n">
        <x:v>8</x:v>
      </x:c>
      <x:c r="O339" s="5" t="str"/>
      <x:c r="P339" s="5" t="str">
        <x:v>Zuordnungsvorschlag; Fachfreigabe ausstehend</x:v>
      </x:c>
      <x:c r="Q339" s="5" t="str">
        <x:v>Bestehendes Lernthema fachlich unter passendem Rahmenplan-Unterbereich behalten</x:v>
      </x:c>
      <x:c r="R339" s="5" t="str">
        <x:v>Ordnen Sie die Posten der richtigen Inventarposition zu.</x:v>
      </x:c>
      <x:c r="S339" s="5" t="str">
        <x:v>52619298ceb0aceb5a50126eb2c8296f8371f560122c5722e35f6676712868d3</x:v>
      </x:c>
    </x:row>
    <x:row r="340" ht="36" customHeight="1">
      <x:c r="A340" s="5" t="str">
        <x:v>BR-0051</x:v>
      </x:c>
      <x:c r="B340" s="5" t="str">
        <x:v>WQ</x:v>
      </x:c>
      <x:c r="C340" s="5" t="str">
        <x:v>2</x:v>
      </x:c>
      <x:c r="D340" s="5" t="str">
        <x:v>Rechnungswesen</x:v>
      </x:c>
      <x:c r="E340" s="5" t="str">
        <x:v>Rechnungswesen</x:v>
      </x:c>
      <x:c r="F340" s="5" t="str">
        <x:v>ui-wq-0006</x:v>
      </x:c>
      <x:c r="G340" s="5" t="str">
        <x:v>Finanzbuchhaltung</x:v>
      </x:c>
      <x:c r="H340" s="5" t="str">
        <x:v>dg-wq-0032</x:v>
      </x:c>
      <x:c r="I340" s="5" t="str">
        <x:v>2.2.2.1</x:v>
      </x:c>
      <x:c r="J340" s="5" t="str">
        <x:v>Aufbau der Bilanz</x:v>
      </x:c>
      <x:c r="K340" s="5" t="str"/>
      <x:c r="L340" s="5" t="str">
        <x:v>Inventur, Bilanz &amp; Jahresabschluss</x:v>
      </x:c>
      <x:c r="M340" s="5" t="n">
        <x:v>19</x:v>
      </x:c>
      <x:c r="N340" s="5" t="n">
        <x:v>9</x:v>
      </x:c>
      <x:c r="O340" s="5" t="str"/>
      <x:c r="P340" s="5" t="str">
        <x:v>Zuordnungsvorschlag; Fachfreigabe ausstehend</x:v>
      </x:c>
      <x:c r="Q340" s="5" t="str">
        <x:v>Bestehendes Lernthema fachlich unter passendem Rahmenplan-Unterbereich behalten</x:v>
      </x:c>
      <x:c r="R340" s="5" t="str">
        <x:v>Ordnen Sie die Bilanzpositionen der richtigen Bilanzgruppe zu.</x:v>
      </x:c>
      <x:c r="S340" s="5" t="str">
        <x:v>b20ef80a60817d81256983e384ed2849342f4439e08867fba1c62a99ad868668</x:v>
      </x:c>
    </x:row>
    <x:row r="341" ht="36" customHeight="1">
      <x:c r="A341" s="5" t="str">
        <x:v>BR-0052</x:v>
      </x:c>
      <x:c r="B341" s="5" t="str">
        <x:v>WQ</x:v>
      </x:c>
      <x:c r="C341" s="5" t="str">
        <x:v>2</x:v>
      </x:c>
      <x:c r="D341" s="5" t="str">
        <x:v>Rechnungswesen</x:v>
      </x:c>
      <x:c r="E341" s="5" t="str">
        <x:v>Rechnungswesen</x:v>
      </x:c>
      <x:c r="F341" s="5" t="str">
        <x:v>ui-wq-0006</x:v>
      </x:c>
      <x:c r="G341" s="5" t="str">
        <x:v>Finanzbuchhaltung</x:v>
      </x:c>
      <x:c r="H341" s="5" t="str">
        <x:v>dg-wq-0030</x:v>
      </x:c>
      <x:c r="I341" s="5" t="str">
        <x:v>2.2.1</x:v>
      </x:c>
      <x:c r="J341" s="5" t="str">
        <x:v>Grundlagen</x:v>
      </x:c>
      <x:c r="K341" s="5" t="str"/>
      <x:c r="L341" s="5" t="str">
        <x:v>Finanzbuchhaltung &amp; Konten</x:v>
      </x:c>
      <x:c r="M341" s="5" t="n">
        <x:v>20</x:v>
      </x:c>
      <x:c r="N341" s="5" t="n">
        <x:v>10</x:v>
      </x:c>
      <x:c r="O341" s="5" t="str"/>
      <x:c r="P341" s="5" t="str">
        <x:v>Zuordnungsvorschlag; Fachfreigabe ausstehend</x:v>
      </x:c>
      <x:c r="Q341" s="5" t="str">
        <x:v>Bestehendes Lernthema fachlich unter passendem Rahmenplan-Unterbereich behalten</x:v>
      </x:c>
      <x:c r="R341" s="5" t="str">
        <x:v>Ordnen Sie grundlegende Bilanz- und Buchungsbegriffe den passenden Beschreibungen zu.</x:v>
      </x:c>
      <x:c r="S341" s="5" t="str">
        <x:v>9bab773a3e14924783cd1aebb5ddf67c402ab5654927f00ff24e7e72920a3d89</x:v>
      </x:c>
    </x:row>
    <x:row r="342" ht="36" customHeight="1">
      <x:c r="A342" s="5" t="str">
        <x:v>BR-0053</x:v>
      </x:c>
      <x:c r="B342" s="5" t="str">
        <x:v>WQ</x:v>
      </x:c>
      <x:c r="C342" s="5" t="str">
        <x:v>2</x:v>
      </x:c>
      <x:c r="D342" s="5" t="str">
        <x:v>Rechnungswesen</x:v>
      </x:c>
      <x:c r="E342" s="5" t="str">
        <x:v>Rechnungswesen</x:v>
      </x:c>
      <x:c r="F342" s="5" t="str">
        <x:v>ui-wq-0006</x:v>
      </x:c>
      <x:c r="G342" s="5" t="str">
        <x:v>Finanzbuchhaltung</x:v>
      </x:c>
      <x:c r="H342" s="5" t="str">
        <x:v>dg-wq-0030</x:v>
      </x:c>
      <x:c r="I342" s="5" t="str">
        <x:v>2.2.1</x:v>
      </x:c>
      <x:c r="J342" s="5" t="str">
        <x:v>Grundlagen</x:v>
      </x:c>
      <x:c r="K342" s="5" t="str"/>
      <x:c r="L342" s="5" t="str">
        <x:v>Finanzbuchhaltung &amp; Konten</x:v>
      </x:c>
      <x:c r="M342" s="5" t="n">
        <x:v>21</x:v>
      </x:c>
      <x:c r="N342" s="5" t="n">
        <x:v>11</x:v>
      </x:c>
      <x:c r="O342" s="5" t="str"/>
      <x:c r="P342" s="5" t="str">
        <x:v>Zuordnungsvorschlag; Fachfreigabe ausstehend</x:v>
      </x:c>
      <x:c r="Q342" s="5" t="str">
        <x:v>Bestehendes Lernthema fachlich unter passendem Rahmenplan-Unterbereich behalten</x:v>
      </x:c>
      <x:c r="R342" s="5" t="str">
        <x:v>Ordnen Sie die folgenden Konten jeweils einem Erfolgskonto oder einem Bestandskonto zu.</x:v>
      </x:c>
      <x:c r="S342" s="5" t="str">
        <x:v>e28c2652fdb020798b4d5c3a8c02b769fc66bf8d881ad541bafd77ad4e589f07</x:v>
      </x:c>
    </x:row>
    <x:row r="343" ht="36" customHeight="1">
      <x:c r="A343" s="5" t="str">
        <x:v>BR-0054</x:v>
      </x:c>
      <x:c r="B343" s="5" t="str">
        <x:v>WQ</x:v>
      </x:c>
      <x:c r="C343" s="5" t="str">
        <x:v>2</x:v>
      </x:c>
      <x:c r="D343" s="5" t="str">
        <x:v>Rechnungswesen</x:v>
      </x:c>
      <x:c r="E343" s="5" t="str">
        <x:v>Rechnungswesen</x:v>
      </x:c>
      <x:c r="F343" s="5" t="str">
        <x:v>ui-wq-0007</x:v>
      </x:c>
      <x:c r="G343" s="5" t="str">
        <x:v>Kosten- und Leistungsrechnung</x:v>
      </x:c>
      <x:c r="H343" s="5" t="str">
        <x:v>dg-wq-0036</x:v>
      </x:c>
      <x:c r="I343" s="5" t="str">
        <x:v>2.3.1.4</x:v>
      </x:c>
      <x:c r="J343" s="5" t="str">
        <x:v>Abgrenzungsrechnung von der Finanzbuchhaltung zur Kosten- und Leistungsrechnung</x:v>
      </x:c>
      <x:c r="K343" s="5" t="str"/>
      <x:c r="L343" s="5" t="str">
        <x:v>KLR: Grundlagen, Abgrenzung &amp; Kostenarten</x:v>
      </x:c>
      <x:c r="M343" s="5" t="n">
        <x:v>10</x:v>
      </x:c>
      <x:c r="N343" s="5" t="n">
        <x:v>3</x:v>
      </x:c>
      <x:c r="O343" s="5" t="str"/>
      <x:c r="P343" s="5" t="str">
        <x:v>Zuordnungsvorschlag; Fachfreigabe ausstehend</x:v>
      </x:c>
      <x:c r="Q343" s="5" t="str">
        <x:v>Bestehendes Lernthema fachlich unter passendem Rahmenplan-Unterbereich behalten</x:v>
      </x:c>
      <x:c r="R343" s="5" t="str">
        <x:v>Ordnen Sie Grundkosten, Anderskosten und Zusatzkosten den passenden Merkmalen und Beispielen zu.</x:v>
      </x:c>
      <x:c r="S343" s="5" t="str">
        <x:v>a2faca31a1de19c15f7ef809f73718b40e83df8261885caa1aebf04d0214df38</x:v>
      </x:c>
    </x:row>
    <x:row r="344" ht="36" customHeight="1">
      <x:c r="A344" s="5" t="str">
        <x:v>BR-0055</x:v>
      </x:c>
      <x:c r="B344" s="5" t="str">
        <x:v>WQ</x:v>
      </x:c>
      <x:c r="C344" s="5" t="str">
        <x:v>2</x:v>
      </x:c>
      <x:c r="D344" s="5" t="str">
        <x:v>Rechnungswesen</x:v>
      </x:c>
      <x:c r="E344" s="5" t="str">
        <x:v>Rechnungswesen</x:v>
      </x:c>
      <x:c r="F344" s="5" t="str">
        <x:v>ui-wq-0007</x:v>
      </x:c>
      <x:c r="G344" s="5" t="str">
        <x:v>Kosten- und Leistungsrechnung</x:v>
      </x:c>
      <x:c r="H344" s="5" t="str">
        <x:v>dg-wq-0036</x:v>
      </x:c>
      <x:c r="I344" s="5" t="str">
        <x:v>2.3.1.2</x:v>
      </x:c>
      <x:c r="J344" s="5" t="str">
        <x:v>Bereiche der Kosten- und Leistungsrechnung</x:v>
      </x:c>
      <x:c r="K344" s="5" t="str"/>
      <x:c r="L344" s="5" t="str">
        <x:v>KLR: Grundlagen, Abgrenzung &amp; Kostenarten</x:v>
      </x:c>
      <x:c r="M344" s="5" t="n">
        <x:v>11</x:v>
      </x:c>
      <x:c r="N344" s="5" t="n">
        <x:v>4</x:v>
      </x:c>
      <x:c r="O344" s="5" t="str"/>
      <x:c r="P344" s="5" t="str">
        <x:v>Zuordnungsvorschlag; Fachfreigabe ausstehend</x:v>
      </x:c>
      <x:c r="Q344" s="5" t="str">
        <x:v>Bestehendes Lernthema fachlich unter passendem Rahmenplan-Unterbereich behalten</x:v>
      </x:c>
      <x:c r="R344" s="5" t="str">
        <x:v>Welche Begriffe sind Teilbereiche der Kostenrechnung?</x:v>
      </x:c>
      <x:c r="S344" s="5" t="str">
        <x:v>1fa0798bd5f091b56ad11485545557d43122f9f5593b794fb99e3c3f66da8e07</x:v>
      </x:c>
    </x:row>
    <x:row r="345" ht="36" customHeight="1">
      <x:c r="A345" s="5" t="str">
        <x:v>BR-0056</x:v>
      </x:c>
      <x:c r="B345" s="5" t="str">
        <x:v>WQ</x:v>
      </x:c>
      <x:c r="C345" s="5" t="str">
        <x:v>2</x:v>
      </x:c>
      <x:c r="D345" s="5" t="str">
        <x:v>Rechnungswesen</x:v>
      </x:c>
      <x:c r="E345" s="5" t="str">
        <x:v>Rechnungswesen</x:v>
      </x:c>
      <x:c r="F345" s="5" t="str">
        <x:v>ui-wq-0007</x:v>
      </x:c>
      <x:c r="G345" s="5" t="str">
        <x:v>Kosten- und Leistungsrechnung</x:v>
      </x:c>
      <x:c r="H345" s="5" t="str">
        <x:v>dg-wq-0036</x:v>
      </x:c>
      <x:c r="I345" s="5" t="str">
        <x:v>2.3.1.4</x:v>
      </x:c>
      <x:c r="J345" s="5" t="str">
        <x:v>Abgrenzungsrechnung von der Finanzbuchhaltung zur Kosten- und Leistungsrechnung</x:v>
      </x:c>
      <x:c r="K345" s="5" t="str"/>
      <x:c r="L345" s="5" t="str">
        <x:v>KLR: Grundlagen, Abgrenzung &amp; Kostenarten</x:v>
      </x:c>
      <x:c r="M345" s="5" t="n">
        <x:v>12</x:v>
      </x:c>
      <x:c r="N345" s="5" t="n">
        <x:v>5</x:v>
      </x:c>
      <x:c r="O345" s="5" t="str"/>
      <x:c r="P345" s="5" t="str">
        <x:v>Zuordnungsvorschlag; Fachfreigabe ausstehend</x:v>
      </x:c>
      <x:c r="Q345" s="5" t="str">
        <x:v>Bestehendes Lernthema fachlich unter passendem Rahmenplan-Unterbereich behalten</x:v>
      </x:c>
      <x:c r="R345" s="5" t="str">
        <x:v>Welche Aufwendungen und Erträge sind als neutral zu behandeln?</x:v>
      </x:c>
      <x:c r="S345" s="5" t="str">
        <x:v>391b689c140f59810c5d32e59626abd1d2827b7b3573f19a323fa7085babcdce</x:v>
      </x:c>
    </x:row>
    <x:row r="346" ht="36" customHeight="1">
      <x:c r="A346" s="5" t="str">
        <x:v>BR-0057</x:v>
      </x:c>
      <x:c r="B346" s="5" t="str">
        <x:v>WQ</x:v>
      </x:c>
      <x:c r="C346" s="5" t="str">
        <x:v>2</x:v>
      </x:c>
      <x:c r="D346" s="5" t="str">
        <x:v>Rechnungswesen</x:v>
      </x:c>
      <x:c r="E346" s="5" t="str">
        <x:v>Rechnungswesen</x:v>
      </x:c>
      <x:c r="F346" s="5" t="str">
        <x:v>ui-wq-0007</x:v>
      </x:c>
      <x:c r="G346" s="5" t="str">
        <x:v>Kosten- und Leistungsrechnung</x:v>
      </x:c>
      <x:c r="H346" s="5" t="str">
        <x:v>dg-wq-0036</x:v>
      </x:c>
      <x:c r="I346" s="5" t="str">
        <x:v>2.3.1.4</x:v>
      </x:c>
      <x:c r="J346" s="5" t="str">
        <x:v>Abgrenzungsrechnung von der Finanzbuchhaltung zur Kosten- und Leistungsrechnung</x:v>
      </x:c>
      <x:c r="K346" s="5" t="str"/>
      <x:c r="L346" s="5" t="str">
        <x:v>KLR: Grundlagen, Abgrenzung &amp; Kostenarten</x:v>
      </x:c>
      <x:c r="M346" s="5" t="n">
        <x:v>13</x:v>
      </x:c>
      <x:c r="N346" s="5" t="n">
        <x:v>6</x:v>
      </x:c>
      <x:c r="O346" s="5" t="str"/>
      <x:c r="P346" s="5" t="str">
        <x:v>Zuordnungsvorschlag; Fachfreigabe ausstehend</x:v>
      </x:c>
      <x:c r="Q346" s="5" t="str">
        <x:v>Bestehendes Lernthema fachlich unter passendem Rahmenplan-Unterbereich behalten</x:v>
      </x:c>
      <x:c r="R346" s="5" t="str">
        <x:v>Bei welchen Geschäftsvorfällen wirkt sich der Sachverhalt auf das kostenrechnerische Betriebsergebnis aus?</x:v>
      </x:c>
      <x:c r="S346" s="5" t="str">
        <x:v>af94b38d707f34236f27d57c42f43f6bf32f328ced294d9ef74916d63b50af5d</x:v>
      </x:c>
    </x:row>
    <x:row r="347" ht="36" customHeight="1">
      <x:c r="A347" s="5" t="str">
        <x:v>BR-0058</x:v>
      </x:c>
      <x:c r="B347" s="5" t="str">
        <x:v>WQ</x:v>
      </x:c>
      <x:c r="C347" s="5" t="str">
        <x:v>2</x:v>
      </x:c>
      <x:c r="D347" s="5" t="str">
        <x:v>Rechnungswesen</x:v>
      </x:c>
      <x:c r="E347" s="5" t="str">
        <x:v>Rechnungswesen</x:v>
      </x:c>
      <x:c r="F347" s="5" t="str">
        <x:v>ui-wq-0005</x:v>
      </x:c>
      <x:c r="G347" s="5" t="str">
        <x:v>Grundlegende Aspekte des Rechnungswesens</x:v>
      </x:c>
      <x:c r="H347" s="5" t="str">
        <x:v>dg-wq-0033</x:v>
      </x:c>
      <x:c r="I347" s="5" t="str">
        <x:v>2.1.2</x:v>
      </x:c>
      <x:c r="J347" s="5" t="str">
        <x:v>Grundsätze ordnungsgemäßer Buchführung (GoB)</x:v>
      </x:c>
      <x:c r="K347" s="5" t="str"/>
      <x:c r="L347" s="5" t="str">
        <x:v>GoB, Buchführungspflicht &amp; Bewertung</x:v>
      </x:c>
      <x:c r="M347" s="5" t="n">
        <x:v>23</x:v>
      </x:c>
      <x:c r="N347" s="5" t="n">
        <x:v>9</x:v>
      </x:c>
      <x:c r="O347" s="5" t="str"/>
      <x:c r="P347" s="5" t="str">
        <x:v>Zuordnungsvorschlag; Fachfreigabe ausstehend</x:v>
      </x:c>
      <x:c r="Q347" s="5" t="str">
        <x:v>Bestehendes Lernthema fachlich unter passendem Rahmenplan-Unterbereich behalten</x:v>
      </x:c>
      <x:c r="R347" s="5" t="str">
        <x:v>Ordnen Sie die dargestellten Diagramme der richtigen Abschreibungsart zu.</x:v>
      </x:c>
      <x:c r="S347" s="5" t="str">
        <x:v>4881c074bfa8b81335c0a74626c5c1613c0f23e5abf59599e17bb8d1ee3f4597</x:v>
      </x:c>
    </x:row>
    <x:row r="348" ht="36" customHeight="1">
      <x:c r="A348" s="5" t="str">
        <x:v>BR-0059</x:v>
      </x:c>
      <x:c r="B348" s="5" t="str">
        <x:v>WQ</x:v>
      </x:c>
      <x:c r="C348" s="5" t="str">
        <x:v>2</x:v>
      </x:c>
      <x:c r="D348" s="5" t="str">
        <x:v>Rechnungswesen</x:v>
      </x:c>
      <x:c r="E348" s="5" t="str">
        <x:v>Rechnungswesen</x:v>
      </x:c>
      <x:c r="F348" s="5" t="str">
        <x:v>ui-wq-0006</x:v>
      </x:c>
      <x:c r="G348" s="5" t="str">
        <x:v>Finanzbuchhaltung</x:v>
      </x:c>
      <x:c r="H348" s="5" t="str">
        <x:v>dg-wq-0032</x:v>
      </x:c>
      <x:c r="I348" s="5" t="str">
        <x:v>2.2.2.1</x:v>
      </x:c>
      <x:c r="J348" s="5" t="str">
        <x:v>Aufbau der Bilanz</x:v>
      </x:c>
      <x:c r="K348" s="5" t="str"/>
      <x:c r="L348" s="5" t="str">
        <x:v>Inventur, Bilanz &amp; Jahresabschluss</x:v>
      </x:c>
      <x:c r="M348" s="5" t="n">
        <x:v>22</x:v>
      </x:c>
      <x:c r="N348" s="5" t="n">
        <x:v>10</x:v>
      </x:c>
      <x:c r="O348" s="5" t="str"/>
      <x:c r="P348" s="5" t="str">
        <x:v>Zuordnungsvorschlag; Fachfreigabe ausstehend</x:v>
      </x:c>
      <x:c r="Q348" s="5" t="str">
        <x:v>Bestehendes Lernthema fachlich unter passendem Rahmenplan-Unterbereich behalten</x:v>
      </x:c>
      <x:c r="R348" s="5" t="str">
        <x:v>Ordnen Sie die Geschäftsvorfälle den betroffenen Bilanzpositionen und der passenden Bilanzveränderung zu.</x:v>
      </x:c>
      <x:c r="S348" s="5" t="str">
        <x:v>e5da4bf6c37d86ee95fa88ec98eac15c7d02cb6a42d6cc489b1ef528629202c6</x:v>
      </x:c>
    </x:row>
    <x:row r="349" ht="36" customHeight="1">
      <x:c r="A349" s="5" t="str">
        <x:v>BR-0060</x:v>
      </x:c>
      <x:c r="B349" s="5" t="str">
        <x:v>WQ</x:v>
      </x:c>
      <x:c r="C349" s="5" t="str">
        <x:v>2</x:v>
      </x:c>
      <x:c r="D349" s="5" t="str">
        <x:v>Rechnungswesen</x:v>
      </x:c>
      <x:c r="E349" s="5" t="str">
        <x:v>Rechnungswesen</x:v>
      </x:c>
      <x:c r="F349" s="5" t="str">
        <x:v>ui-wq-0006</x:v>
      </x:c>
      <x:c r="G349" s="5" t="str">
        <x:v>Finanzbuchhaltung</x:v>
      </x:c>
      <x:c r="H349" s="5" t="str">
        <x:v>dg-wq-0032</x:v>
      </x:c>
      <x:c r="I349" s="5" t="str">
        <x:v>2.2.2.3</x:v>
      </x:c>
      <x:c r="J349" s="5" t="str">
        <x:v>Gewinn- und Verlustrechnung</x:v>
      </x:c>
      <x:c r="K349" s="5" t="str"/>
      <x:c r="L349" s="5" t="str">
        <x:v>Inventur, Bilanz &amp; Jahresabschluss</x:v>
      </x:c>
      <x:c r="M349" s="5" t="n">
        <x:v>23</x:v>
      </x:c>
      <x:c r="N349" s="5" t="n">
        <x:v>11</x:v>
      </x:c>
      <x:c r="O349" s="5" t="str"/>
      <x:c r="P349" s="5" t="str">
        <x:v>Zuordnungsvorschlag; Fachfreigabe ausstehend</x:v>
      </x:c>
      <x:c r="Q349" s="5" t="str">
        <x:v>Bestehendes Lernthema fachlich unter passendem Rahmenplan-Unterbereich behalten</x:v>
      </x:c>
      <x:c r="R349" s="5" t="str">
        <x:v>Vervollständigen Sie die vereinfachte Gliederung der Gewinn- und Verlustrechnung nach dem Gesamtkostenverfahren gemäß § 275 Abs. 2 HGB.</x:v>
      </x:c>
      <x:c r="S349" s="5" t="str">
        <x:v>8dfe007e0dee7dab1dc83a31042101a90cc79a7bdbffb5134f4683631657b8ca</x:v>
      </x:c>
    </x:row>
    <x:row r="350" ht="36" customHeight="1">
      <x:c r="A350" s="5" t="str">
        <x:v>BR-0061</x:v>
      </x:c>
      <x:c r="B350" s="5" t="str">
        <x:v>WQ</x:v>
      </x:c>
      <x:c r="C350" s="5" t="str">
        <x:v>2</x:v>
      </x:c>
      <x:c r="D350" s="5" t="str">
        <x:v>Rechnungswesen</x:v>
      </x:c>
      <x:c r="E350" s="5" t="str">
        <x:v>Rechnungswesen</x:v>
      </x:c>
      <x:c r="F350" s="5" t="str">
        <x:v>ui-wq-0006</x:v>
      </x:c>
      <x:c r="G350" s="5" t="str">
        <x:v>Finanzbuchhaltung</x:v>
      </x:c>
      <x:c r="H350" s="5" t="str">
        <x:v>dg-wq-0032</x:v>
      </x:c>
      <x:c r="I350" s="5" t="str">
        <x:v>2.2.2.1</x:v>
      </x:c>
      <x:c r="J350" s="5" t="str">
        <x:v>Aufbau der Bilanz</x:v>
      </x:c>
      <x:c r="K350" s="5" t="str"/>
      <x:c r="L350" s="5" t="str">
        <x:v>Inventur, Bilanz &amp; Jahresabschluss</x:v>
      </x:c>
      <x:c r="M350" s="5" t="n">
        <x:v>24</x:v>
      </x:c>
      <x:c r="N350" s="5" t="n">
        <x:v>12</x:v>
      </x:c>
      <x:c r="O350" s="5" t="str"/>
      <x:c r="P350" s="5" t="str">
        <x:v>Zuordnungsvorschlag; Fachfreigabe ausstehend</x:v>
      </x:c>
      <x:c r="Q350" s="5" t="str">
        <x:v>Bestehendes Lernthema fachlich unter passendem Rahmenplan-Unterbereich behalten</x:v>
      </x:c>
      <x:c r="R350" s="5" t="str">
        <x:v>Fallbezug: Die folgenden betrieblichen Angaben und Situationen beziehen sich auf die Circle Harbor GmbH.
Ermitteln Sie anhand der angegebenen Kontostände die folgenden Werte: 1. Summe Aufwendungen, 2. Summe Erträge, 3. Jahresergebnis, 4. Eigenkapital, 5. Bilanzsumme.</x:v>
      </x:c>
      <x:c r="S350" s="5" t="str">
        <x:v>e70b8b5a742c5bc00124cd4058d7d715cabe866a3b6a7e61d9440b0a900a598e</x:v>
      </x:c>
    </x:row>
    <x:row r="351" ht="36" customHeight="1">
      <x:c r="A351" s="5" t="str">
        <x:v>BR-0062</x:v>
      </x:c>
      <x:c r="B351" s="5" t="str">
        <x:v>WQ</x:v>
      </x:c>
      <x:c r="C351" s="5" t="str">
        <x:v>2</x:v>
      </x:c>
      <x:c r="D351" s="5" t="str">
        <x:v>Rechnungswesen</x:v>
      </x:c>
      <x:c r="E351" s="5" t="str">
        <x:v>Rechnungswesen</x:v>
      </x:c>
      <x:c r="F351" s="5" t="str">
        <x:v>ui-wq-0006</x:v>
      </x:c>
      <x:c r="G351" s="5" t="str">
        <x:v>Finanzbuchhaltung</x:v>
      </x:c>
      <x:c r="H351" s="5" t="str">
        <x:v>dg-wq-0032</x:v>
      </x:c>
      <x:c r="I351" s="5" t="str">
        <x:v>2.2.2.1</x:v>
      </x:c>
      <x:c r="J351" s="5" t="str">
        <x:v>Aufbau der Bilanz</x:v>
      </x:c>
      <x:c r="K351" s="5" t="str"/>
      <x:c r="L351" s="5" t="str">
        <x:v>Inventur, Bilanz &amp; Jahresabschluss</x:v>
      </x:c>
      <x:c r="M351" s="5" t="n">
        <x:v>25</x:v>
      </x:c>
      <x:c r="N351" s="5" t="n">
        <x:v>13</x:v>
      </x:c>
      <x:c r="O351" s="5" t="str"/>
      <x:c r="P351" s="5" t="str">
        <x:v>Zuordnungsvorschlag; Fachfreigabe ausstehend</x:v>
      </x:c>
      <x:c r="Q351" s="5" t="str">
        <x:v>Bestehendes Lernthema fachlich unter passendem Rahmenplan-Unterbereich behalten</x:v>
      </x:c>
      <x:c r="R351" s="5" t="str">
        <x:v>Fallbezug: Die folgenden betrieblichen Angaben und Situationen beziehen sich auf die Circle Harbor GmbH.
Gegeben sind folgende Werte: Summe Aufwendungen 850.000 €, Summe Erträge 980.000 €, Bilanzsumme 1.250.000 € und Fremdkapital 720.000 €. Ermitteln Sie: 1. Jahresergebnis, 2. Eigenkapital.</x:v>
      </x:c>
      <x:c r="S351" s="5" t="str">
        <x:v>0520e12d5f50daea75f515a80d1a1d9661e07a2499faa48e12b0656cfc96ea55</x:v>
      </x:c>
    </x:row>
    <x:row r="352" ht="36" customHeight="1">
      <x:c r="A352" s="5" t="str">
        <x:v>BR-0063</x:v>
      </x:c>
      <x:c r="B352" s="5" t="str">
        <x:v>WQ</x:v>
      </x:c>
      <x:c r="C352" s="5" t="str">
        <x:v>2</x:v>
      </x:c>
      <x:c r="D352" s="5" t="str">
        <x:v>Rechnungswesen</x:v>
      </x:c>
      <x:c r="E352" s="5" t="str">
        <x:v>Rechnungswesen</x:v>
      </x:c>
      <x:c r="F352" s="5" t="str">
        <x:v>ui-wq-0007</x:v>
      </x:c>
      <x:c r="G352" s="5" t="str">
        <x:v>Kosten- und Leistungsrechnung</x:v>
      </x:c>
      <x:c r="H352" s="5" t="str">
        <x:v>dg-wq-0036</x:v>
      </x:c>
      <x:c r="I352" s="5" t="str">
        <x:v>2.3.1.4</x:v>
      </x:c>
      <x:c r="J352" s="5" t="str">
        <x:v>Abgrenzungsrechnung von der Finanzbuchhaltung zur Kosten- und Leistungsrechnung</x:v>
      </x:c>
      <x:c r="K352" s="5" t="str"/>
      <x:c r="L352" s="5" t="str">
        <x:v>KLR: Grundlagen, Abgrenzung &amp; Kostenarten</x:v>
      </x:c>
      <x:c r="M352" s="5" t="n">
        <x:v>14</x:v>
      </x:c>
      <x:c r="N352" s="5" t="n">
        <x:v>7</x:v>
      </x:c>
      <x:c r="O352" s="5" t="str"/>
      <x:c r="P352" s="5" t="str">
        <x:v>Zuordnungsvorschlag; Fachfreigabe ausstehend</x:v>
      </x:c>
      <x:c r="Q352" s="5" t="str">
        <x:v>Bestehendes Lernthema fachlich unter passendem Rahmenplan-Unterbereich behalten</x:v>
      </x:c>
      <x:c r="R352" s="5" t="str">
        <x:v>Kreuzen Sie an, ob die folgenden Aussagen zur Übernahme von Werten aus der Finanzbuchhaltung in die Kosten- und Leistungsrechnung richtig oder falsch sind.</x:v>
      </x:c>
      <x:c r="S352" s="5" t="str">
        <x:v>9ff27121625a809851edfec25c01508732910de7f9307b1e360ee9519e700463</x:v>
      </x:c>
    </x:row>
    <x:row r="353" ht="36" customHeight="1">
      <x:c r="A353" s="5" t="str">
        <x:v>BR-0064</x:v>
      </x:c>
      <x:c r="B353" s="5" t="str">
        <x:v>WQ</x:v>
      </x:c>
      <x:c r="C353" s="5" t="str">
        <x:v>2</x:v>
      </x:c>
      <x:c r="D353" s="5" t="str">
        <x:v>Rechnungswesen</x:v>
      </x:c>
      <x:c r="E353" s="5" t="str">
        <x:v>Rechnungswesen</x:v>
      </x:c>
      <x:c r="F353" s="5" t="str">
        <x:v>ui-wq-0007</x:v>
      </x:c>
      <x:c r="G353" s="5" t="str">
        <x:v>Kosten- und Leistungsrechnung</x:v>
      </x:c>
      <x:c r="H353" s="5" t="str">
        <x:v>dg-wq-0036</x:v>
      </x:c>
      <x:c r="I353" s="5" t="str">
        <x:v>2.3.1</x:v>
      </x:c>
      <x:c r="J353" s="5" t="str">
        <x:v>Einführung in die Kosten- und Leistungsrechnung</x:v>
      </x:c>
      <x:c r="K353" s="5" t="str"/>
      <x:c r="L353" s="5" t="str">
        <x:v>KLR: Grundlagen, Abgrenzung &amp; Kostenarten</x:v>
      </x:c>
      <x:c r="M353" s="5" t="n">
        <x:v>15</x:v>
      </x:c>
      <x:c r="N353" s="5" t="n">
        <x:v>8</x:v>
      </x:c>
      <x:c r="O353" s="5" t="str"/>
      <x:c r="P353" s="5" t="str">
        <x:v>Zuordnungsvorschlag; Fachfreigabe ausstehend</x:v>
      </x:c>
      <x:c r="Q353" s="5" t="str">
        <x:v>Bestehendes Lernthema fachlich unter passendem Rahmenplan-Unterbereich behalten</x:v>
      </x:c>
      <x:c r="R353" s="5" t="str">
        <x:v>Fallbezug: Die folgenden betrieblichen Angaben und Situationen beziehen sich auf die Circle Harbor GmbH.
Prüfen Sie, ob sich die Geschäftsvorgänge auf das kostenrechnerische Betriebsergebnis auswirken. Tragen Sie je Vorgang ja oder nein ein. Wenn eine Auswirkung vorliegt, tragen Sie zusätzlich Erhöhung oder Minderung mit Betrag ein.</x:v>
      </x:c>
      <x:c r="S353" s="5" t="str">
        <x:v>4d452ad1a333a3c887f7e5752cf2da5859cd0a334f0cd48cc6ec698d0f6925a8</x:v>
      </x:c>
    </x:row>
    <x:row r="354" ht="36" customHeight="1">
      <x:c r="A354" s="5" t="str">
        <x:v>BR-0065</x:v>
      </x:c>
      <x:c r="B354" s="5" t="str">
        <x:v>WQ</x:v>
      </x:c>
      <x:c r="C354" s="5" t="str">
        <x:v>2</x:v>
      </x:c>
      <x:c r="D354" s="5" t="str">
        <x:v>Rechnungswesen</x:v>
      </x:c>
      <x:c r="E354" s="5" t="str">
        <x:v>Rechnungswesen</x:v>
      </x:c>
      <x:c r="F354" s="5" t="str">
        <x:v>ui-wq-0007</x:v>
      </x:c>
      <x:c r="G354" s="5" t="str">
        <x:v>Kosten- und Leistungsrechnung</x:v>
      </x:c>
      <x:c r="H354" s="5" t="str">
        <x:v>dg-wq-0036</x:v>
      </x:c>
      <x:c r="I354" s="5" t="str">
        <x:v>2.3.1.4</x:v>
      </x:c>
      <x:c r="J354" s="5" t="str">
        <x:v>Abgrenzungsrechnung von der Finanzbuchhaltung zur Kosten- und Leistungsrechnung</x:v>
      </x:c>
      <x:c r="K354" s="5" t="str"/>
      <x:c r="L354" s="5" t="str">
        <x:v>KLR: Grundlagen, Abgrenzung &amp; Kostenarten</x:v>
      </x:c>
      <x:c r="M354" s="5" t="n">
        <x:v>16</x:v>
      </x:c>
      <x:c r="N354" s="5" t="n">
        <x:v>9</x:v>
      </x:c>
      <x:c r="O354" s="5" t="str"/>
      <x:c r="P354" s="5" t="str">
        <x:v>Zuordnungsvorschlag; Fachfreigabe ausstehend</x:v>
      </x:c>
      <x:c r="Q354" s="5" t="str">
        <x:v>Bestehendes Lernthema fachlich unter passendem Rahmenplan-Unterbereich behalten</x:v>
      </x:c>
      <x:c r="R354" s="5" t="str">
        <x:v>Ordnen Sie die folgenden Positionen der richtigen Kategorie der Kosten- und Leistungsrechnung zu.</x:v>
      </x:c>
      <x:c r="S354" s="5" t="str">
        <x:v>53257621dbd1cb5e34e400e206e4b97e7a13116297959c050dd0cdac9a133ccd</x:v>
      </x:c>
    </x:row>
    <x:row r="355" ht="36" customHeight="1">
      <x:c r="A355" s="5" t="str">
        <x:v>BR-0066</x:v>
      </x:c>
      <x:c r="B355" s="5" t="str">
        <x:v>WQ</x:v>
      </x:c>
      <x:c r="C355" s="5" t="str">
        <x:v>2</x:v>
      </x:c>
      <x:c r="D355" s="5" t="str">
        <x:v>Rechnungswesen</x:v>
      </x:c>
      <x:c r="E355" s="5" t="str">
        <x:v>Rechnungswesen</x:v>
      </x:c>
      <x:c r="F355" s="5" t="str">
        <x:v>ui-wq-0007</x:v>
      </x:c>
      <x:c r="G355" s="5" t="str">
        <x:v>Kosten- und Leistungsrechnung</x:v>
      </x:c>
      <x:c r="H355" s="5" t="str">
        <x:v>dg-wq-0036</x:v>
      </x:c>
      <x:c r="I355" s="5" t="str">
        <x:v>2.3.1</x:v>
      </x:c>
      <x:c r="J355" s="5" t="str">
        <x:v>Einführung in die Kosten- und Leistungsrechnung</x:v>
      </x:c>
      <x:c r="K355" s="5" t="str"/>
      <x:c r="L355" s="5" t="str">
        <x:v>KLR: Grundlagen, Abgrenzung &amp; Kostenarten</x:v>
      </x:c>
      <x:c r="M355" s="5" t="n">
        <x:v>17</x:v>
      </x:c>
      <x:c r="N355" s="5" t="n">
        <x:v>10</x:v>
      </x:c>
      <x:c r="O355" s="5" t="str"/>
      <x:c r="P355" s="5" t="str">
        <x:v>Zuordnungsvorschlag; Fachfreigabe ausstehend</x:v>
      </x:c>
      <x:c r="Q355" s="5" t="str">
        <x:v>Bestehendes Lernthema fachlich unter passendem Rahmenplan-Unterbereich behalten</x:v>
      </x:c>
      <x:c r="R355" s="5" t="str">
        <x:v>Vervollständigen Sie die Sätze im folgenden Lückentext mit den angegebenen Wörtern.</x:v>
      </x:c>
      <x:c r="S355" s="5" t="str">
        <x:v>fadf66b1110d38c26e128c75acc443375a288fb0f54d69bca30c2eae0bd1408f</x:v>
      </x:c>
    </x:row>
    <x:row r="356" ht="36" customHeight="1">
      <x:c r="A356" s="5" t="str">
        <x:v>BR-0067</x:v>
      </x:c>
      <x:c r="B356" s="5" t="str">
        <x:v>WQ</x:v>
      </x:c>
      <x:c r="C356" s="5" t="str">
        <x:v>2</x:v>
      </x:c>
      <x:c r="D356" s="5" t="str">
        <x:v>Rechnungswesen</x:v>
      </x:c>
      <x:c r="E356" s="5" t="str">
        <x:v>Rechnungswesen</x:v>
      </x:c>
      <x:c r="F356" s="5" t="str">
        <x:v>ui-wq-0007</x:v>
      </x:c>
      <x:c r="G356" s="5" t="str">
        <x:v>Kosten- und Leistungsrechnung</x:v>
      </x:c>
      <x:c r="H356" s="5" t="str">
        <x:v>dg-wq-0036</x:v>
      </x:c>
      <x:c r="I356" s="5" t="str">
        <x:v>2.3.1</x:v>
      </x:c>
      <x:c r="J356" s="5" t="str">
        <x:v>Einführung in die Kosten- und Leistungsrechnung</x:v>
      </x:c>
      <x:c r="K356" s="5" t="str"/>
      <x:c r="L356" s="5" t="str">
        <x:v>KLR: Grundlagen, Abgrenzung &amp; Kostenarten</x:v>
      </x:c>
      <x:c r="M356" s="5" t="n">
        <x:v>18</x:v>
      </x:c>
      <x:c r="N356" s="5" t="n">
        <x:v>11</x:v>
      </x:c>
      <x:c r="O356" s="5" t="str"/>
      <x:c r="P356" s="5" t="str">
        <x:v>Zuordnungsvorschlag; Fachfreigabe ausstehend</x:v>
      </x:c>
      <x:c r="Q356" s="5" t="str">
        <x:v>Bestehendes Lernthema fachlich unter passendem Rahmenplan-Unterbereich behalten</x:v>
      </x:c>
      <x:c r="R356" s="5" t="str">
        <x:v>Kreuzen Sie an, auf welche Kostenarten die Beschreibung zutrifft.</x:v>
      </x:c>
      <x:c r="S356" s="5" t="str">
        <x:v>51d2c93c70475b94a8211011e0e227c4bc7cc61a6aa84b8759395384d449018b</x:v>
      </x:c>
    </x:row>
    <x:row r="357" ht="36" customHeight="1">
      <x:c r="A357" s="5" t="str">
        <x:v>BR-0068</x:v>
      </x:c>
      <x:c r="B357" s="5" t="str">
        <x:v>WQ</x:v>
      </x:c>
      <x:c r="C357" s="5" t="str">
        <x:v>2</x:v>
      </x:c>
      <x:c r="D357" s="5" t="str">
        <x:v>Rechnungswesen</x:v>
      </x:c>
      <x:c r="E357" s="5" t="str">
        <x:v>Rechnungswesen</x:v>
      </x:c>
      <x:c r="F357" s="5" t="str">
        <x:v>ui-wq-0007</x:v>
      </x:c>
      <x:c r="G357" s="5" t="str">
        <x:v>Kosten- und Leistungsrechnung</x:v>
      </x:c>
      <x:c r="H357" s="5" t="str">
        <x:v>dg-wq-0036</x:v>
      </x:c>
      <x:c r="I357" s="5" t="str">
        <x:v>2.3.1</x:v>
      </x:c>
      <x:c r="J357" s="5" t="str">
        <x:v>Einführung in die Kosten- und Leistungsrechnung</x:v>
      </x:c>
      <x:c r="K357" s="5" t="str"/>
      <x:c r="L357" s="5" t="str">
        <x:v>KLR: Grundlagen, Abgrenzung &amp; Kostenarten</x:v>
      </x:c>
      <x:c r="M357" s="5" t="n">
        <x:v>19</x:v>
      </x:c>
      <x:c r="N357" s="5" t="n">
        <x:v>12</x:v>
      </x:c>
      <x:c r="O357" s="5" t="str"/>
      <x:c r="P357" s="5" t="str">
        <x:v>Zuordnungsvorschlag; Fachfreigabe ausstehend</x:v>
      </x:c>
      <x:c r="Q357" s="5" t="str">
        <x:v>Bestehendes Lernthema fachlich unter passendem Rahmenplan-Unterbereich behalten</x:v>
      </x:c>
      <x:c r="R357" s="5" t="str">
        <x:v>Die Circle Harbor GmbH leistet Zahlungen aus berechtigten Gewährleistungsansprüchen von durchschnittlich 5.900 € pro Jahr und freiwillige Kulanzzahlungen von durchschnittlich 3.300 € pro Jahr. Durch Bedienungsfehler wurden Reparaturen an Produktionsanlagen in Höhe von insgesamt 50.800 € für die letzten fünf Jahre verursacht. Die Umsatzerlöse betrugen während der letzten drei Jahre insgesamt 1.580.000 €. Für das kommende Geschäftsjahr wird mit einem Umsatz von 570.300 € gerechnet. Wie hoch sind die Wagniskosten, die insgesamt für das kommende Jahr berücksichtigt werden müssen?</x:v>
      </x:c>
      <x:c r="S357" s="5" t="str">
        <x:v>1533d62f7ccab7613ab83fd2b1ec51efc9b970a889a8985a25a8b1ecfb99a996</x:v>
      </x:c>
    </x:row>
    <x:row r="358" ht="36" customHeight="1">
      <x:c r="A358" s="5" t="str">
        <x:v>BR-0069</x:v>
      </x:c>
      <x:c r="B358" s="5" t="str">
        <x:v>WQ</x:v>
      </x:c>
      <x:c r="C358" s="5" t="str">
        <x:v>2</x:v>
      </x:c>
      <x:c r="D358" s="5" t="str">
        <x:v>Rechnungswesen</x:v>
      </x:c>
      <x:c r="E358" s="5" t="str">
        <x:v>Rechnungswesen</x:v>
      </x:c>
      <x:c r="F358" s="5" t="str">
        <x:v>ui-wq-0007</x:v>
      </x:c>
      <x:c r="G358" s="5" t="str">
        <x:v>Kosten- und Leistungsrechnung</x:v>
      </x:c>
      <x:c r="H358" s="5" t="str">
        <x:v>dg-wq-0036</x:v>
      </x:c>
      <x:c r="I358" s="5" t="str">
        <x:v>2.3.1</x:v>
      </x:c>
      <x:c r="J358" s="5" t="str">
        <x:v>Einführung in die Kosten- und Leistungsrechnung</x:v>
      </x:c>
      <x:c r="K358" s="5" t="str"/>
      <x:c r="L358" s="5" t="str">
        <x:v>KLR: Grundlagen, Abgrenzung &amp; Kostenarten</x:v>
      </x:c>
      <x:c r="M358" s="5" t="n">
        <x:v>20</x:v>
      </x:c>
      <x:c r="N358" s="5" t="n">
        <x:v>13</x:v>
      </x:c>
      <x:c r="O358" s="5" t="str"/>
      <x:c r="P358" s="5" t="str">
        <x:v>Zuordnungsvorschlag; Fachfreigabe ausstehend</x:v>
      </x:c>
      <x:c r="Q358" s="5" t="str">
        <x:v>Bestehendes Lernthema fachlich unter passendem Rahmenplan-Unterbereich behalten</x:v>
      </x:c>
      <x:c r="R358" s="5" t="str">
        <x:v>Kreuzen Sie an, um welche Kostenarten es sich jeweils handelt.</x:v>
      </x:c>
      <x:c r="S358" s="5" t="str">
        <x:v>03ba97dfb76d7a91a429699278d9d80a41ef89c66947d3316a3d12bfcb3701d4</x:v>
      </x:c>
    </x:row>
    <x:row r="359" ht="36" customHeight="1">
      <x:c r="A359" s="5" t="str">
        <x:v>BR-0070</x:v>
      </x:c>
      <x:c r="B359" s="5" t="str">
        <x:v>WQ</x:v>
      </x:c>
      <x:c r="C359" s="5" t="str">
        <x:v>2</x:v>
      </x:c>
      <x:c r="D359" s="5" t="str">
        <x:v>Rechnungswesen</x:v>
      </x:c>
      <x:c r="E359" s="5" t="str">
        <x:v>Rechnungswesen</x:v>
      </x:c>
      <x:c r="F359" s="5" t="str">
        <x:v>ui-wq-0007</x:v>
      </x:c>
      <x:c r="G359" s="5" t="str">
        <x:v>Kosten- und Leistungsrechnung</x:v>
      </x:c>
      <x:c r="H359" s="5" t="str">
        <x:v>dg-wq-0035</x:v>
      </x:c>
      <x:c r="I359" s="5" t="str">
        <x:v>2.3.3.1</x:v>
      </x:c>
      <x:c r="J359" s="5" t="str">
        <x:v>Kostenzurechnung auf die Kostenstellen im Betriebsabrechnungsbogen</x:v>
      </x:c>
      <x:c r="K359" s="5" t="str"/>
      <x:c r="L359" s="5" t="str">
        <x:v>KLR: Kostenstellenrechnung &amp; BAB</x:v>
      </x:c>
      <x:c r="M359" s="5" t="n">
        <x:v>21</x:v>
      </x:c>
      <x:c r="N359" s="5" t="n">
        <x:v>2</x:v>
      </x:c>
      <x:c r="O359" s="5" t="str"/>
      <x:c r="P359" s="5" t="str">
        <x:v>Zuordnungsvorschlag; Fachfreigabe ausstehend</x:v>
      </x:c>
      <x:c r="Q359" s="5" t="str">
        <x:v>Bestehendes Lernthema fachlich unter passendem Rahmenplan-Unterbereich behalten</x:v>
      </x:c>
      <x:c r="R359" s="5" t="str">
        <x:v>Fallbezug: Die folgenden betrieblichen Angaben und Situationen beziehen sich auf die Circle Harbor GmbH.
Verteilen Sie im Betriebsabrechnungsbogen die Kostenarten verursachungsgerecht auf die Kostenstellen. Legen Sie anschließend die Gemeinkosten der Werkstatt auf Materialstelle, Fertigung 1 und Fertigung 2 im Verhältnis 10 : 30 : 60 um. Ermitteln Sie die Summen der Hauptkostenstellen.</x:v>
      </x:c>
      <x:c r="S359" s="5" t="str">
        <x:v>6b9c875c4e701f91673a9037c22f5917ebfbb926992ea87de1c60154394850d3</x:v>
      </x:c>
    </x:row>
    <x:row r="360" ht="36" customHeight="1">
      <x:c r="A360" s="5" t="str">
        <x:v>BR-0071</x:v>
      </x:c>
      <x:c r="B360" s="5" t="str">
        <x:v>WQ</x:v>
      </x:c>
      <x:c r="C360" s="5" t="str">
        <x:v>2</x:v>
      </x:c>
      <x:c r="D360" s="5" t="str">
        <x:v>Rechnungswesen</x:v>
      </x:c>
      <x:c r="E360" s="5" t="str">
        <x:v>Rechnungswesen</x:v>
      </x:c>
      <x:c r="F360" s="5" t="str">
        <x:v>ui-wq-0007</x:v>
      </x:c>
      <x:c r="G360" s="5" t="str">
        <x:v>Kosten- und Leistungsrechnung</x:v>
      </x:c>
      <x:c r="H360" s="5" t="str">
        <x:v>dg-wq-0035</x:v>
      </x:c>
      <x:c r="I360" s="5" t="str">
        <x:v>2.3.3.1</x:v>
      </x:c>
      <x:c r="J360" s="5" t="str">
        <x:v>Kostenzurechnung auf die Kostenstellen im Betriebsabrechnungsbogen</x:v>
      </x:c>
      <x:c r="K360" s="5" t="str"/>
      <x:c r="L360" s="5" t="str">
        <x:v>KLR: Kostenstellenrechnung &amp; BAB</x:v>
      </x:c>
      <x:c r="M360" s="5" t="n">
        <x:v>22</x:v>
      </x:c>
      <x:c r="N360" s="5" t="n">
        <x:v>3</x:v>
      </x:c>
      <x:c r="O360" s="5" t="str"/>
      <x:c r="P360" s="5" t="str">
        <x:v>Zuordnungsvorschlag; Fachfreigabe ausstehend</x:v>
      </x:c>
      <x:c r="Q360" s="5" t="str">
        <x:v>Bestehendes Lernthema fachlich unter passendem Rahmenplan-Unterbereich behalten</x:v>
      </x:c>
      <x:c r="R360" s="5" t="str">
        <x:v>Fallbezug: Die folgenden betrieblichen Angaben und Situationen beziehen sich auf die Circle Harbor GmbH.
Berechnen Sie ausgehend von den Summen der Hauptkostenstellen die Gemeinkostenzuschläge für Material, Fertigung und Verwaltung/Vertrieb sowie die Herstellkosten und Selbstkosten.</x:v>
      </x:c>
      <x:c r="S360" s="5" t="str">
        <x:v>1de838fe972c3b4fab6529c4705a0e61b3555c199bf26716c953526f26e06af0</x:v>
      </x:c>
    </x:row>
    <x:row r="361" ht="36" customHeight="1">
      <x:c r="A361" s="5" t="str">
        <x:v>BR-0072</x:v>
      </x:c>
      <x:c r="B361" s="5" t="str">
        <x:v>WQ</x:v>
      </x:c>
      <x:c r="C361" s="5" t="str">
        <x:v>2</x:v>
      </x:c>
      <x:c r="D361" s="5" t="str">
        <x:v>Rechnungswesen</x:v>
      </x:c>
      <x:c r="E361" s="5" t="str">
        <x:v>Rechnungswesen</x:v>
      </x:c>
      <x:c r="F361" s="5" t="str">
        <x:v>ui-wq-0007</x:v>
      </x:c>
      <x:c r="G361" s="5" t="str">
        <x:v>Kosten- und Leistungsrechnung</x:v>
      </x:c>
      <x:c r="H361" s="5" t="str">
        <x:v>dg-wq-0035</x:v>
      </x:c>
      <x:c r="I361" s="5" t="str">
        <x:v>2.3.3</x:v>
      </x:c>
      <x:c r="J361" s="5" t="str">
        <x:v>Kostenstellenrechnung</x:v>
      </x:c>
      <x:c r="K361" s="5" t="str"/>
      <x:c r="L361" s="5" t="str">
        <x:v>KLR: Kostenstellenrechnung &amp; BAB</x:v>
      </x:c>
      <x:c r="M361" s="5" t="n">
        <x:v>23</x:v>
      </x:c>
      <x:c r="N361" s="5" t="n">
        <x:v>4</x:v>
      </x:c>
      <x:c r="O361" s="5" t="str"/>
      <x:c r="P361" s="5" t="str">
        <x:v>Zuordnungsvorschlag; Fachfreigabe ausstehend</x:v>
      </x:c>
      <x:c r="Q361" s="5" t="str">
        <x:v>Bestehendes Lernthema fachlich unter passendem Rahmenplan-Unterbereich behalten</x:v>
      </x:c>
      <x:c r="R361" s="5" t="str">
        <x:v>Ordnen Sie durch Eingabe der passenden Zahl jedem Begriff die richtige Beschreibung zu.</x:v>
      </x:c>
      <x:c r="S361" s="5" t="str">
        <x:v>2208a76e37714545ac94ea2e4a1f0efb907a5923f402707d66fe2e8caf862188</x:v>
      </x:c>
    </x:row>
    <x:row r="362" ht="36" customHeight="1">
      <x:c r="A362" s="5" t="str">
        <x:v>BR-0073</x:v>
      </x:c>
      <x:c r="B362" s="5" t="str">
        <x:v>WQ</x:v>
      </x:c>
      <x:c r="C362" s="5" t="str">
        <x:v>2</x:v>
      </x:c>
      <x:c r="D362" s="5" t="str">
        <x:v>Rechnungswesen</x:v>
      </x:c>
      <x:c r="E362" s="5" t="str">
        <x:v>Rechnungswesen</x:v>
      </x:c>
      <x:c r="F362" s="5" t="str">
        <x:v>ui-wq-0007</x:v>
      </x:c>
      <x:c r="G362" s="5" t="str">
        <x:v>Kosten- und Leistungsrechnung</x:v>
      </x:c>
      <x:c r="H362" s="5" t="str">
        <x:v>dg-wq-0035</x:v>
      </x:c>
      <x:c r="I362" s="5" t="str">
        <x:v>2.3.3</x:v>
      </x:c>
      <x:c r="J362" s="5" t="str">
        <x:v>Kostenstellenrechnung</x:v>
      </x:c>
      <x:c r="K362" s="5" t="str"/>
      <x:c r="L362" s="5" t="str">
        <x:v>KLR: Kostenstellenrechnung &amp; BAB</x:v>
      </x:c>
      <x:c r="M362" s="5" t="n">
        <x:v>24</x:v>
      </x:c>
      <x:c r="N362" s="5" t="n">
        <x:v>5</x:v>
      </x:c>
      <x:c r="O362" s="5" t="str"/>
      <x:c r="P362" s="5" t="str">
        <x:v>Zuordnungsvorschlag; Fachfreigabe ausstehend</x:v>
      </x:c>
      <x:c r="Q362" s="5" t="str">
        <x:v>Bestehendes Lernthema fachlich unter passendem Rahmenplan-Unterbereich behalten</x:v>
      </x:c>
      <x:c r="R362" s="5" t="str">
        <x:v>Fallbezug: Die folgenden betrieblichen Angaben und Situationen beziehen sich auf die Circle Harbor GmbH.
Verteilen Sie die Gemeinkosten auf die Hauptkostenstellen Material, Fertigung, Verwaltung und Vertrieb. Ermitteln Sie anschließend die Selbstkosten sowie die Gemeinkostenzuschlagssätze.</x:v>
      </x:c>
      <x:c r="S362" s="5" t="str">
        <x:v>9a44da35bb8019232e620b4cbe0f13edd00a32e94ebf2dd7bb7573ac99dcac94</x:v>
      </x:c>
    </x:row>
    <x:row r="363" ht="36" customHeight="1">
      <x:c r="A363" s="5" t="str">
        <x:v>BR-0074</x:v>
      </x:c>
      <x:c r="B363" s="5" t="str">
        <x:v>WQ</x:v>
      </x:c>
      <x:c r="C363" s="5" t="str">
        <x:v>2</x:v>
      </x:c>
      <x:c r="D363" s="5" t="str">
        <x:v>Rechnungswesen</x:v>
      </x:c>
      <x:c r="E363" s="5" t="str">
        <x:v>Rechnungswesen</x:v>
      </x:c>
      <x:c r="F363" s="5" t="str">
        <x:v>ui-wq-0007</x:v>
      </x:c>
      <x:c r="G363" s="5" t="str">
        <x:v>Kosten- und Leistungsrechnung</x:v>
      </x:c>
      <x:c r="H363" s="5" t="str">
        <x:v>dg-wq-0035</x:v>
      </x:c>
      <x:c r="I363" s="5" t="str">
        <x:v>2.3.3.1</x:v>
      </x:c>
      <x:c r="J363" s="5" t="str">
        <x:v>Kostenzurechnung auf die Kostenstellen im Betriebsabrechnungsbogen</x:v>
      </x:c>
      <x:c r="K363" s="5" t="str"/>
      <x:c r="L363" s="5" t="str">
        <x:v>KLR: Kostenstellenrechnung &amp; BAB</x:v>
      </x:c>
      <x:c r="M363" s="5" t="n">
        <x:v>25</x:v>
      </x:c>
      <x:c r="N363" s="5" t="n">
        <x:v>6</x:v>
      </x:c>
      <x:c r="O363" s="5" t="str"/>
      <x:c r="P363" s="5" t="str">
        <x:v>Zuordnungsvorschlag; Fachfreigabe ausstehend</x:v>
      </x:c>
      <x:c r="Q363" s="5" t="str">
        <x:v>Bestehendes Lernthema fachlich unter passendem Rahmenplan-Unterbereich behalten</x:v>
      </x:c>
      <x:c r="R363" s="5" t="str">
        <x:v>Fallbezug: Die folgenden betrieblichen Angaben und Situationen beziehen sich auf die Circle Harbor GmbH.
Ermitteln Sie die Verrechnungssätze der Hilfskostenstellen Werkstatt und Kantine. Nehmen Sie anschließend die Umlage auf die Hauptkostenstellen vor und weisen Sie die Gemeinkosten aus.</x:v>
      </x:c>
      <x:c r="S363" s="5" t="str">
        <x:v>6c2be0e1fce1bb51cc52c7d73d3e6d68d1176fdc45bb370961252e7188747663</x:v>
      </x:c>
    </x:row>
    <x:row r="364" ht="36" customHeight="1">
      <x:c r="A364" s="5" t="str">
        <x:v>BR-0075</x:v>
      </x:c>
      <x:c r="B364" s="5" t="str">
        <x:v>WQ</x:v>
      </x:c>
      <x:c r="C364" s="5" t="str">
        <x:v>2</x:v>
      </x:c>
      <x:c r="D364" s="5" t="str">
        <x:v>Rechnungswesen</x:v>
      </x:c>
      <x:c r="E364" s="5" t="str">
        <x:v>Rechnungswesen</x:v>
      </x:c>
      <x:c r="F364" s="5" t="str">
        <x:v>ui-wq-0007</x:v>
      </x:c>
      <x:c r="G364" s="5" t="str">
        <x:v>Kosten- und Leistungsrechnung</x:v>
      </x:c>
      <x:c r="H364" s="5" t="str">
        <x:v>dg-wq-0039</x:v>
      </x:c>
      <x:c r="I364" s="5" t="str">
        <x:v>2.3.4</x:v>
      </x:c>
      <x:c r="J364" s="5" t="str">
        <x:v>Kostenträgerzeit- und Kostenträgerstückrechnung</x:v>
      </x:c>
      <x:c r="K364" s="5" t="str"/>
      <x:c r="L364" s="5" t="str">
        <x:v>KLR: Kostenträgerrechnung &amp; Kalkulation</x:v>
      </x:c>
      <x:c r="M364" s="5" t="n">
        <x:v>26</x:v>
      </x:c>
      <x:c r="N364" s="5" t="n">
        <x:v>1</x:v>
      </x:c>
      <x:c r="O364" s="5" t="str"/>
      <x:c r="P364" s="5" t="str">
        <x:v>Zuordnungsvorschlag; Fachfreigabe ausstehend</x:v>
      </x:c>
      <x:c r="Q364" s="5" t="str">
        <x:v>Bestehendes Lernthema fachlich unter passendem Rahmenplan-Unterbereich behalten</x:v>
      </x:c>
      <x:c r="R364" s="5" t="str">
        <x:v>Fallbezug: Die folgenden betrieblichen Angaben und Situationen beziehen sich auf die Circle Harbor GmbH.
Ermitteln Sie aus dem Kostenträgerblatt die Normal- und Istwerte der differenzierten Zuschlagskalkulation für die Produkte A und B. Berechnen Sie außerdem das Umsatzergebnis.</x:v>
      </x:c>
      <x:c r="S364" s="5" t="str">
        <x:v>d57c33bc0830747630ad50081700e370c8526866e2889bdbacc9c42b3b6ce8b6</x:v>
      </x:c>
    </x:row>
    <x:row r="365" ht="36" customHeight="1">
      <x:c r="A365" s="5" t="str">
        <x:v>BR-0076</x:v>
      </x:c>
      <x:c r="B365" s="5" t="str">
        <x:v>WQ</x:v>
      </x:c>
      <x:c r="C365" s="5" t="str">
        <x:v>2</x:v>
      </x:c>
      <x:c r="D365" s="5" t="str">
        <x:v>Rechnungswesen</x:v>
      </x:c>
      <x:c r="E365" s="5" t="str">
        <x:v>Rechnungswesen</x:v>
      </x:c>
      <x:c r="F365" s="5" t="str">
        <x:v>ui-wq-0007</x:v>
      </x:c>
      <x:c r="G365" s="5" t="str">
        <x:v>Kosten- und Leistungsrechnung</x:v>
      </x:c>
      <x:c r="H365" s="5" t="str">
        <x:v>dg-wq-0040</x:v>
      </x:c>
      <x:c r="I365" s="5" t="str">
        <x:v>2.3.4.1</x:v>
      </x:c>
      <x:c r="J365" s="5" t="str">
        <x:v>Kostenträgerzeitrechnung</x:v>
      </x:c>
      <x:c r="K365" s="5" t="str">
        <x:v>2.3.4</x:v>
      </x:c>
      <x:c r="L365" s="5" t="str">
        <x:v>KLR: Kostenträgerrechnung &amp; Kalkulation</x:v>
      </x:c>
      <x:c r="M365" s="5" t="n">
        <x:v>27</x:v>
      </x:c>
      <x:c r="N365" s="5" t="n">
        <x:v>1</x:v>
      </x:c>
      <x:c r="O365" s="5" t="str">
        <x:v>E02</x:v>
      </x:c>
      <x:c r="P365" s="5" t="str">
        <x:v>FACHLICHE ENTSCHEIDUNG FREIGEGEBEN; Inhaltsmaßnahme separat offen</x:v>
      </x:c>
      <x:c r="Q365" s="5" t="str">
        <x:v>Freigegeben: Kostenträgerzeitrechnung. Spätere Inhaltsüberarbeitung: nicht pauschal vergangenheitsorientiert; Stückrechnung nicht als alleinige Gewinnermittlung darstellen.</x:v>
      </x:c>
      <x:c r="R365" s="5" t="str">
        <x:v>Ergänzen Sie im Lückentext jeweils die Wortbestandteile „stück“ und „zeit“.</x:v>
      </x:c>
      <x:c r="S365" s="5" t="str">
        <x:v>24f6ead6fcd6ea74c40d432d525680069c36a42a118217b69d65161b9c231682</x:v>
      </x:c>
    </x:row>
    <x:row r="366" ht="36" customHeight="1">
      <x:c r="A366" s="5" t="str">
        <x:v>BR-0077</x:v>
      </x:c>
      <x:c r="B366" s="5" t="str">
        <x:v>WQ</x:v>
      </x:c>
      <x:c r="C366" s="5" t="str">
        <x:v>2</x:v>
      </x:c>
      <x:c r="D366" s="5" t="str">
        <x:v>Rechnungswesen</x:v>
      </x:c>
      <x:c r="E366" s="5" t="str">
        <x:v>Rechnungswesen</x:v>
      </x:c>
      <x:c r="F366" s="5" t="str">
        <x:v>ui-wq-0007</x:v>
      </x:c>
      <x:c r="G366" s="5" t="str">
        <x:v>Kosten- und Leistungsrechnung</x:v>
      </x:c>
      <x:c r="H366" s="5" t="str">
        <x:v>dg-wq-0039</x:v>
      </x:c>
      <x:c r="I366" s="5" t="str">
        <x:v>2.3.4</x:v>
      </x:c>
      <x:c r="J366" s="5" t="str">
        <x:v>Kostenträgerzeit- und Kostenträgerstückrechnung</x:v>
      </x:c>
      <x:c r="K366" s="5" t="str"/>
      <x:c r="L366" s="5" t="str">
        <x:v>KLR: Kostenträgerrechnung &amp; Kalkulation</x:v>
      </x:c>
      <x:c r="M366" s="5" t="n">
        <x:v>28</x:v>
      </x:c>
      <x:c r="N366" s="5" t="n">
        <x:v>2</x:v>
      </x:c>
      <x:c r="O366" s="5" t="str"/>
      <x:c r="P366" s="5" t="str">
        <x:v>Zuordnungsvorschlag; Fachfreigabe ausstehend</x:v>
      </x:c>
      <x:c r="Q366" s="5" t="str">
        <x:v>Bestehendes Lernthema fachlich unter passendem Rahmenplan-Unterbereich behalten</x:v>
      </x:c>
      <x:c r="R366" s="5" t="str">
        <x:v>Fallbezug: Die folgenden betrieblichen Angaben und Situationen beziehen sich auf die Circle Harbor GmbH.
Berechnen Sie den Istzuschlagssatz für die Materialkosten, die Selbstkosten und den verbleibenden Gewinn beim Aktionspreis.</x:v>
      </x:c>
      <x:c r="S366" s="5" t="str">
        <x:v>95db929f1d6e462c722d99a15c0292d3b091bce3907459bdd36d1d988682715e</x:v>
      </x:c>
    </x:row>
    <x:row r="367" ht="36" customHeight="1">
      <x:c r="A367" s="5" t="str">
        <x:v>BR-0078</x:v>
      </x:c>
      <x:c r="B367" s="5" t="str">
        <x:v>WQ</x:v>
      </x:c>
      <x:c r="C367" s="5" t="str">
        <x:v>2</x:v>
      </x:c>
      <x:c r="D367" s="5" t="str">
        <x:v>Rechnungswesen</x:v>
      </x:c>
      <x:c r="E367" s="5" t="str">
        <x:v>Rechnungswesen</x:v>
      </x:c>
      <x:c r="F367" s="5" t="str">
        <x:v>ui-wq-0007</x:v>
      </x:c>
      <x:c r="G367" s="5" t="str">
        <x:v>Kosten- und Leistungsrechnung</x:v>
      </x:c>
      <x:c r="H367" s="5" t="str">
        <x:v>dg-wq-0039</x:v>
      </x:c>
      <x:c r="I367" s="5" t="str">
        <x:v>2.3.4</x:v>
      </x:c>
      <x:c r="J367" s="5" t="str">
        <x:v>Kostenträgerzeit- und Kostenträgerstückrechnung</x:v>
      </x:c>
      <x:c r="K367" s="5" t="str"/>
      <x:c r="L367" s="5" t="str">
        <x:v>KLR: Kostenträgerrechnung &amp; Kalkulation</x:v>
      </x:c>
      <x:c r="M367" s="5" t="n">
        <x:v>29</x:v>
      </x:c>
      <x:c r="N367" s="5" t="n">
        <x:v>3</x:v>
      </x:c>
      <x:c r="O367" s="5" t="str"/>
      <x:c r="P367" s="5" t="str">
        <x:v>Zuordnungsvorschlag; Fachfreigabe ausstehend</x:v>
      </x:c>
      <x:c r="Q367" s="5" t="str">
        <x:v>Bestehendes Lernthema fachlich unter passendem Rahmenplan-Unterbereich behalten</x:v>
      </x:c>
      <x:c r="R367" s="5" t="str">
        <x:v>Fallbezug: Die folgenden betrieblichen Angaben und Situationen beziehen sich auf die Circle Harbor GmbH.
Kalkulieren Sie den Stundensatz für eine Bearbeitungsmaschine anhand der vorliegenden Daten.</x:v>
      </x:c>
      <x:c r="S367" s="5" t="str">
        <x:v>2111c790653dbfe3745f8a7977eef43be70edf9a72e28713f9b1b6a7699df88a</x:v>
      </x:c>
    </x:row>
    <x:row r="368" ht="36" customHeight="1">
      <x:c r="A368" s="5" t="str">
        <x:v>BR-0079</x:v>
      </x:c>
      <x:c r="B368" s="5" t="str">
        <x:v>WQ</x:v>
      </x:c>
      <x:c r="C368" s="5" t="str">
        <x:v>2</x:v>
      </x:c>
      <x:c r="D368" s="5" t="str">
        <x:v>Rechnungswesen</x:v>
      </x:c>
      <x:c r="E368" s="5" t="str">
        <x:v>Rechnungswesen</x:v>
      </x:c>
      <x:c r="F368" s="5" t="str">
        <x:v>ui-wq-0007</x:v>
      </x:c>
      <x:c r="G368" s="5" t="str">
        <x:v>Kosten- und Leistungsrechnung</x:v>
      </x:c>
      <x:c r="H368" s="5" t="str">
        <x:v>dg-wq-0039</x:v>
      </x:c>
      <x:c r="I368" s="5" t="str">
        <x:v>2.3.4</x:v>
      </x:c>
      <x:c r="J368" s="5" t="str">
        <x:v>Kostenträgerzeit- und Kostenträgerstückrechnung</x:v>
      </x:c>
      <x:c r="K368" s="5" t="str"/>
      <x:c r="L368" s="5" t="str">
        <x:v>KLR: Kostenträgerrechnung &amp; Kalkulation</x:v>
      </x:c>
      <x:c r="M368" s="5" t="n">
        <x:v>30</x:v>
      </x:c>
      <x:c r="N368" s="5" t="n">
        <x:v>4</x:v>
      </x:c>
      <x:c r="O368" s="5" t="str"/>
      <x:c r="P368" s="5" t="str">
        <x:v>Zuordnungsvorschlag; Fachfreigabe ausstehend</x:v>
      </x:c>
      <x:c r="Q368" s="5" t="str">
        <x:v>Bestehendes Lernthema fachlich unter passendem Rahmenplan-Unterbereich behalten</x:v>
      </x:c>
      <x:c r="R368" s="5" t="str">
        <x:v>Fallbezug: Die folgenden betrieblichen Angaben und Situationen beziehen sich auf die Circle Harbor GmbH.
Die Herstellkosten betragen 37.700 €. 80 % davon entfallen auf Fertigungskosten. Die Materialgemeinkosten betragen 30 % und die Fertigungsgemeinkosten 108 %. Berechnen Sie Fertigungslöhne und Fertigungsmaterial.</x:v>
      </x:c>
      <x:c r="S368" s="5" t="str">
        <x:v>9bc0f3dbb809a158e144ba095bc5915bb083ee7204c6e3e0d5bdbab81fcd3027</x:v>
      </x:c>
    </x:row>
    <x:row r="369" ht="36" customHeight="1">
      <x:c r="A369" s="5" t="str">
        <x:v>BR-0080</x:v>
      </x:c>
      <x:c r="B369" s="5" t="str">
        <x:v>WQ</x:v>
      </x:c>
      <x:c r="C369" s="5" t="str">
        <x:v>2</x:v>
      </x:c>
      <x:c r="D369" s="5" t="str">
        <x:v>Rechnungswesen</x:v>
      </x:c>
      <x:c r="E369" s="5" t="str">
        <x:v>Rechnungswesen</x:v>
      </x:c>
      <x:c r="F369" s="5" t="str">
        <x:v>ui-wq-0007</x:v>
      </x:c>
      <x:c r="G369" s="5" t="str">
        <x:v>Kosten- und Leistungsrechnung</x:v>
      </x:c>
      <x:c r="H369" s="5" t="str">
        <x:v>dg-wq-0039</x:v>
      </x:c>
      <x:c r="I369" s="5" t="str">
        <x:v>2.3.4.4</x:v>
      </x:c>
      <x:c r="J369" s="5" t="str">
        <x:v>Divisionskalkulation</x:v>
      </x:c>
      <x:c r="K369" s="5" t="str"/>
      <x:c r="L369" s="5" t="str">
        <x:v>KLR: Kostenträgerrechnung &amp; Kalkulation</x:v>
      </x:c>
      <x:c r="M369" s="5" t="n">
        <x:v>31</x:v>
      </x:c>
      <x:c r="N369" s="5" t="n">
        <x:v>5</x:v>
      </x:c>
      <x:c r="O369" s="5" t="str"/>
      <x:c r="P369" s="5" t="str">
        <x:v>Zuordnungsvorschlag; Fachfreigabe ausstehend</x:v>
      </x:c>
      <x:c r="Q369" s="5" t="str">
        <x:v>Bestehendes Lernthema fachlich unter passendem Rahmenplan-Unterbereich behalten</x:v>
      </x:c>
      <x:c r="R369" s="5" t="str">
        <x:v>Ergänzen Sie den Lückentext zur Divisionskalkulation mit den passenden Begriffen.</x:v>
      </x:c>
      <x:c r="S369" s="5" t="str">
        <x:v>08680c3571b02d8f36d339c7fcb839e62228a63455ece4d6418d41bb637240b9</x:v>
      </x:c>
    </x:row>
    <x:row r="370" ht="36" customHeight="1">
      <x:c r="A370" s="5" t="str">
        <x:v>BR-0081</x:v>
      </x:c>
      <x:c r="B370" s="5" t="str">
        <x:v>WQ</x:v>
      </x:c>
      <x:c r="C370" s="5" t="str">
        <x:v>2</x:v>
      </x:c>
      <x:c r="D370" s="5" t="str">
        <x:v>Rechnungswesen</x:v>
      </x:c>
      <x:c r="E370" s="5" t="str">
        <x:v>Rechnungswesen</x:v>
      </x:c>
      <x:c r="F370" s="5" t="str">
        <x:v>ui-wq-0007</x:v>
      </x:c>
      <x:c r="G370" s="5" t="str">
        <x:v>Kosten- und Leistungsrechnung</x:v>
      </x:c>
      <x:c r="H370" s="5" t="str">
        <x:v>dg-wq-0039</x:v>
      </x:c>
      <x:c r="I370" s="5" t="str">
        <x:v>2.3.4.4</x:v>
      </x:c>
      <x:c r="J370" s="5" t="str">
        <x:v>Divisionskalkulation</x:v>
      </x:c>
      <x:c r="K370" s="5" t="str"/>
      <x:c r="L370" s="5" t="str">
        <x:v>KLR: Kostenträgerrechnung &amp; Kalkulation</x:v>
      </x:c>
      <x:c r="M370" s="5" t="n">
        <x:v>32</x:v>
      </x:c>
      <x:c r="N370" s="5" t="n">
        <x:v>6</x:v>
      </x:c>
      <x:c r="O370" s="5" t="str"/>
      <x:c r="P370" s="5" t="str">
        <x:v>Zuordnungsvorschlag; Fachfreigabe ausstehend</x:v>
      </x:c>
      <x:c r="Q370" s="5" t="str">
        <x:v>Bestehendes Lernthema fachlich unter passendem Rahmenplan-Unterbereich behalten</x:v>
      </x:c>
      <x:c r="R370" s="5" t="str">
        <x:v>Fallbezug: Die folgenden betrieblichen Angaben und Situationen beziehen sich auf die Circle Harbor GmbH.
Berechnen Sie bei der mehrstufigen Divisionskalkulation die Kosten je Stück sowie die Lagerbestände.</x:v>
      </x:c>
      <x:c r="S370" s="5" t="str">
        <x:v>b47a4ed5bc109a2fc373f0079be5fa1e897af08d5b960a1c579497ab64297495</x:v>
      </x:c>
    </x:row>
    <x:row r="371" ht="36" customHeight="1">
      <x:c r="A371" s="5" t="str">
        <x:v>BR-0082</x:v>
      </x:c>
      <x:c r="B371" s="5" t="str">
        <x:v>WQ</x:v>
      </x:c>
      <x:c r="C371" s="5" t="str">
        <x:v>2</x:v>
      </x:c>
      <x:c r="D371" s="5" t="str">
        <x:v>Rechnungswesen</x:v>
      </x:c>
      <x:c r="E371" s="5" t="str">
        <x:v>Rechnungswesen</x:v>
      </x:c>
      <x:c r="F371" s="5" t="str">
        <x:v>ui-wq-0007</x:v>
      </x:c>
      <x:c r="G371" s="5" t="str">
        <x:v>Kosten- und Leistungsrechnung</x:v>
      </x:c>
      <x:c r="H371" s="5" t="str">
        <x:v>dg-wq-0039</x:v>
      </x:c>
      <x:c r="I371" s="5" t="str">
        <x:v>2.3.4</x:v>
      </x:c>
      <x:c r="J371" s="5" t="str">
        <x:v>Kostenträgerzeit- und Kostenträgerstückrechnung</x:v>
      </x:c>
      <x:c r="K371" s="5" t="str"/>
      <x:c r="L371" s="5" t="str">
        <x:v>KLR: Kostenträgerrechnung &amp; Kalkulation</x:v>
      </x:c>
      <x:c r="M371" s="5" t="n">
        <x:v>33</x:v>
      </x:c>
      <x:c r="N371" s="5" t="n">
        <x:v>7</x:v>
      </x:c>
      <x:c r="O371" s="5" t="str"/>
      <x:c r="P371" s="5" t="str">
        <x:v>Zuordnungsvorschlag; Fachfreigabe ausstehend</x:v>
      </x:c>
      <x:c r="Q371" s="5" t="str">
        <x:v>Bestehendes Lernthema fachlich unter passendem Rahmenplan-Unterbereich behalten</x:v>
      </x:c>
      <x:c r="R371" s="5" t="str">
        <x:v>Fallbezug: Die folgenden betrieblichen Angaben und Situationen beziehen sich auf die Circle Harbor GmbH.
Berechnen Sie die Stückkosten je Produkt nach der Äquivalenzziffernmethode und ermitteln Sie die Gesamtkosten je Produkt.</x:v>
      </x:c>
      <x:c r="S371" s="5" t="str">
        <x:v>2a3c83301be3165ecb6b393ee00addf30db762f43534f664ad5cb0e481102314</x:v>
      </x:c>
    </x:row>
    <x:row r="372" ht="36" customHeight="1">
      <x:c r="A372" s="5" t="str">
        <x:v>BR-0083</x:v>
      </x:c>
      <x:c r="B372" s="5" t="str">
        <x:v>WQ</x:v>
      </x:c>
      <x:c r="C372" s="5" t="str">
        <x:v>2</x:v>
      </x:c>
      <x:c r="D372" s="5" t="str">
        <x:v>Rechnungswesen</x:v>
      </x:c>
      <x:c r="E372" s="5" t="str">
        <x:v>Rechnungswesen</x:v>
      </x:c>
      <x:c r="F372" s="5" t="str">
        <x:v>ui-wq-0007</x:v>
      </x:c>
      <x:c r="G372" s="5" t="str">
        <x:v>Kosten- und Leistungsrechnung</x:v>
      </x:c>
      <x:c r="H372" s="5" t="str">
        <x:v>dg-wq-0039</x:v>
      </x:c>
      <x:c r="I372" s="5" t="str">
        <x:v>2.3.4</x:v>
      </x:c>
      <x:c r="J372" s="5" t="str">
        <x:v>Kostenträgerzeit- und Kostenträgerstückrechnung</x:v>
      </x:c>
      <x:c r="K372" s="5" t="str"/>
      <x:c r="L372" s="5" t="str">
        <x:v>KLR: Kostenträgerrechnung &amp; Kalkulation</x:v>
      </x:c>
      <x:c r="M372" s="5" t="n">
        <x:v>34</x:v>
      </x:c>
      <x:c r="N372" s="5" t="n">
        <x:v>8</x:v>
      </x:c>
      <x:c r="O372" s="5" t="str"/>
      <x:c r="P372" s="5" t="str">
        <x:v>Zuordnungsvorschlag; Fachfreigabe ausstehend</x:v>
      </x:c>
      <x:c r="Q372" s="5" t="str">
        <x:v>Bestehendes Lernthema fachlich unter passendem Rahmenplan-Unterbereich behalten</x:v>
      </x:c>
      <x:c r="R372" s="5" t="str">
        <x:v>Ergänzen Sie das Kalkulationsschema der Handelskalkulation vom Listeneinkaufspreis bis zum Nettoverkaufspreis.</x:v>
      </x:c>
      <x:c r="S372" s="5" t="str">
        <x:v>63747ae8452e743c7b1d54a963e6d560eba7cbf668354c02c1bb22f8a3b95ab2</x:v>
      </x:c>
    </x:row>
    <x:row r="373" ht="36" customHeight="1">
      <x:c r="A373" s="5" t="str">
        <x:v>BR-0084</x:v>
      </x:c>
      <x:c r="B373" s="5" t="str">
        <x:v>WQ</x:v>
      </x:c>
      <x:c r="C373" s="5" t="str">
        <x:v>2</x:v>
      </x:c>
      <x:c r="D373" s="5" t="str">
        <x:v>Rechnungswesen</x:v>
      </x:c>
      <x:c r="E373" s="5" t="str">
        <x:v>Rechnungswesen</x:v>
      </x:c>
      <x:c r="F373" s="5" t="str">
        <x:v>ui-wq-0007</x:v>
      </x:c>
      <x:c r="G373" s="5" t="str">
        <x:v>Kosten- und Leistungsrechnung</x:v>
      </x:c>
      <x:c r="H373" s="5" t="str">
        <x:v>dg-wq-0039</x:v>
      </x:c>
      <x:c r="I373" s="5" t="str">
        <x:v>2.3.4</x:v>
      </x:c>
      <x:c r="J373" s="5" t="str">
        <x:v>Kostenträgerzeit- und Kostenträgerstückrechnung</x:v>
      </x:c>
      <x:c r="K373" s="5" t="str"/>
      <x:c r="L373" s="5" t="str">
        <x:v>KLR: Kostenträgerrechnung &amp; Kalkulation</x:v>
      </x:c>
      <x:c r="M373" s="5" t="n">
        <x:v>35</x:v>
      </x:c>
      <x:c r="N373" s="5" t="n">
        <x:v>9</x:v>
      </x:c>
      <x:c r="O373" s="5" t="str"/>
      <x:c r="P373" s="5" t="str">
        <x:v>Zuordnungsvorschlag; Fachfreigabe ausstehend</x:v>
      </x:c>
      <x:c r="Q373" s="5" t="str">
        <x:v>Bestehendes Lernthema fachlich unter passendem Rahmenplan-Unterbereich behalten</x:v>
      </x:c>
      <x:c r="R373" s="5" t="str">
        <x:v>Kreuzen Sie an, ob es sich bei der Berechnung um Kalkulationsfaktor, Handelsspanne oder Kalkulationszuschlag handelt.</x:v>
      </x:c>
      <x:c r="S373" s="5" t="str">
        <x:v>b078787bff093073b0969b70bc19ce22cba5c909767c8bff022c6beaf63993bf</x:v>
      </x:c>
    </x:row>
    <x:row r="374" ht="36" customHeight="1">
      <x:c r="A374" s="5" t="str">
        <x:v>BR-0085</x:v>
      </x:c>
      <x:c r="B374" s="5" t="str">
        <x:v>WQ</x:v>
      </x:c>
      <x:c r="C374" s="5" t="str">
        <x:v>2</x:v>
      </x:c>
      <x:c r="D374" s="5" t="str">
        <x:v>Rechnungswesen</x:v>
      </x:c>
      <x:c r="E374" s="5" t="str">
        <x:v>Rechnungswesen</x:v>
      </x:c>
      <x:c r="F374" s="5" t="str">
        <x:v>ui-wq-0007</x:v>
      </x:c>
      <x:c r="G374" s="5" t="str">
        <x:v>Kosten- und Leistungsrechnung</x:v>
      </x:c>
      <x:c r="H374" s="5" t="str">
        <x:v>dg-wq-0039</x:v>
      </x:c>
      <x:c r="I374" s="5" t="str">
        <x:v>2.3.4</x:v>
      </x:c>
      <x:c r="J374" s="5" t="str">
        <x:v>Kostenträgerzeit- und Kostenträgerstückrechnung</x:v>
      </x:c>
      <x:c r="K374" s="5" t="str"/>
      <x:c r="L374" s="5" t="str">
        <x:v>KLR: Kostenträgerrechnung &amp; Kalkulation</x:v>
      </x:c>
      <x:c r="M374" s="5" t="n">
        <x:v>36</x:v>
      </x:c>
      <x:c r="N374" s="5" t="n">
        <x:v>10</x:v>
      </x:c>
      <x:c r="O374" s="5" t="str"/>
      <x:c r="P374" s="5" t="str">
        <x:v>Zuordnungsvorschlag; Fachfreigabe ausstehend</x:v>
      </x:c>
      <x:c r="Q374" s="5" t="str">
        <x:v>Bestehendes Lernthema fachlich unter passendem Rahmenplan-Unterbereich behalten</x:v>
      </x:c>
      <x:c r="R374" s="5" t="str">
        <x:v>Fallbezug: Die folgenden betrieblichen Angaben und Situationen beziehen sich auf die Circle Harbor GmbH.
Berechnen Sie den Nettolistenverkaufspreis unter Berücksichtigung von 15 % Vertreterprovision, 3 % Kundenskonto und 4,95 % Kundenrabatt.</x:v>
      </x:c>
      <x:c r="S374" s="5" t="str">
        <x:v>74ac56ca6d0e1ac9ab59bd53e8631fda9f832e44b73c41f3fa8ac87297fb03a6</x:v>
      </x:c>
    </x:row>
    <x:row r="375" ht="36" customHeight="1">
      <x:c r="A375" s="5" t="str">
        <x:v>BR-0086</x:v>
      </x:c>
      <x:c r="B375" s="5" t="str">
        <x:v>WQ</x:v>
      </x:c>
      <x:c r="C375" s="5" t="str">
        <x:v>2</x:v>
      </x:c>
      <x:c r="D375" s="5" t="str">
        <x:v>Rechnungswesen</x:v>
      </x:c>
      <x:c r="E375" s="5" t="str">
        <x:v>Rechnungswesen</x:v>
      </x:c>
      <x:c r="F375" s="5" t="str">
        <x:v>ui-wq-0007</x:v>
      </x:c>
      <x:c r="G375" s="5" t="str">
        <x:v>Kosten- und Leistungsrechnung</x:v>
      </x:c>
      <x:c r="H375" s="5" t="str">
        <x:v>dg-wq-0027</x:v>
      </x:c>
      <x:c r="I375" s="5" t="str">
        <x:v>2.3.5.1</x:v>
      </x:c>
      <x:c r="J375" s="5" t="str">
        <x:v>Begründung der Teilkostenrechnung</x:v>
      </x:c>
      <x:c r="K375" s="5" t="str"/>
      <x:c r="L375" s="5" t="str">
        <x:v>Teilkostenrechnung, Deckungsbeitrag &amp; Break-even</x:v>
      </x:c>
      <x:c r="M375" s="5" t="n">
        <x:v>37</x:v>
      </x:c>
      <x:c r="N375" s="5" t="n">
        <x:v>6</x:v>
      </x:c>
      <x:c r="O375" s="5" t="str"/>
      <x:c r="P375" s="5" t="str">
        <x:v>Zuordnungsvorschlag; Fachfreigabe ausstehend</x:v>
      </x:c>
      <x:c r="Q375" s="5" t="str">
        <x:v>Bestehendes Lernthema fachlich unter passendem Rahmenplan-Unterbereich behalten</x:v>
      </x:c>
      <x:c r="R375" s="5" t="str">
        <x:v>Vervollständigen Sie die Formeln zur Vollkostenrechnung und Teilkostenrechnung.</x:v>
      </x:c>
      <x:c r="S375" s="5" t="str">
        <x:v>5743d13ddbcccdd0a63fbd9d21062654f80c823f232f1ef987c001ecfa982511</x:v>
      </x:c>
    </x:row>
    <x:row r="376" ht="36" customHeight="1">
      <x:c r="A376" s="5" t="str">
        <x:v>BR-0087</x:v>
      </x:c>
      <x:c r="B376" s="5" t="str">
        <x:v>WQ</x:v>
      </x:c>
      <x:c r="C376" s="5" t="str">
        <x:v>2</x:v>
      </x:c>
      <x:c r="D376" s="5" t="str">
        <x:v>Rechnungswesen</x:v>
      </x:c>
      <x:c r="E376" s="5" t="str">
        <x:v>Rechnungswesen</x:v>
      </x:c>
      <x:c r="F376" s="5" t="str">
        <x:v>ui-wq-0007</x:v>
      </x:c>
      <x:c r="G376" s="5" t="str">
        <x:v>Kosten- und Leistungsrechnung</x:v>
      </x:c>
      <x:c r="H376" s="5" t="str">
        <x:v>dg-wq-0027</x:v>
      </x:c>
      <x:c r="I376" s="5" t="str">
        <x:v>2.3.5</x:v>
      </x:c>
      <x:c r="J376" s="5" t="str">
        <x:v>Vergleich von Vollkosten- und Teilkostenrechnung</x:v>
      </x:c>
      <x:c r="K376" s="5" t="str"/>
      <x:c r="L376" s="5" t="str">
        <x:v>Teilkostenrechnung, Deckungsbeitrag &amp; Break-even</x:v>
      </x:c>
      <x:c r="M376" s="5" t="n">
        <x:v>38</x:v>
      </x:c>
      <x:c r="N376" s="5" t="n">
        <x:v>7</x:v>
      </x:c>
      <x:c r="O376" s="5" t="str"/>
      <x:c r="P376" s="5" t="str">
        <x:v>Zuordnungsvorschlag; Fachfreigabe ausstehend</x:v>
      </x:c>
      <x:c r="Q376" s="5" t="str">
        <x:v>Bestehendes Lernthema fachlich unter passendem Rahmenplan-Unterbereich behalten</x:v>
      </x:c>
      <x:c r="R376" s="5" t="str">
        <x:v>Streichen Sie in den Aussagen zur Vollkostenrechnung die nicht passenden Begriffe.</x:v>
      </x:c>
      <x:c r="S376" s="5" t="str">
        <x:v>61f619089cda61250130a55b080b46f9804d9e717cec6d120ef5e259995130e9</x:v>
      </x:c>
    </x:row>
    <x:row r="377" ht="36" customHeight="1">
      <x:c r="A377" s="5" t="str">
        <x:v>BR-0088</x:v>
      </x:c>
      <x:c r="B377" s="5" t="str">
        <x:v>WQ</x:v>
      </x:c>
      <x:c r="C377" s="5" t="str">
        <x:v>2</x:v>
      </x:c>
      <x:c r="D377" s="5" t="str">
        <x:v>Rechnungswesen</x:v>
      </x:c>
      <x:c r="E377" s="5" t="str">
        <x:v>Rechnungswesen</x:v>
      </x:c>
      <x:c r="F377" s="5" t="str">
        <x:v>ui-wq-0007</x:v>
      </x:c>
      <x:c r="G377" s="5" t="str">
        <x:v>Kosten- und Leistungsrechnung</x:v>
      </x:c>
      <x:c r="H377" s="5" t="str">
        <x:v>dg-wq-0027</x:v>
      </x:c>
      <x:c r="I377" s="5" t="str">
        <x:v>2.3.5</x:v>
      </x:c>
      <x:c r="J377" s="5" t="str">
        <x:v>Vergleich von Vollkosten- und Teilkostenrechnung</x:v>
      </x:c>
      <x:c r="K377" s="5" t="str"/>
      <x:c r="L377" s="5" t="str">
        <x:v>Teilkostenrechnung, Deckungsbeitrag &amp; Break-even</x:v>
      </x:c>
      <x:c r="M377" s="5" t="n">
        <x:v>39</x:v>
      </x:c>
      <x:c r="N377" s="5" t="n">
        <x:v>8</x:v>
      </x:c>
      <x:c r="O377" s="5" t="str"/>
      <x:c r="P377" s="5" t="str">
        <x:v>Zuordnungsvorschlag; Fachfreigabe ausstehend</x:v>
      </x:c>
      <x:c r="Q377" s="5" t="str">
        <x:v>Bestehendes Lernthema fachlich unter passendem Rahmenplan-Unterbereich behalten</x:v>
      </x:c>
      <x:c r="R377" s="5" t="str">
        <x:v>Fallbezug: Die folgenden betrieblichen Angaben und Situationen beziehen sich auf die Circle Harbor GmbH.
Ergänzen Sie die Formelzusammenhänge zu Fixkosten, variablen Kosten und Gesamtkosten und berechnen Sie die fehlenden Werte.</x:v>
      </x:c>
      <x:c r="S377" s="5" t="str">
        <x:v>029fd5d61293b0667d4bd5c3b9916a21bfac055eca01d88d6a9460d6adb22a09</x:v>
      </x:c>
    </x:row>
    <x:row r="378" ht="36" customHeight="1">
      <x:c r="A378" s="5" t="str">
        <x:v>BR-0089</x:v>
      </x:c>
      <x:c r="B378" s="5" t="str">
        <x:v>WQ</x:v>
      </x:c>
      <x:c r="C378" s="5" t="str">
        <x:v>2</x:v>
      </x:c>
      <x:c r="D378" s="5" t="str">
        <x:v>Rechnungswesen</x:v>
      </x:c>
      <x:c r="E378" s="5" t="str">
        <x:v>Rechnungswesen</x:v>
      </x:c>
      <x:c r="F378" s="5" t="str">
        <x:v>ui-wq-0007</x:v>
      </x:c>
      <x:c r="G378" s="5" t="str">
        <x:v>Kosten- und Leistungsrechnung</x:v>
      </x:c>
      <x:c r="H378" s="5" t="str">
        <x:v>dg-wq-0027</x:v>
      </x:c>
      <x:c r="I378" s="5" t="str">
        <x:v>2.3.5</x:v>
      </x:c>
      <x:c r="J378" s="5" t="str">
        <x:v>Vergleich von Vollkosten- und Teilkostenrechnung</x:v>
      </x:c>
      <x:c r="K378" s="5" t="str"/>
      <x:c r="L378" s="5" t="str">
        <x:v>Teilkostenrechnung, Deckungsbeitrag &amp; Break-even</x:v>
      </x:c>
      <x:c r="M378" s="5" t="n">
        <x:v>40</x:v>
      </x:c>
      <x:c r="N378" s="5" t="n">
        <x:v>9</x:v>
      </x:c>
      <x:c r="O378" s="5" t="str"/>
      <x:c r="P378" s="5" t="str">
        <x:v>Zuordnungsvorschlag; Fachfreigabe ausstehend</x:v>
      </x:c>
      <x:c r="Q378" s="5" t="str">
        <x:v>Bestehendes Lernthema fachlich unter passendem Rahmenplan-Unterbereich behalten</x:v>
      </x:c>
      <x:c r="R378" s="5" t="str">
        <x:v>Ergänzen Sie den Lückentext zu variablen Kosten, Fixkosten und Kapazitätsgrenze.</x:v>
      </x:c>
      <x:c r="S378" s="5" t="str">
        <x:v>bd706bab7c47250f987dcc825ec4a07f1c231ccd583f84d2d6082a4e377727f3</x:v>
      </x:c>
    </x:row>
    <x:row r="379" ht="36" customHeight="1">
      <x:c r="A379" s="5" t="str">
        <x:v>BR-0090</x:v>
      </x:c>
      <x:c r="B379" s="5" t="str">
        <x:v>WQ</x:v>
      </x:c>
      <x:c r="C379" s="5" t="str">
        <x:v>2</x:v>
      </x:c>
      <x:c r="D379" s="5" t="str">
        <x:v>Rechnungswesen</x:v>
      </x:c>
      <x:c r="E379" s="5" t="str">
        <x:v>Rechnungswesen</x:v>
      </x:c>
      <x:c r="F379" s="5" t="str">
        <x:v>ui-wq-0007</x:v>
      </x:c>
      <x:c r="G379" s="5" t="str">
        <x:v>Kosten- und Leistungsrechnung</x:v>
      </x:c>
      <x:c r="H379" s="5" t="str">
        <x:v>dg-wq-0027</x:v>
      </x:c>
      <x:c r="I379" s="5" t="str">
        <x:v>2.3.5</x:v>
      </x:c>
      <x:c r="J379" s="5" t="str">
        <x:v>Vergleich von Vollkosten- und Teilkostenrechnung</x:v>
      </x:c>
      <x:c r="K379" s="5" t="str"/>
      <x:c r="L379" s="5" t="str">
        <x:v>Teilkostenrechnung, Deckungsbeitrag &amp; Break-even</x:v>
      </x:c>
      <x:c r="M379" s="5" t="n">
        <x:v>41</x:v>
      </x:c>
      <x:c r="N379" s="5" t="n">
        <x:v>10</x:v>
      </x:c>
      <x:c r="O379" s="5" t="str"/>
      <x:c r="P379" s="5" t="str">
        <x:v>Zuordnungsvorschlag; Fachfreigabe ausstehend</x:v>
      </x:c>
      <x:c r="Q379" s="5" t="str">
        <x:v>Bestehendes Lernthema fachlich unter passendem Rahmenplan-Unterbereich behalten</x:v>
      </x:c>
      <x:c r="R379" s="5" t="str">
        <x:v>Fallbezug: Die folgenden betrieblichen Angaben und Situationen beziehen sich auf die Circle Harbor GmbH.
Berechnen Sie die Fixkosten und die variablen Kosten pro Stück. Analysieren Sie anschließend die Ergebnisverschlechterung anhand der Absatzmenge, des Verkaufspreises und der variablen Stückkosten.</x:v>
      </x:c>
      <x:c r="S379" s="5" t="str">
        <x:v>417753080759aaece6af25c134e2d915b8fa9accb138d1338c029d36d15c5e2d</x:v>
      </x:c>
    </x:row>
    <x:row r="380" ht="36" customHeight="1">
      <x:c r="A380" s="5" t="str">
        <x:v>BR-0091</x:v>
      </x:c>
      <x:c r="B380" s="5" t="str">
        <x:v>WQ</x:v>
      </x:c>
      <x:c r="C380" s="5" t="str">
        <x:v>2</x:v>
      </x:c>
      <x:c r="D380" s="5" t="str">
        <x:v>Rechnungswesen</x:v>
      </x:c>
      <x:c r="E380" s="5" t="str">
        <x:v>Rechnungswesen</x:v>
      </x:c>
      <x:c r="F380" s="5" t="str">
        <x:v>ui-wq-0007</x:v>
      </x:c>
      <x:c r="G380" s="5" t="str">
        <x:v>Kosten- und Leistungsrechnung</x:v>
      </x:c>
      <x:c r="H380" s="5" t="str">
        <x:v>dg-wq-0027</x:v>
      </x:c>
      <x:c r="I380" s="5" t="str">
        <x:v>2.3.5</x:v>
      </x:c>
      <x:c r="J380" s="5" t="str">
        <x:v>Vergleich von Vollkosten- und Teilkostenrechnung</x:v>
      </x:c>
      <x:c r="K380" s="5" t="str"/>
      <x:c r="L380" s="5" t="str">
        <x:v>Teilkostenrechnung, Deckungsbeitrag &amp; Break-even</x:v>
      </x:c>
      <x:c r="M380" s="5" t="n">
        <x:v>42</x:v>
      </x:c>
      <x:c r="N380" s="5" t="n">
        <x:v>11</x:v>
      </x:c>
      <x:c r="O380" s="5" t="str"/>
      <x:c r="P380" s="5" t="str">
        <x:v>Zuordnungsvorschlag; Fachfreigabe ausstehend</x:v>
      </x:c>
      <x:c r="Q380" s="5" t="str">
        <x:v>Bestehendes Lernthema fachlich unter passendem Rahmenplan-Unterbereich behalten</x:v>
      </x:c>
      <x:c r="R380" s="5" t="str">
        <x:v>Fallbezug: Die folgenden betrieblichen Angaben und Situationen beziehen sich auf die Circle Harbor GmbH.
Berechnen Sie die Break-even-Menge. Ermitteln Sie außerdem die Break-even-Menge, wenn die Kostensteigerung auf höhere fixe Kosten bzw. auf höhere variable Kosten zurückzuführen ist.</x:v>
      </x:c>
      <x:c r="S380" s="5" t="str">
        <x:v>87eaa2a48ab4b00e403bf25b84c008c883dec4eaaf79541ad54ac53d05802752</x:v>
      </x:c>
    </x:row>
    <x:row r="381" ht="36" customHeight="1">
      <x:c r="A381" s="5" t="str">
        <x:v>BR-0092</x:v>
      </x:c>
      <x:c r="B381" s="5" t="str">
        <x:v>WQ</x:v>
      </x:c>
      <x:c r="C381" s="5" t="str">
        <x:v>2</x:v>
      </x:c>
      <x:c r="D381" s="5" t="str">
        <x:v>Rechnungswesen</x:v>
      </x:c>
      <x:c r="E381" s="5" t="str">
        <x:v>Rechnungswesen</x:v>
      </x:c>
      <x:c r="F381" s="5" t="str">
        <x:v>ui-wq-0007</x:v>
      </x:c>
      <x:c r="G381" s="5" t="str">
        <x:v>Kosten- und Leistungsrechnung</x:v>
      </x:c>
      <x:c r="H381" s="5" t="str">
        <x:v>dg-wq-0027</x:v>
      </x:c>
      <x:c r="I381" s="5" t="str">
        <x:v>2.3.5.2</x:v>
      </x:c>
      <x:c r="J381" s="5" t="str">
        <x:v>Absolute einstufige Deckungsbeitragsrechnung</x:v>
      </x:c>
      <x:c r="K381" s="5" t="str"/>
      <x:c r="L381" s="5" t="str">
        <x:v>Teilkostenrechnung, Deckungsbeitrag &amp; Break-even</x:v>
      </x:c>
      <x:c r="M381" s="5" t="n">
        <x:v>43</x:v>
      </x:c>
      <x:c r="N381" s="5" t="n">
        <x:v>12</x:v>
      </x:c>
      <x:c r="O381" s="5" t="str"/>
      <x:c r="P381" s="5" t="str">
        <x:v>Zuordnungsvorschlag; Fachfreigabe ausstehend</x:v>
      </x:c>
      <x:c r="Q381" s="5" t="str">
        <x:v>Bestehendes Lernthema fachlich unter passendem Rahmenplan-Unterbereich behalten</x:v>
      </x:c>
      <x:c r="R381" s="5" t="str">
        <x:v>Fallbezug: Die folgenden betrieblichen Angaben und Situationen beziehen sich auf die Circle Harbor GmbH.
Berechnen Sie die fehlenden Werte der Deckungsbeitragsrechnung und ermitteln Sie das Betriebsergebnis bei Fixkosten von 883.000 €.</x:v>
      </x:c>
      <x:c r="S381" s="5" t="str">
        <x:v>48fa1b2419bc115c590effb19ef2a8eb9e366a803a461d1625346dc816a71f4a</x:v>
      </x:c>
    </x:row>
    <x:row r="382" ht="36" customHeight="1">
      <x:c r="A382" s="5" t="str">
        <x:v>BR-0093</x:v>
      </x:c>
      <x:c r="B382" s="5" t="str">
        <x:v>WQ</x:v>
      </x:c>
      <x:c r="C382" s="5" t="str">
        <x:v>2</x:v>
      </x:c>
      <x:c r="D382" s="5" t="str">
        <x:v>Rechnungswesen</x:v>
      </x:c>
      <x:c r="E382" s="5" t="str">
        <x:v>Rechnungswesen</x:v>
      </x:c>
      <x:c r="F382" s="5" t="str">
        <x:v>ui-wq-0007</x:v>
      </x:c>
      <x:c r="G382" s="5" t="str">
        <x:v>Kosten- und Leistungsrechnung</x:v>
      </x:c>
      <x:c r="H382" s="5" t="str">
        <x:v>dg-wq-0027</x:v>
      </x:c>
      <x:c r="I382" s="5" t="str">
        <x:v>2.3.5</x:v>
      </x:c>
      <x:c r="J382" s="5" t="str">
        <x:v>Vergleich von Vollkosten- und Teilkostenrechnung</x:v>
      </x:c>
      <x:c r="K382" s="5" t="str"/>
      <x:c r="L382" s="5" t="str">
        <x:v>Teilkostenrechnung, Deckungsbeitrag &amp; Break-even</x:v>
      </x:c>
      <x:c r="M382" s="5" t="n">
        <x:v>44</x:v>
      </x:c>
      <x:c r="N382" s="5" t="n">
        <x:v>13</x:v>
      </x:c>
      <x:c r="O382" s="5" t="str"/>
      <x:c r="P382" s="5" t="str">
        <x:v>Zuordnungsvorschlag; Fachfreigabe ausstehend</x:v>
      </x:c>
      <x:c r="Q382" s="5" t="str">
        <x:v>Bestehendes Lernthema fachlich unter passendem Rahmenplan-Unterbereich behalten</x:v>
      </x:c>
      <x:c r="R382" s="5" t="str">
        <x:v>Beschriften Sie die Grafik zum Break-even-Point mit den passenden Begriffen.</x:v>
      </x:c>
      <x:c r="S382" s="5" t="str">
        <x:v>11328690c360a90d6274f8c4042bec5e87b8744d170334b0caf3e85315601a5f</x:v>
      </x:c>
    </x:row>
    <x:row r="383" ht="36" customHeight="1">
      <x:c r="A383" s="5" t="str">
        <x:v>BR-0094</x:v>
      </x:c>
      <x:c r="B383" s="5" t="str">
        <x:v>WQ</x:v>
      </x:c>
      <x:c r="C383" s="5" t="str">
        <x:v>2</x:v>
      </x:c>
      <x:c r="D383" s="5" t="str">
        <x:v>Rechnungswesen</x:v>
      </x:c>
      <x:c r="E383" s="5" t="str">
        <x:v>Rechnungswesen</x:v>
      </x:c>
      <x:c r="F383" s="5" t="str">
        <x:v>ui-wq-0007</x:v>
      </x:c>
      <x:c r="G383" s="5" t="str">
        <x:v>Kosten- und Leistungsrechnung</x:v>
      </x:c>
      <x:c r="H383" s="5" t="str">
        <x:v>dg-wq-0027</x:v>
      </x:c>
      <x:c r="I383" s="5" t="str">
        <x:v>2.3.5</x:v>
      </x:c>
      <x:c r="J383" s="5" t="str">
        <x:v>Vergleich von Vollkosten- und Teilkostenrechnung</x:v>
      </x:c>
      <x:c r="K383" s="5" t="str"/>
      <x:c r="L383" s="5" t="str">
        <x:v>Teilkostenrechnung, Deckungsbeitrag &amp; Break-even</x:v>
      </x:c>
      <x:c r="M383" s="5" t="n">
        <x:v>45</x:v>
      </x:c>
      <x:c r="N383" s="5" t="n">
        <x:v>14</x:v>
      </x:c>
      <x:c r="O383" s="5" t="str"/>
      <x:c r="P383" s="5" t="str">
        <x:v>Zuordnungsvorschlag; Fachfreigabe ausstehend</x:v>
      </x:c>
      <x:c r="Q383" s="5" t="str">
        <x:v>Bestehendes Lernthema fachlich unter passendem Rahmenplan-Unterbereich behalten</x:v>
      </x:c>
      <x:c r="R383" s="5" t="str">
        <x:v>Fallbezug: Die folgenden betrieblichen Angaben und Situationen beziehen sich auf die Circle Harbor GmbH.
Leiten Sie aus den Angaben zur Kostensituation die restlichen Werte bei 100 % und 75 % Beschäftigungsgrad ab.</x:v>
      </x:c>
      <x:c r="S383" s="5" t="str">
        <x:v>3699062b198c51de2a1e14a6f673982557917251cf5b9744ab328205343b20e3</x:v>
      </x:c>
    </x:row>
    <x:row r="384" ht="36" customHeight="1">
      <x:c r="A384" s="5" t="str">
        <x:v>BR-0095</x:v>
      </x:c>
      <x:c r="B384" s="5" t="str">
        <x:v>WQ</x:v>
      </x:c>
      <x:c r="C384" s="5" t="str">
        <x:v>2</x:v>
      </x:c>
      <x:c r="D384" s="5" t="str">
        <x:v>Rechnungswesen</x:v>
      </x:c>
      <x:c r="E384" s="5" t="str">
        <x:v>Rechnungswesen</x:v>
      </x:c>
      <x:c r="F384" s="5" t="str">
        <x:v>ui-wq-0007</x:v>
      </x:c>
      <x:c r="G384" s="5" t="str">
        <x:v>Kosten- und Leistungsrechnung</x:v>
      </x:c>
      <x:c r="H384" s="5" t="str">
        <x:v>dg-wq-0027</x:v>
      </x:c>
      <x:c r="I384" s="5" t="str">
        <x:v>2.3.5</x:v>
      </x:c>
      <x:c r="J384" s="5" t="str">
        <x:v>Vergleich von Vollkosten- und Teilkostenrechnung</x:v>
      </x:c>
      <x:c r="K384" s="5" t="str"/>
      <x:c r="L384" s="5" t="str">
        <x:v>Teilkostenrechnung, Deckungsbeitrag &amp; Break-even</x:v>
      </x:c>
      <x:c r="M384" s="5" t="n">
        <x:v>46</x:v>
      </x:c>
      <x:c r="N384" s="5" t="n">
        <x:v>15</x:v>
      </x:c>
      <x:c r="O384" s="5" t="str"/>
      <x:c r="P384" s="5" t="str">
        <x:v>Zuordnungsvorschlag; Fachfreigabe ausstehend</x:v>
      </x:c>
      <x:c r="Q384" s="5" t="str">
        <x:v>Bestehendes Lernthema fachlich unter passendem Rahmenplan-Unterbereich behalten</x:v>
      </x:c>
      <x:c r="R384" s="5" t="str">
        <x:v>Fallbezug: Die folgenden betrieblichen Angaben und Situationen beziehen sich auf die Circle Harbor GmbH.
Berechnen Sie die Break-even-Menge bei einem Nettoverkaufspreis von 3,90 € je Stück. Berechnen Sie außerdem den Mindestpreis, wenn durch eine Preissenkung ein Beschäftigungsgrad von 90 % erreicht werden soll, ohne die Ergebnissituation gegenüber Februar zu verschlechtern.</x:v>
      </x:c>
      <x:c r="S384" s="5" t="str">
        <x:v>7effe93f519ee3768fad0fbd20361ce0037211bd3ea9f25cc7c018d6f647895b</x:v>
      </x:c>
    </x:row>
    <x:row r="385" ht="36" customHeight="1">
      <x:c r="A385" s="5" t="str">
        <x:v>BR-0096</x:v>
      </x:c>
      <x:c r="B385" s="5" t="str">
        <x:v>WQ</x:v>
      </x:c>
      <x:c r="C385" s="5" t="str">
        <x:v>2</x:v>
      </x:c>
      <x:c r="D385" s="5" t="str">
        <x:v>Rechnungswesen</x:v>
      </x:c>
      <x:c r="E385" s="5" t="str">
        <x:v>Rechnungswesen</x:v>
      </x:c>
      <x:c r="F385" s="5" t="str">
        <x:v>ui-wq-0007</x:v>
      </x:c>
      <x:c r="G385" s="5" t="str">
        <x:v>Kosten- und Leistungsrechnung</x:v>
      </x:c>
      <x:c r="H385" s="5" t="str">
        <x:v>dg-wq-0027</x:v>
      </x:c>
      <x:c r="I385" s="5" t="str">
        <x:v>2.3.5</x:v>
      </x:c>
      <x:c r="J385" s="5" t="str">
        <x:v>Vergleich von Vollkosten- und Teilkostenrechnung</x:v>
      </x:c>
      <x:c r="K385" s="5" t="str"/>
      <x:c r="L385" s="5" t="str">
        <x:v>Teilkostenrechnung, Deckungsbeitrag &amp; Break-even</x:v>
      </x:c>
      <x:c r="M385" s="5" t="n">
        <x:v>47</x:v>
      </x:c>
      <x:c r="N385" s="5" t="n">
        <x:v>16</x:v>
      </x:c>
      <x:c r="O385" s="5" t="str"/>
      <x:c r="P385" s="5" t="str">
        <x:v>Zuordnungsvorschlag; Fachfreigabe ausstehend</x:v>
      </x:c>
      <x:c r="Q385" s="5" t="str">
        <x:v>Bestehendes Lernthema fachlich unter passendem Rahmenplan-Unterbereich behalten</x:v>
      </x:c>
      <x:c r="R385" s="5" t="str">
        <x:v>Fallbezug: Die folgenden betrieblichen Angaben und Situationen beziehen sich auf die Circle Harbor GmbH.
Prüfen Sie rechnerisch, ob ein einmaliger Zusatzauftrag über 10.000 Stück zu 5 € je Stück angenommen werden sollte.</x:v>
      </x:c>
      <x:c r="S385" s="5" t="str">
        <x:v>4612c08f39bf1401406989f590a3e75d133316620b6d4b2789907e49487cc8d6</x:v>
      </x:c>
    </x:row>
    <x:row r="386" ht="36" customHeight="1">
      <x:c r="A386" s="5" t="str">
        <x:v>BR-0097</x:v>
      </x:c>
      <x:c r="B386" s="5" t="str">
        <x:v>WQ</x:v>
      </x:c>
      <x:c r="C386" s="5" t="str">
        <x:v>2</x:v>
      </x:c>
      <x:c r="D386" s="5" t="str">
        <x:v>Rechnungswesen</x:v>
      </x:c>
      <x:c r="E386" s="5" t="str">
        <x:v>Rechnungswesen</x:v>
      </x:c>
      <x:c r="F386" s="5" t="str">
        <x:v>ui-wq-0008</x:v>
      </x:c>
      <x:c r="G386" s="5" t="str">
        <x:v>Auswertung der betriebswirtschaftlichen Zahlen</x:v>
      </x:c>
      <x:c r="H386" s="5" t="str">
        <x:v>dg-wq-0041</x:v>
      </x:c>
      <x:c r="I386" s="5" t="str">
        <x:v>2.4.2</x:v>
      </x:c>
      <x:c r="J386" s="5" t="str">
        <x:v>Rentabilitätsrechnungen</x:v>
      </x:c>
      <x:c r="K386" s="5" t="str"/>
      <x:c r="L386" s="5" t="str">
        <x:v>Auswertung &amp; Rentabilitätsrechnungen</x:v>
      </x:c>
      <x:c r="M386" s="5" t="n">
        <x:v>1</x:v>
      </x:c>
      <x:c r="N386" s="5" t="n">
        <x:v>1</x:v>
      </x:c>
      <x:c r="O386" s="5" t="str"/>
      <x:c r="P386" s="5" t="str">
        <x:v>Zuordnungsvorschlag; Fachfreigabe ausstehend</x:v>
      </x:c>
      <x:c r="Q386" s="5" t="str">
        <x:v>Bestehendes Lernthema fachlich unter passendem Rahmenplan-Unterbereich behalten</x:v>
      </x:c>
      <x:c r="R386" s="5" t="str">
        <x:v>Fallbezug: Die folgenden betrieblichen Angaben und Situationen beziehen sich auf die Circle Harbor GmbH.
Ordnen Sie die Kennzahlen der passenden Formel zu und berechnen Sie den Wert.</x:v>
      </x:c>
      <x:c r="S386" s="5" t="str">
        <x:v>4de6c3a345d8e37251aef4fcead7e3e3b65973fe2a81f694eb06b04962b9c4a3</x:v>
      </x:c>
    </x:row>
    <x:row r="387" ht="36" customHeight="1">
      <x:c r="A387" s="5" t="str">
        <x:v>BR-0098</x:v>
      </x:c>
      <x:c r="B387" s="5" t="str">
        <x:v>WQ</x:v>
      </x:c>
      <x:c r="C387" s="5" t="str">
        <x:v>2</x:v>
      </x:c>
      <x:c r="D387" s="5" t="str">
        <x:v>Rechnungswesen</x:v>
      </x:c>
      <x:c r="E387" s="5" t="str">
        <x:v>Rechnungswesen</x:v>
      </x:c>
      <x:c r="F387" s="5" t="str">
        <x:v>ui-wq-0008</x:v>
      </x:c>
      <x:c r="G387" s="5" t="str">
        <x:v>Auswertung der betriebswirtschaftlichen Zahlen</x:v>
      </x:c>
      <x:c r="H387" s="5" t="str">
        <x:v>dg-wq-0041</x:v>
      </x:c>
      <x:c r="I387" s="5" t="str">
        <x:v>2.4.2</x:v>
      </x:c>
      <x:c r="J387" s="5" t="str">
        <x:v>Rentabilitätsrechnungen</x:v>
      </x:c>
      <x:c r="K387" s="5" t="str"/>
      <x:c r="L387" s="5" t="str">
        <x:v>Auswertung &amp; Rentabilitätsrechnungen</x:v>
      </x:c>
      <x:c r="M387" s="5" t="n">
        <x:v>2</x:v>
      </x:c>
      <x:c r="N387" s="5" t="n">
        <x:v>2</x:v>
      </x:c>
      <x:c r="O387" s="5" t="str"/>
      <x:c r="P387" s="5" t="str">
        <x:v>Zuordnungsvorschlag; Fachfreigabe ausstehend</x:v>
      </x:c>
      <x:c r="Q387" s="5" t="str">
        <x:v>Bestehendes Lernthema fachlich unter passendem Rahmenplan-Unterbereich behalten</x:v>
      </x:c>
      <x:c r="R387" s="5" t="str">
        <x:v>Fallbezug: Die folgenden betrieblichen Angaben und Situationen beziehen sich auf die Circle Harbor GmbH.
Berechnen Sie die Eigenkapitalrentabilität und die Gesamtkapitalrentabilität des Jahres 20yy.</x:v>
      </x:c>
      <x:c r="S387" s="5" t="str">
        <x:v>bf23c3fb0939fdd1e87d8dc9aff97513aaf3a8ceb88f5737780f10d1d856cdc8</x:v>
      </x:c>
    </x:row>
    <x:row r="388" ht="36" customHeight="1">
      <x:c r="A388" s="5" t="str">
        <x:v>BR-0099</x:v>
      </x:c>
      <x:c r="B388" s="5" t="str">
        <x:v>WQ</x:v>
      </x:c>
      <x:c r="C388" s="5" t="str">
        <x:v>2</x:v>
      </x:c>
      <x:c r="D388" s="5" t="str">
        <x:v>Rechnungswesen</x:v>
      </x:c>
      <x:c r="E388" s="5" t="str">
        <x:v>Rechnungswesen</x:v>
      </x:c>
      <x:c r="F388" s="5" t="str">
        <x:v>ui-wq-0008</x:v>
      </x:c>
      <x:c r="G388" s="5" t="str">
        <x:v>Auswertung der betriebswirtschaftlichen Zahlen</x:v>
      </x:c>
      <x:c r="H388" s="5" t="str">
        <x:v>dg-wq-0041</x:v>
      </x:c>
      <x:c r="I388" s="5" t="str">
        <x:v>2.4.2</x:v>
      </x:c>
      <x:c r="J388" s="5" t="str">
        <x:v>Rentabilitätsrechnungen</x:v>
      </x:c>
      <x:c r="K388" s="5" t="str"/>
      <x:c r="L388" s="5" t="str">
        <x:v>Auswertung &amp; Rentabilitätsrechnungen</x:v>
      </x:c>
      <x:c r="M388" s="5" t="n">
        <x:v>3</x:v>
      </x:c>
      <x:c r="N388" s="5" t="n">
        <x:v>3</x:v>
      </x:c>
      <x:c r="O388" s="5" t="str"/>
      <x:c r="P388" s="5" t="str">
        <x:v>Zuordnungsvorschlag; Fachfreigabe ausstehend</x:v>
      </x:c>
      <x:c r="Q388" s="5" t="str">
        <x:v>Bestehendes Lernthema fachlich unter passendem Rahmenplan-Unterbereich behalten</x:v>
      </x:c>
      <x:c r="R388" s="5" t="str">
        <x:v>Fallbezug: Die folgenden betrieblichen Angaben und Situationen beziehen sich auf die Circle Harbor GmbH.
Berechnen Sie Umsatzrentabilität, Eigenkapitalrentabilität und Gesamtkapitalrentabilität für die Jahre 20xx, 20yy und 20zz. Beurteilen Sie außerdem den Einfluss eines steigenden Fremdkapitalzinses auf Eigenkapital- und Gesamtkapitalrentabilität.</x:v>
      </x:c>
      <x:c r="S388" s="5" t="str">
        <x:v>64302e1a5ab90d94702e0326ef0d6e1ae64d51201f8b30e5295da28e0e4748b3</x:v>
      </x:c>
    </x:row>
    <x:row r="389" ht="36" customHeight="1">
      <x:c r="A389" s="5" t="str">
        <x:v>BR-0100</x:v>
      </x:c>
      <x:c r="B389" s="5" t="str">
        <x:v>WQ</x:v>
      </x:c>
      <x:c r="C389" s="5" t="str">
        <x:v>2</x:v>
      </x:c>
      <x:c r="D389" s="5" t="str">
        <x:v>Rechnungswesen</x:v>
      </x:c>
      <x:c r="E389" s="5" t="str">
        <x:v>Rechnungswesen</x:v>
      </x:c>
      <x:c r="F389" s="5" t="str">
        <x:v>ui-wq-0008</x:v>
      </x:c>
      <x:c r="G389" s="5" t="str">
        <x:v>Auswertung der betriebswirtschaftlichen Zahlen</x:v>
      </x:c>
      <x:c r="H389" s="5" t="str">
        <x:v>dg-wq-0041</x:v>
      </x:c>
      <x:c r="I389" s="5" t="str">
        <x:v>2.4.2</x:v>
      </x:c>
      <x:c r="J389" s="5" t="str">
        <x:v>Rentabilitätsrechnungen</x:v>
      </x:c>
      <x:c r="K389" s="5" t="str"/>
      <x:c r="L389" s="5" t="str">
        <x:v>Auswertung &amp; Rentabilitätsrechnungen</x:v>
      </x:c>
      <x:c r="M389" s="5" t="n">
        <x:v>4</x:v>
      </x:c>
      <x:c r="N389" s="5" t="n">
        <x:v>4</x:v>
      </x:c>
      <x:c r="O389" s="5" t="str"/>
      <x:c r="P389" s="5" t="str">
        <x:v>Zuordnungsvorschlag; Fachfreigabe ausstehend</x:v>
      </x:c>
      <x:c r="Q389" s="5" t="str">
        <x:v>Bestehendes Lernthema fachlich unter passendem Rahmenplan-Unterbereich behalten</x:v>
      </x:c>
      <x:c r="R389" s="5" t="str">
        <x:v>Circle Harbor ersetzt 1.000.000 € Eigenkapital durch langfristiges Fremdkapital bei unverändertem Fremdkapitalzins von 3,8 %. Berechnen Sie die alte und neue Eigenkapitalrentabilität sowie die Gesamtkapitalrentabilität und erläutern Sie die Auswirkungen.</x:v>
      </x:c>
      <x:c r="S389" s="5" t="str">
        <x:v>01adbe0a23fe59facb71e3263168b50ab449b0f92497f10d06e4be4569d4e8f0</x:v>
      </x:c>
    </x:row>
    <x:row r="390" ht="36" customHeight="1">
      <x:c r="A390" s="5" t="str">
        <x:v>BR-0101</x:v>
      </x:c>
      <x:c r="B390" s="5" t="str">
        <x:v>WQ</x:v>
      </x:c>
      <x:c r="C390" s="5" t="str">
        <x:v>2</x:v>
      </x:c>
      <x:c r="D390" s="5" t="str">
        <x:v>Rechnungswesen</x:v>
      </x:c>
      <x:c r="E390" s="5" t="str">
        <x:v>Rechnungswesen</x:v>
      </x:c>
      <x:c r="F390" s="5" t="str">
        <x:v>ui-wq-0009</x:v>
      </x:c>
      <x:c r="G390" s="5" t="str">
        <x:v>Planungsrechnung</x:v>
      </x:c>
      <x:c r="H390" s="5" t="str">
        <x:v>dg-wq-0029</x:v>
      </x:c>
      <x:c r="I390" s="5" t="str">
        <x:v>2.5.1</x:v>
      </x:c>
      <x:c r="J390" s="5" t="str">
        <x:v>Inhalt der Planungsrechnung</x:v>
      </x:c>
      <x:c r="K390" s="5" t="str"/>
      <x:c r="L390" s="5" t="str">
        <x:v>Planungsrechnung</x:v>
      </x:c>
      <x:c r="M390" s="5" t="n">
        <x:v>2</x:v>
      </x:c>
      <x:c r="N390" s="5" t="n">
        <x:v>2</x:v>
      </x:c>
      <x:c r="O390" s="5" t="str"/>
      <x:c r="P390" s="5" t="str">
        <x:v>Zuordnungsvorschlag; Fachfreigabe ausstehend</x:v>
      </x:c>
      <x:c r="Q390" s="5" t="str">
        <x:v>Bestehendes Lernthema fachlich unter passendem Rahmenplan-Unterbereich behalten</x:v>
      </x:c>
      <x:c r="R390" s="5" t="str">
        <x:v>Ordnen Sie die Inhalte den jeweiligen Teilplänen der Unternehmensplanung zu.</x:v>
      </x:c>
      <x:c r="S390" s="5" t="str">
        <x:v>070c6c5c4ab002c475f262964d6ba78bf1a400647b877f6d8c97f89517b9a046</x:v>
      </x:c>
    </x:row>
    <x:row r="391" ht="36" customHeight="1">
      <x:c r="A391" s="5" t="str">
        <x:v>BR-0102</x:v>
      </x:c>
      <x:c r="B391" s="5" t="str">
        <x:v>WQ</x:v>
      </x:c>
      <x:c r="C391" s="5" t="str">
        <x:v>2</x:v>
      </x:c>
      <x:c r="D391" s="5" t="str">
        <x:v>Rechnungswesen</x:v>
      </x:c>
      <x:c r="E391" s="5" t="str">
        <x:v>Rechnungswesen</x:v>
      </x:c>
      <x:c r="F391" s="5" t="str">
        <x:v>ui-wq-0009</x:v>
      </x:c>
      <x:c r="G391" s="5" t="str">
        <x:v>Planungsrechnung</x:v>
      </x:c>
      <x:c r="H391" s="5" t="str">
        <x:v>dg-wq-0029</x:v>
      </x:c>
      <x:c r="I391" s="5" t="str">
        <x:v>2.5.1</x:v>
      </x:c>
      <x:c r="J391" s="5" t="str">
        <x:v>Inhalt der Planungsrechnung</x:v>
      </x:c>
      <x:c r="K391" s="5" t="str"/>
      <x:c r="L391" s="5" t="str">
        <x:v>Planungsrechnung</x:v>
      </x:c>
      <x:c r="M391" s="5" t="n">
        <x:v>3</x:v>
      </x:c>
      <x:c r="N391" s="5" t="n">
        <x:v>3</x:v>
      </x:c>
      <x:c r="O391" s="5" t="str"/>
      <x:c r="P391" s="5" t="str">
        <x:v>Zuordnungsvorschlag; Fachfreigabe ausstehend</x:v>
      </x:c>
      <x:c r="Q391" s="5" t="str">
        <x:v>Bestehendes Lernthema fachlich unter passendem Rahmenplan-Unterbereich behalten</x:v>
      </x:c>
      <x:c r="R391" s="5" t="str">
        <x:v>Ordnen Sie die Planungsmethoden den passenden Beschreibungen zu.</x:v>
      </x:c>
      <x:c r="S391" s="5" t="str">
        <x:v>c5c1dc795d14223752328b1102209700db8a882ee9a4220fb5557c4face99d46</x:v>
      </x:c>
    </x:row>
    <x:row r="392" ht="36" customHeight="1">
      <x:c r="A392" s="5" t="str">
        <x:v>BR-0103</x:v>
      </x:c>
      <x:c r="B392" s="5" t="str">
        <x:v>WQ</x:v>
      </x:c>
      <x:c r="C392" s="5" t="str">
        <x:v>2</x:v>
      </x:c>
      <x:c r="D392" s="5" t="str">
        <x:v>Rechnungswesen</x:v>
      </x:c>
      <x:c r="E392" s="5" t="str">
        <x:v>Rechnungswesen</x:v>
      </x:c>
      <x:c r="F392" s="5" t="str">
        <x:v>ui-wq-0009</x:v>
      </x:c>
      <x:c r="G392" s="5" t="str">
        <x:v>Planungsrechnung</x:v>
      </x:c>
      <x:c r="H392" s="5" t="str">
        <x:v>dg-wq-0029</x:v>
      </x:c>
      <x:c r="I392" s="5" t="str">
        <x:v>2.5.1</x:v>
      </x:c>
      <x:c r="J392" s="5" t="str">
        <x:v>Inhalt der Planungsrechnung</x:v>
      </x:c>
      <x:c r="K392" s="5" t="str"/>
      <x:c r="L392" s="5" t="str">
        <x:v>Planungsrechnung</x:v>
      </x:c>
      <x:c r="M392" s="5" t="n">
        <x:v>4</x:v>
      </x:c>
      <x:c r="N392" s="5" t="n">
        <x:v>4</x:v>
      </x:c>
      <x:c r="O392" s="5" t="str"/>
      <x:c r="P392" s="5" t="str">
        <x:v>Zuordnungsvorschlag; Fachfreigabe ausstehend</x:v>
      </x:c>
      <x:c r="Q392" s="5" t="str">
        <x:v>Bestehendes Lernthema fachlich unter passendem Rahmenplan-Unterbereich behalten</x:v>
      </x:c>
      <x:c r="R392" s="5" t="str">
        <x:v>Ordnen Sie die im Fachbuch beispielhaft genannten Zeiträume den passenden Planungshorizonten zu.</x:v>
      </x:c>
      <x:c r="S392" s="5" t="str">
        <x:v>45b0640d03562ec35905c54ad4b6fb6632fde9e050a4c0cc3792dcbd18d55783</x:v>
      </x:c>
    </x:row>
    <x:row r="393" ht="36" customHeight="1">
      <x:c r="A393" s="5" t="str">
        <x:v>BR-0104</x:v>
      </x:c>
      <x:c r="B393" s="5" t="str">
        <x:v>WQ</x:v>
      </x:c>
      <x:c r="C393" s="5" t="str">
        <x:v>2</x:v>
      </x:c>
      <x:c r="D393" s="5" t="str">
        <x:v>Rechnungswesen</x:v>
      </x:c>
      <x:c r="E393" s="5" t="str">
        <x:v>Rechnungswesen</x:v>
      </x:c>
      <x:c r="F393" s="5" t="str">
        <x:v>ui-wq-0005</x:v>
      </x:c>
      <x:c r="G393" s="5" t="str">
        <x:v>Grundlegende Aspekte des Rechnungswesens</x:v>
      </x:c>
      <x:c r="H393" s="5" t="str">
        <x:v>dg-wq-0034</x:v>
      </x:c>
      <x:c r="I393" s="5" t="str">
        <x:v>2.1.4</x:v>
      </x:c>
      <x:c r="J393" s="5" t="str">
        <x:v>Bilanzierungs- und Bewertungsgrundsätze</x:v>
      </x:c>
      <x:c r="K393" s="5" t="str"/>
      <x:c r="L393" s="5" t="str">
        <x:v>GoB, Buchführungspflicht &amp; Bewertung</x:v>
      </x:c>
      <x:c r="M393" s="5" t="n">
        <x:v>24</x:v>
      </x:c>
      <x:c r="N393" s="5" t="n">
        <x:v>4</x:v>
      </x:c>
      <x:c r="O393" s="5" t="str"/>
      <x:c r="P393" s="5" t="str">
        <x:v>Zuordnungsvorschlag; Fachfreigabe ausstehend</x:v>
      </x:c>
      <x:c r="Q393" s="5" t="str">
        <x:v>Frageinhalt präzisiert bzw. teilt bisheriges Sammelthema</x:v>
      </x:c>
      <x:c r="R393" s="5" t="str">
        <x:v>Circle Harbor beschafft zu Jahresbeginn einen neuen Servicewagen. Der Nettolistenpreis beträgt 92.000 €, der Lieferant gewährt 10 % Rabatt. Anschaffungsnebenkosten fallen nicht an. Der Preisindex beträgt im Anschaffungsjahr 120 und wird für den voraussichtlichen Ersatzzeitpunkt mit 150 erwartet. Die handelsrechtlich zugrunde gelegte Nutzungsdauer beträgt 8 Jahre, intern wird mit 10 Jahren wirtschaftlicher Nutzung und einem Restwert von 4.000 € gerechnet. Ermitteln Sie a) die Anschaffungskosten, b) den erwarteten Wiederbeschaffungswert, c) die lineare jährliche bilanzielle Abschreibung und d) die jährliche kalkulatorische Abschreibung. Erläutern Sie kurz, warum die beiden Abschreibungsbeträge unterschiedliche Bemessungsgrundlagen verwenden.</x:v>
      </x:c>
      <x:c r="S393" s="5" t="str">
        <x:v>463fdeab330f3fc8b29016b78b4c1ee714d4dd1c9730ab8b085538753765143a</x:v>
      </x:c>
    </x:row>
    <x:row r="394" ht="36" customHeight="1">
      <x:c r="A394" s="5" t="str">
        <x:v>BR-0105</x:v>
      </x:c>
      <x:c r="B394" s="5" t="str">
        <x:v>WQ</x:v>
      </x:c>
      <x:c r="C394" s="5" t="str">
        <x:v>2</x:v>
      </x:c>
      <x:c r="D394" s="5" t="str">
        <x:v>Rechnungswesen</x:v>
      </x:c>
      <x:c r="E394" s="5" t="str">
        <x:v>Rechnungswesen</x:v>
      </x:c>
      <x:c r="F394" s="5" t="str">
        <x:v>ui-wq-0009</x:v>
      </x:c>
      <x:c r="G394" s="5" t="str">
        <x:v>Planungsrechnung</x:v>
      </x:c>
      <x:c r="H394" s="5" t="str">
        <x:v>dg-wq-0029</x:v>
      </x:c>
      <x:c r="I394" s="5" t="str">
        <x:v>2.5.1</x:v>
      </x:c>
      <x:c r="J394" s="5" t="str">
        <x:v>Inhalt der Planungsrechnung</x:v>
      </x:c>
      <x:c r="K394" s="5" t="str"/>
      <x:c r="L394" s="5" t="str">
        <x:v>Planungsrechnung</x:v>
      </x:c>
      <x:c r="M394" s="5" t="n">
        <x:v>5</x:v>
      </x:c>
      <x:c r="N394" s="5" t="n">
        <x:v>5</x:v>
      </x:c>
      <x:c r="O394" s="5" t="str"/>
      <x:c r="P394" s="5" t="str">
        <x:v>Zuordnungsvorschlag; Fachfreigabe ausstehend</x:v>
      </x:c>
      <x:c r="Q394" s="5" t="str">
        <x:v>Bestehendes Lernthema fachlich unter passendem Rahmenplan-Unterbereich behalten</x:v>
      </x:c>
      <x:c r="R394" s="5" t="str">
        <x:v>Circle Harbor plant für das nächste Geschäftsjahr eine Steigerung von Produktion und Absatz seiner urbanen Elektrofahrzeuge um 15 %. Die vorhandene Fertigungskapazität ist bereits vollständig ausgelastet. Nennen Sie für die drei Planungsbereiche Material, Fertigung und Vertrieb jeweils mindestens drei Kostenarten, die durch die geplante Ausweitung betroffen sein können. Begründen Sie für jeden Bereich, warum Kostenanpassungen zu erwarten sind.</x:v>
      </x:c>
      <x:c r="S394" s="5" t="str">
        <x:v>642818ca692475da2d8b1dec2f0a6af83f0d473bf6dd0c160929731bbd05eb7d</x:v>
      </x:c>
    </x:row>
    <x:row r="395" ht="36" customHeight="1">
      <x:c r="A395" s="5" t="str">
        <x:v>BR-0106</x:v>
      </x:c>
      <x:c r="B395" s="5" t="str">
        <x:v>WQ</x:v>
      </x:c>
      <x:c r="C395" s="5" t="str">
        <x:v>2</x:v>
      </x:c>
      <x:c r="D395" s="5" t="str">
        <x:v>Rechnungswesen</x:v>
      </x:c>
      <x:c r="E395" s="5" t="str">
        <x:v>Rechnungswesen</x:v>
      </x:c>
      <x:c r="F395" s="5" t="str">
        <x:v>ui-wq-0005</x:v>
      </x:c>
      <x:c r="G395" s="5" t="str">
        <x:v>Grundlegende Aspekte des Rechnungswesens</x:v>
      </x:c>
      <x:c r="H395" s="5" t="str">
        <x:v>dg-wq-0034</x:v>
      </x:c>
      <x:c r="I395" s="5" t="str">
        <x:v>2.1.4</x:v>
      </x:c>
      <x:c r="J395" s="5" t="str">
        <x:v>Bilanzierungs- und Bewertungsgrundsätze</x:v>
      </x:c>
      <x:c r="K395" s="5" t="str"/>
      <x:c r="L395" s="5" t="str">
        <x:v>GoB, Buchführungspflicht &amp; Bewertung</x:v>
      </x:c>
      <x:c r="M395" s="5" t="n">
        <x:v>25</x:v>
      </x:c>
      <x:c r="N395" s="5" t="n">
        <x:v>5</x:v>
      </x:c>
      <x:c r="O395" s="5" t="str"/>
      <x:c r="P395" s="5" t="str">
        <x:v>Zuordnungsvorschlag; Fachfreigabe ausstehend</x:v>
      </x:c>
      <x:c r="Q395" s="5" t="str">
        <x:v>Frageinhalt präzisiert bzw. teilt bisheriges Sammelthema</x:v>
      </x:c>
      <x:c r="R395" s="5" t="str">
        <x:v>Fallbezug: Die folgenden betrieblichen Angaben und Situationen beziehen sich auf die Circle Harbor GmbH.
Eine Maschine hat einen Nettolistenpreis von 120.000 €. Der Lieferant gewährt 10 % Rabatt. Transportkosten von 3.000 € und Montagekosten von 2.000 € fallen zusätzlich an. Die Maschine ist am 1. April betriebsbereit. Die Nutzungsdauer beträgt acht Jahre, die erwartete Gesamtleistung 50.000 Maschinenstunden und die Leistung im ersten Jahr 6.000 Stunden. Ermitteln Sie a) die Anschaffungskosten, b) die lineare Jahresabschreibung, c) die zeitanteilige lineare Abschreibung im ersten Jahr, d) alternativ die zeitanteilige degressive Abschreibung im ersten Jahr bei einem vorgegebenen Satz von 20 % und e) alternativ die leistungsabhängige Abschreibung im ersten Jahr. Erläutern Sie kurz die Unterschiede der drei Verfahren.</x:v>
      </x:c>
      <x:c r="S395" s="5" t="str">
        <x:v>f13a790ed37c7615e8b04642be6e8979c15edd81b2fded3787e469e76db90633</x:v>
      </x:c>
    </x:row>
    <x:row r="396" ht="36" customHeight="1">
      <x:c r="A396" s="5" t="str">
        <x:v>BR-0107</x:v>
      </x:c>
      <x:c r="B396" s="5" t="str">
        <x:v>WQ</x:v>
      </x:c>
      <x:c r="C396" s="5" t="str">
        <x:v>2</x:v>
      </x:c>
      <x:c r="D396" s="5" t="str">
        <x:v>Rechnungswesen</x:v>
      </x:c>
      <x:c r="E396" s="5" t="str">
        <x:v>Rechnungswesen</x:v>
      </x:c>
      <x:c r="F396" s="5" t="str">
        <x:v>ui-wq-0005</x:v>
      </x:c>
      <x:c r="G396" s="5" t="str">
        <x:v>Grundlegende Aspekte des Rechnungswesens</x:v>
      </x:c>
      <x:c r="H396" s="5" t="str">
        <x:v>dg-wq-0034</x:v>
      </x:c>
      <x:c r="I396" s="5" t="str">
        <x:v>2.1.4</x:v>
      </x:c>
      <x:c r="J396" s="5" t="str">
        <x:v>Bilanzierungs- und Bewertungsgrundsätze</x:v>
      </x:c>
      <x:c r="K396" s="5" t="str"/>
      <x:c r="L396" s="5" t="str">
        <x:v>GoB, Buchführungspflicht &amp; Bewertung</x:v>
      </x:c>
      <x:c r="M396" s="5" t="n">
        <x:v>26</x:v>
      </x:c>
      <x:c r="N396" s="5" t="n">
        <x:v>6</x:v>
      </x:c>
      <x:c r="O396" s="5" t="str"/>
      <x:c r="P396" s="5" t="str">
        <x:v>Zuordnungsvorschlag; Fachfreigabe ausstehend</x:v>
      </x:c>
      <x:c r="Q396" s="5" t="str">
        <x:v>Frageinhalt präzisiert bzw. teilt bisheriges Sammelthema</x:v>
      </x:c>
      <x:c r="R396" s="5" t="str">
        <x:v>Circle Harbor beschafft ohne Anfangsbestand 100 Stück zu 10 €, anschließend 150 Stück zu 12 € und zuletzt 100 Stück zu 14 €. Am Bilanzstichtag sind noch 120 Stück vorhanden. Berechnen Sie den Wert des Schlussbestands nach Fifo, Lifo und gewogenem Durchschnitt. Der Marktpreis am Bilanzstichtag beträgt 11 € je Stück. Bestimmen Sie anschließend für jede Methode den Bilanzansatz nach dem strengen Niederstwertprinzip.</x:v>
      </x:c>
      <x:c r="S396" s="5" t="str">
        <x:v>d4f25b784facc5538f14ad0b851f8a59545b6e2aeec0c2f63abe403e8a89c508</x:v>
      </x:c>
    </x:row>
    <x:row r="397" ht="36" customHeight="1">
      <x:c r="A397" s="5" t="str">
        <x:v>BR-0108</x:v>
      </x:c>
      <x:c r="B397" s="5" t="str">
        <x:v>WQ</x:v>
      </x:c>
      <x:c r="C397" s="5" t="str">
        <x:v>2</x:v>
      </x:c>
      <x:c r="D397" s="5" t="str">
        <x:v>Rechnungswesen</x:v>
      </x:c>
      <x:c r="E397" s="5" t="str">
        <x:v>Rechnungswesen</x:v>
      </x:c>
      <x:c r="F397" s="5" t="str">
        <x:v>ui-wq-0006</x:v>
      </x:c>
      <x:c r="G397" s="5" t="str">
        <x:v>Finanzbuchhaltung</x:v>
      </x:c>
      <x:c r="H397" s="5" t="str">
        <x:v>dg-wq-0030</x:v>
      </x:c>
      <x:c r="I397" s="5" t="str">
        <x:v>2.2.1</x:v>
      </x:c>
      <x:c r="J397" s="5" t="str">
        <x:v>Grundlagen</x:v>
      </x:c>
      <x:c r="K397" s="5" t="str"/>
      <x:c r="L397" s="5" t="str">
        <x:v>Finanzbuchhaltung &amp; Konten</x:v>
      </x:c>
      <x:c r="M397" s="5" t="n">
        <x:v>26</x:v>
      </x:c>
      <x:c r="N397" s="5" t="n">
        <x:v>12</x:v>
      </x:c>
      <x:c r="O397" s="5" t="str"/>
      <x:c r="P397" s="5" t="str">
        <x:v>Zuordnungsvorschlag; Fachfreigabe ausstehend</x:v>
      </x:c>
      <x:c r="Q397" s="5" t="str">
        <x:v>Bestehendes Lernthema fachlich unter passendem Rahmenplan-Unterbereich behalten</x:v>
      </x:c>
      <x:c r="R397" s="5" t="str">
        <x:v>Fallbezug: Die folgenden betrieblichen Angaben und Situationen beziehen sich auf die Circle Harbor GmbH.
Bildung und Abschluss von Bestands- und Erfolgskonten: Formulieren Sie ohne Umsatzsteuer die Buchungssätze für folgende Vorgänge und nennen Sie jeweils Bilanzwirkung oder Erfolgswirkung: 1. Rohstoffe werden für 20.000 € auf Ziel gekauft. 2. Die Lieferantenverbindlichkeit wird per Bank überwiesen. 3. Eine bereits erbrachte Dienstleistung wird bar mit 12.000 € bezahlt. 4. Auf eine Maschine werden 5.000 € abgeschrieben. Erläutern Sie anschließend, wie Bestands- und Erfolgskonten am Periodenende abgeschlossen werden.</x:v>
      </x:c>
      <x:c r="S397" s="5" t="str">
        <x:v>eae9833b5b9b1e4114082cb02ef63d1104e840d00c607444fb7253645979afc1</x:v>
      </x:c>
    </x:row>
    <x:row r="398" ht="36" customHeight="1">
      <x:c r="A398" s="5" t="str">
        <x:v>BR-0109</x:v>
      </x:c>
      <x:c r="B398" s="5" t="str">
        <x:v>WQ</x:v>
      </x:c>
      <x:c r="C398" s="5" t="str">
        <x:v>2</x:v>
      </x:c>
      <x:c r="D398" s="5" t="str">
        <x:v>Rechnungswesen</x:v>
      </x:c>
      <x:c r="E398" s="5" t="str">
        <x:v>Rechnungswesen</x:v>
      </x:c>
      <x:c r="F398" s="5" t="str">
        <x:v>ui-wq-0006</x:v>
      </x:c>
      <x:c r="G398" s="5" t="str">
        <x:v>Finanzbuchhaltung</x:v>
      </x:c>
      <x:c r="H398" s="5" t="str">
        <x:v>dg-wq-0030</x:v>
      </x:c>
      <x:c r="I398" s="5" t="str">
        <x:v>2.2.1</x:v>
      </x:c>
      <x:c r="J398" s="5" t="str">
        <x:v>Grundlagen</x:v>
      </x:c>
      <x:c r="K398" s="5" t="str"/>
      <x:c r="L398" s="5" t="str">
        <x:v>Finanzbuchhaltung &amp; Konten</x:v>
      </x:c>
      <x:c r="M398" s="5" t="n">
        <x:v>27</x:v>
      </x:c>
      <x:c r="N398" s="5" t="n">
        <x:v>13</x:v>
      </x:c>
      <x:c r="O398" s="5" t="str"/>
      <x:c r="P398" s="5" t="str">
        <x:v>Zuordnungsvorschlag; Fachfreigabe ausstehend</x:v>
      </x:c>
      <x:c r="Q398" s="5" t="str">
        <x:v>Bestehendes Lernthema fachlich unter passendem Rahmenplan-Unterbereich behalten</x:v>
      </x:c>
      <x:c r="R398" s="5" t="str">
        <x:v>Fallbezug: Die folgenden betrieblichen Angaben und Situationen beziehen sich auf die Circle Harbor GmbH.
Grenzen Sie Einzahlung, Einnahme, Ertrag und Leistung sowie Auszahlung, Ausgabe, Aufwand und Kosten voneinander ab. Ordnen Sie anschließend die zutreffenden Begriffe zu: 1. Aufnahme eines Bankdarlehens mit Gutschrift auf dem Bankkonto. 2. Einkauf von Rohstoffen auf Ziel, die zunächst eingelagert werden. 3. Spätere Bezahlung dieser Lieferantenrechnung. 4. Verkauf eigener Erzeugnisse auf Ziel. 5. Späterer Zahlungseingang der Kundenforderung. 6. Verbrauch der eingelagerten Rohstoffe in der Produktion.</x:v>
      </x:c>
      <x:c r="S398" s="5" t="str">
        <x:v>3ad90d321519950f7406ce07c525c3dff6c22d96671570b92f96320929d75f6d</x:v>
      </x:c>
    </x:row>
    <x:row r="399" ht="36" customHeight="1">
      <x:c r="A399" s="5" t="str">
        <x:v>BR-0110</x:v>
      </x:c>
      <x:c r="B399" s="5" t="str">
        <x:v>WQ</x:v>
      </x:c>
      <x:c r="C399" s="5" t="str">
        <x:v>2</x:v>
      </x:c>
      <x:c r="D399" s="5" t="str">
        <x:v>Rechnungswesen</x:v>
      </x:c>
      <x:c r="E399" s="5" t="str">
        <x:v>Rechnungswesen</x:v>
      </x:c>
      <x:c r="F399" s="5" t="str">
        <x:v>ui-wq-0007</x:v>
      </x:c>
      <x:c r="G399" s="5" t="str">
        <x:v>Kosten- und Leistungsrechnung</x:v>
      </x:c>
      <x:c r="H399" s="5" t="str">
        <x:v>dg-wq-0027</x:v>
      </x:c>
      <x:c r="I399" s="5" t="str">
        <x:v>2.3.5</x:v>
      </x:c>
      <x:c r="J399" s="5" t="str">
        <x:v>Vergleich von Vollkosten- und Teilkostenrechnung</x:v>
      </x:c>
      <x:c r="K399" s="5" t="str"/>
      <x:c r="L399" s="5" t="str">
        <x:v>Teilkostenrechnung, Deckungsbeitrag &amp; Break-even</x:v>
      </x:c>
      <x:c r="M399" s="5" t="n">
        <x:v>48</x:v>
      </x:c>
      <x:c r="N399" s="5" t="n">
        <x:v>17</x:v>
      </x:c>
      <x:c r="O399" s="5" t="str"/>
      <x:c r="P399" s="5" t="str">
        <x:v>Zuordnungsvorschlag; Fachfreigabe ausstehend</x:v>
      </x:c>
      <x:c r="Q399" s="5" t="str">
        <x:v>Bestehendes Lernthema fachlich unter passendem Rahmenplan-Unterbereich behalten</x:v>
      </x:c>
      <x:c r="R399" s="5" t="str">
        <x:v>Circle Harbor verfügt über eine maximale Kapazität von 10.000 Stück. Die fixen Periodenkosten betragen bis zu einer Menge von 8.000 Stück 120.000 €, die variablen Stückkosten 8 €. Berechnen Sie bei 6.000 und 8.000 Stück jeweils Beschäftigungsgrad, Gesamtkosten, Stückkosten und fixe Stückkosten. Ab 8.001 Stück werden zusätzliche fixe Kosten von 30.000 € ausgelöst. Berechnen Sie die Werte bei 9.000 Stück und erläutern Sie Fixkostendegression, sprungfixe Kosten und Fixkostenremanenz.</x:v>
      </x:c>
      <x:c r="S399" s="5" t="str">
        <x:v>225baee59815e22b11ad09d838605fecd906567abedac31a9d5b8bbd6e019f02</x:v>
      </x:c>
    </x:row>
    <x:row r="400" ht="36" customHeight="1">
      <x:c r="A400" s="5" t="str">
        <x:v>BR-0111</x:v>
      </x:c>
      <x:c r="B400" s="5" t="str">
        <x:v>WQ</x:v>
      </x:c>
      <x:c r="C400" s="5" t="str">
        <x:v>2</x:v>
      </x:c>
      <x:c r="D400" s="5" t="str">
        <x:v>Rechnungswesen</x:v>
      </x:c>
      <x:c r="E400" s="5" t="str">
        <x:v>Rechnungswesen</x:v>
      </x:c>
      <x:c r="F400" s="5" t="str">
        <x:v>ui-wq-0007</x:v>
      </x:c>
      <x:c r="G400" s="5" t="str">
        <x:v>Kosten- und Leistungsrechnung</x:v>
      </x:c>
      <x:c r="H400" s="5" t="str">
        <x:v>dg-wq-0027</x:v>
      </x:c>
      <x:c r="I400" s="5" t="str">
        <x:v>2.3.5</x:v>
      </x:c>
      <x:c r="J400" s="5" t="str">
        <x:v>Vergleich von Vollkosten- und Teilkostenrechnung</x:v>
      </x:c>
      <x:c r="K400" s="5" t="str"/>
      <x:c r="L400" s="5" t="str">
        <x:v>Teilkostenrechnung, Deckungsbeitrag &amp; Break-even</x:v>
      </x:c>
      <x:c r="M400" s="5" t="n">
        <x:v>49</x:v>
      </x:c>
      <x:c r="N400" s="5" t="n">
        <x:v>18</x:v>
      </x:c>
      <x:c r="O400" s="5" t="str"/>
      <x:c r="P400" s="5" t="str">
        <x:v>Zuordnungsvorschlag; Fachfreigabe ausstehend</x:v>
      </x:c>
      <x:c r="Q400" s="5" t="str">
        <x:v>Bestehendes Lernthema fachlich unter passendem Rahmenplan-Unterbereich behalten</x:v>
      </x:c>
      <x:c r="R400" s="5" t="str">
        <x:v>Circle Harbor verkauft ein Produkt für 50 € je Stück. Die variablen Stückkosten betragen 30 €, die fixen Periodenkosten 240.000 € und die maximale Kapazität 20.000 Stück. Berechnen Sie Stückdeckungsbeitrag, Deckungsbeitragsumsatzquote, Break-even-Menge, Break-even-Umsatz und Break-even-Beschäftigungsgrad. Ermitteln Sie außerdem Absatzmenge und Umsatz, die für einen Zielgewinn von 80.000 € erforderlich sind, und prüfen Sie die Kapazität.</x:v>
      </x:c>
      <x:c r="S400" s="5" t="str">
        <x:v>a5e42a6621ab00c34d7499a834a24bc98af1ec513884303713593d2e47763fda</x:v>
      </x:c>
    </x:row>
    <x:row r="401" ht="36" customHeight="1">
      <x:c r="A401" s="5" t="str">
        <x:v>BR-0112</x:v>
      </x:c>
      <x:c r="B401" s="5" t="str">
        <x:v>WQ</x:v>
      </x:c>
      <x:c r="C401" s="5" t="str">
        <x:v>2</x:v>
      </x:c>
      <x:c r="D401" s="5" t="str">
        <x:v>Rechnungswesen</x:v>
      </x:c>
      <x:c r="E401" s="5" t="str">
        <x:v>Rechnungswesen</x:v>
      </x:c>
      <x:c r="F401" s="5" t="str">
        <x:v>ui-wq-0008</x:v>
      </x:c>
      <x:c r="G401" s="5" t="str">
        <x:v>Auswertung der betriebswirtschaftlichen Zahlen</x:v>
      </x:c>
      <x:c r="H401" s="5" t="str">
        <x:v>dg-wq-0042</x:v>
      </x:c>
      <x:c r="I401" s="5" t="str">
        <x:v>2.4.1.1</x:v>
      </x:c>
      <x:c r="J401" s="5" t="str">
        <x:v>Adressaten der Auswertungen</x:v>
      </x:c>
      <x:c r="K401" s="5" t="str"/>
      <x:c r="L401" s="5" t="str">
        <x:v>Auswertung &amp; Rentabilitätsrechnungen</x:v>
      </x:c>
      <x:c r="M401" s="5" t="n">
        <x:v>5</x:v>
      </x:c>
      <x:c r="N401" s="5" t="n">
        <x:v>1</x:v>
      </x:c>
      <x:c r="O401" s="5" t="str"/>
      <x:c r="P401" s="5" t="str">
        <x:v>Zuordnungsvorschlag; Fachfreigabe ausstehend</x:v>
      </x:c>
      <x:c r="Q401" s="5" t="str">
        <x:v>Gezielt geprüfter Einzelbeleg</x:v>
      </x:c>
      <x:c r="R401" s="5" t="str">
        <x:v>Circle Harbor möchte sein Berichtswesen neu ordnen. Erläutern Sie a) welche Informationen externen und internen Adressaten typischerweise zur Verfügung stehen, b) welche fünf W-Fragen bei der Gestaltung eines Berichts zu beantworten sind, c) wie sich Standard-, Abweichungs- und Bedarfsberichte unterscheiden und d) warum der Informationsumfang von der Kostenstellenleitung bis zur Geschäftsführung verdichtet wird.</x:v>
      </x:c>
      <x:c r="S401" s="5" t="str">
        <x:v>f318da5c9712b080ed5076f343c36a3ce22f8ae4ea863c80ddf904eca9f9f024</x:v>
      </x:c>
    </x:row>
    <x:row r="402" ht="36" customHeight="1">
      <x:c r="A402" s="5" t="str">
        <x:v>BR-0113</x:v>
      </x:c>
      <x:c r="B402" s="5" t="str">
        <x:v>WQ</x:v>
      </x:c>
      <x:c r="C402" s="5" t="str">
        <x:v>2</x:v>
      </x:c>
      <x:c r="D402" s="5" t="str">
        <x:v>Rechnungswesen</x:v>
      </x:c>
      <x:c r="E402" s="5" t="str">
        <x:v>Rechnungswesen</x:v>
      </x:c>
      <x:c r="F402" s="5" t="str">
        <x:v>ui-wq-0008</x:v>
      </x:c>
      <x:c r="G402" s="5" t="str">
        <x:v>Auswertung der betriebswirtschaftlichen Zahlen</x:v>
      </x:c>
      <x:c r="H402" s="5" t="str">
        <x:v>dg-wq-0041</x:v>
      </x:c>
      <x:c r="I402" s="5" t="str">
        <x:v>2.4.2</x:v>
      </x:c>
      <x:c r="J402" s="5" t="str">
        <x:v>Rentabilitätsrechnungen</x:v>
      </x:c>
      <x:c r="K402" s="5" t="str"/>
      <x:c r="L402" s="5" t="str">
        <x:v>Auswertung &amp; Rentabilitätsrechnungen</x:v>
      </x:c>
      <x:c r="M402" s="5" t="n">
        <x:v>6</x:v>
      </x:c>
      <x:c r="N402" s="5" t="n">
        <x:v>5</x:v>
      </x:c>
      <x:c r="O402" s="5" t="str"/>
      <x:c r="P402" s="5" t="str">
        <x:v>Zuordnungsvorschlag; Fachfreigabe ausstehend</x:v>
      </x:c>
      <x:c r="Q402" s="5" t="str">
        <x:v>Bestehendes Lernthema fachlich unter passendem Rahmenplan-Unterbereich behalten</x:v>
      </x:c>
      <x:c r="R402" s="5" t="str">
        <x:v>Ordnen Sie die folgenden Sachverhalte der passenden Vergleichs- beziehungsweise Kennzahlenart zu.</x:v>
      </x:c>
      <x:c r="S402" s="5" t="str">
        <x:v>8f528a5e08c6e2b0e1afd9f05142d1bbe388b4438acdec350844e39d4602a2f2</x:v>
      </x:c>
    </x:row>
    <x:row r="403" ht="36" customHeight="1">
      <x:c r="A403" s="5" t="str">
        <x:v>BR-0114</x:v>
      </x:c>
      <x:c r="B403" s="5" t="str">
        <x:v>WQ</x:v>
      </x:c>
      <x:c r="C403" s="5" t="str">
        <x:v>2</x:v>
      </x:c>
      <x:c r="D403" s="5" t="str">
        <x:v>Rechnungswesen</x:v>
      </x:c>
      <x:c r="E403" s="5" t="str">
        <x:v>Rechnungswesen</x:v>
      </x:c>
      <x:c r="F403" s="5" t="str">
        <x:v>ui-wq-0008</x:v>
      </x:c>
      <x:c r="G403" s="5" t="str">
        <x:v>Auswertung der betriebswirtschaftlichen Zahlen</x:v>
      </x:c>
      <x:c r="H403" s="5" t="str">
        <x:v>dg-wq-0041</x:v>
      </x:c>
      <x:c r="I403" s="5" t="str">
        <x:v>2.4.2</x:v>
      </x:c>
      <x:c r="J403" s="5" t="str">
        <x:v>Rentabilitätsrechnungen</x:v>
      </x:c>
      <x:c r="K403" s="5" t="str"/>
      <x:c r="L403" s="5" t="str">
        <x:v>Auswertung &amp; Rentabilitätsrechnungen</x:v>
      </x:c>
      <x:c r="M403" s="5" t="n">
        <x:v>7</x:v>
      </x:c>
      <x:c r="N403" s="5" t="n">
        <x:v>6</x:v>
      </x:c>
      <x:c r="O403" s="5" t="str"/>
      <x:c r="P403" s="5" t="str">
        <x:v>Zuordnungsvorschlag; Fachfreigabe ausstehend</x:v>
      </x:c>
      <x:c r="Q403" s="5" t="str">
        <x:v>Bestehendes Lernthema fachlich unter passendem Rahmenplan-Unterbereich behalten</x:v>
      </x:c>
      <x:c r="R403" s="5" t="str">
        <x:v>Circle Harbor weist Anlagevermögen von 900.000 €, Umlaufvermögen von 600.000 €, Eigenkapital von 600.000 € und kurzfristige Verbindlichkeiten von 300.000 € aus. Das Umlaufvermögen besteht aus 50.000 € liquiden Mitteln, 250.000 € kurzfristigen Forderungen und 300.000 € Vorräten. Der Jahresüberschuss beträgt 90.000 €, die Abschreibungen 70.000 € und die langfristigen Rückstellungen sind um 20.000 € gestiegen. Berechnen und beurteilen Sie Anlagen- und Umlaufintensität, Eigenkapitalquote, Liquidität ersten bis dritten Grades sowie einen vereinfachten indirekten Cashflow.</x:v>
      </x:c>
      <x:c r="S403" s="5" t="str">
        <x:v>2fc01762a81a39157bba3a8e806503a37e328ddf69a82c20d758b2b2c0fbdd69</x:v>
      </x:c>
    </x:row>
    <x:row r="404" ht="36" customHeight="1">
      <x:c r="A404" s="5" t="str">
        <x:v>BR-0115</x:v>
      </x:c>
      <x:c r="B404" s="5" t="str">
        <x:v>WQ</x:v>
      </x:c>
      <x:c r="C404" s="5" t="str">
        <x:v>2</x:v>
      </x:c>
      <x:c r="D404" s="5" t="str">
        <x:v>Rechnungswesen</x:v>
      </x:c>
      <x:c r="E404" s="5" t="str">
        <x:v>Rechnungswesen</x:v>
      </x:c>
      <x:c r="F404" s="5" t="str">
        <x:v>ui-wq-0008</x:v>
      </x:c>
      <x:c r="G404" s="5" t="str">
        <x:v>Auswertung der betriebswirtschaftlichen Zahlen</x:v>
      </x:c>
      <x:c r="H404" s="5" t="str">
        <x:v>dg-wq-0041</x:v>
      </x:c>
      <x:c r="I404" s="5" t="str">
        <x:v>2.4.2.2</x:v>
      </x:c>
      <x:c r="J404" s="5" t="str">
        <x:v>Gesamtkapitalrentabilität</x:v>
      </x:c>
      <x:c r="K404" s="5" t="str"/>
      <x:c r="L404" s="5" t="str">
        <x:v>Auswertung &amp; Rentabilitätsrechnungen</x:v>
      </x:c>
      <x:c r="M404" s="5" t="n">
        <x:v>8</x:v>
      </x:c>
      <x:c r="N404" s="5" t="n">
        <x:v>7</x:v>
      </x:c>
      <x:c r="O404" s="5" t="str"/>
      <x:c r="P404" s="5" t="str">
        <x:v>Zuordnungsvorschlag; Fachfreigabe ausstehend</x:v>
      </x:c>
      <x:c r="Q404" s="5" t="str">
        <x:v>Bestehendes Lernthema fachlich unter passendem Rahmenplan-Unterbereich behalten</x:v>
      </x:c>
      <x:c r="R404" s="5" t="str">
        <x:v>Fallbezug: Die folgenden betrieblichen Angaben und Situationen beziehen sich auf die Circle Harbor GmbH.
Für Jahr 1 gelten: Umsatz 4.000.000 €, Jahresergebnis 160.000 €, durchschnittliches Eigenkapital 800.000 €, durchschnittliches Gesamtkapital 2.000.000 € und Fremdkapitalzinsen 60.000 €. Für Jahr 2 gelten: Umsatz 4.500.000 €, Jahresergebnis 135.000 €, durchschnittliches Eigenkapital 600.000 €, durchschnittliches Gesamtkapital 2.000.000 € und Fremdkapitalzinsen 84.000 €. Berechnen Sie für beide Jahre Umsatz-, Eigenkapital- und Gesamtkapitalrentabilität sowie den durchschnittlichen Fremdkapitalzinssatz. Beurteilen Sie die Entwicklung und nennen Sie zwei geeignete Verbesserungsmaßnahmen.</x:v>
      </x:c>
      <x:c r="S404" s="5" t="str">
        <x:v>37b6666ac7d67a7894fc7757c3f3335bec5c1524dd65afb27b58c3495197e93a</x:v>
      </x:c>
    </x:row>
    <x:row r="405" ht="36" customHeight="1">
      <x:c r="A405" s="5" t="str">
        <x:v>BR-0116</x:v>
      </x:c>
      <x:c r="B405" s="5" t="str">
        <x:v>WQ</x:v>
      </x:c>
      <x:c r="C405" s="5" t="str">
        <x:v>2</x:v>
      </x:c>
      <x:c r="D405" s="5" t="str">
        <x:v>Rechnungswesen</x:v>
      </x:c>
      <x:c r="E405" s="5" t="str">
        <x:v>Rechnungswesen</x:v>
      </x:c>
      <x:c r="F405" s="5" t="str">
        <x:v>ui-wq-0009</x:v>
      </x:c>
      <x:c r="G405" s="5" t="str">
        <x:v>Planungsrechnung</x:v>
      </x:c>
      <x:c r="H405" s="5" t="str">
        <x:v>dg-wq-0029</x:v>
      </x:c>
      <x:c r="I405" s="5" t="str">
        <x:v>2.5.1</x:v>
      </x:c>
      <x:c r="J405" s="5" t="str">
        <x:v>Inhalt der Planungsrechnung</x:v>
      </x:c>
      <x:c r="K405" s="5" t="str"/>
      <x:c r="L405" s="5" t="str">
        <x:v>Planungsrechnung</x:v>
      </x:c>
      <x:c r="M405" s="5" t="n">
        <x:v>6</x:v>
      </x:c>
      <x:c r="N405" s="5" t="n">
        <x:v>6</x:v>
      </x:c>
      <x:c r="O405" s="5" t="str"/>
      <x:c r="P405" s="5" t="str">
        <x:v>Zuordnungsvorschlag; Fachfreigabe ausstehend</x:v>
      </x:c>
      <x:c r="Q405" s="5" t="str">
        <x:v>Bestehendes Lernthema fachlich unter passendem Rahmenplan-Unterbereich behalten</x:v>
      </x:c>
      <x:c r="R405" s="5" t="str">
        <x:v>Die Geschäftsleitung von Circle Harbor plant die Einführung einer neuen Produktlinie. Erläutern Sie a) die Ebenen Unternehmenskonzeption beziehungsweise generelle Zielplanung, strategische Planung und operative Planung, b) den Unterschied zwischen Maßnahmen- und Werteplanung und c) wie aus der geplanten Absatzmenge die wesentlichen Teilpläne bis zum Ergebnisplan abgeleitet und aufeinander abgestimmt werden.</x:v>
      </x:c>
      <x:c r="S405" s="5" t="str">
        <x:v>cc00352ed02d43387bfa84a5a0903c134c4545bc7bdc59eab6d04f8cfcacbb80</x:v>
      </x:c>
    </x:row>
    <x:row r="406" ht="36" customHeight="1">
      <x:c r="A406" s="5" t="str">
        <x:v>BR-0117</x:v>
      </x:c>
      <x:c r="B406" s="5" t="str">
        <x:v>WQ</x:v>
      </x:c>
      <x:c r="C406" s="5" t="str">
        <x:v>2</x:v>
      </x:c>
      <x:c r="D406" s="5" t="str">
        <x:v>Rechnungswesen</x:v>
      </x:c>
      <x:c r="E406" s="5" t="str">
        <x:v>Rechnungswesen</x:v>
      </x:c>
      <x:c r="F406" s="5" t="str">
        <x:v>ui-wq-0009</x:v>
      </x:c>
      <x:c r="G406" s="5" t="str">
        <x:v>Planungsrechnung</x:v>
      </x:c>
      <x:c r="H406" s="5" t="str">
        <x:v>dg-wq-0029</x:v>
      </x:c>
      <x:c r="I406" s="5" t="str">
        <x:v>2.5.1</x:v>
      </x:c>
      <x:c r="J406" s="5" t="str">
        <x:v>Inhalt der Planungsrechnung</x:v>
      </x:c>
      <x:c r="K406" s="5" t="str"/>
      <x:c r="L406" s="5" t="str">
        <x:v>Planungsrechnung</x:v>
      </x:c>
      <x:c r="M406" s="5" t="n">
        <x:v>7</x:v>
      </x:c>
      <x:c r="N406" s="5" t="n">
        <x:v>7</x:v>
      </x:c>
      <x:c r="O406" s="5" t="str"/>
      <x:c r="P406" s="5" t="str">
        <x:v>Zuordnungsvorschlag; Fachfreigabe ausstehend</x:v>
      </x:c>
      <x:c r="Q406" s="5" t="str">
        <x:v>Bestehendes Lernthema fachlich unter passendem Rahmenplan-Unterbereich behalten</x:v>
      </x:c>
      <x:c r="R406" s="5" t="str">
        <x:v>Fallbezug: Die folgenden betrieblichen Angaben und Situationen beziehen sich auf die Circle Harbor GmbH.
Ein Kostenbudget für das kommende Jahr soll aus dem bisherigen Plan weiterentwickelt werden. Nennen Sie die im Fachbuch vorgesehenen Anpassungsbereiche. Beschreiben Sie anschließend den Regelkreis von Planung und Kontrolle. Ordnen Sie folgende Ursachen den passenden Abweichungsarten zu und erläutern Sie jeweils eine mögliche Gegenmaßnahme: a) Materialpreise sind höher als geplant. b) Bei der tatsächlichen Produktionsmenge wird mehr Material je Stück verbraucht als vorgesehen. c) Die Produktion liegt unter Plan und fixe Plankosten werden nicht vollständig verrechnet.</x:v>
      </x:c>
      <x:c r="S406" s="5" t="str">
        <x:v>afb81613b831d96bda26b9ddcf9612b0df51d7f1448c4160e8da7b5cd02a0be8</x:v>
      </x:c>
    </x:row>
    <x:row r="407" ht="36" customHeight="1">
      <x:c r="A407" s="5" t="str">
        <x:v>BR-0118</x:v>
      </x:c>
      <x:c r="B407" s="5" t="str">
        <x:v>WQ</x:v>
      </x:c>
      <x:c r="C407" s="5" t="str">
        <x:v>2</x:v>
      </x:c>
      <x:c r="D407" s="5" t="str">
        <x:v>Rechnungswesen</x:v>
      </x:c>
      <x:c r="E407" s="5" t="str">
        <x:v>Rechnungswesen</x:v>
      </x:c>
      <x:c r="F407" s="5" t="str">
        <x:v>ui-wq-0007</x:v>
      </x:c>
      <x:c r="G407" s="5" t="str">
        <x:v>Kosten- und Leistungsrechnung</x:v>
      </x:c>
      <x:c r="H407" s="5" t="str">
        <x:v>dg-wq-0027</x:v>
      </x:c>
      <x:c r="I407" s="5" t="str">
        <x:v>2.3.5</x:v>
      </x:c>
      <x:c r="J407" s="5" t="str">
        <x:v>Vergleich von Vollkosten- und Teilkostenrechnung</x:v>
      </x:c>
      <x:c r="K407" s="5" t="str"/>
      <x:c r="L407" s="5" t="str">
        <x:v>KLR: Teilkostenrechnung &amp; Break-even</x:v>
      </x:c>
      <x:c r="M407" s="5" t="n">
        <x:v>50</x:v>
      </x:c>
      <x:c r="N407" s="5" t="n">
        <x:v>19</x:v>
      </x:c>
      <x:c r="O407" s="5" t="str"/>
      <x:c r="P407" s="5" t="str">
        <x:v>Zuordnungsvorschlag; Fachfreigabe ausstehend</x:v>
      </x:c>
      <x:c r="Q407" s="5" t="str">
        <x:v>Bestehendes Lernthema fachlich unter passendem Rahmenplan-Unterbereich behalten</x:v>
      </x:c>
      <x:c r="R407" s="5" t="str">
        <x:v>Die Circle Harbor GmbH betreibt für eine Kampagne einen temporären Verkaufsstand. Die monatlichen Fixkosten betragen 15.000 €, die variablen Kosten 1,25 € je verkauftem Artikel und der Nettoverkaufspreis 5,00 €. Geplant sind 8.000 Stück pro Monat. a) Ermitteln Sie die Gewinnschwelle. b) Berechnen Sie Monats- und Jahresgewinn bei 8.000 Stück. c) Ermitteln Sie die kurzfristige und die langfristige Preisuntergrenze bei dieser Beschäftigung. d) Im Folgejahr steigen die monatlichen Fixkosten auf 16.000 €. Welcher Stückpreis ist bei weiterhin 8.000 Stück erforderlich, wenn monatlich 18.000 € Gewinn erzielt werden sollen?</x:v>
      </x:c>
      <x:c r="S407" s="5" t="str">
        <x:v>3e246d74db77a20726ed6689fcda28987d0844cd25655cd497433e8d56d4e04c</x:v>
      </x:c>
    </x:row>
    <x:row r="408" ht="36" customHeight="1">
      <x:c r="A408" s="5" t="str">
        <x:v>BR-0119</x:v>
      </x:c>
      <x:c r="B408" s="5" t="str">
        <x:v>WQ</x:v>
      </x:c>
      <x:c r="C408" s="5" t="str">
        <x:v>2</x:v>
      </x:c>
      <x:c r="D408" s="5" t="str">
        <x:v>Rechnungswesen</x:v>
      </x:c>
      <x:c r="E408" s="5" t="str">
        <x:v>Rechnungswesen</x:v>
      </x:c>
      <x:c r="F408" s="5" t="str">
        <x:v>ui-wq-0007</x:v>
      </x:c>
      <x:c r="G408" s="5" t="str">
        <x:v>Kosten- und Leistungsrechnung</x:v>
      </x:c>
      <x:c r="H408" s="5" t="str">
        <x:v>dg-wq-0039</x:v>
      </x:c>
      <x:c r="I408" s="5" t="str">
        <x:v>2.3.4</x:v>
      </x:c>
      <x:c r="J408" s="5" t="str">
        <x:v>Kostenträgerzeit- und Kostenträgerstückrechnung</x:v>
      </x:c>
      <x:c r="K408" s="5" t="str"/>
      <x:c r="L408" s="5" t="str">
        <x:v>KLR: Kostenträgerrechnung &amp; Kalkulation</x:v>
      </x:c>
      <x:c r="M408" s="5" t="n">
        <x:v>51</x:v>
      </x:c>
      <x:c r="N408" s="5" t="n">
        <x:v>11</x:v>
      </x:c>
      <x:c r="O408" s="5" t="str"/>
      <x:c r="P408" s="5" t="str">
        <x:v>Zuordnungsvorschlag; Fachfreigabe ausstehend</x:v>
      </x:c>
      <x:c r="Q408" s="5" t="str">
        <x:v>Bestehendes Lernthema fachlich unter passendem Rahmenplan-Unterbereich behalten</x:v>
      </x:c>
      <x:c r="R408" s="5" t="str">
        <x:v>Die Circle Harbor GmbH möchte einen Handelsartikel aufnehmen. Der marktgängige Listenverkaufspreis beträgt 279,00 € brutto inklusive 19 % Umsatzsteuer. Die gewünschte Handelsspanne beträgt 45 %. Bezugskosten fallen mit 6,50 € je Stück an. Der Lieferant gewährt 2 % Skonto und 12 % Rabatt. Ermitteln Sie durch Rückwärtskalkulation den maximalen Netto-Listeneinkaufspreis, den Circle Harbor akzeptieren darf.</x:v>
      </x:c>
      <x:c r="S408" s="5" t="str">
        <x:v>9bfa32c4e1b43a459ee7fda7bc443cefe6e4e7e4d30e63db607308bebaddf13d</x:v>
      </x:c>
    </x:row>
    <x:row r="409" ht="36" customHeight="1">
      <x:c r="A409" s="5" t="str">
        <x:v>BR-0120</x:v>
      </x:c>
      <x:c r="B409" s="5" t="str">
        <x:v>WQ</x:v>
      </x:c>
      <x:c r="C409" s="5" t="str">
        <x:v>2</x:v>
      </x:c>
      <x:c r="D409" s="5" t="str">
        <x:v>Rechnungswesen</x:v>
      </x:c>
      <x:c r="E409" s="5" t="str">
        <x:v>Rechnungswesen</x:v>
      </x:c>
      <x:c r="F409" s="5" t="str">
        <x:v>ui-wq-0007</x:v>
      </x:c>
      <x:c r="G409" s="5" t="str">
        <x:v>Kosten- und Leistungsrechnung</x:v>
      </x:c>
      <x:c r="H409" s="5" t="str">
        <x:v>dg-wq-0043</x:v>
      </x:c>
      <x:c r="I409" s="5" t="str">
        <x:v>2.3.4.6</x:v>
      </x:c>
      <x:c r="J409" s="5" t="str">
        <x:v>Handelswarenkalkulation</x:v>
      </x:c>
      <x:c r="K409" s="5" t="str"/>
      <x:c r="L409" s="5" t="str">
        <x:v>KLR: Handelskalkulation &amp; Deckungsbeitrag</x:v>
      </x:c>
      <x:c r="M409" s="5" t="n">
        <x:v>52</x:v>
      </x:c>
      <x:c r="N409" s="5" t="n">
        <x:v>1</x:v>
      </x:c>
      <x:c r="O409" s="5" t="str"/>
      <x:c r="P409" s="5" t="str">
        <x:v>Zuordnungsvorschlag; Fachfreigabe ausstehend</x:v>
      </x:c>
      <x:c r="Q409" s="5" t="str">
        <x:v>Bestehendes Lernthema fachlich unter passendem Rahmenplan-Unterbereich behalten</x:v>
      </x:c>
      <x:c r="R409" s="5" t="str">
        <x:v>Für einen ausschließlich gehandelten Artikel der Circle Harbor GmbH betragen die Netto-Umsatzerlöse 2.850.000 € und der Wareneinsatz 1.850.000 €. Die gesamten Handlungskosten betragen 500.000 €, davon sind 40 % variabel. Der Bruttoverkaufspreis je Stück beträgt 113,05 € bei 19 % Umsatzsteuer. Berechnen Sie a) den Rohertrag, b) den Kalkulationszuschlagssatz, c) die Handelsspanne, d) den Deckungsbeitrag und e) die abgesetzte Stückzahl. Erläutern Sie kurz, warum Rohertrag und Deckungsbeitrag nicht identisch sind.</x:v>
      </x:c>
      <x:c r="S409" s="5" t="str">
        <x:v>ca11024651e7eee176d36f12aa7acb4bee12aff5945d7492ac1b4560c193a4d4</x:v>
      </x:c>
    </x:row>
    <x:row r="410" ht="36" customHeight="1">
      <x:c r="A410" s="5" t="str">
        <x:v>BR-0121</x:v>
      </x:c>
      <x:c r="B410" s="5" t="str">
        <x:v>WQ</x:v>
      </x:c>
      <x:c r="C410" s="5" t="str">
        <x:v>2</x:v>
      </x:c>
      <x:c r="D410" s="5" t="str">
        <x:v>Rechnungswesen</x:v>
      </x:c>
      <x:c r="E410" s="5" t="str">
        <x:v>Rechnungswesen</x:v>
      </x:c>
      <x:c r="F410" s="5" t="str">
        <x:v>ui-wq-0007</x:v>
      </x:c>
      <x:c r="G410" s="5" t="str">
        <x:v>Kosten- und Leistungsrechnung</x:v>
      </x:c>
      <x:c r="H410" s="5" t="str">
        <x:v>dg-wq-0035</x:v>
      </x:c>
      <x:c r="I410" s="5" t="str">
        <x:v>2.3.3.1</x:v>
      </x:c>
      <x:c r="J410" s="5" t="str">
        <x:v>Kostenzurechnung auf die Kostenstellen im Betriebsabrechnungsbogen</x:v>
      </x:c>
      <x:c r="K410" s="5" t="str"/>
      <x:c r="L410" s="5" t="str">
        <x:v>KLR: Kostenstellenrechnung &amp; BAB</x:v>
      </x:c>
      <x:c r="M410" s="5" t="n">
        <x:v>53</x:v>
      </x:c>
      <x:c r="N410" s="5" t="n">
        <x:v>7</x:v>
      </x:c>
      <x:c r="O410" s="5" t="str"/>
      <x:c r="P410" s="5" t="str">
        <x:v>Zuordnungsvorschlag; Fachfreigabe ausstehend</x:v>
      </x:c>
      <x:c r="Q410" s="5" t="str">
        <x:v>Bestehendes Lernthema fachlich unter passendem Rahmenplan-Unterbereich behalten</x:v>
      </x:c>
      <x:c r="R410" s="5" t="str">
        <x:v>Die Circle Harbor GmbH verwendet in einem mehrstufigen BAB das Summenumlage- beziehungsweise Stufenleiterverfahren. Vor der Umlage stehen auf den Kostenstellen: Energie 5.190 T€, Fuhrpark 5.404 T€, Material 8.700 T€, Fertigung A 89.500 T€, Fertigung B 107.800 T€, Verwaltung 65.800 T€ und Vertrieb 49.500 T€. Energie wird im Verhältnis 1 : 2 : 4 : 5 : 1 : 2 auf Fuhrpark, Material, Fertigung A, Fertigung B, Verwaltung und Vertrieb verteilt. Anschließend wird der Fuhrpark im Verhältnis 2 : 9 : 10 : 1 : 3 auf Material, Fertigung A, Fertigung B, Verwaltung und Vertrieb umgelegt. a) Führen Sie die beiden Umlagen durch und ermitteln Sie die endgültigen Gemeinkosten der Hauptkostenstellen. b) Erklären Sie, warum beim Stufenleiterverfahren die Reihenfolge wichtig ist, und grenzen Sie es kurz vom Anbau- und Gleichungsverfahren ab.</x:v>
      </x:c>
      <x:c r="S410" s="5" t="str">
        <x:v>1b757749e065d9ac60df305d81297ed544124313a003fed2814169b122c51185</x:v>
      </x:c>
    </x:row>
    <x:row r="411" ht="36" customHeight="1">
      <x:c r="A411" s="5" t="str">
        <x:v>BR-0122</x:v>
      </x:c>
      <x:c r="B411" s="5" t="str">
        <x:v>WQ</x:v>
      </x:c>
      <x:c r="C411" s="5" t="str">
        <x:v>2</x:v>
      </x:c>
      <x:c r="D411" s="5" t="str">
        <x:v>Rechnungswesen</x:v>
      </x:c>
      <x:c r="E411" s="5" t="str">
        <x:v>Rechnungswesen</x:v>
      </x:c>
      <x:c r="F411" s="5" t="str">
        <x:v>ui-wq-0006</x:v>
      </x:c>
      <x:c r="G411" s="5" t="str">
        <x:v>Finanzbuchhaltung</x:v>
      </x:c>
      <x:c r="H411" s="5" t="str">
        <x:v>dg-wq-0032</x:v>
      </x:c>
      <x:c r="I411" s="5" t="str">
        <x:v>2.2.2</x:v>
      </x:c>
      <x:c r="J411" s="5" t="str">
        <x:v>Jahresabschluss</x:v>
      </x:c>
      <x:c r="K411" s="5" t="str"/>
      <x:c r="L411" s="5" t="str">
        <x:v>Inventur, Bilanz &amp; Jahresabschluss</x:v>
      </x:c>
      <x:c r="M411" s="5" t="n">
        <x:v>28</x:v>
      </x:c>
      <x:c r="N411" s="5" t="n">
        <x:v>14</x:v>
      </x:c>
      <x:c r="O411" s="5" t="str"/>
      <x:c r="P411" s="5" t="str">
        <x:v>Zuordnungsvorschlag; Fachfreigabe ausstehend</x:v>
      </x:c>
      <x:c r="Q411" s="5" t="str">
        <x:v>Bestehendes Lernthema fachlich unter passendem Rahmenplan-Unterbereich behalten</x:v>
      </x:c>
      <x:c r="R411" s="5" t="str">
        <x:v>Die Circle Harbor GmbH ist für die Aufgabe als mittelgroße Kapitalgesellschaft anzusehen. Grenzen Sie Anhang und Lagebericht voneinander ab. Erläutern Sie jeweils Zweck und typische Inhalte sowie die rechtliche Beziehung zum Jahresabschluss. Gehen Sie außerdem darauf ein, welche Erleichterung kleine Kapitalgesellschaften beim Lagebericht haben.</x:v>
      </x:c>
      <x:c r="S411" s="5" t="str">
        <x:v>4125bfe10cf15d547c7437ca9a19b464c708b823e04dd0df7111c7e69f47efd4</x:v>
      </x:c>
    </x:row>
    <x:row r="412" ht="36" customHeight="1">
      <x:c r="A412" s="5" t="str">
        <x:v>R-0001</x:v>
      </x:c>
      <x:c r="B412" s="5" t="str">
        <x:v>WQ</x:v>
      </x:c>
      <x:c r="C412" s="5" t="str">
        <x:v>3</x:v>
      </x:c>
      <x:c r="D412" s="5" t="str">
        <x:v>Recht und Steuern</x:v>
      </x:c>
      <x:c r="E412" s="5" t="str">
        <x:v>Recht</x:v>
      </x:c>
      <x:c r="F412" s="5" t="str">
        <x:v>ui-wq-recht-schuld</x:v>
      </x:c>
      <x:c r="G412" s="5" t="str">
        <x:v>BGB Schuldrecht</x:v>
      </x:c>
      <x:c r="H412" s="5" t="str">
        <x:v>tr-wq-r04</x:v>
      </x:c>
      <x:c r="I412" s="5" t="str">
        <x:v>3.1.2.3</x:v>
      </x:c>
      <x:c r="J412" s="5" t="str">
        <x:v>Warenkauf und Rechte bei Mängeln</x:v>
      </x:c>
      <x:c r="K412" s="5" t="str"/>
      <x:c r="L412" s="5" t="str">
        <x:v>Kaufrecht &amp; Verbraucherschutz</x:v>
      </x:c>
      <x:c r="M412" s="5" t="n">
        <x:v>1</x:v>
      </x:c>
      <x:c r="N412" s="5" t="n">
        <x:v>1</x:v>
      </x:c>
      <x:c r="O412" s="5" t="str"/>
      <x:c r="P412" s="5" t="str">
        <x:v>Pilot freigegeben</x:v>
      </x:c>
      <x:c r="Q412" s="5" t="str">
        <x:v>Revision 2 unverändert übernommen</x:v>
      </x:c>
      <x:c r="R412" s="5" t="str">
        <x:v>Was sind Kaufähnliche Verträge?</x:v>
      </x:c>
      <x:c r="S412" s="5" t="str">
        <x:v>bb3bb8893b0bbed83a73edd38d6f03e849b819367615468ec7174bf1f3afac3e</x:v>
      </x:c>
    </x:row>
    <x:row r="413" ht="36" customHeight="1">
      <x:c r="A413" s="5" t="str">
        <x:v>R-0002</x:v>
      </x:c>
      <x:c r="B413" s="5" t="str">
        <x:v>WQ</x:v>
      </x:c>
      <x:c r="C413" s="5" t="str">
        <x:v>3</x:v>
      </x:c>
      <x:c r="D413" s="5" t="str">
        <x:v>Recht und Steuern</x:v>
      </x:c>
      <x:c r="E413" s="5" t="str">
        <x:v>Recht</x:v>
      </x:c>
      <x:c r="F413" s="5" t="str">
        <x:v>ui-wq-recht-schuld</x:v>
      </x:c>
      <x:c r="G413" s="5" t="str">
        <x:v>BGB Schuldrecht</x:v>
      </x:c>
      <x:c r="H413" s="5" t="str">
        <x:v>tr-wq-r04</x:v>
      </x:c>
      <x:c r="I413" s="5" t="str">
        <x:v>3.1.2.3</x:v>
      </x:c>
      <x:c r="J413" s="5" t="str">
        <x:v>Warenkauf und Rechte bei Mängeln</x:v>
      </x:c>
      <x:c r="K413" s="5" t="str"/>
      <x:c r="L413" s="5" t="str">
        <x:v>Kaufrecht &amp; Verbraucherschutz</x:v>
      </x:c>
      <x:c r="M413" s="5" t="n">
        <x:v>2</x:v>
      </x:c>
      <x:c r="N413" s="5" t="n">
        <x:v>2</x:v>
      </x:c>
      <x:c r="O413" s="5" t="str"/>
      <x:c r="P413" s="5" t="str">
        <x:v>Pilot freigegeben</x:v>
      </x:c>
      <x:c r="Q413" s="5" t="str">
        <x:v>Revision 2 unverändert übernommen</x:v>
      </x:c>
      <x:c r="R413" s="5" t="str">
        <x:v>Was kann ein Kaufgegenstand sein?</x:v>
      </x:c>
      <x:c r="S413" s="5" t="str">
        <x:v>6c96c14e1db3795c97eed3928ba4b3040c5e8c8b664a1c89f7443a15d8288e90</x:v>
      </x:c>
    </x:row>
    <x:row r="414" ht="36" customHeight="1">
      <x:c r="A414" s="5" t="str">
        <x:v>R-0003</x:v>
      </x:c>
      <x:c r="B414" s="5" t="str">
        <x:v>WQ</x:v>
      </x:c>
      <x:c r="C414" s="5" t="str">
        <x:v>3</x:v>
      </x:c>
      <x:c r="D414" s="5" t="str">
        <x:v>Recht und Steuern</x:v>
      </x:c>
      <x:c r="E414" s="5" t="str">
        <x:v>Recht</x:v>
      </x:c>
      <x:c r="F414" s="5" t="str">
        <x:v>ui-wq-recht-schuld</x:v>
      </x:c>
      <x:c r="G414" s="5" t="str">
        <x:v>BGB Schuldrecht</x:v>
      </x:c>
      <x:c r="H414" s="5" t="str">
        <x:v>tr-wq-r04</x:v>
      </x:c>
      <x:c r="I414" s="5" t="str">
        <x:v>3.1.2.3</x:v>
      </x:c>
      <x:c r="J414" s="5" t="str">
        <x:v>Warenkauf und Rechte bei Mängeln</x:v>
      </x:c>
      <x:c r="K414" s="5" t="str"/>
      <x:c r="L414" s="5" t="str">
        <x:v>Kaufrecht &amp; Verbraucherschutz</x:v>
      </x:c>
      <x:c r="M414" s="5" t="n">
        <x:v>3</x:v>
      </x:c>
      <x:c r="N414" s="5" t="n">
        <x:v>3</x:v>
      </x:c>
      <x:c r="O414" s="5" t="str"/>
      <x:c r="P414" s="5" t="str">
        <x:v>Pilot freigegeben</x:v>
      </x:c>
      <x:c r="Q414" s="5" t="str">
        <x:v>Revision 2 unverändert übernommen</x:v>
      </x:c>
      <x:c r="R414" s="5" t="str">
        <x:v>Was sind die Hauptpflichten der Vertragsparteien?</x:v>
      </x:c>
      <x:c r="S414" s="5" t="str">
        <x:v>7b76b76dc33eb81b6b11ef7e83d5fafd32488bf60d5b21073018f3c4d074f0b7</x:v>
      </x:c>
    </x:row>
    <x:row r="415" ht="36" customHeight="1">
      <x:c r="A415" s="5" t="str">
        <x:v>R-0004</x:v>
      </x:c>
      <x:c r="B415" s="5" t="str">
        <x:v>WQ</x:v>
      </x:c>
      <x:c r="C415" s="5" t="str">
        <x:v>3</x:v>
      </x:c>
      <x:c r="D415" s="5" t="str">
        <x:v>Recht und Steuern</x:v>
      </x:c>
      <x:c r="E415" s="5" t="str">
        <x:v>Recht</x:v>
      </x:c>
      <x:c r="F415" s="5" t="str">
        <x:v>ui-wq-recht-schuld</x:v>
      </x:c>
      <x:c r="G415" s="5" t="str">
        <x:v>BGB Schuldrecht</x:v>
      </x:c>
      <x:c r="H415" s="5" t="str">
        <x:v>tr-wq-r04</x:v>
      </x:c>
      <x:c r="I415" s="5" t="str">
        <x:v>3.1.2.3</x:v>
      </x:c>
      <x:c r="J415" s="5" t="str">
        <x:v>Warenkauf und Rechte bei Mängeln</x:v>
      </x:c>
      <x:c r="K415" s="5" t="str"/>
      <x:c r="L415" s="5" t="str">
        <x:v>Kaufrecht &amp; Verbraucherschutz</x:v>
      </x:c>
      <x:c r="M415" s="5" t="n">
        <x:v>4</x:v>
      </x:c>
      <x:c r="N415" s="5" t="n">
        <x:v>4</x:v>
      </x:c>
      <x:c r="O415" s="5" t="str"/>
      <x:c r="P415" s="5" t="str">
        <x:v>Pilot freigegeben</x:v>
      </x:c>
      <x:c r="Q415" s="5" t="str">
        <x:v>Revision 2 unverändert übernommen</x:v>
      </x:c>
      <x:c r="R415" s="5" t="str">
        <x:v>Was bedeutet Synallgmatisch?</x:v>
      </x:c>
      <x:c r="S415" s="5" t="str">
        <x:v>8245e16fc01df8a824c8ae66ff426e521f652f3cafe8cfe2c60344781f1c0e0c</x:v>
      </x:c>
    </x:row>
    <x:row r="416" ht="36" customHeight="1">
      <x:c r="A416" s="5" t="str">
        <x:v>R-0005</x:v>
      </x:c>
      <x:c r="B416" s="5" t="str">
        <x:v>WQ</x:v>
      </x:c>
      <x:c r="C416" s="5" t="str">
        <x:v>3</x:v>
      </x:c>
      <x:c r="D416" s="5" t="str">
        <x:v>Recht und Steuern</x:v>
      </x:c>
      <x:c r="E416" s="5" t="str">
        <x:v>Recht</x:v>
      </x:c>
      <x:c r="F416" s="5" t="str">
        <x:v>ui-wq-recht-schuld</x:v>
      </x:c>
      <x:c r="G416" s="5" t="str">
        <x:v>BGB Schuldrecht</x:v>
      </x:c>
      <x:c r="H416" s="5" t="str">
        <x:v>tr-wq-r04</x:v>
      </x:c>
      <x:c r="I416" s="5" t="str">
        <x:v>3.1.2.3</x:v>
      </x:c>
      <x:c r="J416" s="5" t="str">
        <x:v>Warenkauf und Rechte bei Mängeln</x:v>
      </x:c>
      <x:c r="K416" s="5" t="str"/>
      <x:c r="L416" s="5" t="str">
        <x:v>Kaufrecht &amp; Verbraucherschutz</x:v>
      </x:c>
      <x:c r="M416" s="5" t="n">
        <x:v>5</x:v>
      </x:c>
      <x:c r="N416" s="5" t="n">
        <x:v>5</x:v>
      </x:c>
      <x:c r="O416" s="5" t="str"/>
      <x:c r="P416" s="5" t="str">
        <x:v>Pilot freigegeben</x:v>
      </x:c>
      <x:c r="Q416" s="5" t="str">
        <x:v>Revision 2 unverändert übernommen</x:v>
      </x:c>
      <x:c r="R416" s="5" t="str">
        <x:v>Wann geht beim Kaufvertrag die Gefahr des zufälligen Untergangs oder der zufälligen Verschlechterung auf den Käufer über?</x:v>
      </x:c>
      <x:c r="S416" s="5" t="str">
        <x:v>114142faf35ef8f3bdbfbf0a20c293169c04af94c757377cbeefa30b2d7ba70f</x:v>
      </x:c>
    </x:row>
    <x:row r="417" ht="36" customHeight="1">
      <x:c r="A417" s="5" t="str">
        <x:v>R-0006</x:v>
      </x:c>
      <x:c r="B417" s="5" t="str">
        <x:v>WQ</x:v>
      </x:c>
      <x:c r="C417" s="5" t="str">
        <x:v>3</x:v>
      </x:c>
      <x:c r="D417" s="5" t="str">
        <x:v>Recht und Steuern</x:v>
      </x:c>
      <x:c r="E417" s="5" t="str">
        <x:v>Recht</x:v>
      </x:c>
      <x:c r="F417" s="5" t="str">
        <x:v>ui-wq-recht-schuld</x:v>
      </x:c>
      <x:c r="G417" s="5" t="str">
        <x:v>BGB Schuldrecht</x:v>
      </x:c>
      <x:c r="H417" s="5" t="str">
        <x:v>tr-wq-r04</x:v>
      </x:c>
      <x:c r="I417" s="5" t="str">
        <x:v>3.1.2.3</x:v>
      </x:c>
      <x:c r="J417" s="5" t="str">
        <x:v>Warenkauf und Rechte bei Mängeln</x:v>
      </x:c>
      <x:c r="K417" s="5" t="str"/>
      <x:c r="L417" s="5" t="str">
        <x:v>Kaufrecht &amp; Verbraucherschutz</x:v>
      </x:c>
      <x:c r="M417" s="5" t="n">
        <x:v>6</x:v>
      </x:c>
      <x:c r="N417" s="5" t="n">
        <x:v>6</x:v>
      </x:c>
      <x:c r="O417" s="5" t="str"/>
      <x:c r="P417" s="5" t="str">
        <x:v>Pilot freigegeben</x:v>
      </x:c>
      <x:c r="Q417" s="5" t="str">
        <x:v>Revision 2 unverändert übernommen</x:v>
      </x:c>
      <x:c r="R417" s="5" t="str">
        <x:v>Was bedeutet Gefahrtragung im Kaufrecht und welche Besonderheit gilt beim Verbrauchsgüterkauf?</x:v>
      </x:c>
      <x:c r="S417" s="5" t="str">
        <x:v>66baa6524b15aab7c8e46eb8cd578396fc98193f14f074343e12ca9baa526d5c</x:v>
      </x:c>
    </x:row>
    <x:row r="418" ht="36" customHeight="1">
      <x:c r="A418" s="5" t="str">
        <x:v>R-0007</x:v>
      </x:c>
      <x:c r="B418" s="5" t="str">
        <x:v>WQ</x:v>
      </x:c>
      <x:c r="C418" s="5" t="str">
        <x:v>3</x:v>
      </x:c>
      <x:c r="D418" s="5" t="str">
        <x:v>Recht und Steuern</x:v>
      </x:c>
      <x:c r="E418" s="5" t="str">
        <x:v>Recht</x:v>
      </x:c>
      <x:c r="F418" s="5" t="str">
        <x:v>ui-wq-recht-schuld</x:v>
      </x:c>
      <x:c r="G418" s="5" t="str">
        <x:v>BGB Schuldrecht</x:v>
      </x:c>
      <x:c r="H418" s="5" t="str">
        <x:v>tr-wq-r04</x:v>
      </x:c>
      <x:c r="I418" s="5" t="str">
        <x:v>3.1.2.3</x:v>
      </x:c>
      <x:c r="J418" s="5" t="str">
        <x:v>Warenkauf und Rechte bei Mängeln</x:v>
      </x:c>
      <x:c r="K418" s="5" t="str"/>
      <x:c r="L418" s="5" t="str">
        <x:v>Kaufrecht &amp; Verbraucherschutz</x:v>
      </x:c>
      <x:c r="M418" s="5" t="n">
        <x:v>7</x:v>
      </x:c>
      <x:c r="N418" s="5" t="n">
        <x:v>7</x:v>
      </x:c>
      <x:c r="O418" s="5" t="str"/>
      <x:c r="P418" s="5" t="str">
        <x:v>Pilot freigegeben</x:v>
      </x:c>
      <x:c r="Q418" s="5" t="str">
        <x:v>Revision 2 unverändert übernommen</x:v>
      </x:c>
      <x:c r="R418" s="5" t="str">
        <x:v>Welche Ansprüche und Rechte kennt das Gewährleistungsrecht?</x:v>
      </x:c>
      <x:c r="S418" s="5" t="str">
        <x:v>ce0930680570ee3df96881df7776e8c0730a057978ace095465ea08051aac4fb</x:v>
      </x:c>
    </x:row>
    <x:row r="419" ht="36" customHeight="1">
      <x:c r="A419" s="5" t="str">
        <x:v>R-0008</x:v>
      </x:c>
      <x:c r="B419" s="5" t="str">
        <x:v>WQ</x:v>
      </x:c>
      <x:c r="C419" s="5" t="str">
        <x:v>3</x:v>
      </x:c>
      <x:c r="D419" s="5" t="str">
        <x:v>Recht und Steuern</x:v>
      </x:c>
      <x:c r="E419" s="5" t="str">
        <x:v>Recht</x:v>
      </x:c>
      <x:c r="F419" s="5" t="str">
        <x:v>ui-wq-recht-schuld</x:v>
      </x:c>
      <x:c r="G419" s="5" t="str">
        <x:v>BGB Schuldrecht</x:v>
      </x:c>
      <x:c r="H419" s="5" t="str">
        <x:v>tr-wq-r04</x:v>
      </x:c>
      <x:c r="I419" s="5" t="str">
        <x:v>3.1.2.3</x:v>
      </x:c>
      <x:c r="J419" s="5" t="str">
        <x:v>Warenkauf und Rechte bei Mängeln</x:v>
      </x:c>
      <x:c r="K419" s="5" t="str"/>
      <x:c r="L419" s="5" t="str">
        <x:v>Kaufrecht &amp; Verbraucherschutz</x:v>
      </x:c>
      <x:c r="M419" s="5" t="n">
        <x:v>8</x:v>
      </x:c>
      <x:c r="N419" s="5" t="n">
        <x:v>8</x:v>
      </x:c>
      <x:c r="O419" s="5" t="str"/>
      <x:c r="P419" s="5" t="str">
        <x:v>Pilot freigegeben</x:v>
      </x:c>
      <x:c r="Q419" s="5" t="str">
        <x:v>Revision 2 unverändert übernommen</x:v>
      </x:c>
      <x:c r="R419" s="5" t="str">
        <x:v>Was ist die Grundvoraussetzung für kaufrechtliche Mängelrechte nach § 437 BGB?</x:v>
      </x:c>
      <x:c r="S419" s="5" t="str">
        <x:v>9dc899dc3a2cdc142dd8c8030d48a3f4a530af3341a689025a6594aa34c3fd4b</x:v>
      </x:c>
    </x:row>
    <x:row r="420" ht="36" customHeight="1">
      <x:c r="A420" s="5" t="str">
        <x:v>R-0009</x:v>
      </x:c>
      <x:c r="B420" s="5" t="str">
        <x:v>WQ</x:v>
      </x:c>
      <x:c r="C420" s="5" t="str">
        <x:v>3</x:v>
      </x:c>
      <x:c r="D420" s="5" t="str">
        <x:v>Recht und Steuern</x:v>
      </x:c>
      <x:c r="E420" s="5" t="str">
        <x:v>Recht</x:v>
      </x:c>
      <x:c r="F420" s="5" t="str">
        <x:v>ui-wq-recht-schuld</x:v>
      </x:c>
      <x:c r="G420" s="5" t="str">
        <x:v>BGB Schuldrecht</x:v>
      </x:c>
      <x:c r="H420" s="5" t="str">
        <x:v>tr-wq-r04</x:v>
      </x:c>
      <x:c r="I420" s="5" t="str">
        <x:v>3.1.2.3</x:v>
      </x:c>
      <x:c r="J420" s="5" t="str">
        <x:v>Warenkauf und Rechte bei Mängeln</x:v>
      </x:c>
      <x:c r="K420" s="5" t="str"/>
      <x:c r="L420" s="5" t="str">
        <x:v>Kaufrecht &amp; Verbraucherschutz</x:v>
      </x:c>
      <x:c r="M420" s="5" t="n">
        <x:v>9</x:v>
      </x:c>
      <x:c r="N420" s="5" t="n">
        <x:v>9</x:v>
      </x:c>
      <x:c r="O420" s="5" t="str"/>
      <x:c r="P420" s="5" t="str">
        <x:v>Pilot freigegeben</x:v>
      </x:c>
      <x:c r="Q420" s="5" t="str">
        <x:v>Revision 2 unverändert übernommen</x:v>
      </x:c>
      <x:c r="R420" s="5" t="str">
        <x:v>Wie lässt sich ein Sachmangel nach § 434 BGB in aktueller Systematik beschreiben?</x:v>
      </x:c>
      <x:c r="S420" s="5" t="str">
        <x:v>8f418c2dc3ac87c59c55e0451f2a0ea04880d7b648c19ca1d2008acb8b783f3a</x:v>
      </x:c>
    </x:row>
    <x:row r="421" ht="36" customHeight="1">
      <x:c r="A421" s="5" t="str">
        <x:v>R-0010</x:v>
      </x:c>
      <x:c r="B421" s="5" t="str">
        <x:v>WQ</x:v>
      </x:c>
      <x:c r="C421" s="5" t="str">
        <x:v>3</x:v>
      </x:c>
      <x:c r="D421" s="5" t="str">
        <x:v>Recht und Steuern</x:v>
      </x:c>
      <x:c r="E421" s="5" t="str">
        <x:v>Recht</x:v>
      </x:c>
      <x:c r="F421" s="5" t="str">
        <x:v>ui-wq-recht-schuld</x:v>
      </x:c>
      <x:c r="G421" s="5" t="str">
        <x:v>BGB Schuldrecht</x:v>
      </x:c>
      <x:c r="H421" s="5" t="str">
        <x:v>tr-wq-r04</x:v>
      </x:c>
      <x:c r="I421" s="5" t="str">
        <x:v>3.1.2.3</x:v>
      </x:c>
      <x:c r="J421" s="5" t="str">
        <x:v>Warenkauf und Rechte bei Mängeln</x:v>
      </x:c>
      <x:c r="K421" s="5" t="str"/>
      <x:c r="L421" s="5" t="str">
        <x:v>Kaufrecht &amp; Verbraucherschutz</x:v>
      </x:c>
      <x:c r="M421" s="5" t="n">
        <x:v>10</x:v>
      </x:c>
      <x:c r="N421" s="5" t="n">
        <x:v>10</x:v>
      </x:c>
      <x:c r="O421" s="5" t="str"/>
      <x:c r="P421" s="5" t="str">
        <x:v>Pilot freigegeben</x:v>
      </x:c>
      <x:c r="Q421" s="5" t="str">
        <x:v>Revision 2 unverändert übernommen</x:v>
      </x:c>
      <x:c r="R421" s="5" t="str">
        <x:v>Wie ist die Vorraussetzung der Nacherfüllung?</x:v>
      </x:c>
      <x:c r="S421" s="5" t="str">
        <x:v>7b39bd7e9e6bdd4695dca3a6d9f7dcabb2b430cc5bc981ffd0a6d2345bb2f081</x:v>
      </x:c>
    </x:row>
    <x:row r="422" ht="36" customHeight="1">
      <x:c r="A422" s="5" t="str">
        <x:v>R-0011</x:v>
      </x:c>
      <x:c r="B422" s="5" t="str">
        <x:v>WQ</x:v>
      </x:c>
      <x:c r="C422" s="5" t="str">
        <x:v>3</x:v>
      </x:c>
      <x:c r="D422" s="5" t="str">
        <x:v>Recht und Steuern</x:v>
      </x:c>
      <x:c r="E422" s="5" t="str">
        <x:v>Recht</x:v>
      </x:c>
      <x:c r="F422" s="5" t="str">
        <x:v>ui-wq-recht-schuld</x:v>
      </x:c>
      <x:c r="G422" s="5" t="str">
        <x:v>BGB Schuldrecht</x:v>
      </x:c>
      <x:c r="H422" s="5" t="str">
        <x:v>tr-wq-r04</x:v>
      </x:c>
      <x:c r="I422" s="5" t="str">
        <x:v>3.1.2.3</x:v>
      </x:c>
      <x:c r="J422" s="5" t="str">
        <x:v>Warenkauf und Rechte bei Mängeln</x:v>
      </x:c>
      <x:c r="K422" s="5" t="str"/>
      <x:c r="L422" s="5" t="str">
        <x:v>Kaufrecht &amp; Verbraucherschutz</x:v>
      </x:c>
      <x:c r="M422" s="5" t="n">
        <x:v>11</x:v>
      </x:c>
      <x:c r="N422" s="5" t="n">
        <x:v>11</x:v>
      </x:c>
      <x:c r="O422" s="5" t="str"/>
      <x:c r="P422" s="5" t="str">
        <x:v>Pilot freigegeben</x:v>
      </x:c>
      <x:c r="Q422" s="5" t="str">
        <x:v>Revision 2 unverändert übernommen</x:v>
      </x:c>
      <x:c r="R422" s="5" t="str">
        <x:v>Was sind die Vorraussetzungen des Rücktritts?</x:v>
      </x:c>
      <x:c r="S422" s="5" t="str">
        <x:v>ac6fb206d76861c7c5adb42d679b6c8c037ffd7f523890b34e7828a7ce9573a7</x:v>
      </x:c>
    </x:row>
    <x:row r="423" ht="36" customHeight="1">
      <x:c r="A423" s="5" t="str">
        <x:v>R-0012</x:v>
      </x:c>
      <x:c r="B423" s="5" t="str">
        <x:v>WQ</x:v>
      </x:c>
      <x:c r="C423" s="5" t="str">
        <x:v>3</x:v>
      </x:c>
      <x:c r="D423" s="5" t="str">
        <x:v>Recht und Steuern</x:v>
      </x:c>
      <x:c r="E423" s="5" t="str">
        <x:v>Recht</x:v>
      </x:c>
      <x:c r="F423" s="5" t="str">
        <x:v>ui-wq-recht-schuld</x:v>
      </x:c>
      <x:c r="G423" s="5" t="str">
        <x:v>BGB Schuldrecht</x:v>
      </x:c>
      <x:c r="H423" s="5" t="str">
        <x:v>tr-wq-r04</x:v>
      </x:c>
      <x:c r="I423" s="5" t="str">
        <x:v>3.1.2.3</x:v>
      </x:c>
      <x:c r="J423" s="5" t="str">
        <x:v>Warenkauf und Rechte bei Mängeln</x:v>
      </x:c>
      <x:c r="K423" s="5" t="str"/>
      <x:c r="L423" s="5" t="str">
        <x:v>Kaufrecht &amp; Verbraucherschutz</x:v>
      </x:c>
      <x:c r="M423" s="5" t="n">
        <x:v>12</x:v>
      </x:c>
      <x:c r="N423" s="5" t="n">
        <x:v>12</x:v>
      </x:c>
      <x:c r="O423" s="5" t="str"/>
      <x:c r="P423" s="5" t="str">
        <x:v>Pilot freigegeben</x:v>
      </x:c>
      <x:c r="Q423" s="5" t="str">
        <x:v>Revision 2 unverändert übernommen</x:v>
      </x:c>
      <x:c r="R423" s="5" t="str">
        <x:v> Voraussetzungen der Minderung?   </x:v>
      </x:c>
      <x:c r="S423" s="5" t="str">
        <x:v>09ee6a33e5ea833c7915fbbdb88a1303f6300e55f63ed9f56cc77a0cbad4f01e</x:v>
      </x:c>
    </x:row>
    <x:row r="424" ht="36" customHeight="1">
      <x:c r="A424" s="5" t="str">
        <x:v>R-0013</x:v>
      </x:c>
      <x:c r="B424" s="5" t="str">
        <x:v>WQ</x:v>
      </x:c>
      <x:c r="C424" s="5" t="str">
        <x:v>3</x:v>
      </x:c>
      <x:c r="D424" s="5" t="str">
        <x:v>Recht und Steuern</x:v>
      </x:c>
      <x:c r="E424" s="5" t="str">
        <x:v>Recht</x:v>
      </x:c>
      <x:c r="F424" s="5" t="str">
        <x:v>ui-wq-recht-schuld</x:v>
      </x:c>
      <x:c r="G424" s="5" t="str">
        <x:v>BGB Schuldrecht</x:v>
      </x:c>
      <x:c r="H424" s="5" t="str">
        <x:v>tr-wq-r04</x:v>
      </x:c>
      <x:c r="I424" s="5" t="str">
        <x:v>3.1.2.3</x:v>
      </x:c>
      <x:c r="J424" s="5" t="str">
        <x:v>Warenkauf und Rechte bei Mängeln</x:v>
      </x:c>
      <x:c r="K424" s="5" t="str"/>
      <x:c r="L424" s="5" t="str">
        <x:v>Kaufrecht &amp; Verbraucherschutz</x:v>
      </x:c>
      <x:c r="M424" s="5" t="n">
        <x:v>13</x:v>
      </x:c>
      <x:c r="N424" s="5" t="n">
        <x:v>13</x:v>
      </x:c>
      <x:c r="O424" s="5" t="str"/>
      <x:c r="P424" s="5" t="str">
        <x:v>Pilot freigegeben</x:v>
      </x:c>
      <x:c r="Q424" s="5" t="str">
        <x:v>Revision 2 unverändert übernommen</x:v>
      </x:c>
      <x:c r="R424" s="5" t="str">
        <x:v>Was ist die Rechtsfolge des Rücktritts?  </x:v>
      </x:c>
      <x:c r="S424" s="5" t="str">
        <x:v>94a88182ed9495dd8dea5f46dda1a8161e4477168cdd16acb57969d38f2c6dfe</x:v>
      </x:c>
    </x:row>
    <x:row r="425" ht="36" customHeight="1">
      <x:c r="A425" s="5" t="str">
        <x:v>R-0014</x:v>
      </x:c>
      <x:c r="B425" s="5" t="str">
        <x:v>WQ</x:v>
      </x:c>
      <x:c r="C425" s="5" t="str">
        <x:v>3</x:v>
      </x:c>
      <x:c r="D425" s="5" t="str">
        <x:v>Recht und Steuern</x:v>
      </x:c>
      <x:c r="E425" s="5" t="str">
        <x:v>Recht</x:v>
      </x:c>
      <x:c r="F425" s="5" t="str">
        <x:v>ui-wq-recht-schuld</x:v>
      </x:c>
      <x:c r="G425" s="5" t="str">
        <x:v>BGB Schuldrecht</x:v>
      </x:c>
      <x:c r="H425" s="5" t="str">
        <x:v>tr-wq-r04</x:v>
      </x:c>
      <x:c r="I425" s="5" t="str">
        <x:v>3.1.2.3</x:v>
      </x:c>
      <x:c r="J425" s="5" t="str">
        <x:v>Warenkauf und Rechte bei Mängeln</x:v>
      </x:c>
      <x:c r="K425" s="5" t="str"/>
      <x:c r="L425" s="5" t="str">
        <x:v>Kaufrecht &amp; Verbraucherschutz</x:v>
      </x:c>
      <x:c r="M425" s="5" t="n">
        <x:v>14</x:v>
      </x:c>
      <x:c r="N425" s="5" t="n">
        <x:v>14</x:v>
      </x:c>
      <x:c r="O425" s="5" t="str"/>
      <x:c r="P425" s="5" t="str">
        <x:v>Pilot freigegeben</x:v>
      </x:c>
      <x:c r="Q425" s="5" t="str">
        <x:v>Revision 2 unverändert übernommen</x:v>
      </x:c>
      <x:c r="R425" s="5" t="str">
        <x:v> Was bedeutet Schadensersatz neben der Leistung? </x:v>
      </x:c>
      <x:c r="S425" s="5" t="str">
        <x:v>d2db786871b696750bed8b8be51fdcfd66ce81611192aefb14459f9aa7190f17</x:v>
      </x:c>
    </x:row>
    <x:row r="426" ht="36" customHeight="1">
      <x:c r="A426" s="5" t="str">
        <x:v>R-0015</x:v>
      </x:c>
      <x:c r="B426" s="5" t="str">
        <x:v>WQ</x:v>
      </x:c>
      <x:c r="C426" s="5" t="str">
        <x:v>3</x:v>
      </x:c>
      <x:c r="D426" s="5" t="str">
        <x:v>Recht und Steuern</x:v>
      </x:c>
      <x:c r="E426" s="5" t="str">
        <x:v>Recht</x:v>
      </x:c>
      <x:c r="F426" s="5" t="str">
        <x:v>ui-wq-recht-schuld</x:v>
      </x:c>
      <x:c r="G426" s="5" t="str">
        <x:v>BGB Schuldrecht</x:v>
      </x:c>
      <x:c r="H426" s="5" t="str">
        <x:v>tr-wq-r04</x:v>
      </x:c>
      <x:c r="I426" s="5" t="str">
        <x:v>3.1.2.3</x:v>
      </x:c>
      <x:c r="J426" s="5" t="str">
        <x:v>Warenkauf und Rechte bei Mängeln</x:v>
      </x:c>
      <x:c r="K426" s="5" t="str"/>
      <x:c r="L426" s="5" t="str">
        <x:v>Kaufrecht &amp; Verbraucherschutz</x:v>
      </x:c>
      <x:c r="M426" s="5" t="n">
        <x:v>15</x:v>
      </x:c>
      <x:c r="N426" s="5" t="n">
        <x:v>15</x:v>
      </x:c>
      <x:c r="O426" s="5" t="str"/>
      <x:c r="P426" s="5" t="str">
        <x:v>Pilot freigegeben</x:v>
      </x:c>
      <x:c r="Q426" s="5" t="str">
        <x:v>Revision 2 unverändert übernommen</x:v>
      </x:c>
      <x:c r="R426" s="5" t="str">
        <x:v>Was bedeutet Schadensersatz statt der Leistung? </x:v>
      </x:c>
      <x:c r="S426" s="5" t="str">
        <x:v>9fe5449f7d7d022408629944e244beeea5651e0307b180db87eb291439ee0a33</x:v>
      </x:c>
    </x:row>
    <x:row r="427" ht="36" customHeight="1">
      <x:c r="A427" s="5" t="str">
        <x:v>R-0016</x:v>
      </x:c>
      <x:c r="B427" s="5" t="str">
        <x:v>WQ</x:v>
      </x:c>
      <x:c r="C427" s="5" t="str">
        <x:v>3</x:v>
      </x:c>
      <x:c r="D427" s="5" t="str">
        <x:v>Recht und Steuern</x:v>
      </x:c>
      <x:c r="E427" s="5" t="str">
        <x:v>Recht</x:v>
      </x:c>
      <x:c r="F427" s="5" t="str">
        <x:v>ui-wq-recht-schuld</x:v>
      </x:c>
      <x:c r="G427" s="5" t="str">
        <x:v>BGB Schuldrecht</x:v>
      </x:c>
      <x:c r="H427" s="5" t="str">
        <x:v>tr-wq-r04</x:v>
      </x:c>
      <x:c r="I427" s="5" t="str">
        <x:v>3.1.2.3</x:v>
      </x:c>
      <x:c r="J427" s="5" t="str">
        <x:v>Warenkauf und Rechte bei Mängeln</x:v>
      </x:c>
      <x:c r="K427" s="5" t="str"/>
      <x:c r="L427" s="5" t="str">
        <x:v>Kaufrecht &amp; Verbraucherschutz</x:v>
      </x:c>
      <x:c r="M427" s="5" t="n">
        <x:v>16</x:v>
      </x:c>
      <x:c r="N427" s="5" t="n">
        <x:v>16</x:v>
      </x:c>
      <x:c r="O427" s="5" t="str"/>
      <x:c r="P427" s="5" t="str">
        <x:v>Pilot freigegeben</x:v>
      </x:c>
      <x:c r="Q427" s="5" t="str">
        <x:v>Revision 2 unverändert übernommen</x:v>
      </x:c>
      <x:c r="R427" s="5" t="str">
        <x:v>Wann können Mängelgewährleistungsrechte ausgeschlossen sein?  </x:v>
      </x:c>
      <x:c r="S427" s="5" t="str">
        <x:v>91fccab54f198133766460e5a240b7aa9a6afc3d1fd8b3d2b21a834e1288daa6</x:v>
      </x:c>
    </x:row>
    <x:row r="428" ht="36" customHeight="1">
      <x:c r="A428" s="5" t="str">
        <x:v>R-0017</x:v>
      </x:c>
      <x:c r="B428" s="5" t="str">
        <x:v>WQ</x:v>
      </x:c>
      <x:c r="C428" s="5" t="str">
        <x:v>3</x:v>
      </x:c>
      <x:c r="D428" s="5" t="str">
        <x:v>Recht und Steuern</x:v>
      </x:c>
      <x:c r="E428" s="5" t="str">
        <x:v>Recht</x:v>
      </x:c>
      <x:c r="F428" s="5" t="str">
        <x:v>ui-wq-recht-schuld</x:v>
      </x:c>
      <x:c r="G428" s="5" t="str">
        <x:v>BGB Schuldrecht</x:v>
      </x:c>
      <x:c r="H428" s="5" t="str">
        <x:v>tr-wq-r04</x:v>
      </x:c>
      <x:c r="I428" s="5" t="str">
        <x:v>3.1.2.3</x:v>
      </x:c>
      <x:c r="J428" s="5" t="str">
        <x:v>Warenkauf und Rechte bei Mängeln</x:v>
      </x:c>
      <x:c r="K428" s="5" t="str"/>
      <x:c r="L428" s="5" t="str">
        <x:v>Kaufrecht &amp; Verbraucherschutz</x:v>
      </x:c>
      <x:c r="M428" s="5" t="n">
        <x:v>17</x:v>
      </x:c>
      <x:c r="N428" s="5" t="n">
        <x:v>17</x:v>
      </x:c>
      <x:c r="O428" s="5" t="str"/>
      <x:c r="P428" s="5" t="str">
        <x:v>Pilot freigegeben</x:v>
      </x:c>
      <x:c r="Q428" s="5" t="str">
        <x:v>Revision 2 unverändert übernommen</x:v>
      </x:c>
      <x:c r="R428" s="5" t="str">
        <x:v>Was ist beim Gewährleistungsausschluss insb. zu beachten?   </x:v>
      </x:c>
      <x:c r="S428" s="5" t="str">
        <x:v>da6435a769fe258c75430d9adb97ede83191fec86215b388c2ba215fce78760c</x:v>
      </x:c>
    </x:row>
    <x:row r="429" ht="36" customHeight="1">
      <x:c r="A429" s="5" t="str">
        <x:v>R-0018</x:v>
      </x:c>
      <x:c r="B429" s="5" t="str">
        <x:v>WQ</x:v>
      </x:c>
      <x:c r="C429" s="5" t="str">
        <x:v>3</x:v>
      </x:c>
      <x:c r="D429" s="5" t="str">
        <x:v>Recht und Steuern</x:v>
      </x:c>
      <x:c r="E429" s="5" t="str">
        <x:v>Recht</x:v>
      </x:c>
      <x:c r="F429" s="5" t="str">
        <x:v>ui-wq-recht-schuld</x:v>
      </x:c>
      <x:c r="G429" s="5" t="str">
        <x:v>BGB Schuldrecht</x:v>
      </x:c>
      <x:c r="H429" s="5" t="str">
        <x:v>tr-wq-r04</x:v>
      </x:c>
      <x:c r="I429" s="5" t="str">
        <x:v>3.1.2.3</x:v>
      </x:c>
      <x:c r="J429" s="5" t="str">
        <x:v>Warenkauf und Rechte bei Mängeln</x:v>
      </x:c>
      <x:c r="K429" s="5" t="str"/>
      <x:c r="L429" s="5" t="str">
        <x:v>Kaufrecht &amp; Verbraucherschutz</x:v>
      </x:c>
      <x:c r="M429" s="5" t="n">
        <x:v>18</x:v>
      </x:c>
      <x:c r="N429" s="5" t="n">
        <x:v>18</x:v>
      </x:c>
      <x:c r="O429" s="5" t="str"/>
      <x:c r="P429" s="5" t="str">
        <x:v>Pilot freigegeben</x:v>
      </x:c>
      <x:c r="Q429" s="5" t="str">
        <x:v>Revision 2 unverändert übernommen</x:v>
      </x:c>
      <x:c r="R429" s="5" t="str">
        <x:v>Wann können Mängelgewährleistungsrechte undurchsetzbar sein?</x:v>
      </x:c>
      <x:c r="S429" s="5" t="str">
        <x:v>0cb888096061ccf682eb4d9f40be92f16cdaeaa9fd412232fcb920a87d478c54</x:v>
      </x:c>
    </x:row>
    <x:row r="430" ht="36" customHeight="1">
      <x:c r="A430" s="5" t="str">
        <x:v>R-0019</x:v>
      </x:c>
      <x:c r="B430" s="5" t="str">
        <x:v>WQ</x:v>
      </x:c>
      <x:c r="C430" s="5" t="str">
        <x:v>3</x:v>
      </x:c>
      <x:c r="D430" s="5" t="str">
        <x:v>Recht und Steuern</x:v>
      </x:c>
      <x:c r="E430" s="5" t="str">
        <x:v>Recht</x:v>
      </x:c>
      <x:c r="F430" s="5" t="str">
        <x:v>ui-wq-recht-schuld</x:v>
      </x:c>
      <x:c r="G430" s="5" t="str">
        <x:v>BGB Schuldrecht</x:v>
      </x:c>
      <x:c r="H430" s="5" t="str">
        <x:v>tr-wq-r04</x:v>
      </x:c>
      <x:c r="I430" s="5" t="str">
        <x:v>3.1.2.3</x:v>
      </x:c>
      <x:c r="J430" s="5" t="str">
        <x:v>Warenkauf und Rechte bei Mängeln</x:v>
      </x:c>
      <x:c r="K430" s="5" t="str"/>
      <x:c r="L430" s="5" t="str">
        <x:v>Kaufrecht &amp; Verbraucherschutz</x:v>
      </x:c>
      <x:c r="M430" s="5" t="n">
        <x:v>19</x:v>
      </x:c>
      <x:c r="N430" s="5" t="n">
        <x:v>19</x:v>
      </x:c>
      <x:c r="O430" s="5" t="str"/>
      <x:c r="P430" s="5" t="str">
        <x:v>Pilot freigegeben</x:v>
      </x:c>
      <x:c r="Q430" s="5" t="str">
        <x:v>Revision 2 unverändert übernommen</x:v>
      </x:c>
      <x:c r="R430" s="5" t="str">
        <x:v>Wann beginnt die Verjährung?  </x:v>
      </x:c>
      <x:c r="S430" s="5" t="str">
        <x:v>c17914d2b11513e92d6ea5e4d962416daa1cbdd33215cc8918b2d740a41f98cb</x:v>
      </x:c>
    </x:row>
    <x:row r="431" ht="36" customHeight="1">
      <x:c r="A431" s="5" t="str">
        <x:v>R-0020</x:v>
      </x:c>
      <x:c r="B431" s="5" t="str">
        <x:v>WQ</x:v>
      </x:c>
      <x:c r="C431" s="5" t="str">
        <x:v>3</x:v>
      </x:c>
      <x:c r="D431" s="5" t="str">
        <x:v>Recht und Steuern</x:v>
      </x:c>
      <x:c r="E431" s="5" t="str">
        <x:v>Recht</x:v>
      </x:c>
      <x:c r="F431" s="5" t="str">
        <x:v>ui-wq-recht-schuld</x:v>
      </x:c>
      <x:c r="G431" s="5" t="str">
        <x:v>BGB Schuldrecht</x:v>
      </x:c>
      <x:c r="H431" s="5" t="str">
        <x:v>tr-wq-r04</x:v>
      </x:c>
      <x:c r="I431" s="5" t="str">
        <x:v>3.1.2.3</x:v>
      </x:c>
      <x:c r="J431" s="5" t="str">
        <x:v>Warenkauf und Rechte bei Mängeln</x:v>
      </x:c>
      <x:c r="K431" s="5" t="str"/>
      <x:c r="L431" s="5" t="str">
        <x:v>Kaufrecht &amp; Verbraucherschutz</x:v>
      </x:c>
      <x:c r="M431" s="5" t="n">
        <x:v>20</x:v>
      </x:c>
      <x:c r="N431" s="5" t="n">
        <x:v>20</x:v>
      </x:c>
      <x:c r="O431" s="5" t="str"/>
      <x:c r="P431" s="5" t="str">
        <x:v>Pilot freigegeben</x:v>
      </x:c>
      <x:c r="Q431" s="5" t="str">
        <x:v>Revision 2 unverändert übernommen</x:v>
      </x:c>
      <x:c r="R431" s="5" t="str">
        <x:v> Was ist ein Verbrauchsgüterkauf?  </x:v>
      </x:c>
      <x:c r="S431" s="5" t="str">
        <x:v>ae7790a185e8b9a2b14d91c43754bfe9350c8577c369e80e07964c723cc79622</x:v>
      </x:c>
    </x:row>
    <x:row r="432" ht="36" customHeight="1">
      <x:c r="A432" s="5" t="str">
        <x:v>R-0021</x:v>
      </x:c>
      <x:c r="B432" s="5" t="str">
        <x:v>WQ</x:v>
      </x:c>
      <x:c r="C432" s="5" t="str">
        <x:v>3</x:v>
      </x:c>
      <x:c r="D432" s="5" t="str">
        <x:v>Recht und Steuern</x:v>
      </x:c>
      <x:c r="E432" s="5" t="str">
        <x:v>Recht</x:v>
      </x:c>
      <x:c r="F432" s="5" t="str">
        <x:v>ui-wq-recht-arbeit</x:v>
      </x:c>
      <x:c r="G432" s="5" t="str">
        <x:v>Arbeitsrecht</x:v>
      </x:c>
      <x:c r="H432" s="5" t="str">
        <x:v>tr-wq-r16</x:v>
      </x:c>
      <x:c r="I432" s="5" t="str">
        <x:v>3.1.5.1</x:v>
      </x:c>
      <x:c r="J432" s="5" t="str">
        <x:v>Arbeitsvertrag, Entgelt &amp; Kündigung</x:v>
      </x:c>
      <x:c r="K432" s="5" t="str"/>
      <x:c r="L432" s="5" t="str">
        <x:v>Arbeitsvertrag, Entgelt &amp; Kündigung</x:v>
      </x:c>
      <x:c r="M432" s="5" t="n">
        <x:v>1</x:v>
      </x:c>
      <x:c r="N432" s="5" t="n">
        <x:v>1</x:v>
      </x:c>
      <x:c r="O432" s="5" t="str"/>
      <x:c r="P432" s="5" t="str">
        <x:v>Pilot freigegeben</x:v>
      </x:c>
      <x:c r="Q432" s="5" t="str">
        <x:v>Revision 2 unverändert übernommen</x:v>
      </x:c>
      <x:c r="R432" s="5" t="str">
        <x:v>Sind vor einer Kündigung immer drei Abmahnungen erforderlich?</x:v>
      </x:c>
      <x:c r="S432" s="5" t="str">
        <x:v>cc93cd7cb93045603d0effd22ba02c578c18056710e599b146202bc93a4b90e8</x:v>
      </x:c>
    </x:row>
    <x:row r="433" ht="36" customHeight="1">
      <x:c r="A433" s="5" t="str">
        <x:v>R-0022</x:v>
      </x:c>
      <x:c r="B433" s="5" t="str">
        <x:v>WQ</x:v>
      </x:c>
      <x:c r="C433" s="5" t="str">
        <x:v>3</x:v>
      </x:c>
      <x:c r="D433" s="5" t="str">
        <x:v>Recht und Steuern</x:v>
      </x:c>
      <x:c r="E433" s="5" t="str">
        <x:v>Recht</x:v>
      </x:c>
      <x:c r="F433" s="5" t="str">
        <x:v>ui-wq-recht-arbeit</x:v>
      </x:c>
      <x:c r="G433" s="5" t="str">
        <x:v>Arbeitsrecht</x:v>
      </x:c>
      <x:c r="H433" s="5" t="str">
        <x:v>tr-wq-r16</x:v>
      </x:c>
      <x:c r="I433" s="5" t="str">
        <x:v>3.1.5.1</x:v>
      </x:c>
      <x:c r="J433" s="5" t="str">
        <x:v>Arbeitsvertrag, Entgelt &amp; Kündigung</x:v>
      </x:c>
      <x:c r="K433" s="5" t="str"/>
      <x:c r="L433" s="5" t="str">
        <x:v>Arbeitsvertrag, Entgelt &amp; Kündigung</x:v>
      </x:c>
      <x:c r="M433" s="5" t="n">
        <x:v>2</x:v>
      </x:c>
      <x:c r="N433" s="5" t="n">
        <x:v>2</x:v>
      </x:c>
      <x:c r="O433" s="5" t="str"/>
      <x:c r="P433" s="5" t="str">
        <x:v>Pilot freigegeben</x:v>
      </x:c>
      <x:c r="Q433" s="5" t="str">
        <x:v>Revision 2 unverändert übernommen</x:v>
      </x:c>
      <x:c r="R433" s="5" t="str">
        <x:v>Was ist bei Minijobbern arbeitsrechtlich zu beachten?</x:v>
      </x:c>
      <x:c r="S433" s="5" t="str">
        <x:v>11b98675dbb69377ef1179f0a59d5d24a51b42331637d33e95397298d6406a25</x:v>
      </x:c>
    </x:row>
    <x:row r="434" ht="36" customHeight="1">
      <x:c r="A434" s="5" t="str">
        <x:v>R-0023</x:v>
      </x:c>
      <x:c r="B434" s="5" t="str">
        <x:v>WQ</x:v>
      </x:c>
      <x:c r="C434" s="5" t="str">
        <x:v>3</x:v>
      </x:c>
      <x:c r="D434" s="5" t="str">
        <x:v>Recht und Steuern</x:v>
      </x:c>
      <x:c r="E434" s="5" t="str">
        <x:v>Recht</x:v>
      </x:c>
      <x:c r="F434" s="5" t="str">
        <x:v>ui-wq-recht-arbeit</x:v>
      </x:c>
      <x:c r="G434" s="5" t="str">
        <x:v>Arbeitsrecht</x:v>
      </x:c>
      <x:c r="H434" s="5" t="str">
        <x:v>tr-wq-r16</x:v>
      </x:c>
      <x:c r="I434" s="5" t="str">
        <x:v>3.1.5.1</x:v>
      </x:c>
      <x:c r="J434" s="5" t="str">
        <x:v>Arbeitsvertrag, Entgelt &amp; Kündigung</x:v>
      </x:c>
      <x:c r="K434" s="5" t="str"/>
      <x:c r="L434" s="5" t="str">
        <x:v>Arbeitsvertrag, Entgelt &amp; Kündigung</x:v>
      </x:c>
      <x:c r="M434" s="5" t="n">
        <x:v>3</x:v>
      </x:c>
      <x:c r="N434" s="5" t="n">
        <x:v>3</x:v>
      </x:c>
      <x:c r="O434" s="5" t="str"/>
      <x:c r="P434" s="5" t="str">
        <x:v>Pilot freigegeben</x:v>
      </x:c>
      <x:c r="Q434" s="5" t="str">
        <x:v>Revision 2 unverändert übernommen</x:v>
      </x:c>
      <x:c r="R434" s="5" t="str">
        <x:v>Gibt es ein Recht auf Homeoffice? </x:v>
      </x:c>
      <x:c r="S434" s="5" t="str">
        <x:v>157524f95fc0df588fee4d94ac069cadef25afc3f1527a2b7d0b84b89f2abdd6</x:v>
      </x:c>
    </x:row>
    <x:row r="435" ht="36" customHeight="1">
      <x:c r="A435" s="5" t="str">
        <x:v>R-0024</x:v>
      </x:c>
      <x:c r="B435" s="5" t="str">
        <x:v>WQ</x:v>
      </x:c>
      <x:c r="C435" s="5" t="str">
        <x:v>3</x:v>
      </x:c>
      <x:c r="D435" s="5" t="str">
        <x:v>Recht und Steuern</x:v>
      </x:c>
      <x:c r="E435" s="5" t="str">
        <x:v>Recht</x:v>
      </x:c>
      <x:c r="F435" s="5" t="str">
        <x:v>ui-wq-recht-arbeit</x:v>
      </x:c>
      <x:c r="G435" s="5" t="str">
        <x:v>Arbeitsrecht</x:v>
      </x:c>
      <x:c r="H435" s="5" t="str">
        <x:v>tr-wq-r16</x:v>
      </x:c>
      <x:c r="I435" s="5" t="str">
        <x:v>3.1.5.1</x:v>
      </x:c>
      <x:c r="J435" s="5" t="str">
        <x:v>Arbeitsvertrag, Entgelt &amp; Kündigung</x:v>
      </x:c>
      <x:c r="K435" s="5" t="str"/>
      <x:c r="L435" s="5" t="str">
        <x:v>Arbeitsvertrag, Entgelt &amp; Kündigung</x:v>
      </x:c>
      <x:c r="M435" s="5" t="n">
        <x:v>4</x:v>
      </x:c>
      <x:c r="N435" s="5" t="n">
        <x:v>4</x:v>
      </x:c>
      <x:c r="O435" s="5" t="str"/>
      <x:c r="P435" s="5" t="str">
        <x:v>Pilot freigegeben</x:v>
      </x:c>
      <x:c r="Q435" s="5" t="str">
        <x:v>Revision 2 unverändert übernommen</x:v>
      </x:c>
      <x:c r="R435" s="5" t="str">
        <x:v>Kann ich mündlich kündigen? </x:v>
      </x:c>
      <x:c r="S435" s="5" t="str">
        <x:v>de5674dbbba66847d14a5829b32eb91790fdaa516511fc6e88dd346507266dea</x:v>
      </x:c>
    </x:row>
    <x:row r="436" ht="36" customHeight="1">
      <x:c r="A436" s="5" t="str">
        <x:v>R-0025</x:v>
      </x:c>
      <x:c r="B436" s="5" t="str">
        <x:v>WQ</x:v>
      </x:c>
      <x:c r="C436" s="5" t="str">
        <x:v>3</x:v>
      </x:c>
      <x:c r="D436" s="5" t="str">
        <x:v>Recht und Steuern</x:v>
      </x:c>
      <x:c r="E436" s="5" t="str">
        <x:v>Recht</x:v>
      </x:c>
      <x:c r="F436" s="5" t="str">
        <x:v>ui-wq-recht-arbeit</x:v>
      </x:c>
      <x:c r="G436" s="5" t="str">
        <x:v>Arbeitsrecht</x:v>
      </x:c>
      <x:c r="H436" s="5" t="str">
        <x:v>tr-wq-r16</x:v>
      </x:c>
      <x:c r="I436" s="5" t="str">
        <x:v>3.1.5.1</x:v>
      </x:c>
      <x:c r="J436" s="5" t="str">
        <x:v>Arbeitsvertrag, Entgelt &amp; Kündigung</x:v>
      </x:c>
      <x:c r="K436" s="5" t="str"/>
      <x:c r="L436" s="5" t="str">
        <x:v>Arbeitsvertrag, Entgelt &amp; Kündigung</x:v>
      </x:c>
      <x:c r="M436" s="5" t="n">
        <x:v>5</x:v>
      </x:c>
      <x:c r="N436" s="5" t="n">
        <x:v>5</x:v>
      </x:c>
      <x:c r="O436" s="5" t="str"/>
      <x:c r="P436" s="5" t="str">
        <x:v>Pilot freigegeben</x:v>
      </x:c>
      <x:c r="Q436" s="5" t="str">
        <x:v>Revision 2 unverändert übernommen</x:v>
      </x:c>
      <x:c r="R436" s="5" t="str">
        <x:v>Was ist der Unterschied zwischen Arbeitnehmerüberlassung und Arbeitsvermittlung? </x:v>
      </x:c>
      <x:c r="S436" s="5" t="str">
        <x:v>e84cdf9bcb27d4fbc6c768bac58a9a5fcc31c6b5942b8d79b3e2b098150b7543</x:v>
      </x:c>
    </x:row>
    <x:row r="437" ht="36" customHeight="1">
      <x:c r="A437" s="5" t="str">
        <x:v>R-0026</x:v>
      </x:c>
      <x:c r="B437" s="5" t="str">
        <x:v>WQ</x:v>
      </x:c>
      <x:c r="C437" s="5" t="str">
        <x:v>3</x:v>
      </x:c>
      <x:c r="D437" s="5" t="str">
        <x:v>Recht und Steuern</x:v>
      </x:c>
      <x:c r="E437" s="5" t="str">
        <x:v>Recht</x:v>
      </x:c>
      <x:c r="F437" s="5" t="str">
        <x:v>ui-wq-recht-arbeit</x:v>
      </x:c>
      <x:c r="G437" s="5" t="str">
        <x:v>Arbeitsrecht</x:v>
      </x:c>
      <x:c r="H437" s="5" t="str">
        <x:v>tr-wq-r18</x:v>
      </x:c>
      <x:c r="I437" s="5" t="str">
        <x:v>3.1.5.3</x:v>
      </x:c>
      <x:c r="J437" s="5" t="str">
        <x:v>Schutzregeln im Arbeitsverhältnis</x:v>
      </x:c>
      <x:c r="K437" s="5" t="str"/>
      <x:c r="L437" s="5" t="str">
        <x:v>Betriebsverfassungs-, Tarif- &amp; Arbeitsschutzrecht</x:v>
      </x:c>
      <x:c r="M437" s="5" t="n">
        <x:v>6</x:v>
      </x:c>
      <x:c r="N437" s="5" t="n">
        <x:v>1</x:v>
      </x:c>
      <x:c r="O437" s="5" t="str"/>
      <x:c r="P437" s="5" t="str">
        <x:v>Pilot freigegeben</x:v>
      </x:c>
      <x:c r="Q437" s="5" t="str">
        <x:v>Revision 2 unverändert übernommen</x:v>
      </x:c>
      <x:c r="R437" s="5" t="str">
        <x:v>Wie viel Urlaub steht Beschäftigten jährlich zu? </x:v>
      </x:c>
      <x:c r="S437" s="5" t="str">
        <x:v>6615370b14f85e0a849c313b7760e611efa32423fb0704ea38d202757409483e</x:v>
      </x:c>
    </x:row>
    <x:row r="438" ht="36" customHeight="1">
      <x:c r="A438" s="5" t="str">
        <x:v>R-0027</x:v>
      </x:c>
      <x:c r="B438" s="5" t="str">
        <x:v>WQ</x:v>
      </x:c>
      <x:c r="C438" s="5" t="str">
        <x:v>3</x:v>
      </x:c>
      <x:c r="D438" s="5" t="str">
        <x:v>Recht und Steuern</x:v>
      </x:c>
      <x:c r="E438" s="5" t="str">
        <x:v>Recht</x:v>
      </x:c>
      <x:c r="F438" s="5" t="str">
        <x:v>ui-wq-recht-arbeit</x:v>
      </x:c>
      <x:c r="G438" s="5" t="str">
        <x:v>Arbeitsrecht</x:v>
      </x:c>
      <x:c r="H438" s="5" t="str">
        <x:v>tr-wq-r19</x:v>
      </x:c>
      <x:c r="I438" s="5" t="str">
        <x:v>3.1.5</x:v>
      </x:c>
      <x:c r="J438" s="5" t="str">
        <x:v>Tarifverträge und arbeitsrechtliche Normen</x:v>
      </x:c>
      <x:c r="K438" s="5" t="str">
        <x:v>3.1.5.1; 3.1.5.2; 3.1.5.3</x:v>
      </x:c>
      <x:c r="L438" s="5" t="str">
        <x:v>Betriebsverfassungs-, Tarif- &amp; Arbeitsschutzrecht</x:v>
      </x:c>
      <x:c r="M438" s="5" t="n">
        <x:v>7</x:v>
      </x:c>
      <x:c r="N438" s="5" t="n">
        <x:v>1</x:v>
      </x:c>
      <x:c r="O438" s="5" t="str"/>
      <x:c r="P438" s="5" t="str">
        <x:v>Pilot freigegeben</x:v>
      </x:c>
      <x:c r="Q438" s="5" t="str">
        <x:v>Revision 2 unverändert übernommen</x:v>
      </x:c>
      <x:c r="R438" s="5" t="str">
        <x:v>Wann fällt ein Arbeitsvertrag unter einen Tarifvertrag?</x:v>
      </x:c>
      <x:c r="S438" s="5" t="str">
        <x:v>a09a94b7eb0311ebf54dbdd5808f1e06956bf135341aef1b62cbce1c135a47ce</x:v>
      </x:c>
    </x:row>
    <x:row r="439" ht="36" customHeight="1">
      <x:c r="A439" s="5" t="str">
        <x:v>R-0028</x:v>
      </x:c>
      <x:c r="B439" s="5" t="str">
        <x:v>WQ</x:v>
      </x:c>
      <x:c r="C439" s="5" t="str">
        <x:v>3</x:v>
      </x:c>
      <x:c r="D439" s="5" t="str">
        <x:v>Recht und Steuern</x:v>
      </x:c>
      <x:c r="E439" s="5" t="str">
        <x:v>Recht</x:v>
      </x:c>
      <x:c r="F439" s="5" t="str">
        <x:v>ui-wq-recht-arbeit</x:v>
      </x:c>
      <x:c r="G439" s="5" t="str">
        <x:v>Arbeitsrecht</x:v>
      </x:c>
      <x:c r="H439" s="5" t="str">
        <x:v>tr-wq-r16</x:v>
      </x:c>
      <x:c r="I439" s="5" t="str">
        <x:v>3.1.5.1</x:v>
      </x:c>
      <x:c r="J439" s="5" t="str">
        <x:v>Arbeitsvertrag, Entgelt &amp; Kündigung</x:v>
      </x:c>
      <x:c r="K439" s="5" t="str">
        <x:v>3.1.5.3</x:v>
      </x:c>
      <x:c r="L439" s="5" t="str">
        <x:v>Arbeitsvertrag, Entgelt &amp; Kündigung</x:v>
      </x:c>
      <x:c r="M439" s="5" t="n">
        <x:v>8</x:v>
      </x:c>
      <x:c r="N439" s="5" t="n">
        <x:v>6</x:v>
      </x:c>
      <x:c r="O439" s="5" t="str"/>
      <x:c r="P439" s="5" t="str">
        <x:v>Pilot freigegeben</x:v>
      </x:c>
      <x:c r="Q439" s="5" t="str">
        <x:v>Revision 2 unverändert übernommen</x:v>
      </x:c>
      <x:c r="R439" s="5" t="str">
        <x:v>Ist eine Kündigung von Schwangeren oder Beschäftigten in Elternzeit ausgeschlos
sen? </x:v>
      </x:c>
      <x:c r="S439" s="5" t="str">
        <x:v>5d88b999dbe779cd4a48152cdb00e826d57ee99fe570890ba4eff33af3f6c094</x:v>
      </x:c>
    </x:row>
    <x:row r="440" ht="36" customHeight="1">
      <x:c r="A440" s="5" t="str">
        <x:v>R-0029</x:v>
      </x:c>
      <x:c r="B440" s="5" t="str">
        <x:v>WQ</x:v>
      </x:c>
      <x:c r="C440" s="5" t="str">
        <x:v>3</x:v>
      </x:c>
      <x:c r="D440" s="5" t="str">
        <x:v>Recht und Steuern</x:v>
      </x:c>
      <x:c r="E440" s="5" t="str">
        <x:v>Recht</x:v>
      </x:c>
      <x:c r="F440" s="5" t="str">
        <x:v>ui-wq-recht-arbeit</x:v>
      </x:c>
      <x:c r="G440" s="5" t="str">
        <x:v>Arbeitsrecht</x:v>
      </x:c>
      <x:c r="H440" s="5" t="str">
        <x:v>tr-wq-r16</x:v>
      </x:c>
      <x:c r="I440" s="5" t="str">
        <x:v>3.1.5.1</x:v>
      </x:c>
      <x:c r="J440" s="5" t="str">
        <x:v>Arbeitsvertrag, Entgelt &amp; Kündigung</x:v>
      </x:c>
      <x:c r="K440" s="5" t="str"/>
      <x:c r="L440" s="5" t="str">
        <x:v>Arbeitsvertrag, Entgelt &amp; Kündigung</x:v>
      </x:c>
      <x:c r="M440" s="5" t="n">
        <x:v>9</x:v>
      </x:c>
      <x:c r="N440" s="5" t="n">
        <x:v>7</x:v>
      </x:c>
      <x:c r="O440" s="5" t="str"/>
      <x:c r="P440" s="5" t="str">
        <x:v>Pilot freigegeben</x:v>
      </x:c>
      <x:c r="Q440" s="5" t="str">
        <x:v>Revision 2 unverändert übernommen</x:v>
      </x:c>
      <x:c r="R440" s="5" t="str">
        <x:v>Kann ein befristetes Arbeitsverhältnis gekündigt werden?</x:v>
      </x:c>
      <x:c r="S440" s="5" t="str">
        <x:v>9e13631a199baa128d301476deae3fcc7c244ba4e3b6b2a7fd681d0de66304ba</x:v>
      </x:c>
    </x:row>
    <x:row r="441" ht="36" customHeight="1">
      <x:c r="A441" s="5" t="str">
        <x:v>R-0030</x:v>
      </x:c>
      <x:c r="B441" s="5" t="str">
        <x:v>WQ</x:v>
      </x:c>
      <x:c r="C441" s="5" t="str">
        <x:v>3</x:v>
      </x:c>
      <x:c r="D441" s="5" t="str">
        <x:v>Recht und Steuern</x:v>
      </x:c>
      <x:c r="E441" s="5" t="str">
        <x:v>Recht</x:v>
      </x:c>
      <x:c r="F441" s="5" t="str">
        <x:v>ui-wq-recht-arbeit</x:v>
      </x:c>
      <x:c r="G441" s="5" t="str">
        <x:v>Arbeitsrecht</x:v>
      </x:c>
      <x:c r="H441" s="5" t="str">
        <x:v>tr-wq-r18</x:v>
      </x:c>
      <x:c r="I441" s="5" t="str">
        <x:v>3.1.5.3</x:v>
      </x:c>
      <x:c r="J441" s="5" t="str">
        <x:v>Schutzregeln im Arbeitsverhältnis</x:v>
      </x:c>
      <x:c r="K441" s="5" t="str"/>
      <x:c r="L441" s="5" t="str">
        <x:v>Betriebsverfassungs-, Tarif- &amp; Arbeitsschutzrecht</x:v>
      </x:c>
      <x:c r="M441" s="5" t="n">
        <x:v>10</x:v>
      </x:c>
      <x:c r="N441" s="5" t="n">
        <x:v>2</x:v>
      </x:c>
      <x:c r="O441" s="5" t="str"/>
      <x:c r="P441" s="5" t="str">
        <x:v>Pilot freigegeben</x:v>
      </x:c>
      <x:c r="Q441" s="5" t="str">
        <x:v>Revision 2 unverändert übernommen</x:v>
      </x:c>
      <x:c r="R441" s="5" t="str">
        <x:v>Welche tägliche Arbeitszeit gilt nach dem Arbeitszeitgesetz grundsätzlich für Arbeitnehmer, sofern keine tariflichen, gesetzlichen oder berufsspezifischen Sonderregelungen greifen?</x:v>
      </x:c>
      <x:c r="S441" s="5" t="str">
        <x:v>94b9fc8093732c2bc84c1f315bbc32657ebaf297d28a56cccd8bc80ed4ca69bf</x:v>
      </x:c>
    </x:row>
    <x:row r="442" ht="36" customHeight="1">
      <x:c r="A442" s="5" t="str">
        <x:v>R-0031</x:v>
      </x:c>
      <x:c r="B442" s="5" t="str">
        <x:v>WQ</x:v>
      </x:c>
      <x:c r="C442" s="5" t="str">
        <x:v>3</x:v>
      </x:c>
      <x:c r="D442" s="5" t="str">
        <x:v>Recht und Steuern</x:v>
      </x:c>
      <x:c r="E442" s="5" t="str">
        <x:v>Recht</x:v>
      </x:c>
      <x:c r="F442" s="5" t="str">
        <x:v>ui-wq-recht-sachen</x:v>
      </x:c>
      <x:c r="G442" s="5" t="str">
        <x:v>BGB Sachenrecht</x:v>
      </x:c>
      <x:c r="H442" s="5" t="str">
        <x:v>tr-wq-r08</x:v>
      </x:c>
      <x:c r="I442" s="5" t="str">
        <x:v>3.1.3.1</x:v>
      </x:c>
      <x:c r="J442" s="5" t="str">
        <x:v>Besitz und Eigentumsübertragung</x:v>
      </x:c>
      <x:c r="K442" s="5" t="str">
        <x:v>3.1.1.1</x:v>
      </x:c>
      <x:c r="L442" s="5" t="str">
        <x:v>Sachenrecht, Kreditsicherheiten &amp; Insolvenz</x:v>
      </x:c>
      <x:c r="M442" s="5" t="n">
        <x:v>1</x:v>
      </x:c>
      <x:c r="N442" s="5" t="n">
        <x:v>1</x:v>
      </x:c>
      <x:c r="O442" s="5" t="str"/>
      <x:c r="P442" s="5" t="str">
        <x:v>Pilot freigegeben</x:v>
      </x:c>
      <x:c r="Q442" s="5" t="str">
        <x:v>Revision 2 unverändert übernommen</x:v>
      </x:c>
      <x:c r="R442" s="5" t="str">
        <x:v>Was ist eine Sache? </x:v>
      </x:c>
      <x:c r="S442" s="5" t="str">
        <x:v>09e9b3f234c91e1e42ed46ffa59d252d458d2a2664b4ad70bf0072a38e8ee603</x:v>
      </x:c>
    </x:row>
    <x:row r="443" ht="36" customHeight="1">
      <x:c r="A443" s="5" t="str">
        <x:v>R-0032</x:v>
      </x:c>
      <x:c r="B443" s="5" t="str">
        <x:v>WQ</x:v>
      </x:c>
      <x:c r="C443" s="5" t="str">
        <x:v>3</x:v>
      </x:c>
      <x:c r="D443" s="5" t="str">
        <x:v>Recht und Steuern</x:v>
      </x:c>
      <x:c r="E443" s="5" t="str">
        <x:v>Recht</x:v>
      </x:c>
      <x:c r="F443" s="5" t="str">
        <x:v>ui-wq-recht-sachen</x:v>
      </x:c>
      <x:c r="G443" s="5" t="str">
        <x:v>BGB Sachenrecht</x:v>
      </x:c>
      <x:c r="H443" s="5" t="str">
        <x:v>tr-wq-r08</x:v>
      </x:c>
      <x:c r="I443" s="5" t="str">
        <x:v>3.1.3.1</x:v>
      </x:c>
      <x:c r="J443" s="5" t="str">
        <x:v>Besitz und Eigentumsübertragung</x:v>
      </x:c>
      <x:c r="K443" s="5" t="str"/>
      <x:c r="L443" s="5" t="str">
        <x:v>Sachenrecht, Kreditsicherheiten &amp; Insolvenz</x:v>
      </x:c>
      <x:c r="M443" s="5" t="n">
        <x:v>2</x:v>
      </x:c>
      <x:c r="N443" s="5" t="n">
        <x:v>2</x:v>
      </x:c>
      <x:c r="O443" s="5" t="str"/>
      <x:c r="P443" s="5" t="str">
        <x:v>Pilot freigegeben</x:v>
      </x:c>
      <x:c r="Q443" s="5" t="str">
        <x:v>Revision 2 unverändert übernommen</x:v>
      </x:c>
      <x:c r="R443" s="5" t="str">
        <x:v>Was ist der Unterschied zwischen Eigentum und Besitz? </x:v>
      </x:c>
      <x:c r="S443" s="5" t="str">
        <x:v>a7712a23d50fd5d328020cc6d7f2211470b5b661488a5b9d74bfc442f61b8dc7</x:v>
      </x:c>
    </x:row>
    <x:row r="444" ht="36" customHeight="1">
      <x:c r="A444" s="5" t="str">
        <x:v>R-0033</x:v>
      </x:c>
      <x:c r="B444" s="5" t="str">
        <x:v>WQ</x:v>
      </x:c>
      <x:c r="C444" s="5" t="str">
        <x:v>3</x:v>
      </x:c>
      <x:c r="D444" s="5" t="str">
        <x:v>Recht und Steuern</x:v>
      </x:c>
      <x:c r="E444" s="5" t="str">
        <x:v>Recht</x:v>
      </x:c>
      <x:c r="F444" s="5" t="str">
        <x:v>ui-wq-recht-sachen</x:v>
      </x:c>
      <x:c r="G444" s="5" t="str">
        <x:v>BGB Sachenrecht</x:v>
      </x:c>
      <x:c r="H444" s="5" t="str">
        <x:v>tr-wq-r08</x:v>
      </x:c>
      <x:c r="I444" s="5" t="str">
        <x:v>3.1.3.1</x:v>
      </x:c>
      <x:c r="J444" s="5" t="str">
        <x:v>Besitz und Eigentumsübertragung</x:v>
      </x:c>
      <x:c r="K444" s="5" t="str"/>
      <x:c r="L444" s="5" t="str">
        <x:v>Sachenrecht, Kreditsicherheiten &amp; Insolvenz</x:v>
      </x:c>
      <x:c r="M444" s="5" t="n">
        <x:v>3</x:v>
      </x:c>
      <x:c r="N444" s="5" t="n">
        <x:v>3</x:v>
      </x:c>
      <x:c r="O444" s="5" t="str"/>
      <x:c r="P444" s="5" t="str">
        <x:v>Pilot freigegeben</x:v>
      </x:c>
      <x:c r="Q444" s="5" t="str">
        <x:v>Revision 2 unverändert übernommen</x:v>
      </x:c>
      <x:c r="R444" s="5" t="str">
        <x:v>Wie wird das Eigentum an einer beweglichen Sache übertragen?</x:v>
      </x:c>
      <x:c r="S444" s="5" t="str">
        <x:v>5b753e65281ffed0513ee5b704e0ad935ab265fb4ce912631ce39981f05d8d82</x:v>
      </x:c>
    </x:row>
    <x:row r="445" ht="36" customHeight="1">
      <x:c r="A445" s="5" t="str">
        <x:v>R-0034</x:v>
      </x:c>
      <x:c r="B445" s="5" t="str">
        <x:v>WQ</x:v>
      </x:c>
      <x:c r="C445" s="5" t="str">
        <x:v>3</x:v>
      </x:c>
      <x:c r="D445" s="5" t="str">
        <x:v>Recht und Steuern</x:v>
      </x:c>
      <x:c r="E445" s="5" t="str">
        <x:v>Recht</x:v>
      </x:c>
      <x:c r="F445" s="5" t="str">
        <x:v>ui-wq-recht-sachen</x:v>
      </x:c>
      <x:c r="G445" s="5" t="str">
        <x:v>BGB Sachenrecht</x:v>
      </x:c>
      <x:c r="H445" s="5" t="str">
        <x:v>tr-wq-r08</x:v>
      </x:c>
      <x:c r="I445" s="5" t="str">
        <x:v>3.1.3.1</x:v>
      </x:c>
      <x:c r="J445" s="5" t="str">
        <x:v>Besitz und Eigentumsübertragung</x:v>
      </x:c>
      <x:c r="K445" s="5" t="str"/>
      <x:c r="L445" s="5" t="str">
        <x:v>Sachenrecht, Kreditsicherheiten &amp; Insolvenz</x:v>
      </x:c>
      <x:c r="M445" s="5" t="n">
        <x:v>4</x:v>
      </x:c>
      <x:c r="N445" s="5" t="n">
        <x:v>4</x:v>
      </x:c>
      <x:c r="O445" s="5" t="str"/>
      <x:c r="P445" s="5" t="str">
        <x:v>Pilot freigegeben</x:v>
      </x:c>
      <x:c r="Q445" s="5" t="str">
        <x:v>Revision 2 unverändert übernommen</x:v>
      </x:c>
      <x:c r="R445" s="5" t="str">
        <x:v>Wie wird das Eigentum an einem Grundstück übertragen? </x:v>
      </x:c>
      <x:c r="S445" s="5" t="str">
        <x:v>27dd469a1273a6a22b5d0b24d9c5b4224c1eeca4f0437976e4327e0945c14fe6</x:v>
      </x:c>
    </x:row>
    <x:row r="446" ht="36" customHeight="1">
      <x:c r="A446" s="5" t="str">
        <x:v>R-0035</x:v>
      </x:c>
      <x:c r="B446" s="5" t="str">
        <x:v>WQ</x:v>
      </x:c>
      <x:c r="C446" s="5" t="str">
        <x:v>3</x:v>
      </x:c>
      <x:c r="D446" s="5" t="str">
        <x:v>Recht und Steuern</x:v>
      </x:c>
      <x:c r="E446" s="5" t="str">
        <x:v>Recht</x:v>
      </x:c>
      <x:c r="F446" s="5" t="str">
        <x:v>ui-wq-recht-sachen</x:v>
      </x:c>
      <x:c r="G446" s="5" t="str">
        <x:v>BGB Sachenrecht</x:v>
      </x:c>
      <x:c r="H446" s="5" t="str">
        <x:v>tr-wq-r08</x:v>
      </x:c>
      <x:c r="I446" s="5" t="str">
        <x:v>3.1.3.1</x:v>
      </x:c>
      <x:c r="J446" s="5" t="str">
        <x:v>Besitz und Eigentumsübertragung</x:v>
      </x:c>
      <x:c r="K446" s="5" t="str"/>
      <x:c r="L446" s="5" t="str">
        <x:v>Sachenrecht, Kreditsicherheiten &amp; Insolvenz</x:v>
      </x:c>
      <x:c r="M446" s="5" t="n">
        <x:v>5</x:v>
      </x:c>
      <x:c r="N446" s="5" t="n">
        <x:v>5</x:v>
      </x:c>
      <x:c r="O446" s="5" t="str"/>
      <x:c r="P446" s="5" t="str">
        <x:v>Pilot freigegeben</x:v>
      </x:c>
      <x:c r="Q446" s="5" t="str">
        <x:v>Revision 2 unverändert übernommen</x:v>
      </x:c>
      <x:c r="R446" s="5" t="str">
        <x:v>Welche Formen des gutgläubigen Eigentumserwerbs kennen Sie? </x:v>
      </x:c>
      <x:c r="S446" s="5" t="str">
        <x:v>4fe985d4047d0e0642357b57fe4b1727d139e637cefb27f1f020f49e9a0b469b</x:v>
      </x:c>
    </x:row>
    <x:row r="447" ht="36" customHeight="1">
      <x:c r="A447" s="5" t="str">
        <x:v>R-0036</x:v>
      </x:c>
      <x:c r="B447" s="5" t="str">
        <x:v>WQ</x:v>
      </x:c>
      <x:c r="C447" s="5" t="str">
        <x:v>3</x:v>
      </x:c>
      <x:c r="D447" s="5" t="str">
        <x:v>Recht und Steuern</x:v>
      </x:c>
      <x:c r="E447" s="5" t="str">
        <x:v>Recht</x:v>
      </x:c>
      <x:c r="F447" s="5" t="str">
        <x:v>ui-wq-recht-sachen</x:v>
      </x:c>
      <x:c r="G447" s="5" t="str">
        <x:v>BGB Sachenrecht</x:v>
      </x:c>
      <x:c r="H447" s="5" t="str">
        <x:v>tr-wq-r08</x:v>
      </x:c>
      <x:c r="I447" s="5" t="str">
        <x:v>3.1.3.1</x:v>
      </x:c>
      <x:c r="J447" s="5" t="str">
        <x:v>Besitz und Eigentumsübertragung</x:v>
      </x:c>
      <x:c r="K447" s="5" t="str"/>
      <x:c r="L447" s="5" t="str">
        <x:v>Sachenrecht, Kreditsicherheiten &amp; Insolvenz</x:v>
      </x:c>
      <x:c r="M447" s="5" t="n">
        <x:v>6</x:v>
      </x:c>
      <x:c r="N447" s="5" t="n">
        <x:v>6</x:v>
      </x:c>
      <x:c r="O447" s="5" t="str"/>
      <x:c r="P447" s="5" t="str">
        <x:v>Pilot freigegeben</x:v>
      </x:c>
      <x:c r="Q447" s="5" t="str">
        <x:v>Revision 2 unverändert übernommen</x:v>
      </x:c>
      <x:c r="R447" s="5" t="str">
        <x:v>Was ist bei abhanden gekommenen Sachen zu beachten? </x:v>
      </x:c>
      <x:c r="S447" s="5" t="str">
        <x:v>a0f180c1b89808c06d892b238abeb6bf0396359362f155fcfa969687da7fd992</x:v>
      </x:c>
    </x:row>
    <x:row r="448" ht="36" customHeight="1">
      <x:c r="A448" s="5" t="str">
        <x:v>R-0037</x:v>
      </x:c>
      <x:c r="B448" s="5" t="str">
        <x:v>WQ</x:v>
      </x:c>
      <x:c r="C448" s="5" t="str">
        <x:v>3</x:v>
      </x:c>
      <x:c r="D448" s="5" t="str">
        <x:v>Recht und Steuern</x:v>
      </x:c>
      <x:c r="E448" s="5" t="str">
        <x:v>Recht</x:v>
      </x:c>
      <x:c r="F448" s="5" t="str">
        <x:v>ui-wq-recht-sachen</x:v>
      </x:c>
      <x:c r="G448" s="5" t="str">
        <x:v>BGB Sachenrecht</x:v>
      </x:c>
      <x:c r="H448" s="5" t="str">
        <x:v>tr-wq-r08</x:v>
      </x:c>
      <x:c r="I448" s="5" t="str">
        <x:v>3.1.3.1</x:v>
      </x:c>
      <x:c r="J448" s="5" t="str">
        <x:v>Besitz und Eigentumsübertragung</x:v>
      </x:c>
      <x:c r="K448" s="5" t="str"/>
      <x:c r="L448" s="5" t="str">
        <x:v>Sachenrecht, Kreditsicherheiten &amp; Insolvenz</x:v>
      </x:c>
      <x:c r="M448" s="5" t="n">
        <x:v>7</x:v>
      </x:c>
      <x:c r="N448" s="5" t="n">
        <x:v>7</x:v>
      </x:c>
      <x:c r="O448" s="5" t="str"/>
      <x:c r="P448" s="5" t="str">
        <x:v>Pilot freigegeben</x:v>
      </x:c>
      <x:c r="Q448" s="5" t="str">
        <x:v>Revision 2 unverändert übernommen</x:v>
      </x:c>
      <x:c r="R448" s="5" t="str">
        <x:v>Welche Folgen hat die Veräußerung einer Sache durch einen Leasingnehmer an einen 
gutgläubigen Dritten? </x:v>
      </x:c>
      <x:c r="S448" s="5" t="str">
        <x:v>ce33d2c257a427d171252a621d582e8a5ba5cd922dd742d6d2946d09f0be0c6f</x:v>
      </x:c>
    </x:row>
    <x:row r="449" ht="36" customHeight="1">
      <x:c r="A449" s="5" t="str">
        <x:v>R-0038</x:v>
      </x:c>
      <x:c r="B449" s="5" t="str">
        <x:v>WQ</x:v>
      </x:c>
      <x:c r="C449" s="5" t="str">
        <x:v>3</x:v>
      </x:c>
      <x:c r="D449" s="5" t="str">
        <x:v>Recht und Steuern</x:v>
      </x:c>
      <x:c r="E449" s="5" t="str">
        <x:v>Recht</x:v>
      </x:c>
      <x:c r="F449" s="5" t="str">
        <x:v>ui-wq-recht-sachen</x:v>
      </x:c>
      <x:c r="G449" s="5" t="str">
        <x:v>BGB Sachenrecht</x:v>
      </x:c>
      <x:c r="H449" s="5" t="str">
        <x:v>tr-wq-r08</x:v>
      </x:c>
      <x:c r="I449" s="5" t="str">
        <x:v>3.1.3.1</x:v>
      </x:c>
      <x:c r="J449" s="5" t="str">
        <x:v>Besitz und Eigentumsübertragung</x:v>
      </x:c>
      <x:c r="K449" s="5" t="str"/>
      <x:c r="L449" s="5" t="str">
        <x:v>Sachenrecht, Kreditsicherheiten &amp; Insolvenz</x:v>
      </x:c>
      <x:c r="M449" s="5" t="n">
        <x:v>8</x:v>
      </x:c>
      <x:c r="N449" s="5" t="n">
        <x:v>8</x:v>
      </x:c>
      <x:c r="O449" s="5" t="str"/>
      <x:c r="P449" s="5" t="str">
        <x:v>Pilot freigegeben</x:v>
      </x:c>
      <x:c r="Q449" s="5" t="str">
        <x:v>Revision 2 unverändert übernommen</x:v>
      </x:c>
      <x:c r="R449" s="5" t="str">
        <x:v>Was bedeutet Wohnungseigentum? </x:v>
      </x:c>
      <x:c r="S449" s="5" t="str">
        <x:v>9a5655b9e39eee92a773e6c0e6bf76a7d96e884f16fadf82fdcdfa4580978a66</x:v>
      </x:c>
    </x:row>
    <x:row r="450" ht="36" customHeight="1">
      <x:c r="A450" s="5" t="str">
        <x:v>R-0039</x:v>
      </x:c>
      <x:c r="B450" s="5" t="str">
        <x:v>WQ</x:v>
      </x:c>
      <x:c r="C450" s="5" t="str">
        <x:v>3</x:v>
      </x:c>
      <x:c r="D450" s="5" t="str">
        <x:v>Recht und Steuern</x:v>
      </x:c>
      <x:c r="E450" s="5" t="str">
        <x:v>Recht</x:v>
      </x:c>
      <x:c r="F450" s="5" t="str">
        <x:v>ui-wq-recht-sachen</x:v>
      </x:c>
      <x:c r="G450" s="5" t="str">
        <x:v>BGB Sachenrecht</x:v>
      </x:c>
      <x:c r="H450" s="5" t="str">
        <x:v>tr-wq-r09</x:v>
      </x:c>
      <x:c r="I450" s="5" t="str">
        <x:v>3.1.3.2</x:v>
      </x:c>
      <x:c r="J450" s="5" t="str">
        <x:v>Sicherheiten für Forderungen</x:v>
      </x:c>
      <x:c r="K450" s="5" t="str"/>
      <x:c r="L450" s="5" t="str">
        <x:v>Sachenrecht, Kreditsicherheiten &amp; Insolvenz</x:v>
      </x:c>
      <x:c r="M450" s="5" t="n">
        <x:v>9</x:v>
      </x:c>
      <x:c r="N450" s="5" t="n">
        <x:v>1</x:v>
      </x:c>
      <x:c r="O450" s="5" t="str"/>
      <x:c r="P450" s="5" t="str">
        <x:v>Pilot freigegeben</x:v>
      </x:c>
      <x:c r="Q450" s="5" t="str">
        <x:v>Revision 2 unverändert übernommen</x:v>
      </x:c>
      <x:c r="R450" s="5" t="str">
        <x:v>Was ist eine Hypothek? </x:v>
      </x:c>
      <x:c r="S450" s="5" t="str">
        <x:v>fd3bf0fb7fa7e7206fa7ad70902c191e91c1c3dae9027dcd6c7992e674e7235e</x:v>
      </x:c>
    </x:row>
    <x:row r="451" ht="36" customHeight="1">
      <x:c r="A451" s="5" t="str">
        <x:v>R-0040</x:v>
      </x:c>
      <x:c r="B451" s="5" t="str">
        <x:v>WQ</x:v>
      </x:c>
      <x:c r="C451" s="5" t="str">
        <x:v>3</x:v>
      </x:c>
      <x:c r="D451" s="5" t="str">
        <x:v>Recht und Steuern</x:v>
      </x:c>
      <x:c r="E451" s="5" t="str">
        <x:v>Recht</x:v>
      </x:c>
      <x:c r="F451" s="5" t="str">
        <x:v>ui-wq-recht-sachen</x:v>
      </x:c>
      <x:c r="G451" s="5" t="str">
        <x:v>BGB Sachenrecht</x:v>
      </x:c>
      <x:c r="H451" s="5" t="str">
        <x:v>tr-wq-r09</x:v>
      </x:c>
      <x:c r="I451" s="5" t="str">
        <x:v>3.1.3.2</x:v>
      </x:c>
      <x:c r="J451" s="5" t="str">
        <x:v>Sicherheiten für Forderungen</x:v>
      </x:c>
      <x:c r="K451" s="5" t="str"/>
      <x:c r="L451" s="5" t="str">
        <x:v>Sachenrecht, Kreditsicherheiten &amp; Insolvenz</x:v>
      </x:c>
      <x:c r="M451" s="5" t="n">
        <x:v>10</x:v>
      </x:c>
      <x:c r="N451" s="5" t="n">
        <x:v>2</x:v>
      </x:c>
      <x:c r="O451" s="5" t="str"/>
      <x:c r="P451" s="5" t="str">
        <x:v>Pilot freigegeben</x:v>
      </x:c>
      <x:c r="Q451" s="5" t="str">
        <x:v>Revision 2 unverändert übernommen</x:v>
      </x:c>
      <x:c r="R451" s="5" t="str">
        <x:v> Was ist eine Grundschuld? </x:v>
      </x:c>
      <x:c r="S451" s="5" t="str">
        <x:v>cfc74a7ff0c96ed453dc2d373ebba3ec9e41fc31aac3f4cb98f3d854047b328d</x:v>
      </x:c>
    </x:row>
    <x:row r="452" ht="36" customHeight="1">
      <x:c r="A452" s="5" t="str">
        <x:v>R-0041</x:v>
      </x:c>
      <x:c r="B452" s="5" t="str">
        <x:v>WQ</x:v>
      </x:c>
      <x:c r="C452" s="5" t="str">
        <x:v>3</x:v>
      </x:c>
      <x:c r="D452" s="5" t="str">
        <x:v>Recht und Steuern</x:v>
      </x:c>
      <x:c r="E452" s="5" t="str">
        <x:v>Recht</x:v>
      </x:c>
      <x:c r="F452" s="5" t="str">
        <x:v>ui-wq-recht-sachen</x:v>
      </x:c>
      <x:c r="G452" s="5" t="str">
        <x:v>BGB Sachenrecht</x:v>
      </x:c>
      <x:c r="H452" s="5" t="str">
        <x:v>tr-wq-r08</x:v>
      </x:c>
      <x:c r="I452" s="5" t="str">
        <x:v>3.1.3.1</x:v>
      </x:c>
      <x:c r="J452" s="5" t="str">
        <x:v>Besitz und Eigentumsübertragung</x:v>
      </x:c>
      <x:c r="K452" s="5" t="str"/>
      <x:c r="L452" s="5" t="str">
        <x:v>Sachenrecht, Kreditsicherheiten &amp; Insolvenz</x:v>
      </x:c>
      <x:c r="M452" s="5" t="n">
        <x:v>11</x:v>
      </x:c>
      <x:c r="N452" s="5" t="n">
        <x:v>9</x:v>
      </x:c>
      <x:c r="O452" s="5" t="str"/>
      <x:c r="P452" s="5" t="str">
        <x:v>Pilot freigegeben</x:v>
      </x:c>
      <x:c r="Q452" s="5" t="str">
        <x:v>Revision 2 unverändert übernommen</x:v>
      </x:c>
      <x:c r="R452" s="5" t="str">
        <x:v>Welche Dienstbarkeiten kennen Sie?</x:v>
      </x:c>
      <x:c r="S452" s="5" t="str">
        <x:v>fb9dbcdaa44e9c4f7da6281ff80615d31237ca0f934f5d147e63eafd09cdb029</x:v>
      </x:c>
    </x:row>
    <x:row r="453" ht="36" customHeight="1">
      <x:c r="A453" s="5" t="str">
        <x:v>R-0042</x:v>
      </x:c>
      <x:c r="B453" s="5" t="str">
        <x:v>WQ</x:v>
      </x:c>
      <x:c r="C453" s="5" t="str">
        <x:v>3</x:v>
      </x:c>
      <x:c r="D453" s="5" t="str">
        <x:v>Recht und Steuern</x:v>
      </x:c>
      <x:c r="E453" s="5" t="str">
        <x:v>Recht</x:v>
      </x:c>
      <x:c r="F453" s="5" t="str">
        <x:v>ui-wq-recht-sachen</x:v>
      </x:c>
      <x:c r="G453" s="5" t="str">
        <x:v>BGB Sachenrecht</x:v>
      </x:c>
      <x:c r="H453" s="5" t="str">
        <x:v>tr-wq-r08</x:v>
      </x:c>
      <x:c r="I453" s="5" t="str">
        <x:v>3.1.3.1</x:v>
      </x:c>
      <x:c r="J453" s="5" t="str">
        <x:v>Besitz und Eigentumsübertragung</x:v>
      </x:c>
      <x:c r="K453" s="5" t="str"/>
      <x:c r="L453" s="5" t="str">
        <x:v>Sachenrecht, Kreditsicherheiten &amp; Insolvenz</x:v>
      </x:c>
      <x:c r="M453" s="5" t="n">
        <x:v>12</x:v>
      </x:c>
      <x:c r="N453" s="5" t="n">
        <x:v>10</x:v>
      </x:c>
      <x:c r="O453" s="5" t="str"/>
      <x:c r="P453" s="5" t="str">
        <x:v>Pilot freigegeben</x:v>
      </x:c>
      <x:c r="Q453" s="5" t="str">
        <x:v>Revision 2 unverändert übernommen</x:v>
      </x:c>
      <x:c r="R453" s="5" t="str">
        <x:v>Was ist ein Erbbaurecht?</x:v>
      </x:c>
      <x:c r="S453" s="5" t="str">
        <x:v>ddb6527b9a993a7a30c7b0d68b9fc139cb62f8cfdaa7beced09770ede3efa213</x:v>
      </x:c>
    </x:row>
    <x:row r="454" ht="36" customHeight="1">
      <x:c r="A454" s="5" t="str">
        <x:v>R-0050</x:v>
      </x:c>
      <x:c r="B454" s="5" t="str">
        <x:v>WQ</x:v>
      </x:c>
      <x:c r="C454" s="5" t="str">
        <x:v>3</x:v>
      </x:c>
      <x:c r="D454" s="5" t="str">
        <x:v>Recht und Steuern</x:v>
      </x:c>
      <x:c r="E454" s="5" t="str">
        <x:v>Recht</x:v>
      </x:c>
      <x:c r="F454" s="5" t="str">
        <x:v>ui-wq-recht-at</x:v>
      </x:c>
      <x:c r="G454" s="5" t="str">
        <x:v>BGB Allgemeiner Teil</x:v>
      </x:c>
      <x:c r="H454" s="5" t="str">
        <x:v>tr-wq-r01</x:v>
      </x:c>
      <x:c r="I454" s="5" t="str">
        <x:v>3.1.1</x:v>
      </x:c>
      <x:c r="J454" s="5" t="str">
        <x:v>BGB: Personen, Rechtsgeschäfte und Vertretung</x:v>
      </x:c>
      <x:c r="K454" s="5" t="str"/>
      <x:c r="L454" s="5" t="str">
        <x:v>BGB Allgemeiner Teil</x:v>
      </x:c>
      <x:c r="M454" s="5" t="n">
        <x:v>1</x:v>
      </x:c>
      <x:c r="N454" s="5" t="n">
        <x:v>1</x:v>
      </x:c>
      <x:c r="O454" s="5" t="str"/>
      <x:c r="P454" s="5" t="str">
        <x:v>Pilot freigegeben</x:v>
      </x:c>
      <x:c r="Q454" s="5" t="str">
        <x:v>Revision 2 unverändert übernommen</x:v>
      </x:c>
      <x:c r="R454" s="5" t="str">
        <x:v>Was ist ein Erklärungsirrtum? </x:v>
      </x:c>
      <x:c r="S454" s="5" t="str">
        <x:v>abb07fba1bb4da78e364b0654403a6d6edbb2efd265f0e27aca9b0ebf33233e6</x:v>
      </x:c>
    </x:row>
    <x:row r="455" ht="36" customHeight="1">
      <x:c r="A455" s="5" t="str">
        <x:v>R-0051</x:v>
      </x:c>
      <x:c r="B455" s="5" t="str">
        <x:v>WQ</x:v>
      </x:c>
      <x:c r="C455" s="5" t="str">
        <x:v>3</x:v>
      </x:c>
      <x:c r="D455" s="5" t="str">
        <x:v>Recht und Steuern</x:v>
      </x:c>
      <x:c r="E455" s="5" t="str">
        <x:v>Recht</x:v>
      </x:c>
      <x:c r="F455" s="5" t="str">
        <x:v>ui-wq-recht-at</x:v>
      </x:c>
      <x:c r="G455" s="5" t="str">
        <x:v>BGB Allgemeiner Teil</x:v>
      </x:c>
      <x:c r="H455" s="5" t="str">
        <x:v>tr-wq-r01</x:v>
      </x:c>
      <x:c r="I455" s="5" t="str">
        <x:v>3.1.1</x:v>
      </x:c>
      <x:c r="J455" s="5" t="str">
        <x:v>BGB: Personen, Rechtsgeschäfte und Vertretung</x:v>
      </x:c>
      <x:c r="K455" s="5" t="str"/>
      <x:c r="L455" s="5" t="str">
        <x:v>BGB Allgemeiner Teil</x:v>
      </x:c>
      <x:c r="M455" s="5" t="n">
        <x:v>2</x:v>
      </x:c>
      <x:c r="N455" s="5" t="n">
        <x:v>2</x:v>
      </x:c>
      <x:c r="O455" s="5" t="str"/>
      <x:c r="P455" s="5" t="str">
        <x:v>Pilot freigegeben</x:v>
      </x:c>
      <x:c r="Q455" s="5" t="str">
        <x:v>Revision 2 unverändert übernommen</x:v>
      </x:c>
      <x:c r="R455" s="5" t="str">
        <x:v>Was ist ein Inhaltsirrtum? </x:v>
      </x:c>
      <x:c r="S455" s="5" t="str">
        <x:v>fd23313a038140de8363c0908bc63698410fdb9f4d32354e7190a19196a23f37</x:v>
      </x:c>
    </x:row>
    <x:row r="456" ht="36" customHeight="1">
      <x:c r="A456" s="5" t="str">
        <x:v>R-0052</x:v>
      </x:c>
      <x:c r="B456" s="5" t="str">
        <x:v>WQ</x:v>
      </x:c>
      <x:c r="C456" s="5" t="str">
        <x:v>3</x:v>
      </x:c>
      <x:c r="D456" s="5" t="str">
        <x:v>Recht und Steuern</x:v>
      </x:c>
      <x:c r="E456" s="5" t="str">
        <x:v>Recht</x:v>
      </x:c>
      <x:c r="F456" s="5" t="str">
        <x:v>ui-wq-recht-at</x:v>
      </x:c>
      <x:c r="G456" s="5" t="str">
        <x:v>BGB Allgemeiner Teil</x:v>
      </x:c>
      <x:c r="H456" s="5" t="str">
        <x:v>tr-wq-r01</x:v>
      </x:c>
      <x:c r="I456" s="5" t="str">
        <x:v>3.1.1</x:v>
      </x:c>
      <x:c r="J456" s="5" t="str">
        <x:v>BGB: Personen, Rechtsgeschäfte und Vertretung</x:v>
      </x:c>
      <x:c r="K456" s="5" t="str"/>
      <x:c r="L456" s="5" t="str">
        <x:v>BGB Allgemeiner Teil</x:v>
      </x:c>
      <x:c r="M456" s="5" t="n">
        <x:v>3</x:v>
      </x:c>
      <x:c r="N456" s="5" t="n">
        <x:v>3</x:v>
      </x:c>
      <x:c r="O456" s="5" t="str"/>
      <x:c r="P456" s="5" t="str">
        <x:v>Pilot freigegeben</x:v>
      </x:c>
      <x:c r="Q456" s="5" t="str">
        <x:v>Revision 2 unverändert übernommen</x:v>
      </x:c>
      <x:c r="R456" s="5" t="str">
        <x:v>Was ist ein Eigenschaftsirrtum? </x:v>
      </x:c>
      <x:c r="S456" s="5" t="str">
        <x:v>646ff06247af359fd0f038075857f3dff04a588faf4bdf2c81f09c1ab10d6d33</x:v>
      </x:c>
    </x:row>
    <x:row r="457" ht="36" customHeight="1">
      <x:c r="A457" s="5" t="str">
        <x:v>R-0053</x:v>
      </x:c>
      <x:c r="B457" s="5" t="str">
        <x:v>WQ</x:v>
      </x:c>
      <x:c r="C457" s="5" t="str">
        <x:v>3</x:v>
      </x:c>
      <x:c r="D457" s="5" t="str">
        <x:v>Recht und Steuern</x:v>
      </x:c>
      <x:c r="E457" s="5" t="str">
        <x:v>Recht</x:v>
      </x:c>
      <x:c r="F457" s="5" t="str">
        <x:v>ui-wq-recht-at</x:v>
      </x:c>
      <x:c r="G457" s="5" t="str">
        <x:v>BGB Allgemeiner Teil</x:v>
      </x:c>
      <x:c r="H457" s="5" t="str">
        <x:v>tr-wq-r01</x:v>
      </x:c>
      <x:c r="I457" s="5" t="str">
        <x:v>3.1.1</x:v>
      </x:c>
      <x:c r="J457" s="5" t="str">
        <x:v>BGB: Personen, Rechtsgeschäfte und Vertretung</x:v>
      </x:c>
      <x:c r="K457" s="5" t="str"/>
      <x:c r="L457" s="5" t="str">
        <x:v>BGB Allgemeiner Teil</x:v>
      </x:c>
      <x:c r="M457" s="5" t="n">
        <x:v>4</x:v>
      </x:c>
      <x:c r="N457" s="5" t="n">
        <x:v>4</x:v>
      </x:c>
      <x:c r="O457" s="5" t="str"/>
      <x:c r="P457" s="5" t="str">
        <x:v>Pilot freigegeben</x:v>
      </x:c>
      <x:c r="Q457" s="5" t="str">
        <x:v>Revision 2 unverändert übernommen</x:v>
      </x:c>
      <x:c r="R457" s="5" t="str">
        <x:v>Berechtigt ein Motivirrtum zur Anfechtung? </x:v>
      </x:c>
      <x:c r="S457" s="5" t="str">
        <x:v>8f6815b69de1b6a726c553560a217f371156883d21a4da0dd95e5c7510594c9e</x:v>
      </x:c>
    </x:row>
    <x:row r="458" ht="36" customHeight="1">
      <x:c r="A458" s="5" t="str">
        <x:v>R-0054</x:v>
      </x:c>
      <x:c r="B458" s="5" t="str">
        <x:v>WQ</x:v>
      </x:c>
      <x:c r="C458" s="5" t="str">
        <x:v>3</x:v>
      </x:c>
      <x:c r="D458" s="5" t="str">
        <x:v>Recht und Steuern</x:v>
      </x:c>
      <x:c r="E458" s="5" t="str">
        <x:v>Recht</x:v>
      </x:c>
      <x:c r="F458" s="5" t="str">
        <x:v>ui-wq-recht-at</x:v>
      </x:c>
      <x:c r="G458" s="5" t="str">
        <x:v>BGB Allgemeiner Teil</x:v>
      </x:c>
      <x:c r="H458" s="5" t="str">
        <x:v>tr-wq-r01</x:v>
      </x:c>
      <x:c r="I458" s="5" t="str">
        <x:v>3.1.1</x:v>
      </x:c>
      <x:c r="J458" s="5" t="str">
        <x:v>BGB: Personen, Rechtsgeschäfte und Vertretung</x:v>
      </x:c>
      <x:c r="K458" s="5" t="str"/>
      <x:c r="L458" s="5" t="str">
        <x:v>BGB Allgemeiner Teil</x:v>
      </x:c>
      <x:c r="M458" s="5" t="n">
        <x:v>5</x:v>
      </x:c>
      <x:c r="N458" s="5" t="n">
        <x:v>5</x:v>
      </x:c>
      <x:c r="O458" s="5" t="str"/>
      <x:c r="P458" s="5" t="str">
        <x:v>Pilot freigegeben</x:v>
      </x:c>
      <x:c r="Q458" s="5" t="str">
        <x:v>Revision 2 unverändert übernommen</x:v>
      </x:c>
      <x:c r="R458" s="5" t="str">
        <x:v>Was ist eine arglistige Täuschung? </x:v>
      </x:c>
      <x:c r="S458" s="5" t="str">
        <x:v>1fba24a96f0940da9061a8e167d831e7a233d587fb4e9ca717d44d441d21b564</x:v>
      </x:c>
    </x:row>
    <x:row r="459" ht="36" customHeight="1">
      <x:c r="A459" s="5" t="str">
        <x:v>R-0055</x:v>
      </x:c>
      <x:c r="B459" s="5" t="str">
        <x:v>WQ</x:v>
      </x:c>
      <x:c r="C459" s="5" t="str">
        <x:v>3</x:v>
      </x:c>
      <x:c r="D459" s="5" t="str">
        <x:v>Recht und Steuern</x:v>
      </x:c>
      <x:c r="E459" s="5" t="str">
        <x:v>Recht</x:v>
      </x:c>
      <x:c r="F459" s="5" t="str">
        <x:v>ui-wq-recht-at</x:v>
      </x:c>
      <x:c r="G459" s="5" t="str">
        <x:v>BGB Allgemeiner Teil</x:v>
      </x:c>
      <x:c r="H459" s="5" t="str">
        <x:v>tr-wq-r01</x:v>
      </x:c>
      <x:c r="I459" s="5" t="str">
        <x:v>3.1.1</x:v>
      </x:c>
      <x:c r="J459" s="5" t="str">
        <x:v>BGB: Personen, Rechtsgeschäfte und Vertretung</x:v>
      </x:c>
      <x:c r="K459" s="5" t="str"/>
      <x:c r="L459" s="5" t="str">
        <x:v>BGB Allgemeiner Teil</x:v>
      </x:c>
      <x:c r="M459" s="5" t="n">
        <x:v>6</x:v>
      </x:c>
      <x:c r="N459" s="5" t="n">
        <x:v>6</x:v>
      </x:c>
      <x:c r="O459" s="5" t="str"/>
      <x:c r="P459" s="5" t="str">
        <x:v>Pilot freigegeben</x:v>
      </x:c>
      <x:c r="Q459" s="5" t="str">
        <x:v>Revision 2 unverändert übernommen</x:v>
      </x:c>
      <x:c r="R459" s="5" t="str">
        <x:v>Was ist eine widerrechtliche Drohung?</x:v>
      </x:c>
      <x:c r="S459" s="5" t="str">
        <x:v>8e13e219b96715183d3e8d4e52dccc44ea2506413c7302bbc53075da3a7b4f7d</x:v>
      </x:c>
    </x:row>
    <x:row r="460" ht="36" customHeight="1">
      <x:c r="A460" s="5" t="str">
        <x:v>R-0056</x:v>
      </x:c>
      <x:c r="B460" s="5" t="str">
        <x:v>WQ</x:v>
      </x:c>
      <x:c r="C460" s="5" t="str">
        <x:v>3</x:v>
      </x:c>
      <x:c r="D460" s="5" t="str">
        <x:v>Recht und Steuern</x:v>
      </x:c>
      <x:c r="E460" s="5" t="str">
        <x:v>Recht</x:v>
      </x:c>
      <x:c r="F460" s="5" t="str">
        <x:v>ui-wq-recht-at</x:v>
      </x:c>
      <x:c r="G460" s="5" t="str">
        <x:v>BGB Allgemeiner Teil</x:v>
      </x:c>
      <x:c r="H460" s="5" t="str">
        <x:v>tr-wq-r01</x:v>
      </x:c>
      <x:c r="I460" s="5" t="str">
        <x:v>3.1.1</x:v>
      </x:c>
      <x:c r="J460" s="5" t="str">
        <x:v>BGB: Personen, Rechtsgeschäfte und Vertretung</x:v>
      </x:c>
      <x:c r="K460" s="5" t="str"/>
      <x:c r="L460" s="5" t="str">
        <x:v>BGB Allgemeiner Teil</x:v>
      </x:c>
      <x:c r="M460" s="5" t="n">
        <x:v>7</x:v>
      </x:c>
      <x:c r="N460" s="5" t="n">
        <x:v>7</x:v>
      </x:c>
      <x:c r="O460" s="5" t="str"/>
      <x:c r="P460" s="5" t="str">
        <x:v>Pilot freigegeben</x:v>
      </x:c>
      <x:c r="Q460" s="5" t="str">
        <x:v>Revision 2 unverändert übernommen</x:v>
      </x:c>
      <x:c r="R460" s="5" t="str">
        <x:v>In welcher Frist muss die Anfechtung wegen Irrtums oder wegen arglistiger Täuschung 
oder wegen widerrechtlicher Drohung erfolgen? </x:v>
      </x:c>
      <x:c r="S460" s="5" t="str">
        <x:v>ba17ddd7b021838d42a835c36e0773c58a1e44c03598a49e5c1250c7ad912da0</x:v>
      </x:c>
    </x:row>
    <x:row r="461" ht="36" customHeight="1">
      <x:c r="A461" s="5" t="str">
        <x:v>R-0057</x:v>
      </x:c>
      <x:c r="B461" s="5" t="str">
        <x:v>WQ</x:v>
      </x:c>
      <x:c r="C461" s="5" t="str">
        <x:v>3</x:v>
      </x:c>
      <x:c r="D461" s="5" t="str">
        <x:v>Recht und Steuern</x:v>
      </x:c>
      <x:c r="E461" s="5" t="str">
        <x:v>Recht</x:v>
      </x:c>
      <x:c r="F461" s="5" t="str">
        <x:v>ui-wq-recht-at</x:v>
      </x:c>
      <x:c r="G461" s="5" t="str">
        <x:v>BGB Allgemeiner Teil</x:v>
      </x:c>
      <x:c r="H461" s="5" t="str">
        <x:v>tr-wq-r01</x:v>
      </x:c>
      <x:c r="I461" s="5" t="str">
        <x:v>3.1.1</x:v>
      </x:c>
      <x:c r="J461" s="5" t="str">
        <x:v>BGB: Personen, Rechtsgeschäfte und Vertretung</x:v>
      </x:c>
      <x:c r="K461" s="5" t="str"/>
      <x:c r="L461" s="5" t="str">
        <x:v>BGB Allgemeiner Teil</x:v>
      </x:c>
      <x:c r="M461" s="5" t="n">
        <x:v>8</x:v>
      </x:c>
      <x:c r="N461" s="5" t="n">
        <x:v>8</x:v>
      </x:c>
      <x:c r="O461" s="5" t="str"/>
      <x:c r="P461" s="5" t="str">
        <x:v>Pilot freigegeben</x:v>
      </x:c>
      <x:c r="Q461" s="5" t="str">
        <x:v>Revision 2 unverändert übernommen</x:v>
      </x:c>
      <x:c r="R461" s="5" t="str">
        <x:v>Was kann länger dauern: „unverzüglich“ oder „sofort“? Was bedeutet „unverzüglich“? </x:v>
      </x:c>
      <x:c r="S461" s="5" t="str">
        <x:v>a31f5f1d0d7636020c02fde4253627042fed6f7720da1bc3d29c41ef761dc113</x:v>
      </x:c>
    </x:row>
    <x:row r="462" ht="36" customHeight="1">
      <x:c r="A462" s="5" t="str">
        <x:v>R-0058</x:v>
      </x:c>
      <x:c r="B462" s="5" t="str">
        <x:v>WQ</x:v>
      </x:c>
      <x:c r="C462" s="5" t="str">
        <x:v>3</x:v>
      </x:c>
      <x:c r="D462" s="5" t="str">
        <x:v>Recht und Steuern</x:v>
      </x:c>
      <x:c r="E462" s="5" t="str">
        <x:v>Recht</x:v>
      </x:c>
      <x:c r="F462" s="5" t="str">
        <x:v>ui-wq-recht-at</x:v>
      </x:c>
      <x:c r="G462" s="5" t="str">
        <x:v>BGB Allgemeiner Teil</x:v>
      </x:c>
      <x:c r="H462" s="5" t="str">
        <x:v>tr-wq-r01</x:v>
      </x:c>
      <x:c r="I462" s="5" t="str">
        <x:v>3.1.1</x:v>
      </x:c>
      <x:c r="J462" s="5" t="str">
        <x:v>BGB: Personen, Rechtsgeschäfte und Vertretung</x:v>
      </x:c>
      <x:c r="K462" s="5" t="str"/>
      <x:c r="L462" s="5" t="str">
        <x:v>BGB Allgemeiner Teil</x:v>
      </x:c>
      <x:c r="M462" s="5" t="n">
        <x:v>9</x:v>
      </x:c>
      <x:c r="N462" s="5" t="n">
        <x:v>9</x:v>
      </x:c>
      <x:c r="O462" s="5" t="str"/>
      <x:c r="P462" s="5" t="str">
        <x:v>Pilot freigegeben</x:v>
      </x:c>
      <x:c r="Q462" s="5" t="str">
        <x:v>Revision 2 unverändert übernommen</x:v>
      </x:c>
      <x:c r="R462" s="5" t="str">
        <x:v>Wem gegenüber muss die Anfechtung erklärt werden?</x:v>
      </x:c>
      <x:c r="S462" s="5" t="str">
        <x:v>7ae6c5426ec48a47e6df332914f1ebbb7514cec51f9df1b9249a996b884acf18</x:v>
      </x:c>
    </x:row>
    <x:row r="463" ht="36" customHeight="1">
      <x:c r="A463" s="5" t="str">
        <x:v>R-0059</x:v>
      </x:c>
      <x:c r="B463" s="5" t="str">
        <x:v>WQ</x:v>
      </x:c>
      <x:c r="C463" s="5" t="str">
        <x:v>3</x:v>
      </x:c>
      <x:c r="D463" s="5" t="str">
        <x:v>Recht und Steuern</x:v>
      </x:c>
      <x:c r="E463" s="5" t="str">
        <x:v>Recht</x:v>
      </x:c>
      <x:c r="F463" s="5" t="str">
        <x:v>ui-wq-recht-at</x:v>
      </x:c>
      <x:c r="G463" s="5" t="str">
        <x:v>BGB Allgemeiner Teil</x:v>
      </x:c>
      <x:c r="H463" s="5" t="str">
        <x:v>tr-wq-r01</x:v>
      </x:c>
      <x:c r="I463" s="5" t="str">
        <x:v>3.1.1</x:v>
      </x:c>
      <x:c r="J463" s="5" t="str">
        <x:v>BGB: Personen, Rechtsgeschäfte und Vertretung</x:v>
      </x:c>
      <x:c r="K463" s="5" t="str"/>
      <x:c r="L463" s="5" t="str">
        <x:v>BGB Allgemeiner Teil</x:v>
      </x:c>
      <x:c r="M463" s="5" t="n">
        <x:v>10</x:v>
      </x:c>
      <x:c r="N463" s="5" t="n">
        <x:v>10</x:v>
      </x:c>
      <x:c r="O463" s="5" t="str"/>
      <x:c r="P463" s="5" t="str">
        <x:v>Pilot freigegeben</x:v>
      </x:c>
      <x:c r="Q463" s="5" t="str">
        <x:v>Revision 2 unverändert übernommen</x:v>
      </x:c>
      <x:c r="R463" s="5" t="str">
        <x:v>Welche Rechtsfolgen hat die Anfechtung?</x:v>
      </x:c>
      <x:c r="S463" s="5" t="str">
        <x:v>2f9af0184fc3e3d089b3f25369b0e41f97bad92e638891ce61ea8a752552960e</x:v>
      </x:c>
    </x:row>
    <x:row r="464" ht="36" customHeight="1">
      <x:c r="A464" s="5" t="str">
        <x:v>R-0060</x:v>
      </x:c>
      <x:c r="B464" s="5" t="str">
        <x:v>WQ</x:v>
      </x:c>
      <x:c r="C464" s="5" t="str">
        <x:v>3</x:v>
      </x:c>
      <x:c r="D464" s="5" t="str">
        <x:v>Recht und Steuern</x:v>
      </x:c>
      <x:c r="E464" s="5" t="str">
        <x:v>Recht</x:v>
      </x:c>
      <x:c r="F464" s="5" t="str">
        <x:v>ui-wq-recht-at</x:v>
      </x:c>
      <x:c r="G464" s="5" t="str">
        <x:v>BGB Allgemeiner Teil</x:v>
      </x:c>
      <x:c r="H464" s="5" t="str">
        <x:v>tr-wq-r01</x:v>
      </x:c>
      <x:c r="I464" s="5" t="str">
        <x:v>3.1.1</x:v>
      </x:c>
      <x:c r="J464" s="5" t="str">
        <x:v>BGB: Personen, Rechtsgeschäfte und Vertretung</x:v>
      </x:c>
      <x:c r="K464" s="5" t="str"/>
      <x:c r="L464" s="5" t="str">
        <x:v>BGB Allgemeiner Teil</x:v>
      </x:c>
      <x:c r="M464" s="5" t="n">
        <x:v>11</x:v>
      </x:c>
      <x:c r="N464" s="5" t="n">
        <x:v>11</x:v>
      </x:c>
      <x:c r="O464" s="5" t="str"/>
      <x:c r="P464" s="5" t="str">
        <x:v>Pilot freigegeben</x:v>
      </x:c>
      <x:c r="Q464" s="5" t="str">
        <x:v>Revision 2 unverändert übernommen</x:v>
      </x:c>
      <x:c r="R464" s="5" t="str">
        <x:v>Wie ist das BGB aufgeteilt? Nennen Sie die einzelnen Teile! </x:v>
      </x:c>
      <x:c r="S464" s="5" t="str">
        <x:v>0b5ace0c31395ef16e01545ef0db8e20437ed179b08a5e8df0c13cfe77794245</x:v>
      </x:c>
    </x:row>
    <x:row r="465" ht="36" customHeight="1">
      <x:c r="A465" s="5" t="str">
        <x:v>R-0061</x:v>
      </x:c>
      <x:c r="B465" s="5" t="str">
        <x:v>WQ</x:v>
      </x:c>
      <x:c r="C465" s="5" t="str">
        <x:v>3</x:v>
      </x:c>
      <x:c r="D465" s="5" t="str">
        <x:v>Recht und Steuern</x:v>
      </x:c>
      <x:c r="E465" s="5" t="str">
        <x:v>Recht</x:v>
      </x:c>
      <x:c r="F465" s="5" t="str">
        <x:v>ui-wq-recht-at</x:v>
      </x:c>
      <x:c r="G465" s="5" t="str">
        <x:v>BGB Allgemeiner Teil</x:v>
      </x:c>
      <x:c r="H465" s="5" t="str">
        <x:v>tr-wq-r01</x:v>
      </x:c>
      <x:c r="I465" s="5" t="str">
        <x:v>3.1.1</x:v>
      </x:c>
      <x:c r="J465" s="5" t="str">
        <x:v>BGB: Personen, Rechtsgeschäfte und Vertretung</x:v>
      </x:c>
      <x:c r="K465" s="5" t="str"/>
      <x:c r="L465" s="5" t="str">
        <x:v>BGB Allgemeiner Teil</x:v>
      </x:c>
      <x:c r="M465" s="5" t="n">
        <x:v>12</x:v>
      </x:c>
      <x:c r="N465" s="5" t="n">
        <x:v>12</x:v>
      </x:c>
      <x:c r="O465" s="5" t="str"/>
      <x:c r="P465" s="5" t="str">
        <x:v>Pilot freigegeben</x:v>
      </x:c>
      <x:c r="Q465" s="5" t="str">
        <x:v>Revision 2 unverändert übernommen</x:v>
      </x:c>
      <x:c r="R465" s="5" t="str">
        <x:v>Welche Funktion hat der am Beginn stehende Teil? </x:v>
      </x:c>
      <x:c r="S465" s="5" t="str">
        <x:v>913fb91190f80a8c6cae3b895d97fffc9e9e3d2bb03f9ba052f8db467cb2e9bc</x:v>
      </x:c>
    </x:row>
    <x:row r="466" ht="36" customHeight="1">
      <x:c r="A466" s="5" t="str">
        <x:v>R-0062</x:v>
      </x:c>
      <x:c r="B466" s="5" t="str">
        <x:v>WQ</x:v>
      </x:c>
      <x:c r="C466" s="5" t="str">
        <x:v>3</x:v>
      </x:c>
      <x:c r="D466" s="5" t="str">
        <x:v>Recht und Steuern</x:v>
      </x:c>
      <x:c r="E466" s="5" t="str">
        <x:v>Recht</x:v>
      </x:c>
      <x:c r="F466" s="5" t="str">
        <x:v>ui-wq-recht-at</x:v>
      </x:c>
      <x:c r="G466" s="5" t="str">
        <x:v>BGB Allgemeiner Teil</x:v>
      </x:c>
      <x:c r="H466" s="5" t="str">
        <x:v>tr-wq-r01</x:v>
      </x:c>
      <x:c r="I466" s="5" t="str">
        <x:v>3.1.1</x:v>
      </x:c>
      <x:c r="J466" s="5" t="str">
        <x:v>BGB: Personen, Rechtsgeschäfte und Vertretung</x:v>
      </x:c>
      <x:c r="K466" s="5" t="str"/>
      <x:c r="L466" s="5" t="str">
        <x:v>BGB Allgemeiner Teil</x:v>
      </x:c>
      <x:c r="M466" s="5" t="n">
        <x:v>13</x:v>
      </x:c>
      <x:c r="N466" s="5" t="n">
        <x:v>13</x:v>
      </x:c>
      <x:c r="O466" s="5" t="str"/>
      <x:c r="P466" s="5" t="str">
        <x:v>Pilot freigegeben</x:v>
      </x:c>
      <x:c r="Q466" s="5" t="str">
        <x:v>Revision 2 unverändert übernommen</x:v>
      </x:c>
      <x:c r="R466" s="5" t="str">
        <x:v>Was ist ein Rechtsgeschäft?</x:v>
      </x:c>
      <x:c r="S466" s="5" t="str">
        <x:v>526f1468131d39eea27e2e94bb1b38ee3d106cf6ea981e2acf9278a26686de8d</x:v>
      </x:c>
    </x:row>
    <x:row r="467" ht="36" customHeight="1">
      <x:c r="A467" s="5" t="str">
        <x:v>R-0063</x:v>
      </x:c>
      <x:c r="B467" s="5" t="str">
        <x:v>WQ</x:v>
      </x:c>
      <x:c r="C467" s="5" t="str">
        <x:v>3</x:v>
      </x:c>
      <x:c r="D467" s="5" t="str">
        <x:v>Recht und Steuern</x:v>
      </x:c>
      <x:c r="E467" s="5" t="str">
        <x:v>Recht</x:v>
      </x:c>
      <x:c r="F467" s="5" t="str">
        <x:v>ui-wq-recht-at</x:v>
      </x:c>
      <x:c r="G467" s="5" t="str">
        <x:v>BGB Allgemeiner Teil</x:v>
      </x:c>
      <x:c r="H467" s="5" t="str">
        <x:v>tr-wq-r01</x:v>
      </x:c>
      <x:c r="I467" s="5" t="str">
        <x:v>3.1.1</x:v>
      </x:c>
      <x:c r="J467" s="5" t="str">
        <x:v>BGB: Personen, Rechtsgeschäfte und Vertretung</x:v>
      </x:c>
      <x:c r="K467" s="5" t="str"/>
      <x:c r="L467" s="5" t="str">
        <x:v>BGB Allgemeiner Teil</x:v>
      </x:c>
      <x:c r="M467" s="5" t="n">
        <x:v>14</x:v>
      </x:c>
      <x:c r="N467" s="5" t="n">
        <x:v>14</x:v>
      </x:c>
      <x:c r="O467" s="5" t="str"/>
      <x:c r="P467" s="5" t="str">
        <x:v>Pilot freigegeben</x:v>
      </x:c>
      <x:c r="Q467" s="5" t="str">
        <x:v>Revision 2 unverändert übernommen</x:v>
      </x:c>
      <x:c r="R467" s="5" t="str">
        <x:v>Was ist ein Realakt? </x:v>
      </x:c>
      <x:c r="S467" s="5" t="str">
        <x:v>9cda78a369c55abdb818743075e5e171cc818493de855a9d15818c5bd8adecdd</x:v>
      </x:c>
    </x:row>
    <x:row r="468" ht="36" customHeight="1">
      <x:c r="A468" s="5" t="str">
        <x:v>R-0064</x:v>
      </x:c>
      <x:c r="B468" s="5" t="str">
        <x:v>WQ</x:v>
      </x:c>
      <x:c r="C468" s="5" t="str">
        <x:v>3</x:v>
      </x:c>
      <x:c r="D468" s="5" t="str">
        <x:v>Recht und Steuern</x:v>
      </x:c>
      <x:c r="E468" s="5" t="str">
        <x:v>Recht</x:v>
      </x:c>
      <x:c r="F468" s="5" t="str">
        <x:v>ui-wq-recht-at</x:v>
      </x:c>
      <x:c r="G468" s="5" t="str">
        <x:v>BGB Allgemeiner Teil</x:v>
      </x:c>
      <x:c r="H468" s="5" t="str">
        <x:v>tr-wq-r01</x:v>
      </x:c>
      <x:c r="I468" s="5" t="str">
        <x:v>3.1.1</x:v>
      </x:c>
      <x:c r="J468" s="5" t="str">
        <x:v>BGB: Personen, Rechtsgeschäfte und Vertretung</x:v>
      </x:c>
      <x:c r="K468" s="5" t="str"/>
      <x:c r="L468" s="5" t="str">
        <x:v>BGB Allgemeiner Teil</x:v>
      </x:c>
      <x:c r="M468" s="5" t="n">
        <x:v>15</x:v>
      </x:c>
      <x:c r="N468" s="5" t="n">
        <x:v>15</x:v>
      </x:c>
      <x:c r="O468" s="5" t="str"/>
      <x:c r="P468" s="5" t="str">
        <x:v>Pilot freigegeben</x:v>
      </x:c>
      <x:c r="Q468" s="5" t="str">
        <x:v>Revision 2 unverändert übernommen</x:v>
      </x:c>
      <x:c r="R468" s="5" t="str">
        <x:v>Wie kommt ein Vertrag zustande?</x:v>
      </x:c>
      <x:c r="S468" s="5" t="str">
        <x:v>bc15d1f15ec3810a6d59591fa15d0a802b4a5e9a25212cce5173dfc8f5769367</x:v>
      </x:c>
    </x:row>
    <x:row r="469" ht="36" customHeight="1">
      <x:c r="A469" s="5" t="str">
        <x:v>R-0065</x:v>
      </x:c>
      <x:c r="B469" s="5" t="str">
        <x:v>WQ</x:v>
      </x:c>
      <x:c r="C469" s="5" t="str">
        <x:v>3</x:v>
      </x:c>
      <x:c r="D469" s="5" t="str">
        <x:v>Recht und Steuern</x:v>
      </x:c>
      <x:c r="E469" s="5" t="str">
        <x:v>Recht</x:v>
      </x:c>
      <x:c r="F469" s="5" t="str">
        <x:v>ui-wq-recht-at</x:v>
      </x:c>
      <x:c r="G469" s="5" t="str">
        <x:v>BGB Allgemeiner Teil</x:v>
      </x:c>
      <x:c r="H469" s="5" t="str">
        <x:v>tr-wq-r01</x:v>
      </x:c>
      <x:c r="I469" s="5" t="str">
        <x:v>3.1.1</x:v>
      </x:c>
      <x:c r="J469" s="5" t="str">
        <x:v>BGB: Personen, Rechtsgeschäfte und Vertretung</x:v>
      </x:c>
      <x:c r="K469" s="5" t="str"/>
      <x:c r="L469" s="5" t="str">
        <x:v>BGB Allgemeiner Teil</x:v>
      </x:c>
      <x:c r="M469" s="5" t="n">
        <x:v>16</x:v>
      </x:c>
      <x:c r="N469" s="5" t="n">
        <x:v>16</x:v>
      </x:c>
      <x:c r="O469" s="5" t="str"/>
      <x:c r="P469" s="5" t="str">
        <x:v>Pilot freigegeben</x:v>
      </x:c>
      <x:c r="Q469" s="5" t="str">
        <x:v>Revision 2 unverändert übernommen</x:v>
      </x:c>
      <x:c r="R469" s="5" t="str">
        <x:v>Was ist eine Willenserklärung? </x:v>
      </x:c>
      <x:c r="S469" s="5" t="str">
        <x:v>060eb6d1f282ef04051b6fef8a26c0a723bfe8d3f0cf84a2ca249d77443d5a5a</x:v>
      </x:c>
    </x:row>
    <x:row r="470" ht="36" customHeight="1">
      <x:c r="A470" s="5" t="str">
        <x:v>R-0066</x:v>
      </x:c>
      <x:c r="B470" s="5" t="str">
        <x:v>WQ</x:v>
      </x:c>
      <x:c r="C470" s="5" t="str">
        <x:v>3</x:v>
      </x:c>
      <x:c r="D470" s="5" t="str">
        <x:v>Recht und Steuern</x:v>
      </x:c>
      <x:c r="E470" s="5" t="str">
        <x:v>Recht</x:v>
      </x:c>
      <x:c r="F470" s="5" t="str">
        <x:v>ui-wq-recht-at</x:v>
      </x:c>
      <x:c r="G470" s="5" t="str">
        <x:v>BGB Allgemeiner Teil</x:v>
      </x:c>
      <x:c r="H470" s="5" t="str">
        <x:v>tr-wq-r01</x:v>
      </x:c>
      <x:c r="I470" s="5" t="str">
        <x:v>3.1.1</x:v>
      </x:c>
      <x:c r="J470" s="5" t="str">
        <x:v>BGB: Personen, Rechtsgeschäfte und Vertretung</x:v>
      </x:c>
      <x:c r="K470" s="5" t="str"/>
      <x:c r="L470" s="5" t="str">
        <x:v>BGB Allgemeiner Teil</x:v>
      </x:c>
      <x:c r="M470" s="5" t="n">
        <x:v>17</x:v>
      </x:c>
      <x:c r="N470" s="5" t="n">
        <x:v>17</x:v>
      </x:c>
      <x:c r="O470" s="5" t="str"/>
      <x:c r="P470" s="5" t="str">
        <x:v>Pilot freigegeben</x:v>
      </x:c>
      <x:c r="Q470" s="5" t="str">
        <x:v>Revision 2 unverändert übernommen</x:v>
      </x:c>
      <x:c r="R470" s="5" t="str">
        <x:v>Aus welchen Bestandteilen besteht eine Willenserklärung? </x:v>
      </x:c>
      <x:c r="S470" s="5" t="str">
        <x:v>6774cd19baf81e8eeac8be9a5d864e2619cc6f28ae7e8aa2e2799845665727c9</x:v>
      </x:c>
    </x:row>
    <x:row r="471" ht="36" customHeight="1">
      <x:c r="A471" s="5" t="str">
        <x:v>R-0067</x:v>
      </x:c>
      <x:c r="B471" s="5" t="str">
        <x:v>WQ</x:v>
      </x:c>
      <x:c r="C471" s="5" t="str">
        <x:v>3</x:v>
      </x:c>
      <x:c r="D471" s="5" t="str">
        <x:v>Recht und Steuern</x:v>
      </x:c>
      <x:c r="E471" s="5" t="str">
        <x:v>Recht</x:v>
      </x:c>
      <x:c r="F471" s="5" t="str">
        <x:v>ui-wq-recht-at</x:v>
      </x:c>
      <x:c r="G471" s="5" t="str">
        <x:v>BGB Allgemeiner Teil</x:v>
      </x:c>
      <x:c r="H471" s="5" t="str">
        <x:v>tr-wq-r01</x:v>
      </x:c>
      <x:c r="I471" s="5" t="str">
        <x:v>3.1.1</x:v>
      </x:c>
      <x:c r="J471" s="5" t="str">
        <x:v>BGB: Personen, Rechtsgeschäfte und Vertretung</x:v>
      </x:c>
      <x:c r="K471" s="5" t="str"/>
      <x:c r="L471" s="5" t="str">
        <x:v>BGB Allgemeiner Teil</x:v>
      </x:c>
      <x:c r="M471" s="5" t="n">
        <x:v>18</x:v>
      </x:c>
      <x:c r="N471" s="5" t="n">
        <x:v>18</x:v>
      </x:c>
      <x:c r="O471" s="5" t="str"/>
      <x:c r="P471" s="5" t="str">
        <x:v>Pilot freigegeben</x:v>
      </x:c>
      <x:c r="Q471" s="5" t="str">
        <x:v>Revision 2 unverändert übernommen</x:v>
      </x:c>
      <x:c r="R471" s="5" t="str">
        <x:v>Was bedeutet Abgabe einer Willenserklärung?</x:v>
      </x:c>
      <x:c r="S471" s="5" t="str">
        <x:v>099d7cb29868bb1c6913f263fcc97f082e546a2bbd8d8f7048048a2f3bb6e602</x:v>
      </x:c>
    </x:row>
    <x:row r="472" ht="36" customHeight="1">
      <x:c r="A472" s="5" t="str">
        <x:v>R-0068</x:v>
      </x:c>
      <x:c r="B472" s="5" t="str">
        <x:v>WQ</x:v>
      </x:c>
      <x:c r="C472" s="5" t="str">
        <x:v>3</x:v>
      </x:c>
      <x:c r="D472" s="5" t="str">
        <x:v>Recht und Steuern</x:v>
      </x:c>
      <x:c r="E472" s="5" t="str">
        <x:v>Recht</x:v>
      </x:c>
      <x:c r="F472" s="5" t="str">
        <x:v>ui-wq-recht-at</x:v>
      </x:c>
      <x:c r="G472" s="5" t="str">
        <x:v>BGB Allgemeiner Teil</x:v>
      </x:c>
      <x:c r="H472" s="5" t="str">
        <x:v>tr-wq-r01</x:v>
      </x:c>
      <x:c r="I472" s="5" t="str">
        <x:v>3.1.1</x:v>
      </x:c>
      <x:c r="J472" s="5" t="str">
        <x:v>BGB: Personen, Rechtsgeschäfte und Vertretung</x:v>
      </x:c>
      <x:c r="K472" s="5" t="str"/>
      <x:c r="L472" s="5" t="str">
        <x:v>BGB Allgemeiner Teil</x:v>
      </x:c>
      <x:c r="M472" s="5" t="n">
        <x:v>19</x:v>
      </x:c>
      <x:c r="N472" s="5" t="n">
        <x:v>19</x:v>
      </x:c>
      <x:c r="O472" s="5" t="str"/>
      <x:c r="P472" s="5" t="str">
        <x:v>Pilot freigegeben</x:v>
      </x:c>
      <x:c r="Q472" s="5" t="str">
        <x:v>Revision 2 unverändert übernommen</x:v>
      </x:c>
      <x:c r="R472" s="5" t="str">
        <x:v>Was bedeutet Zugang einer Willenserklärung? </x:v>
      </x:c>
      <x:c r="S472" s="5" t="str">
        <x:v>37bb5775c91ff49dfb9a8a85b4f05b71ad64d315cb24453f89b2c0997a5ba011</x:v>
      </x:c>
    </x:row>
    <x:row r="473" ht="36" customHeight="1">
      <x:c r="A473" s="5" t="str">
        <x:v>R-0069</x:v>
      </x:c>
      <x:c r="B473" s="5" t="str">
        <x:v>WQ</x:v>
      </x:c>
      <x:c r="C473" s="5" t="str">
        <x:v>3</x:v>
      </x:c>
      <x:c r="D473" s="5" t="str">
        <x:v>Recht und Steuern</x:v>
      </x:c>
      <x:c r="E473" s="5" t="str">
        <x:v>Recht</x:v>
      </x:c>
      <x:c r="F473" s="5" t="str">
        <x:v>ui-wq-recht-at</x:v>
      </x:c>
      <x:c r="G473" s="5" t="str">
        <x:v>BGB Allgemeiner Teil</x:v>
      </x:c>
      <x:c r="H473" s="5" t="str">
        <x:v>tr-wq-r01</x:v>
      </x:c>
      <x:c r="I473" s="5" t="str">
        <x:v>3.1.1</x:v>
      </x:c>
      <x:c r="J473" s="5" t="str">
        <x:v>BGB: Personen, Rechtsgeschäfte und Vertretung</x:v>
      </x:c>
      <x:c r="K473" s="5" t="str"/>
      <x:c r="L473" s="5" t="str">
        <x:v>BGB Allgemeiner Teil</x:v>
      </x:c>
      <x:c r="M473" s="5" t="n">
        <x:v>20</x:v>
      </x:c>
      <x:c r="N473" s="5" t="n">
        <x:v>20</x:v>
      </x:c>
      <x:c r="O473" s="5" t="str"/>
      <x:c r="P473" s="5" t="str">
        <x:v>Pilot freigegeben</x:v>
      </x:c>
      <x:c r="Q473" s="5" t="str">
        <x:v>Revision 2 unverändert übernommen</x:v>
      </x:c>
      <x:c r="R473" s="5" t="str">
        <x:v> Was ist ein Angebot im rechtlichen Sinne? Wo ist dies geregelt? </x:v>
      </x:c>
      <x:c r="S473" s="5" t="str">
        <x:v>c1d4c9dfd44f0786ddd43981d8071a182a06879857e44b6f7b0a67615f8e4426</x:v>
      </x:c>
    </x:row>
    <x:row r="474" ht="36" customHeight="1">
      <x:c r="A474" s="5" t="str">
        <x:v>R-0070</x:v>
      </x:c>
      <x:c r="B474" s="5" t="str">
        <x:v>WQ</x:v>
      </x:c>
      <x:c r="C474" s="5" t="str">
        <x:v>3</x:v>
      </x:c>
      <x:c r="D474" s="5" t="str">
        <x:v>Recht und Steuern</x:v>
      </x:c>
      <x:c r="E474" s="5" t="str">
        <x:v>Recht</x:v>
      </x:c>
      <x:c r="F474" s="5" t="str">
        <x:v>ui-wq-recht-handel</x:v>
      </x:c>
      <x:c r="G474" s="5" t="str">
        <x:v>Handelsrecht</x:v>
      </x:c>
      <x:c r="H474" s="5" t="str">
        <x:v>tr-wq-r11</x:v>
      </x:c>
      <x:c r="I474" s="5" t="str">
        <x:v>3.1.4.1</x:v>
      </x:c>
      <x:c r="J474" s="5" t="str">
        <x:v>Kaufleute und Firma</x:v>
      </x:c>
      <x:c r="K474" s="5" t="str"/>
      <x:c r="L474" s="5" t="str">
        <x:v>Handelsrecht</x:v>
      </x:c>
      <x:c r="M474" s="5" t="n">
        <x:v>1</x:v>
      </x:c>
      <x:c r="N474" s="5" t="n">
        <x:v>1</x:v>
      </x:c>
      <x:c r="O474" s="5" t="str"/>
      <x:c r="P474" s="5" t="str">
        <x:v>Pilot freigegeben</x:v>
      </x:c>
      <x:c r="Q474" s="5" t="str">
        <x:v>Revision 2 unverändert übernommen</x:v>
      </x:c>
      <x:c r="R474" s="5" t="str">
        <x:v>Welchen spezifischen Zweck hat das HGB? </x:v>
      </x:c>
      <x:c r="S474" s="5" t="str">
        <x:v>6ae8bd7bb38b581ce03488589aee330a347280d3e3dda9d032bd2dffc1fc3566</x:v>
      </x:c>
    </x:row>
    <x:row r="475" ht="36" customHeight="1">
      <x:c r="A475" s="5" t="str">
        <x:v>R-0071</x:v>
      </x:c>
      <x:c r="B475" s="5" t="str">
        <x:v>WQ</x:v>
      </x:c>
      <x:c r="C475" s="5" t="str">
        <x:v>3</x:v>
      </x:c>
      <x:c r="D475" s="5" t="str">
        <x:v>Recht und Steuern</x:v>
      </x:c>
      <x:c r="E475" s="5" t="str">
        <x:v>Recht</x:v>
      </x:c>
      <x:c r="F475" s="5" t="str">
        <x:v>ui-wq-recht-handel</x:v>
      </x:c>
      <x:c r="G475" s="5" t="str">
        <x:v>Handelsrecht</x:v>
      </x:c>
      <x:c r="H475" s="5" t="str">
        <x:v>tr-wq-r11</x:v>
      </x:c>
      <x:c r="I475" s="5" t="str">
        <x:v>3.1.4.1</x:v>
      </x:c>
      <x:c r="J475" s="5" t="str">
        <x:v>Kaufleute und Firma</x:v>
      </x:c>
      <x:c r="K475" s="5" t="str"/>
      <x:c r="L475" s="5" t="str">
        <x:v>Handelsrecht</x:v>
      </x:c>
      <x:c r="M475" s="5" t="n">
        <x:v>2</x:v>
      </x:c>
      <x:c r="N475" s="5" t="n">
        <x:v>2</x:v>
      </x:c>
      <x:c r="O475" s="5" t="str"/>
      <x:c r="P475" s="5" t="str">
        <x:v>Pilot freigegeben</x:v>
      </x:c>
      <x:c r="Q475" s="5" t="str">
        <x:v>Revision 2 unverändert übernommen</x:v>
      </x:c>
      <x:c r="R475" s="5" t="str">
        <x:v>Für wen gilt das HGB?</x:v>
      </x:c>
      <x:c r="S475" s="5" t="str">
        <x:v>4ee8e6810b53b656a956d5f5c546570d9eea4e529ef40d89984aa66985308825</x:v>
      </x:c>
    </x:row>
    <x:row r="476" ht="36" customHeight="1">
      <x:c r="A476" s="5" t="str">
        <x:v>R-0072</x:v>
      </x:c>
      <x:c r="B476" s="5" t="str">
        <x:v>WQ</x:v>
      </x:c>
      <x:c r="C476" s="5" t="str">
        <x:v>3</x:v>
      </x:c>
      <x:c r="D476" s="5" t="str">
        <x:v>Recht und Steuern</x:v>
      </x:c>
      <x:c r="E476" s="5" t="str">
        <x:v>Recht</x:v>
      </x:c>
      <x:c r="F476" s="5" t="str">
        <x:v>ui-wq-recht-handel</x:v>
      </x:c>
      <x:c r="G476" s="5" t="str">
        <x:v>Handelsrecht</x:v>
      </x:c>
      <x:c r="H476" s="5" t="str">
        <x:v>tr-wq-r11</x:v>
      </x:c>
      <x:c r="I476" s="5" t="str">
        <x:v>3.1.4.1</x:v>
      </x:c>
      <x:c r="J476" s="5" t="str">
        <x:v>Kaufleute und Firma</x:v>
      </x:c>
      <x:c r="K476" s="5" t="str"/>
      <x:c r="L476" s="5" t="str">
        <x:v>Handelsrecht</x:v>
      </x:c>
      <x:c r="M476" s="5" t="n">
        <x:v>3</x:v>
      </x:c>
      <x:c r="N476" s="5" t="n">
        <x:v>3</x:v>
      </x:c>
      <x:c r="O476" s="5" t="str"/>
      <x:c r="P476" s="5" t="str">
        <x:v>Pilot freigegeben</x:v>
      </x:c>
      <x:c r="Q476" s="5" t="str">
        <x:v>Revision 2 unverändert übernommen</x:v>
      </x:c>
      <x:c r="R476" s="5" t="str">
        <x:v>Was ist im HGB geregelt?</x:v>
      </x:c>
      <x:c r="S476" s="5" t="str">
        <x:v>151deb091aa5ef4845a08f4a16d916c057e2ca039611d52637af662ee79bf8b8</x:v>
      </x:c>
    </x:row>
    <x:row r="477" ht="36" customHeight="1">
      <x:c r="A477" s="5" t="str">
        <x:v>R-0073</x:v>
      </x:c>
      <x:c r="B477" s="5" t="str">
        <x:v>WQ</x:v>
      </x:c>
      <x:c r="C477" s="5" t="str">
        <x:v>3</x:v>
      </x:c>
      <x:c r="D477" s="5" t="str">
        <x:v>Recht und Steuern</x:v>
      </x:c>
      <x:c r="E477" s="5" t="str">
        <x:v>Recht</x:v>
      </x:c>
      <x:c r="F477" s="5" t="str">
        <x:v>ui-wq-recht-handel</x:v>
      </x:c>
      <x:c r="G477" s="5" t="str">
        <x:v>Handelsrecht</x:v>
      </x:c>
      <x:c r="H477" s="5" t="str">
        <x:v>tr-wq-r11</x:v>
      </x:c>
      <x:c r="I477" s="5" t="str">
        <x:v>3.1.4.1</x:v>
      </x:c>
      <x:c r="J477" s="5" t="str">
        <x:v>Kaufleute und Firma</x:v>
      </x:c>
      <x:c r="K477" s="5" t="str"/>
      <x:c r="L477" s="5" t="str">
        <x:v>Handelsrecht</x:v>
      </x:c>
      <x:c r="M477" s="5" t="n">
        <x:v>4</x:v>
      </x:c>
      <x:c r="N477" s="5" t="n">
        <x:v>4</x:v>
      </x:c>
      <x:c r="O477" s="5" t="str"/>
      <x:c r="P477" s="5" t="str">
        <x:v>Pilot freigegeben</x:v>
      </x:c>
      <x:c r="Q477" s="5" t="str">
        <x:v>Revision 2 unverändert übernommen</x:v>
      </x:c>
      <x:c r="R477" s="5" t="str">
        <x:v>Welche Arten von Kaufleuten werden nach dem HGB unterschieden? </x:v>
      </x:c>
      <x:c r="S477" s="5" t="str">
        <x:v>59d914754e521cd8b964cf10d267eb5bd157fb063f1ad1d483784de7e5e31c6e</x:v>
      </x:c>
    </x:row>
    <x:row r="478" ht="36" customHeight="1">
      <x:c r="A478" s="5" t="str">
        <x:v>R-0074</x:v>
      </x:c>
      <x:c r="B478" s="5" t="str">
        <x:v>WQ</x:v>
      </x:c>
      <x:c r="C478" s="5" t="str">
        <x:v>3</x:v>
      </x:c>
      <x:c r="D478" s="5" t="str">
        <x:v>Recht und Steuern</x:v>
      </x:c>
      <x:c r="E478" s="5" t="str">
        <x:v>Recht</x:v>
      </x:c>
      <x:c r="F478" s="5" t="str">
        <x:v>ui-wq-recht-handel</x:v>
      </x:c>
      <x:c r="G478" s="5" t="str">
        <x:v>Handelsrecht</x:v>
      </x:c>
      <x:c r="H478" s="5" t="str">
        <x:v>tr-wq-r11</x:v>
      </x:c>
      <x:c r="I478" s="5" t="str">
        <x:v>3.1.4.1</x:v>
      </x:c>
      <x:c r="J478" s="5" t="str">
        <x:v>Kaufleute und Firma</x:v>
      </x:c>
      <x:c r="K478" s="5" t="str"/>
      <x:c r="L478" s="5" t="str">
        <x:v>Handelsrecht</x:v>
      </x:c>
      <x:c r="M478" s="5" t="n">
        <x:v>5</x:v>
      </x:c>
      <x:c r="N478" s="5" t="n">
        <x:v>5</x:v>
      </x:c>
      <x:c r="O478" s="5" t="str"/>
      <x:c r="P478" s="5" t="str">
        <x:v>Pilot freigegeben</x:v>
      </x:c>
      <x:c r="Q478" s="5" t="str">
        <x:v>Revision 2 unverändert übernommen</x:v>
      </x:c>
      <x:c r="R478" s="5" t="str">
        <x:v>Wodurch unterscheiden sich diese verschiedenen Arten der Kaufleute? Wann ist je
mand Kaufmann?</x:v>
      </x:c>
      <x:c r="S478" s="5" t="str">
        <x:v>efa04a7bbbbb1750013f190e1e4a6ed2ee555c6f3a9cdce5c6adc3e48e698046</x:v>
      </x:c>
    </x:row>
    <x:row r="479" ht="36" customHeight="1">
      <x:c r="A479" s="5" t="str">
        <x:v>R-0075</x:v>
      </x:c>
      <x:c r="B479" s="5" t="str">
        <x:v>WQ</x:v>
      </x:c>
      <x:c r="C479" s="5" t="str">
        <x:v>3</x:v>
      </x:c>
      <x:c r="D479" s="5" t="str">
        <x:v>Recht und Steuern</x:v>
      </x:c>
      <x:c r="E479" s="5" t="str">
        <x:v>Recht</x:v>
      </x:c>
      <x:c r="F479" s="5" t="str">
        <x:v>ui-wq-recht-handel</x:v>
      </x:c>
      <x:c r="G479" s="5" t="str">
        <x:v>Handelsrecht</x:v>
      </x:c>
      <x:c r="H479" s="5" t="str">
        <x:v>tr-wq-r11</x:v>
      </x:c>
      <x:c r="I479" s="5" t="str">
        <x:v>3.1.4.1</x:v>
      </x:c>
      <x:c r="J479" s="5" t="str">
        <x:v>Kaufleute und Firma</x:v>
      </x:c>
      <x:c r="K479" s="5" t="str"/>
      <x:c r="L479" s="5" t="str">
        <x:v>Handelsrecht</x:v>
      </x:c>
      <x:c r="M479" s="5" t="n">
        <x:v>6</x:v>
      </x:c>
      <x:c r="N479" s="5" t="n">
        <x:v>6</x:v>
      </x:c>
      <x:c r="O479" s="5" t="str"/>
      <x:c r="P479" s="5" t="str">
        <x:v>Pilot freigegeben</x:v>
      </x:c>
      <x:c r="Q479" s="5" t="str">
        <x:v>Revision 2 unverändert übernommen</x:v>
      </x:c>
      <x:c r="R479" s="5" t="str">
        <x:v>Von welcher Berufskategorie sind Kaufleute insbesondere abzugrenzen? Was ist das 
Abgrenzungskriterium? </x:v>
      </x:c>
      <x:c r="S479" s="5" t="str">
        <x:v>23e9abc1b26c05d5aabd7855f476467d15857fcc32c38c5c8c8afb7c1d73c8b9</x:v>
      </x:c>
    </x:row>
    <x:row r="480" ht="36" customHeight="1">
      <x:c r="A480" s="5" t="str">
        <x:v>R-0076</x:v>
      </x:c>
      <x:c r="B480" s="5" t="str">
        <x:v>WQ</x:v>
      </x:c>
      <x:c r="C480" s="5" t="str">
        <x:v>3</x:v>
      </x:c>
      <x:c r="D480" s="5" t="str">
        <x:v>Recht und Steuern</x:v>
      </x:c>
      <x:c r="E480" s="5" t="str">
        <x:v>Recht</x:v>
      </x:c>
      <x:c r="F480" s="5" t="str">
        <x:v>ui-wq-recht-handel</x:v>
      </x:c>
      <x:c r="G480" s="5" t="str">
        <x:v>Handelsrecht</x:v>
      </x:c>
      <x:c r="H480" s="5" t="str">
        <x:v>tr-wq-r11</x:v>
      </x:c>
      <x:c r="I480" s="5" t="str">
        <x:v>3.1.4.1</x:v>
      </x:c>
      <x:c r="J480" s="5" t="str">
        <x:v>Kaufleute und Firma</x:v>
      </x:c>
      <x:c r="K480" s="5" t="str"/>
      <x:c r="L480" s="5" t="str">
        <x:v>Handelsrecht</x:v>
      </x:c>
      <x:c r="M480" s="5" t="n">
        <x:v>7</x:v>
      </x:c>
      <x:c r="N480" s="5" t="n">
        <x:v>7</x:v>
      </x:c>
      <x:c r="O480" s="5" t="str"/>
      <x:c r="P480" s="5" t="str">
        <x:v>Pilot freigegeben</x:v>
      </x:c>
      <x:c r="Q480" s="5" t="str">
        <x:v>Revision 2 unverändert übernommen</x:v>
      </x:c>
      <x:c r="R480" s="5" t="str">
        <x:v>Gelten für Gesellschaften auch die Vorschriften über Kaufleute? Ist gegebenenfalls 
zwischen Gesellschaftsformen zu unterscheiden? Wenn ja, inwiefern?</x:v>
      </x:c>
      <x:c r="S480" s="5" t="str">
        <x:v>0f8fe3fcb35148df1d6bd96d71b0324fb130ad10b605bc742a31853949371487</x:v>
      </x:c>
    </x:row>
    <x:row r="481" ht="36" customHeight="1">
      <x:c r="A481" s="5" t="str">
        <x:v>R-0077</x:v>
      </x:c>
      <x:c r="B481" s="5" t="str">
        <x:v>WQ</x:v>
      </x:c>
      <x:c r="C481" s="5" t="str">
        <x:v>3</x:v>
      </x:c>
      <x:c r="D481" s="5" t="str">
        <x:v>Recht und Steuern</x:v>
      </x:c>
      <x:c r="E481" s="5" t="str">
        <x:v>Recht</x:v>
      </x:c>
      <x:c r="F481" s="5" t="str">
        <x:v>ui-wq-recht-handel</x:v>
      </x:c>
      <x:c r="G481" s="5" t="str">
        <x:v>Handelsrecht</x:v>
      </x:c>
      <x:c r="H481" s="5" t="str">
        <x:v>tr-wq-r11</x:v>
      </x:c>
      <x:c r="I481" s="5" t="str">
        <x:v>3.1.4.1</x:v>
      </x:c>
      <x:c r="J481" s="5" t="str">
        <x:v>Kaufleute und Firma</x:v>
      </x:c>
      <x:c r="K481" s="5" t="str"/>
      <x:c r="L481" s="5" t="str">
        <x:v>Handelsrecht</x:v>
      </x:c>
      <x:c r="M481" s="5" t="n">
        <x:v>8</x:v>
      </x:c>
      <x:c r="N481" s="5" t="n">
        <x:v>8</x:v>
      </x:c>
      <x:c r="O481" s="5" t="str"/>
      <x:c r="P481" s="5" t="str">
        <x:v>Pilot freigegeben</x:v>
      </x:c>
      <x:c r="Q481" s="5" t="str">
        <x:v>Revision 2 unverändert übernommen</x:v>
      </x:c>
      <x:c r="R481" s="5" t="str">
        <x:v>Was ist die Firma? </x:v>
      </x:c>
      <x:c r="S481" s="5" t="str">
        <x:v>58b76b6d60747c25c2fbb7aa9ada06c0c0c8f9f2516f0be0d005c5bd69a8ab0c</x:v>
      </x:c>
    </x:row>
    <x:row r="482" ht="36" customHeight="1">
      <x:c r="A482" s="5" t="str">
        <x:v>R-0078</x:v>
      </x:c>
      <x:c r="B482" s="5" t="str">
        <x:v>WQ</x:v>
      </x:c>
      <x:c r="C482" s="5" t="str">
        <x:v>3</x:v>
      </x:c>
      <x:c r="D482" s="5" t="str">
        <x:v>Recht und Steuern</x:v>
      </x:c>
      <x:c r="E482" s="5" t="str">
        <x:v>Recht</x:v>
      </x:c>
      <x:c r="F482" s="5" t="str">
        <x:v>ui-wq-recht-handel</x:v>
      </x:c>
      <x:c r="G482" s="5" t="str">
        <x:v>Handelsrecht</x:v>
      </x:c>
      <x:c r="H482" s="5" t="str">
        <x:v>tr-wq-r12</x:v>
      </x:c>
      <x:c r="I482" s="5" t="str">
        <x:v>3.1.4.2</x:v>
      </x:c>
      <x:c r="J482" s="5" t="str">
        <x:v>Register und Publizität</x:v>
      </x:c>
      <x:c r="K482" s="5" t="str"/>
      <x:c r="L482" s="5" t="str">
        <x:v>Handelsrecht</x:v>
      </x:c>
      <x:c r="M482" s="5" t="n">
        <x:v>9</x:v>
      </x:c>
      <x:c r="N482" s="5" t="n">
        <x:v>1</x:v>
      </x:c>
      <x:c r="O482" s="5" t="str"/>
      <x:c r="P482" s="5" t="str">
        <x:v>Pilot freigegeben</x:v>
      </x:c>
      <x:c r="Q482" s="5" t="str">
        <x:v>Revision 2 unverändert übernommen</x:v>
      </x:c>
      <x:c r="R482" s="5" t="str">
        <x:v>Was ist das Handelsregister? Wer führt das Handelsregister? Welchen Zweck hat das 
Handelsregister? </x:v>
      </x:c>
      <x:c r="S482" s="5" t="str">
        <x:v>0cb2752e54217df8dcbd9afa2ee4f5091a7f2e9a8fb5bdaeb24a5de6eeb35822</x:v>
      </x:c>
    </x:row>
    <x:row r="483" ht="36" customHeight="1">
      <x:c r="A483" s="5" t="str">
        <x:v>R-0079</x:v>
      </x:c>
      <x:c r="B483" s="5" t="str">
        <x:v>WQ</x:v>
      </x:c>
      <x:c r="C483" s="5" t="str">
        <x:v>3</x:v>
      </x:c>
      <x:c r="D483" s="5" t="str">
        <x:v>Recht und Steuern</x:v>
      </x:c>
      <x:c r="E483" s="5" t="str">
        <x:v>Recht</x:v>
      </x:c>
      <x:c r="F483" s="5" t="str">
        <x:v>ui-wq-recht-handel</x:v>
      </x:c>
      <x:c r="G483" s="5" t="str">
        <x:v>Handelsrecht</x:v>
      </x:c>
      <x:c r="H483" s="5" t="str">
        <x:v>tr-wq-r12</x:v>
      </x:c>
      <x:c r="I483" s="5" t="str">
        <x:v>3.1.4.2</x:v>
      </x:c>
      <x:c r="J483" s="5" t="str">
        <x:v>Register und Publizität</x:v>
      </x:c>
      <x:c r="K483" s="5" t="str"/>
      <x:c r="L483" s="5" t="str">
        <x:v>Handelsrecht</x:v>
      </x:c>
      <x:c r="M483" s="5" t="n">
        <x:v>10</x:v>
      </x:c>
      <x:c r="N483" s="5" t="n">
        <x:v>2</x:v>
      </x:c>
      <x:c r="O483" s="5" t="str"/>
      <x:c r="P483" s="5" t="str">
        <x:v>Pilot freigegeben</x:v>
      </x:c>
      <x:c r="Q483" s="5" t="str">
        <x:v>Revision 2 unverändert übernommen</x:v>
      </x:c>
      <x:c r="R483" s="5" t="str">
        <x:v> Was wird im Handelsregister eingetragen? </x:v>
      </x:c>
      <x:c r="S483" s="5" t="str">
        <x:v>c9a661c7635174c80932babc546b8094f5022ed87cea824082769b3c32a62769</x:v>
      </x:c>
    </x:row>
    <x:row r="484" ht="36" customHeight="1">
      <x:c r="A484" s="5" t="str">
        <x:v>R-0080</x:v>
      </x:c>
      <x:c r="B484" s="5" t="str">
        <x:v>WQ</x:v>
      </x:c>
      <x:c r="C484" s="5" t="str">
        <x:v>3</x:v>
      </x:c>
      <x:c r="D484" s="5" t="str">
        <x:v>Recht und Steuern</x:v>
      </x:c>
      <x:c r="E484" s="5" t="str">
        <x:v>Recht</x:v>
      </x:c>
      <x:c r="F484" s="5" t="str">
        <x:v>ui-wq-recht-handel</x:v>
      </x:c>
      <x:c r="G484" s="5" t="str">
        <x:v>Handelsrecht</x:v>
      </x:c>
      <x:c r="H484" s="5" t="str">
        <x:v>tr-wq-r12</x:v>
      </x:c>
      <x:c r="I484" s="5" t="str">
        <x:v>3.1.4.2</x:v>
      </x:c>
      <x:c r="J484" s="5" t="str">
        <x:v>Register und Publizität</x:v>
      </x:c>
      <x:c r="K484" s="5" t="str"/>
      <x:c r="L484" s="5" t="str">
        <x:v>Handelsrecht</x:v>
      </x:c>
      <x:c r="M484" s="5" t="n">
        <x:v>11</x:v>
      </x:c>
      <x:c r="N484" s="5" t="n">
        <x:v>3</x:v>
      </x:c>
      <x:c r="O484" s="5" t="str"/>
      <x:c r="P484" s="5" t="str">
        <x:v>Pilot freigegeben</x:v>
      </x:c>
      <x:c r="Q484" s="5" t="str">
        <x:v>Revision 2 unverändert übernommen</x:v>
      </x:c>
      <x:c r="R484" s="5" t="str">
        <x:v>Was ist das Unternehmensregister? Was wird im Unternehmensregister eingetragen?</x:v>
      </x:c>
      <x:c r="S484" s="5" t="str">
        <x:v>6d5a108028ae5979973d501823e522c61d84c69857899f224f7218ff738c2691</x:v>
      </x:c>
    </x:row>
    <x:row r="485" ht="36" customHeight="1">
      <x:c r="A485" s="5" t="str">
        <x:v>R-0081</x:v>
      </x:c>
      <x:c r="B485" s="5" t="str">
        <x:v>WQ</x:v>
      </x:c>
      <x:c r="C485" s="5" t="str">
        <x:v>3</x:v>
      </x:c>
      <x:c r="D485" s="5" t="str">
        <x:v>Recht und Steuern</x:v>
      </x:c>
      <x:c r="E485" s="5" t="str">
        <x:v>Recht</x:v>
      </x:c>
      <x:c r="F485" s="5" t="str">
        <x:v>ui-wq-recht-handel</x:v>
      </x:c>
      <x:c r="G485" s="5" t="str">
        <x:v>Handelsrecht</x:v>
      </x:c>
      <x:c r="H485" s="5" t="str">
        <x:v>tr-wq-r12</x:v>
      </x:c>
      <x:c r="I485" s="5" t="str">
        <x:v>3.1.4.2</x:v>
      </x:c>
      <x:c r="J485" s="5" t="str">
        <x:v>Register und Publizität</x:v>
      </x:c>
      <x:c r="K485" s="5" t="str"/>
      <x:c r="L485" s="5" t="str">
        <x:v>Handelsrecht</x:v>
      </x:c>
      <x:c r="M485" s="5" t="n">
        <x:v>12</x:v>
      </x:c>
      <x:c r="N485" s="5" t="n">
        <x:v>4</x:v>
      </x:c>
      <x:c r="O485" s="5" t="str"/>
      <x:c r="P485" s="5" t="str">
        <x:v>Pilot freigegeben</x:v>
      </x:c>
      <x:c r="Q485" s="5" t="str">
        <x:v>Revision 2 unverändert übernommen</x:v>
      </x:c>
      <x:c r="R485" s="5" t="str">
        <x:v> Welche rechtlichen Wirkungen hat eine Handelsregistereintragung bzw. Bekanntma
chung? </x:v>
      </x:c>
      <x:c r="S485" s="5" t="str">
        <x:v>4432c7ba99d6e186959ce4b7812fda192541bb13ef1d1576f20a2c022598b2d7</x:v>
      </x:c>
    </x:row>
    <x:row r="486" ht="36" customHeight="1">
      <x:c r="A486" s="5" t="str">
        <x:v>R-0082</x:v>
      </x:c>
      <x:c r="B486" s="5" t="str">
        <x:v>WQ</x:v>
      </x:c>
      <x:c r="C486" s="5" t="str">
        <x:v>3</x:v>
      </x:c>
      <x:c r="D486" s="5" t="str">
        <x:v>Recht und Steuern</x:v>
      </x:c>
      <x:c r="E486" s="5" t="str">
        <x:v>Recht</x:v>
      </x:c>
      <x:c r="F486" s="5" t="str">
        <x:v>ui-wq-recht-handel</x:v>
      </x:c>
      <x:c r="G486" s="5" t="str">
        <x:v>Handelsrecht</x:v>
      </x:c>
      <x:c r="H486" s="5" t="str">
        <x:v>tr-wq-r12</x:v>
      </x:c>
      <x:c r="I486" s="5" t="str">
        <x:v>3.1.4.2</x:v>
      </x:c>
      <x:c r="J486" s="5" t="str">
        <x:v>Register und Publizität</x:v>
      </x:c>
      <x:c r="K486" s="5" t="str"/>
      <x:c r="L486" s="5" t="str">
        <x:v>Handelsrecht</x:v>
      </x:c>
      <x:c r="M486" s="5" t="n">
        <x:v>13</x:v>
      </x:c>
      <x:c r="N486" s="5" t="n">
        <x:v>5</x:v>
      </x:c>
      <x:c r="O486" s="5" t="str"/>
      <x:c r="P486" s="5" t="str">
        <x:v>Pilot freigegeben</x:v>
      </x:c>
      <x:c r="Q486" s="5" t="str">
        <x:v>Revision 2 unverändert übernommen</x:v>
      </x:c>
      <x:c r="R486" s="5" t="str">
        <x:v> Was bedeuten positive und negative Publizität? Wo sind diese gesetzlich geregelt?</x:v>
      </x:c>
      <x:c r="S486" s="5" t="str">
        <x:v>d1f2621203c82b1e9a8a196ec10c3a283316814d860c78ecdf8b640b1ac8317d</x:v>
      </x:c>
    </x:row>
    <x:row r="487" ht="36" customHeight="1">
      <x:c r="A487" s="5" t="str">
        <x:v>R-0083</x:v>
      </x:c>
      <x:c r="B487" s="5" t="str">
        <x:v>WQ</x:v>
      </x:c>
      <x:c r="C487" s="5" t="str">
        <x:v>3</x:v>
      </x:c>
      <x:c r="D487" s="5" t="str">
        <x:v>Recht und Steuern</x:v>
      </x:c>
      <x:c r="E487" s="5" t="str">
        <x:v>Recht</x:v>
      </x:c>
      <x:c r="F487" s="5" t="str">
        <x:v>ui-wq-recht-at</x:v>
      </x:c>
      <x:c r="G487" s="5" t="str">
        <x:v>BGB Allgemeiner Teil</x:v>
      </x:c>
      <x:c r="H487" s="5" t="str">
        <x:v>tr-wq-r01</x:v>
      </x:c>
      <x:c r="I487" s="5" t="str">
        <x:v>3.1.1</x:v>
      </x:c>
      <x:c r="J487" s="5" t="str">
        <x:v>BGB: Personen, Rechtsgeschäfte und Vertretung</x:v>
      </x:c>
      <x:c r="K487" s="5" t="str"/>
      <x:c r="L487" s="5" t="str">
        <x:v>BGB Allgemeiner Teil</x:v>
      </x:c>
      <x:c r="M487" s="5" t="n">
        <x:v>21</x:v>
      </x:c>
      <x:c r="N487" s="5" t="n">
        <x:v>21</x:v>
      </x:c>
      <x:c r="O487" s="5" t="str"/>
      <x:c r="P487" s="5" t="str">
        <x:v>Pilot freigegeben</x:v>
      </x:c>
      <x:c r="Q487" s="5" t="str">
        <x:v>Revision 2 unverändert übernommen</x:v>
      </x:c>
      <x:c r="R487" s="5" t="str">
        <x:v>Was ist ein Rechtsgeschäft, was ist eine Willenserklärung?</x:v>
      </x:c>
      <x:c r="S487" s="5" t="str">
        <x:v>8a9a2b7f12a87740a0d945087e05b0d9ca91c025be670859d00974323c6c8db1</x:v>
      </x:c>
    </x:row>
    <x:row r="488" ht="36" customHeight="1">
      <x:c r="A488" s="5" t="str">
        <x:v>R-0084</x:v>
      </x:c>
      <x:c r="B488" s="5" t="str">
        <x:v>WQ</x:v>
      </x:c>
      <x:c r="C488" s="5" t="str">
        <x:v>3</x:v>
      </x:c>
      <x:c r="D488" s="5" t="str">
        <x:v>Recht und Steuern</x:v>
      </x:c>
      <x:c r="E488" s="5" t="str">
        <x:v>Recht</x:v>
      </x:c>
      <x:c r="F488" s="5" t="str">
        <x:v>ui-wq-recht-at</x:v>
      </x:c>
      <x:c r="G488" s="5" t="str">
        <x:v>BGB Allgemeiner Teil</x:v>
      </x:c>
      <x:c r="H488" s="5" t="str">
        <x:v>tr-wq-r01</x:v>
      </x:c>
      <x:c r="I488" s="5" t="str">
        <x:v>3.1.1</x:v>
      </x:c>
      <x:c r="J488" s="5" t="str">
        <x:v>BGB: Personen, Rechtsgeschäfte und Vertretung</x:v>
      </x:c>
      <x:c r="K488" s="5" t="str"/>
      <x:c r="L488" s="5" t="str">
        <x:v>BGB Allgemeiner Teil</x:v>
      </x:c>
      <x:c r="M488" s="5" t="n">
        <x:v>22</x:v>
      </x:c>
      <x:c r="N488" s="5" t="n">
        <x:v>22</x:v>
      </x:c>
      <x:c r="O488" s="5" t="str"/>
      <x:c r="P488" s="5" t="str">
        <x:v>Pilot freigegeben</x:v>
      </x:c>
      <x:c r="Q488" s="5" t="str">
        <x:v>Revision 2 unverändert übernommen</x:v>
      </x:c>
      <x:c r="R488" s="5" t="str">
        <x:v>Aus welchen beiden Elementen besteht eine Willenserklärung?</x:v>
      </x:c>
      <x:c r="S488" s="5" t="str">
        <x:v>800c64c96b0eaed7ad826d1abe57c6446a46933eeeade19fda52f08727a28c56</x:v>
      </x:c>
    </x:row>
    <x:row r="489" ht="36" customHeight="1">
      <x:c r="A489" s="5" t="str">
        <x:v>R-0085</x:v>
      </x:c>
      <x:c r="B489" s="5" t="str">
        <x:v>WQ</x:v>
      </x:c>
      <x:c r="C489" s="5" t="str">
        <x:v>3</x:v>
      </x:c>
      <x:c r="D489" s="5" t="str">
        <x:v>Recht und Steuern</x:v>
      </x:c>
      <x:c r="E489" s="5" t="str">
        <x:v>Recht</x:v>
      </x:c>
      <x:c r="F489" s="5" t="str">
        <x:v>ui-wq-recht-at</x:v>
      </x:c>
      <x:c r="G489" s="5" t="str">
        <x:v>BGB Allgemeiner Teil</x:v>
      </x:c>
      <x:c r="H489" s="5" t="str">
        <x:v>tr-wq-r01</x:v>
      </x:c>
      <x:c r="I489" s="5" t="str">
        <x:v>3.1.1</x:v>
      </x:c>
      <x:c r="J489" s="5" t="str">
        <x:v>BGB: Personen, Rechtsgeschäfte und Vertretung</x:v>
      </x:c>
      <x:c r="K489" s="5" t="str"/>
      <x:c r="L489" s="5" t="str">
        <x:v>BGB Allgemeiner Teil</x:v>
      </x:c>
      <x:c r="M489" s="5" t="n">
        <x:v>23</x:v>
      </x:c>
      <x:c r="N489" s="5" t="n">
        <x:v>23</x:v>
      </x:c>
      <x:c r="O489" s="5" t="str"/>
      <x:c r="P489" s="5" t="str">
        <x:v>Pilot freigegeben</x:v>
      </x:c>
      <x:c r="Q489" s="5" t="str">
        <x:v>Revision 2 unverändert übernommen</x:v>
      </x:c>
      <x:c r="R489" s="5" t="str">
        <x:v>Wie lässt sich die Willenserklärung gegenüber Realakten und geschäftsähnlichen Handlungen 
abgrenzen? </x:v>
      </x:c>
      <x:c r="S489" s="5" t="str">
        <x:v>731365aeeac7796a2342a7fc92bcc3ca6739695c1fd76abceadb70f88de75727</x:v>
      </x:c>
    </x:row>
    <x:row r="490" ht="36" customHeight="1">
      <x:c r="A490" s="5" t="str">
        <x:v>R-0086</x:v>
      </x:c>
      <x:c r="B490" s="5" t="str">
        <x:v>WQ</x:v>
      </x:c>
      <x:c r="C490" s="5" t="str">
        <x:v>3</x:v>
      </x:c>
      <x:c r="D490" s="5" t="str">
        <x:v>Recht und Steuern</x:v>
      </x:c>
      <x:c r="E490" s="5" t="str">
        <x:v>Recht</x:v>
      </x:c>
      <x:c r="F490" s="5" t="str">
        <x:v>ui-wq-recht-at</x:v>
      </x:c>
      <x:c r="G490" s="5" t="str">
        <x:v>BGB Allgemeiner Teil</x:v>
      </x:c>
      <x:c r="H490" s="5" t="str">
        <x:v>tr-wq-r01</x:v>
      </x:c>
      <x:c r="I490" s="5" t="str">
        <x:v>3.1.1</x:v>
      </x:c>
      <x:c r="J490" s="5" t="str">
        <x:v>BGB: Personen, Rechtsgeschäfte und Vertretung</x:v>
      </x:c>
      <x:c r="K490" s="5" t="str"/>
      <x:c r="L490" s="5" t="str">
        <x:v>BGB Allgemeiner Teil</x:v>
      </x:c>
      <x:c r="M490" s="5" t="n">
        <x:v>24</x:v>
      </x:c>
      <x:c r="N490" s="5" t="n">
        <x:v>24</x:v>
      </x:c>
      <x:c r="O490" s="5" t="str"/>
      <x:c r="P490" s="5" t="str">
        <x:v>Pilot freigegeben</x:v>
      </x:c>
      <x:c r="Q490" s="5" t="str">
        <x:v>Revision 2 unverändert übernommen</x:v>
      </x:c>
      <x:c r="R490" s="5" t="str">
        <x:v>Was versteht man unter einer konkludenten Willenserklärung?</x:v>
      </x:c>
      <x:c r="S490" s="5" t="str">
        <x:v>b3ef6d8a1270d46283ff1764509a930c1b9132936c616e940eb8160b47f79529</x:v>
      </x:c>
    </x:row>
    <x:row r="491" ht="36" customHeight="1">
      <x:c r="A491" s="5" t="str">
        <x:v>R-0087</x:v>
      </x:c>
      <x:c r="B491" s="5" t="str">
        <x:v>WQ</x:v>
      </x:c>
      <x:c r="C491" s="5" t="str">
        <x:v>3</x:v>
      </x:c>
      <x:c r="D491" s="5" t="str">
        <x:v>Recht und Steuern</x:v>
      </x:c>
      <x:c r="E491" s="5" t="str">
        <x:v>Recht</x:v>
      </x:c>
      <x:c r="F491" s="5" t="str">
        <x:v>ui-wq-recht-at</x:v>
      </x:c>
      <x:c r="G491" s="5" t="str">
        <x:v>BGB Allgemeiner Teil</x:v>
      </x:c>
      <x:c r="H491" s="5" t="str">
        <x:v>tr-wq-r01</x:v>
      </x:c>
      <x:c r="I491" s="5" t="str">
        <x:v>3.1.1</x:v>
      </x:c>
      <x:c r="J491" s="5" t="str">
        <x:v>BGB: Personen, Rechtsgeschäfte und Vertretung</x:v>
      </x:c>
      <x:c r="K491" s="5" t="str">
        <x:v>3.1.2.1 [2]; 3.1.4</x:v>
      </x:c>
      <x:c r="L491" s="5" t="str">
        <x:v>BGB Allgemeiner Teil</x:v>
      </x:c>
      <x:c r="M491" s="5" t="n">
        <x:v>25</x:v>
      </x:c>
      <x:c r="N491" s="5" t="n">
        <x:v>25</x:v>
      </x:c>
      <x:c r="O491" s="5" t="str"/>
      <x:c r="P491" s="5" t="str">
        <x:v>Pilot freigegeben</x:v>
      </x:c>
      <x:c r="Q491" s="5" t="str">
        <x:v>Revision 2 unverändert übernommen</x:v>
      </x:c>
      <x:c r="R491" s="5" t="str">
        <x:v>Ist das Schweigen eine konkludente Willenserklärung?</x:v>
      </x:c>
      <x:c r="S491" s="5" t="str">
        <x:v>99e56704d10fe6007112616c16c2668a7564ba1f36c56d35d8c777835936431a</x:v>
      </x:c>
    </x:row>
    <x:row r="492" ht="36" customHeight="1">
      <x:c r="A492" s="5" t="str">
        <x:v>R-0088</x:v>
      </x:c>
      <x:c r="B492" s="5" t="str">
        <x:v>WQ</x:v>
      </x:c>
      <x:c r="C492" s="5" t="str">
        <x:v>3</x:v>
      </x:c>
      <x:c r="D492" s="5" t="str">
        <x:v>Recht und Steuern</x:v>
      </x:c>
      <x:c r="E492" s="5" t="str">
        <x:v>Recht</x:v>
      </x:c>
      <x:c r="F492" s="5" t="str">
        <x:v>ui-wq-recht-schuld</x:v>
      </x:c>
      <x:c r="G492" s="5" t="str">
        <x:v>BGB Schuldrecht</x:v>
      </x:c>
      <x:c r="H492" s="5" t="str">
        <x:v>tr-wq-r06</x:v>
      </x:c>
      <x:c r="I492" s="5" t="str">
        <x:v>3.1.2.5</x:v>
      </x:c>
      <x:c r="J492" s="5" t="str">
        <x:v>Onlineverträge und Widerruf</x:v>
      </x:c>
      <x:c r="K492" s="5" t="str"/>
      <x:c r="L492" s="5" t="str">
        <x:v>BGB Allgemeiner Teil</x:v>
      </x:c>
      <x:c r="M492" s="5" t="n">
        <x:v>21</x:v>
      </x:c>
      <x:c r="N492" s="5" t="n">
        <x:v>1</x:v>
      </x:c>
      <x:c r="O492" s="5" t="str"/>
      <x:c r="P492" s="5" t="str">
        <x:v>Pilot freigegeben</x:v>
      </x:c>
      <x:c r="Q492" s="5" t="str">
        <x:v>Revision 2 unverändert übernommen</x:v>
      </x:c>
      <x:c r="R492" s="5" t="str">
        <x:v>Muss der Empfänger einer unaufgefordert zugesandten Ware diese bezahlen, oder muss er sie 
zumindest sorgfältig aufbewahren und auf Verlangen wieder zurückschicken? </x:v>
      </x:c>
      <x:c r="S492" s="5" t="str">
        <x:v>6f5534ab8583e7789e7d0283e8d79f8d1d9339a4b047a81c7e8573061f83c29b</x:v>
      </x:c>
    </x:row>
    <x:row r="493" ht="36" customHeight="1">
      <x:c r="A493" s="5" t="str">
        <x:v>R-0089</x:v>
      </x:c>
      <x:c r="B493" s="5" t="str">
        <x:v>WQ</x:v>
      </x:c>
      <x:c r="C493" s="5" t="str">
        <x:v>3</x:v>
      </x:c>
      <x:c r="D493" s="5" t="str">
        <x:v>Recht und Steuern</x:v>
      </x:c>
      <x:c r="E493" s="5" t="str">
        <x:v>Recht</x:v>
      </x:c>
      <x:c r="F493" s="5" t="str">
        <x:v>ui-wq-recht-at</x:v>
      </x:c>
      <x:c r="G493" s="5" t="str">
        <x:v>BGB Allgemeiner Teil</x:v>
      </x:c>
      <x:c r="H493" s="5" t="str">
        <x:v>tr-wq-r01</x:v>
      </x:c>
      <x:c r="I493" s="5" t="str">
        <x:v>3.1.1</x:v>
      </x:c>
      <x:c r="J493" s="5" t="str">
        <x:v>BGB: Personen, Rechtsgeschäfte und Vertretung</x:v>
      </x:c>
      <x:c r="K493" s="5" t="str"/>
      <x:c r="L493" s="5" t="str">
        <x:v>BGB Allgemeiner Teil</x:v>
      </x:c>
      <x:c r="M493" s="5" t="n">
        <x:v>26</x:v>
      </x:c>
      <x:c r="N493" s="5" t="n">
        <x:v>26</x:v>
      </x:c>
      <x:c r="O493" s="5" t="str"/>
      <x:c r="P493" s="5" t="str">
        <x:v>Pilot freigegeben</x:v>
      </x:c>
      <x:c r="Q493" s="5" t="str">
        <x:v>Revision 2 unverändert übernommen</x:v>
      </x:c>
      <x:c r="R493" s="5" t="str">
        <x:v>Was sind Verpflichtungsgeschäfte und was sind Verfügungsgeschäfte? </x:v>
      </x:c>
      <x:c r="S493" s="5" t="str">
        <x:v>d04e44abd573dfc66dd53527ed09e47a3fc7f72d8bc452792a24886ab208ae4d</x:v>
      </x:c>
    </x:row>
    <x:row r="494" ht="36" customHeight="1">
      <x:c r="A494" s="5" t="str">
        <x:v>R-0090</x:v>
      </x:c>
      <x:c r="B494" s="5" t="str">
        <x:v>WQ</x:v>
      </x:c>
      <x:c r="C494" s="5" t="str">
        <x:v>3</x:v>
      </x:c>
      <x:c r="D494" s="5" t="str">
        <x:v>Recht und Steuern</x:v>
      </x:c>
      <x:c r="E494" s="5" t="str">
        <x:v>Recht</x:v>
      </x:c>
      <x:c r="F494" s="5" t="str">
        <x:v>ui-wq-recht-at</x:v>
      </x:c>
      <x:c r="G494" s="5" t="str">
        <x:v>BGB Allgemeiner Teil</x:v>
      </x:c>
      <x:c r="H494" s="5" t="str">
        <x:v>tr-wq-r01</x:v>
      </x:c>
      <x:c r="I494" s="5" t="str">
        <x:v>3.1.1</x:v>
      </x:c>
      <x:c r="J494" s="5" t="str">
        <x:v>BGB: Personen, Rechtsgeschäfte und Vertretung</x:v>
      </x:c>
      <x:c r="K494" s="5" t="str"/>
      <x:c r="L494" s="5" t="str">
        <x:v>BGB Allgemeiner Teil</x:v>
      </x:c>
      <x:c r="M494" s="5" t="n">
        <x:v>27</x:v>
      </x:c>
      <x:c r="N494" s="5" t="n">
        <x:v>27</x:v>
      </x:c>
      <x:c r="O494" s="5" t="str"/>
      <x:c r="P494" s="5" t="str">
        <x:v>Pilot freigegeben</x:v>
      </x:c>
      <x:c r="Q494" s="5" t="str">
        <x:v>Revision 2 unverändert übernommen</x:v>
      </x:c>
      <x:c r="R494" s="5" t="str">
        <x:v>Was ist ein Vertrag? </x:v>
      </x:c>
      <x:c r="S494" s="5" t="str">
        <x:v>130c4de12b4a269551952ba1a6571c4b4ab634bc8c446cf3af7097b5d3969a44</x:v>
      </x:c>
    </x:row>
    <x:row r="495" ht="36" customHeight="1">
      <x:c r="A495" s="5" t="str">
        <x:v>R-0091</x:v>
      </x:c>
      <x:c r="B495" s="5" t="str">
        <x:v>WQ</x:v>
      </x:c>
      <x:c r="C495" s="5" t="str">
        <x:v>3</x:v>
      </x:c>
      <x:c r="D495" s="5" t="str">
        <x:v>Recht und Steuern</x:v>
      </x:c>
      <x:c r="E495" s="5" t="str">
        <x:v>Recht</x:v>
      </x:c>
      <x:c r="F495" s="5" t="str">
        <x:v>ui-wq-recht-at</x:v>
      </x:c>
      <x:c r="G495" s="5" t="str">
        <x:v>BGB Allgemeiner Teil</x:v>
      </x:c>
      <x:c r="H495" s="5" t="str">
        <x:v>tr-wq-r01</x:v>
      </x:c>
      <x:c r="I495" s="5" t="str">
        <x:v>3.1.1</x:v>
      </x:c>
      <x:c r="J495" s="5" t="str">
        <x:v>BGB: Personen, Rechtsgeschäfte und Vertretung</x:v>
      </x:c>
      <x:c r="K495" s="5" t="str"/>
      <x:c r="L495" s="5" t="str">
        <x:v>BGB Allgemeiner Teil</x:v>
      </x:c>
      <x:c r="M495" s="5" t="n">
        <x:v>28</x:v>
      </x:c>
      <x:c r="N495" s="5" t="n">
        <x:v>28</x:v>
      </x:c>
      <x:c r="O495" s="5" t="str"/>
      <x:c r="P495" s="5" t="str">
        <x:v>Pilot freigegeben</x:v>
      </x:c>
      <x:c r="Q495" s="5" t="str">
        <x:v>Revision 2 unverändert übernommen</x:v>
      </x:c>
      <x:c r="R495" s="5" t="str">
        <x:v>Welcher Grundsatz gilt hinsichtlich der Form von Rechtsgeschäften?</x:v>
      </x:c>
      <x:c r="S495" s="5" t="str">
        <x:v>40d282225396c74310c9512a3a43b56171138b510efa22bf197afed2adb00b56</x:v>
      </x:c>
    </x:row>
    <x:row r="496" ht="36" customHeight="1">
      <x:c r="A496" s="5" t="str">
        <x:v>R-0092</x:v>
      </x:c>
      <x:c r="B496" s="5" t="str">
        <x:v>WQ</x:v>
      </x:c>
      <x:c r="C496" s="5" t="str">
        <x:v>3</x:v>
      </x:c>
      <x:c r="D496" s="5" t="str">
        <x:v>Recht und Steuern</x:v>
      </x:c>
      <x:c r="E496" s="5" t="str">
        <x:v>Recht</x:v>
      </x:c>
      <x:c r="F496" s="5" t="str">
        <x:v>ui-wq-recht-at</x:v>
      </x:c>
      <x:c r="G496" s="5" t="str">
        <x:v>BGB Allgemeiner Teil</x:v>
      </x:c>
      <x:c r="H496" s="5" t="str">
        <x:v>tr-wq-r01</x:v>
      </x:c>
      <x:c r="I496" s="5" t="str">
        <x:v>3.1.1</x:v>
      </x:c>
      <x:c r="J496" s="5" t="str">
        <x:v>BGB: Personen, Rechtsgeschäfte und Vertretung</x:v>
      </x:c>
      <x:c r="K496" s="5" t="str"/>
      <x:c r="L496" s="5" t="str">
        <x:v>BGB Allgemeiner Teil</x:v>
      </x:c>
      <x:c r="M496" s="5" t="n">
        <x:v>29</x:v>
      </x:c>
      <x:c r="N496" s="5" t="n">
        <x:v>29</x:v>
      </x:c>
      <x:c r="O496" s="5" t="str"/>
      <x:c r="P496" s="5" t="str">
        <x:v>Pilot freigegeben</x:v>
      </x:c>
      <x:c r="Q496" s="5" t="str">
        <x:v>Revision 2 unverändert übernommen</x:v>
      </x:c>
      <x:c r="R496" s="5" t="str">
        <x:v>Nennen Sie Beispiele gesetzlicher Formerfordernisse! </x:v>
      </x:c>
      <x:c r="S496" s="5" t="str">
        <x:v>de66d72bdceed09a0f742b366dbc802236d21b79dd40dc29bbe45db989c42ca1</x:v>
      </x:c>
    </x:row>
    <x:row r="497" ht="36" customHeight="1">
      <x:c r="A497" s="5" t="str">
        <x:v>R-0093</x:v>
      </x:c>
      <x:c r="B497" s="5" t="str">
        <x:v>WQ</x:v>
      </x:c>
      <x:c r="C497" s="5" t="str">
        <x:v>3</x:v>
      </x:c>
      <x:c r="D497" s="5" t="str">
        <x:v>Recht und Steuern</x:v>
      </x:c>
      <x:c r="E497" s="5" t="str">
        <x:v>Recht</x:v>
      </x:c>
      <x:c r="F497" s="5" t="str">
        <x:v>ui-wq-recht-at</x:v>
      </x:c>
      <x:c r="G497" s="5" t="str">
        <x:v>BGB Allgemeiner Teil</x:v>
      </x:c>
      <x:c r="H497" s="5" t="str">
        <x:v>tr-wq-r01</x:v>
      </x:c>
      <x:c r="I497" s="5" t="str">
        <x:v>3.1.1</x:v>
      </x:c>
      <x:c r="J497" s="5" t="str">
        <x:v>BGB: Personen, Rechtsgeschäfte und Vertretung</x:v>
      </x:c>
      <x:c r="K497" s="5" t="str"/>
      <x:c r="L497" s="5" t="str">
        <x:v>BGB Allgemeiner Teil</x:v>
      </x:c>
      <x:c r="M497" s="5" t="n">
        <x:v>30</x:v>
      </x:c>
      <x:c r="N497" s="5" t="n">
        <x:v>30</x:v>
      </x:c>
      <x:c r="O497" s="5" t="str"/>
      <x:c r="P497" s="5" t="str">
        <x:v>Pilot freigegeben</x:v>
      </x:c>
      <x:c r="Q497" s="5" t="str">
        <x:v>Revision 2 unverändert übernommen</x:v>
      </x:c>
      <x:c r="R497" s="5" t="str">
        <x:v>Welche Zwecke können Formerfordernisse haben?</x:v>
      </x:c>
      <x:c r="S497" s="5" t="str">
        <x:v>724ea3a7ebc7a6d3c91e981cfe565f328d25e36d7794d4fb9ec93420723531f7</x:v>
      </x:c>
    </x:row>
    <x:row r="498" ht="36" customHeight="1">
      <x:c r="A498" s="5" t="str">
        <x:v>R-0094</x:v>
      </x:c>
      <x:c r="B498" s="5" t="str">
        <x:v>WQ</x:v>
      </x:c>
      <x:c r="C498" s="5" t="str">
        <x:v>3</x:v>
      </x:c>
      <x:c r="D498" s="5" t="str">
        <x:v>Recht und Steuern</x:v>
      </x:c>
      <x:c r="E498" s="5" t="str">
        <x:v>Recht</x:v>
      </x:c>
      <x:c r="F498" s="5" t="str">
        <x:v>ui-wq-recht-at</x:v>
      </x:c>
      <x:c r="G498" s="5" t="str">
        <x:v>BGB Allgemeiner Teil</x:v>
      </x:c>
      <x:c r="H498" s="5" t="str">
        <x:v>tr-wq-r01</x:v>
      </x:c>
      <x:c r="I498" s="5" t="str">
        <x:v>3.1.1</x:v>
      </x:c>
      <x:c r="J498" s="5" t="str">
        <x:v>BGB: Personen, Rechtsgeschäfte und Vertretung</x:v>
      </x:c>
      <x:c r="K498" s="5" t="str"/>
      <x:c r="L498" s="5" t="str">
        <x:v>BGB Allgemeiner Teil</x:v>
      </x:c>
      <x:c r="M498" s="5" t="n">
        <x:v>31</x:v>
      </x:c>
      <x:c r="N498" s="5" t="n">
        <x:v>31</x:v>
      </x:c>
      <x:c r="O498" s="5" t="str"/>
      <x:c r="P498" s="5" t="str">
        <x:v>Pilot freigegeben</x:v>
      </x:c>
      <x:c r="Q498" s="5" t="str">
        <x:v>Revision 2 unverändert übernommen</x:v>
      </x:c>
      <x:c r="R498" s="5" t="str">
        <x:v>Welche Arten von Formen kennen Sie? </x:v>
      </x:c>
      <x:c r="S498" s="5" t="str">
        <x:v>d99bf14dd241ffa0d097625ea5c7620f250e030f4234edec76e1a6d929ec349e</x:v>
      </x:c>
    </x:row>
    <x:row r="499" ht="36" customHeight="1">
      <x:c r="A499" s="5" t="str">
        <x:v>R-0095</x:v>
      </x:c>
      <x:c r="B499" s="5" t="str">
        <x:v>WQ</x:v>
      </x:c>
      <x:c r="C499" s="5" t="str">
        <x:v>3</x:v>
      </x:c>
      <x:c r="D499" s="5" t="str">
        <x:v>Recht und Steuern</x:v>
      </x:c>
      <x:c r="E499" s="5" t="str">
        <x:v>Recht</x:v>
      </x:c>
      <x:c r="F499" s="5" t="str">
        <x:v>ui-wq-recht-at</x:v>
      </x:c>
      <x:c r="G499" s="5" t="str">
        <x:v>BGB Allgemeiner Teil</x:v>
      </x:c>
      <x:c r="H499" s="5" t="str">
        <x:v>tr-wq-r01</x:v>
      </x:c>
      <x:c r="I499" s="5" t="str">
        <x:v>3.1.1</x:v>
      </x:c>
      <x:c r="J499" s="5" t="str">
        <x:v>BGB: Personen, Rechtsgeschäfte und Vertretung</x:v>
      </x:c>
      <x:c r="K499" s="5" t="str"/>
      <x:c r="L499" s="5" t="str">
        <x:v>BGB Allgemeiner Teil</x:v>
      </x:c>
      <x:c r="M499" s="5" t="n">
        <x:v>32</x:v>
      </x:c>
      <x:c r="N499" s="5" t="n">
        <x:v>32</x:v>
      </x:c>
      <x:c r="O499" s="5" t="str"/>
      <x:c r="P499" s="5" t="str">
        <x:v>Pilot freigegeben</x:v>
      </x:c>
      <x:c r="Q499" s="5" t="str">
        <x:v>Revision 2 unverändert übernommen</x:v>
      </x:c>
      <x:c r="R499" s="5" t="str">
        <x:v>Welche Rechtsfolge hat die Nichtbeachtung der gesetzlichen Form? </x:v>
      </x:c>
      <x:c r="S499" s="5" t="str">
        <x:v>4e122750e80e7dffcffec9c1fecc95418bcdafa0714b148f205f9912efee223b</x:v>
      </x:c>
    </x:row>
    <x:row r="500" ht="36" customHeight="1">
      <x:c r="A500" s="5" t="str">
        <x:v>R-0096</x:v>
      </x:c>
      <x:c r="B500" s="5" t="str">
        <x:v>WQ</x:v>
      </x:c>
      <x:c r="C500" s="5" t="str">
        <x:v>3</x:v>
      </x:c>
      <x:c r="D500" s="5" t="str">
        <x:v>Recht und Steuern</x:v>
      </x:c>
      <x:c r="E500" s="5" t="str">
        <x:v>Recht</x:v>
      </x:c>
      <x:c r="F500" s="5" t="str">
        <x:v>ui-wq-recht-at</x:v>
      </x:c>
      <x:c r="G500" s="5" t="str">
        <x:v>BGB Allgemeiner Teil</x:v>
      </x:c>
      <x:c r="H500" s="5" t="str">
        <x:v>tr-wq-r01</x:v>
      </x:c>
      <x:c r="I500" s="5" t="str">
        <x:v>3.1.1</x:v>
      </x:c>
      <x:c r="J500" s="5" t="str">
        <x:v>BGB: Personen, Rechtsgeschäfte und Vertretung</x:v>
      </x:c>
      <x:c r="K500" s="5" t="str"/>
      <x:c r="L500" s="5" t="str">
        <x:v>BGB Allgemeiner Teil</x:v>
      </x:c>
      <x:c r="M500" s="5" t="n">
        <x:v>33</x:v>
      </x:c>
      <x:c r="N500" s="5" t="n">
        <x:v>33</x:v>
      </x:c>
      <x:c r="O500" s="5" t="str"/>
      <x:c r="P500" s="5" t="str">
        <x:v>Pilot freigegeben</x:v>
      </x:c>
      <x:c r="Q500" s="5" t="str">
        <x:v>Revision 2 unverändert übernommen</x:v>
      </x:c>
      <x:c r="R500" s="5" t="str">
        <x:v>Was gilt, wenn ein Rechtsgeschäft gegen ein gesetzliches Verbot verstößt?</x:v>
      </x:c>
      <x:c r="S500" s="5" t="str">
        <x:v>44a7260a8427de221837259d8af2a8376e8bf8072432a91abd749ac8557ae17d</x:v>
      </x:c>
    </x:row>
    <x:row r="501" ht="36" customHeight="1">
      <x:c r="A501" s="5" t="str">
        <x:v>R-0097</x:v>
      </x:c>
      <x:c r="B501" s="5" t="str">
        <x:v>WQ</x:v>
      </x:c>
      <x:c r="C501" s="5" t="str">
        <x:v>3</x:v>
      </x:c>
      <x:c r="D501" s="5" t="str">
        <x:v>Recht und Steuern</x:v>
      </x:c>
      <x:c r="E501" s="5" t="str">
        <x:v>Recht</x:v>
      </x:c>
      <x:c r="F501" s="5" t="str">
        <x:v>ui-wq-recht-sachen</x:v>
      </x:c>
      <x:c r="G501" s="5" t="str">
        <x:v>BGB Sachenrecht</x:v>
      </x:c>
      <x:c r="H501" s="5" t="str">
        <x:v>tr-wq-r09</x:v>
      </x:c>
      <x:c r="I501" s="5" t="str">
        <x:v>3.1.3.2</x:v>
      </x:c>
      <x:c r="J501" s="5" t="str">
        <x:v>Sicherheiten für Forderungen</x:v>
      </x:c>
      <x:c r="K501" s="5" t="str"/>
      <x:c r="L501" s="5" t="str">
        <x:v>Sachenrecht, Kreditsicherheiten &amp; Insolvenz</x:v>
      </x:c>
      <x:c r="M501" s="5" t="n">
        <x:v>13</x:v>
      </x:c>
      <x:c r="N501" s="5" t="n">
        <x:v>3</x:v>
      </x:c>
      <x:c r="O501" s="5" t="str"/>
      <x:c r="P501" s="5" t="str">
        <x:v>Pilot freigegeben</x:v>
      </x:c>
      <x:c r="Q501" s="5" t="str">
        <x:v>Revision 2 unverändert übernommen</x:v>
      </x:c>
      <x:c r="R501" s="5" t="str">
        <x:v>Was ist ein Kauf unter Eigentumsvorbehalt?</x:v>
      </x:c>
      <x:c r="S501" s="5" t="str">
        <x:v>004b525908e1d94eb650f77daa5bfd3fbbe3d177eb2a9db99de7c96e1cac4d00</x:v>
      </x:c>
    </x:row>
    <x:row r="502" ht="36" customHeight="1">
      <x:c r="A502" s="5" t="str">
        <x:v>R-0098</x:v>
      </x:c>
      <x:c r="B502" s="5" t="str">
        <x:v>WQ</x:v>
      </x:c>
      <x:c r="C502" s="5" t="str">
        <x:v>3</x:v>
      </x:c>
      <x:c r="D502" s="5" t="str">
        <x:v>Recht und Steuern</x:v>
      </x:c>
      <x:c r="E502" s="5" t="str">
        <x:v>Recht</x:v>
      </x:c>
      <x:c r="F502" s="5" t="str">
        <x:v>ui-wq-recht-at</x:v>
      </x:c>
      <x:c r="G502" s="5" t="str">
        <x:v>BGB Allgemeiner Teil</x:v>
      </x:c>
      <x:c r="H502" s="5" t="str">
        <x:v>tr-wq-r01</x:v>
      </x:c>
      <x:c r="I502" s="5" t="str">
        <x:v>3.1.1</x:v>
      </x:c>
      <x:c r="J502" s="5" t="str">
        <x:v>BGB: Personen, Rechtsgeschäfte und Vertretung</x:v>
      </x:c>
      <x:c r="K502" s="5" t="str"/>
      <x:c r="L502" s="5" t="str">
        <x:v>Schuldrecht: Grundlagen, AGB, Verjährung, Gerichte &amp; Produkthaftung</x:v>
      </x:c>
      <x:c r="M502" s="5" t="n">
        <x:v>34</x:v>
      </x:c>
      <x:c r="N502" s="5" t="n">
        <x:v>34</x:v>
      </x:c>
      <x:c r="O502" s="5" t="str"/>
      <x:c r="P502" s="5" t="str">
        <x:v>Pilot freigegeben</x:v>
      </x:c>
      <x:c r="Q502" s="5" t="str">
        <x:v>Revision 2 unverändert übernommen</x:v>
      </x:c>
      <x:c r="R502" s="5" t="str">
        <x:v>Wie lange ist der Antragende grundsätzlich an ein Angebot gebunden und wodurch kann ein Angebot erlöschen?</x:v>
      </x:c>
      <x:c r="S502" s="5" t="str">
        <x:v>367c8c31e492f4f08947a893116196751fc21a704f18bd2c9660790be42a777a</x:v>
      </x:c>
    </x:row>
    <x:row r="503" ht="36" customHeight="1">
      <x:c r="A503" s="5" t="str">
        <x:v>R-0099</x:v>
      </x:c>
      <x:c r="B503" s="5" t="str">
        <x:v>WQ</x:v>
      </x:c>
      <x:c r="C503" s="5" t="str">
        <x:v>3</x:v>
      </x:c>
      <x:c r="D503" s="5" t="str">
        <x:v>Recht und Steuern</x:v>
      </x:c>
      <x:c r="E503" s="5" t="str">
        <x:v>Recht</x:v>
      </x:c>
      <x:c r="F503" s="5" t="str">
        <x:v>ui-wq-recht-at</x:v>
      </x:c>
      <x:c r="G503" s="5" t="str">
        <x:v>BGB Allgemeiner Teil</x:v>
      </x:c>
      <x:c r="H503" s="5" t="str">
        <x:v>tr-wq-r01</x:v>
      </x:c>
      <x:c r="I503" s="5" t="str">
        <x:v>3.1.1</x:v>
      </x:c>
      <x:c r="J503" s="5" t="str">
        <x:v>BGB: Personen, Rechtsgeschäfte und Vertretung</x:v>
      </x:c>
      <x:c r="K503" s="5" t="str"/>
      <x:c r="L503" s="5" t="str">
        <x:v>Schuldrecht: Grundlagen, AGB, Verjährung, Gerichte &amp; Produkthaftung</x:v>
      </x:c>
      <x:c r="M503" s="5" t="n">
        <x:v>35</x:v>
      </x:c>
      <x:c r="N503" s="5" t="n">
        <x:v>35</x:v>
      </x:c>
      <x:c r="O503" s="5" t="str"/>
      <x:c r="P503" s="5" t="str">
        <x:v>Pilot freigegeben</x:v>
      </x:c>
      <x:c r="Q503" s="5" t="str">
        <x:v>Revision 2 unverändert übernommen</x:v>
      </x:c>
      <x:c r="R503" s="5" t="str">
        <x:v>Was ist eine invitatio ad offerendum und wie unterscheidet sie sich von einem verbindlichen Angebot?</x:v>
      </x:c>
      <x:c r="S503" s="5" t="str">
        <x:v>95763dc87d0d086cb7b86f73b73f245f6ccb08841d1ab1c5e3ebed83bac581b5</x:v>
      </x:c>
    </x:row>
    <x:row r="504" ht="36" customHeight="1">
      <x:c r="A504" s="5" t="str">
        <x:v>R-0100</x:v>
      </x:c>
      <x:c r="B504" s="5" t="str">
        <x:v>WQ</x:v>
      </x:c>
      <x:c r="C504" s="5" t="str">
        <x:v>3</x:v>
      </x:c>
      <x:c r="D504" s="5" t="str">
        <x:v>Recht und Steuern</x:v>
      </x:c>
      <x:c r="E504" s="5" t="str">
        <x:v>Recht</x:v>
      </x:c>
      <x:c r="F504" s="5" t="str">
        <x:v>ui-wq-recht-at</x:v>
      </x:c>
      <x:c r="G504" s="5" t="str">
        <x:v>BGB Allgemeiner Teil</x:v>
      </x:c>
      <x:c r="H504" s="5" t="str">
        <x:v>tr-wq-r01</x:v>
      </x:c>
      <x:c r="I504" s="5" t="str">
        <x:v>3.1.1</x:v>
      </x:c>
      <x:c r="J504" s="5" t="str">
        <x:v>BGB: Personen, Rechtsgeschäfte und Vertretung</x:v>
      </x:c>
      <x:c r="K504" s="5" t="str"/>
      <x:c r="L504" s="5" t="str">
        <x:v>Schuldrecht: Grundlagen, AGB, Verjährung, Gerichte &amp; Produkthaftung</x:v>
      </x:c>
      <x:c r="M504" s="5" t="n">
        <x:v>36</x:v>
      </x:c>
      <x:c r="N504" s="5" t="n">
        <x:v>36</x:v>
      </x:c>
      <x:c r="O504" s="5" t="str"/>
      <x:c r="P504" s="5" t="str">
        <x:v>Pilot freigegeben</x:v>
      </x:c>
      <x:c r="Q504" s="5" t="str">
        <x:v>Revision 2 unverändert übernommen</x:v>
      </x:c>
      <x:c r="R504" s="5" t="str">
        <x:v>Was ist eine Annahme? </x:v>
      </x:c>
      <x:c r="S504" s="5" t="str">
        <x:v>e5a48a8a50d1efb081344b88761ae9bf372d9db83e039c6eb357c973ddf47e88</x:v>
      </x:c>
    </x:row>
    <x:row r="505" ht="36" customHeight="1">
      <x:c r="A505" s="5" t="str">
        <x:v>R-0101</x:v>
      </x:c>
      <x:c r="B505" s="5" t="str">
        <x:v>WQ</x:v>
      </x:c>
      <x:c r="C505" s="5" t="str">
        <x:v>3</x:v>
      </x:c>
      <x:c r="D505" s="5" t="str">
        <x:v>Recht und Steuern</x:v>
      </x:c>
      <x:c r="E505" s="5" t="str">
        <x:v>Recht</x:v>
      </x:c>
      <x:c r="F505" s="5" t="str">
        <x:v>ui-wq-recht-at</x:v>
      </x:c>
      <x:c r="G505" s="5" t="str">
        <x:v>BGB Allgemeiner Teil</x:v>
      </x:c>
      <x:c r="H505" s="5" t="str">
        <x:v>tr-wq-r01</x:v>
      </x:c>
      <x:c r="I505" s="5" t="str">
        <x:v>3.1.1</x:v>
      </x:c>
      <x:c r="J505" s="5" t="str">
        <x:v>BGB: Personen, Rechtsgeschäfte und Vertretung</x:v>
      </x:c>
      <x:c r="K505" s="5" t="str"/>
      <x:c r="L505" s="5" t="str">
        <x:v>Schuldrecht: Grundlagen, AGB, Verjährung, Gerichte &amp; Produkthaftung</x:v>
      </x:c>
      <x:c r="M505" s="5" t="n">
        <x:v>37</x:v>
      </x:c>
      <x:c r="N505" s="5" t="n">
        <x:v>37</x:v>
      </x:c>
      <x:c r="O505" s="5" t="str"/>
      <x:c r="P505" s="5" t="str">
        <x:v>Pilot freigegeben</x:v>
      </x:c>
      <x:c r="Q505" s="5" t="str">
        <x:v>Revision 2 unverändert übernommen</x:v>
      </x:c>
      <x:c r="R505" s="5" t="str">
        <x:v>Welche Rechtsfolge hat es, wenn der potentielle Käufer das Angebot des Verkäufers, er wolle 
ihm seinen Gebrauchtwagen für 10.000 € verkaufen, damit beantwortet, er akzeptiere dieses 
Angebot zu einem Preis von 9.000 €? </x:v>
      </x:c>
      <x:c r="S505" s="5" t="str">
        <x:v>265285718fb628df25aa15e1123f8f34fd03b096072fa303340fb2a0a0bde25d</x:v>
      </x:c>
    </x:row>
    <x:row r="506" ht="36" customHeight="1">
      <x:c r="A506" s="5" t="str">
        <x:v>R-0102</x:v>
      </x:c>
      <x:c r="B506" s="5" t="str">
        <x:v>WQ</x:v>
      </x:c>
      <x:c r="C506" s="5" t="str">
        <x:v>3</x:v>
      </x:c>
      <x:c r="D506" s="5" t="str">
        <x:v>Recht und Steuern</x:v>
      </x:c>
      <x:c r="E506" s="5" t="str">
        <x:v>Recht</x:v>
      </x:c>
      <x:c r="F506" s="5" t="str">
        <x:v>ui-wq-recht-schuld</x:v>
      </x:c>
      <x:c r="G506" s="5" t="str">
        <x:v>BGB Schuldrecht</x:v>
      </x:c>
      <x:c r="H506" s="5" t="str">
        <x:v>tr-wq-r02</x:v>
      </x:c>
      <x:c r="I506" s="5" t="str">
        <x:v>3.1.2.1</x:v>
      </x:c>
      <x:c r="J506" s="5" t="str">
        <x:v>Schuldverhältnisse, AGB, Fristen und Gerichte</x:v>
      </x:c>
      <x:c r="K506" s="5" t="str"/>
      <x:c r="L506" s="5" t="str">
        <x:v>Schuldrecht: Grundlagen, AGB, Verjährung, Gerichte &amp; Produkthaftung</x:v>
      </x:c>
      <x:c r="M506" s="5" t="n">
        <x:v>22</x:v>
      </x:c>
      <x:c r="N506" s="5" t="n">
        <x:v>1</x:v>
      </x:c>
      <x:c r="O506" s="5" t="str"/>
      <x:c r="P506" s="5" t="str">
        <x:v>Pilot freigegeben</x:v>
      </x:c>
      <x:c r="Q506" s="5" t="str">
        <x:v>Revision 2 unverändert übernommen</x:v>
      </x:c>
      <x:c r="R506" s="5" t="str">
        <x:v>Welche Voraussetzungen hat die AGB-Kontrolle?</x:v>
      </x:c>
      <x:c r="S506" s="5" t="str">
        <x:v>6521294e3e9f3244a6dd13bf0f4fd84609b05cd27cb149dc6470dbf986ccd0c4</x:v>
      </x:c>
    </x:row>
    <x:row r="507" ht="36" customHeight="1">
      <x:c r="A507" s="5" t="str">
        <x:v>R-0103</x:v>
      </x:c>
      <x:c r="B507" s="5" t="str">
        <x:v>WQ</x:v>
      </x:c>
      <x:c r="C507" s="5" t="str">
        <x:v>3</x:v>
      </x:c>
      <x:c r="D507" s="5" t="str">
        <x:v>Recht und Steuern</x:v>
      </x:c>
      <x:c r="E507" s="5" t="str">
        <x:v>Recht</x:v>
      </x:c>
      <x:c r="F507" s="5" t="str">
        <x:v>ui-wq-recht-schuld</x:v>
      </x:c>
      <x:c r="G507" s="5" t="str">
        <x:v>BGB Schuldrecht</x:v>
      </x:c>
      <x:c r="H507" s="5" t="str">
        <x:v>tr-wq-r02</x:v>
      </x:c>
      <x:c r="I507" s="5" t="str">
        <x:v>3.1.2.1</x:v>
      </x:c>
      <x:c r="J507" s="5" t="str">
        <x:v>Schuldverhältnisse, AGB, Fristen und Gerichte</x:v>
      </x:c>
      <x:c r="K507" s="5" t="str"/>
      <x:c r="L507" s="5" t="str">
        <x:v>Schuldrecht: Grundlagen, AGB, Verjährung, Gerichte &amp; Produkthaftung</x:v>
      </x:c>
      <x:c r="M507" s="5" t="n">
        <x:v>23</x:v>
      </x:c>
      <x:c r="N507" s="5" t="n">
        <x:v>2</x:v>
      </x:c>
      <x:c r="O507" s="5" t="str"/>
      <x:c r="P507" s="5" t="str">
        <x:v>Pilot freigegeben</x:v>
      </x:c>
      <x:c r="Q507" s="5" t="str">
        <x:v>Revision 2 unverändert übernommen</x:v>
      </x:c>
      <x:c r="R507" s="5" t="str">
        <x:v>Unterliegen auch vorformulierte Arbeitsverträge der AGB-Kontrolle? </x:v>
      </x:c>
      <x:c r="S507" s="5" t="str">
        <x:v>ccd75eb47b37a6f1707be8265c83dcb0ee5f7483837d32503ab08d2ea4c86676</x:v>
      </x:c>
    </x:row>
    <x:row r="508" ht="36" customHeight="1">
      <x:c r="A508" s="5" t="str">
        <x:v>R-0104</x:v>
      </x:c>
      <x:c r="B508" s="5" t="str">
        <x:v>WQ</x:v>
      </x:c>
      <x:c r="C508" s="5" t="str">
        <x:v>3</x:v>
      </x:c>
      <x:c r="D508" s="5" t="str">
        <x:v>Recht und Steuern</x:v>
      </x:c>
      <x:c r="E508" s="5" t="str">
        <x:v>Recht</x:v>
      </x:c>
      <x:c r="F508" s="5" t="str">
        <x:v>ui-wq-recht-schuld</x:v>
      </x:c>
      <x:c r="G508" s="5" t="str">
        <x:v>BGB Schuldrecht</x:v>
      </x:c>
      <x:c r="H508" s="5" t="str">
        <x:v>tr-wq-r02</x:v>
      </x:c>
      <x:c r="I508" s="5" t="str">
        <x:v>3.1.2.1</x:v>
      </x:c>
      <x:c r="J508" s="5" t="str">
        <x:v>Schuldverhältnisse, AGB, Fristen und Gerichte</x:v>
      </x:c>
      <x:c r="K508" s="5" t="str"/>
      <x:c r="L508" s="5" t="str">
        <x:v>Schuldrecht: Grundlagen, AGB, Verjährung, Gerichte &amp; Produkthaftung</x:v>
      </x:c>
      <x:c r="M508" s="5" t="n">
        <x:v>24</x:v>
      </x:c>
      <x:c r="N508" s="5" t="n">
        <x:v>3</x:v>
      </x:c>
      <x:c r="O508" s="5" t="str"/>
      <x:c r="P508" s="5" t="str">
        <x:v>Pilot freigegeben</x:v>
      </x:c>
      <x:c r="Q508" s="5" t="str">
        <x:v>Revision 2 unverändert übernommen</x:v>
      </x:c>
      <x:c r="R508" s="5" t="str">
        <x:v>In welcher Reihenfolge ist zu prüfen, ob eine AGB der Inhaltskontrolle standhält?</x:v>
      </x:c>
      <x:c r="S508" s="5" t="str">
        <x:v>ce1adb641f8c242a50c441352775d3056a2d9649ae2ad1faced1a3fff26987b0</x:v>
      </x:c>
    </x:row>
    <x:row r="509" ht="36" customHeight="1">
      <x:c r="A509" s="5" t="str">
        <x:v>R-0105</x:v>
      </x:c>
      <x:c r="B509" s="5" t="str">
        <x:v>WQ</x:v>
      </x:c>
      <x:c r="C509" s="5" t="str">
        <x:v>3</x:v>
      </x:c>
      <x:c r="D509" s="5" t="str">
        <x:v>Recht und Steuern</x:v>
      </x:c>
      <x:c r="E509" s="5" t="str">
        <x:v>Recht</x:v>
      </x:c>
      <x:c r="F509" s="5" t="str">
        <x:v>ui-wq-recht-at</x:v>
      </x:c>
      <x:c r="G509" s="5" t="str">
        <x:v>BGB Allgemeiner Teil</x:v>
      </x:c>
      <x:c r="H509" s="5" t="str">
        <x:v>tr-wq-r01</x:v>
      </x:c>
      <x:c r="I509" s="5" t="str">
        <x:v>3.1.1</x:v>
      </x:c>
      <x:c r="J509" s="5" t="str">
        <x:v>BGB: Personen, Rechtsgeschäfte und Vertretung</x:v>
      </x:c>
      <x:c r="K509" s="5" t="str"/>
      <x:c r="L509" s="5" t="str">
        <x:v>BGB Allgemeiner Teil</x:v>
      </x:c>
      <x:c r="M509" s="5" t="n">
        <x:v>38</x:v>
      </x:c>
      <x:c r="N509" s="5" t="n">
        <x:v>38</x:v>
      </x:c>
      <x:c r="O509" s="5" t="str"/>
      <x:c r="P509" s="5" t="str">
        <x:v>Pilot freigegeben</x:v>
      </x:c>
      <x:c r="Q509" s="5" t="str">
        <x:v>Revision 2 unverändert übernommen</x:v>
      </x:c>
      <x:c r="R509" s="5" t="str">
        <x:v>Was ist unter einer Stellvertretung zu verstehen und wo ist sie geregelt?</x:v>
      </x:c>
      <x:c r="S509" s="5" t="str">
        <x:v>00503a9a3f7261b95399b1c5c946fa9c15f05906942f1bbefc156de1f276811c</x:v>
      </x:c>
    </x:row>
    <x:row r="510" ht="36" customHeight="1">
      <x:c r="A510" s="5" t="str">
        <x:v>R-0106</x:v>
      </x:c>
      <x:c r="B510" s="5" t="str">
        <x:v>WQ</x:v>
      </x:c>
      <x:c r="C510" s="5" t="str">
        <x:v>3</x:v>
      </x:c>
      <x:c r="D510" s="5" t="str">
        <x:v>Recht und Steuern</x:v>
      </x:c>
      <x:c r="E510" s="5" t="str">
        <x:v>Recht</x:v>
      </x:c>
      <x:c r="F510" s="5" t="str">
        <x:v>ui-wq-recht-at</x:v>
      </x:c>
      <x:c r="G510" s="5" t="str">
        <x:v>BGB Allgemeiner Teil</x:v>
      </x:c>
      <x:c r="H510" s="5" t="str">
        <x:v>tr-wq-r01</x:v>
      </x:c>
      <x:c r="I510" s="5" t="str">
        <x:v>3.1.1</x:v>
      </x:c>
      <x:c r="J510" s="5" t="str">
        <x:v>BGB: Personen, Rechtsgeschäfte und Vertretung</x:v>
      </x:c>
      <x:c r="K510" s="5" t="str"/>
      <x:c r="L510" s="5" t="str">
        <x:v>BGB Allgemeiner Teil</x:v>
      </x:c>
      <x:c r="M510" s="5" t="n">
        <x:v>39</x:v>
      </x:c>
      <x:c r="N510" s="5" t="n">
        <x:v>39</x:v>
      </x:c>
      <x:c r="O510" s="5" t="str"/>
      <x:c r="P510" s="5" t="str">
        <x:v>Pilot freigegeben</x:v>
      </x:c>
      <x:c r="Q510" s="5" t="str">
        <x:v>Revision 2 unverändert übernommen</x:v>
      </x:c>
      <x:c r="R510" s="5" t="str">
        <x:v>Was ist der Unterschied zwischen der Aktiv- und der Passivvertretung? </x:v>
      </x:c>
      <x:c r="S510" s="5" t="str">
        <x:v>35b378efc219bfb51979d065c834936e282ab6cb9a1cc2dff2c4995d1d02080b</x:v>
      </x:c>
    </x:row>
    <x:row r="511" ht="36" customHeight="1">
      <x:c r="A511" s="5" t="str">
        <x:v>R-0107</x:v>
      </x:c>
      <x:c r="B511" s="5" t="str">
        <x:v>WQ</x:v>
      </x:c>
      <x:c r="C511" s="5" t="str">
        <x:v>3</x:v>
      </x:c>
      <x:c r="D511" s="5" t="str">
        <x:v>Recht und Steuern</x:v>
      </x:c>
      <x:c r="E511" s="5" t="str">
        <x:v>Recht</x:v>
      </x:c>
      <x:c r="F511" s="5" t="str">
        <x:v>ui-wq-recht-at</x:v>
      </x:c>
      <x:c r="G511" s="5" t="str">
        <x:v>BGB Allgemeiner Teil</x:v>
      </x:c>
      <x:c r="H511" s="5" t="str">
        <x:v>tr-wq-r01</x:v>
      </x:c>
      <x:c r="I511" s="5" t="str">
        <x:v>3.1.1</x:v>
      </x:c>
      <x:c r="J511" s="5" t="str">
        <x:v>BGB: Personen, Rechtsgeschäfte und Vertretung</x:v>
      </x:c>
      <x:c r="K511" s="5" t="str"/>
      <x:c r="L511" s="5" t="str">
        <x:v>BGB Allgemeiner Teil</x:v>
      </x:c>
      <x:c r="M511" s="5" t="n">
        <x:v>40</x:v>
      </x:c>
      <x:c r="N511" s="5" t="n">
        <x:v>40</x:v>
      </x:c>
      <x:c r="O511" s="5" t="str"/>
      <x:c r="P511" s="5" t="str">
        <x:v>Pilot freigegeben</x:v>
      </x:c>
      <x:c r="Q511" s="5" t="str">
        <x:v>Revision 2 unverändert übernommen</x:v>
      </x:c>
      <x:c r="R511" s="5" t="str">
        <x:v>Wie unterscheiden sich die rechtsgeschäftliche und die gesetzliche Stellvertretung? </x:v>
      </x:c>
      <x:c r="S511" s="5" t="str">
        <x:v>3edbd3aa96d42f332e86dcbf8bb7641a65c0a7f626ea6d4a1dc325e26b88f5f2</x:v>
      </x:c>
    </x:row>
    <x:row r="512" ht="36" customHeight="1">
      <x:c r="A512" s="5" t="str">
        <x:v>R-0108</x:v>
      </x:c>
      <x:c r="B512" s="5" t="str">
        <x:v>WQ</x:v>
      </x:c>
      <x:c r="C512" s="5" t="str">
        <x:v>3</x:v>
      </x:c>
      <x:c r="D512" s="5" t="str">
        <x:v>Recht und Steuern</x:v>
      </x:c>
      <x:c r="E512" s="5" t="str">
        <x:v>Recht</x:v>
      </x:c>
      <x:c r="F512" s="5" t="str">
        <x:v>ui-wq-recht-at</x:v>
      </x:c>
      <x:c r="G512" s="5" t="str">
        <x:v>BGB Allgemeiner Teil</x:v>
      </x:c>
      <x:c r="H512" s="5" t="str">
        <x:v>tr-wq-r01</x:v>
      </x:c>
      <x:c r="I512" s="5" t="str">
        <x:v>3.1.1</x:v>
      </x:c>
      <x:c r="J512" s="5" t="str">
        <x:v>BGB: Personen, Rechtsgeschäfte und Vertretung</x:v>
      </x:c>
      <x:c r="K512" s="5" t="str"/>
      <x:c r="L512" s="5" t="str">
        <x:v>BGB Allgemeiner Teil</x:v>
      </x:c>
      <x:c r="M512" s="5" t="n">
        <x:v>41</x:v>
      </x:c>
      <x:c r="N512" s="5" t="n">
        <x:v>41</x:v>
      </x:c>
      <x:c r="O512" s="5" t="str"/>
      <x:c r="P512" s="5" t="str">
        <x:v>Pilot freigegeben</x:v>
      </x:c>
      <x:c r="Q512" s="5" t="str">
        <x:v>Revision 2 unverändert übernommen</x:v>
      </x:c>
      <x:c r="R512" s="5" t="str">
        <x:v>Nennen Sie die Voraussetzungen der Stellvertretung! </x:v>
      </x:c>
      <x:c r="S512" s="5" t="str">
        <x:v>a1c3b0244c95bcef436f301e395a0adbb408703fd99ccf277ce08ca1301fbe53</x:v>
      </x:c>
    </x:row>
    <x:row r="513" ht="36" customHeight="1">
      <x:c r="A513" s="5" t="str">
        <x:v>R-0109</x:v>
      </x:c>
      <x:c r="B513" s="5" t="str">
        <x:v>WQ</x:v>
      </x:c>
      <x:c r="C513" s="5" t="str">
        <x:v>3</x:v>
      </x:c>
      <x:c r="D513" s="5" t="str">
        <x:v>Recht und Steuern</x:v>
      </x:c>
      <x:c r="E513" s="5" t="str">
        <x:v>Recht</x:v>
      </x:c>
      <x:c r="F513" s="5" t="str">
        <x:v>ui-wq-recht-at</x:v>
      </x:c>
      <x:c r="G513" s="5" t="str">
        <x:v>BGB Allgemeiner Teil</x:v>
      </x:c>
      <x:c r="H513" s="5" t="str">
        <x:v>tr-wq-r01</x:v>
      </x:c>
      <x:c r="I513" s="5" t="str">
        <x:v>3.1.1</x:v>
      </x:c>
      <x:c r="J513" s="5" t="str">
        <x:v>BGB: Personen, Rechtsgeschäfte und Vertretung</x:v>
      </x:c>
      <x:c r="K513" s="5" t="str"/>
      <x:c r="L513" s="5" t="str">
        <x:v>BGB Allgemeiner Teil</x:v>
      </x:c>
      <x:c r="M513" s="5" t="n">
        <x:v>42</x:v>
      </x:c>
      <x:c r="N513" s="5" t="n">
        <x:v>42</x:v>
      </x:c>
      <x:c r="O513" s="5" t="str"/>
      <x:c r="P513" s="5" t="str">
        <x:v>Pilot freigegeben</x:v>
      </x:c>
      <x:c r="Q513" s="5" t="str">
        <x:v>Revision 2 unverändert übernommen</x:v>
      </x:c>
      <x:c r="R513" s="5" t="str">
        <x:v>Was ist der Unterschied zwischen einem Boten und einem Stellvertreter? </x:v>
      </x:c>
      <x:c r="S513" s="5" t="str">
        <x:v>921fea6ebdb4ec1bf8ebc12d246d567172f021ea76754cd774978c904ccdbf42</x:v>
      </x:c>
    </x:row>
    <x:row r="514" ht="36" customHeight="1">
      <x:c r="A514" s="5" t="str">
        <x:v>R-0110</x:v>
      </x:c>
      <x:c r="B514" s="5" t="str">
        <x:v>WQ</x:v>
      </x:c>
      <x:c r="C514" s="5" t="str">
        <x:v>3</x:v>
      </x:c>
      <x:c r="D514" s="5" t="str">
        <x:v>Recht und Steuern</x:v>
      </x:c>
      <x:c r="E514" s="5" t="str">
        <x:v>Recht</x:v>
      </x:c>
      <x:c r="F514" s="5" t="str">
        <x:v>ui-wq-recht-at</x:v>
      </x:c>
      <x:c r="G514" s="5" t="str">
        <x:v>BGB Allgemeiner Teil</x:v>
      </x:c>
      <x:c r="H514" s="5" t="str">
        <x:v>tr-wq-r01</x:v>
      </x:c>
      <x:c r="I514" s="5" t="str">
        <x:v>3.1.1</x:v>
      </x:c>
      <x:c r="J514" s="5" t="str">
        <x:v>BGB: Personen, Rechtsgeschäfte und Vertretung</x:v>
      </x:c>
      <x:c r="K514" s="5" t="str"/>
      <x:c r="L514" s="5" t="str">
        <x:v>BGB Allgemeiner Teil</x:v>
      </x:c>
      <x:c r="M514" s="5" t="n">
        <x:v>43</x:v>
      </x:c>
      <x:c r="N514" s="5" t="n">
        <x:v>43</x:v>
      </x:c>
      <x:c r="O514" s="5" t="str"/>
      <x:c r="P514" s="5" t="str">
        <x:v>Pilot freigegeben</x:v>
      </x:c>
      <x:c r="Q514" s="5" t="str">
        <x:v>Revision 2 unverändert übernommen</x:v>
      </x:c>
      <x:c r="R514" s="5" t="str">
        <x:v>Was ist eine Vollmacht? </x:v>
      </x:c>
      <x:c r="S514" s="5" t="str">
        <x:v>5791d6b783c4b2e7d66b98c6d0dc4694a6aa670c1c089b7e5ae82ba9a9c9e65b</x:v>
      </x:c>
    </x:row>
    <x:row r="515" ht="36" customHeight="1">
      <x:c r="A515" s="5" t="str">
        <x:v>R-0111</x:v>
      </x:c>
      <x:c r="B515" s="5" t="str">
        <x:v>WQ</x:v>
      </x:c>
      <x:c r="C515" s="5" t="str">
        <x:v>3</x:v>
      </x:c>
      <x:c r="D515" s="5" t="str">
        <x:v>Recht und Steuern</x:v>
      </x:c>
      <x:c r="E515" s="5" t="str">
        <x:v>Recht</x:v>
      </x:c>
      <x:c r="F515" s="5" t="str">
        <x:v>ui-wq-recht-at</x:v>
      </x:c>
      <x:c r="G515" s="5" t="str">
        <x:v>BGB Allgemeiner Teil</x:v>
      </x:c>
      <x:c r="H515" s="5" t="str">
        <x:v>tr-wq-r01</x:v>
      </x:c>
      <x:c r="I515" s="5" t="str">
        <x:v>3.1.1</x:v>
      </x:c>
      <x:c r="J515" s="5" t="str">
        <x:v>BGB: Personen, Rechtsgeschäfte und Vertretung</x:v>
      </x:c>
      <x:c r="K515" s="5" t="str"/>
      <x:c r="L515" s="5" t="str">
        <x:v>BGB Allgemeiner Teil</x:v>
      </x:c>
      <x:c r="M515" s="5" t="n">
        <x:v>44</x:v>
      </x:c>
      <x:c r="N515" s="5" t="n">
        <x:v>44</x:v>
      </x:c>
      <x:c r="O515" s="5" t="str"/>
      <x:c r="P515" s="5" t="str">
        <x:v>Pilot freigegeben</x:v>
      </x:c>
      <x:c r="Q515" s="5" t="str">
        <x:v>Revision 2 unverändert übernommen</x:v>
      </x:c>
      <x:c r="R515" s="5" t="str">
        <x:v>Wie kann eine Vollmacht erteilt werden?</x:v>
      </x:c>
      <x:c r="S515" s="5" t="str">
        <x:v>ce984247aca32320a9f4262c8d32ed5bb4c20749d27fde046503af3d6b233d94</x:v>
      </x:c>
    </x:row>
    <x:row r="516" ht="36" customHeight="1">
      <x:c r="A516" s="5" t="str">
        <x:v>R-0112</x:v>
      </x:c>
      <x:c r="B516" s="5" t="str">
        <x:v>WQ</x:v>
      </x:c>
      <x:c r="C516" s="5" t="str">
        <x:v>3</x:v>
      </x:c>
      <x:c r="D516" s="5" t="str">
        <x:v>Recht und Steuern</x:v>
      </x:c>
      <x:c r="E516" s="5" t="str">
        <x:v>Recht</x:v>
      </x:c>
      <x:c r="F516" s="5" t="str">
        <x:v>ui-wq-recht-at</x:v>
      </x:c>
      <x:c r="G516" s="5" t="str">
        <x:v>BGB Allgemeiner Teil</x:v>
      </x:c>
      <x:c r="H516" s="5" t="str">
        <x:v>tr-wq-r01</x:v>
      </x:c>
      <x:c r="I516" s="5" t="str">
        <x:v>3.1.1</x:v>
      </x:c>
      <x:c r="J516" s="5" t="str">
        <x:v>BGB: Personen, Rechtsgeschäfte und Vertretung</x:v>
      </x:c>
      <x:c r="K516" s="5" t="str"/>
      <x:c r="L516" s="5" t="str">
        <x:v>BGB Allgemeiner Teil</x:v>
      </x:c>
      <x:c r="M516" s="5" t="n">
        <x:v>45</x:v>
      </x:c>
      <x:c r="N516" s="5" t="n">
        <x:v>45</x:v>
      </x:c>
      <x:c r="O516" s="5" t="str"/>
      <x:c r="P516" s="5" t="str">
        <x:v>Pilot freigegeben</x:v>
      </x:c>
      <x:c r="Q516" s="5" t="str">
        <x:v>Revision 2 unverändert übernommen</x:v>
      </x:c>
      <x:c r="R516" s="5" t="str">
        <x:v>Bedarf die Erteilung der Vollmacht einer Form?</x:v>
      </x:c>
      <x:c r="S516" s="5" t="str">
        <x:v>6cd3f14f87f89fb41fb4c40c8cdd13c686f52f08951b59a804b34cdd255a00f6</x:v>
      </x:c>
    </x:row>
    <x:row r="517" ht="36" customHeight="1">
      <x:c r="A517" s="5" t="str">
        <x:v>R-0113</x:v>
      </x:c>
      <x:c r="B517" s="5" t="str">
        <x:v>WQ</x:v>
      </x:c>
      <x:c r="C517" s="5" t="str">
        <x:v>3</x:v>
      </x:c>
      <x:c r="D517" s="5" t="str">
        <x:v>Recht und Steuern</x:v>
      </x:c>
      <x:c r="E517" s="5" t="str">
        <x:v>Recht</x:v>
      </x:c>
      <x:c r="F517" s="5" t="str">
        <x:v>ui-wq-recht-at</x:v>
      </x:c>
      <x:c r="G517" s="5" t="str">
        <x:v>BGB Allgemeiner Teil</x:v>
      </x:c>
      <x:c r="H517" s="5" t="str">
        <x:v>tr-wq-r01</x:v>
      </x:c>
      <x:c r="I517" s="5" t="str">
        <x:v>3.1.1</x:v>
      </x:c>
      <x:c r="J517" s="5" t="str">
        <x:v>BGB: Personen, Rechtsgeschäfte und Vertretung</x:v>
      </x:c>
      <x:c r="K517" s="5" t="str"/>
      <x:c r="L517" s="5" t="str">
        <x:v>BGB Allgemeiner Teil</x:v>
      </x:c>
      <x:c r="M517" s="5" t="n">
        <x:v>46</x:v>
      </x:c>
      <x:c r="N517" s="5" t="n">
        <x:v>46</x:v>
      </x:c>
      <x:c r="O517" s="5" t="str"/>
      <x:c r="P517" s="5" t="str">
        <x:v>Pilot freigegeben</x:v>
      </x:c>
      <x:c r="Q517" s="5" t="str">
        <x:v>Revision 2 unverändert übernommen</x:v>
      </x:c>
      <x:c r="R517" s="5" t="str">
        <x:v>Wonach bestimmt sich der Umfang der Vollmacht? </x:v>
      </x:c>
      <x:c r="S517" s="5" t="str">
        <x:v>81efb9b637b70d4a0392e17005ff34420f8ffc1e0fcf5f891b96e2e0fb821b1d</x:v>
      </x:c>
    </x:row>
    <x:row r="518" ht="36" customHeight="1">
      <x:c r="A518" s="5" t="str">
        <x:v>R-0114</x:v>
      </x:c>
      <x:c r="B518" s="5" t="str">
        <x:v>WQ</x:v>
      </x:c>
      <x:c r="C518" s="5" t="str">
        <x:v>3</x:v>
      </x:c>
      <x:c r="D518" s="5" t="str">
        <x:v>Recht und Steuern</x:v>
      </x:c>
      <x:c r="E518" s="5" t="str">
        <x:v>Recht</x:v>
      </x:c>
      <x:c r="F518" s="5" t="str">
        <x:v>ui-wq-recht-at</x:v>
      </x:c>
      <x:c r="G518" s="5" t="str">
        <x:v>BGB Allgemeiner Teil</x:v>
      </x:c>
      <x:c r="H518" s="5" t="str">
        <x:v>tr-wq-r01</x:v>
      </x:c>
      <x:c r="I518" s="5" t="str">
        <x:v>3.1.1</x:v>
      </x:c>
      <x:c r="J518" s="5" t="str">
        <x:v>BGB: Personen, Rechtsgeschäfte und Vertretung</x:v>
      </x:c>
      <x:c r="K518" s="5" t="str"/>
      <x:c r="L518" s="5" t="str">
        <x:v>BGB Allgemeiner Teil</x:v>
      </x:c>
      <x:c r="M518" s="5" t="n">
        <x:v>47</x:v>
      </x:c>
      <x:c r="N518" s="5" t="n">
        <x:v>47</x:v>
      </x:c>
      <x:c r="O518" s="5" t="str"/>
      <x:c r="P518" s="5" t="str">
        <x:v>Pilot freigegeben</x:v>
      </x:c>
      <x:c r="Q518" s="5" t="str">
        <x:v>Revision 2 unverändert übernommen</x:v>
      </x:c>
      <x:c r="R518" s="5" t="str">
        <x:v>Was versteht man unter Duldungs- und unter Anscheinsvollmacht?</x:v>
      </x:c>
      <x:c r="S518" s="5" t="str">
        <x:v>b930003396da027e0df60b47dc8642a656a21dc79b246358f10f66919039ea78</x:v>
      </x:c>
    </x:row>
    <x:row r="519" ht="36" customHeight="1">
      <x:c r="A519" s="5" t="str">
        <x:v>R-0115</x:v>
      </x:c>
      <x:c r="B519" s="5" t="str">
        <x:v>WQ</x:v>
      </x:c>
      <x:c r="C519" s="5" t="str">
        <x:v>3</x:v>
      </x:c>
      <x:c r="D519" s="5" t="str">
        <x:v>Recht und Steuern</x:v>
      </x:c>
      <x:c r="E519" s="5" t="str">
        <x:v>Recht</x:v>
      </x:c>
      <x:c r="F519" s="5" t="str">
        <x:v>ui-wq-recht-at</x:v>
      </x:c>
      <x:c r="G519" s="5" t="str">
        <x:v>BGB Allgemeiner Teil</x:v>
      </x:c>
      <x:c r="H519" s="5" t="str">
        <x:v>tr-wq-r01</x:v>
      </x:c>
      <x:c r="I519" s="5" t="str">
        <x:v>3.1.1</x:v>
      </x:c>
      <x:c r="J519" s="5" t="str">
        <x:v>BGB: Personen, Rechtsgeschäfte und Vertretung</x:v>
      </x:c>
      <x:c r="K519" s="5" t="str"/>
      <x:c r="L519" s="5" t="str">
        <x:v>BGB Allgemeiner Teil</x:v>
      </x:c>
      <x:c r="M519" s="5" t="n">
        <x:v>48</x:v>
      </x:c>
      <x:c r="N519" s="5" t="n">
        <x:v>48</x:v>
      </x:c>
      <x:c r="O519" s="5" t="str"/>
      <x:c r="P519" s="5" t="str">
        <x:v>Pilot freigegeben</x:v>
      </x:c>
      <x:c r="Q519" s="5" t="str">
        <x:v>Revision 2 unverändert übernommen</x:v>
      </x:c>
      <x:c r="R519" s="5" t="str">
        <x:v>Was ist ein Insichgeschäft? Was ist die Rechtsfolge bei einem Insichgeschäft?</x:v>
      </x:c>
      <x:c r="S519" s="5" t="str">
        <x:v>d785d335c08998594ff53a79eee632458ae1ca9218812c9d233dc1d64a40a4f5</x:v>
      </x:c>
    </x:row>
    <x:row r="520" ht="36" customHeight="1">
      <x:c r="A520" s="5" t="str">
        <x:v>R-0116</x:v>
      </x:c>
      <x:c r="B520" s="5" t="str">
        <x:v>WQ</x:v>
      </x:c>
      <x:c r="C520" s="5" t="str">
        <x:v>3</x:v>
      </x:c>
      <x:c r="D520" s="5" t="str">
        <x:v>Recht und Steuern</x:v>
      </x:c>
      <x:c r="E520" s="5" t="str">
        <x:v>Recht</x:v>
      </x:c>
      <x:c r="F520" s="5" t="str">
        <x:v>ui-wq-recht-at</x:v>
      </x:c>
      <x:c r="G520" s="5" t="str">
        <x:v>BGB Allgemeiner Teil</x:v>
      </x:c>
      <x:c r="H520" s="5" t="str">
        <x:v>tr-wq-r01</x:v>
      </x:c>
      <x:c r="I520" s="5" t="str">
        <x:v>3.1.1</x:v>
      </x:c>
      <x:c r="J520" s="5" t="str">
        <x:v>BGB: Personen, Rechtsgeschäfte und Vertretung</x:v>
      </x:c>
      <x:c r="K520" s="5" t="str"/>
      <x:c r="L520" s="5" t="str">
        <x:v>BGB Allgemeiner Teil</x:v>
      </x:c>
      <x:c r="M520" s="5" t="n">
        <x:v>49</x:v>
      </x:c>
      <x:c r="N520" s="5" t="n">
        <x:v>49</x:v>
      </x:c>
      <x:c r="O520" s="5" t="str"/>
      <x:c r="P520" s="5" t="str">
        <x:v>Pilot freigegeben</x:v>
      </x:c>
      <x:c r="Q520" s="5" t="str">
        <x:v>Revision 2 unverändert übernommen</x:v>
      </x:c>
      <x:c r="R520" s="5" t="str">
        <x:v>Ist eine Kündigung wirksam, die ein Vertreter ohne Vertretungsmacht ausspricht?</x:v>
      </x:c>
      <x:c r="S520" s="5" t="str">
        <x:v>b1b97430ba9d0902dfe84b280e98d4598398dc819c9f5f94f24df328501aac04</x:v>
      </x:c>
    </x:row>
    <x:row r="521" ht="36" customHeight="1">
      <x:c r="A521" s="5" t="str">
        <x:v>R-0117</x:v>
      </x:c>
      <x:c r="B521" s="5" t="str">
        <x:v>WQ</x:v>
      </x:c>
      <x:c r="C521" s="5" t="str">
        <x:v>3</x:v>
      </x:c>
      <x:c r="D521" s="5" t="str">
        <x:v>Recht und Steuern</x:v>
      </x:c>
      <x:c r="E521" s="5" t="str">
        <x:v>Recht</x:v>
      </x:c>
      <x:c r="F521" s="5" t="str">
        <x:v>ui-wq-recht-at</x:v>
      </x:c>
      <x:c r="G521" s="5" t="str">
        <x:v>BGB Allgemeiner Teil</x:v>
      </x:c>
      <x:c r="H521" s="5" t="str">
        <x:v>tr-wq-r01</x:v>
      </x:c>
      <x:c r="I521" s="5" t="str">
        <x:v>3.1.1</x:v>
      </x:c>
      <x:c r="J521" s="5" t="str">
        <x:v>BGB: Personen, Rechtsgeschäfte und Vertretung</x:v>
      </x:c>
      <x:c r="K521" s="5" t="str"/>
      <x:c r="L521" s="5" t="str">
        <x:v>BGB Allgemeiner Teil</x:v>
      </x:c>
      <x:c r="M521" s="5" t="n">
        <x:v>50</x:v>
      </x:c>
      <x:c r="N521" s="5" t="n">
        <x:v>50</x:v>
      </x:c>
      <x:c r="O521" s="5" t="str"/>
      <x:c r="P521" s="5" t="str">
        <x:v>Pilot freigegeben</x:v>
      </x:c>
      <x:c r="Q521" s="5" t="str">
        <x:v>Revision 2 unverändert übernommen</x:v>
      </x:c>
      <x:c r="R521" s="5" t="str">
        <x:v>Ist ein Vertrag wirksam, den ein Vertreter ohne Vertretungsmacht abgeschlossen hat?</x:v>
      </x:c>
      <x:c r="S521" s="5" t="str">
        <x:v>36fb45c925e92141ed99779de926ecf2281db58bfd888f6ae413ae8bced937e6</x:v>
      </x:c>
    </x:row>
    <x:row r="522" ht="36" customHeight="1">
      <x:c r="A522" s="5" t="str">
        <x:v>R-0118</x:v>
      </x:c>
      <x:c r="B522" s="5" t="str">
        <x:v>WQ</x:v>
      </x:c>
      <x:c r="C522" s="5" t="str">
        <x:v>3</x:v>
      </x:c>
      <x:c r="D522" s="5" t="str">
        <x:v>Recht und Steuern</x:v>
      </x:c>
      <x:c r="E522" s="5" t="str">
        <x:v>Recht</x:v>
      </x:c>
      <x:c r="F522" s="5" t="str">
        <x:v>ui-wq-recht-at</x:v>
      </x:c>
      <x:c r="G522" s="5" t="str">
        <x:v>BGB Allgemeiner Teil</x:v>
      </x:c>
      <x:c r="H522" s="5" t="str">
        <x:v>tr-wq-r01</x:v>
      </x:c>
      <x:c r="I522" s="5" t="str">
        <x:v>3.1.1</x:v>
      </x:c>
      <x:c r="J522" s="5" t="str">
        <x:v>BGB: Personen, Rechtsgeschäfte und Vertretung</x:v>
      </x:c>
      <x:c r="K522" s="5" t="str"/>
      <x:c r="L522" s="5" t="str">
        <x:v>BGB Allgemeiner Teil</x:v>
      </x:c>
      <x:c r="M522" s="5" t="n">
        <x:v>51</x:v>
      </x:c>
      <x:c r="N522" s="5" t="n">
        <x:v>51</x:v>
      </x:c>
      <x:c r="O522" s="5" t="str"/>
      <x:c r="P522" s="5" t="str">
        <x:v>Pilot freigegeben</x:v>
      </x:c>
      <x:c r="Q522" s="5" t="str">
        <x:v>Revision 2 unverändert übernommen</x:v>
      </x:c>
      <x:c r="R522" s="5" t="str">
        <x:v>Wie haftet der Vertreter ohne Vertretungsmacht, wenn der Vertretene die Genehmigung des 
Vertrags verweigert?</x:v>
      </x:c>
      <x:c r="S522" s="5" t="str">
        <x:v>57e21e446ec9a13a33e0a7a790f326cc9d4d50ebd48343ce5452b652326e9521</x:v>
      </x:c>
    </x:row>
    <x:row r="523" ht="36" customHeight="1">
      <x:c r="A523" s="5" t="str">
        <x:v>R-0119</x:v>
      </x:c>
      <x:c r="B523" s="5" t="str">
        <x:v>WQ</x:v>
      </x:c>
      <x:c r="C523" s="5" t="str">
        <x:v>3</x:v>
      </x:c>
      <x:c r="D523" s="5" t="str">
        <x:v>Recht und Steuern</x:v>
      </x:c>
      <x:c r="E523" s="5" t="str">
        <x:v>Recht</x:v>
      </x:c>
      <x:c r="F523" s="5" t="str">
        <x:v>ui-wq-recht-schuld</x:v>
      </x:c>
      <x:c r="G523" s="5" t="str">
        <x:v>BGB Schuldrecht</x:v>
      </x:c>
      <x:c r="H523" s="5" t="str">
        <x:v>tr-wq-r07</x:v>
      </x:c>
      <x:c r="I523" s="5" t="str">
        <x:v>3.1.2.5</x:v>
      </x:c>
      <x:c r="J523" s="5" t="str">
        <x:v>Leistung, Verzug und Schadensersatz</x:v>
      </x:c>
      <x:c r="K523" s="5" t="str"/>
      <x:c r="L523" s="5" t="str">
        <x:v>Weitere Vertragstypen, E-Commerce &amp; Leistungsstörungen</x:v>
      </x:c>
      <x:c r="M523" s="5" t="n">
        <x:v>25</x:v>
      </x:c>
      <x:c r="N523" s="5" t="n">
        <x:v>1</x:v>
      </x:c>
      <x:c r="O523" s="5" t="str"/>
      <x:c r="P523" s="5" t="str">
        <x:v>Pilot freigegeben</x:v>
      </x:c>
      <x:c r="Q523" s="5" t="str">
        <x:v>Revision 2 unverändert übernommen</x:v>
      </x:c>
      <x:c r="R523" s="5" t="str">
        <x:v>Welche Arten von allgemeinen Leistungsstörungen kann man unterscheiden? 
</x:v>
      </x:c>
      <x:c r="S523" s="5" t="str">
        <x:v>02043d0e201f2310d69f316a25b1b32e1e33ead2da537deb0c41a733b82a3ba9</x:v>
      </x:c>
    </x:row>
    <x:row r="524" ht="36" customHeight="1">
      <x:c r="A524" s="5" t="str">
        <x:v>R-0120</x:v>
      </x:c>
      <x:c r="B524" s="5" t="str">
        <x:v>WQ</x:v>
      </x:c>
      <x:c r="C524" s="5" t="str">
        <x:v>3</x:v>
      </x:c>
      <x:c r="D524" s="5" t="str">
        <x:v>Recht und Steuern</x:v>
      </x:c>
      <x:c r="E524" s="5" t="str">
        <x:v>Recht</x:v>
      </x:c>
      <x:c r="F524" s="5" t="str">
        <x:v>ui-wq-recht-schuld</x:v>
      </x:c>
      <x:c r="G524" s="5" t="str">
        <x:v>BGB Schuldrecht</x:v>
      </x:c>
      <x:c r="H524" s="5" t="str">
        <x:v>tr-wq-r07</x:v>
      </x:c>
      <x:c r="I524" s="5" t="str">
        <x:v>3.1.2.5</x:v>
      </x:c>
      <x:c r="J524" s="5" t="str">
        <x:v>Leistung, Verzug und Schadensersatz</x:v>
      </x:c>
      <x:c r="K524" s="5" t="str"/>
      <x:c r="L524" s="5" t="str">
        <x:v>Weitere Vertragstypen, E-Commerce &amp; Leistungsstörungen</x:v>
      </x:c>
      <x:c r="M524" s="5" t="n">
        <x:v>26</x:v>
      </x:c>
      <x:c r="N524" s="5" t="n">
        <x:v>2</x:v>
      </x:c>
      <x:c r="O524" s="5" t="str"/>
      <x:c r="P524" s="5" t="str">
        <x:v>Pilot freigegeben</x:v>
      </x:c>
      <x:c r="Q524" s="5" t="str">
        <x:v>Revision 2 unverändert übernommen</x:v>
      </x:c>
      <x:c r="R524" s="5" t="str">
        <x:v>Für welche beiden Verschuldensformen haftet der Schuldner grundsätzlich? Wie werden diese 
Verschuldensformen definiert? </x:v>
      </x:c>
      <x:c r="S524" s="5" t="str">
        <x:v>8a1e6c0a78bd139d748d4ac1f8c9f168c0598ba0608d39157115b512665f8650</x:v>
      </x:c>
    </x:row>
    <x:row r="525" ht="36" customHeight="1">
      <x:c r="A525" s="5" t="str">
        <x:v>R-0121</x:v>
      </x:c>
      <x:c r="B525" s="5" t="str">
        <x:v>WQ</x:v>
      </x:c>
      <x:c r="C525" s="5" t="str">
        <x:v>3</x:v>
      </x:c>
      <x:c r="D525" s="5" t="str">
        <x:v>Recht und Steuern</x:v>
      </x:c>
      <x:c r="E525" s="5" t="str">
        <x:v>Recht</x:v>
      </x:c>
      <x:c r="F525" s="5" t="str">
        <x:v>ui-wq-recht-schuld</x:v>
      </x:c>
      <x:c r="G525" s="5" t="str">
        <x:v>BGB Schuldrecht</x:v>
      </x:c>
      <x:c r="H525" s="5" t="str">
        <x:v>tr-wq-r07</x:v>
      </x:c>
      <x:c r="I525" s="5" t="str">
        <x:v>3.1.2.5</x:v>
      </x:c>
      <x:c r="J525" s="5" t="str">
        <x:v>Leistung, Verzug und Schadensersatz</x:v>
      </x:c>
      <x:c r="K525" s="5" t="str"/>
      <x:c r="L525" s="5" t="str">
        <x:v>Weitere Vertragstypen, E-Commerce &amp; Leistungsstörungen</x:v>
      </x:c>
      <x:c r="M525" s="5" t="n">
        <x:v>27</x:v>
      </x:c>
      <x:c r="N525" s="5" t="n">
        <x:v>3</x:v>
      </x:c>
      <x:c r="O525" s="5" t="str"/>
      <x:c r="P525" s="5" t="str">
        <x:v>Pilot freigegeben</x:v>
      </x:c>
      <x:c r="Q525" s="5" t="str">
        <x:v>Revision 2 unverändert übernommen</x:v>
      </x:c>
      <x:c r="R525" s="5" t="str">
        <x:v>Wird der Schuldner einer Geldschuld von seiner Verpflichtung frei, wenn er unverschuldet in 
Not geraten ist und daher nicht bezahlen kann? </x:v>
      </x:c>
      <x:c r="S525" s="5" t="str">
        <x:v>d4c05534b9bd7c781ab8552571b10ad79d14484540d64deef1a512e73aa39275</x:v>
      </x:c>
    </x:row>
    <x:row r="526" ht="36" customHeight="1">
      <x:c r="A526" s="5" t="str">
        <x:v>R-0122</x:v>
      </x:c>
      <x:c r="B526" s="5" t="str">
        <x:v>WQ</x:v>
      </x:c>
      <x:c r="C526" s="5" t="str">
        <x:v>3</x:v>
      </x:c>
      <x:c r="D526" s="5" t="str">
        <x:v>Recht und Steuern</x:v>
      </x:c>
      <x:c r="E526" s="5" t="str">
        <x:v>Recht</x:v>
      </x:c>
      <x:c r="F526" s="5" t="str">
        <x:v>ui-wq-recht-schuld</x:v>
      </x:c>
      <x:c r="G526" s="5" t="str">
        <x:v>BGB Schuldrecht</x:v>
      </x:c>
      <x:c r="H526" s="5" t="str">
        <x:v>tr-wq-r07</x:v>
      </x:c>
      <x:c r="I526" s="5" t="str">
        <x:v>3.1.2.5</x:v>
      </x:c>
      <x:c r="J526" s="5" t="str">
        <x:v>Leistung, Verzug und Schadensersatz</x:v>
      </x:c>
      <x:c r="K526" s="5" t="str"/>
      <x:c r="L526" s="5" t="str">
        <x:v>Weitere Vertragstypen, E-Commerce &amp; Leistungsstörungen</x:v>
      </x:c>
      <x:c r="M526" s="5" t="n">
        <x:v>28</x:v>
      </x:c>
      <x:c r="N526" s="5" t="n">
        <x:v>4</x:v>
      </x:c>
      <x:c r="O526" s="5" t="str"/>
      <x:c r="P526" s="5" t="str">
        <x:v>Pilot freigegeben</x:v>
      </x:c>
      <x:c r="Q526" s="5" t="str">
        <x:v>Revision 2 unverändert übernommen</x:v>
      </x:c>
      <x:c r="R526" s="5" t="str">
        <x:v>Für das Verschulden welcher Personen muss der Schuldner wie für eigenes Verschulden ein
stehen? </x:v>
      </x:c>
      <x:c r="S526" s="5" t="str">
        <x:v>874da9c2645b8fbe16ea8c3fe170068626c06af240dc4212e3451619113d48ae</x:v>
      </x:c>
    </x:row>
    <x:row r="527" ht="36" customHeight="1">
      <x:c r="A527" s="5" t="str">
        <x:v>R-0123</x:v>
      </x:c>
      <x:c r="B527" s="5" t="str">
        <x:v>WQ</x:v>
      </x:c>
      <x:c r="C527" s="5" t="str">
        <x:v>3</x:v>
      </x:c>
      <x:c r="D527" s="5" t="str">
        <x:v>Recht und Steuern</x:v>
      </x:c>
      <x:c r="E527" s="5" t="str">
        <x:v>Recht</x:v>
      </x:c>
      <x:c r="F527" s="5" t="str">
        <x:v>ui-wq-recht-schuld</x:v>
      </x:c>
      <x:c r="G527" s="5" t="str">
        <x:v>BGB Schuldrecht</x:v>
      </x:c>
      <x:c r="H527" s="5" t="str">
        <x:v>tr-wq-r07</x:v>
      </x:c>
      <x:c r="I527" s="5" t="str">
        <x:v>3.1.2.5</x:v>
      </x:c>
      <x:c r="J527" s="5" t="str">
        <x:v>Leistung, Verzug und Schadensersatz</x:v>
      </x:c>
      <x:c r="K527" s="5" t="str"/>
      <x:c r="L527" s="5" t="str">
        <x:v>Weitere Vertragstypen, E-Commerce &amp; Leistungsstörungen</x:v>
      </x:c>
      <x:c r="M527" s="5" t="n">
        <x:v>29</x:v>
      </x:c>
      <x:c r="N527" s="5" t="n">
        <x:v>5</x:v>
      </x:c>
      <x:c r="O527" s="5" t="str"/>
      <x:c r="P527" s="5" t="str">
        <x:v>Pilot freigegeben</x:v>
      </x:c>
      <x:c r="Q527" s="5" t="str">
        <x:v>Revision 2 unverändert übernommen</x:v>
      </x:c>
      <x:c r="R527" s="5" t="str">
        <x:v>Was ist ein „Erfüllungsgehilfe“?</x:v>
      </x:c>
      <x:c r="S527" s="5" t="str">
        <x:v>9b6a51915ee548be449bd2e4b027abc647735b36c3282b0337d65fcad02562f4</x:v>
      </x:c>
    </x:row>
    <x:row r="528" ht="36" customHeight="1">
      <x:c r="A528" s="5" t="str">
        <x:v>R-0124</x:v>
      </x:c>
      <x:c r="B528" s="5" t="str">
        <x:v>WQ</x:v>
      </x:c>
      <x:c r="C528" s="5" t="str">
        <x:v>3</x:v>
      </x:c>
      <x:c r="D528" s="5" t="str">
        <x:v>Recht und Steuern</x:v>
      </x:c>
      <x:c r="E528" s="5" t="str">
        <x:v>Recht</x:v>
      </x:c>
      <x:c r="F528" s="5" t="str">
        <x:v>ui-wq-recht-schuld</x:v>
      </x:c>
      <x:c r="G528" s="5" t="str">
        <x:v>BGB Schuldrecht</x:v>
      </x:c>
      <x:c r="H528" s="5" t="str">
        <x:v>tr-wq-r07</x:v>
      </x:c>
      <x:c r="I528" s="5" t="str">
        <x:v>3.1.2.5</x:v>
      </x:c>
      <x:c r="J528" s="5" t="str">
        <x:v>Leistung, Verzug und Schadensersatz</x:v>
      </x:c>
      <x:c r="K528" s="5" t="str"/>
      <x:c r="L528" s="5" t="str">
        <x:v>Weitere Vertragstypen, E-Commerce &amp; Leistungsstörungen</x:v>
      </x:c>
      <x:c r="M528" s="5" t="n">
        <x:v>30</x:v>
      </x:c>
      <x:c r="N528" s="5" t="n">
        <x:v>6</x:v>
      </x:c>
      <x:c r="O528" s="5" t="str"/>
      <x:c r="P528" s="5" t="str">
        <x:v>Pilot freigegeben</x:v>
      </x:c>
      <x:c r="Q528" s="5" t="str">
        <x:v>Revision 2 unverändert übernommen</x:v>
      </x:c>
      <x:c r="R528" s="5" t="str">
        <x:v>Welche Rechtsfolgen zieht die Unmöglichkeit der Leistung nach sich? </x:v>
      </x:c>
      <x:c r="S528" s="5" t="str">
        <x:v>966659f64f38ace9e7ce06f23a1b418f7547e17957383d88933282ed06462f72</x:v>
      </x:c>
    </x:row>
    <x:row r="529" ht="36" customHeight="1">
      <x:c r="A529" s="5" t="str">
        <x:v>R-0125</x:v>
      </x:c>
      <x:c r="B529" s="5" t="str">
        <x:v>WQ</x:v>
      </x:c>
      <x:c r="C529" s="5" t="str">
        <x:v>3</x:v>
      </x:c>
      <x:c r="D529" s="5" t="str">
        <x:v>Recht und Steuern</x:v>
      </x:c>
      <x:c r="E529" s="5" t="str">
        <x:v>Recht</x:v>
      </x:c>
      <x:c r="F529" s="5" t="str">
        <x:v>ui-wq-recht-schuld</x:v>
      </x:c>
      <x:c r="G529" s="5" t="str">
        <x:v>BGB Schuldrecht</x:v>
      </x:c>
      <x:c r="H529" s="5" t="str">
        <x:v>tr-wq-r07</x:v>
      </x:c>
      <x:c r="I529" s="5" t="str">
        <x:v>3.1.2.5</x:v>
      </x:c>
      <x:c r="J529" s="5" t="str">
        <x:v>Leistung, Verzug und Schadensersatz</x:v>
      </x:c>
      <x:c r="K529" s="5" t="str"/>
      <x:c r="L529" s="5" t="str">
        <x:v>Weitere Vertragstypen, E-Commerce &amp; Leistungsstörungen</x:v>
      </x:c>
      <x:c r="M529" s="5" t="n">
        <x:v>31</x:v>
      </x:c>
      <x:c r="N529" s="5" t="n">
        <x:v>7</x:v>
      </x:c>
      <x:c r="O529" s="5" t="str"/>
      <x:c r="P529" s="5" t="str">
        <x:v>Pilot freigegeben</x:v>
      </x:c>
      <x:c r="Q529" s="5" t="str">
        <x:v>Revision 2 unverändert übernommen</x:v>
      </x:c>
      <x:c r="R529" s="5" t="str">
        <x:v>Unter welchen Voraussetzungen kann der Gläubiger gem. § 323 BGB vom Vertrag zurücktre
ten? </x:v>
      </x:c>
      <x:c r="S529" s="5" t="str">
        <x:v>8b5b8f1a6339a7422c6512ced1187c04f2c12e03a01d02d45a097c1e76b59611</x:v>
      </x:c>
    </x:row>
    <x:row r="530" ht="36" customHeight="1">
      <x:c r="A530" s="5" t="str">
        <x:v>R-0126</x:v>
      </x:c>
      <x:c r="B530" s="5" t="str">
        <x:v>WQ</x:v>
      </x:c>
      <x:c r="C530" s="5" t="str">
        <x:v>3</x:v>
      </x:c>
      <x:c r="D530" s="5" t="str">
        <x:v>Recht und Steuern</x:v>
      </x:c>
      <x:c r="E530" s="5" t="str">
        <x:v>Recht</x:v>
      </x:c>
      <x:c r="F530" s="5" t="str">
        <x:v>ui-wq-recht-schuld</x:v>
      </x:c>
      <x:c r="G530" s="5" t="str">
        <x:v>BGB Schuldrecht</x:v>
      </x:c>
      <x:c r="H530" s="5" t="str">
        <x:v>tr-wq-r07</x:v>
      </x:c>
      <x:c r="I530" s="5" t="str">
        <x:v>3.1.2.5</x:v>
      </x:c>
      <x:c r="J530" s="5" t="str">
        <x:v>Leistung, Verzug und Schadensersatz</x:v>
      </x:c>
      <x:c r="K530" s="5" t="str"/>
      <x:c r="L530" s="5" t="str">
        <x:v>Weitere Vertragstypen, E-Commerce &amp; Leistungsstörungen</x:v>
      </x:c>
      <x:c r="M530" s="5" t="n">
        <x:v>32</x:v>
      </x:c>
      <x:c r="N530" s="5" t="n">
        <x:v>8</x:v>
      </x:c>
      <x:c r="O530" s="5" t="str"/>
      <x:c r="P530" s="5" t="str">
        <x:v>Pilot freigegeben</x:v>
      </x:c>
      <x:c r="Q530" s="5" t="str">
        <x:v>Revision 2 unverändert übernommen</x:v>
      </x:c>
      <x:c r="R530" s="5" t="str">
        <x:v>Was bedeutet Schuldnerverzug? </x:v>
      </x:c>
      <x:c r="S530" s="5" t="str">
        <x:v>249830dcbc43992727f6a9567edaf59c5f9c008f356dd7f4a506ebe6a2660ad3</x:v>
      </x:c>
    </x:row>
    <x:row r="531" ht="36" customHeight="1">
      <x:c r="A531" s="5" t="str">
        <x:v>R-0127</x:v>
      </x:c>
      <x:c r="B531" s="5" t="str">
        <x:v>WQ</x:v>
      </x:c>
      <x:c r="C531" s="5" t="str">
        <x:v>3</x:v>
      </x:c>
      <x:c r="D531" s="5" t="str">
        <x:v>Recht und Steuern</x:v>
      </x:c>
      <x:c r="E531" s="5" t="str">
        <x:v>Recht</x:v>
      </x:c>
      <x:c r="F531" s="5" t="str">
        <x:v>ui-wq-recht-schuld</x:v>
      </x:c>
      <x:c r="G531" s="5" t="str">
        <x:v>BGB Schuldrecht</x:v>
      </x:c>
      <x:c r="H531" s="5" t="str">
        <x:v>tr-wq-r07</x:v>
      </x:c>
      <x:c r="I531" s="5" t="str">
        <x:v>3.1.2.5</x:v>
      </x:c>
      <x:c r="J531" s="5" t="str">
        <x:v>Leistung, Verzug und Schadensersatz</x:v>
      </x:c>
      <x:c r="K531" s="5" t="str"/>
      <x:c r="L531" s="5" t="str">
        <x:v>Weitere Vertragstypen, E-Commerce &amp; Leistungsstörungen</x:v>
      </x:c>
      <x:c r="M531" s="5" t="n">
        <x:v>33</x:v>
      </x:c>
      <x:c r="N531" s="5" t="n">
        <x:v>9</x:v>
      </x:c>
      <x:c r="O531" s="5" t="str"/>
      <x:c r="P531" s="5" t="str">
        <x:v>Pilot freigegeben</x:v>
      </x:c>
      <x:c r="Q531" s="5" t="str">
        <x:v>Revision 2 unverändert übernommen</x:v>
      </x:c>
      <x:c r="R531" s="5" t="str">
        <x:v>Was ist eine Mahnung?</x:v>
      </x:c>
      <x:c r="S531" s="5" t="str">
        <x:v>61ddf2d7c41da6708f78df57d7f79439bc4c6f960d3cbfe425c2b644bf11a690</x:v>
      </x:c>
    </x:row>
    <x:row r="532" ht="36" customHeight="1">
      <x:c r="A532" s="5" t="str">
        <x:v>R-0128</x:v>
      </x:c>
      <x:c r="B532" s="5" t="str">
        <x:v>WQ</x:v>
      </x:c>
      <x:c r="C532" s="5" t="str">
        <x:v>3</x:v>
      </x:c>
      <x:c r="D532" s="5" t="str">
        <x:v>Recht und Steuern</x:v>
      </x:c>
      <x:c r="E532" s="5" t="str">
        <x:v>Recht</x:v>
      </x:c>
      <x:c r="F532" s="5" t="str">
        <x:v>ui-wq-recht-schuld</x:v>
      </x:c>
      <x:c r="G532" s="5" t="str">
        <x:v>BGB Schuldrecht</x:v>
      </x:c>
      <x:c r="H532" s="5" t="str">
        <x:v>tr-wq-r07</x:v>
      </x:c>
      <x:c r="I532" s="5" t="str">
        <x:v>3.1.2.5</x:v>
      </x:c>
      <x:c r="J532" s="5" t="str">
        <x:v>Leistung, Verzug und Schadensersatz</x:v>
      </x:c>
      <x:c r="K532" s="5" t="str"/>
      <x:c r="L532" s="5" t="str">
        <x:v>Weitere Vertragstypen, E-Commerce &amp; Leistungsstörungen</x:v>
      </x:c>
      <x:c r="M532" s="5" t="n">
        <x:v>34</x:v>
      </x:c>
      <x:c r="N532" s="5" t="n">
        <x:v>10</x:v>
      </x:c>
      <x:c r="O532" s="5" t="str"/>
      <x:c r="P532" s="5" t="str">
        <x:v>Pilot freigegeben</x:v>
      </x:c>
      <x:c r="Q532" s="5" t="str">
        <x:v>Revision 2 unverändert übernommen</x:v>
      </x:c>
      <x:c r="R532" s="5" t="str">
        <x:v>In welchen Fällen gerät der Schuldner ohne Mahnung in Verzug?  </x:v>
      </x:c>
      <x:c r="S532" s="5" t="str">
        <x:v>c91ed4844dd9f1fdbf2921cf8c0f4aa0e560784bab8ed68ad9fd1c14747fc48e</x:v>
      </x:c>
    </x:row>
    <x:row r="533" ht="36" customHeight="1">
      <x:c r="A533" s="5" t="str">
        <x:v>R-0129</x:v>
      </x:c>
      <x:c r="B533" s="5" t="str">
        <x:v>WQ</x:v>
      </x:c>
      <x:c r="C533" s="5" t="str">
        <x:v>3</x:v>
      </x:c>
      <x:c r="D533" s="5" t="str">
        <x:v>Recht und Steuern</x:v>
      </x:c>
      <x:c r="E533" s="5" t="str">
        <x:v>Recht</x:v>
      </x:c>
      <x:c r="F533" s="5" t="str">
        <x:v>ui-wq-recht-schuld</x:v>
      </x:c>
      <x:c r="G533" s="5" t="str">
        <x:v>BGB Schuldrecht</x:v>
      </x:c>
      <x:c r="H533" s="5" t="str">
        <x:v>tr-wq-r04</x:v>
      </x:c>
      <x:c r="I533" s="5" t="str">
        <x:v>3.1.2.3</x:v>
      </x:c>
      <x:c r="J533" s="5" t="str">
        <x:v>Warenkauf und Rechte bei Mängeln</x:v>
      </x:c>
      <x:c r="K533" s="5" t="str"/>
      <x:c r="L533" s="5" t="str">
        <x:v>Kaufrecht &amp; Verbraucherschutz</x:v>
      </x:c>
      <x:c r="M533" s="5" t="n">
        <x:v>35</x:v>
      </x:c>
      <x:c r="N533" s="5" t="n">
        <x:v>21</x:v>
      </x:c>
      <x:c r="O533" s="5" t="str"/>
      <x:c r="P533" s="5" t="str">
        <x:v>Pilot freigegeben</x:v>
      </x:c>
      <x:c r="Q533" s="5" t="str">
        <x:v>Revision 2 unverändert übernommen</x:v>
      </x:c>
      <x:c r="R533" s="5" t="str">
        <x:v>Wo ist das Kaufrecht geregelt? Umschreiben Sie knapp die Primärpflichten der Vertragsparteien 
beim Sachkauf! </x:v>
      </x:c>
      <x:c r="S533" s="5" t="str">
        <x:v>cb9e93cda47d217a67d74dff2bf50b0c9b7034fc394941910bef37a1f2f77535</x:v>
      </x:c>
    </x:row>
    <x:row r="534" ht="36" customHeight="1">
      <x:c r="A534" s="5" t="str">
        <x:v>R-0130</x:v>
      </x:c>
      <x:c r="B534" s="5" t="str">
        <x:v>WQ</x:v>
      </x:c>
      <x:c r="C534" s="5" t="str">
        <x:v>3</x:v>
      </x:c>
      <x:c r="D534" s="5" t="str">
        <x:v>Recht und Steuern</x:v>
      </x:c>
      <x:c r="E534" s="5" t="str">
        <x:v>Recht</x:v>
      </x:c>
      <x:c r="F534" s="5" t="str">
        <x:v>ui-wq-recht-schuld</x:v>
      </x:c>
      <x:c r="G534" s="5" t="str">
        <x:v>BGB Schuldrecht</x:v>
      </x:c>
      <x:c r="H534" s="5" t="str">
        <x:v>tr-wq-r04</x:v>
      </x:c>
      <x:c r="I534" s="5" t="str">
        <x:v>3.1.2.3</x:v>
      </x:c>
      <x:c r="J534" s="5" t="str">
        <x:v>Warenkauf und Rechte bei Mängeln</x:v>
      </x:c>
      <x:c r="K534" s="5" t="str"/>
      <x:c r="L534" s="5" t="str">
        <x:v>Kaufrecht &amp; Verbraucherschutz</x:v>
      </x:c>
      <x:c r="M534" s="5" t="n">
        <x:v>36</x:v>
      </x:c>
      <x:c r="N534" s="5" t="n">
        <x:v>22</x:v>
      </x:c>
      <x:c r="O534" s="5" t="str"/>
      <x:c r="P534" s="5" t="str">
        <x:v>Pilot freigegeben</x:v>
      </x:c>
      <x:c r="Q534" s="5" t="str">
        <x:v>Revision 2 unverändert übernommen</x:v>
      </x:c>
      <x:c r="R534" s="5" t="str">
        <x:v>Was versteht man unter einem Verbrauchsgüterkauf? </x:v>
      </x:c>
      <x:c r="S534" s="5" t="str">
        <x:v>80731e0dfe07fb777993fa0d0385c393522cf90ec50be59b65d65828454e81aa</x:v>
      </x:c>
    </x:row>
    <x:row r="535" ht="36" customHeight="1">
      <x:c r="A535" s="5" t="str">
        <x:v>R-0131</x:v>
      </x:c>
      <x:c r="B535" s="5" t="str">
        <x:v>WQ</x:v>
      </x:c>
      <x:c r="C535" s="5" t="str">
        <x:v>3</x:v>
      </x:c>
      <x:c r="D535" s="5" t="str">
        <x:v>Recht und Steuern</x:v>
      </x:c>
      <x:c r="E535" s="5" t="str">
        <x:v>Recht</x:v>
      </x:c>
      <x:c r="F535" s="5" t="str">
        <x:v>ui-wq-recht-schuld</x:v>
      </x:c>
      <x:c r="G535" s="5" t="str">
        <x:v>BGB Schuldrecht</x:v>
      </x:c>
      <x:c r="H535" s="5" t="str">
        <x:v>tr-wq-r04</x:v>
      </x:c>
      <x:c r="I535" s="5" t="str">
        <x:v>3.1.2.3</x:v>
      </x:c>
      <x:c r="J535" s="5" t="str">
        <x:v>Warenkauf und Rechte bei Mängeln</x:v>
      </x:c>
      <x:c r="K535" s="5" t="str"/>
      <x:c r="L535" s="5" t="str">
        <x:v>Kaufrecht &amp; Verbraucherschutz</x:v>
      </x:c>
      <x:c r="M535" s="5" t="n">
        <x:v>37</x:v>
      </x:c>
      <x:c r="N535" s="5" t="n">
        <x:v>23</x:v>
      </x:c>
      <x:c r="O535" s="5" t="str"/>
      <x:c r="P535" s="5" t="str">
        <x:v>Pilot freigegeben</x:v>
      </x:c>
      <x:c r="Q535" s="5" t="str">
        <x:v>Revision 2 unverändert übernommen</x:v>
      </x:c>
      <x:c r="R535" s="5" t="str">
        <x:v>Wird der Käufer durch Abschluss des Kaufvertrags über einen Neuwagen Eigentümer des Pkw? 
Wie wird das Eigentum an dem verkauften Pkw auf den Käufer übertragen?</x:v>
      </x:c>
      <x:c r="S535" s="5" t="str">
        <x:v>60238f18b8d4e0a7510ba6813c79848e0c0afda20f6b7e5b39a9e58f555eaa79</x:v>
      </x:c>
    </x:row>
    <x:row r="536" ht="36" customHeight="1">
      <x:c r="A536" s="5" t="str">
        <x:v>R-0132</x:v>
      </x:c>
      <x:c r="B536" s="5" t="str">
        <x:v>WQ</x:v>
      </x:c>
      <x:c r="C536" s="5" t="str">
        <x:v>3</x:v>
      </x:c>
      <x:c r="D536" s="5" t="str">
        <x:v>Recht und Steuern</x:v>
      </x:c>
      <x:c r="E536" s="5" t="str">
        <x:v>Recht</x:v>
      </x:c>
      <x:c r="F536" s="5" t="str">
        <x:v>ui-wq-recht-schuld</x:v>
      </x:c>
      <x:c r="G536" s="5" t="str">
        <x:v>BGB Schuldrecht</x:v>
      </x:c>
      <x:c r="H536" s="5" t="str">
        <x:v>tr-wq-r04</x:v>
      </x:c>
      <x:c r="I536" s="5" t="str">
        <x:v>3.1.2.3</x:v>
      </x:c>
      <x:c r="J536" s="5" t="str">
        <x:v>Warenkauf und Rechte bei Mängeln</x:v>
      </x:c>
      <x:c r="K536" s="5" t="str"/>
      <x:c r="L536" s="5" t="str">
        <x:v>Kaufrecht &amp; Verbraucherschutz</x:v>
      </x:c>
      <x:c r="M536" s="5" t="n">
        <x:v>38</x:v>
      </x:c>
      <x:c r="N536" s="5" t="n">
        <x:v>24</x:v>
      </x:c>
      <x:c r="O536" s="5" t="str"/>
      <x:c r="P536" s="5" t="str">
        <x:v>Pilot freigegeben</x:v>
      </x:c>
      <x:c r="Q536" s="5" t="str">
        <x:v>Revision 2 unverändert übernommen</x:v>
      </x:c>
      <x:c r="R536" s="5" t="str">
        <x:v>Was kann Gegenstand eines Kaufvertrags sein? </x:v>
      </x:c>
      <x:c r="S536" s="5" t="str">
        <x:v>60009fa2a644ce66c383d4b624cda72aeca6b9e354147140eff969ed2721cba6</x:v>
      </x:c>
    </x:row>
    <x:row r="537" ht="36" customHeight="1">
      <x:c r="A537" s="5" t="str">
        <x:v>R-0133</x:v>
      </x:c>
      <x:c r="B537" s="5" t="str">
        <x:v>WQ</x:v>
      </x:c>
      <x:c r="C537" s="5" t="str">
        <x:v>3</x:v>
      </x:c>
      <x:c r="D537" s="5" t="str">
        <x:v>Recht und Steuern</x:v>
      </x:c>
      <x:c r="E537" s="5" t="str">
        <x:v>Recht</x:v>
      </x:c>
      <x:c r="F537" s="5" t="str">
        <x:v>ui-wq-recht-schuld</x:v>
      </x:c>
      <x:c r="G537" s="5" t="str">
        <x:v>BGB Schuldrecht</x:v>
      </x:c>
      <x:c r="H537" s="5" t="str">
        <x:v>tr-wq-r04</x:v>
      </x:c>
      <x:c r="I537" s="5" t="str">
        <x:v>3.1.2.3</x:v>
      </x:c>
      <x:c r="J537" s="5" t="str">
        <x:v>Warenkauf und Rechte bei Mängeln</x:v>
      </x:c>
      <x:c r="K537" s="5" t="str"/>
      <x:c r="L537" s="5" t="str">
        <x:v>Kaufrecht &amp; Verbraucherschutz</x:v>
      </x:c>
      <x:c r="M537" s="5" t="n">
        <x:v>39</x:v>
      </x:c>
      <x:c r="N537" s="5" t="n">
        <x:v>25</x:v>
      </x:c>
      <x:c r="O537" s="5" t="str"/>
      <x:c r="P537" s="5" t="str">
        <x:v>Pilot freigegeben</x:v>
      </x:c>
      <x:c r="Q537" s="5" t="str">
        <x:v>Revision 2 unverändert übernommen</x:v>
      </x:c>
      <x:c r="R537" s="5" t="str">
        <x:v>In welchen Fällen ist ein Sachmangel gegeben? </x:v>
      </x:c>
      <x:c r="S537" s="5" t="str">
        <x:v>bf49691d03dbbe715218b13fd5c31044f4615dbb023159333f283b628c077fa5</x:v>
      </x:c>
    </x:row>
    <x:row r="538" ht="36" customHeight="1">
      <x:c r="A538" s="5" t="str">
        <x:v>R-0134</x:v>
      </x:c>
      <x:c r="B538" s="5" t="str">
        <x:v>WQ</x:v>
      </x:c>
      <x:c r="C538" s="5" t="str">
        <x:v>3</x:v>
      </x:c>
      <x:c r="D538" s="5" t="str">
        <x:v>Recht und Steuern</x:v>
      </x:c>
      <x:c r="E538" s="5" t="str">
        <x:v>Recht</x:v>
      </x:c>
      <x:c r="F538" s="5" t="str">
        <x:v>ui-wq-recht-schuld</x:v>
      </x:c>
      <x:c r="G538" s="5" t="str">
        <x:v>BGB Schuldrecht</x:v>
      </x:c>
      <x:c r="H538" s="5" t="str">
        <x:v>tr-wq-r04</x:v>
      </x:c>
      <x:c r="I538" s="5" t="str">
        <x:v>3.1.2.3</x:v>
      </x:c>
      <x:c r="J538" s="5" t="str">
        <x:v>Warenkauf und Rechte bei Mängeln</x:v>
      </x:c>
      <x:c r="K538" s="5" t="str"/>
      <x:c r="L538" s="5" t="str">
        <x:v>Kaufrecht &amp; Verbraucherschutz</x:v>
      </x:c>
      <x:c r="M538" s="5" t="n">
        <x:v>40</x:v>
      </x:c>
      <x:c r="N538" s="5" t="n">
        <x:v>26</x:v>
      </x:c>
      <x:c r="O538" s="5" t="str"/>
      <x:c r="P538" s="5" t="str">
        <x:v>Pilot freigegeben</x:v>
      </x:c>
      <x:c r="Q538" s="5" t="str">
        <x:v>Revision 2 unverändert übernommen</x:v>
      </x:c>
      <x:c r="R538" s="5" t="str">
        <x:v>Wer muss das Fehlen bzw. das Vorliegen eines Mangels im Prozess beweisen?</x:v>
      </x:c>
      <x:c r="S538" s="5" t="str">
        <x:v>938594ec0922ff9005ba5575cf4b8b03ee72a03efdc5a693c28d0742c365621c</x:v>
      </x:c>
    </x:row>
    <x:row r="539" ht="36" customHeight="1">
      <x:c r="A539" s="5" t="str">
        <x:v>R-0135</x:v>
      </x:c>
      <x:c r="B539" s="5" t="str">
        <x:v>WQ</x:v>
      </x:c>
      <x:c r="C539" s="5" t="str">
        <x:v>3</x:v>
      </x:c>
      <x:c r="D539" s="5" t="str">
        <x:v>Recht und Steuern</x:v>
      </x:c>
      <x:c r="E539" s="5" t="str">
        <x:v>Recht</x:v>
      </x:c>
      <x:c r="F539" s="5" t="str">
        <x:v>ui-wq-recht-schuld</x:v>
      </x:c>
      <x:c r="G539" s="5" t="str">
        <x:v>BGB Schuldrecht</x:v>
      </x:c>
      <x:c r="H539" s="5" t="str">
        <x:v>tr-wq-r04</x:v>
      </x:c>
      <x:c r="I539" s="5" t="str">
        <x:v>3.1.2.3</x:v>
      </x:c>
      <x:c r="J539" s="5" t="str">
        <x:v>Warenkauf und Rechte bei Mängeln</x:v>
      </x:c>
      <x:c r="K539" s="5" t="str"/>
      <x:c r="L539" s="5" t="str">
        <x:v>Kaufrecht &amp; Verbraucherschutz</x:v>
      </x:c>
      <x:c r="M539" s="5" t="n">
        <x:v>41</x:v>
      </x:c>
      <x:c r="N539" s="5" t="n">
        <x:v>27</x:v>
      </x:c>
      <x:c r="O539" s="5" t="str"/>
      <x:c r="P539" s="5" t="str">
        <x:v>Pilot freigegeben</x:v>
      </x:c>
      <x:c r="Q539" s="5" t="str">
        <x:v>Revision 2 unverändert übernommen</x:v>
      </x:c>
      <x:c r="R539" s="5" t="str">
        <x:v>Ist der Käufer bei Verbrauchsgüterkäufen beweisrechtlich besser gestellt als bei sonstigen Kauf
verträgen?</x:v>
      </x:c>
      <x:c r="S539" s="5" t="str">
        <x:v>4a9f1cb5393168edbce66ad825e09120034ca942b842fb9fa8961a28474fffb3</x:v>
      </x:c>
    </x:row>
    <x:row r="540" ht="36" customHeight="1">
      <x:c r="A540" s="5" t="str">
        <x:v>R-0136</x:v>
      </x:c>
      <x:c r="B540" s="5" t="str">
        <x:v>WQ</x:v>
      </x:c>
      <x:c r="C540" s="5" t="str">
        <x:v>3</x:v>
      </x:c>
      <x:c r="D540" s="5" t="str">
        <x:v>Recht und Steuern</x:v>
      </x:c>
      <x:c r="E540" s="5" t="str">
        <x:v>Recht</x:v>
      </x:c>
      <x:c r="F540" s="5" t="str">
        <x:v>ui-wq-recht-schuld</x:v>
      </x:c>
      <x:c r="G540" s="5" t="str">
        <x:v>BGB Schuldrecht</x:v>
      </x:c>
      <x:c r="H540" s="5" t="str">
        <x:v>tr-wq-r04</x:v>
      </x:c>
      <x:c r="I540" s="5" t="str">
        <x:v>3.1.2.3</x:v>
      </x:c>
      <x:c r="J540" s="5" t="str">
        <x:v>Warenkauf und Rechte bei Mängeln</x:v>
      </x:c>
      <x:c r="K540" s="5" t="str"/>
      <x:c r="L540" s="5" t="str">
        <x:v>Kaufrecht &amp; Verbraucherschutz</x:v>
      </x:c>
      <x:c r="M540" s="5" t="n">
        <x:v>42</x:v>
      </x:c>
      <x:c r="N540" s="5" t="n">
        <x:v>28</x:v>
      </x:c>
      <x:c r="O540" s="5" t="str"/>
      <x:c r="P540" s="5" t="str">
        <x:v>Pilot freigegeben</x:v>
      </x:c>
      <x:c r="Q540" s="5" t="str">
        <x:v>Revision 2 unverändert übernommen</x:v>
      </x:c>
      <x:c r="R540" s="5" t="str">
        <x:v>Kann ein Verkäufer seine Haftung wegen eines Mangels vertraglich ausschließen? Gilt dies 
auch für einen Verbrauchsgüterkauf? </x:v>
      </x:c>
      <x:c r="S540" s="5" t="str">
        <x:v>e29b70cea2438c2c7fb68c5ea71162da67bfada43061ae2a3987112fe64cb405</x:v>
      </x:c>
    </x:row>
    <x:row r="541" ht="36" customHeight="1">
      <x:c r="A541" s="5" t="str">
        <x:v>R-0137</x:v>
      </x:c>
      <x:c r="B541" s="5" t="str">
        <x:v>WQ</x:v>
      </x:c>
      <x:c r="C541" s="5" t="str">
        <x:v>3</x:v>
      </x:c>
      <x:c r="D541" s="5" t="str">
        <x:v>Recht und Steuern</x:v>
      </x:c>
      <x:c r="E541" s="5" t="str">
        <x:v>Recht</x:v>
      </x:c>
      <x:c r="F541" s="5" t="str">
        <x:v>ui-wq-recht-schuld</x:v>
      </x:c>
      <x:c r="G541" s="5" t="str">
        <x:v>BGB Schuldrecht</x:v>
      </x:c>
      <x:c r="H541" s="5" t="str">
        <x:v>tr-wq-r04</x:v>
      </x:c>
      <x:c r="I541" s="5" t="str">
        <x:v>3.1.2.3</x:v>
      </x:c>
      <x:c r="J541" s="5" t="str">
        <x:v>Warenkauf und Rechte bei Mängeln</x:v>
      </x:c>
      <x:c r="K541" s="5" t="str"/>
      <x:c r="L541" s="5" t="str">
        <x:v>Kaufrecht &amp; Verbraucherschutz</x:v>
      </x:c>
      <x:c r="M541" s="5" t="n">
        <x:v>43</x:v>
      </x:c>
      <x:c r="N541" s="5" t="n">
        <x:v>29</x:v>
      </x:c>
      <x:c r="O541" s="5" t="str"/>
      <x:c r="P541" s="5" t="str">
        <x:v>Pilot freigegeben</x:v>
      </x:c>
      <x:c r="Q541" s="5" t="str">
        <x:v>Revision 2 unverändert übernommen</x:v>
      </x:c>
      <x:c r="R541" s="5" t="str">
        <x:v>Welche Formen der Nacherfüllung gibt es im Kaufrecht? Wer darf das Wahlrecht ausüben? </x:v>
      </x:c>
      <x:c r="S541" s="5" t="str">
        <x:v>3fab0db8de8ab4b857e7b41dc9af38cbe2fba4e3aa232489b77959f55634e72a</x:v>
      </x:c>
    </x:row>
    <x:row r="542" ht="36" customHeight="1">
      <x:c r="A542" s="5" t="str">
        <x:v>R-0138</x:v>
      </x:c>
      <x:c r="B542" s="5" t="str">
        <x:v>WQ</x:v>
      </x:c>
      <x:c r="C542" s="5" t="str">
        <x:v>3</x:v>
      </x:c>
      <x:c r="D542" s="5" t="str">
        <x:v>Recht und Steuern</x:v>
      </x:c>
      <x:c r="E542" s="5" t="str">
        <x:v>Recht</x:v>
      </x:c>
      <x:c r="F542" s="5" t="str">
        <x:v>ui-wq-recht-schuld</x:v>
      </x:c>
      <x:c r="G542" s="5" t="str">
        <x:v>BGB Schuldrecht</x:v>
      </x:c>
      <x:c r="H542" s="5" t="str">
        <x:v>tr-wq-r04</x:v>
      </x:c>
      <x:c r="I542" s="5" t="str">
        <x:v>3.1.2.3</x:v>
      </x:c>
      <x:c r="J542" s="5" t="str">
        <x:v>Warenkauf und Rechte bei Mängeln</x:v>
      </x:c>
      <x:c r="K542" s="5" t="str"/>
      <x:c r="L542" s="5" t="str">
        <x:v>Kaufrecht &amp; Verbraucherschutz</x:v>
      </x:c>
      <x:c r="M542" s="5" t="n">
        <x:v>44</x:v>
      </x:c>
      <x:c r="N542" s="5" t="n">
        <x:v>30</x:v>
      </x:c>
      <x:c r="O542" s="5" t="str"/>
      <x:c r="P542" s="5" t="str">
        <x:v>Pilot freigegeben</x:v>
      </x:c>
      <x:c r="Q542" s="5" t="str">
        <x:v>Revision 2 unverändert übernommen</x:v>
      </x:c>
      <x:c r="R542" s="5" t="str">
        <x:v>Unter welchen Voraussetzungen kann der Verkäufer die vom Käufer gewählte Art der Nacher
füllung verweigern?</x:v>
      </x:c>
      <x:c r="S542" s="5" t="str">
        <x:v>821eb353cd8216c3105b2fee2479b23cc6eca319144edadfafa423411204d02e</x:v>
      </x:c>
    </x:row>
    <x:row r="543" ht="36" customHeight="1">
      <x:c r="A543" s="5" t="str">
        <x:v>R-0139</x:v>
      </x:c>
      <x:c r="B543" s="5" t="str">
        <x:v>WQ</x:v>
      </x:c>
      <x:c r="C543" s="5" t="str">
        <x:v>3</x:v>
      </x:c>
      <x:c r="D543" s="5" t="str">
        <x:v>Recht und Steuern</x:v>
      </x:c>
      <x:c r="E543" s="5" t="str">
        <x:v>Recht</x:v>
      </x:c>
      <x:c r="F543" s="5" t="str">
        <x:v>ui-wq-recht-schuld</x:v>
      </x:c>
      <x:c r="G543" s="5" t="str">
        <x:v>BGB Schuldrecht</x:v>
      </x:c>
      <x:c r="H543" s="5" t="str">
        <x:v>tr-wq-r04</x:v>
      </x:c>
      <x:c r="I543" s="5" t="str">
        <x:v>3.1.2.3</x:v>
      </x:c>
      <x:c r="J543" s="5" t="str">
        <x:v>Warenkauf und Rechte bei Mängeln</x:v>
      </x:c>
      <x:c r="K543" s="5" t="str"/>
      <x:c r="L543" s="5" t="str">
        <x:v>Kaufrecht &amp; Verbraucherschutz</x:v>
      </x:c>
      <x:c r="M543" s="5" t="n">
        <x:v>45</x:v>
      </x:c>
      <x:c r="N543" s="5" t="n">
        <x:v>31</x:v>
      </x:c>
      <x:c r="O543" s="5" t="str"/>
      <x:c r="P543" s="5" t="str">
        <x:v>Pilot freigegeben</x:v>
      </x:c>
      <x:c r="Q543" s="5" t="str">
        <x:v>Revision 2 unverändert übernommen</x:v>
      </x:c>
      <x:c r="R543" s="5" t="str">
        <x:v>Unter welchen Voraussetzungen kann der Käufer einer mangelhaften Sache vom Vertrag zu
rücktreten? </x:v>
      </x:c>
      <x:c r="S543" s="5" t="str">
        <x:v>945de543bcb79563c19c4dcea54a377ca4d8f57e984b98346b5681cc40414264</x:v>
      </x:c>
    </x:row>
    <x:row r="544" ht="36" customHeight="1">
      <x:c r="A544" s="5" t="str">
        <x:v>R-0140</x:v>
      </x:c>
      <x:c r="B544" s="5" t="str">
        <x:v>WQ</x:v>
      </x:c>
      <x:c r="C544" s="5" t="str">
        <x:v>3</x:v>
      </x:c>
      <x:c r="D544" s="5" t="str">
        <x:v>Recht und Steuern</x:v>
      </x:c>
      <x:c r="E544" s="5" t="str">
        <x:v>Recht</x:v>
      </x:c>
      <x:c r="F544" s="5" t="str">
        <x:v>ui-wq-recht-schuld</x:v>
      </x:c>
      <x:c r="G544" s="5" t="str">
        <x:v>BGB Schuldrecht</x:v>
      </x:c>
      <x:c r="H544" s="5" t="str">
        <x:v>tr-wq-r04</x:v>
      </x:c>
      <x:c r="I544" s="5" t="str">
        <x:v>3.1.2.3</x:v>
      </x:c>
      <x:c r="J544" s="5" t="str">
        <x:v>Warenkauf und Rechte bei Mängeln</x:v>
      </x:c>
      <x:c r="K544" s="5" t="str"/>
      <x:c r="L544" s="5" t="str">
        <x:v>Kaufrecht &amp; Verbraucherschutz</x:v>
      </x:c>
      <x:c r="M544" s="5" t="n">
        <x:v>46</x:v>
      </x:c>
      <x:c r="N544" s="5" t="n">
        <x:v>32</x:v>
      </x:c>
      <x:c r="O544" s="5" t="str"/>
      <x:c r="P544" s="5" t="str">
        <x:v>Pilot freigegeben</x:v>
      </x:c>
      <x:c r="Q544" s="5" t="str">
        <x:v>Revision 2 unverändert übernommen</x:v>
      </x:c>
      <x:c r="R544" s="5" t="str">
        <x:v>Binnen welcher Frist verjährt der Kaufpreiszahlungsanspruch des Verkäufers? </x:v>
      </x:c>
      <x:c r="S544" s="5" t="str">
        <x:v>7bc705daf050822bdf89080c88627a6f3959487b210e8d0471f5cb4d52d3a332</x:v>
      </x:c>
    </x:row>
    <x:row r="545" ht="36" customHeight="1">
      <x:c r="A545" s="5" t="str">
        <x:v>R-0141</x:v>
      </x:c>
      <x:c r="B545" s="5" t="str">
        <x:v>WQ</x:v>
      </x:c>
      <x:c r="C545" s="5" t="str">
        <x:v>3</x:v>
      </x:c>
      <x:c r="D545" s="5" t="str">
        <x:v>Recht und Steuern</x:v>
      </x:c>
      <x:c r="E545" s="5" t="str">
        <x:v>Recht</x:v>
      </x:c>
      <x:c r="F545" s="5" t="str">
        <x:v>ui-wq-recht-schuld</x:v>
      </x:c>
      <x:c r="G545" s="5" t="str">
        <x:v>BGB Schuldrecht</x:v>
      </x:c>
      <x:c r="H545" s="5" t="str">
        <x:v>tr-wq-r04</x:v>
      </x:c>
      <x:c r="I545" s="5" t="str">
        <x:v>3.1.2.3</x:v>
      </x:c>
      <x:c r="J545" s="5" t="str">
        <x:v>Warenkauf und Rechte bei Mängeln</x:v>
      </x:c>
      <x:c r="K545" s="5" t="str"/>
      <x:c r="L545" s="5" t="str">
        <x:v>Kaufrecht &amp; Verbraucherschutz</x:v>
      </x:c>
      <x:c r="M545" s="5" t="n">
        <x:v>47</x:v>
      </x:c>
      <x:c r="N545" s="5" t="n">
        <x:v>33</x:v>
      </x:c>
      <x:c r="O545" s="5" t="str"/>
      <x:c r="P545" s="5" t="str">
        <x:v>Pilot freigegeben</x:v>
      </x:c>
      <x:c r="Q545" s="5" t="str">
        <x:v>Revision 2 unverändert übernommen</x:v>
      </x:c>
      <x:c r="R545" s="5" t="str">
        <x:v>In welcher Vorschrift sind die Verjährungsfristen für kaufrechtliche Mängelansprüche geregelt und wann beginnen sie grundsätzlich?</x:v>
      </x:c>
      <x:c r="S545" s="5" t="str">
        <x:v>39aa5f97b5a2842c3aba1dd9348ff7464f1e6aaf12a1c464f0c859b1d9d3cc49</x:v>
      </x:c>
    </x:row>
    <x:row r="546" ht="36" customHeight="1">
      <x:c r="A546" s="5" t="str">
        <x:v>R-0142</x:v>
      </x:c>
      <x:c r="B546" s="5" t="str">
        <x:v>WQ</x:v>
      </x:c>
      <x:c r="C546" s="5" t="str">
        <x:v>3</x:v>
      </x:c>
      <x:c r="D546" s="5" t="str">
        <x:v>Recht und Steuern</x:v>
      </x:c>
      <x:c r="E546" s="5" t="str">
        <x:v>Recht</x:v>
      </x:c>
      <x:c r="F546" s="5" t="str">
        <x:v>ui-wq-recht-schuld</x:v>
      </x:c>
      <x:c r="G546" s="5" t="str">
        <x:v>BGB Schuldrecht</x:v>
      </x:c>
      <x:c r="H546" s="5" t="str">
        <x:v>tr-wq-r05</x:v>
      </x:c>
      <x:c r="I546" s="5" t="str">
        <x:v>3.1.2.4</x:v>
      </x:c>
      <x:c r="J546" s="5" t="str">
        <x:v>Miete, Darlehen, Dienstleistung, Werk und Leasing</x:v>
      </x:c>
      <x:c r="K546" s="5" t="str"/>
      <x:c r="L546" s="5" t="str">
        <x:v>Weitere Vertragstypen, E-Commerce &amp; Leistungsstörungen</x:v>
      </x:c>
      <x:c r="M546" s="5" t="n">
        <x:v>48</x:v>
      </x:c>
      <x:c r="N546" s="5" t="n">
        <x:v>1</x:v>
      </x:c>
      <x:c r="O546" s="5" t="str"/>
      <x:c r="P546" s="5" t="str">
        <x:v>Pilot freigegeben</x:v>
      </x:c>
      <x:c r="Q546" s="5" t="str">
        <x:v>Revision 2 unverändert übernommen</x:v>
      </x:c>
      <x:c r="R546" s="5" t="str">
        <x:v>Wie lässt sich der Werkvertrag definieren? Wo im BGB finden sich die Regelungen über den 
Werkvertrag? </x:v>
      </x:c>
      <x:c r="S546" s="5" t="str">
        <x:v>dcaa15e9440dc9e627e755bd7fae2fd81a49ad0e0868a6eee35d5952567e4eec</x:v>
      </x:c>
    </x:row>
    <x:row r="547" ht="36" customHeight="1">
      <x:c r="A547" s="5" t="str">
        <x:v>R-0143</x:v>
      </x:c>
      <x:c r="B547" s="5" t="str">
        <x:v>WQ</x:v>
      </x:c>
      <x:c r="C547" s="5" t="str">
        <x:v>3</x:v>
      </x:c>
      <x:c r="D547" s="5" t="str">
        <x:v>Recht und Steuern</x:v>
      </x:c>
      <x:c r="E547" s="5" t="str">
        <x:v>Recht</x:v>
      </x:c>
      <x:c r="F547" s="5" t="str">
        <x:v>ui-wq-recht-schuld</x:v>
      </x:c>
      <x:c r="G547" s="5" t="str">
        <x:v>BGB Schuldrecht</x:v>
      </x:c>
      <x:c r="H547" s="5" t="str">
        <x:v>tr-wq-r05</x:v>
      </x:c>
      <x:c r="I547" s="5" t="str">
        <x:v>3.1.2.4</x:v>
      </x:c>
      <x:c r="J547" s="5" t="str">
        <x:v>Miete, Darlehen, Dienstleistung, Werk und Leasing</x:v>
      </x:c>
      <x:c r="K547" s="5" t="str"/>
      <x:c r="L547" s="5" t="str">
        <x:v>Weitere Vertragstypen, E-Commerce &amp; Leistungsstörungen</x:v>
      </x:c>
      <x:c r="M547" s="5" t="n">
        <x:v>49</x:v>
      </x:c>
      <x:c r="N547" s="5" t="n">
        <x:v>2</x:v>
      </x:c>
      <x:c r="O547" s="5" t="str"/>
      <x:c r="P547" s="5" t="str">
        <x:v>Pilot freigegeben</x:v>
      </x:c>
      <x:c r="Q547" s="5" t="str">
        <x:v>Revision 2 unverändert übernommen</x:v>
      </x:c>
      <x:c r="R547" s="5" t="str">
        <x:v>Wie ist der Werkvertrag vom Dienstvertrag abzugrenzen?</x:v>
      </x:c>
      <x:c r="S547" s="5" t="str">
        <x:v>83e1fafe0790c0cfa6ca010ed5bb4e5e610d1e4c7df35914c5cdb745430c749e</x:v>
      </x:c>
    </x:row>
    <x:row r="548" ht="36" customHeight="1">
      <x:c r="A548" s="5" t="str">
        <x:v>R-0144</x:v>
      </x:c>
      <x:c r="B548" s="5" t="str">
        <x:v>WQ</x:v>
      </x:c>
      <x:c r="C548" s="5" t="str">
        <x:v>3</x:v>
      </x:c>
      <x:c r="D548" s="5" t="str">
        <x:v>Recht und Steuern</x:v>
      </x:c>
      <x:c r="E548" s="5" t="str">
        <x:v>Recht</x:v>
      </x:c>
      <x:c r="F548" s="5" t="str">
        <x:v>ui-wq-recht-arbeit</x:v>
      </x:c>
      <x:c r="G548" s="5" t="str">
        <x:v>Arbeitsrecht</x:v>
      </x:c>
      <x:c r="H548" s="5" t="str">
        <x:v>tr-wq-r16</x:v>
      </x:c>
      <x:c r="I548" s="5" t="str">
        <x:v>3.1.5.1</x:v>
      </x:c>
      <x:c r="J548" s="5" t="str">
        <x:v>Arbeitsvertrag, Entgelt &amp; Kündigung</x:v>
      </x:c>
      <x:c r="K548" s="5" t="str"/>
      <x:c r="L548" s="5" t="str">
        <x:v>Arbeitsvertrag, Entgelt &amp; Kündigung</x:v>
      </x:c>
      <x:c r="M548" s="5" t="n">
        <x:v>11</x:v>
      </x:c>
      <x:c r="N548" s="5" t="n">
        <x:v>8</x:v>
      </x:c>
      <x:c r="O548" s="5" t="str"/>
      <x:c r="P548" s="5" t="str">
        <x:v>Pilot freigegeben</x:v>
      </x:c>
      <x:c r="Q548" s="5" t="str">
        <x:v>Revision 2 unverändert übernommen</x:v>
      </x:c>
      <x:c r="R548" s="5" t="str">
        <x:v>In welcher Vorschrift und auf welche Weise definiert der Gesetzgeber den Arbeitsvertrag, und 
wo liegt der wesentliche Unterschied zum sog. freien Dienstvertrag? </x:v>
      </x:c>
      <x:c r="S548" s="5" t="str">
        <x:v>73ee65c667bcc4340934cde9e1a8319196706157db8ed4b72854284189f9b282</x:v>
      </x:c>
    </x:row>
    <x:row r="549" ht="36" customHeight="1">
      <x:c r="A549" s="5" t="str">
        <x:v>R-0145</x:v>
      </x:c>
      <x:c r="B549" s="5" t="str">
        <x:v>WQ</x:v>
      </x:c>
      <x:c r="C549" s="5" t="str">
        <x:v>3</x:v>
      </x:c>
      <x:c r="D549" s="5" t="str">
        <x:v>Recht und Steuern</x:v>
      </x:c>
      <x:c r="E549" s="5" t="str">
        <x:v>Recht</x:v>
      </x:c>
      <x:c r="F549" s="5" t="str">
        <x:v>ui-wq-recht-schuld</x:v>
      </x:c>
      <x:c r="G549" s="5" t="str">
        <x:v>BGB Schuldrecht</x:v>
      </x:c>
      <x:c r="H549" s="5" t="str">
        <x:v>tr-wq-r05</x:v>
      </x:c>
      <x:c r="I549" s="5" t="str">
        <x:v>3.1.2.4</x:v>
      </x:c>
      <x:c r="J549" s="5" t="str">
        <x:v>Miete, Darlehen, Dienstleistung, Werk und Leasing</x:v>
      </x:c>
      <x:c r="K549" s="5" t="str"/>
      <x:c r="L549" s="5" t="str">
        <x:v>Weitere Vertragstypen, E-Commerce &amp; Leistungsstörungen</x:v>
      </x:c>
      <x:c r="M549" s="5" t="n">
        <x:v>50</x:v>
      </x:c>
      <x:c r="N549" s="5" t="n">
        <x:v>3</x:v>
      </x:c>
      <x:c r="O549" s="5" t="str"/>
      <x:c r="P549" s="5" t="str">
        <x:v>Pilot freigegeben</x:v>
      </x:c>
      <x:c r="Q549" s="5" t="str">
        <x:v>Revision 2 unverändert übernommen</x:v>
      </x:c>
      <x:c r="R549" s="5" t="str">
        <x:v>Was sind die Hauptpflichten der Parteien eines Werkvertrags?</x:v>
      </x:c>
      <x:c r="S549" s="5" t="str">
        <x:v>5ca5c0b88289d690893860312e50d1be9a355747c5d64d40c1868d684779b387</x:v>
      </x:c>
    </x:row>
    <x:row r="550" ht="36" customHeight="1">
      <x:c r="A550" s="5" t="str">
        <x:v>R-0146</x:v>
      </x:c>
      <x:c r="B550" s="5" t="str">
        <x:v>WQ</x:v>
      </x:c>
      <x:c r="C550" s="5" t="str">
        <x:v>3</x:v>
      </x:c>
      <x:c r="D550" s="5" t="str">
        <x:v>Recht und Steuern</x:v>
      </x:c>
      <x:c r="E550" s="5" t="str">
        <x:v>Recht</x:v>
      </x:c>
      <x:c r="F550" s="5" t="str">
        <x:v>ui-wq-recht-schuld</x:v>
      </x:c>
      <x:c r="G550" s="5" t="str">
        <x:v>BGB Schuldrecht</x:v>
      </x:c>
      <x:c r="H550" s="5" t="str">
        <x:v>tr-wq-r05</x:v>
      </x:c>
      <x:c r="I550" s="5" t="str">
        <x:v>3.1.2.4</x:v>
      </x:c>
      <x:c r="J550" s="5" t="str">
        <x:v>Miete, Darlehen, Dienstleistung, Werk und Leasing</x:v>
      </x:c>
      <x:c r="K550" s="5" t="str"/>
      <x:c r="L550" s="5" t="str">
        <x:v>Weitere Vertragstypen, E-Commerce &amp; Leistungsstörungen</x:v>
      </x:c>
      <x:c r="M550" s="5" t="n">
        <x:v>51</x:v>
      </x:c>
      <x:c r="N550" s="5" t="n">
        <x:v>4</x:v>
      </x:c>
      <x:c r="O550" s="5" t="str"/>
      <x:c r="P550" s="5" t="str">
        <x:v>Pilot freigegeben</x:v>
      </x:c>
      <x:c r="Q550" s="5" t="str">
        <x:v>Revision 2 unverändert übernommen</x:v>
      </x:c>
      <x:c r="R550" s="5" t="str">
        <x:v>Definieren Sie den Begriff „Abnahme“!</x:v>
      </x:c>
      <x:c r="S550" s="5" t="str">
        <x:v>97f3ff82fe5a2900b5290671ba9d3545b5338e3dee6e536ef7cf55ea95edf5f6</x:v>
      </x:c>
    </x:row>
    <x:row r="551" ht="36" customHeight="1">
      <x:c r="A551" s="5" t="str">
        <x:v>R-0147</x:v>
      </x:c>
      <x:c r="B551" s="5" t="str">
        <x:v>WQ</x:v>
      </x:c>
      <x:c r="C551" s="5" t="str">
        <x:v>3</x:v>
      </x:c>
      <x:c r="D551" s="5" t="str">
        <x:v>Recht und Steuern</x:v>
      </x:c>
      <x:c r="E551" s="5" t="str">
        <x:v>Recht</x:v>
      </x:c>
      <x:c r="F551" s="5" t="str">
        <x:v>ui-wq-recht-schuld</x:v>
      </x:c>
      <x:c r="G551" s="5" t="str">
        <x:v>BGB Schuldrecht</x:v>
      </x:c>
      <x:c r="H551" s="5" t="str">
        <x:v>tr-wq-r05</x:v>
      </x:c>
      <x:c r="I551" s="5" t="str">
        <x:v>3.1.2.4</x:v>
      </x:c>
      <x:c r="J551" s="5" t="str">
        <x:v>Miete, Darlehen, Dienstleistung, Werk und Leasing</x:v>
      </x:c>
      <x:c r="K551" s="5" t="str"/>
      <x:c r="L551" s="5" t="str">
        <x:v>Weitere Vertragstypen, E-Commerce &amp; Leistungsstörungen</x:v>
      </x:c>
      <x:c r="M551" s="5" t="n">
        <x:v>52</x:v>
      </x:c>
      <x:c r="N551" s="5" t="n">
        <x:v>5</x:v>
      </x:c>
      <x:c r="O551" s="5" t="str"/>
      <x:c r="P551" s="5" t="str">
        <x:v>Pilot freigegeben</x:v>
      </x:c>
      <x:c r="Q551" s="5" t="str">
        <x:v>Revision 2 unverändert übernommen</x:v>
      </x:c>
      <x:c r="R551" s="5" t="str">
        <x:v>Welche Rechtsfolgen zieht die Abnahme nach sich? Geben Sie bei Ihrer Antwort auch die ein
schlägigen Vorschriften aus dem BGB an! </x:v>
      </x:c>
      <x:c r="S551" s="5" t="str">
        <x:v>0092476f416249ef9aee5c2cac259f11d380f9ea1b757b56524ff71b235da128</x:v>
      </x:c>
    </x:row>
    <x:row r="552" ht="36" customHeight="1">
      <x:c r="A552" s="5" t="str">
        <x:v>R-0148</x:v>
      </x:c>
      <x:c r="B552" s="5" t="str">
        <x:v>WQ</x:v>
      </x:c>
      <x:c r="C552" s="5" t="str">
        <x:v>3</x:v>
      </x:c>
      <x:c r="D552" s="5" t="str">
        <x:v>Recht und Steuern</x:v>
      </x:c>
      <x:c r="E552" s="5" t="str">
        <x:v>Recht</x:v>
      </x:c>
      <x:c r="F552" s="5" t="str">
        <x:v>ui-wq-recht-schuld</x:v>
      </x:c>
      <x:c r="G552" s="5" t="str">
        <x:v>BGB Schuldrecht</x:v>
      </x:c>
      <x:c r="H552" s="5" t="str">
        <x:v>tr-wq-r05</x:v>
      </x:c>
      <x:c r="I552" s="5" t="str">
        <x:v>3.1.2.4</x:v>
      </x:c>
      <x:c r="J552" s="5" t="str">
        <x:v>Miete, Darlehen, Dienstleistung, Werk und Leasing</x:v>
      </x:c>
      <x:c r="K552" s="5" t="str"/>
      <x:c r="L552" s="5" t="str">
        <x:v>Weitere Vertragstypen, E-Commerce &amp; Leistungsstörungen</x:v>
      </x:c>
      <x:c r="M552" s="5" t="n">
        <x:v>53</x:v>
      </x:c>
      <x:c r="N552" s="5" t="n">
        <x:v>6</x:v>
      </x:c>
      <x:c r="O552" s="5" t="str"/>
      <x:c r="P552" s="5" t="str">
        <x:v>Pilot freigegeben</x:v>
      </x:c>
      <x:c r="Q552" s="5" t="str">
        <x:v>Revision 2 unverändert übernommen</x:v>
      </x:c>
      <x:c r="R552" s="5" t="str">
        <x:v>Welche Gewährleistungsrechte hat der Besteller im Falle der Mangelhaftigkeit des Werkes?</x:v>
      </x:c>
      <x:c r="S552" s="5" t="str">
        <x:v>04040298b2bae5eab318d398b60099f77bb0aad291563886cf86634aec5aafd1</x:v>
      </x:c>
    </x:row>
    <x:row r="553" ht="36" customHeight="1">
      <x:c r="A553" s="5" t="str">
        <x:v>R-0149</x:v>
      </x:c>
      <x:c r="B553" s="5" t="str">
        <x:v>WQ</x:v>
      </x:c>
      <x:c r="C553" s="5" t="str">
        <x:v>3</x:v>
      </x:c>
      <x:c r="D553" s="5" t="str">
        <x:v>Recht und Steuern</x:v>
      </x:c>
      <x:c r="E553" s="5" t="str">
        <x:v>Recht</x:v>
      </x:c>
      <x:c r="F553" s="5" t="str">
        <x:v>ui-wq-recht-schuld</x:v>
      </x:c>
      <x:c r="G553" s="5" t="str">
        <x:v>BGB Schuldrecht</x:v>
      </x:c>
      <x:c r="H553" s="5" t="str">
        <x:v>tr-wq-r05</x:v>
      </x:c>
      <x:c r="I553" s="5" t="str">
        <x:v>3.1.2.4</x:v>
      </x:c>
      <x:c r="J553" s="5" t="str">
        <x:v>Miete, Darlehen, Dienstleistung, Werk und Leasing</x:v>
      </x:c>
      <x:c r="K553" s="5" t="str"/>
      <x:c r="L553" s="5" t="str">
        <x:v>Weitere Vertragstypen, E-Commerce &amp; Leistungsstörungen</x:v>
      </x:c>
      <x:c r="M553" s="5" t="n">
        <x:v>54</x:v>
      </x:c>
      <x:c r="N553" s="5" t="n">
        <x:v>7</x:v>
      </x:c>
      <x:c r="O553" s="5" t="str"/>
      <x:c r="P553" s="5" t="str">
        <x:v>Pilot freigegeben</x:v>
      </x:c>
      <x:c r="Q553" s="5" t="str">
        <x:v>Revision 2 unverändert übernommen</x:v>
      </x:c>
      <x:c r="R553" s="5" t="str">
        <x:v>Welches Recht ist zwar für den Besteller eines mangelhaften Werks, nicht aber für den Käufer 
einer mangelhaften Sache vorgesehen?</x:v>
      </x:c>
      <x:c r="S553" s="5" t="str">
        <x:v>e2b498ed14916a5d6bd2e27cfaa77ca542ea849eb72a525163886df075c08306</x:v>
      </x:c>
    </x:row>
    <x:row r="554" ht="36" customHeight="1">
      <x:c r="A554" s="5" t="str">
        <x:v>R-0150</x:v>
      </x:c>
      <x:c r="B554" s="5" t="str">
        <x:v>WQ</x:v>
      </x:c>
      <x:c r="C554" s="5" t="str">
        <x:v>3</x:v>
      </x:c>
      <x:c r="D554" s="5" t="str">
        <x:v>Recht und Steuern</x:v>
      </x:c>
      <x:c r="E554" s="5" t="str">
        <x:v>Recht</x:v>
      </x:c>
      <x:c r="F554" s="5" t="str">
        <x:v>ui-wq-recht-schuld</x:v>
      </x:c>
      <x:c r="G554" s="5" t="str">
        <x:v>BGB Schuldrecht</x:v>
      </x:c>
      <x:c r="H554" s="5" t="str">
        <x:v>tr-wq-r05</x:v>
      </x:c>
      <x:c r="I554" s="5" t="str">
        <x:v>3.1.2.4</x:v>
      </x:c>
      <x:c r="J554" s="5" t="str">
        <x:v>Miete, Darlehen, Dienstleistung, Werk und Leasing</x:v>
      </x:c>
      <x:c r="K554" s="5" t="str"/>
      <x:c r="L554" s="5" t="str">
        <x:v>Weitere Vertragstypen, E-Commerce &amp; Leistungsstörungen</x:v>
      </x:c>
      <x:c r="M554" s="5" t="n">
        <x:v>55</x:v>
      </x:c>
      <x:c r="N554" s="5" t="n">
        <x:v>8</x:v>
      </x:c>
      <x:c r="O554" s="5" t="str"/>
      <x:c r="P554" s="5" t="str">
        <x:v>Pilot freigegeben</x:v>
      </x:c>
      <x:c r="Q554" s="5" t="str">
        <x:v>Revision 2 unverändert übernommen</x:v>
      </x:c>
      <x:c r="R554" s="5" t="str">
        <x:v>Wann verjähren die werkvertraglichen Gewährleistungsansprüche? </x:v>
      </x:c>
      <x:c r="S554" s="5" t="str">
        <x:v>49e9c84103e63d3cb7295a84005c2adea307491495d4f54cf39dcb02e1b78750</x:v>
      </x:c>
    </x:row>
    <x:row r="555" ht="36" customHeight="1">
      <x:c r="A555" s="5" t="str">
        <x:v>R-0151</x:v>
      </x:c>
      <x:c r="B555" s="5" t="str">
        <x:v>WQ</x:v>
      </x:c>
      <x:c r="C555" s="5" t="str">
        <x:v>3</x:v>
      </x:c>
      <x:c r="D555" s="5" t="str">
        <x:v>Recht und Steuern</x:v>
      </x:c>
      <x:c r="E555" s="5" t="str">
        <x:v>Recht</x:v>
      </x:c>
      <x:c r="F555" s="5" t="str">
        <x:v>ui-wq-recht-handel</x:v>
      </x:c>
      <x:c r="G555" s="5" t="str">
        <x:v>Handelsrecht</x:v>
      </x:c>
      <x:c r="H555" s="5" t="str">
        <x:v>tr-wq-r11</x:v>
      </x:c>
      <x:c r="I555" s="5" t="str">
        <x:v>3.1.4.1</x:v>
      </x:c>
      <x:c r="J555" s="5" t="str">
        <x:v>Kaufleute und Firma</x:v>
      </x:c>
      <x:c r="K555" s="5" t="str"/>
      <x:c r="L555" s="5" t="str">
        <x:v>Handelsrecht</x:v>
      </x:c>
      <x:c r="M555" s="5" t="n">
        <x:v>14</x:v>
      </x:c>
      <x:c r="N555" s="5" t="n">
        <x:v>9</x:v>
      </x:c>
      <x:c r="O555" s="5" t="str"/>
      <x:c r="P555" s="5" t="str">
        <x:v>Pilot freigegeben</x:v>
      </x:c>
      <x:c r="Q555" s="5" t="str">
        <x:v>Revision 2 unverändert übernommen</x:v>
      </x:c>
      <x:c r="R555" s="5" t="str">
        <x:v>Welche Typen von Kaufleuten gibt es nach dem HGB? </x:v>
      </x:c>
      <x:c r="S555" s="5" t="str">
        <x:v>1c0eed35da46d8168ad25ea02a70df1878f6aa4a120ad9543a54dfb0cbe016ea</x:v>
      </x:c>
    </x:row>
    <x:row r="556" ht="36" customHeight="1">
      <x:c r="A556" s="5" t="str">
        <x:v>R-0152</x:v>
      </x:c>
      <x:c r="B556" s="5" t="str">
        <x:v>WQ</x:v>
      </x:c>
      <x:c r="C556" s="5" t="str">
        <x:v>3</x:v>
      </x:c>
      <x:c r="D556" s="5" t="str">
        <x:v>Recht und Steuern</x:v>
      </x:c>
      <x:c r="E556" s="5" t="str">
        <x:v>Recht</x:v>
      </x:c>
      <x:c r="F556" s="5" t="str">
        <x:v>ui-wq-recht-handel</x:v>
      </x:c>
      <x:c r="G556" s="5" t="str">
        <x:v>Handelsrecht</x:v>
      </x:c>
      <x:c r="H556" s="5" t="str">
        <x:v>tr-wq-r11</x:v>
      </x:c>
      <x:c r="I556" s="5" t="str">
        <x:v>3.1.4.1</x:v>
      </x:c>
      <x:c r="J556" s="5" t="str">
        <x:v>Kaufleute und Firma</x:v>
      </x:c>
      <x:c r="K556" s="5" t="str"/>
      <x:c r="L556" s="5" t="str">
        <x:v>Handelsrecht</x:v>
      </x:c>
      <x:c r="M556" s="5" t="n">
        <x:v>15</x:v>
      </x:c>
      <x:c r="N556" s="5" t="n">
        <x:v>10</x:v>
      </x:c>
      <x:c r="O556" s="5" t="str"/>
      <x:c r="P556" s="5" t="str">
        <x:v>Pilot freigegeben</x:v>
      </x:c>
      <x:c r="Q556" s="5" t="str">
        <x:v>Revision 2 unverändert übernommen</x:v>
      </x:c>
      <x:c r="R556" s="5" t="str">
        <x:v>Unter welchen Voraussetzungen betreibt eine Person ein Gewerbe? </x:v>
      </x:c>
      <x:c r="S556" s="5" t="str">
        <x:v>cadebdec5ec593223200ab344de2eba36219360d8e2841b8c141575f10e0cffd</x:v>
      </x:c>
    </x:row>
    <x:row r="557" ht="36" customHeight="1">
      <x:c r="A557" s="5" t="str">
        <x:v>R-0153</x:v>
      </x:c>
      <x:c r="B557" s="5" t="str">
        <x:v>WQ</x:v>
      </x:c>
      <x:c r="C557" s="5" t="str">
        <x:v>3</x:v>
      </x:c>
      <x:c r="D557" s="5" t="str">
        <x:v>Recht und Steuern</x:v>
      </x:c>
      <x:c r="E557" s="5" t="str">
        <x:v>Recht</x:v>
      </x:c>
      <x:c r="F557" s="5" t="str">
        <x:v>ui-wq-recht-handel</x:v>
      </x:c>
      <x:c r="G557" s="5" t="str">
        <x:v>Handelsrecht</x:v>
      </x:c>
      <x:c r="H557" s="5" t="str">
        <x:v>tr-wq-r12</x:v>
      </x:c>
      <x:c r="I557" s="5" t="str">
        <x:v>3.1.4.2</x:v>
      </x:c>
      <x:c r="J557" s="5" t="str">
        <x:v>Register und Publizität</x:v>
      </x:c>
      <x:c r="K557" s="5" t="str"/>
      <x:c r="L557" s="5" t="str">
        <x:v>Handelsrecht</x:v>
      </x:c>
      <x:c r="M557" s="5" t="n">
        <x:v>16</x:v>
      </x:c>
      <x:c r="N557" s="5" t="n">
        <x:v>6</x:v>
      </x:c>
      <x:c r="O557" s="5" t="str"/>
      <x:c r="P557" s="5" t="str">
        <x:v>Pilot freigegeben</x:v>
      </x:c>
      <x:c r="Q557" s="5" t="str">
        <x:v>Revision 2 unverändert übernommen</x:v>
      </x:c>
      <x:c r="R557" s="5" t="str">
        <x:v>Wodurch unterscheiden sich die deklaratorische und die konstitutive Eintragung in das 
Handelsregister? Bei welchen Arten von Kaufleuten liegen diese jeweils vor? </x:v>
      </x:c>
      <x:c r="S557" s="5" t="str">
        <x:v>724926e8a0bb6f36e7fb636ff7de741b77f3600c4dab08dfe6a12b78e06740f9</x:v>
      </x:c>
    </x:row>
    <x:row r="558" ht="36" customHeight="1">
      <x:c r="A558" s="5" t="str">
        <x:v>R-0154</x:v>
      </x:c>
      <x:c r="B558" s="5" t="str">
        <x:v>WQ</x:v>
      </x:c>
      <x:c r="C558" s="5" t="str">
        <x:v>3</x:v>
      </x:c>
      <x:c r="D558" s="5" t="str">
        <x:v>Recht und Steuern</x:v>
      </x:c>
      <x:c r="E558" s="5" t="str">
        <x:v>Recht</x:v>
      </x:c>
      <x:c r="F558" s="5" t="str">
        <x:v>ui-wq-recht-handel</x:v>
      </x:c>
      <x:c r="G558" s="5" t="str">
        <x:v>Handelsrecht</x:v>
      </x:c>
      <x:c r="H558" s="5" t="str">
        <x:v>tr-wq-r12</x:v>
      </x:c>
      <x:c r="I558" s="5" t="str">
        <x:v>3.1.4.2</x:v>
      </x:c>
      <x:c r="J558" s="5" t="str">
        <x:v>Register und Publizität</x:v>
      </x:c>
      <x:c r="K558" s="5" t="str"/>
      <x:c r="L558" s="5" t="str">
        <x:v>Handelsrecht</x:v>
      </x:c>
      <x:c r="M558" s="5" t="n">
        <x:v>17</x:v>
      </x:c>
      <x:c r="N558" s="5" t="n">
        <x:v>7</x:v>
      </x:c>
      <x:c r="O558" s="5" t="str"/>
      <x:c r="P558" s="5" t="str">
        <x:v>Pilot freigegeben</x:v>
      </x:c>
      <x:c r="Q558" s="5" t="str">
        <x:v>Revision 2 unverändert übernommen</x:v>
      </x:c>
      <x:c r="R558" s="5" t="str">
        <x:v>Wer führt das Handelsregister? Welche (ähnlichen) Register gibt es u. a. noch? </x:v>
      </x:c>
      <x:c r="S558" s="5" t="str">
        <x:v>9d1e293f5623ed0454979cc54d90fe54e6f19a5fdbf33bb77d130034e37df7df</x:v>
      </x:c>
    </x:row>
    <x:row r="559" ht="36" customHeight="1">
      <x:c r="A559" s="5" t="str">
        <x:v>R-0155</x:v>
      </x:c>
      <x:c r="B559" s="5" t="str">
        <x:v>WQ</x:v>
      </x:c>
      <x:c r="C559" s="5" t="str">
        <x:v>3</x:v>
      </x:c>
      <x:c r="D559" s="5" t="str">
        <x:v>Recht und Steuern</x:v>
      </x:c>
      <x:c r="E559" s="5" t="str">
        <x:v>Recht</x:v>
      </x:c>
      <x:c r="F559" s="5" t="str">
        <x:v>ui-wq-recht-handel</x:v>
      </x:c>
      <x:c r="G559" s="5" t="str">
        <x:v>Handelsrecht</x:v>
      </x:c>
      <x:c r="H559" s="5" t="str">
        <x:v>tr-wq-r12</x:v>
      </x:c>
      <x:c r="I559" s="5" t="str">
        <x:v>3.1.4.2</x:v>
      </x:c>
      <x:c r="J559" s="5" t="str">
        <x:v>Register und Publizität</x:v>
      </x:c>
      <x:c r="K559" s="5" t="str"/>
      <x:c r="L559" s="5" t="str">
        <x:v>Handelsrecht</x:v>
      </x:c>
      <x:c r="M559" s="5" t="n">
        <x:v>18</x:v>
      </x:c>
      <x:c r="N559" s="5" t="n">
        <x:v>8</x:v>
      </x:c>
      <x:c r="O559" s="5" t="str"/>
      <x:c r="P559" s="5" t="str">
        <x:v>Pilot freigegeben</x:v>
      </x:c>
      <x:c r="Q559" s="5" t="str">
        <x:v>Revision 2 unverändert übernommen</x:v>
      </x:c>
      <x:c r="R559" s="5" t="str">
        <x:v>Wie unterscheiden sich die Abteilungen HRA und HRB des Handelsregisters?</x:v>
      </x:c>
      <x:c r="S559" s="5" t="str">
        <x:v>b0005e9a2e31a3e68a55770791ad5e71866aa894f8070fe22f1753e7fc138aa4</x:v>
      </x:c>
    </x:row>
    <x:row r="560" ht="36" customHeight="1">
      <x:c r="A560" s="5" t="str">
        <x:v>R-0156</x:v>
      </x:c>
      <x:c r="B560" s="5" t="str">
        <x:v>WQ</x:v>
      </x:c>
      <x:c r="C560" s="5" t="str">
        <x:v>3</x:v>
      </x:c>
      <x:c r="D560" s="5" t="str">
        <x:v>Recht und Steuern</x:v>
      </x:c>
      <x:c r="E560" s="5" t="str">
        <x:v>Recht</x:v>
      </x:c>
      <x:c r="F560" s="5" t="str">
        <x:v>ui-wq-recht-handel</x:v>
      </x:c>
      <x:c r="G560" s="5" t="str">
        <x:v>Handelsrecht</x:v>
      </x:c>
      <x:c r="H560" s="5" t="str">
        <x:v>tr-wq-r12</x:v>
      </x:c>
      <x:c r="I560" s="5" t="str">
        <x:v>3.1.4.2</x:v>
      </x:c>
      <x:c r="J560" s="5" t="str">
        <x:v>Register und Publizität</x:v>
      </x:c>
      <x:c r="K560" s="5" t="str"/>
      <x:c r="L560" s="5" t="str">
        <x:v>Handelsrecht</x:v>
      </x:c>
      <x:c r="M560" s="5" t="n">
        <x:v>19</x:v>
      </x:c>
      <x:c r="N560" s="5" t="n">
        <x:v>9</x:v>
      </x:c>
      <x:c r="O560" s="5" t="str"/>
      <x:c r="P560" s="5" t="str">
        <x:v>Pilot freigegeben</x:v>
      </x:c>
      <x:c r="Q560" s="5" t="str">
        <x:v>Revision 2 unverändert übernommen</x:v>
      </x:c>
      <x:c r="R560" s="5" t="str">
        <x:v>Was ist unter negativer, was ist unter positiver Publizität des Handelsregisters zu ver
stehen? </x:v>
      </x:c>
      <x:c r="S560" s="5" t="str">
        <x:v>6873a5518da06d3166715de9cb44ae7cf1a52903c9b32c3f059af2ec6e4a2c55</x:v>
      </x:c>
    </x:row>
    <x:row r="561" ht="36" customHeight="1">
      <x:c r="A561" s="5" t="str">
        <x:v>R-0157</x:v>
      </x:c>
      <x:c r="B561" s="5" t="str">
        <x:v>WQ</x:v>
      </x:c>
      <x:c r="C561" s="5" t="str">
        <x:v>3</x:v>
      </x:c>
      <x:c r="D561" s="5" t="str">
        <x:v>Recht und Steuern</x:v>
      </x:c>
      <x:c r="E561" s="5" t="str">
        <x:v>Recht</x:v>
      </x:c>
      <x:c r="F561" s="5" t="str">
        <x:v>ui-wq-recht-handel</x:v>
      </x:c>
      <x:c r="G561" s="5" t="str">
        <x:v>Handelsrecht</x:v>
      </x:c>
      <x:c r="H561" s="5" t="str">
        <x:v>tr-wq-r14</x:v>
      </x:c>
      <x:c r="I561" s="5" t="str">
        <x:v>3.1.4</x:v>
      </x:c>
      <x:c r="J561" s="5" t="str">
        <x:v>Prokura und kaufmännische Vollmachten</x:v>
      </x:c>
      <x:c r="K561" s="5" t="str"/>
      <x:c r="L561" s="5" t="str">
        <x:v>Handelsrecht</x:v>
      </x:c>
      <x:c r="M561" s="5" t="n">
        <x:v>20</x:v>
      </x:c>
      <x:c r="N561" s="5" t="n">
        <x:v>1</x:v>
      </x:c>
      <x:c r="O561" s="5" t="str"/>
      <x:c r="P561" s="5" t="str">
        <x:v>Pilot freigegeben</x:v>
      </x:c>
      <x:c r="Q561" s="5" t="str">
        <x:v>Revision 2 unverändert übernommen</x:v>
      </x:c>
      <x:c r="R561" s="5" t="str">
        <x:v>Welche speziellen handelsrechtlichen Vollmachten gibt es? </x:v>
      </x:c>
      <x:c r="S561" s="5" t="str">
        <x:v>5d8cd8a0f6d44b0d32fc2dfbcd49647e1e3c216229c8f19001dfbb59093e9995</x:v>
      </x:c>
    </x:row>
    <x:row r="562" ht="36" customHeight="1">
      <x:c r="A562" s="5" t="str">
        <x:v>R-0158</x:v>
      </x:c>
      <x:c r="B562" s="5" t="str">
        <x:v>WQ</x:v>
      </x:c>
      <x:c r="C562" s="5" t="str">
        <x:v>3</x:v>
      </x:c>
      <x:c r="D562" s="5" t="str">
        <x:v>Recht und Steuern</x:v>
      </x:c>
      <x:c r="E562" s="5" t="str">
        <x:v>Recht</x:v>
      </x:c>
      <x:c r="F562" s="5" t="str">
        <x:v>ui-wq-recht-handel</x:v>
      </x:c>
      <x:c r="G562" s="5" t="str">
        <x:v>Handelsrecht</x:v>
      </x:c>
      <x:c r="H562" s="5" t="str">
        <x:v>tr-wq-r14</x:v>
      </x:c>
      <x:c r="I562" s="5" t="str">
        <x:v>3.1.4</x:v>
      </x:c>
      <x:c r="J562" s="5" t="str">
        <x:v>Prokura und kaufmännische Vollmachten</x:v>
      </x:c>
      <x:c r="K562" s="5" t="str"/>
      <x:c r="L562" s="5" t="str">
        <x:v>Handelsrecht</x:v>
      </x:c>
      <x:c r="M562" s="5" t="n">
        <x:v>21</x:v>
      </x:c>
      <x:c r="N562" s="5" t="n">
        <x:v>2</x:v>
      </x:c>
      <x:c r="O562" s="5" t="str"/>
      <x:c r="P562" s="5" t="str">
        <x:v>Pilot freigegeben</x:v>
      </x:c>
      <x:c r="Q562" s="5" t="str">
        <x:v>Revision 2 unverändert übernommen</x:v>
      </x:c>
      <x:c r="R562" s="5" t="str">
        <x:v>Wie unterscheiden sich diese Vollmachten hinsichtlich des Umfangs?</x:v>
      </x:c>
      <x:c r="S562" s="5" t="str">
        <x:v>b556d62822ab6d61d05e04c7950691d4a7c467a1a25689979f4330eb52b15566</x:v>
      </x:c>
    </x:row>
    <x:row r="563" ht="36" customHeight="1">
      <x:c r="A563" s="5" t="str">
        <x:v>R-0159</x:v>
      </x:c>
      <x:c r="B563" s="5" t="str">
        <x:v>WQ</x:v>
      </x:c>
      <x:c r="C563" s="5" t="str">
        <x:v>3</x:v>
      </x:c>
      <x:c r="D563" s="5" t="str">
        <x:v>Recht und Steuern</x:v>
      </x:c>
      <x:c r="E563" s="5" t="str">
        <x:v>Recht</x:v>
      </x:c>
      <x:c r="F563" s="5" t="str">
        <x:v>ui-wq-recht-handel</x:v>
      </x:c>
      <x:c r="G563" s="5" t="str">
        <x:v>Handelsrecht</x:v>
      </x:c>
      <x:c r="H563" s="5" t="str">
        <x:v>tr-wq-r14</x:v>
      </x:c>
      <x:c r="I563" s="5" t="str">
        <x:v>3.1.4</x:v>
      </x:c>
      <x:c r="J563" s="5" t="str">
        <x:v>Prokura und kaufmännische Vollmachten</x:v>
      </x:c>
      <x:c r="K563" s="5" t="str"/>
      <x:c r="L563" s="5" t="str">
        <x:v>Handelsrecht</x:v>
      </x:c>
      <x:c r="M563" s="5" t="n">
        <x:v>22</x:v>
      </x:c>
      <x:c r="N563" s="5" t="n">
        <x:v>3</x:v>
      </x:c>
      <x:c r="O563" s="5" t="str"/>
      <x:c r="P563" s="5" t="str">
        <x:v>Pilot freigegeben</x:v>
      </x:c>
      <x:c r="Q563" s="5" t="str">
        <x:v>Revision 2 unverändert übernommen</x:v>
      </x:c>
      <x:c r="R563" s="5" t="str">
        <x:v>Welche Arten der Prokura gibt es? </x:v>
      </x:c>
      <x:c r="S563" s="5" t="str">
        <x:v>8ac9c4a0b011fb17b3426f021513a8e03aa716120771989ccf110ad7df9afb08</x:v>
      </x:c>
    </x:row>
    <x:row r="564" ht="36" customHeight="1">
      <x:c r="A564" s="5" t="str">
        <x:v>R-0160</x:v>
      </x:c>
      <x:c r="B564" s="5" t="str">
        <x:v>WQ</x:v>
      </x:c>
      <x:c r="C564" s="5" t="str">
        <x:v>3</x:v>
      </x:c>
      <x:c r="D564" s="5" t="str">
        <x:v>Recht und Steuern</x:v>
      </x:c>
      <x:c r="E564" s="5" t="str">
        <x:v>Recht</x:v>
      </x:c>
      <x:c r="F564" s="5" t="str">
        <x:v>ui-wq-recht-handel</x:v>
      </x:c>
      <x:c r="G564" s="5" t="str">
        <x:v>Handelsrecht</x:v>
      </x:c>
      <x:c r="H564" s="5" t="str">
        <x:v>tr-wq-r14</x:v>
      </x:c>
      <x:c r="I564" s="5" t="str">
        <x:v>3.1.4</x:v>
      </x:c>
      <x:c r="J564" s="5" t="str">
        <x:v>Prokura und kaufmännische Vollmachten</x:v>
      </x:c>
      <x:c r="K564" s="5" t="str"/>
      <x:c r="L564" s="5" t="str">
        <x:v>Handelsrecht</x:v>
      </x:c>
      <x:c r="M564" s="5" t="n">
        <x:v>23</x:v>
      </x:c>
      <x:c r="N564" s="5" t="n">
        <x:v>4</x:v>
      </x:c>
      <x:c r="O564" s="5" t="str"/>
      <x:c r="P564" s="5" t="str">
        <x:v>Pilot freigegeben</x:v>
      </x:c>
      <x:c r="Q564" s="5" t="str">
        <x:v>Revision 2 unverändert übernommen</x:v>
      </x:c>
      <x:c r="R564" s="5" t="str">
        <x:v>Lässt sich der Umfang der Prokura beschränken?</x:v>
      </x:c>
      <x:c r="S564" s="5" t="str">
        <x:v>1f130190294323164f53c8a79ccd23510d6b20e051ff6df5f6d8f6a1eb71f1b7</x:v>
      </x:c>
    </x:row>
    <x:row r="565" ht="36" customHeight="1">
      <x:c r="A565" s="5" t="str">
        <x:v>R-0161</x:v>
      </x:c>
      <x:c r="B565" s="5" t="str">
        <x:v>WQ</x:v>
      </x:c>
      <x:c r="C565" s="5" t="str">
        <x:v>3</x:v>
      </x:c>
      <x:c r="D565" s="5" t="str">
        <x:v>Recht und Steuern</x:v>
      </x:c>
      <x:c r="E565" s="5" t="str">
        <x:v>Recht</x:v>
      </x:c>
      <x:c r="F565" s="5" t="str">
        <x:v>ui-wq-recht-handel</x:v>
      </x:c>
      <x:c r="G565" s="5" t="str">
        <x:v>Handelsrecht</x:v>
      </x:c>
      <x:c r="H565" s="5" t="str">
        <x:v>tr-wq-r11</x:v>
      </x:c>
      <x:c r="I565" s="5" t="str">
        <x:v>3.1.4.1</x:v>
      </x:c>
      <x:c r="J565" s="5" t="str">
        <x:v>Kaufleute und Firma</x:v>
      </x:c>
      <x:c r="K565" s="5" t="str"/>
      <x:c r="L565" s="5" t="str">
        <x:v>Handelsrecht</x:v>
      </x:c>
      <x:c r="M565" s="5" t="n">
        <x:v>24</x:v>
      </x:c>
      <x:c r="N565" s="5" t="n">
        <x:v>11</x:v>
      </x:c>
      <x:c r="O565" s="5" t="str"/>
      <x:c r="P565" s="5" t="str">
        <x:v>Pilot freigegeben</x:v>
      </x:c>
      <x:c r="Q565" s="5" t="str">
        <x:v>Revision 2 unverändert übernommen</x:v>
      </x:c>
      <x:c r="R565" s="5" t="str">
        <x:v>Welche Grundsätze sind bei der Bildung und Führung einer Firma zu beachten?</x:v>
      </x:c>
      <x:c r="S565" s="5" t="str">
        <x:v>9e2cd5a90355ca15c2319ba94c53030ddbb57ad4a5790cbd9bbfbd664909cd73</x:v>
      </x:c>
    </x:row>
    <x:row r="566" ht="36" customHeight="1">
      <x:c r="A566" s="5" t="str">
        <x:v>R-0162</x:v>
      </x:c>
      <x:c r="B566" s="5" t="str">
        <x:v>WQ</x:v>
      </x:c>
      <x:c r="C566" s="5" t="str">
        <x:v>3</x:v>
      </x:c>
      <x:c r="D566" s="5" t="str">
        <x:v>Recht und Steuern</x:v>
      </x:c>
      <x:c r="E566" s="5" t="str">
        <x:v>Recht</x:v>
      </x:c>
      <x:c r="F566" s="5" t="str">
        <x:v>ui-wq-recht-handel</x:v>
      </x:c>
      <x:c r="G566" s="5" t="str">
        <x:v>Handelsrecht</x:v>
      </x:c>
      <x:c r="H566" s="5" t="str">
        <x:v>tr-wq-r11</x:v>
      </x:c>
      <x:c r="I566" s="5" t="str">
        <x:v>3.1.4.1</x:v>
      </x:c>
      <x:c r="J566" s="5" t="str">
        <x:v>Kaufleute und Firma</x:v>
      </x:c>
      <x:c r="K566" s="5" t="str"/>
      <x:c r="L566" s="5" t="str">
        <x:v>Handelsrecht</x:v>
      </x:c>
      <x:c r="M566" s="5" t="n">
        <x:v>25</x:v>
      </x:c>
      <x:c r="N566" s="5" t="n">
        <x:v>12</x:v>
      </x:c>
      <x:c r="O566" s="5" t="str"/>
      <x:c r="P566" s="5" t="str">
        <x:v>Pilot freigegeben</x:v>
      </x:c>
      <x:c r="Q566" s="5" t="str">
        <x:v>Revision 2 unverändert übernommen</x:v>
      </x:c>
      <x:c r="R566" s="5" t="str">
        <x:v>Welche Firmenkriterien bestehen? </x:v>
      </x:c>
      <x:c r="S566" s="5" t="str">
        <x:v>0b2f4d1efa4268349a6ae08a1c42e301ad6b39e66cb962d0bb676a18423bb8fb</x:v>
      </x:c>
    </x:row>
    <x:row r="567" ht="36" customHeight="1">
      <x:c r="A567" s="5" t="str">
        <x:v>R-0163</x:v>
      </x:c>
      <x:c r="B567" s="5" t="str">
        <x:v>WQ</x:v>
      </x:c>
      <x:c r="C567" s="5" t="str">
        <x:v>3</x:v>
      </x:c>
      <x:c r="D567" s="5" t="str">
        <x:v>Recht und Steuern</x:v>
      </x:c>
      <x:c r="E567" s="5" t="str">
        <x:v>Recht</x:v>
      </x:c>
      <x:c r="F567" s="5" t="str">
        <x:v>ui-wq-recht-handel</x:v>
      </x:c>
      <x:c r="G567" s="5" t="str">
        <x:v>Handelsrecht</x:v>
      </x:c>
      <x:c r="H567" s="5" t="str">
        <x:v>tr-wq-r11</x:v>
      </x:c>
      <x:c r="I567" s="5" t="str">
        <x:v>3.1.4.1</x:v>
      </x:c>
      <x:c r="J567" s="5" t="str">
        <x:v>Kaufleute und Firma</x:v>
      </x:c>
      <x:c r="K567" s="5" t="str"/>
      <x:c r="L567" s="5" t="str">
        <x:v>Handelsrecht</x:v>
      </x:c>
      <x:c r="M567" s="5" t="n">
        <x:v>26</x:v>
      </x:c>
      <x:c r="N567" s="5" t="n">
        <x:v>13</x:v>
      </x:c>
      <x:c r="O567" s="5" t="str"/>
      <x:c r="P567" s="5" t="str">
        <x:v>Pilot freigegeben</x:v>
      </x:c>
      <x:c r="Q567" s="5" t="str">
        <x:v>Revision 2 unverändert übernommen</x:v>
      </x:c>
      <x:c r="R567" s="5" t="str">
        <x:v>Unter welchen Voraussetzungen kann die bisherige Firma beim Erwerb eines Handelsgeschäfts fortgeführt werden und kann die Firma isoliert veräußert werden?</x:v>
      </x:c>
      <x:c r="S567" s="5" t="str">
        <x:v>7528511d9ac995d8577b96d6ca57e73985dcde84e41c2c99c989018078673864</x:v>
      </x:c>
    </x:row>
    <x:row r="568" ht="36" customHeight="1">
      <x:c r="A568" s="5" t="str">
        <x:v>R-0164</x:v>
      </x:c>
      <x:c r="B568" s="5" t="str">
        <x:v>WQ</x:v>
      </x:c>
      <x:c r="C568" s="5" t="str">
        <x:v>3</x:v>
      </x:c>
      <x:c r="D568" s="5" t="str">
        <x:v>Recht und Steuern</x:v>
      </x:c>
      <x:c r="E568" s="5" t="str">
        <x:v>Recht</x:v>
      </x:c>
      <x:c r="F568" s="5" t="str">
        <x:v>ui-wq-recht-handel</x:v>
      </x:c>
      <x:c r="G568" s="5" t="str">
        <x:v>Handelsrecht</x:v>
      </x:c>
      <x:c r="H568" s="5" t="str">
        <x:v>tr-wq-r11</x:v>
      </x:c>
      <x:c r="I568" s="5" t="str">
        <x:v>3.1.4.1</x:v>
      </x:c>
      <x:c r="J568" s="5" t="str">
        <x:v>Kaufleute und Firma</x:v>
      </x:c>
      <x:c r="K568" s="5" t="str"/>
      <x:c r="L568" s="5" t="str">
        <x:v>Handelsrecht</x:v>
      </x:c>
      <x:c r="M568" s="5" t="n">
        <x:v>27</x:v>
      </x:c>
      <x:c r="N568" s="5" t="n">
        <x:v>14</x:v>
      </x:c>
      <x:c r="O568" s="5" t="str"/>
      <x:c r="P568" s="5" t="str">
        <x:v>Pilot freigegeben</x:v>
      </x:c>
      <x:c r="Q568" s="5" t="str">
        <x:v>Revision 2 unverändert übernommen</x:v>
      </x:c>
      <x:c r="R568" s="5" t="str">
        <x:v>Wofür, wonach und unter welchen Voraussetzungen haftet der Erwerber eines Unter
nehmens? </x:v>
      </x:c>
      <x:c r="S568" s="5" t="str">
        <x:v>4927505f7c87ace1edb7b2bd5c52f23a82633c395957dc69cdbcc803c2d5ec4a</x:v>
      </x:c>
    </x:row>
    <x:row r="569" ht="36" customHeight="1">
      <x:c r="A569" s="5" t="str">
        <x:v>R-0165</x:v>
      </x:c>
      <x:c r="B569" s="5" t="str">
        <x:v>WQ</x:v>
      </x:c>
      <x:c r="C569" s="5" t="str">
        <x:v>3</x:v>
      </x:c>
      <x:c r="D569" s="5" t="str">
        <x:v>Recht und Steuern</x:v>
      </x:c>
      <x:c r="E569" s="5" t="str">
        <x:v>Recht</x:v>
      </x:c>
      <x:c r="F569" s="5" t="str">
        <x:v>ui-wq-recht-handel</x:v>
      </x:c>
      <x:c r="G569" s="5" t="str">
        <x:v>Handelsrecht</x:v>
      </x:c>
      <x:c r="H569" s="5" t="str">
        <x:v>tr-wq-r11</x:v>
      </x:c>
      <x:c r="I569" s="5" t="str">
        <x:v>3.1.4.1</x:v>
      </x:c>
      <x:c r="J569" s="5" t="str">
        <x:v>Kaufleute und Firma</x:v>
      </x:c>
      <x:c r="K569" s="5" t="str"/>
      <x:c r="L569" s="5" t="str">
        <x:v>Handelsrecht</x:v>
      </x:c>
      <x:c r="M569" s="5" t="n">
        <x:v>28</x:v>
      </x:c>
      <x:c r="N569" s="5" t="n">
        <x:v>15</x:v>
      </x:c>
      <x:c r="O569" s="5" t="str"/>
      <x:c r="P569" s="5" t="str">
        <x:v>Pilot freigegeben</x:v>
      </x:c>
      <x:c r="Q569" s="5" t="str">
        <x:v>Revision 2 unverändert übernommen</x:v>
      </x:c>
      <x:c r="R569" s="5" t="str">
        <x:v>Wie kann ein Erwerber die Haftung ausschließen bzw. einschränken?</x:v>
      </x:c>
      <x:c r="S569" s="5" t="str">
        <x:v>cb633b6898848f468bc80f725301072376100e26a21046e5351f0a3cfe318e9c</x:v>
      </x:c>
    </x:row>
    <x:row r="570" ht="36" customHeight="1">
      <x:c r="A570" s="5" t="str">
        <x:v>R-0166</x:v>
      </x:c>
      <x:c r="B570" s="5" t="str">
        <x:v>WQ</x:v>
      </x:c>
      <x:c r="C570" s="5" t="str">
        <x:v>3</x:v>
      </x:c>
      <x:c r="D570" s="5" t="str">
        <x:v>Recht und Steuern</x:v>
      </x:c>
      <x:c r="E570" s="5" t="str">
        <x:v>Recht</x:v>
      </x:c>
      <x:c r="F570" s="5" t="str">
        <x:v>ui-wq-recht-handel</x:v>
      </x:c>
      <x:c r="G570" s="5" t="str">
        <x:v>Handelsrecht</x:v>
      </x:c>
      <x:c r="H570" s="5" t="str">
        <x:v>tr-wq-r13</x:v>
      </x:c>
      <x:c r="I570" s="5" t="str">
        <x:v>3.1.4.3</x:v>
      </x:c>
      <x:c r="J570" s="5" t="str">
        <x:v>Handelsvertreter, Makler und Absatzpartner</x:v>
      </x:c>
      <x:c r="K570" s="5" t="str"/>
      <x:c r="L570" s="5" t="str">
        <x:v>Handelsrecht</x:v>
      </x:c>
      <x:c r="M570" s="5" t="n">
        <x:v>29</x:v>
      </x:c>
      <x:c r="N570" s="5" t="n">
        <x:v>1</x:v>
      </x:c>
      <x:c r="O570" s="5" t="str"/>
      <x:c r="P570" s="5" t="str">
        <x:v>Pilot freigegeben</x:v>
      </x:c>
      <x:c r="Q570" s="5" t="str">
        <x:v>Revision 2 unverändert übernommen</x:v>
      </x:c>
      <x:c r="R570" s="5" t="str">
        <x:v>Wer sind selbständige Hilfspersonen des Kaufmanns? </x:v>
      </x:c>
      <x:c r="S570" s="5" t="str">
        <x:v>f9c8b95611126e5de3ebd025b8476ebe7993201a701df2d760fe04e2a30aadb2</x:v>
      </x:c>
    </x:row>
    <x:row r="571" ht="36" customHeight="1">
      <x:c r="A571" s="5" t="str">
        <x:v>R-0167</x:v>
      </x:c>
      <x:c r="B571" s="5" t="str">
        <x:v>WQ</x:v>
      </x:c>
      <x:c r="C571" s="5" t="str">
        <x:v>3</x:v>
      </x:c>
      <x:c r="D571" s="5" t="str">
        <x:v>Recht und Steuern</x:v>
      </x:c>
      <x:c r="E571" s="5" t="str">
        <x:v>Recht</x:v>
      </x:c>
      <x:c r="F571" s="5" t="str">
        <x:v>ui-wq-recht-handel</x:v>
      </x:c>
      <x:c r="G571" s="5" t="str">
        <x:v>Handelsrecht</x:v>
      </x:c>
      <x:c r="H571" s="5" t="str">
        <x:v>tr-wq-r13</x:v>
      </x:c>
      <x:c r="I571" s="5" t="str">
        <x:v>3.1.4.3</x:v>
      </x:c>
      <x:c r="J571" s="5" t="str">
        <x:v>Handelsvertreter, Makler und Absatzpartner</x:v>
      </x:c>
      <x:c r="K571" s="5" t="str"/>
      <x:c r="L571" s="5" t="str">
        <x:v>Handelsrecht</x:v>
      </x:c>
      <x:c r="M571" s="5" t="n">
        <x:v>30</x:v>
      </x:c>
      <x:c r="N571" s="5" t="n">
        <x:v>2</x:v>
      </x:c>
      <x:c r="O571" s="5" t="str"/>
      <x:c r="P571" s="5" t="str">
        <x:v>Pilot freigegeben</x:v>
      </x:c>
      <x:c r="Q571" s="5" t="str">
        <x:v>Revision 2 unverändert übernommen</x:v>
      </x:c>
      <x:c r="R571" s="5" t="str">
        <x:v>Was ist ein Handelsvertreter?</x:v>
      </x:c>
      <x:c r="S571" s="5" t="str">
        <x:v>0c59cd2708bf886c4c9a51fcd70e22e5759783c6dcf72393d4616f0c700985ff</x:v>
      </x:c>
    </x:row>
    <x:row r="572" ht="36" customHeight="1">
      <x:c r="A572" s="5" t="str">
        <x:v>R-0168</x:v>
      </x:c>
      <x:c r="B572" s="5" t="str">
        <x:v>WQ</x:v>
      </x:c>
      <x:c r="C572" s="5" t="str">
        <x:v>3</x:v>
      </x:c>
      <x:c r="D572" s="5" t="str">
        <x:v>Recht und Steuern</x:v>
      </x:c>
      <x:c r="E572" s="5" t="str">
        <x:v>Recht</x:v>
      </x:c>
      <x:c r="F572" s="5" t="str">
        <x:v>ui-wq-recht-handel</x:v>
      </x:c>
      <x:c r="G572" s="5" t="str">
        <x:v>Handelsrecht</x:v>
      </x:c>
      <x:c r="H572" s="5" t="str">
        <x:v>tr-wq-r13</x:v>
      </x:c>
      <x:c r="I572" s="5" t="str">
        <x:v>3.1.4.3</x:v>
      </x:c>
      <x:c r="J572" s="5" t="str">
        <x:v>Handelsvertreter, Makler und Absatzpartner</x:v>
      </x:c>
      <x:c r="K572" s="5" t="str"/>
      <x:c r="L572" s="5" t="str">
        <x:v>Handelsrecht</x:v>
      </x:c>
      <x:c r="M572" s="5" t="n">
        <x:v>31</x:v>
      </x:c>
      <x:c r="N572" s="5" t="n">
        <x:v>3</x:v>
      </x:c>
      <x:c r="O572" s="5" t="str"/>
      <x:c r="P572" s="5" t="str">
        <x:v>Pilot freigegeben</x:v>
      </x:c>
      <x:c r="Q572" s="5" t="str">
        <x:v>Revision 2 unverändert übernommen</x:v>
      </x:c>
      <x:c r="R572" s="5" t="str">
        <x:v>Wodurch unterscheiden sich Handelsvertreter und Handelsmakler?</x:v>
      </x:c>
      <x:c r="S572" s="5" t="str">
        <x:v>ebd74f2578664557c7a9cbaf9f836b363d6057dedd0105bae8d5512bb4621b02</x:v>
      </x:c>
    </x:row>
    <x:row r="573" ht="36" customHeight="1">
      <x:c r="A573" s="5" t="str">
        <x:v>R-0169</x:v>
      </x:c>
      <x:c r="B573" s="5" t="str">
        <x:v>WQ</x:v>
      </x:c>
      <x:c r="C573" s="5" t="str">
        <x:v>3</x:v>
      </x:c>
      <x:c r="D573" s="5" t="str">
        <x:v>Recht und Steuern</x:v>
      </x:c>
      <x:c r="E573" s="5" t="str">
        <x:v>Recht</x:v>
      </x:c>
      <x:c r="F573" s="5" t="str">
        <x:v>ui-wq-recht-handel</x:v>
      </x:c>
      <x:c r="G573" s="5" t="str">
        <x:v>Handelsrecht</x:v>
      </x:c>
      <x:c r="H573" s="5" t="str">
        <x:v>tr-wq-r13</x:v>
      </x:c>
      <x:c r="I573" s="5" t="str">
        <x:v>3.1.4.3</x:v>
      </x:c>
      <x:c r="J573" s="5" t="str">
        <x:v>Handelsvertreter, Makler und Absatzpartner</x:v>
      </x:c>
      <x:c r="K573" s="5" t="str"/>
      <x:c r="L573" s="5" t="str">
        <x:v>Handelsrecht</x:v>
      </x:c>
      <x:c r="M573" s="5" t="n">
        <x:v>32</x:v>
      </x:c>
      <x:c r="N573" s="5" t="n">
        <x:v>4</x:v>
      </x:c>
      <x:c r="O573" s="5" t="str"/>
      <x:c r="P573" s="5" t="str">
        <x:v>Pilot freigegeben</x:v>
      </x:c>
      <x:c r="Q573" s="5" t="str">
        <x:v>Revision 2 unverändert übernommen</x:v>
      </x:c>
      <x:c r="R573" s="5" t="str">
        <x:v>Was sind die Tatbestandsvoraussetzungen für einen Ausgleichsanspruch des Han
delsvertreters? </x:v>
      </x:c>
      <x:c r="S573" s="5" t="str">
        <x:v>16b78b7b15788f82d4c54ed9723978eb41d8cb1a245c8a1b47e2ae0ae6126c2a</x:v>
      </x:c>
    </x:row>
    <x:row r="574" ht="36" customHeight="1">
      <x:c r="A574" s="5" t="str">
        <x:v>R-0170</x:v>
      </x:c>
      <x:c r="B574" s="5" t="str">
        <x:v>WQ</x:v>
      </x:c>
      <x:c r="C574" s="5" t="str">
        <x:v>3</x:v>
      </x:c>
      <x:c r="D574" s="5" t="str">
        <x:v>Recht und Steuern</x:v>
      </x:c>
      <x:c r="E574" s="5" t="str">
        <x:v>Recht</x:v>
      </x:c>
      <x:c r="F574" s="5" t="str">
        <x:v>ui-wq-recht-handel</x:v>
      </x:c>
      <x:c r="G574" s="5" t="str">
        <x:v>Handelsrecht</x:v>
      </x:c>
      <x:c r="H574" s="5" t="str">
        <x:v>tr-wq-r13</x:v>
      </x:c>
      <x:c r="I574" s="5" t="str">
        <x:v>3.1.4.3</x:v>
      </x:c>
      <x:c r="J574" s="5" t="str">
        <x:v>Handelsvertreter, Makler und Absatzpartner</x:v>
      </x:c>
      <x:c r="K574" s="5" t="str"/>
      <x:c r="L574" s="5" t="str">
        <x:v>Handelsrecht</x:v>
      </x:c>
      <x:c r="M574" s="5" t="n">
        <x:v>33</x:v>
      </x:c>
      <x:c r="N574" s="5" t="n">
        <x:v>5</x:v>
      </x:c>
      <x:c r="O574" s="5" t="str"/>
      <x:c r="P574" s="5" t="str">
        <x:v>Pilot freigegeben</x:v>
      </x:c>
      <x:c r="Q574" s="5" t="str">
        <x:v>Revision 2 unverändert übernommen</x:v>
      </x:c>
      <x:c r="R574" s="5" t="str">
        <x:v>Was ist ein Vertragshändlervertrag? </x:v>
      </x:c>
      <x:c r="S574" s="5" t="str">
        <x:v>309ef5f7f94a981180d5e7d3aa796c3d496f214c02273a9866c7154f886483d8</x:v>
      </x:c>
    </x:row>
    <x:row r="575" ht="36" customHeight="1">
      <x:c r="A575" s="5" t="str">
        <x:v>R-0171</x:v>
      </x:c>
      <x:c r="B575" s="5" t="str">
        <x:v>WQ</x:v>
      </x:c>
      <x:c r="C575" s="5" t="str">
        <x:v>3</x:v>
      </x:c>
      <x:c r="D575" s="5" t="str">
        <x:v>Recht und Steuern</x:v>
      </x:c>
      <x:c r="E575" s="5" t="str">
        <x:v>Recht</x:v>
      </x:c>
      <x:c r="F575" s="5" t="str">
        <x:v>ui-wq-recht-at</x:v>
      </x:c>
      <x:c r="G575" s="5" t="str">
        <x:v>BGB Allgemeiner Teil</x:v>
      </x:c>
      <x:c r="H575" s="5" t="str">
        <x:v>tr-wq-r01</x:v>
      </x:c>
      <x:c r="I575" s="5" t="str">
        <x:v>3.1.1</x:v>
      </x:c>
      <x:c r="J575" s="5" t="str">
        <x:v>BGB: Personen, Rechtsgeschäfte und Vertretung</x:v>
      </x:c>
      <x:c r="K575" s="5" t="str"/>
      <x:c r="L575" s="5" t="str">
        <x:v>BGB Allgemeiner Teil</x:v>
      </x:c>
      <x:c r="M575" s="5" t="n">
        <x:v>52</x:v>
      </x:c>
      <x:c r="N575" s="5" t="n">
        <x:v>52</x:v>
      </x:c>
      <x:c r="O575" s="5" t="str"/>
      <x:c r="P575" s="5" t="str">
        <x:v>Pilot freigegeben</x:v>
      </x:c>
      <x:c r="Q575" s="5" t="str">
        <x:v>Revision 2 unverändert übernommen</x:v>
      </x:c>
      <x:c r="R575" s="5" t="str">
        <x:v>Das BGB ist in insgesamt fünf Bücher aufgeteilt. Nennen Sie die fünf Bücher des BGB.</x:v>
      </x:c>
      <x:c r="S575" s="5" t="str">
        <x:v>6ac157fec0291228470c67187267e66030b59898210b133aeae1f653692fa7bb</x:v>
      </x:c>
    </x:row>
    <x:row r="576" ht="36" customHeight="1">
      <x:c r="A576" s="5" t="str">
        <x:v>R-0172</x:v>
      </x:c>
      <x:c r="B576" s="5" t="str">
        <x:v>WQ</x:v>
      </x:c>
      <x:c r="C576" s="5" t="str">
        <x:v>3</x:v>
      </x:c>
      <x:c r="D576" s="5" t="str">
        <x:v>Recht und Steuern</x:v>
      </x:c>
      <x:c r="E576" s="5" t="str">
        <x:v>Recht</x:v>
      </x:c>
      <x:c r="F576" s="5" t="str">
        <x:v>ui-wq-recht-at</x:v>
      </x:c>
      <x:c r="G576" s="5" t="str">
        <x:v>BGB Allgemeiner Teil</x:v>
      </x:c>
      <x:c r="H576" s="5" t="str">
        <x:v>tr-wq-r01</x:v>
      </x:c>
      <x:c r="I576" s="5" t="str">
        <x:v>3.1.1</x:v>
      </x:c>
      <x:c r="J576" s="5" t="str">
        <x:v>BGB: Personen, Rechtsgeschäfte und Vertretung</x:v>
      </x:c>
      <x:c r="K576" s="5" t="str"/>
      <x:c r="L576" s="5" t="str">
        <x:v>BGB Allgemeiner Teil</x:v>
      </x:c>
      <x:c r="M576" s="5" t="n">
        <x:v>53</x:v>
      </x:c>
      <x:c r="N576" s="5" t="n">
        <x:v>53</x:v>
      </x:c>
      <x:c r="O576" s="5" t="str"/>
      <x:c r="P576" s="5" t="str">
        <x:v>Pilot freigegeben</x:v>
      </x:c>
      <x:c r="Q576" s="5" t="str">
        <x:v>Revision 2 unverändert übernommen</x:v>
      </x:c>
      <x:c r="R576" s="5" t="str">
        <x:v>Welche Paragraphen umfasst das 1. Buch des BGB und wie heißt dieses Buch?</x:v>
      </x:c>
      <x:c r="S576" s="5" t="str">
        <x:v>ae50cca26ce33c45191ca8b97313fdd3f3214be136c06a81701d46c5873e7f10</x:v>
      </x:c>
    </x:row>
    <x:row r="577" ht="36" customHeight="1">
      <x:c r="A577" s="5" t="str">
        <x:v>R-0173</x:v>
      </x:c>
      <x:c r="B577" s="5" t="str">
        <x:v>WQ</x:v>
      </x:c>
      <x:c r="C577" s="5" t="str">
        <x:v>3</x:v>
      </x:c>
      <x:c r="D577" s="5" t="str">
        <x:v>Recht und Steuern</x:v>
      </x:c>
      <x:c r="E577" s="5" t="str">
        <x:v>Recht</x:v>
      </x:c>
      <x:c r="F577" s="5" t="str">
        <x:v>ui-wq-recht-at</x:v>
      </x:c>
      <x:c r="G577" s="5" t="str">
        <x:v>BGB Allgemeiner Teil</x:v>
      </x:c>
      <x:c r="H577" s="5" t="str">
        <x:v>tr-wq-r01</x:v>
      </x:c>
      <x:c r="I577" s="5" t="str">
        <x:v>3.1.1</x:v>
      </x:c>
      <x:c r="J577" s="5" t="str">
        <x:v>BGB: Personen, Rechtsgeschäfte und Vertretung</x:v>
      </x:c>
      <x:c r="K577" s="5" t="str"/>
      <x:c r="L577" s="5" t="str">
        <x:v>BGB Allgemeiner Teil</x:v>
      </x:c>
      <x:c r="M577" s="5" t="n">
        <x:v>54</x:v>
      </x:c>
      <x:c r="N577" s="5" t="n">
        <x:v>54</x:v>
      </x:c>
      <x:c r="O577" s="5" t="str"/>
      <x:c r="P577" s="5" t="str">
        <x:v>Pilot freigegeben</x:v>
      </x:c>
      <x:c r="Q577" s="5" t="str">
        <x:v>Revision 2 unverändert übernommen</x:v>
      </x:c>
      <x:c r="R577" s="5" t="str">
        <x:v>Warum teilt das BGB seine Regelungsbereiche in verschiedene Bücher ein?</x:v>
      </x:c>
      <x:c r="S577" s="5" t="str">
        <x:v>7d729b3caa32d1647f7e8a0562ae4d7a8452c4da02dff50f899b6c9bb3464924</x:v>
      </x:c>
    </x:row>
    <x:row r="578" ht="36" customHeight="1">
      <x:c r="A578" s="5" t="str">
        <x:v>R-0174</x:v>
      </x:c>
      <x:c r="B578" s="5" t="str">
        <x:v>WQ</x:v>
      </x:c>
      <x:c r="C578" s="5" t="str">
        <x:v>3</x:v>
      </x:c>
      <x:c r="D578" s="5" t="str">
        <x:v>Recht und Steuern</x:v>
      </x:c>
      <x:c r="E578" s="5" t="str">
        <x:v>Recht</x:v>
      </x:c>
      <x:c r="F578" s="5" t="str">
        <x:v>ui-wq-recht-at</x:v>
      </x:c>
      <x:c r="G578" s="5" t="str">
        <x:v>BGB Allgemeiner Teil</x:v>
      </x:c>
      <x:c r="H578" s="5" t="str">
        <x:v>tr-wq-r01</x:v>
      </x:c>
      <x:c r="I578" s="5" t="str">
        <x:v>3.1.1</x:v>
      </x:c>
      <x:c r="J578" s="5" t="str">
        <x:v>BGB: Personen, Rechtsgeschäfte und Vertretung</x:v>
      </x:c>
      <x:c r="K578" s="5" t="str"/>
      <x:c r="L578" s="5" t="str">
        <x:v>BGB Allgemeiner Teil</x:v>
      </x:c>
      <x:c r="M578" s="5" t="n">
        <x:v>55</x:v>
      </x:c>
      <x:c r="N578" s="5" t="n">
        <x:v>55</x:v>
      </x:c>
      <x:c r="O578" s="5" t="str"/>
      <x:c r="P578" s="5" t="str">
        <x:v>Pilot freigegeben</x:v>
      </x:c>
      <x:c r="Q578" s="5" t="str">
        <x:v>Revision 2 unverändert übernommen</x:v>
      </x:c>
      <x:c r="R578" s="5" t="str">
        <x:v>Für die Rechtsabteilung von Circle Harbor: Das BGB unterscheidet zwischen natürlichen und juristischen Personen. Kreuzen Sie die juristischen Personen aus folgender Auflistung an: GmbH, Richter, Stadt Bonn, GmbH &amp; Co. KG, OHG, ARD, ZDF, AG.</x:v>
      </x:c>
      <x:c r="S578" s="5" t="str">
        <x:v>0994f64e2935301b386c2664b99241d803342c993edab2bbd7df2dcbbac53d99</x:v>
      </x:c>
    </x:row>
    <x:row r="579" ht="36" customHeight="1">
      <x:c r="A579" s="5" t="str">
        <x:v>R-0175</x:v>
      </x:c>
      <x:c r="B579" s="5" t="str">
        <x:v>WQ</x:v>
      </x:c>
      <x:c r="C579" s="5" t="str">
        <x:v>3</x:v>
      </x:c>
      <x:c r="D579" s="5" t="str">
        <x:v>Recht und Steuern</x:v>
      </x:c>
      <x:c r="E579" s="5" t="str">
        <x:v>Recht</x:v>
      </x:c>
      <x:c r="F579" s="5" t="str">
        <x:v>ui-wq-recht-at</x:v>
      </x:c>
      <x:c r="G579" s="5" t="str">
        <x:v>BGB Allgemeiner Teil</x:v>
      </x:c>
      <x:c r="H579" s="5" t="str">
        <x:v>tr-wq-r01</x:v>
      </x:c>
      <x:c r="I579" s="5" t="str">
        <x:v>3.1.1</x:v>
      </x:c>
      <x:c r="J579" s="5" t="str">
        <x:v>BGB: Personen, Rechtsgeschäfte und Vertretung</x:v>
      </x:c>
      <x:c r="K579" s="5" t="str"/>
      <x:c r="L579" s="5" t="str">
        <x:v>BGB Allgemeiner Teil</x:v>
      </x:c>
      <x:c r="M579" s="5" t="n">
        <x:v>56</x:v>
      </x:c>
      <x:c r="N579" s="5" t="n">
        <x:v>56</x:v>
      </x:c>
      <x:c r="O579" s="5" t="str"/>
      <x:c r="P579" s="5" t="str">
        <x:v>Pilot freigegeben</x:v>
      </x:c>
      <x:c r="Q579" s="5" t="str">
        <x:v>Revision 2 unverändert übernommen</x:v>
      </x:c>
      <x:c r="R579" s="5" t="str">
        <x:v>Ordnen Sie die Bestandteile des Rechtssubjekts richtig zu. Welche Untergliederungen gibt es bei Sachen und Rechten?</x:v>
      </x:c>
      <x:c r="S579" s="5" t="str">
        <x:v>b7545cb693c45a010034de82fc80c5b0a13230445ca547cd496340940e28ab06</x:v>
      </x:c>
    </x:row>
    <x:row r="580" ht="36" customHeight="1">
      <x:c r="A580" s="5" t="str">
        <x:v>R-0176</x:v>
      </x:c>
      <x:c r="B580" s="5" t="str">
        <x:v>WQ</x:v>
      </x:c>
      <x:c r="C580" s="5" t="str">
        <x:v>3</x:v>
      </x:c>
      <x:c r="D580" s="5" t="str">
        <x:v>Recht und Steuern</x:v>
      </x:c>
      <x:c r="E580" s="5" t="str">
        <x:v>Recht</x:v>
      </x:c>
      <x:c r="F580" s="5" t="str">
        <x:v>ui-wq-recht-at</x:v>
      </x:c>
      <x:c r="G580" s="5" t="str">
        <x:v>BGB Allgemeiner Teil</x:v>
      </x:c>
      <x:c r="H580" s="5" t="str">
        <x:v>tr-wq-r01</x:v>
      </x:c>
      <x:c r="I580" s="5" t="str">
        <x:v>3.1.1</x:v>
      </x:c>
      <x:c r="J580" s="5" t="str">
        <x:v>BGB: Personen, Rechtsgeschäfte und Vertretung</x:v>
      </x:c>
      <x:c r="K580" s="5" t="str"/>
      <x:c r="L580" s="5" t="str">
        <x:v>BGB Allgemeiner Teil</x:v>
      </x:c>
      <x:c r="M580" s="5" t="n">
        <x:v>57</x:v>
      </x:c>
      <x:c r="N580" s="5" t="n">
        <x:v>57</x:v>
      </x:c>
      <x:c r="O580" s="5" t="str"/>
      <x:c r="P580" s="5" t="str">
        <x:v>Pilot freigegeben</x:v>
      </x:c>
      <x:c r="Q580" s="5" t="str">
        <x:v>Revision 2 unverändert übernommen</x:v>
      </x:c>
      <x:c r="R580" s="5" t="str">
        <x:v>Ergänzen Sie den Lückentext: Rechtsfähigkeit ist die Fähigkeit, Träger von ________ und ________ zu sein. Sie beginnt mit der ________ der Geburt und endet mit dem ________. Rechtsfähig können nur natürliche und ________ Personen sein. Die Geschäftsfähigkeit bedeutet die Fähigkeit, ________ Rechtsgeschäfte vornehmen zu können. Ein Kleinkind ist zwar ________, es kann aber vor seinem siebten Geburtstag noch keinen wirksamen Vertrag schließen, weil ihm die ________ fehlt.</x:v>
      </x:c>
      <x:c r="S580" s="5" t="str">
        <x:v>b889d8c931767bd5a0a1cc121833bcd8dd10ed5f5be46a11f1415278da01870e</x:v>
      </x:c>
    </x:row>
    <x:row r="581" ht="36" customHeight="1">
      <x:c r="A581" s="5" t="str">
        <x:v>R-0177</x:v>
      </x:c>
      <x:c r="B581" s="5" t="str">
        <x:v>WQ</x:v>
      </x:c>
      <x:c r="C581" s="5" t="str">
        <x:v>3</x:v>
      </x:c>
      <x:c r="D581" s="5" t="str">
        <x:v>Recht und Steuern</x:v>
      </x:c>
      <x:c r="E581" s="5" t="str">
        <x:v>Recht</x:v>
      </x:c>
      <x:c r="F581" s="5" t="str">
        <x:v>ui-wq-recht-at</x:v>
      </x:c>
      <x:c r="G581" s="5" t="str">
        <x:v>BGB Allgemeiner Teil</x:v>
      </x:c>
      <x:c r="H581" s="5" t="str">
        <x:v>tr-wq-r01</x:v>
      </x:c>
      <x:c r="I581" s="5" t="str">
        <x:v>3.1.1</x:v>
      </x:c>
      <x:c r="J581" s="5" t="str">
        <x:v>BGB: Personen, Rechtsgeschäfte und Vertretung</x:v>
      </x:c>
      <x:c r="K581" s="5" t="str"/>
      <x:c r="L581" s="5" t="str">
        <x:v>BGB Allgemeiner Teil</x:v>
      </x:c>
      <x:c r="M581" s="5" t="n">
        <x:v>58</x:v>
      </x:c>
      <x:c r="N581" s="5" t="n">
        <x:v>58</x:v>
      </x:c>
      <x:c r="O581" s="5" t="str"/>
      <x:c r="P581" s="5" t="str">
        <x:v>Pilot freigegeben</x:v>
      </x:c>
      <x:c r="Q581" s="5" t="str">
        <x:v>Revision 2 unverändert übernommen</x:v>
      </x:c>
      <x:c r="R581" s="5" t="str">
        <x:v>Die zehnjährige F möchte einen Fußball kaufen. Verkäuferin V bietet ihr einen Fußball für 30 € an, der eigentlich 50 € kostet. F nimmt das Angebot an und nimmt den Ball mit, um anschließend das Geld zu holen. Die Eltern haben vorher nicht eingewilligt. Durfte F den Kaufvertrag wirksam schließen? Kreuzen Sie die zwei richtigen Antworten an.</x:v>
      </x:c>
      <x:c r="S581" s="5" t="str">
        <x:v>17f150cbcd722892cc94977b36ce0d6259f9aef6e24444b55b0d677f0d1073c0</x:v>
      </x:c>
    </x:row>
    <x:row r="582" ht="36" customHeight="1">
      <x:c r="A582" s="5" t="str">
        <x:v>R-0178</x:v>
      </x:c>
      <x:c r="B582" s="5" t="str">
        <x:v>WQ</x:v>
      </x:c>
      <x:c r="C582" s="5" t="str">
        <x:v>3</x:v>
      </x:c>
      <x:c r="D582" s="5" t="str">
        <x:v>Recht und Steuern</x:v>
      </x:c>
      <x:c r="E582" s="5" t="str">
        <x:v>Recht</x:v>
      </x:c>
      <x:c r="F582" s="5" t="str">
        <x:v>ui-wq-recht-at</x:v>
      </x:c>
      <x:c r="G582" s="5" t="str">
        <x:v>BGB Allgemeiner Teil</x:v>
      </x:c>
      <x:c r="H582" s="5" t="str">
        <x:v>tr-wq-r01</x:v>
      </x:c>
      <x:c r="I582" s="5" t="str">
        <x:v>3.1.1</x:v>
      </x:c>
      <x:c r="J582" s="5" t="str">
        <x:v>BGB: Personen, Rechtsgeschäfte und Vertretung</x:v>
      </x:c>
      <x:c r="K582" s="5" t="str"/>
      <x:c r="L582" s="5" t="str">
        <x:v>BGB Allgemeiner Teil</x:v>
      </x:c>
      <x:c r="M582" s="5" t="n">
        <x:v>59</x:v>
      </x:c>
      <x:c r="N582" s="5" t="n">
        <x:v>59</x:v>
      </x:c>
      <x:c r="O582" s="5" t="str"/>
      <x:c r="P582" s="5" t="str">
        <x:v>Pilot freigegeben</x:v>
      </x:c>
      <x:c r="Q582" s="5" t="str">
        <x:v>Revision 2 unverändert übernommen</x:v>
      </x:c>
      <x:c r="R582" s="5" t="str">
        <x:v>Die zehnjährige F hat ohne vorherige Einwilligung ihrer Eltern einen Kaufvertrag über einen Fußball für 30 € geschlossen und den Kaufpreis noch nicht bezahlt. Welche Möglichkeiten haben die Eltern, auf diesen Vertrag zu reagieren?</x:v>
      </x:c>
      <x:c r="S582" s="5" t="str">
        <x:v>2445586bbc04a40207382edabd33a7f89b4ed33e622e08c6101c5abee98ca8bb</x:v>
      </x:c>
    </x:row>
    <x:row r="583" ht="36" customHeight="1">
      <x:c r="A583" s="5" t="str">
        <x:v>R-0179</x:v>
      </x:c>
      <x:c r="B583" s="5" t="str">
        <x:v>WQ</x:v>
      </x:c>
      <x:c r="C583" s="5" t="str">
        <x:v>3</x:v>
      </x:c>
      <x:c r="D583" s="5" t="str">
        <x:v>Recht und Steuern</x:v>
      </x:c>
      <x:c r="E583" s="5" t="str">
        <x:v>Recht</x:v>
      </x:c>
      <x:c r="F583" s="5" t="str">
        <x:v>ui-wq-recht-at</x:v>
      </x:c>
      <x:c r="G583" s="5" t="str">
        <x:v>BGB Allgemeiner Teil</x:v>
      </x:c>
      <x:c r="H583" s="5" t="str">
        <x:v>tr-wq-r01</x:v>
      </x:c>
      <x:c r="I583" s="5" t="str">
        <x:v>3.1.1</x:v>
      </x:c>
      <x:c r="J583" s="5" t="str">
        <x:v>BGB: Personen, Rechtsgeschäfte und Vertretung</x:v>
      </x:c>
      <x:c r="K583" s="5" t="str"/>
      <x:c r="L583" s="5" t="str">
        <x:v>BGB Allgemeiner Teil</x:v>
      </x:c>
      <x:c r="M583" s="5" t="n">
        <x:v>60</x:v>
      </x:c>
      <x:c r="N583" s="5" t="n">
        <x:v>60</x:v>
      </x:c>
      <x:c r="O583" s="5" t="str"/>
      <x:c r="P583" s="5" t="str">
        <x:v>Pilot freigegeben</x:v>
      </x:c>
      <x:c r="Q583" s="5" t="str">
        <x:v>Revision 2 unverändert übernommen</x:v>
      </x:c>
      <x:c r="R583" s="5" t="str">
        <x:v>Händler H bietet dem 15-jährigen M eine neue Spielekonsole für 499 € an. M schließt den Kaufvertrag ohne Zustimmung seiner Eltern ab. Die Eltern werden anschließend zur Genehmigung aufgefordert, reagieren aber innerhalb von zwei Wochen nicht. Ist der Kaufvertrag wirksam? Begründen Sie Ihre Antwort.</x:v>
      </x:c>
      <x:c r="S583" s="5" t="str">
        <x:v>552148737dfc0a13a7cad2d673d9e4c2d806b2594c598b21bc96c32c002ec10f</x:v>
      </x:c>
    </x:row>
    <x:row r="584" ht="36" customHeight="1">
      <x:c r="A584" s="5" t="str">
        <x:v>R-0180</x:v>
      </x:c>
      <x:c r="B584" s="5" t="str">
        <x:v>WQ</x:v>
      </x:c>
      <x:c r="C584" s="5" t="str">
        <x:v>3</x:v>
      </x:c>
      <x:c r="D584" s="5" t="str">
        <x:v>Recht und Steuern</x:v>
      </x:c>
      <x:c r="E584" s="5" t="str">
        <x:v>Recht</x:v>
      </x:c>
      <x:c r="F584" s="5" t="str">
        <x:v>ui-wq-recht-at</x:v>
      </x:c>
      <x:c r="G584" s="5" t="str">
        <x:v>BGB Allgemeiner Teil</x:v>
      </x:c>
      <x:c r="H584" s="5" t="str">
        <x:v>tr-wq-r01</x:v>
      </x:c>
      <x:c r="I584" s="5" t="str">
        <x:v>3.1.1</x:v>
      </x:c>
      <x:c r="J584" s="5" t="str">
        <x:v>BGB: Personen, Rechtsgeschäfte und Vertretung</x:v>
      </x:c>
      <x:c r="K584" s="5" t="str"/>
      <x:c r="L584" s="5" t="str">
        <x:v>BGB Allgemeiner Teil</x:v>
      </x:c>
      <x:c r="M584" s="5" t="n">
        <x:v>61</x:v>
      </x:c>
      <x:c r="N584" s="5" t="n">
        <x:v>61</x:v>
      </x:c>
      <x:c r="O584" s="5" t="str"/>
      <x:c r="P584" s="5" t="str">
        <x:v>Pilot freigegeben</x:v>
      </x:c>
      <x:c r="Q584" s="5" t="str">
        <x:v>Revision 2 unverändert übernommen</x:v>
      </x:c>
      <x:c r="R584" s="5" t="str">
        <x:v>Die 16-jährige K möchte beim Juwelier J eine Uhr für 250 € kaufen. Sie zahlt zunächst 150 € und möchte die restlichen 100 € in vier Monatsraten begleichen. Die Eltern verweigern später die Genehmigung des Kaufvertrages. Besteht zwischen K und J ein wirksamer Kaufvertrag? Begründen Sie Ihre Antwort.</x:v>
      </x:c>
      <x:c r="S584" s="5" t="str">
        <x:v>ae06e6258659ccb193caab77cafcc4e820faa79489027278f1d9ece9d818c380</x:v>
      </x:c>
    </x:row>
    <x:row r="585" ht="36" customHeight="1">
      <x:c r="A585" s="5" t="str">
        <x:v>R-0181</x:v>
      </x:c>
      <x:c r="B585" s="5" t="str">
        <x:v>WQ</x:v>
      </x:c>
      <x:c r="C585" s="5" t="str">
        <x:v>3</x:v>
      </x:c>
      <x:c r="D585" s="5" t="str">
        <x:v>Recht und Steuern</x:v>
      </x:c>
      <x:c r="E585" s="5" t="str">
        <x:v>Recht</x:v>
      </x:c>
      <x:c r="F585" s="5" t="str">
        <x:v>ui-wq-recht-at</x:v>
      </x:c>
      <x:c r="G585" s="5" t="str">
        <x:v>BGB Allgemeiner Teil</x:v>
      </x:c>
      <x:c r="H585" s="5" t="str">
        <x:v>tr-wq-r01</x:v>
      </x:c>
      <x:c r="I585" s="5" t="str">
        <x:v>3.1.1</x:v>
      </x:c>
      <x:c r="J585" s="5" t="str">
        <x:v>BGB: Personen, Rechtsgeschäfte und Vertretung</x:v>
      </x:c>
      <x:c r="K585" s="5" t="str"/>
      <x:c r="L585" s="5" t="str">
        <x:v>BGB Allgemeiner Teil</x:v>
      </x:c>
      <x:c r="M585" s="5" t="n">
        <x:v>62</x:v>
      </x:c>
      <x:c r="N585" s="5" t="n">
        <x:v>62</x:v>
      </x:c>
      <x:c r="O585" s="5" t="str"/>
      <x:c r="P585" s="5" t="str">
        <x:v>Pilot freigegeben</x:v>
      </x:c>
      <x:c r="Q585" s="5" t="str">
        <x:v>Revision 2 unverändert übernommen</x:v>
      </x:c>
      <x:c r="R585" s="5" t="str">
        <x:v>Ergänzen Sie den Lückentext: Unter Willenserklärung versteht man die __________ des Willens, eine __________ Rechtsfolge herbeizuführen.</x:v>
      </x:c>
      <x:c r="S585" s="5" t="str">
        <x:v>71ee20ca06c9d8cd92dbf1eb16bf7f11914a102332852676e6607a2f6d14018c</x:v>
      </x:c>
    </x:row>
    <x:row r="586" ht="36" customHeight="1">
      <x:c r="A586" s="5" t="str">
        <x:v>R-0182</x:v>
      </x:c>
      <x:c r="B586" s="5" t="str">
        <x:v>WQ</x:v>
      </x:c>
      <x:c r="C586" s="5" t="str">
        <x:v>3</x:v>
      </x:c>
      <x:c r="D586" s="5" t="str">
        <x:v>Recht und Steuern</x:v>
      </x:c>
      <x:c r="E586" s="5" t="str">
        <x:v>Recht</x:v>
      </x:c>
      <x:c r="F586" s="5" t="str">
        <x:v>ui-wq-recht-at</x:v>
      </x:c>
      <x:c r="G586" s="5" t="str">
        <x:v>BGB Allgemeiner Teil</x:v>
      </x:c>
      <x:c r="H586" s="5" t="str">
        <x:v>tr-wq-r01</x:v>
      </x:c>
      <x:c r="I586" s="5" t="str">
        <x:v>3.1.1</x:v>
      </x:c>
      <x:c r="J586" s="5" t="str">
        <x:v>BGB: Personen, Rechtsgeschäfte und Vertretung</x:v>
      </x:c>
      <x:c r="K586" s="5" t="str"/>
      <x:c r="L586" s="5" t="str">
        <x:v>BGB Allgemeiner Teil</x:v>
      </x:c>
      <x:c r="M586" s="5" t="n">
        <x:v>63</x:v>
      </x:c>
      <x:c r="N586" s="5" t="n">
        <x:v>63</x:v>
      </x:c>
      <x:c r="O586" s="5" t="str"/>
      <x:c r="P586" s="5" t="str">
        <x:v>Pilot freigegeben</x:v>
      </x:c>
      <x:c r="Q586" s="5" t="str">
        <x:v>Revision 2 unverändert übernommen</x:v>
      </x:c>
      <x:c r="R586" s="5" t="str">
        <x:v>Nach der Anzahl der erforderlichen Willenserklärungen lassen sich Rechtsgeschäfte einteilen. Nennen Sie die drei Arten von Rechtsgeschäften und jeweils typische Beispiele.</x:v>
      </x:c>
      <x:c r="S586" s="5" t="str">
        <x:v>faae52cdfc642ec8e2595f7008992c8fb9f2c4e193d1e7b52869a9d3e4056034</x:v>
      </x:c>
    </x:row>
    <x:row r="587" ht="36" customHeight="1">
      <x:c r="A587" s="5" t="str">
        <x:v>R-0183</x:v>
      </x:c>
      <x:c r="B587" s="5" t="str">
        <x:v>WQ</x:v>
      </x:c>
      <x:c r="C587" s="5" t="str">
        <x:v>3</x:v>
      </x:c>
      <x:c r="D587" s="5" t="str">
        <x:v>Recht und Steuern</x:v>
      </x:c>
      <x:c r="E587" s="5" t="str">
        <x:v>Recht</x:v>
      </x:c>
      <x:c r="F587" s="5" t="str">
        <x:v>ui-wq-recht-at</x:v>
      </x:c>
      <x:c r="G587" s="5" t="str">
        <x:v>BGB Allgemeiner Teil</x:v>
      </x:c>
      <x:c r="H587" s="5" t="str">
        <x:v>tr-wq-r01</x:v>
      </x:c>
      <x:c r="I587" s="5" t="str">
        <x:v>3.1.1</x:v>
      </x:c>
      <x:c r="J587" s="5" t="str">
        <x:v>BGB: Personen, Rechtsgeschäfte und Vertretung</x:v>
      </x:c>
      <x:c r="K587" s="5" t="str"/>
      <x:c r="L587" s="5" t="str">
        <x:v>BGB Allgemeiner Teil</x:v>
      </x:c>
      <x:c r="M587" s="5" t="n">
        <x:v>64</x:v>
      </x:c>
      <x:c r="N587" s="5" t="n">
        <x:v>64</x:v>
      </x:c>
      <x:c r="O587" s="5" t="str"/>
      <x:c r="P587" s="5" t="str">
        <x:v>Pilot freigegeben</x:v>
      </x:c>
      <x:c r="Q587" s="5" t="str">
        <x:v>Revision 2 unverändert übernommen</x:v>
      </x:c>
      <x:c r="R587" s="5" t="str">
        <x:v>Nennen Sie mindestens zwei Beispiele für empfangsbedürftige Willenserklärungen.</x:v>
      </x:c>
      <x:c r="S587" s="5" t="str">
        <x:v>6b774543fdc9a735d297035afa71b250473d98ac224f860955b2c9fcf2e30003</x:v>
      </x:c>
    </x:row>
    <x:row r="588" ht="36" customHeight="1">
      <x:c r="A588" s="5" t="str">
        <x:v>R-0184</x:v>
      </x:c>
      <x:c r="B588" s="5" t="str">
        <x:v>WQ</x:v>
      </x:c>
      <x:c r="C588" s="5" t="str">
        <x:v>3</x:v>
      </x:c>
      <x:c r="D588" s="5" t="str">
        <x:v>Recht und Steuern</x:v>
      </x:c>
      <x:c r="E588" s="5" t="str">
        <x:v>Recht</x:v>
      </x:c>
      <x:c r="F588" s="5" t="str">
        <x:v>ui-wq-recht-at</x:v>
      </x:c>
      <x:c r="G588" s="5" t="str">
        <x:v>BGB Allgemeiner Teil</x:v>
      </x:c>
      <x:c r="H588" s="5" t="str">
        <x:v>tr-wq-r01</x:v>
      </x:c>
      <x:c r="I588" s="5" t="str">
        <x:v>3.1.1</x:v>
      </x:c>
      <x:c r="J588" s="5" t="str">
        <x:v>BGB: Personen, Rechtsgeschäfte und Vertretung</x:v>
      </x:c>
      <x:c r="K588" s="5" t="str"/>
      <x:c r="L588" s="5" t="str">
        <x:v>BGB Allgemeiner Teil</x:v>
      </x:c>
      <x:c r="M588" s="5" t="n">
        <x:v>65</x:v>
      </x:c>
      <x:c r="N588" s="5" t="n">
        <x:v>65</x:v>
      </x:c>
      <x:c r="O588" s="5" t="str"/>
      <x:c r="P588" s="5" t="str">
        <x:v>Pilot freigegeben</x:v>
      </x:c>
      <x:c r="Q588" s="5" t="str">
        <x:v>Revision 2 unverändert übernommen</x:v>
      </x:c>
      <x:c r="R588" s="5" t="str">
        <x:v>Was bedeutet Zugang einer Willenserklärung und wer muss den Zugang beweisen?</x:v>
      </x:c>
      <x:c r="S588" s="5" t="str">
        <x:v>6d66b2886d95f3b62cf487d9c41b1bacbd569302cede330e7ac399051ddefd44</x:v>
      </x:c>
    </x:row>
    <x:row r="589" ht="36" customHeight="1">
      <x:c r="A589" s="5" t="str">
        <x:v>R-0185</x:v>
      </x:c>
      <x:c r="B589" s="5" t="str">
        <x:v>WQ</x:v>
      </x:c>
      <x:c r="C589" s="5" t="str">
        <x:v>3</x:v>
      </x:c>
      <x:c r="D589" s="5" t="str">
        <x:v>Recht und Steuern</x:v>
      </x:c>
      <x:c r="E589" s="5" t="str">
        <x:v>Recht</x:v>
      </x:c>
      <x:c r="F589" s="5" t="str">
        <x:v>ui-wq-recht-at</x:v>
      </x:c>
      <x:c r="G589" s="5" t="str">
        <x:v>BGB Allgemeiner Teil</x:v>
      </x:c>
      <x:c r="H589" s="5" t="str">
        <x:v>tr-wq-r01</x:v>
      </x:c>
      <x:c r="I589" s="5" t="str">
        <x:v>3.1.1</x:v>
      </x:c>
      <x:c r="J589" s="5" t="str">
        <x:v>BGB: Personen, Rechtsgeschäfte und Vertretung</x:v>
      </x:c>
      <x:c r="K589" s="5" t="str"/>
      <x:c r="L589" s="5" t="str">
        <x:v>BGB Allgemeiner Teil</x:v>
      </x:c>
      <x:c r="M589" s="5" t="n">
        <x:v>66</x:v>
      </x:c>
      <x:c r="N589" s="5" t="n">
        <x:v>66</x:v>
      </x:c>
      <x:c r="O589" s="5" t="str"/>
      <x:c r="P589" s="5" t="str">
        <x:v>Pilot freigegeben</x:v>
      </x:c>
      <x:c r="Q589" s="5" t="str">
        <x:v>Revision 2 unverändert übernommen</x:v>
      </x:c>
      <x:c r="R589" s="5" t="str">
        <x:v>Beurteilen Sie die folgenden Fälle zum Zugang einer Kündigung: 1. Das Kündigungsschreiben wurde zur Post gegeben. 2. Das Kündigungsschreiben wurde zur üblichen Postzustellzeit in den Briefkasten des Empfängers eingeworfen. 3. Das Kündigungsschreiben wurde einer Reinigungskraft übergeben. 4. Das Einschreiben wurde dem Pförtner übergeben und von diesem weitergeleitet. 5. Das Kündigungsschreiben wurde per Fax versandt und vollständig empfangen.</x:v>
      </x:c>
      <x:c r="S589" s="5" t="str">
        <x:v>7231c3ac9d6cc4cdaa26c56dc3c61fd46849cf49e98c95c3314872a909116ed4</x:v>
      </x:c>
    </x:row>
    <x:row r="590" ht="36" customHeight="1">
      <x:c r="A590" s="5" t="str">
        <x:v>R-0186</x:v>
      </x:c>
      <x:c r="B590" s="5" t="str">
        <x:v>WQ</x:v>
      </x:c>
      <x:c r="C590" s="5" t="str">
        <x:v>3</x:v>
      </x:c>
      <x:c r="D590" s="5" t="str">
        <x:v>Recht und Steuern</x:v>
      </x:c>
      <x:c r="E590" s="5" t="str">
        <x:v>Recht</x:v>
      </x:c>
      <x:c r="F590" s="5" t="str">
        <x:v>ui-wq-recht-schuld</x:v>
      </x:c>
      <x:c r="G590" s="5" t="str">
        <x:v>BGB Schuldrecht</x:v>
      </x:c>
      <x:c r="H590" s="5" t="str">
        <x:v>tr-wq-r02</x:v>
      </x:c>
      <x:c r="I590" s="5" t="str">
        <x:v>3.1.2.1</x:v>
      </x:c>
      <x:c r="J590" s="5" t="str">
        <x:v>Schuldverhältnisse, AGB, Fristen und Gerichte</x:v>
      </x:c>
      <x:c r="K590" s="5" t="str"/>
      <x:c r="L590" s="5" t="str">
        <x:v>Schuldrecht: Grundlagen, AGB, Verjährung, Gerichte &amp; Produkthaftung</x:v>
      </x:c>
      <x:c r="M590" s="5" t="n">
        <x:v>56</x:v>
      </x:c>
      <x:c r="N590" s="5" t="n">
        <x:v>4</x:v>
      </x:c>
      <x:c r="O590" s="5" t="str"/>
      <x:c r="P590" s="5" t="str">
        <x:v>Pilot freigegeben</x:v>
      </x:c>
      <x:c r="Q590" s="5" t="str">
        <x:v>Revision 2 unverändert übernommen</x:v>
      </x:c>
      <x:c r="R590" s="5" t="str">
        <x:v>Man unterscheidet zwei Arten von Schuldverhältnissen. Welche sind das und wodurch unterscheiden sie sich?</x:v>
      </x:c>
      <x:c r="S590" s="5" t="str">
        <x:v>20a4da7ec50d7df85cf708dd6916a930da1be8c390613596e2717854ffa95f3a</x:v>
      </x:c>
    </x:row>
    <x:row r="591" ht="36" customHeight="1">
      <x:c r="A591" s="5" t="str">
        <x:v>R-0187</x:v>
      </x:c>
      <x:c r="B591" s="5" t="str">
        <x:v>WQ</x:v>
      </x:c>
      <x:c r="C591" s="5" t="str">
        <x:v>3</x:v>
      </x:c>
      <x:c r="D591" s="5" t="str">
        <x:v>Recht und Steuern</x:v>
      </x:c>
      <x:c r="E591" s="5" t="str">
        <x:v>Recht</x:v>
      </x:c>
      <x:c r="F591" s="5" t="str">
        <x:v>ui-wq-recht-schuld</x:v>
      </x:c>
      <x:c r="G591" s="5" t="str">
        <x:v>BGB Schuldrecht</x:v>
      </x:c>
      <x:c r="H591" s="5" t="str">
        <x:v>tr-wq-r02</x:v>
      </x:c>
      <x:c r="I591" s="5" t="str">
        <x:v>3.1.2.1</x:v>
      </x:c>
      <x:c r="J591" s="5" t="str">
        <x:v>Schuldverhältnisse, AGB, Fristen und Gerichte</x:v>
      </x:c>
      <x:c r="K591" s="5" t="str"/>
      <x:c r="L591" s="5" t="str">
        <x:v>Schuldrecht: Grundlagen, AGB, Verjährung, Gerichte &amp; Produkthaftung</x:v>
      </x:c>
      <x:c r="M591" s="5" t="n">
        <x:v>57</x:v>
      </x:c>
      <x:c r="N591" s="5" t="n">
        <x:v>5</x:v>
      </x:c>
      <x:c r="O591" s="5" t="str"/>
      <x:c r="P591" s="5" t="str">
        <x:v>Pilot freigegeben</x:v>
      </x:c>
      <x:c r="Q591" s="5" t="str">
        <x:v>Revision 2 unverändert übernommen</x:v>
      </x:c>
      <x:c r="R591" s="5" t="str">
        <x:v>Wer ist beim Kaufvertrag Gläubiger und wer Schuldner hinsichtlich der Übergabepflicht sowie der Abnahme- und Zahlungspflicht?</x:v>
      </x:c>
      <x:c r="S591" s="5" t="str">
        <x:v>72cf7e7841afb9f41ff0c114d0a0af04afe92cb9bdcf48fd34b271422723d42f</x:v>
      </x:c>
    </x:row>
    <x:row r="592" ht="36" customHeight="1">
      <x:c r="A592" s="5" t="str">
        <x:v>R-0188</x:v>
      </x:c>
      <x:c r="B592" s="5" t="str">
        <x:v>WQ</x:v>
      </x:c>
      <x:c r="C592" s="5" t="str">
        <x:v>3</x:v>
      </x:c>
      <x:c r="D592" s="5" t="str">
        <x:v>Recht und Steuern</x:v>
      </x:c>
      <x:c r="E592" s="5" t="str">
        <x:v>Recht</x:v>
      </x:c>
      <x:c r="F592" s="5" t="str">
        <x:v>ui-wq-recht-schuld</x:v>
      </x:c>
      <x:c r="G592" s="5" t="str">
        <x:v>BGB Schuldrecht</x:v>
      </x:c>
      <x:c r="H592" s="5" t="str">
        <x:v>tr-wq-r02</x:v>
      </x:c>
      <x:c r="I592" s="5" t="str">
        <x:v>3.1.2.1</x:v>
      </x:c>
      <x:c r="J592" s="5" t="str">
        <x:v>Schuldverhältnisse, AGB, Fristen und Gerichte</x:v>
      </x:c>
      <x:c r="K592" s="5" t="str"/>
      <x:c r="L592" s="5" t="str">
        <x:v>Schuldrecht: Grundlagen, AGB, Verjährung, Gerichte &amp; Produkthaftung</x:v>
      </x:c>
      <x:c r="M592" s="5" t="n">
        <x:v>58</x:v>
      </x:c>
      <x:c r="N592" s="5" t="n">
        <x:v>6</x:v>
      </x:c>
      <x:c r="O592" s="5" t="str"/>
      <x:c r="P592" s="5" t="str">
        <x:v>Pilot freigegeben</x:v>
      </x:c>
      <x:c r="Q592" s="5" t="str">
        <x:v>Revision 2 unverändert übernommen</x:v>
      </x:c>
      <x:c r="R592" s="5" t="str">
        <x:v>Ergänzen Sie den Zusammenhang zwischen Gläubiger und Schuldner beim Kaufvertrag. Wer ist Gläubiger und Schuldner der jeweiligen Verpflichtungen?</x:v>
      </x:c>
      <x:c r="S592" s="5" t="str">
        <x:v>ef53a35869cc4b92e8efa2d7219f345df36ae6056cf965cd17c28dfde7051edf</x:v>
      </x:c>
    </x:row>
    <x:row r="593" ht="36" customHeight="1">
      <x:c r="A593" s="5" t="str">
        <x:v>R-0189</x:v>
      </x:c>
      <x:c r="B593" s="5" t="str">
        <x:v>WQ</x:v>
      </x:c>
      <x:c r="C593" s="5" t="str">
        <x:v>3</x:v>
      </x:c>
      <x:c r="D593" s="5" t="str">
        <x:v>Recht und Steuern</x:v>
      </x:c>
      <x:c r="E593" s="5" t="str">
        <x:v>Recht</x:v>
      </x:c>
      <x:c r="F593" s="5" t="str">
        <x:v>ui-wq-recht-schuld</x:v>
      </x:c>
      <x:c r="G593" s="5" t="str">
        <x:v>BGB Schuldrecht</x:v>
      </x:c>
      <x:c r="H593" s="5" t="str">
        <x:v>tr-wq-r02</x:v>
      </x:c>
      <x:c r="I593" s="5" t="str">
        <x:v>3.1.2.1</x:v>
      </x:c>
      <x:c r="J593" s="5" t="str">
        <x:v>Schuldverhältnisse, AGB, Fristen und Gerichte</x:v>
      </x:c>
      <x:c r="K593" s="5" t="str"/>
      <x:c r="L593" s="5" t="str">
        <x:v>Schuldrecht: Grundlagen, AGB, Verjährung, Gerichte &amp; Produkthaftung</x:v>
      </x:c>
      <x:c r="M593" s="5" t="n">
        <x:v>59</x:v>
      </x:c>
      <x:c r="N593" s="5" t="n">
        <x:v>7</x:v>
      </x:c>
      <x:c r="O593" s="5" t="str"/>
      <x:c r="P593" s="5" t="str">
        <x:v>Pilot freigegeben</x:v>
      </x:c>
      <x:c r="Q593" s="5" t="str">
        <x:v>Revision 2 unverändert übernommen</x:v>
      </x:c>
      <x:c r="R593" s="5" t="str">
        <x:v>Nennen Sie mindestens einen weiteren Fall für ein gesetzliches Schuldverhältnis.</x:v>
      </x:c>
      <x:c r="S593" s="5" t="str">
        <x:v>7189d16300df0a0b0f9c611e3073c48c3f0724f5126d5decf59a1abd170e78aa</x:v>
      </x:c>
    </x:row>
    <x:row r="594" ht="36" customHeight="1">
      <x:c r="A594" s="5" t="str">
        <x:v>R-0190</x:v>
      </x:c>
      <x:c r="B594" s="5" t="str">
        <x:v>WQ</x:v>
      </x:c>
      <x:c r="C594" s="5" t="str">
        <x:v>3</x:v>
      </x:c>
      <x:c r="D594" s="5" t="str">
        <x:v>Recht und Steuern</x:v>
      </x:c>
      <x:c r="E594" s="5" t="str">
        <x:v>Recht</x:v>
      </x:c>
      <x:c r="F594" s="5" t="str">
        <x:v>ui-wq-recht-at</x:v>
      </x:c>
      <x:c r="G594" s="5" t="str">
        <x:v>BGB Allgemeiner Teil</x:v>
      </x:c>
      <x:c r="H594" s="5" t="str">
        <x:v>tr-wq-r01</x:v>
      </x:c>
      <x:c r="I594" s="5" t="str">
        <x:v>3.1.1</x:v>
      </x:c>
      <x:c r="J594" s="5" t="str">
        <x:v>BGB: Personen, Rechtsgeschäfte und Vertretung</x:v>
      </x:c>
      <x:c r="K594" s="5" t="str"/>
      <x:c r="L594" s="5" t="str">
        <x:v>Schuldrecht: Grundlagen, AGB, Verjährung, Gerichte &amp; Produkthaftung</x:v>
      </x:c>
      <x:c r="M594" s="5" t="n">
        <x:v>67</x:v>
      </x:c>
      <x:c r="N594" s="5" t="n">
        <x:v>67</x:v>
      </x:c>
      <x:c r="O594" s="5" t="str"/>
      <x:c r="P594" s="5" t="str">
        <x:v>Pilot freigegeben</x:v>
      </x:c>
      <x:c r="Q594" s="5" t="str">
        <x:v>Revision 2 unverändert übernommen</x:v>
      </x:c>
      <x:c r="R594" s="5" t="str">
        <x:v>Was versteht man unter Abschlussfreiheit im Rahmen der Vertragsfreiheit?</x:v>
      </x:c>
      <x:c r="S594" s="5" t="str">
        <x:v>3abe5caff20b7929c31e15a1caefd19f7343851b591665981da473f28273c8df</x:v>
      </x:c>
    </x:row>
    <x:row r="595" ht="36" customHeight="1">
      <x:c r="A595" s="5" t="str">
        <x:v>R-0191</x:v>
      </x:c>
      <x:c r="B595" s="5" t="str">
        <x:v>WQ</x:v>
      </x:c>
      <x:c r="C595" s="5" t="str">
        <x:v>3</x:v>
      </x:c>
      <x:c r="D595" s="5" t="str">
        <x:v>Recht und Steuern</x:v>
      </x:c>
      <x:c r="E595" s="5" t="str">
        <x:v>Recht</x:v>
      </x:c>
      <x:c r="F595" s="5" t="str">
        <x:v>ui-wq-recht-at</x:v>
      </x:c>
      <x:c r="G595" s="5" t="str">
        <x:v>BGB Allgemeiner Teil</x:v>
      </x:c>
      <x:c r="H595" s="5" t="str">
        <x:v>tr-wq-r01</x:v>
      </x:c>
      <x:c r="I595" s="5" t="str">
        <x:v>3.1.1</x:v>
      </x:c>
      <x:c r="J595" s="5" t="str">
        <x:v>BGB: Personen, Rechtsgeschäfte und Vertretung</x:v>
      </x:c>
      <x:c r="K595" s="5" t="str"/>
      <x:c r="L595" s="5" t="str">
        <x:v>Schuldrecht: Grundlagen, AGB, Verjährung, Gerichte &amp; Produkthaftung</x:v>
      </x:c>
      <x:c r="M595" s="5" t="n">
        <x:v>68</x:v>
      </x:c>
      <x:c r="N595" s="5" t="n">
        <x:v>68</x:v>
      </x:c>
      <x:c r="O595" s="5" t="str"/>
      <x:c r="P595" s="5" t="str">
        <x:v>Pilot freigegeben</x:v>
      </x:c>
      <x:c r="Q595" s="5" t="str">
        <x:v>Revision 2 unverändert übernommen</x:v>
      </x:c>
      <x:c r="R595" s="5" t="str">
        <x:v>Was versteht man unter Formfreiheit im Rahmen der Vertragsfreiheit?</x:v>
      </x:c>
      <x:c r="S595" s="5" t="str">
        <x:v>a4c08d03eab6e77a12242b514d5d841933f8f9c20c3f852cfbd298f58fb2100f</x:v>
      </x:c>
    </x:row>
    <x:row r="596" ht="36" customHeight="1">
      <x:c r="A596" s="5" t="str">
        <x:v>R-0192</x:v>
      </x:c>
      <x:c r="B596" s="5" t="str">
        <x:v>WQ</x:v>
      </x:c>
      <x:c r="C596" s="5" t="str">
        <x:v>3</x:v>
      </x:c>
      <x:c r="D596" s="5" t="str">
        <x:v>Recht und Steuern</x:v>
      </x:c>
      <x:c r="E596" s="5" t="str">
        <x:v>Recht</x:v>
      </x:c>
      <x:c r="F596" s="5" t="str">
        <x:v>ui-wq-recht-at</x:v>
      </x:c>
      <x:c r="G596" s="5" t="str">
        <x:v>BGB Allgemeiner Teil</x:v>
      </x:c>
      <x:c r="H596" s="5" t="str">
        <x:v>tr-wq-r01</x:v>
      </x:c>
      <x:c r="I596" s="5" t="str">
        <x:v>3.1.1</x:v>
      </x:c>
      <x:c r="J596" s="5" t="str">
        <x:v>BGB: Personen, Rechtsgeschäfte und Vertretung</x:v>
      </x:c>
      <x:c r="K596" s="5" t="str"/>
      <x:c r="L596" s="5" t="str">
        <x:v>Schuldrecht: Grundlagen, AGB, Verjährung, Gerichte &amp; Produkthaftung</x:v>
      </x:c>
      <x:c r="M596" s="5" t="n">
        <x:v>69</x:v>
      </x:c>
      <x:c r="N596" s="5" t="n">
        <x:v>69</x:v>
      </x:c>
      <x:c r="O596" s="5" t="str"/>
      <x:c r="P596" s="5" t="str">
        <x:v>Pilot freigegeben</x:v>
      </x:c>
      <x:c r="Q596" s="5" t="str">
        <x:v>Revision 2 unverändert übernommen</x:v>
      </x:c>
      <x:c r="R596" s="5" t="str">
        <x:v>Was versteht man unter Inhaltsfreiheit im Rahmen der Vertragsfreiheit?</x:v>
      </x:c>
      <x:c r="S596" s="5" t="str">
        <x:v>3e1989bcb781918e8cdbe53a5af09678ff4b98cf29bee5786e852c775f95a123</x:v>
      </x:c>
    </x:row>
    <x:row r="597" ht="36" customHeight="1">
      <x:c r="A597" s="5" t="str">
        <x:v>R-0193</x:v>
      </x:c>
      <x:c r="B597" s="5" t="str">
        <x:v>WQ</x:v>
      </x:c>
      <x:c r="C597" s="5" t="str">
        <x:v>3</x:v>
      </x:c>
      <x:c r="D597" s="5" t="str">
        <x:v>Recht und Steuern</x:v>
      </x:c>
      <x:c r="E597" s="5" t="str">
        <x:v>Recht</x:v>
      </x:c>
      <x:c r="F597" s="5" t="str">
        <x:v>ui-wq-recht-at</x:v>
      </x:c>
      <x:c r="G597" s="5" t="str">
        <x:v>BGB Allgemeiner Teil</x:v>
      </x:c>
      <x:c r="H597" s="5" t="str">
        <x:v>tr-wq-r01</x:v>
      </x:c>
      <x:c r="I597" s="5" t="str">
        <x:v>3.1.1</x:v>
      </x:c>
      <x:c r="J597" s="5" t="str">
        <x:v>BGB: Personen, Rechtsgeschäfte und Vertretung</x:v>
      </x:c>
      <x:c r="K597" s="5" t="str"/>
      <x:c r="L597" s="5" t="str">
        <x:v>Schuldrecht: Grundlagen, AGB, Verjährung, Gerichte &amp; Produkthaftung</x:v>
      </x:c>
      <x:c r="M597" s="5" t="n">
        <x:v>70</x:v>
      </x:c>
      <x:c r="N597" s="5" t="n">
        <x:v>70</x:v>
      </x:c>
      <x:c r="O597" s="5" t="str"/>
      <x:c r="P597" s="5" t="str">
        <x:v>Pilot freigegeben</x:v>
      </x:c>
      <x:c r="Q597" s="5" t="str">
        <x:v>Revision 2 unverändert übernommen</x:v>
      </x:c>
      <x:c r="R597" s="5" t="str">
        <x:v>Was bedeutet der Grundsatz der Formfreiheit im BGB und welchen Zweck verfolgt er?</x:v>
      </x:c>
      <x:c r="S597" s="5" t="str">
        <x:v>a5a6cbb944cd97e065e048ec77bfd29b0d46453b18aa906687ff5e7e9ede8a21</x:v>
      </x:c>
    </x:row>
    <x:row r="598" ht="36" customHeight="1">
      <x:c r="A598" s="5" t="str">
        <x:v>R-0194</x:v>
      </x:c>
      <x:c r="B598" s="5" t="str">
        <x:v>WQ</x:v>
      </x:c>
      <x:c r="C598" s="5" t="str">
        <x:v>3</x:v>
      </x:c>
      <x:c r="D598" s="5" t="str">
        <x:v>Recht und Steuern</x:v>
      </x:c>
      <x:c r="E598" s="5" t="str">
        <x:v>Recht</x:v>
      </x:c>
      <x:c r="F598" s="5" t="str">
        <x:v>ui-wq-recht-at</x:v>
      </x:c>
      <x:c r="G598" s="5" t="str">
        <x:v>BGB Allgemeiner Teil</x:v>
      </x:c>
      <x:c r="H598" s="5" t="str">
        <x:v>tr-wq-r01</x:v>
      </x:c>
      <x:c r="I598" s="5" t="str">
        <x:v>3.1.1</x:v>
      </x:c>
      <x:c r="J598" s="5" t="str">
        <x:v>BGB: Personen, Rechtsgeschäfte und Vertretung</x:v>
      </x:c>
      <x:c r="K598" s="5" t="str"/>
      <x:c r="L598" s="5" t="str">
        <x:v>Schuldrecht: Grundlagen, AGB, Verjährung, Gerichte &amp; Produkthaftung</x:v>
      </x:c>
      <x:c r="M598" s="5" t="n">
        <x:v>71</x:v>
      </x:c>
      <x:c r="N598" s="5" t="n">
        <x:v>71</x:v>
      </x:c>
      <x:c r="O598" s="5" t="str"/>
      <x:c r="P598" s="5" t="str">
        <x:v>Pilot freigegeben</x:v>
      </x:c>
      <x:c r="Q598" s="5" t="str">
        <x:v>Revision 2 unverändert übernommen</x:v>
      </x:c>
      <x:c r="R598" s="5" t="str">
        <x:v>Welche drei Funktionen erfüllen gesetzliche Formvorschriften bei Rechtsgeschäften?</x:v>
      </x:c>
      <x:c r="S598" s="5" t="str">
        <x:v>56c9aa02409f49cba1692b57c7549344dd0d6680f9766a2ccabb0da1a4e3e3dd</x:v>
      </x:c>
    </x:row>
    <x:row r="599" ht="36" customHeight="1">
      <x:c r="A599" s="5" t="str">
        <x:v>R-0195</x:v>
      </x:c>
      <x:c r="B599" s="5" t="str">
        <x:v>WQ</x:v>
      </x:c>
      <x:c r="C599" s="5" t="str">
        <x:v>3</x:v>
      </x:c>
      <x:c r="D599" s="5" t="str">
        <x:v>Recht und Steuern</x:v>
      </x:c>
      <x:c r="E599" s="5" t="str">
        <x:v>Recht</x:v>
      </x:c>
      <x:c r="F599" s="5" t="str">
        <x:v>ui-wq-recht-at</x:v>
      </x:c>
      <x:c r="G599" s="5" t="str">
        <x:v>BGB Allgemeiner Teil</x:v>
      </x:c>
      <x:c r="H599" s="5" t="str">
        <x:v>tr-wq-r01</x:v>
      </x:c>
      <x:c r="I599" s="5" t="str">
        <x:v>3.1.1</x:v>
      </x:c>
      <x:c r="J599" s="5" t="str">
        <x:v>BGB: Personen, Rechtsgeschäfte und Vertretung</x:v>
      </x:c>
      <x:c r="K599" s="5" t="str"/>
      <x:c r="L599" s="5" t="str">
        <x:v>Schuldrecht: Grundlagen, AGB, Verjährung, Gerichte &amp; Produkthaftung</x:v>
      </x:c>
      <x:c r="M599" s="5" t="n">
        <x:v>72</x:v>
      </x:c>
      <x:c r="N599" s="5" t="n">
        <x:v>72</x:v>
      </x:c>
      <x:c r="O599" s="5" t="str"/>
      <x:c r="P599" s="5" t="str">
        <x:v>Pilot freigegeben</x:v>
      </x:c>
      <x:c r="Q599" s="5" t="str">
        <x:v>Revision 2 unverändert übernommen</x:v>
      </x:c>
      <x:c r="R599" s="5" t="str">
        <x:v>V und E einigen sich auf einen Grundstückskaufpreis von 200.000 €. Um Gebühren und Steuern zu sparen, schließen sie vor dem Notar einen Vertrag über 100.000 € ab. Welcher Vertrag ist gültig, solange der Grundstückskauf noch nicht erfüllt wurde?</x:v>
      </x:c>
      <x:c r="S599" s="5" t="str">
        <x:v>e779284b1f0fac321b702a991362fb9b40c1707063ab092b326e50454011354c</x:v>
      </x:c>
    </x:row>
    <x:row r="600" ht="36" customHeight="1">
      <x:c r="A600" s="5" t="str">
        <x:v>R-0196</x:v>
      </x:c>
      <x:c r="B600" s="5" t="str">
        <x:v>WQ</x:v>
      </x:c>
      <x:c r="C600" s="5" t="str">
        <x:v>3</x:v>
      </x:c>
      <x:c r="D600" s="5" t="str">
        <x:v>Recht und Steuern</x:v>
      </x:c>
      <x:c r="E600" s="5" t="str">
        <x:v>Recht</x:v>
      </x:c>
      <x:c r="F600" s="5" t="str">
        <x:v>ui-wq-recht-schuld</x:v>
      </x:c>
      <x:c r="G600" s="5" t="str">
        <x:v>BGB Schuldrecht</x:v>
      </x:c>
      <x:c r="H600" s="5" t="str">
        <x:v>tr-wq-r02</x:v>
      </x:c>
      <x:c r="I600" s="5" t="str">
        <x:v>3.1.2.1</x:v>
      </x:c>
      <x:c r="J600" s="5" t="str">
        <x:v>Schuldverhältnisse, AGB, Fristen und Gerichte</x:v>
      </x:c>
      <x:c r="K600" s="5" t="str"/>
      <x:c r="L600" s="5" t="str">
        <x:v>Schuldrecht: Grundlagen, AGB, Verjährung, Gerichte &amp; Produkthaftung</x:v>
      </x:c>
      <x:c r="M600" s="5" t="n">
        <x:v>60</x:v>
      </x:c>
      <x:c r="N600" s="5" t="n">
        <x:v>8</x:v>
      </x:c>
      <x:c r="O600" s="5" t="str"/>
      <x:c r="P600" s="5" t="str">
        <x:v>Pilot freigegeben</x:v>
      </x:c>
      <x:c r="Q600" s="5" t="str">
        <x:v>Revision 2 unverändert übernommen</x:v>
      </x:c>
      <x:c r="R600" s="5" t="str">
        <x:v>Ergänzen Sie den Lückentext zu den Allgemeinen Geschäftsbedingungen (AGB): Allgemeine Geschäftsbedingungen sind alle für eine ______ von Verträgen ______ Vertragsbedingungen, die eine Vertragspartei der ______ Vertragspartei bei Abschluss eines Vertrages ______. Gleichgültig ist, ob die Bestimmungen einen äußerlich gesonderten Bestandteil des Vertrages bilden oder in die ______ selbst aufgenommen werden. AGB liegen nicht vor, soweit die Vertragsbedingungen zwischen den Vertragsparteien im Einzelnen ______ sind.</x:v>
      </x:c>
      <x:c r="S600" s="5" t="str">
        <x:v>1936b7bdf2b5e8770f0c4631b475125aad5af344247cf53d7eecbdb2d4dbe7d3</x:v>
      </x:c>
    </x:row>
    <x:row r="601" ht="36" customHeight="1">
      <x:c r="A601" s="5" t="str">
        <x:v>R-0197</x:v>
      </x:c>
      <x:c r="B601" s="5" t="str">
        <x:v>WQ</x:v>
      </x:c>
      <x:c r="C601" s="5" t="str">
        <x:v>3</x:v>
      </x:c>
      <x:c r="D601" s="5" t="str">
        <x:v>Recht und Steuern</x:v>
      </x:c>
      <x:c r="E601" s="5" t="str">
        <x:v>Recht</x:v>
      </x:c>
      <x:c r="F601" s="5" t="str">
        <x:v>ui-wq-recht-schuld</x:v>
      </x:c>
      <x:c r="G601" s="5" t="str">
        <x:v>BGB Schuldrecht</x:v>
      </x:c>
      <x:c r="H601" s="5" t="str">
        <x:v>tr-wq-r02</x:v>
      </x:c>
      <x:c r="I601" s="5" t="str">
        <x:v>3.1.2.1</x:v>
      </x:c>
      <x:c r="J601" s="5" t="str">
        <x:v>Schuldverhältnisse, AGB, Fristen und Gerichte</x:v>
      </x:c>
      <x:c r="K601" s="5" t="str"/>
      <x:c r="L601" s="5" t="str">
        <x:v>Schuldrecht: Grundlagen, AGB, Verjährung, Gerichte &amp; Produkthaftung</x:v>
      </x:c>
      <x:c r="M601" s="5" t="n">
        <x:v>61</x:v>
      </x:c>
      <x:c r="N601" s="5" t="n">
        <x:v>9</x:v>
      </x:c>
      <x:c r="O601" s="5" t="str"/>
      <x:c r="P601" s="5" t="str">
        <x:v>Pilot freigegeben</x:v>
      </x:c>
      <x:c r="Q601" s="5" t="str">
        <x:v>Revision 2 unverändert übernommen</x:v>
      </x:c>
      <x:c r="R601" s="5" t="str">
        <x:v>Wann werden Allgemeine Geschäftsbedingungen nach § 305 Abs. 2 BGB Bestandteil eines Vertrages?</x:v>
      </x:c>
      <x:c r="S601" s="5" t="str">
        <x:v>d8aed98c6b15cd6c7414ae5b62437e0e08977c6da9c64b3f37835f6066382485</x:v>
      </x:c>
    </x:row>
    <x:row r="602" ht="36" customHeight="1">
      <x:c r="A602" s="5" t="str">
        <x:v>R-0198</x:v>
      </x:c>
      <x:c r="B602" s="5" t="str">
        <x:v>WQ</x:v>
      </x:c>
      <x:c r="C602" s="5" t="str">
        <x:v>3</x:v>
      </x:c>
      <x:c r="D602" s="5" t="str">
        <x:v>Recht und Steuern</x:v>
      </x:c>
      <x:c r="E602" s="5" t="str">
        <x:v>Recht</x:v>
      </x:c>
      <x:c r="F602" s="5" t="str">
        <x:v>ui-wq-recht-schuld</x:v>
      </x:c>
      <x:c r="G602" s="5" t="str">
        <x:v>BGB Schuldrecht</x:v>
      </x:c>
      <x:c r="H602" s="5" t="str">
        <x:v>tr-wq-r02</x:v>
      </x:c>
      <x:c r="I602" s="5" t="str">
        <x:v>3.1.2.1</x:v>
      </x:c>
      <x:c r="J602" s="5" t="str">
        <x:v>Schuldverhältnisse, AGB, Fristen und Gerichte</x:v>
      </x:c>
      <x:c r="K602" s="5" t="str"/>
      <x:c r="L602" s="5" t="str">
        <x:v>Schuldrecht: Grundlagen, AGB, Verjährung, Gerichte &amp; Produkthaftung</x:v>
      </x:c>
      <x:c r="M602" s="5" t="n">
        <x:v>62</x:v>
      </x:c>
      <x:c r="N602" s="5" t="n">
        <x:v>10</x:v>
      </x:c>
      <x:c r="O602" s="5" t="str"/>
      <x:c r="P602" s="5" t="str">
        <x:v>Pilot freigegeben</x:v>
      </x:c>
      <x:c r="Q602" s="5" t="str">
        <x:v>Revision 2 unverändert übernommen</x:v>
      </x:c>
      <x:c r="R602" s="5" t="str">
        <x:v>Beim Kauf eines Haushaltsgerätes vereinbart Kundin K mit dem Verkäufer individuell, dass die Zahlung erst vier Wochen nach Lieferung fällig wird. Die AGB des Verkäufers sehen dagegen eine Fälligkeit nach zwei Wochen vor. Wann ist die Zahlung fällig?</x:v>
      </x:c>
      <x:c r="S602" s="5" t="str">
        <x:v>e88e084ecc50f978e613cc4e4ff27008ba8ee9d0dc45ecdea267d2e236df8216</x:v>
      </x:c>
    </x:row>
    <x:row r="603" ht="36" customHeight="1">
      <x:c r="A603" s="5" t="str">
        <x:v>R-0199</x:v>
      </x:c>
      <x:c r="B603" s="5" t="str">
        <x:v>WQ</x:v>
      </x:c>
      <x:c r="C603" s="5" t="str">
        <x:v>3</x:v>
      </x:c>
      <x:c r="D603" s="5" t="str">
        <x:v>Recht und Steuern</x:v>
      </x:c>
      <x:c r="E603" s="5" t="str">
        <x:v>Recht</x:v>
      </x:c>
      <x:c r="F603" s="5" t="str">
        <x:v>ui-wq-recht-schuld</x:v>
      </x:c>
      <x:c r="G603" s="5" t="str">
        <x:v>BGB Schuldrecht</x:v>
      </x:c>
      <x:c r="H603" s="5" t="str">
        <x:v>tr-wq-r02</x:v>
      </x:c>
      <x:c r="I603" s="5" t="str">
        <x:v>3.1.2.1</x:v>
      </x:c>
      <x:c r="J603" s="5" t="str">
        <x:v>Schuldverhältnisse, AGB, Fristen und Gerichte</x:v>
      </x:c>
      <x:c r="K603" s="5" t="str"/>
      <x:c r="L603" s="5" t="str">
        <x:v>Schuldrecht: Grundlagen, AGB, Verjährung, Gerichte &amp; Produkthaftung</x:v>
      </x:c>
      <x:c r="M603" s="5" t="n">
        <x:v>63</x:v>
      </x:c>
      <x:c r="N603" s="5" t="n">
        <x:v>11</x:v>
      </x:c>
      <x:c r="O603" s="5" t="str"/>
      <x:c r="P603" s="5" t="str">
        <x:v>Pilot freigegeben</x:v>
      </x:c>
      <x:c r="Q603" s="5" t="str">
        <x:v>Revision 2 unverändert übernommen</x:v>
      </x:c>
      <x:c r="R603" s="5" t="str">
        <x:v>Die Circle Harbor GmbH gewährt beim Kauf eines Fahrradhelms automatisch ein kostenpflichtiges Fünfjahresabo einer Zeitschrift. Ist diese AGB-Klausel wirksam? Begründen Sie Ihre Antwort.</x:v>
      </x:c>
      <x:c r="S603" s="5" t="str">
        <x:v>799dad2c8798c05fb31a9d0c97e06534ed7292cf6fe49fa59c2c0c4a6e10ed21</x:v>
      </x:c>
    </x:row>
    <x:row r="604" ht="36" customHeight="1">
      <x:c r="A604" s="5" t="str">
        <x:v>R-0200</x:v>
      </x:c>
      <x:c r="B604" s="5" t="str">
        <x:v>WQ</x:v>
      </x:c>
      <x:c r="C604" s="5" t="str">
        <x:v>3</x:v>
      </x:c>
      <x:c r="D604" s="5" t="str">
        <x:v>Recht und Steuern</x:v>
      </x:c>
      <x:c r="E604" s="5" t="str">
        <x:v>Recht</x:v>
      </x:c>
      <x:c r="F604" s="5" t="str">
        <x:v>ui-wq-recht-schuld</x:v>
      </x:c>
      <x:c r="G604" s="5" t="str">
        <x:v>BGB Schuldrecht</x:v>
      </x:c>
      <x:c r="H604" s="5" t="str">
        <x:v>tr-wq-r02</x:v>
      </x:c>
      <x:c r="I604" s="5" t="str">
        <x:v>3.1.2.1</x:v>
      </x:c>
      <x:c r="J604" s="5" t="str">
        <x:v>Schuldverhältnisse, AGB, Fristen und Gerichte</x:v>
      </x:c>
      <x:c r="K604" s="5" t="str"/>
      <x:c r="L604" s="5" t="str">
        <x:v>Schuldrecht: Grundlagen, AGB, Verjährung, Gerichte &amp; Produkthaftung</x:v>
      </x:c>
      <x:c r="M604" s="5" t="n">
        <x:v>64</x:v>
      </x:c>
      <x:c r="N604" s="5" t="n">
        <x:v>12</x:v>
      </x:c>
      <x:c r="O604" s="5" t="str"/>
      <x:c r="P604" s="5" t="str">
        <x:v>Pilot freigegeben</x:v>
      </x:c>
      <x:c r="Q604" s="5" t="str">
        <x:v>Revision 2 unverändert übernommen</x:v>
      </x:c>
      <x:c r="R604" s="5" t="str">
        <x:v>Welche Folgen hat es grundsätzlich, wenn einzelne AGB-Klauseln unwirksam sind?</x:v>
      </x:c>
      <x:c r="S604" s="5" t="str">
        <x:v>a67c9e1c0e1f311ebbce84d320f1a23ec1c2a4b991f214325b34b1e7eee9bca5</x:v>
      </x:c>
    </x:row>
    <x:row r="605" ht="36" customHeight="1">
      <x:c r="A605" s="5" t="str">
        <x:v>R-0201</x:v>
      </x:c>
      <x:c r="B605" s="5" t="str">
        <x:v>WQ</x:v>
      </x:c>
      <x:c r="C605" s="5" t="str">
        <x:v>3</x:v>
      </x:c>
      <x:c r="D605" s="5" t="str">
        <x:v>Recht und Steuern</x:v>
      </x:c>
      <x:c r="E605" s="5" t="str">
        <x:v>Recht</x:v>
      </x:c>
      <x:c r="F605" s="5" t="str">
        <x:v>ui-wq-recht-at</x:v>
      </x:c>
      <x:c r="G605" s="5" t="str">
        <x:v>BGB Allgemeiner Teil</x:v>
      </x:c>
      <x:c r="H605" s="5" t="str">
        <x:v>tr-wq-r01</x:v>
      </x:c>
      <x:c r="I605" s="5" t="str">
        <x:v>3.1.1</x:v>
      </x:c>
      <x:c r="J605" s="5" t="str">
        <x:v>BGB: Personen, Rechtsgeschäfte und Vertretung</x:v>
      </x:c>
      <x:c r="K605" s="5" t="str"/>
      <x:c r="L605" s="5" t="str">
        <x:v>Schuldrecht: Grundlagen, AGB, Verjährung, Gerichte &amp; Produkthaftung</x:v>
      </x:c>
      <x:c r="M605" s="5" t="n">
        <x:v>73</x:v>
      </x:c>
      <x:c r="N605" s="5" t="n">
        <x:v>73</x:v>
      </x:c>
      <x:c r="O605" s="5" t="str"/>
      <x:c r="P605" s="5" t="str">
        <x:v>Pilot freigegeben</x:v>
      </x:c>
      <x:c r="Q605" s="5" t="str">
        <x:v>Revision 2 unverändert übernommen</x:v>
      </x:c>
      <x:c r="R605" s="5" t="str">
        <x:v>Ergänzen Sie den Lückentext: Ein Vertrag kommt in der Regel durch zwei __________ zustande. Diese nennt man __________ und __________. Für einen wirksamen Vertragsschluss müssen die Willenserklärungen unter anderem inhaltlich __________.</x:v>
      </x:c>
      <x:c r="S605" s="5" t="str">
        <x:v>8bdca3efb10a91e75c766be8b20863070d6e18b2a06f61ed3c6d75cf38d86be1</x:v>
      </x:c>
    </x:row>
    <x:row r="606" ht="36" customHeight="1">
      <x:c r="A606" s="5" t="str">
        <x:v>R-0202</x:v>
      </x:c>
      <x:c r="B606" s="5" t="str">
        <x:v>WQ</x:v>
      </x:c>
      <x:c r="C606" s="5" t="str">
        <x:v>3</x:v>
      </x:c>
      <x:c r="D606" s="5" t="str">
        <x:v>Recht und Steuern</x:v>
      </x:c>
      <x:c r="E606" s="5" t="str">
        <x:v>Recht</x:v>
      </x:c>
      <x:c r="F606" s="5" t="str">
        <x:v>ui-wq-recht-at</x:v>
      </x:c>
      <x:c r="G606" s="5" t="str">
        <x:v>BGB Allgemeiner Teil</x:v>
      </x:c>
      <x:c r="H606" s="5" t="str">
        <x:v>tr-wq-r01</x:v>
      </x:c>
      <x:c r="I606" s="5" t="str">
        <x:v>3.1.1</x:v>
      </x:c>
      <x:c r="J606" s="5" t="str">
        <x:v>BGB: Personen, Rechtsgeschäfte und Vertretung</x:v>
      </x:c>
      <x:c r="K606" s="5" t="str"/>
      <x:c r="L606" s="5" t="str">
        <x:v>Schuldrecht: Grundlagen, AGB, Verjährung, Gerichte &amp; Produkthaftung</x:v>
      </x:c>
      <x:c r="M606" s="5" t="n">
        <x:v>74</x:v>
      </x:c>
      <x:c r="N606" s="5" t="n">
        <x:v>74</x:v>
      </x:c>
      <x:c r="O606" s="5" t="str"/>
      <x:c r="P606" s="5" t="str">
        <x:v>Pilot freigegeben</x:v>
      </x:c>
      <x:c r="Q606" s="5" t="str">
        <x:v>Revision 2 unverändert übernommen</x:v>
      </x:c>
      <x:c r="R606" s="5" t="str">
        <x:v>Großhändlerin G versendet Werbeprospekte mit verschiedenen Werkzeugangeboten. Kundin K bestellt telefonisch einige Werkzeuge. Die Bestellung wird zunächst nicht beachtet und erst mehrere Wochen später bestätigt. Ist ein wirksamer Kaufvertrag zustande gekommen? Begründen Sie Ihre Antwort.</x:v>
      </x:c>
      <x:c r="S606" s="5" t="str">
        <x:v>d383caa0f9ec2b9389236834b66863c3b8c1cd27c38bebf73435c06ad297854b</x:v>
      </x:c>
    </x:row>
    <x:row r="607" ht="36" customHeight="1">
      <x:c r="A607" s="5" t="str">
        <x:v>R-0203</x:v>
      </x:c>
      <x:c r="B607" s="5" t="str">
        <x:v>WQ</x:v>
      </x:c>
      <x:c r="C607" s="5" t="str">
        <x:v>3</x:v>
      </x:c>
      <x:c r="D607" s="5" t="str">
        <x:v>Recht und Steuern</x:v>
      </x:c>
      <x:c r="E607" s="5" t="str">
        <x:v>Recht</x:v>
      </x:c>
      <x:c r="F607" s="5" t="str">
        <x:v>ui-wq-recht-at</x:v>
      </x:c>
      <x:c r="G607" s="5" t="str">
        <x:v>BGB Allgemeiner Teil</x:v>
      </x:c>
      <x:c r="H607" s="5" t="str">
        <x:v>tr-wq-r01</x:v>
      </x:c>
      <x:c r="I607" s="5" t="str">
        <x:v>3.1.1</x:v>
      </x:c>
      <x:c r="J607" s="5" t="str">
        <x:v>BGB: Personen, Rechtsgeschäfte und Vertretung</x:v>
      </x:c>
      <x:c r="K607" s="5" t="str"/>
      <x:c r="L607" s="5" t="str">
        <x:v>Schuldrecht: Grundlagen, AGB, Verjährung, Gerichte &amp; Produkthaftung</x:v>
      </x:c>
      <x:c r="M607" s="5" t="n">
        <x:v>75</x:v>
      </x:c>
      <x:c r="N607" s="5" t="n">
        <x:v>75</x:v>
      </x:c>
      <x:c r="O607" s="5" t="str"/>
      <x:c r="P607" s="5" t="str">
        <x:v>Pilot freigegeben</x:v>
      </x:c>
      <x:c r="Q607" s="5" t="str">
        <x:v>Revision 2 unverändert übernommen</x:v>
      </x:c>
      <x:c r="R607" s="5" t="str">
        <x:v>Unterscheiden Sie zwischen einem anfechtbaren und einem nichtigen Rechtsgeschäft.</x:v>
      </x:c>
      <x:c r="S607" s="5" t="str">
        <x:v>e308039f016b378427c3399148d71cbc6765ce5141c86f265cbec23e6fd53687</x:v>
      </x:c>
    </x:row>
    <x:row r="608" ht="36" customHeight="1">
      <x:c r="A608" s="5" t="str">
        <x:v>R-0204</x:v>
      </x:c>
      <x:c r="B608" s="5" t="str">
        <x:v>WQ</x:v>
      </x:c>
      <x:c r="C608" s="5" t="str">
        <x:v>3</x:v>
      </x:c>
      <x:c r="D608" s="5" t="str">
        <x:v>Recht und Steuern</x:v>
      </x:c>
      <x:c r="E608" s="5" t="str">
        <x:v>Recht</x:v>
      </x:c>
      <x:c r="F608" s="5" t="str">
        <x:v>ui-wq-recht-at</x:v>
      </x:c>
      <x:c r="G608" s="5" t="str">
        <x:v>BGB Allgemeiner Teil</x:v>
      </x:c>
      <x:c r="H608" s="5" t="str">
        <x:v>tr-wq-r01</x:v>
      </x:c>
      <x:c r="I608" s="5" t="str">
        <x:v>3.1.1</x:v>
      </x:c>
      <x:c r="J608" s="5" t="str">
        <x:v>BGB: Personen, Rechtsgeschäfte und Vertretung</x:v>
      </x:c>
      <x:c r="K608" s="5" t="str"/>
      <x:c r="L608" s="5" t="str">
        <x:v>Schuldrecht: Grundlagen, AGB, Verjährung, Gerichte &amp; Produkthaftung</x:v>
      </x:c>
      <x:c r="M608" s="5" t="n">
        <x:v>76</x:v>
      </x:c>
      <x:c r="N608" s="5" t="n">
        <x:v>76</x:v>
      </x:c>
      <x:c r="O608" s="5" t="str"/>
      <x:c r="P608" s="5" t="str">
        <x:v>Pilot freigegeben</x:v>
      </x:c>
      <x:c r="Q608" s="5" t="str">
        <x:v>Revision 2 unverändert übernommen</x:v>
      </x:c>
      <x:c r="R608" s="5" t="str">
        <x:v>Nennen Sie mindestens vier Fälle, in denen ein Rechtsgeschäft nichtig ist.</x:v>
      </x:c>
      <x:c r="S608" s="5" t="str">
        <x:v>89f5d49fad16997961ca8ff67aa9620595de1563e3b44ac6f3bd04c6cd26e108</x:v>
      </x:c>
    </x:row>
    <x:row r="609" ht="36" customHeight="1">
      <x:c r="A609" s="5" t="str">
        <x:v>R-0205</x:v>
      </x:c>
      <x:c r="B609" s="5" t="str">
        <x:v>WQ</x:v>
      </x:c>
      <x:c r="C609" s="5" t="str">
        <x:v>3</x:v>
      </x:c>
      <x:c r="D609" s="5" t="str">
        <x:v>Recht und Steuern</x:v>
      </x:c>
      <x:c r="E609" s="5" t="str">
        <x:v>Recht</x:v>
      </x:c>
      <x:c r="F609" s="5" t="str">
        <x:v>ui-wq-recht-at</x:v>
      </x:c>
      <x:c r="G609" s="5" t="str">
        <x:v>BGB Allgemeiner Teil</x:v>
      </x:c>
      <x:c r="H609" s="5" t="str">
        <x:v>tr-wq-r01</x:v>
      </x:c>
      <x:c r="I609" s="5" t="str">
        <x:v>3.1.1</x:v>
      </x:c>
      <x:c r="J609" s="5" t="str">
        <x:v>BGB: Personen, Rechtsgeschäfte und Vertretung</x:v>
      </x:c>
      <x:c r="K609" s="5" t="str"/>
      <x:c r="L609" s="5" t="str">
        <x:v>Schuldrecht: Grundlagen, AGB, Verjährung, Gerichte &amp; Produkthaftung</x:v>
      </x:c>
      <x:c r="M609" s="5" t="n">
        <x:v>77</x:v>
      </x:c>
      <x:c r="N609" s="5" t="n">
        <x:v>77</x:v>
      </x:c>
      <x:c r="O609" s="5" t="str"/>
      <x:c r="P609" s="5" t="str">
        <x:v>Pilot freigegeben</x:v>
      </x:c>
      <x:c r="Q609" s="5" t="str">
        <x:v>Revision 2 unverändert übernommen</x:v>
      </x:c>
      <x:c r="R609" s="5" t="str">
        <x:v>Ein Circle-Harbor-Store zeichnet ein Cargo-Bike versehentlich mit 3.690 € statt mit 3.960 € aus. Kundin K kauft das Fahrzeug zu diesem Preis. Liegt zunächst ein wirksamer Kaufvertrag vor? Begründen Sie Ihre Antwort.</x:v>
      </x:c>
      <x:c r="S609" s="5" t="str">
        <x:v>27df67b74c7c7ab38e8d6e050bc2904f8793ba37b3cabf3ddd2cfc9a912f1d76</x:v>
      </x:c>
    </x:row>
    <x:row r="610" ht="36" customHeight="1">
      <x:c r="A610" s="5" t="str">
        <x:v>R-0206</x:v>
      </x:c>
      <x:c r="B610" s="5" t="str">
        <x:v>WQ</x:v>
      </x:c>
      <x:c r="C610" s="5" t="str">
        <x:v>3</x:v>
      </x:c>
      <x:c r="D610" s="5" t="str">
        <x:v>Recht und Steuern</x:v>
      </x:c>
      <x:c r="E610" s="5" t="str">
        <x:v>Recht</x:v>
      </x:c>
      <x:c r="F610" s="5" t="str">
        <x:v>ui-wq-recht-at</x:v>
      </x:c>
      <x:c r="G610" s="5" t="str">
        <x:v>BGB Allgemeiner Teil</x:v>
      </x:c>
      <x:c r="H610" s="5" t="str">
        <x:v>tr-wq-r01</x:v>
      </x:c>
      <x:c r="I610" s="5" t="str">
        <x:v>3.1.1</x:v>
      </x:c>
      <x:c r="J610" s="5" t="str">
        <x:v>BGB: Personen, Rechtsgeschäfte und Vertretung</x:v>
      </x:c>
      <x:c r="K610" s="5" t="str"/>
      <x:c r="L610" s="5" t="str">
        <x:v>Schuldrecht: Grundlagen, AGB, Verjährung, Gerichte &amp; Produkthaftung</x:v>
      </x:c>
      <x:c r="M610" s="5" t="n">
        <x:v>78</x:v>
      </x:c>
      <x:c r="N610" s="5" t="n">
        <x:v>78</x:v>
      </x:c>
      <x:c r="O610" s="5" t="str"/>
      <x:c r="P610" s="5" t="str">
        <x:v>Pilot freigegeben</x:v>
      </x:c>
      <x:c r="Q610" s="5" t="str">
        <x:v>Revision 2 unverändert übernommen</x:v>
      </x:c>
      <x:c r="R610" s="5" t="str">
        <x:v>Kann das Möbelhaus den Kaufvertrag über den Schrank anfechten? Begründen Sie Ihre Antwort.</x:v>
      </x:c>
      <x:c r="S610" s="5" t="str">
        <x:v>8e21ac3fd2348a04988986eb3e47676073a5511bcf55ec6f7875d45fa2a9d4e1</x:v>
      </x:c>
    </x:row>
    <x:row r="611" ht="36" customHeight="1">
      <x:c r="A611" s="5" t="str">
        <x:v>R-0207</x:v>
      </x:c>
      <x:c r="B611" s="5" t="str">
        <x:v>WQ</x:v>
      </x:c>
      <x:c r="C611" s="5" t="str">
        <x:v>3</x:v>
      </x:c>
      <x:c r="D611" s="5" t="str">
        <x:v>Recht und Steuern</x:v>
      </x:c>
      <x:c r="E611" s="5" t="str">
        <x:v>Recht</x:v>
      </x:c>
      <x:c r="F611" s="5" t="str">
        <x:v>ui-wq-recht-at</x:v>
      </x:c>
      <x:c r="G611" s="5" t="str">
        <x:v>BGB Allgemeiner Teil</x:v>
      </x:c>
      <x:c r="H611" s="5" t="str">
        <x:v>tr-wq-r01</x:v>
      </x:c>
      <x:c r="I611" s="5" t="str">
        <x:v>3.1.1</x:v>
      </x:c>
      <x:c r="J611" s="5" t="str">
        <x:v>BGB: Personen, Rechtsgeschäfte und Vertretung</x:v>
      </x:c>
      <x:c r="K611" s="5" t="str"/>
      <x:c r="L611" s="5" t="str">
        <x:v>Schuldrecht: Grundlagen, AGB, Verjährung, Gerichte &amp; Produkthaftung</x:v>
      </x:c>
      <x:c r="M611" s="5" t="n">
        <x:v>79</x:v>
      </x:c>
      <x:c r="N611" s="5" t="n">
        <x:v>79</x:v>
      </x:c>
      <x:c r="O611" s="5" t="str"/>
      <x:c r="P611" s="5" t="str">
        <x:v>Pilot freigegeben</x:v>
      </x:c>
      <x:c r="Q611" s="5" t="str">
        <x:v>Revision 2 unverändert übernommen</x:v>
      </x:c>
      <x:c r="R611" s="5" t="str">
        <x:v>Welche Voraussetzungen müssen für eine wirksame Anfechtung erfüllt sein?</x:v>
      </x:c>
      <x:c r="S611" s="5" t="str">
        <x:v>41426b94e8075167e215385ab73632f8332ca8bd301b5911e17c964a9329865d</x:v>
      </x:c>
    </x:row>
    <x:row r="612" ht="36" customHeight="1">
      <x:c r="A612" s="5" t="str">
        <x:v>R-0208</x:v>
      </x:c>
      <x:c r="B612" s="5" t="str">
        <x:v>WQ</x:v>
      </x:c>
      <x:c r="C612" s="5" t="str">
        <x:v>3</x:v>
      </x:c>
      <x:c r="D612" s="5" t="str">
        <x:v>Recht und Steuern</x:v>
      </x:c>
      <x:c r="E612" s="5" t="str">
        <x:v>Recht</x:v>
      </x:c>
      <x:c r="F612" s="5" t="str">
        <x:v>ui-wq-recht-at</x:v>
      </x:c>
      <x:c r="G612" s="5" t="str">
        <x:v>BGB Allgemeiner Teil</x:v>
      </x:c>
      <x:c r="H612" s="5" t="str">
        <x:v>tr-wq-r01</x:v>
      </x:c>
      <x:c r="I612" s="5" t="str">
        <x:v>3.1.1</x:v>
      </x:c>
      <x:c r="J612" s="5" t="str">
        <x:v>BGB: Personen, Rechtsgeschäfte und Vertretung</x:v>
      </x:c>
      <x:c r="K612" s="5" t="str"/>
      <x:c r="L612" s="5" t="str">
        <x:v>Schuldrecht: Grundlagen, AGB, Verjährung, Gerichte &amp; Produkthaftung</x:v>
      </x:c>
      <x:c r="M612" s="5" t="n">
        <x:v>80</x:v>
      </x:c>
      <x:c r="N612" s="5" t="n">
        <x:v>80</x:v>
      </x:c>
      <x:c r="O612" s="5" t="str"/>
      <x:c r="P612" s="5" t="str">
        <x:v>Pilot freigegeben</x:v>
      </x:c>
      <x:c r="Q612" s="5" t="str">
        <x:v>Revision 2 unverändert übernommen</x:v>
      </x:c>
      <x:c r="R612" s="5" t="str">
        <x:v>Welche Wirkung hat eine wirksame Anfechtung auf ein Rechtsgeschäft?</x:v>
      </x:c>
      <x:c r="S612" s="5" t="str">
        <x:v>49d66dea16c869838872e3cf94d28492d69a0b17b11d7f853a5b9beb88e0f1fe</x:v>
      </x:c>
    </x:row>
    <x:row r="613" ht="36" customHeight="1">
      <x:c r="A613" s="5" t="str">
        <x:v>R-0209</x:v>
      </x:c>
      <x:c r="B613" s="5" t="str">
        <x:v>WQ</x:v>
      </x:c>
      <x:c r="C613" s="5" t="str">
        <x:v>3</x:v>
      </x:c>
      <x:c r="D613" s="5" t="str">
        <x:v>Recht und Steuern</x:v>
      </x:c>
      <x:c r="E613" s="5" t="str">
        <x:v>Recht</x:v>
      </x:c>
      <x:c r="F613" s="5" t="str">
        <x:v>ui-wq-recht-at</x:v>
      </x:c>
      <x:c r="G613" s="5" t="str">
        <x:v>BGB Allgemeiner Teil</x:v>
      </x:c>
      <x:c r="H613" s="5" t="str">
        <x:v>tr-wq-r01</x:v>
      </x:c>
      <x:c r="I613" s="5" t="str">
        <x:v>3.1.1</x:v>
      </x:c>
      <x:c r="J613" s="5" t="str">
        <x:v>BGB: Personen, Rechtsgeschäfte und Vertretung</x:v>
      </x:c>
      <x:c r="K613" s="5" t="str"/>
      <x:c r="L613" s="5" t="str">
        <x:v>Schuldrecht: Grundlagen, AGB, Verjährung, Gerichte &amp; Produkthaftung</x:v>
      </x:c>
      <x:c r="M613" s="5" t="n">
        <x:v>81</x:v>
      </x:c>
      <x:c r="N613" s="5" t="n">
        <x:v>81</x:v>
      </x:c>
      <x:c r="O613" s="5" t="str"/>
      <x:c r="P613" s="5" t="str">
        <x:v>Pilot freigegeben</x:v>
      </x:c>
      <x:c r="Q613" s="5" t="str">
        <x:v>Revision 2 unverändert übernommen</x:v>
      </x:c>
      <x:c r="R613" s="5" t="str">
        <x:v>Welchen Anspruch kann die Kundin K gegen das Möbelhaus geltend machen, wenn der Kaufvertrag wirksam angefochten wurde und sie aufgrund des Vertrages einen Kleintransporter gemietet hat?</x:v>
      </x:c>
      <x:c r="S613" s="5" t="str">
        <x:v>c841fc09074b3004098390239d56c06eca9571eb80ef70cfa2e96d8c836f6606</x:v>
      </x:c>
    </x:row>
    <x:row r="614" ht="36" customHeight="1">
      <x:c r="A614" s="5" t="str">
        <x:v>R-0210</x:v>
      </x:c>
      <x:c r="B614" s="5" t="str">
        <x:v>WQ</x:v>
      </x:c>
      <x:c r="C614" s="5" t="str">
        <x:v>3</x:v>
      </x:c>
      <x:c r="D614" s="5" t="str">
        <x:v>Recht und Steuern</x:v>
      </x:c>
      <x:c r="E614" s="5" t="str">
        <x:v>Recht</x:v>
      </x:c>
      <x:c r="F614" s="5" t="str">
        <x:v>ui-wq-recht-schuld</x:v>
      </x:c>
      <x:c r="G614" s="5" t="str">
        <x:v>BGB Schuldrecht</x:v>
      </x:c>
      <x:c r="H614" s="5" t="str">
        <x:v>tr-wq-r02</x:v>
      </x:c>
      <x:c r="I614" s="5" t="str">
        <x:v>3.1.2.1</x:v>
      </x:c>
      <x:c r="J614" s="5" t="str">
        <x:v>Schuldverhältnisse, AGB, Fristen und Gerichte</x:v>
      </x:c>
      <x:c r="K614" s="5" t="str"/>
      <x:c r="L614" s="5" t="str">
        <x:v>Schuldrecht: Grundlagen, AGB, Verjährung, Gerichte &amp; Produkthaftung</x:v>
      </x:c>
      <x:c r="M614" s="5" t="n">
        <x:v>65</x:v>
      </x:c>
      <x:c r="N614" s="5" t="n">
        <x:v>13</x:v>
      </x:c>
      <x:c r="O614" s="5" t="str"/>
      <x:c r="P614" s="5" t="str">
        <x:v>Pilot freigegeben</x:v>
      </x:c>
      <x:c r="Q614" s="5" t="str">
        <x:v>Revision 2 unverändert übernommen</x:v>
      </x:c>
      <x:c r="R614" s="5" t="str">
        <x:v>Welche Rechtsfolgen treten ein, wenn ein Anspruch verjährt ist? Kreuzen Sie die drei richtigen Aussagen an.</x:v>
      </x:c>
      <x:c r="S614" s="5" t="str">
        <x:v>c742a8c53db5586246b464caa25e4f623d1b913e9db998ace5d1b8a1d72f3708</x:v>
      </x:c>
    </x:row>
    <x:row r="615" ht="36" customHeight="1">
      <x:c r="A615" s="5" t="str">
        <x:v>R-0211</x:v>
      </x:c>
      <x:c r="B615" s="5" t="str">
        <x:v>WQ</x:v>
      </x:c>
      <x:c r="C615" s="5" t="str">
        <x:v>3</x:v>
      </x:c>
      <x:c r="D615" s="5" t="str">
        <x:v>Recht und Steuern</x:v>
      </x:c>
      <x:c r="E615" s="5" t="str">
        <x:v>Recht</x:v>
      </x:c>
      <x:c r="F615" s="5" t="str">
        <x:v>ui-wq-recht-schuld</x:v>
      </x:c>
      <x:c r="G615" s="5" t="str">
        <x:v>BGB Schuldrecht</x:v>
      </x:c>
      <x:c r="H615" s="5" t="str">
        <x:v>tr-wq-r02</x:v>
      </x:c>
      <x:c r="I615" s="5" t="str">
        <x:v>3.1.2.1</x:v>
      </x:c>
      <x:c r="J615" s="5" t="str">
        <x:v>Schuldverhältnisse, AGB, Fristen und Gerichte</x:v>
      </x:c>
      <x:c r="K615" s="5" t="str"/>
      <x:c r="L615" s="5" t="str">
        <x:v>Schuldrecht: Grundlagen, AGB, Verjährung, Gerichte &amp; Produkthaftung</x:v>
      </x:c>
      <x:c r="M615" s="5" t="n">
        <x:v>66</x:v>
      </x:c>
      <x:c r="N615" s="5" t="n">
        <x:v>14</x:v>
      </x:c>
      <x:c r="O615" s="5" t="str"/>
      <x:c r="P615" s="5" t="str">
        <x:v>Pilot freigegeben</x:v>
      </x:c>
      <x:c r="Q615" s="5" t="str">
        <x:v>Revision 2 unverändert übernommen</x:v>
      </x:c>
      <x:c r="R615" s="5" t="str">
        <x:v>Wo können die Rechtsfolgen der Verjährung gesetzlich nachgelesen werden?</x:v>
      </x:c>
      <x:c r="S615" s="5" t="str">
        <x:v>e9c50d23cd1e431edf34add1221a31bc66cb8c533aaa9990fd4c16cdf8440335</x:v>
      </x:c>
    </x:row>
    <x:row r="616" ht="36" customHeight="1">
      <x:c r="A616" s="5" t="str">
        <x:v>R-0212</x:v>
      </x:c>
      <x:c r="B616" s="5" t="str">
        <x:v>WQ</x:v>
      </x:c>
      <x:c r="C616" s="5" t="str">
        <x:v>3</x:v>
      </x:c>
      <x:c r="D616" s="5" t="str">
        <x:v>Recht und Steuern</x:v>
      </x:c>
      <x:c r="E616" s="5" t="str">
        <x:v>Recht</x:v>
      </x:c>
      <x:c r="F616" s="5" t="str">
        <x:v>ui-wq-recht-schuld</x:v>
      </x:c>
      <x:c r="G616" s="5" t="str">
        <x:v>BGB Schuldrecht</x:v>
      </x:c>
      <x:c r="H616" s="5" t="str">
        <x:v>tr-wq-r02</x:v>
      </x:c>
      <x:c r="I616" s="5" t="str">
        <x:v>3.1.2.1</x:v>
      </x:c>
      <x:c r="J616" s="5" t="str">
        <x:v>Schuldverhältnisse, AGB, Fristen und Gerichte</x:v>
      </x:c>
      <x:c r="K616" s="5" t="str"/>
      <x:c r="L616" s="5" t="str">
        <x:v>Schuldrecht: Grundlagen, AGB, Verjährung, Gerichte &amp; Produkthaftung</x:v>
      </x:c>
      <x:c r="M616" s="5" t="n">
        <x:v>67</x:v>
      </x:c>
      <x:c r="N616" s="5" t="n">
        <x:v>15</x:v>
      </x:c>
      <x:c r="O616" s="5" t="str"/>
      <x:c r="P616" s="5" t="str">
        <x:v>Pilot freigegeben</x:v>
      </x:c>
      <x:c r="Q616" s="5" t="str">
        <x:v>Revision 2 unverändert übernommen</x:v>
      </x:c>
      <x:c r="R616" s="5" t="str">
        <x:v>Herr H kauft am 20.11.2023 auf Rechnung einen Fernseher für 499 €. Wann verjährt die Kaufpreisforderung des Kaufhauses gegen H?</x:v>
      </x:c>
      <x:c r="S616" s="5" t="str">
        <x:v>f3278c94b5327c0922c64ce353a6347e028840cb4d7f1d1c51fe4dd113a7aff7</x:v>
      </x:c>
    </x:row>
    <x:row r="617" ht="36" customHeight="1">
      <x:c r="A617" s="5" t="str">
        <x:v>R-0213</x:v>
      </x:c>
      <x:c r="B617" s="5" t="str">
        <x:v>WQ</x:v>
      </x:c>
      <x:c r="C617" s="5" t="str">
        <x:v>3</x:v>
      </x:c>
      <x:c r="D617" s="5" t="str">
        <x:v>Recht und Steuern</x:v>
      </x:c>
      <x:c r="E617" s="5" t="str">
        <x:v>Recht</x:v>
      </x:c>
      <x:c r="F617" s="5" t="str">
        <x:v>ui-wq-recht-schuld</x:v>
      </x:c>
      <x:c r="G617" s="5" t="str">
        <x:v>BGB Schuldrecht</x:v>
      </x:c>
      <x:c r="H617" s="5" t="str">
        <x:v>tr-wq-r02</x:v>
      </x:c>
      <x:c r="I617" s="5" t="str">
        <x:v>3.1.2.1</x:v>
      </x:c>
      <x:c r="J617" s="5" t="str">
        <x:v>Schuldverhältnisse, AGB, Fristen und Gerichte</x:v>
      </x:c>
      <x:c r="K617" s="5" t="str"/>
      <x:c r="L617" s="5" t="str">
        <x:v>Schuldrecht: Grundlagen, AGB, Verjährung, Gerichte &amp; Produkthaftung</x:v>
      </x:c>
      <x:c r="M617" s="5" t="n">
        <x:v>68</x:v>
      </x:c>
      <x:c r="N617" s="5" t="n">
        <x:v>16</x:v>
      </x:c>
      <x:c r="O617" s="5" t="str"/>
      <x:c r="P617" s="5" t="str">
        <x:v>Pilot freigegeben</x:v>
      </x:c>
      <x:c r="Q617" s="5" t="str">
        <x:v>Revision 2 unverändert übernommen</x:v>
      </x:c>
      <x:c r="R617" s="5" t="str">
        <x:v>Welche Wirkung hat ein zugestellter Mahnbescheid auf die Verjährung? Nennen Sie zusätzlich die gesetzliche Grundlage.</x:v>
      </x:c>
      <x:c r="S617" s="5" t="str">
        <x:v>366064427069d752aa81e50aa962f596dfb290d053ca6a49b20508d9cc078eff</x:v>
      </x:c>
    </x:row>
    <x:row r="618" ht="36" customHeight="1">
      <x:c r="A618" s="5" t="str">
        <x:v>R-0214</x:v>
      </x:c>
      <x:c r="B618" s="5" t="str">
        <x:v>WQ</x:v>
      </x:c>
      <x:c r="C618" s="5" t="str">
        <x:v>3</x:v>
      </x:c>
      <x:c r="D618" s="5" t="str">
        <x:v>Recht und Steuern</x:v>
      </x:c>
      <x:c r="E618" s="5" t="str">
        <x:v>Recht</x:v>
      </x:c>
      <x:c r="F618" s="5" t="str">
        <x:v>ui-wq-recht-schuld</x:v>
      </x:c>
      <x:c r="G618" s="5" t="str">
        <x:v>BGB Schuldrecht</x:v>
      </x:c>
      <x:c r="H618" s="5" t="str">
        <x:v>tr-wq-r02</x:v>
      </x:c>
      <x:c r="I618" s="5" t="str">
        <x:v>3.1.2.1</x:v>
      </x:c>
      <x:c r="J618" s="5" t="str">
        <x:v>Schuldverhältnisse, AGB, Fristen und Gerichte</x:v>
      </x:c>
      <x:c r="K618" s="5" t="str"/>
      <x:c r="L618" s="5" t="str">
        <x:v>Schuldrecht: Grundlagen, AGB, Verjährung, Gerichte &amp; Produkthaftung</x:v>
      </x:c>
      <x:c r="M618" s="5" t="n">
        <x:v>69</x:v>
      </x:c>
      <x:c r="N618" s="5" t="n">
        <x:v>17</x:v>
      </x:c>
      <x:c r="O618" s="5" t="str"/>
      <x:c r="P618" s="5" t="str">
        <x:v>Pilot freigegeben</x:v>
      </x:c>
      <x:c r="Q618" s="5" t="str">
        <x:v>Revision 2 unverändert übernommen</x:v>
      </x:c>
      <x:c r="R618" s="5" t="str">
        <x:v>Unternehmerin U bestellte am 28.10.2023 Waren für 8.000 €, die am 03.11.2023 geliefert wurden. Am 15.03.2024 erkennt U die Forderung an. Wann tritt die Verjährung ein? Begründen Sie Ihre Antwort.</x:v>
      </x:c>
      <x:c r="S618" s="5" t="str">
        <x:v>abc24fe60c6a3accdd06751c489f6a3a9996d36429b5db77b1dc59c3882f2dbb</x:v>
      </x:c>
    </x:row>
    <x:row r="619" ht="36" customHeight="1">
      <x:c r="A619" s="5" t="str">
        <x:v>R-0215</x:v>
      </x:c>
      <x:c r="B619" s="5" t="str">
        <x:v>WQ</x:v>
      </x:c>
      <x:c r="C619" s="5" t="str">
        <x:v>3</x:v>
      </x:c>
      <x:c r="D619" s="5" t="str">
        <x:v>Recht und Steuern</x:v>
      </x:c>
      <x:c r="E619" s="5" t="str">
        <x:v>Recht</x:v>
      </x:c>
      <x:c r="F619" s="5" t="str">
        <x:v>ui-wq-recht-schuld</x:v>
      </x:c>
      <x:c r="G619" s="5" t="str">
        <x:v>BGB Schuldrecht</x:v>
      </x:c>
      <x:c r="H619" s="5" t="str">
        <x:v>tr-wq-r02</x:v>
      </x:c>
      <x:c r="I619" s="5" t="str">
        <x:v>3.1.2.1</x:v>
      </x:c>
      <x:c r="J619" s="5" t="str">
        <x:v>Schuldverhältnisse, AGB, Fristen und Gerichte</x:v>
      </x:c>
      <x:c r="K619" s="5" t="str"/>
      <x:c r="L619" s="5" t="str">
        <x:v>Schuldrecht: Grundlagen, AGB, Verjährung, Gerichte &amp; Produkthaftung</x:v>
      </x:c>
      <x:c r="M619" s="5" t="n">
        <x:v>70</x:v>
      </x:c>
      <x:c r="N619" s="5" t="n">
        <x:v>18</x:v>
      </x:c>
      <x:c r="O619" s="5" t="str"/>
      <x:c r="P619" s="5" t="str">
        <x:v>Pilot freigegeben</x:v>
      </x:c>
      <x:c r="Q619" s="5" t="str">
        <x:v>Revision 2 unverändert übernommen</x:v>
      </x:c>
      <x:c r="R619" s="5" t="str">
        <x:v>Was versteht man unter dem allgemeinen Gerichtsstand?</x:v>
      </x:c>
      <x:c r="S619" s="5" t="str">
        <x:v>963cfca6464107a6a6eedc34d2ebe7b9f6cce94a054f97c29e989e57fd1f8924</x:v>
      </x:c>
    </x:row>
    <x:row r="620" ht="36" customHeight="1">
      <x:c r="A620" s="5" t="str">
        <x:v>R-0216</x:v>
      </x:c>
      <x:c r="B620" s="5" t="str">
        <x:v>WQ</x:v>
      </x:c>
      <x:c r="C620" s="5" t="str">
        <x:v>3</x:v>
      </x:c>
      <x:c r="D620" s="5" t="str">
        <x:v>Recht und Steuern</x:v>
      </x:c>
      <x:c r="E620" s="5" t="str">
        <x:v>Recht</x:v>
      </x:c>
      <x:c r="F620" s="5" t="str">
        <x:v>ui-wq-recht-schuld</x:v>
      </x:c>
      <x:c r="G620" s="5" t="str">
        <x:v>BGB Schuldrecht</x:v>
      </x:c>
      <x:c r="H620" s="5" t="str">
        <x:v>tr-wq-r02</x:v>
      </x:c>
      <x:c r="I620" s="5" t="str">
        <x:v>3.1.2.1</x:v>
      </x:c>
      <x:c r="J620" s="5" t="str">
        <x:v>Schuldverhältnisse, AGB, Fristen und Gerichte</x:v>
      </x:c>
      <x:c r="K620" s="5" t="str"/>
      <x:c r="L620" s="5" t="str">
        <x:v>Schuldrecht: Grundlagen, AGB, Verjährung, Gerichte &amp; Produkthaftung</x:v>
      </x:c>
      <x:c r="M620" s="5" t="n">
        <x:v>71</x:v>
      </x:c>
      <x:c r="N620" s="5" t="n">
        <x:v>19</x:v>
      </x:c>
      <x:c r="O620" s="5" t="str"/>
      <x:c r="P620" s="5" t="str">
        <x:v>Pilot freigegeben</x:v>
      </x:c>
      <x:c r="Q620" s="5" t="str">
        <x:v>Revision 2 unverändert übernommen</x:v>
      </x:c>
      <x:c r="R620" s="5" t="str">
        <x:v>Nennen Sie mindestens drei besondere Gerichtsstände.</x:v>
      </x:c>
      <x:c r="S620" s="5" t="str">
        <x:v>2130d4217b791e4c9ba827778e517ad6cd4428be546700a5c3d92e02738b209f</x:v>
      </x:c>
    </x:row>
    <x:row r="621" ht="36" customHeight="1">
      <x:c r="A621" s="5" t="str">
        <x:v>R-0217</x:v>
      </x:c>
      <x:c r="B621" s="5" t="str">
        <x:v>WQ</x:v>
      </x:c>
      <x:c r="C621" s="5" t="str">
        <x:v>3</x:v>
      </x:c>
      <x:c r="D621" s="5" t="str">
        <x:v>Recht und Steuern</x:v>
      </x:c>
      <x:c r="E621" s="5" t="str">
        <x:v>Recht</x:v>
      </x:c>
      <x:c r="F621" s="5" t="str">
        <x:v>ui-wq-recht-schuld</x:v>
      </x:c>
      <x:c r="G621" s="5" t="str">
        <x:v>BGB Schuldrecht</x:v>
      </x:c>
      <x:c r="H621" s="5" t="str">
        <x:v>tr-wq-r02</x:v>
      </x:c>
      <x:c r="I621" s="5" t="str">
        <x:v>3.1.2.1</x:v>
      </x:c>
      <x:c r="J621" s="5" t="str">
        <x:v>Schuldverhältnisse, AGB, Fristen und Gerichte</x:v>
      </x:c>
      <x:c r="K621" s="5" t="str"/>
      <x:c r="L621" s="5" t="str">
        <x:v>Schuldrecht: Grundlagen, AGB, Verjährung, Gerichte &amp; Produkthaftung</x:v>
      </x:c>
      <x:c r="M621" s="5" t="n">
        <x:v>72</x:v>
      </x:c>
      <x:c r="N621" s="5" t="n">
        <x:v>20</x:v>
      </x:c>
      <x:c r="O621" s="5" t="str"/>
      <x:c r="P621" s="5" t="str">
        <x:v>Pilot freigegeben</x:v>
      </x:c>
      <x:c r="Q621" s="5" t="str">
        <x:v>Revision 2 unverändert übernommen</x:v>
      </x:c>
      <x:c r="R621" s="5" t="str">
        <x:v>Nennen Sie ein Beispiel für einen ausschließlichen Gerichtsstand.</x:v>
      </x:c>
      <x:c r="S621" s="5" t="str">
        <x:v>8ac8284318fbdb2d39bfeaf3e4e001633740674f4250c22f515dc9eceb5392a0</x:v>
      </x:c>
    </x:row>
    <x:row r="622" ht="36" customHeight="1">
      <x:c r="A622" s="5" t="str">
        <x:v>R-0218</x:v>
      </x:c>
      <x:c r="B622" s="5" t="str">
        <x:v>WQ</x:v>
      </x:c>
      <x:c r="C622" s="5" t="str">
        <x:v>3</x:v>
      </x:c>
      <x:c r="D622" s="5" t="str">
        <x:v>Recht und Steuern</x:v>
      </x:c>
      <x:c r="E622" s="5" t="str">
        <x:v>Recht</x:v>
      </x:c>
      <x:c r="F622" s="5" t="str">
        <x:v>ui-wq-recht-schuld</x:v>
      </x:c>
      <x:c r="G622" s="5" t="str">
        <x:v>BGB Schuldrecht</x:v>
      </x:c>
      <x:c r="H622" s="5" t="str">
        <x:v>tr-wq-r02</x:v>
      </x:c>
      <x:c r="I622" s="5" t="str">
        <x:v>3.1.2.1</x:v>
      </x:c>
      <x:c r="J622" s="5" t="str">
        <x:v>Schuldverhältnisse, AGB, Fristen und Gerichte</x:v>
      </x:c>
      <x:c r="K622" s="5" t="str"/>
      <x:c r="L622" s="5" t="str">
        <x:v>Schuldrecht: Grundlagen, AGB, Verjährung, Gerichte &amp; Produkthaftung</x:v>
      </x:c>
      <x:c r="M622" s="5" t="n">
        <x:v>73</x:v>
      </x:c>
      <x:c r="N622" s="5" t="n">
        <x:v>21</x:v>
      </x:c>
      <x:c r="O622" s="5" t="str"/>
      <x:c r="P622" s="5" t="str">
        <x:v>Pilot freigegeben</x:v>
      </x:c>
      <x:c r="Q622" s="5" t="str">
        <x:v>Revision 2 unverändert übernommen</x:v>
      </x:c>
      <x:c r="R622" s="5" t="str">
        <x:v>Was versteht man unter der sachlichen Zuständigkeit eines Gerichts? Erläutern Sie dies anhand der aktuellen Wertgrenze zwischen Amtsgericht und Landgericht.</x:v>
      </x:c>
      <x:c r="S622" s="5" t="str">
        <x:v>44534955e8d43f53998501d7be0a5f08d5c1c4a48534cc6c29450a9081b411b0</x:v>
      </x:c>
    </x:row>
    <x:row r="623" ht="36" customHeight="1">
      <x:c r="A623" s="5" t="str">
        <x:v>R-0219</x:v>
      </x:c>
      <x:c r="B623" s="5" t="str">
        <x:v>WQ</x:v>
      </x:c>
      <x:c r="C623" s="5" t="str">
        <x:v>3</x:v>
      </x:c>
      <x:c r="D623" s="5" t="str">
        <x:v>Recht und Steuern</x:v>
      </x:c>
      <x:c r="E623" s="5" t="str">
        <x:v>Recht</x:v>
      </x:c>
      <x:c r="F623" s="5" t="str">
        <x:v>ui-wq-recht-schuld</x:v>
      </x:c>
      <x:c r="G623" s="5" t="str">
        <x:v>BGB Schuldrecht</x:v>
      </x:c>
      <x:c r="H623" s="5" t="str">
        <x:v>tr-wq-r02</x:v>
      </x:c>
      <x:c r="I623" s="5" t="str">
        <x:v>3.1.2.1</x:v>
      </x:c>
      <x:c r="J623" s="5" t="str">
        <x:v>Schuldverhältnisse, AGB, Fristen und Gerichte</x:v>
      </x:c>
      <x:c r="K623" s="5" t="str"/>
      <x:c r="L623" s="5" t="str">
        <x:v>Schuldrecht: Grundlagen, AGB, Verjährung, Gerichte &amp; Produkthaftung</x:v>
      </x:c>
      <x:c r="M623" s="5" t="n">
        <x:v>74</x:v>
      </x:c>
      <x:c r="N623" s="5" t="n">
        <x:v>22</x:v>
      </x:c>
      <x:c r="O623" s="5" t="str"/>
      <x:c r="P623" s="5" t="str">
        <x:v>Pilot freigegeben</x:v>
      </x:c>
      <x:c r="Q623" s="5" t="str">
        <x:v>Revision 2 unverändert übernommen</x:v>
      </x:c>
      <x:c r="R623" s="5" t="str">
        <x:v>Nennen Sie die fünf Gerichtsbarkeiten in Deutschland.</x:v>
      </x:c>
      <x:c r="S623" s="5" t="str">
        <x:v>8e6ce6a369512196e49065cb46c4de6c739fdd9b47d8601a788fc69cebd0336d</x:v>
      </x:c>
    </x:row>
    <x:row r="624" ht="36" customHeight="1">
      <x:c r="A624" s="5" t="str">
        <x:v>R-0220</x:v>
      </x:c>
      <x:c r="B624" s="5" t="str">
        <x:v>WQ</x:v>
      </x:c>
      <x:c r="C624" s="5" t="str">
        <x:v>3</x:v>
      </x:c>
      <x:c r="D624" s="5" t="str">
        <x:v>Recht und Steuern</x:v>
      </x:c>
      <x:c r="E624" s="5" t="str">
        <x:v>Recht</x:v>
      </x:c>
      <x:c r="F624" s="5" t="str">
        <x:v>ui-wq-recht-schuld</x:v>
      </x:c>
      <x:c r="G624" s="5" t="str">
        <x:v>BGB Schuldrecht</x:v>
      </x:c>
      <x:c r="H624" s="5" t="str">
        <x:v>tr-wq-r03</x:v>
      </x:c>
      <x:c r="I624" s="5" t="str">
        <x:v>3.1.2.2</x:v>
      </x:c>
      <x:c r="J624" s="5" t="str">
        <x:v>Haftung für fehlerhafte Produkte</x:v>
      </x:c>
      <x:c r="K624" s="5" t="str"/>
      <x:c r="L624" s="5" t="str">
        <x:v>Schuldrecht: Grundlagen, AGB, Verjährung, Gerichte &amp; Produkthaftung</x:v>
      </x:c>
      <x:c r="M624" s="5" t="n">
        <x:v>75</x:v>
      </x:c>
      <x:c r="N624" s="5" t="n">
        <x:v>1</x:v>
      </x:c>
      <x:c r="O624" s="5" t="str"/>
      <x:c r="P624" s="5" t="str">
        <x:v>Pilot freigegeben</x:v>
      </x:c>
      <x:c r="Q624" s="5" t="str">
        <x:v>Revision 2 unverändert übernommen</x:v>
      </x:c>
      <x:c r="R624" s="5" t="str">
        <x:v>Bringen Sie die Begriffe Käufer, Verkäufer, Gewährleistung und Produkthaftung in die richtige Beziehung.</x:v>
      </x:c>
      <x:c r="S624" s="5" t="str">
        <x:v>ebbd13abd98d5204b80164a95dadd879b8e48781e04af54a1bf1d575a25456c9</x:v>
      </x:c>
    </x:row>
    <x:row r="625" ht="36" customHeight="1">
      <x:c r="A625" s="5" t="str">
        <x:v>R-0221</x:v>
      </x:c>
      <x:c r="B625" s="5" t="str">
        <x:v>WQ</x:v>
      </x:c>
      <x:c r="C625" s="5" t="str">
        <x:v>3</x:v>
      </x:c>
      <x:c r="D625" s="5" t="str">
        <x:v>Recht und Steuern</x:v>
      </x:c>
      <x:c r="E625" s="5" t="str">
        <x:v>Recht</x:v>
      </x:c>
      <x:c r="F625" s="5" t="str">
        <x:v>ui-wq-recht-schuld</x:v>
      </x:c>
      <x:c r="G625" s="5" t="str">
        <x:v>BGB Schuldrecht</x:v>
      </x:c>
      <x:c r="H625" s="5" t="str">
        <x:v>tr-wq-r03</x:v>
      </x:c>
      <x:c r="I625" s="5" t="str">
        <x:v>3.1.2.2</x:v>
      </x:c>
      <x:c r="J625" s="5" t="str">
        <x:v>Haftung für fehlerhafte Produkte</x:v>
      </x:c>
      <x:c r="K625" s="5" t="str"/>
      <x:c r="L625" s="5" t="str">
        <x:v>Schuldrecht: Grundlagen, AGB, Verjährung, Gerichte &amp; Produkthaftung</x:v>
      </x:c>
      <x:c r="M625" s="5" t="n">
        <x:v>76</x:v>
      </x:c>
      <x:c r="N625" s="5" t="n">
        <x:v>2</x:v>
      </x:c>
      <x:c r="O625" s="5" t="str"/>
      <x:c r="P625" s="5" t="str">
        <x:v>Pilot freigegeben</x:v>
      </x:c>
      <x:c r="Q625" s="5" t="str">
        <x:v>Revision 2 unverändert übernommen</x:v>
      </x:c>
      <x:c r="R625" s="5" t="str">
        <x:v>Beim Test eines von Circle Harbor hergestellten E-Bikes wird Kundin C durch einen konstruktionsbedingt fehlerhaften Akku verletzt. Prüfen Sie, ob C gegen die Circle Harbor GmbH Ansprüche nach dem Produkthaftungsgesetz hat.</x:v>
      </x:c>
      <x:c r="S625" s="5" t="str">
        <x:v>f20cc34bdbbc879814494d2de813778de1098f028b89ead4bd8570979d369c22</x:v>
      </x:c>
    </x:row>
    <x:row r="626" ht="36" customHeight="1">
      <x:c r="A626" s="5" t="str">
        <x:v>R-0222</x:v>
      </x:c>
      <x:c r="B626" s="5" t="str">
        <x:v>WQ</x:v>
      </x:c>
      <x:c r="C626" s="5" t="str">
        <x:v>3</x:v>
      </x:c>
      <x:c r="D626" s="5" t="str">
        <x:v>Recht und Steuern</x:v>
      </x:c>
      <x:c r="E626" s="5" t="str">
        <x:v>Recht</x:v>
      </x:c>
      <x:c r="F626" s="5" t="str">
        <x:v>ui-wq-recht-schuld</x:v>
      </x:c>
      <x:c r="G626" s="5" t="str">
        <x:v>BGB Schuldrecht</x:v>
      </x:c>
      <x:c r="H626" s="5" t="str">
        <x:v>tr-wq-r03</x:v>
      </x:c>
      <x:c r="I626" s="5" t="str">
        <x:v>3.1.2.2</x:v>
      </x:c>
      <x:c r="J626" s="5" t="str">
        <x:v>Haftung für fehlerhafte Produkte</x:v>
      </x:c>
      <x:c r="K626" s="5" t="str"/>
      <x:c r="L626" s="5" t="str">
        <x:v>Schuldrecht: Grundlagen, AGB, Verjährung, Gerichte &amp; Produkthaftung</x:v>
      </x:c>
      <x:c r="M626" s="5" t="n">
        <x:v>77</x:v>
      </x:c>
      <x:c r="N626" s="5" t="n">
        <x:v>3</x:v>
      </x:c>
      <x:c r="O626" s="5" t="str"/>
      <x:c r="P626" s="5" t="str">
        <x:v>Pilot freigegeben</x:v>
      </x:c>
      <x:c r="Q626" s="5" t="str">
        <x:v>Revision 2 unverändert übernommen</x:v>
      </x:c>
      <x:c r="R626" s="5" t="str">
        <x:v>Ergänzen Sie die Ausschlussgründe der Produkthaftung.</x:v>
      </x:c>
      <x:c r="S626" s="5" t="str">
        <x:v>7a2d25b462a3a381b08ed2890df59ccf93c34171191e01f8ef09e36b894b7c29</x:v>
      </x:c>
    </x:row>
    <x:row r="627" ht="36" customHeight="1">
      <x:c r="A627" s="5" t="str">
        <x:v>R-0223</x:v>
      </x:c>
      <x:c r="B627" s="5" t="str">
        <x:v>WQ</x:v>
      </x:c>
      <x:c r="C627" s="5" t="str">
        <x:v>3</x:v>
      </x:c>
      <x:c r="D627" s="5" t="str">
        <x:v>Recht und Steuern</x:v>
      </x:c>
      <x:c r="E627" s="5" t="str">
        <x:v>Recht</x:v>
      </x:c>
      <x:c r="F627" s="5" t="str">
        <x:v>ui-wq-recht-schuld</x:v>
      </x:c>
      <x:c r="G627" s="5" t="str">
        <x:v>BGB Schuldrecht</x:v>
      </x:c>
      <x:c r="H627" s="5" t="str">
        <x:v>tr-wq-r04</x:v>
      </x:c>
      <x:c r="I627" s="5" t="str">
        <x:v>3.1.2.3</x:v>
      </x:c>
      <x:c r="J627" s="5" t="str">
        <x:v>Warenkauf und Rechte bei Mängeln</x:v>
      </x:c>
      <x:c r="K627" s="5" t="str"/>
      <x:c r="L627" s="5" t="str">
        <x:v>Kaufrecht &amp; Verbraucherschutz</x:v>
      </x:c>
      <x:c r="M627" s="5" t="n">
        <x:v>78</x:v>
      </x:c>
      <x:c r="N627" s="5" t="n">
        <x:v>34</x:v>
      </x:c>
      <x:c r="O627" s="5" t="str"/>
      <x:c r="P627" s="5" t="str">
        <x:v>Pilot freigegeben</x:v>
      </x:c>
      <x:c r="Q627" s="5" t="str">
        <x:v>Revision 2 unverändert übernommen</x:v>
      </x:c>
      <x:c r="R627" s="5" t="str">
        <x:v>Nennen Sie die Hauptpflichten der Vertragsparteien beim Kaufvertrag.</x:v>
      </x:c>
      <x:c r="S627" s="5" t="str">
        <x:v>0a92b2b6d5f5dcf534325d70a3c77ee002efd5a86b1268ded1bff7c72862609c</x:v>
      </x:c>
    </x:row>
    <x:row r="628" ht="36" customHeight="1">
      <x:c r="A628" s="5" t="str">
        <x:v>R-0224</x:v>
      </x:c>
      <x:c r="B628" s="5" t="str">
        <x:v>WQ</x:v>
      </x:c>
      <x:c r="C628" s="5" t="str">
        <x:v>3</x:v>
      </x:c>
      <x:c r="D628" s="5" t="str">
        <x:v>Recht und Steuern</x:v>
      </x:c>
      <x:c r="E628" s="5" t="str">
        <x:v>Recht</x:v>
      </x:c>
      <x:c r="F628" s="5" t="str">
        <x:v>ui-wq-recht-schuld</x:v>
      </x:c>
      <x:c r="G628" s="5" t="str">
        <x:v>BGB Schuldrecht</x:v>
      </x:c>
      <x:c r="H628" s="5" t="str">
        <x:v>tr-wq-r04</x:v>
      </x:c>
      <x:c r="I628" s="5" t="str">
        <x:v>3.1.2.3</x:v>
      </x:c>
      <x:c r="J628" s="5" t="str">
        <x:v>Warenkauf und Rechte bei Mängeln</x:v>
      </x:c>
      <x:c r="K628" s="5" t="str"/>
      <x:c r="L628" s="5" t="str">
        <x:v>Kaufrecht &amp; Verbraucherschutz</x:v>
      </x:c>
      <x:c r="M628" s="5" t="n">
        <x:v>79</x:v>
      </x:c>
      <x:c r="N628" s="5" t="n">
        <x:v>35</x:v>
      </x:c>
      <x:c r="O628" s="5" t="str"/>
      <x:c r="P628" s="5" t="str">
        <x:v>Pilot freigegeben</x:v>
      </x:c>
      <x:c r="Q628" s="5" t="str">
        <x:v>Revision 2 unverändert übernommen</x:v>
      </x:c>
      <x:c r="R628" s="5" t="str">
        <x:v>Welche Rechtsgeschäfte liegen bei einem vollständig abgewickelten Kaufvertrag vor?</x:v>
      </x:c>
      <x:c r="S628" s="5" t="str">
        <x:v>96d09f9be2428c29380c5c74636e5c6c8523b9485eeb731524eea726beaed9e4</x:v>
      </x:c>
    </x:row>
    <x:row r="629" ht="36" customHeight="1">
      <x:c r="A629" s="5" t="str">
        <x:v>R-0225</x:v>
      </x:c>
      <x:c r="B629" s="5" t="str">
        <x:v>WQ</x:v>
      </x:c>
      <x:c r="C629" s="5" t="str">
        <x:v>3</x:v>
      </x:c>
      <x:c r="D629" s="5" t="str">
        <x:v>Recht und Steuern</x:v>
      </x:c>
      <x:c r="E629" s="5" t="str">
        <x:v>Recht</x:v>
      </x:c>
      <x:c r="F629" s="5" t="str">
        <x:v>ui-wq-recht-schuld</x:v>
      </x:c>
      <x:c r="G629" s="5" t="str">
        <x:v>BGB Schuldrecht</x:v>
      </x:c>
      <x:c r="H629" s="5" t="str">
        <x:v>tr-wq-r04</x:v>
      </x:c>
      <x:c r="I629" s="5" t="str">
        <x:v>3.1.2.3</x:v>
      </x:c>
      <x:c r="J629" s="5" t="str">
        <x:v>Warenkauf und Rechte bei Mängeln</x:v>
      </x:c>
      <x:c r="K629" s="5" t="str">
        <x:v>3.1.3.2</x:v>
      </x:c>
      <x:c r="L629" s="5" t="str">
        <x:v>Kaufrecht &amp; Verbraucherschutz</x:v>
      </x:c>
      <x:c r="M629" s="5" t="n">
        <x:v>80</x:v>
      </x:c>
      <x:c r="N629" s="5" t="n">
        <x:v>36</x:v>
      </x:c>
      <x:c r="O629" s="5" t="str"/>
      <x:c r="P629" s="5" t="str">
        <x:v>Pilot freigegeben</x:v>
      </x:c>
      <x:c r="Q629" s="5" t="str">
        <x:v>Revision 2 unverändert übernommen</x:v>
      </x:c>
      <x:c r="R629" s="5" t="str">
        <x:v>Erklären Sie den Eigentumsvorbehalt nach § 449 BGB.</x:v>
      </x:c>
      <x:c r="S629" s="5" t="str">
        <x:v>8e2aed735751ac01465f8dd8bb8bc540773774c5619c80af19649787df63bd3b</x:v>
      </x:c>
    </x:row>
    <x:row r="630" ht="36" customHeight="1">
      <x:c r="A630" s="5" t="str">
        <x:v>R-0226</x:v>
      </x:c>
      <x:c r="B630" s="5" t="str">
        <x:v>WQ</x:v>
      </x:c>
      <x:c r="C630" s="5" t="str">
        <x:v>3</x:v>
      </x:c>
      <x:c r="D630" s="5" t="str">
        <x:v>Recht und Steuern</x:v>
      </x:c>
      <x:c r="E630" s="5" t="str">
        <x:v>Recht</x:v>
      </x:c>
      <x:c r="F630" s="5" t="str">
        <x:v>ui-wq-recht-schuld</x:v>
      </x:c>
      <x:c r="G630" s="5" t="str">
        <x:v>BGB Schuldrecht</x:v>
      </x:c>
      <x:c r="H630" s="5" t="str">
        <x:v>tr-wq-r04</x:v>
      </x:c>
      <x:c r="I630" s="5" t="str">
        <x:v>3.1.2.3</x:v>
      </x:c>
      <x:c r="J630" s="5" t="str">
        <x:v>Warenkauf und Rechte bei Mängeln</x:v>
      </x:c>
      <x:c r="K630" s="5" t="str"/>
      <x:c r="L630" s="5" t="str">
        <x:v>Kaufrecht &amp; Verbraucherschutz</x:v>
      </x:c>
      <x:c r="M630" s="5" t="n">
        <x:v>81</x:v>
      </x:c>
      <x:c r="N630" s="5" t="n">
        <x:v>37</x:v>
      </x:c>
      <x:c r="O630" s="5" t="str"/>
      <x:c r="P630" s="5" t="str">
        <x:v>Pilot freigegeben</x:v>
      </x:c>
      <x:c r="Q630" s="5" t="str">
        <x:v>Revision 2 unverändert übernommen</x:v>
      </x:c>
      <x:c r="R630" s="5" t="str">
        <x:v>Welche Gewährleistungsrechte hat der Käufer nach § 437 BGB? Kreuzen Sie alle richtigen Antworten an.</x:v>
      </x:c>
      <x:c r="S630" s="5" t="str">
        <x:v>41cabbfa5df49fe1f71a5f1328fb1cbf790fc237e500b8a86979a6e69fccfc3d</x:v>
      </x:c>
    </x:row>
    <x:row r="631" ht="36" customHeight="1">
      <x:c r="A631" s="5" t="str">
        <x:v>R-0227</x:v>
      </x:c>
      <x:c r="B631" s="5" t="str">
        <x:v>WQ</x:v>
      </x:c>
      <x:c r="C631" s="5" t="str">
        <x:v>3</x:v>
      </x:c>
      <x:c r="D631" s="5" t="str">
        <x:v>Recht und Steuern</x:v>
      </x:c>
      <x:c r="E631" s="5" t="str">
        <x:v>Recht</x:v>
      </x:c>
      <x:c r="F631" s="5" t="str">
        <x:v>ui-wq-recht-schuld</x:v>
      </x:c>
      <x:c r="G631" s="5" t="str">
        <x:v>BGB Schuldrecht</x:v>
      </x:c>
      <x:c r="H631" s="5" t="str">
        <x:v>tr-wq-r04</x:v>
      </x:c>
      <x:c r="I631" s="5" t="str">
        <x:v>3.1.2.3</x:v>
      </x:c>
      <x:c r="J631" s="5" t="str">
        <x:v>Warenkauf und Rechte bei Mängeln</x:v>
      </x:c>
      <x:c r="K631" s="5" t="str"/>
      <x:c r="L631" s="5" t="str">
        <x:v>Kaufrecht &amp; Verbraucherschutz</x:v>
      </x:c>
      <x:c r="M631" s="5" t="n">
        <x:v>82</x:v>
      </x:c>
      <x:c r="N631" s="5" t="n">
        <x:v>38</x:v>
      </x:c>
      <x:c r="O631" s="5" t="str"/>
      <x:c r="P631" s="5" t="str">
        <x:v>Pilot freigegeben</x:v>
      </x:c>
      <x:c r="Q631" s="5" t="str">
        <x:v>Revision 2 unverändert übernommen</x:v>
      </x:c>
      <x:c r="R631" s="5" t="str">
        <x:v>Welches Gewährleistungsrecht ist vorrangig und warum?</x:v>
      </x:c>
      <x:c r="S631" s="5" t="str">
        <x:v>ad0725bf4414369e8f3b552b7945c8b31daa989468e497e78f61cea5dfd1ef19</x:v>
      </x:c>
    </x:row>
    <x:row r="632" ht="36" customHeight="1">
      <x:c r="A632" s="5" t="str">
        <x:v>R-0228</x:v>
      </x:c>
      <x:c r="B632" s="5" t="str">
        <x:v>WQ</x:v>
      </x:c>
      <x:c r="C632" s="5" t="str">
        <x:v>3</x:v>
      </x:c>
      <x:c r="D632" s="5" t="str">
        <x:v>Recht und Steuern</x:v>
      </x:c>
      <x:c r="E632" s="5" t="str">
        <x:v>Recht</x:v>
      </x:c>
      <x:c r="F632" s="5" t="str">
        <x:v>ui-wq-recht-schuld</x:v>
      </x:c>
      <x:c r="G632" s="5" t="str">
        <x:v>BGB Schuldrecht</x:v>
      </x:c>
      <x:c r="H632" s="5" t="str">
        <x:v>tr-wq-r04</x:v>
      </x:c>
      <x:c r="I632" s="5" t="str">
        <x:v>3.1.2.3</x:v>
      </x:c>
      <x:c r="J632" s="5" t="str">
        <x:v>Warenkauf und Rechte bei Mängeln</x:v>
      </x:c>
      <x:c r="K632" s="5" t="str"/>
      <x:c r="L632" s="5" t="str">
        <x:v>Kaufrecht &amp; Verbraucherschutz</x:v>
      </x:c>
      <x:c r="M632" s="5" t="n">
        <x:v>83</x:v>
      </x:c>
      <x:c r="N632" s="5" t="n">
        <x:v>39</x:v>
      </x:c>
      <x:c r="O632" s="5" t="str"/>
      <x:c r="P632" s="5" t="str">
        <x:v>Pilot freigegeben</x:v>
      </x:c>
      <x:c r="Q632" s="5" t="str">
        <x:v>Revision 2 unverändert übernommen</x:v>
      </x:c>
      <x:c r="R632" s="5" t="str">
        <x:v>Ergänzen Sie die Übersicht zu den Käuferrechten bei Sach- und Rechtsmängeln.</x:v>
      </x:c>
      <x:c r="S632" s="5" t="str">
        <x:v>dd1a42d582953a0f4dc4f1dc12c1f28fc0778568524db48590401334d239ee4d</x:v>
      </x:c>
    </x:row>
    <x:row r="633" ht="36" customHeight="1">
      <x:c r="A633" s="5" t="str">
        <x:v>R-0229</x:v>
      </x:c>
      <x:c r="B633" s="5" t="str">
        <x:v>WQ</x:v>
      </x:c>
      <x:c r="C633" s="5" t="str">
        <x:v>3</x:v>
      </x:c>
      <x:c r="D633" s="5" t="str">
        <x:v>Recht und Steuern</x:v>
      </x:c>
      <x:c r="E633" s="5" t="str">
        <x:v>Recht</x:v>
      </x:c>
      <x:c r="F633" s="5" t="str">
        <x:v>ui-wq-recht-schuld</x:v>
      </x:c>
      <x:c r="G633" s="5" t="str">
        <x:v>BGB Schuldrecht</x:v>
      </x:c>
      <x:c r="H633" s="5" t="str">
        <x:v>tr-wq-r04</x:v>
      </x:c>
      <x:c r="I633" s="5" t="str">
        <x:v>3.1.2.3</x:v>
      </x:c>
      <x:c r="J633" s="5" t="str">
        <x:v>Warenkauf und Rechte bei Mängeln</x:v>
      </x:c>
      <x:c r="K633" s="5" t="str"/>
      <x:c r="L633" s="5" t="str">
        <x:v>Kaufrecht &amp; Verbraucherschutz</x:v>
      </x:c>
      <x:c r="M633" s="5" t="n">
        <x:v>84</x:v>
      </x:c>
      <x:c r="N633" s="5" t="n">
        <x:v>40</x:v>
      </x:c>
      <x:c r="O633" s="5" t="str"/>
      <x:c r="P633" s="5" t="str">
        <x:v>Pilot freigegeben</x:v>
      </x:c>
      <x:c r="Q633" s="5" t="str">
        <x:v>Revision 2 unverändert übernommen</x:v>
      </x:c>
      <x:c r="R633" s="5" t="str">
        <x:v>V kauft eine Waschmaschine. Bereits bei der Übergabe kann sie nicht zum gewöhnlichen Waschen von Wäsche verwendet werden; ihre Funktionsfähigkeit entspricht nicht derjenigen üblicher vergleichbarer Waschmaschinen. Eine solche Abweichung wurde nicht vereinbart.
Hat die Waschmaschine einen Sachmangel? Begründen Sie.</x:v>
      </x:c>
      <x:c r="S633" s="5" t="str">
        <x:v>0fc461a1f93aef8341c2234c4c3bfb49ae28994095678ced9c675aa2b55a3e7e</x:v>
      </x:c>
    </x:row>
    <x:row r="634" ht="36" customHeight="1">
      <x:c r="A634" s="5" t="str">
        <x:v>R-0230</x:v>
      </x:c>
      <x:c r="B634" s="5" t="str">
        <x:v>WQ</x:v>
      </x:c>
      <x:c r="C634" s="5" t="str">
        <x:v>3</x:v>
      </x:c>
      <x:c r="D634" s="5" t="str">
        <x:v>Recht und Steuern</x:v>
      </x:c>
      <x:c r="E634" s="5" t="str">
        <x:v>Recht</x:v>
      </x:c>
      <x:c r="F634" s="5" t="str">
        <x:v>ui-wq-recht-schuld</x:v>
      </x:c>
      <x:c r="G634" s="5" t="str">
        <x:v>BGB Schuldrecht</x:v>
      </x:c>
      <x:c r="H634" s="5" t="str">
        <x:v>tr-wq-r04</x:v>
      </x:c>
      <x:c r="I634" s="5" t="str">
        <x:v>3.1.2.3</x:v>
      </x:c>
      <x:c r="J634" s="5" t="str">
        <x:v>Warenkauf und Rechte bei Mängeln</x:v>
      </x:c>
      <x:c r="K634" s="5" t="str"/>
      <x:c r="L634" s="5" t="str">
        <x:v>Kaufrecht &amp; Verbraucherschutz</x:v>
      </x:c>
      <x:c r="M634" s="5" t="n">
        <x:v>85</x:v>
      </x:c>
      <x:c r="N634" s="5" t="n">
        <x:v>41</x:v>
      </x:c>
      <x:c r="O634" s="5" t="str"/>
      <x:c r="P634" s="5" t="str">
        <x:v>Pilot freigegeben</x:v>
      </x:c>
      <x:c r="Q634" s="5" t="str">
        <x:v>Revision 2 unverändert übernommen</x:v>
      </x:c>
      <x:c r="R634" s="5" t="str">
        <x:v>V hat eine Waschmaschine erhalten, die bereits bei Übergabe nicht ordnungsgemäß zum Waschen verwendet werden kann. Der Verkäufer bietet eine vollständige, schnell und kostengünstig durchführbare Reparatur an. Eine Neulieferung wäre demgegenüber unter Berücksichtigung des Werts der mangelfreien Maschine und der Bedeutung des Mangels nur mit unverhältnismäßigen Kosten möglich. Die Reparatur bringt für V keine erheblichen Nachteile mit sich. Der Verkäufer verweigert die Neulieferung aus diesem Grund.
Kann V statt Reparatur die Lieferung einer neuen Waschmaschine verlangen? Begründen Sie.</x:v>
      </x:c>
      <x:c r="S634" s="5" t="str">
        <x:v>dc90788268570b85eee40c590c7769e159924a63fc8884d3206d0093b97ea645</x:v>
      </x:c>
    </x:row>
    <x:row r="635" ht="36" customHeight="1">
      <x:c r="A635" s="5" t="str">
        <x:v>R-0231</x:v>
      </x:c>
      <x:c r="B635" s="5" t="str">
        <x:v>WQ</x:v>
      </x:c>
      <x:c r="C635" s="5" t="str">
        <x:v>3</x:v>
      </x:c>
      <x:c r="D635" s="5" t="str">
        <x:v>Recht und Steuern</x:v>
      </x:c>
      <x:c r="E635" s="5" t="str">
        <x:v>Recht</x:v>
      </x:c>
      <x:c r="F635" s="5" t="str">
        <x:v>ui-wq-recht-schuld</x:v>
      </x:c>
      <x:c r="G635" s="5" t="str">
        <x:v>BGB Schuldrecht</x:v>
      </x:c>
      <x:c r="H635" s="5" t="str">
        <x:v>tr-wq-r04</x:v>
      </x:c>
      <x:c r="I635" s="5" t="str">
        <x:v>3.1.2.3</x:v>
      </x:c>
      <x:c r="J635" s="5" t="str">
        <x:v>Warenkauf und Rechte bei Mängeln</x:v>
      </x:c>
      <x:c r="K635" s="5" t="str"/>
      <x:c r="L635" s="5" t="str">
        <x:v>Kaufrecht &amp; Verbraucherschutz</x:v>
      </x:c>
      <x:c r="M635" s="5" t="n">
        <x:v>86</x:v>
      </x:c>
      <x:c r="N635" s="5" t="n">
        <x:v>42</x:v>
      </x:c>
      <x:c r="O635" s="5" t="str"/>
      <x:c r="P635" s="5" t="str">
        <x:v>Pilot freigegeben</x:v>
      </x:c>
      <x:c r="Q635" s="5" t="str">
        <x:v>Revision 2 unverändert übernommen</x:v>
      </x:c>
      <x:c r="R635" s="5" t="str">
        <x:v>Ein Käufer bestellt 1.000 Fliesen, die in der gesamten Menge farblich zusammenpassen sollen. Geliefert werden nur 800 Fliesen aus einer Partie. Die fehlenden 200 Fliesen könnten nur aus einer anderen Partie ergänzt werden; wegen möglicher Farbabweichungen lässt sich dadurch keine farblich einheitliche Gesamtlieferung sicherstellen. Eine vollständige Neulieferung von 1.000 zusammenpassenden Fliesen ist möglich.
Besteht ein Anspruch auf Neulieferung der 1.000 Fliesen? Begründen Sie.</x:v>
      </x:c>
      <x:c r="S635" s="5" t="str">
        <x:v>4f41f3d8f34a934c0749a2a6cedf00ca8ae2a824b108c3f6305751f3478dcbeb</x:v>
      </x:c>
    </x:row>
    <x:row r="636" ht="36" customHeight="1">
      <x:c r="A636" s="5" t="str">
        <x:v>R-0232</x:v>
      </x:c>
      <x:c r="B636" s="5" t="str">
        <x:v>WQ</x:v>
      </x:c>
      <x:c r="C636" s="5" t="str">
        <x:v>3</x:v>
      </x:c>
      <x:c r="D636" s="5" t="str">
        <x:v>Recht und Steuern</x:v>
      </x:c>
      <x:c r="E636" s="5" t="str">
        <x:v>Recht</x:v>
      </x:c>
      <x:c r="F636" s="5" t="str">
        <x:v>ui-wq-recht-schuld</x:v>
      </x:c>
      <x:c r="G636" s="5" t="str">
        <x:v>BGB Schuldrecht</x:v>
      </x:c>
      <x:c r="H636" s="5" t="str">
        <x:v>tr-wq-r04</x:v>
      </x:c>
      <x:c r="I636" s="5" t="str">
        <x:v>3.1.2.3</x:v>
      </x:c>
      <x:c r="J636" s="5" t="str">
        <x:v>Warenkauf und Rechte bei Mängeln</x:v>
      </x:c>
      <x:c r="K636" s="5" t="str"/>
      <x:c r="L636" s="5" t="str">
        <x:v>Kaufrecht &amp; Verbraucherschutz</x:v>
      </x:c>
      <x:c r="M636" s="5" t="n">
        <x:v>87</x:v>
      </x:c>
      <x:c r="N636" s="5" t="n">
        <x:v>43</x:v>
      </x:c>
      <x:c r="O636" s="5" t="str"/>
      <x:c r="P636" s="5" t="str">
        <x:v>Pilot freigegeben</x:v>
      </x:c>
      <x:c r="Q636" s="5" t="str">
        <x:v>Revision 2 unverändert übernommen</x:v>
      </x:c>
      <x:c r="R636" s="5" t="str">
        <x:v>In welchen Fällen ist eine Fristsetzung zur Nacherfüllung entbehrlich? Kreuzen Sie alle richtigen Antworten an.</x:v>
      </x:c>
      <x:c r="S636" s="5" t="str">
        <x:v>e53c3299bcdbf14986ac09d4df63762dac3cbdc91f2fc7797d92d16ea469c386</x:v>
      </x:c>
    </x:row>
    <x:row r="637" ht="36" customHeight="1">
      <x:c r="A637" s="5" t="str">
        <x:v>R-0233</x:v>
      </x:c>
      <x:c r="B637" s="5" t="str">
        <x:v>WQ</x:v>
      </x:c>
      <x:c r="C637" s="5" t="str">
        <x:v>3</x:v>
      </x:c>
      <x:c r="D637" s="5" t="str">
        <x:v>Recht und Steuern</x:v>
      </x:c>
      <x:c r="E637" s="5" t="str">
        <x:v>Recht</x:v>
      </x:c>
      <x:c r="F637" s="5" t="str">
        <x:v>ui-wq-recht-schuld</x:v>
      </x:c>
      <x:c r="G637" s="5" t="str">
        <x:v>BGB Schuldrecht</x:v>
      </x:c>
      <x:c r="H637" s="5" t="str">
        <x:v>tr-wq-r04</x:v>
      </x:c>
      <x:c r="I637" s="5" t="str">
        <x:v>3.1.2.3</x:v>
      </x:c>
      <x:c r="J637" s="5" t="str">
        <x:v>Warenkauf und Rechte bei Mängeln</x:v>
      </x:c>
      <x:c r="K637" s="5" t="str"/>
      <x:c r="L637" s="5" t="str">
        <x:v>Kaufrecht &amp; Verbraucherschutz</x:v>
      </x:c>
      <x:c r="M637" s="5" t="n">
        <x:v>88</x:v>
      </x:c>
      <x:c r="N637" s="5" t="n">
        <x:v>44</x:v>
      </x:c>
      <x:c r="O637" s="5" t="str"/>
      <x:c r="P637" s="5" t="str">
        <x:v>Pilot freigegeben</x:v>
      </x:c>
      <x:c r="Q637" s="5" t="str">
        <x:v>Revision 2 unverändert übernommen</x:v>
      </x:c>
      <x:c r="R637" s="5" t="str">
        <x:v>Ein Käufer erwirbt eine Sache im Vertrauen auf konkrete öffentliche Werbeaussagen des Herstellers über ihre Eigenschaften. Diese Aussagen prägen die berechtigte Erwartung an die Kaufsache. Bereits bei Übergabe fehlen die beworbenen Eigenschaften; die Abweichung ist nicht nur unerheblich. Weder eine Reparatur noch eine Ersatzlieferung kann den geschuldeten Zustand herstellen. Eine Frist zur Nacherfüllung wurde noch nicht gesetzt.
Ist der Rücktritt vom Kaufvertrag möglich? Begründen Sie.</x:v>
      </x:c>
      <x:c r="S637" s="5" t="str">
        <x:v>164313563da49ace4412d9dd695b4680cfb3c570ed8790dd8acd389490254960</x:v>
      </x:c>
    </x:row>
    <x:row r="638" ht="36" customHeight="1">
      <x:c r="A638" s="5" t="str">
        <x:v>R-0234</x:v>
      </x:c>
      <x:c r="B638" s="5" t="str">
        <x:v>WQ</x:v>
      </x:c>
      <x:c r="C638" s="5" t="str">
        <x:v>3</x:v>
      </x:c>
      <x:c r="D638" s="5" t="str">
        <x:v>Recht und Steuern</x:v>
      </x:c>
      <x:c r="E638" s="5" t="str">
        <x:v>Recht</x:v>
      </x:c>
      <x:c r="F638" s="5" t="str">
        <x:v>ui-wq-recht-schuld</x:v>
      </x:c>
      <x:c r="G638" s="5" t="str">
        <x:v>BGB Schuldrecht</x:v>
      </x:c>
      <x:c r="H638" s="5" t="str">
        <x:v>tr-wq-r04</x:v>
      </x:c>
      <x:c r="I638" s="5" t="str">
        <x:v>3.1.2.3</x:v>
      </x:c>
      <x:c r="J638" s="5" t="str">
        <x:v>Warenkauf und Rechte bei Mängeln</x:v>
      </x:c>
      <x:c r="K638" s="5" t="str"/>
      <x:c r="L638" s="5" t="str">
        <x:v>Kaufrecht &amp; Verbraucherschutz</x:v>
      </x:c>
      <x:c r="M638" s="5" t="n">
        <x:v>89</x:v>
      </x:c>
      <x:c r="N638" s="5" t="n">
        <x:v>45</x:v>
      </x:c>
      <x:c r="O638" s="5" t="str"/>
      <x:c r="P638" s="5" t="str">
        <x:v>Pilot freigegeben</x:v>
      </x:c>
      <x:c r="Q638" s="5" t="str">
        <x:v>Revision 2 unverändert übernommen</x:v>
      </x:c>
      <x:c r="R638" s="5" t="str">
        <x:v>Ein Käufer erwirbt ein Fahrzeug im Vertrauen auf die öffentlichen Kraftstoffverbrauchsangaben des Herstellers. Der tatsächliche Verbrauch liegt bereits bei Übergabe unter den für die Herstellerangaben maßgeblichen Bedingungen darüber; die Abweichung ist nicht nur unerheblich. Ursache ist ein serienbedingter Konstruktionsfehler. Weder eine Reparatur noch die Lieferung eines anderen vertragsgemäßen Fahrzeugs kann die Abweichung beseitigen. Eine Frist zur Nacherfüllung wurde noch nicht gesetzt.
Ist der Rücktritt vom Kaufvertrag wegen des erhöhten Kraftstoffverbrauchs möglich? Begründen Sie.</x:v>
      </x:c>
      <x:c r="S638" s="5" t="str">
        <x:v>bdf51cfe6356c8359d94845ae636c0522fb557e9e719a021bc0bd1d29c6a9ebd</x:v>
      </x:c>
    </x:row>
    <x:row r="639" ht="36" customHeight="1">
      <x:c r="A639" s="5" t="str">
        <x:v>R-0235</x:v>
      </x:c>
      <x:c r="B639" s="5" t="str">
        <x:v>WQ</x:v>
      </x:c>
      <x:c r="C639" s="5" t="str">
        <x:v>3</x:v>
      </x:c>
      <x:c r="D639" s="5" t="str">
        <x:v>Recht und Steuern</x:v>
      </x:c>
      <x:c r="E639" s="5" t="str">
        <x:v>Recht</x:v>
      </x:c>
      <x:c r="F639" s="5" t="str">
        <x:v>ui-wq-recht-schuld</x:v>
      </x:c>
      <x:c r="G639" s="5" t="str">
        <x:v>BGB Schuldrecht</x:v>
      </x:c>
      <x:c r="H639" s="5" t="str">
        <x:v>tr-wq-r04</x:v>
      </x:c>
      <x:c r="I639" s="5" t="str">
        <x:v>3.1.2.3</x:v>
      </x:c>
      <x:c r="J639" s="5" t="str">
        <x:v>Warenkauf und Rechte bei Mängeln</x:v>
      </x:c>
      <x:c r="K639" s="5" t="str"/>
      <x:c r="L639" s="5" t="str">
        <x:v>Kaufrecht &amp; Verbraucherschutz</x:v>
      </x:c>
      <x:c r="M639" s="5" t="n">
        <x:v>90</x:v>
      </x:c>
      <x:c r="N639" s="5" t="n">
        <x:v>46</x:v>
      </x:c>
      <x:c r="O639" s="5" t="str"/>
      <x:c r="P639" s="5" t="str">
        <x:v>Pilot freigegeben</x:v>
      </x:c>
      <x:c r="Q639" s="5" t="str">
        <x:v>Revision 2 unverändert übernommen</x:v>
      </x:c>
      <x:c r="R639" s="5" t="str">
        <x:v>Ein Käufer hat einen Fitnesstrainer als Trainingsgerät gekauft. Das Gerät wurde vollständig, mangelfrei und entsprechend den vertraglichen Verpflichtungen geliefert. Zu prüfen ist allein der Rücktritt hinsichtlich dieser ordnungsgemäß erbrachten Lieferung des Geräts.
Besteht ein Anspruch auf Rücktritt nach §§ 346 Abs. 1, 323 Abs. 1 BGB? Begründen Sie.</x:v>
      </x:c>
      <x:c r="S639" s="5" t="str">
        <x:v>80047476c8682001c268b6ff4e46224f3015d15ef66ffa175c8ebc6a7f4167c1</x:v>
      </x:c>
    </x:row>
    <x:row r="640" ht="36" customHeight="1">
      <x:c r="A640" s="5" t="str">
        <x:v>R-0236</x:v>
      </x:c>
      <x:c r="B640" s="5" t="str">
        <x:v>WQ</x:v>
      </x:c>
      <x:c r="C640" s="5" t="str">
        <x:v>3</x:v>
      </x:c>
      <x:c r="D640" s="5" t="str">
        <x:v>Recht und Steuern</x:v>
      </x:c>
      <x:c r="E640" s="5" t="str">
        <x:v>Recht</x:v>
      </x:c>
      <x:c r="F640" s="5" t="str">
        <x:v>ui-wq-recht-schuld</x:v>
      </x:c>
      <x:c r="G640" s="5" t="str">
        <x:v>BGB Schuldrecht</x:v>
      </x:c>
      <x:c r="H640" s="5" t="str">
        <x:v>tr-wq-r04</x:v>
      </x:c>
      <x:c r="I640" s="5" t="str">
        <x:v>3.1.2.3</x:v>
      </x:c>
      <x:c r="J640" s="5" t="str">
        <x:v>Warenkauf und Rechte bei Mängeln</x:v>
      </x:c>
      <x:c r="K640" s="5" t="str"/>
      <x:c r="L640" s="5" t="str">
        <x:v>Kaufrecht &amp; Verbraucherschutz</x:v>
      </x:c>
      <x:c r="M640" s="5" t="n">
        <x:v>91</x:v>
      </x:c>
      <x:c r="N640" s="5" t="n">
        <x:v>47</x:v>
      </x:c>
      <x:c r="O640" s="5" t="str"/>
      <x:c r="P640" s="5" t="str">
        <x:v>Pilot freigegeben</x:v>
      </x:c>
      <x:c r="Q640" s="5" t="str">
        <x:v>Revision 2 unverändert übernommen</x:v>
      </x:c>
      <x:c r="R640" s="5" t="str">
        <x:v>Ein Verbraucher schließt mit einem Unternehmer einen Paketvertrag über einen Fitnesstrainer als Trainingsgerät und die Bereitstellung einer App. Das Gerät wird mangelfrei geliefert. Der für die App erforderliche Zugangscode ist fällig, wird aber auch nach einer Aufforderung des Verbrauchers nicht unverzüglich bereitgestellt. Ohne die App hat der Verbraucher kein Interesse am übrigen Paketvertrag.
Besteht ein Anspruch auf Vertragsbeendigung nach § 327c Abs. 6 BGB? Begründen Sie.</x:v>
      </x:c>
      <x:c r="S640" s="5" t="str">
        <x:v>bc85e20598477d2cf1f1e387d679c338b736d4b3b20fce50b09e5a1d708dac4d</x:v>
      </x:c>
    </x:row>
    <x:row r="641" ht="36" customHeight="1">
      <x:c r="A641" s="5" t="str">
        <x:v>R-0237</x:v>
      </x:c>
      <x:c r="B641" s="5" t="str">
        <x:v>WQ</x:v>
      </x:c>
      <x:c r="C641" s="5" t="str">
        <x:v>3</x:v>
      </x:c>
      <x:c r="D641" s="5" t="str">
        <x:v>Recht und Steuern</x:v>
      </x:c>
      <x:c r="E641" s="5" t="str">
        <x:v>Recht</x:v>
      </x:c>
      <x:c r="F641" s="5" t="str">
        <x:v>ui-wq-recht-handel</x:v>
      </x:c>
      <x:c r="G641" s="5" t="str">
        <x:v>Handelsrecht</x:v>
      </x:c>
      <x:c r="H641" s="5" t="str">
        <x:v>tr-wq-r15</x:v>
      </x:c>
      <x:c r="I641" s="5" t="str">
        <x:v>3.1.4</x:v>
      </x:c>
      <x:c r="J641" s="5" t="str">
        <x:v>Handelsgeschäfte und Lieferklauseln</x:v>
      </x:c>
      <x:c r="K641" s="5" t="str"/>
      <x:c r="L641" s="5" t="str">
        <x:v>Handelsrecht</x:v>
      </x:c>
      <x:c r="M641" s="5" t="n">
        <x:v>34</x:v>
      </x:c>
      <x:c r="N641" s="5" t="n">
        <x:v>1</x:v>
      </x:c>
      <x:c r="O641" s="5" t="str"/>
      <x:c r="P641" s="5" t="str">
        <x:v>Pilot freigegeben</x:v>
      </x:c>
      <x:c r="Q641" s="5" t="str">
        <x:v>Revision 2 unverändert übernommen</x:v>
      </x:c>
      <x:c r="R641" s="5" t="str">
        <x:v>Für die Rechtsabteilung von Circle Harbor: Welche Pflichten muss die R-GmbH hinsichtlich der gelieferten Ware beachten?</x:v>
      </x:c>
      <x:c r="S641" s="5" t="str">
        <x:v>4be89a65fd127595eebd84db27bc562b3227a01d87dab9f5609fb94b09b6488a</x:v>
      </x:c>
    </x:row>
    <x:row r="642" ht="36" customHeight="1">
      <x:c r="A642" s="5" t="str">
        <x:v>R-0238</x:v>
      </x:c>
      <x:c r="B642" s="5" t="str">
        <x:v>WQ</x:v>
      </x:c>
      <x:c r="C642" s="5" t="str">
        <x:v>3</x:v>
      </x:c>
      <x:c r="D642" s="5" t="str">
        <x:v>Recht und Steuern</x:v>
      </x:c>
      <x:c r="E642" s="5" t="str">
        <x:v>Recht</x:v>
      </x:c>
      <x:c r="F642" s="5" t="str">
        <x:v>ui-wq-recht-handel</x:v>
      </x:c>
      <x:c r="G642" s="5" t="str">
        <x:v>Handelsrecht</x:v>
      </x:c>
      <x:c r="H642" s="5" t="str">
        <x:v>tr-wq-r15</x:v>
      </x:c>
      <x:c r="I642" s="5" t="str">
        <x:v>3.1.4</x:v>
      </x:c>
      <x:c r="J642" s="5" t="str">
        <x:v>Handelsgeschäfte und Lieferklauseln</x:v>
      </x:c>
      <x:c r="K642" s="5" t="str"/>
      <x:c r="L642" s="5" t="str">
        <x:v>Handelsrecht</x:v>
      </x:c>
      <x:c r="M642" s="5" t="n">
        <x:v>35</x:v>
      </x:c>
      <x:c r="N642" s="5" t="n">
        <x:v>2</x:v>
      </x:c>
      <x:c r="O642" s="5" t="str"/>
      <x:c r="P642" s="5" t="str">
        <x:v>Pilot freigegeben</x:v>
      </x:c>
      <x:c r="Q642" s="5" t="str">
        <x:v>Revision 2 unverändert übernommen</x:v>
      </x:c>
      <x:c r="R642" s="5" t="str">
        <x:v>Für die Rechtsabteilung von Circle Harbor: Welche Rechtsfolge tritt ein, wenn die R-GmbH die Untersuchung oder Mängelanzeige unterlässt?</x:v>
      </x:c>
      <x:c r="S642" s="5" t="str">
        <x:v>3bad82473f0f5df822ebc47b8fd95be2d87807213db589e66eb52c4796a8e5ed</x:v>
      </x:c>
    </x:row>
    <x:row r="643" ht="36" customHeight="1">
      <x:c r="A643" s="5" t="str">
        <x:v>R-0239</x:v>
      </x:c>
      <x:c r="B643" s="5" t="str">
        <x:v>WQ</x:v>
      </x:c>
      <x:c r="C643" s="5" t="str">
        <x:v>3</x:v>
      </x:c>
      <x:c r="D643" s="5" t="str">
        <x:v>Recht und Steuern</x:v>
      </x:c>
      <x:c r="E643" s="5" t="str">
        <x:v>Recht</x:v>
      </x:c>
      <x:c r="F643" s="5" t="str">
        <x:v>ui-wq-recht-handel</x:v>
      </x:c>
      <x:c r="G643" s="5" t="str">
        <x:v>Handelsrecht</x:v>
      </x:c>
      <x:c r="H643" s="5" t="str">
        <x:v>tr-wq-r15</x:v>
      </x:c>
      <x:c r="I643" s="5" t="str">
        <x:v>3.1.4</x:v>
      </x:c>
      <x:c r="J643" s="5" t="str">
        <x:v>Handelsgeschäfte und Lieferklauseln</x:v>
      </x:c>
      <x:c r="K643" s="5" t="str"/>
      <x:c r="L643" s="5" t="str">
        <x:v>Handelsrecht</x:v>
      </x:c>
      <x:c r="M643" s="5" t="n">
        <x:v>36</x:v>
      </x:c>
      <x:c r="N643" s="5" t="n">
        <x:v>3</x:v>
      </x:c>
      <x:c r="O643" s="5" t="str"/>
      <x:c r="P643" s="5" t="str">
        <x:v>Pilot freigegeben</x:v>
      </x:c>
      <x:c r="Q643" s="5" t="str">
        <x:v>Revision 2 unverändert übernommen</x:v>
      </x:c>
      <x:c r="R643" s="5" t="str">
        <x:v>Für die Rechtsabteilung von Circle Harbor: Wie muss die R-GmbH vorgehen, wenn ein versteckter Mangel erst später entdeckt wird?</x:v>
      </x:c>
      <x:c r="S643" s="5" t="str">
        <x:v>0fe2dc8bcc02fb6945eb3ad9ce9f6b1dbf9674fbf838ae0732ca375bf79fc644</x:v>
      </x:c>
    </x:row>
    <x:row r="644" ht="36" customHeight="1">
      <x:c r="A644" s="5" t="str">
        <x:v>R-0240</x:v>
      </x:c>
      <x:c r="B644" s="5" t="str">
        <x:v>WQ</x:v>
      </x:c>
      <x:c r="C644" s="5" t="str">
        <x:v>3</x:v>
      </x:c>
      <x:c r="D644" s="5" t="str">
        <x:v>Recht und Steuern</x:v>
      </x:c>
      <x:c r="E644" s="5" t="str">
        <x:v>Recht</x:v>
      </x:c>
      <x:c r="F644" s="5" t="str">
        <x:v>ui-wq-recht-schuld</x:v>
      </x:c>
      <x:c r="G644" s="5" t="str">
        <x:v>BGB Schuldrecht</x:v>
      </x:c>
      <x:c r="H644" s="5" t="str">
        <x:v>tr-wq-r04</x:v>
      </x:c>
      <x:c r="I644" s="5" t="str">
        <x:v>3.1.2.3</x:v>
      </x:c>
      <x:c r="J644" s="5" t="str">
        <x:v>Warenkauf und Rechte bei Mängeln</x:v>
      </x:c>
      <x:c r="K644" s="5" t="str"/>
      <x:c r="L644" s="5" t="str">
        <x:v>Kaufrecht &amp; Verbraucherschutz</x:v>
      </x:c>
      <x:c r="M644" s="5" t="n">
        <x:v>92</x:v>
      </x:c>
      <x:c r="N644" s="5" t="n">
        <x:v>48</x:v>
      </x:c>
      <x:c r="O644" s="5" t="str"/>
      <x:c r="P644" s="5" t="str">
        <x:v>Pilot freigegeben</x:v>
      </x:c>
      <x:c r="Q644" s="5" t="str">
        <x:v>Revision 2 unverändert übernommen</x:v>
      </x:c>
      <x:c r="R644" s="5" t="str">
        <x:v>Worin unterscheiden sich Gewährleistung und Garantie?</x:v>
      </x:c>
      <x:c r="S644" s="5" t="str">
        <x:v>7704f0c03685ec8843af036d55732e7942a70d77f0b000d0062876bb566c1a0f</x:v>
      </x:c>
    </x:row>
    <x:row r="645" ht="36" customHeight="1">
      <x:c r="A645" s="5" t="str">
        <x:v>R-0241</x:v>
      </x:c>
      <x:c r="B645" s="5" t="str">
        <x:v>WQ</x:v>
      </x:c>
      <x:c r="C645" s="5" t="str">
        <x:v>3</x:v>
      </x:c>
      <x:c r="D645" s="5" t="str">
        <x:v>Recht und Steuern</x:v>
      </x:c>
      <x:c r="E645" s="5" t="str">
        <x:v>Recht</x:v>
      </x:c>
      <x:c r="F645" s="5" t="str">
        <x:v>ui-wq-recht-schuld</x:v>
      </x:c>
      <x:c r="G645" s="5" t="str">
        <x:v>BGB Schuldrecht</x:v>
      </x:c>
      <x:c r="H645" s="5" t="str">
        <x:v>tr-wq-r04</x:v>
      </x:c>
      <x:c r="I645" s="5" t="str">
        <x:v>3.1.2.3</x:v>
      </x:c>
      <x:c r="J645" s="5" t="str">
        <x:v>Warenkauf und Rechte bei Mängeln</x:v>
      </x:c>
      <x:c r="K645" s="5" t="str"/>
      <x:c r="L645" s="5" t="str">
        <x:v>Kaufrecht &amp; Verbraucherschutz</x:v>
      </x:c>
      <x:c r="M645" s="5" t="n">
        <x:v>93</x:v>
      </x:c>
      <x:c r="N645" s="5" t="n">
        <x:v>49</x:v>
      </x:c>
      <x:c r="O645" s="5" t="str"/>
      <x:c r="P645" s="5" t="str">
        <x:v>Pilot freigegeben</x:v>
      </x:c>
      <x:c r="Q645" s="5" t="str">
        <x:v>Revision 2 unverändert übernommen</x:v>
      </x:c>
      <x:c r="R645" s="5" t="str">
        <x:v>Kann auch der Verkäufer eine Garantie übernehmen und welche Folgen hat das?</x:v>
      </x:c>
      <x:c r="S645" s="5" t="str">
        <x:v>b318f78f887f99f0494940a6391869b7021cf67fd8e01b7650575cce1b7663cb</x:v>
      </x:c>
    </x:row>
    <x:row r="646" ht="36" customHeight="1">
      <x:c r="A646" s="5" t="str">
        <x:v>R-0242</x:v>
      </x:c>
      <x:c r="B646" s="5" t="str">
        <x:v>WQ</x:v>
      </x:c>
      <x:c r="C646" s="5" t="str">
        <x:v>3</x:v>
      </x:c>
      <x:c r="D646" s="5" t="str">
        <x:v>Recht und Steuern</x:v>
      </x:c>
      <x:c r="E646" s="5" t="str">
        <x:v>Recht</x:v>
      </x:c>
      <x:c r="F646" s="5" t="str">
        <x:v>ui-wq-recht-schuld</x:v>
      </x:c>
      <x:c r="G646" s="5" t="str">
        <x:v>BGB Schuldrecht</x:v>
      </x:c>
      <x:c r="H646" s="5" t="str">
        <x:v>tr-wq-r04</x:v>
      </x:c>
      <x:c r="I646" s="5" t="str">
        <x:v>3.1.2.3</x:v>
      </x:c>
      <x:c r="J646" s="5" t="str">
        <x:v>Warenkauf und Rechte bei Mängeln</x:v>
      </x:c>
      <x:c r="K646" s="5" t="str"/>
      <x:c r="L646" s="5" t="str">
        <x:v>Kaufrecht &amp; Verbraucherschutz</x:v>
      </x:c>
      <x:c r="M646" s="5" t="n">
        <x:v>94</x:v>
      </x:c>
      <x:c r="N646" s="5" t="n">
        <x:v>50</x:v>
      </x:c>
      <x:c r="O646" s="5" t="str"/>
      <x:c r="P646" s="5" t="str">
        <x:v>Pilot freigegeben</x:v>
      </x:c>
      <x:c r="Q646" s="5" t="str">
        <x:v>Revision 2 unverändert übernommen</x:v>
      </x:c>
      <x:c r="R646" s="5" t="str">
        <x:v>Was versteht man unter einem Vorkauf?</x:v>
      </x:c>
      <x:c r="S646" s="5" t="str">
        <x:v>e45a3cc548c8b16ec71a68dc4d0836962a1d4c0e4f2e2bb8e51b6d6aaacdfa3d</x:v>
      </x:c>
    </x:row>
    <x:row r="647" ht="36" customHeight="1">
      <x:c r="A647" s="5" t="str">
        <x:v>R-0243</x:v>
      </x:c>
      <x:c r="B647" s="5" t="str">
        <x:v>WQ</x:v>
      </x:c>
      <x:c r="C647" s="5" t="str">
        <x:v>3</x:v>
      </x:c>
      <x:c r="D647" s="5" t="str">
        <x:v>Recht und Steuern</x:v>
      </x:c>
      <x:c r="E647" s="5" t="str">
        <x:v>Recht</x:v>
      </x:c>
      <x:c r="F647" s="5" t="str">
        <x:v>ui-wq-recht-schuld</x:v>
      </x:c>
      <x:c r="G647" s="5" t="str">
        <x:v>BGB Schuldrecht</x:v>
      </x:c>
      <x:c r="H647" s="5" t="str">
        <x:v>tr-wq-r04</x:v>
      </x:c>
      <x:c r="I647" s="5" t="str">
        <x:v>3.1.2.3</x:v>
      </x:c>
      <x:c r="J647" s="5" t="str">
        <x:v>Warenkauf und Rechte bei Mängeln</x:v>
      </x:c>
      <x:c r="K647" s="5" t="str"/>
      <x:c r="L647" s="5" t="str">
        <x:v>Kaufrecht &amp; Verbraucherschutz</x:v>
      </x:c>
      <x:c r="M647" s="5" t="n">
        <x:v>95</x:v>
      </x:c>
      <x:c r="N647" s="5" t="n">
        <x:v>51</x:v>
      </x:c>
      <x:c r="O647" s="5" t="str"/>
      <x:c r="P647" s="5" t="str">
        <x:v>Pilot freigegeben</x:v>
      </x:c>
      <x:c r="Q647" s="5" t="str">
        <x:v>Revision 2 unverändert übernommen</x:v>
      </x:c>
      <x:c r="R647" s="5" t="str">
        <x:v>Welche Beweislastvermutung gilt beim Verbrauchsgüterkauf, wenn sich innerhalb eines Jahres ein Mangel zeigt?</x:v>
      </x:c>
      <x:c r="S647" s="5" t="str">
        <x:v>20ba4ec2db19e7a5b33e16da23afd467a7b6e98b955bcc1dee20908f459c277c</x:v>
      </x:c>
    </x:row>
    <x:row r="648" ht="36" customHeight="1">
      <x:c r="A648" s="5" t="str">
        <x:v>R-0244</x:v>
      </x:c>
      <x:c r="B648" s="5" t="str">
        <x:v>WQ</x:v>
      </x:c>
      <x:c r="C648" s="5" t="str">
        <x:v>3</x:v>
      </x:c>
      <x:c r="D648" s="5" t="str">
        <x:v>Recht und Steuern</x:v>
      </x:c>
      <x:c r="E648" s="5" t="str">
        <x:v>Recht</x:v>
      </x:c>
      <x:c r="F648" s="5" t="str">
        <x:v>ui-wq-recht-schuld</x:v>
      </x:c>
      <x:c r="G648" s="5" t="str">
        <x:v>BGB Schuldrecht</x:v>
      </x:c>
      <x:c r="H648" s="5" t="str">
        <x:v>tr-wq-r04</x:v>
      </x:c>
      <x:c r="I648" s="5" t="str">
        <x:v>3.1.2.3</x:v>
      </x:c>
      <x:c r="J648" s="5" t="str">
        <x:v>Warenkauf und Rechte bei Mängeln</x:v>
      </x:c>
      <x:c r="K648" s="5" t="str"/>
      <x:c r="L648" s="5" t="str">
        <x:v>Kaufrecht &amp; Verbraucherschutz</x:v>
      </x:c>
      <x:c r="M648" s="5" t="n">
        <x:v>96</x:v>
      </x:c>
      <x:c r="N648" s="5" t="n">
        <x:v>52</x:v>
      </x:c>
      <x:c r="O648" s="5" t="str"/>
      <x:c r="P648" s="5" t="str">
        <x:v>Pilot freigegeben</x:v>
      </x:c>
      <x:c r="Q648" s="5" t="str">
        <x:v>Revision 2 unverändert übernommen</x:v>
      </x:c>
      <x:c r="R648" s="5" t="str">
        <x:v>In welchen Fällen liegt ein Verbrauchsgüterkauf vor? Kreuzen Sie alle richtigen Antworten an.</x:v>
      </x:c>
      <x:c r="S648" s="5" t="str">
        <x:v>59d4379bd5bbe20b367a54f6769925a73ae973edce9271f803bbd49c5affdcd5</x:v>
      </x:c>
    </x:row>
    <x:row r="649" ht="36" customHeight="1">
      <x:c r="A649" s="5" t="str">
        <x:v>R-0245</x:v>
      </x:c>
      <x:c r="B649" s="5" t="str">
        <x:v>WQ</x:v>
      </x:c>
      <x:c r="C649" s="5" t="str">
        <x:v>3</x:v>
      </x:c>
      <x:c r="D649" s="5" t="str">
        <x:v>Recht und Steuern</x:v>
      </x:c>
      <x:c r="E649" s="5" t="str">
        <x:v>Recht</x:v>
      </x:c>
      <x:c r="F649" s="5" t="str">
        <x:v>ui-wq-recht-schuld</x:v>
      </x:c>
      <x:c r="G649" s="5" t="str">
        <x:v>BGB Schuldrecht</x:v>
      </x:c>
      <x:c r="H649" s="5" t="str">
        <x:v>tr-wq-r04</x:v>
      </x:c>
      <x:c r="I649" s="5" t="str">
        <x:v>3.1.2.3</x:v>
      </x:c>
      <x:c r="J649" s="5" t="str">
        <x:v>Warenkauf und Rechte bei Mängeln</x:v>
      </x:c>
      <x:c r="K649" s="5" t="str"/>
      <x:c r="L649" s="5" t="str">
        <x:v>Kaufrecht &amp; Verbraucherschutz</x:v>
      </x:c>
      <x:c r="M649" s="5" t="n">
        <x:v>97</x:v>
      </x:c>
      <x:c r="N649" s="5" t="n">
        <x:v>53</x:v>
      </x:c>
      <x:c r="O649" s="5" t="str"/>
      <x:c r="P649" s="5" t="str">
        <x:v>Pilot freigegeben</x:v>
      </x:c>
      <x:c r="Q649" s="5" t="str">
        <x:v>Revision 2 unverändert übernommen</x:v>
      </x:c>
      <x:c r="R649" s="5" t="str">
        <x:v>Nennen Sie mindestens zwei Vorteile des Verbrauchsgüterkaufs für Verbraucher.</x:v>
      </x:c>
      <x:c r="S649" s="5" t="str">
        <x:v>a19a33c2379da8c775ee2225c9c0bef7814e850f0de8a45d21cfa51f0cb74c1b</x:v>
      </x:c>
    </x:row>
    <x:row r="650" ht="36" customHeight="1">
      <x:c r="A650" s="5" t="str">
        <x:v>R-0246</x:v>
      </x:c>
      <x:c r="B650" s="5" t="str">
        <x:v>WQ</x:v>
      </x:c>
      <x:c r="C650" s="5" t="str">
        <x:v>3</x:v>
      </x:c>
      <x:c r="D650" s="5" t="str">
        <x:v>Recht und Steuern</x:v>
      </x:c>
      <x:c r="E650" s="5" t="str">
        <x:v>Recht</x:v>
      </x:c>
      <x:c r="F650" s="5" t="str">
        <x:v>ui-wq-recht-schuld</x:v>
      </x:c>
      <x:c r="G650" s="5" t="str">
        <x:v>BGB Schuldrecht</x:v>
      </x:c>
      <x:c r="H650" s="5" t="str">
        <x:v>tr-wq-r05</x:v>
      </x:c>
      <x:c r="I650" s="5" t="str">
        <x:v>3.1.2.4</x:v>
      </x:c>
      <x:c r="J650" s="5" t="str">
        <x:v>Miete, Darlehen, Dienstleistung, Werk und Leasing</x:v>
      </x:c>
      <x:c r="K650" s="5" t="str"/>
      <x:c r="L650" s="5" t="str">
        <x:v>Weitere Vertragstypen, E-Commerce &amp; Leistungsstörungen</x:v>
      </x:c>
      <x:c r="M650" s="5" t="n">
        <x:v>98</x:v>
      </x:c>
      <x:c r="N650" s="5" t="n">
        <x:v>9</x:v>
      </x:c>
      <x:c r="O650" s="5" t="str"/>
      <x:c r="P650" s="5" t="str">
        <x:v>Pilot freigegeben</x:v>
      </x:c>
      <x:c r="Q650" s="5" t="str">
        <x:v>Revision 2 unverändert übernommen</x:v>
      </x:c>
      <x:c r="R650" s="5" t="str">
        <x:v>Ergänzen Sie den Lückentext zum Unterschied zwischen Mietvertrag und Pachtvertrag.</x:v>
      </x:c>
      <x:c r="S650" s="5" t="str">
        <x:v>1a414bd5bad90ff9d7e61153de5e9f533b19a4e6d3897656dd3f80c4a761a6fb</x:v>
      </x:c>
    </x:row>
    <x:row r="651" ht="36" customHeight="1">
      <x:c r="A651" s="5" t="str">
        <x:v>R-0247</x:v>
      </x:c>
      <x:c r="B651" s="5" t="str">
        <x:v>WQ</x:v>
      </x:c>
      <x:c r="C651" s="5" t="str">
        <x:v>3</x:v>
      </x:c>
      <x:c r="D651" s="5" t="str">
        <x:v>Recht und Steuern</x:v>
      </x:c>
      <x:c r="E651" s="5" t="str">
        <x:v>Recht</x:v>
      </x:c>
      <x:c r="F651" s="5" t="str">
        <x:v>ui-wq-recht-schuld</x:v>
      </x:c>
      <x:c r="G651" s="5" t="str">
        <x:v>BGB Schuldrecht</x:v>
      </x:c>
      <x:c r="H651" s="5" t="str">
        <x:v>tr-wq-r05</x:v>
      </x:c>
      <x:c r="I651" s="5" t="str">
        <x:v>3.1.2.4</x:v>
      </x:c>
      <x:c r="J651" s="5" t="str">
        <x:v>Miete, Darlehen, Dienstleistung, Werk und Leasing</x:v>
      </x:c>
      <x:c r="K651" s="5" t="str"/>
      <x:c r="L651" s="5" t="str">
        <x:v>Weitere Vertragstypen, E-Commerce &amp; Leistungsstörungen</x:v>
      </x:c>
      <x:c r="M651" s="5" t="n">
        <x:v>99</x:v>
      </x:c>
      <x:c r="N651" s="5" t="n">
        <x:v>10</x:v>
      </x:c>
      <x:c r="O651" s="5" t="str"/>
      <x:c r="P651" s="5" t="str">
        <x:v>Pilot freigegeben</x:v>
      </x:c>
      <x:c r="Q651" s="5" t="str">
        <x:v>Revision 2 unverändert übernommen</x:v>
      </x:c>
      <x:c r="R651" s="5" t="str">
        <x:v>Welche Rechte stehen dem Mieter bei undichten Fenstern und Wassereinbruch zu?</x:v>
      </x:c>
      <x:c r="S651" s="5" t="str">
        <x:v>15916701921b82692b893c6054dbea070442840efe7e80f8665d211dff123e43</x:v>
      </x:c>
    </x:row>
    <x:row r="652" ht="36" customHeight="1">
      <x:c r="A652" s="5" t="str">
        <x:v>R-0248</x:v>
      </x:c>
      <x:c r="B652" s="5" t="str">
        <x:v>WQ</x:v>
      </x:c>
      <x:c r="C652" s="5" t="str">
        <x:v>3</x:v>
      </x:c>
      <x:c r="D652" s="5" t="str">
        <x:v>Recht und Steuern</x:v>
      </x:c>
      <x:c r="E652" s="5" t="str">
        <x:v>Recht</x:v>
      </x:c>
      <x:c r="F652" s="5" t="str">
        <x:v>ui-wq-recht-schuld</x:v>
      </x:c>
      <x:c r="G652" s="5" t="str">
        <x:v>BGB Schuldrecht</x:v>
      </x:c>
      <x:c r="H652" s="5" t="str">
        <x:v>tr-wq-r05</x:v>
      </x:c>
      <x:c r="I652" s="5" t="str">
        <x:v>3.1.2.4</x:v>
      </x:c>
      <x:c r="J652" s="5" t="str">
        <x:v>Miete, Darlehen, Dienstleistung, Werk und Leasing</x:v>
      </x:c>
      <x:c r="K652" s="5" t="str"/>
      <x:c r="L652" s="5" t="str">
        <x:v>Weitere Vertragstypen, E-Commerce &amp; Leistungsstörungen</x:v>
      </x:c>
      <x:c r="M652" s="5" t="n">
        <x:v>100</x:v>
      </x:c>
      <x:c r="N652" s="5" t="n">
        <x:v>11</x:v>
      </x:c>
      <x:c r="O652" s="5" t="str"/>
      <x:c r="P652" s="5" t="str">
        <x:v>Pilot freigegeben</x:v>
      </x:c>
      <x:c r="Q652" s="5" t="str">
        <x:v>Revision 2 unverändert übernommen</x:v>
      </x:c>
      <x:c r="R652" s="5" t="str">
        <x:v>Welche Rechte hat der Mieter, wenn der Vermieter trotz Fristsetzung den Mangel nicht beseitigt?</x:v>
      </x:c>
      <x:c r="S652" s="5" t="str">
        <x:v>f9db8f9ee76062d69d54ec958918496bd6839e09cdf5ad84c9f8a1ed5d754a3b</x:v>
      </x:c>
    </x:row>
    <x:row r="653" ht="36" customHeight="1">
      <x:c r="A653" s="5" t="str">
        <x:v>R-0249</x:v>
      </x:c>
      <x:c r="B653" s="5" t="str">
        <x:v>WQ</x:v>
      </x:c>
      <x:c r="C653" s="5" t="str">
        <x:v>3</x:v>
      </x:c>
      <x:c r="D653" s="5" t="str">
        <x:v>Recht und Steuern</x:v>
      </x:c>
      <x:c r="E653" s="5" t="str">
        <x:v>Recht</x:v>
      </x:c>
      <x:c r="F653" s="5" t="str">
        <x:v>ui-wq-recht-schuld</x:v>
      </x:c>
      <x:c r="G653" s="5" t="str">
        <x:v>BGB Schuldrecht</x:v>
      </x:c>
      <x:c r="H653" s="5" t="str">
        <x:v>tr-wq-r05</x:v>
      </x:c>
      <x:c r="I653" s="5" t="str">
        <x:v>3.1.2.4</x:v>
      </x:c>
      <x:c r="J653" s="5" t="str">
        <x:v>Miete, Darlehen, Dienstleistung, Werk und Leasing</x:v>
      </x:c>
      <x:c r="K653" s="5" t="str"/>
      <x:c r="L653" s="5" t="str">
        <x:v>Weitere Vertragstypen, E-Commerce &amp; Leistungsstörungen</x:v>
      </x:c>
      <x:c r="M653" s="5" t="n">
        <x:v>101</x:v>
      </x:c>
      <x:c r="N653" s="5" t="n">
        <x:v>12</x:v>
      </x:c>
      <x:c r="O653" s="5" t="str"/>
      <x:c r="P653" s="5" t="str">
        <x:v>Pilot freigegeben</x:v>
      </x:c>
      <x:c r="Q653" s="5" t="str">
        <x:v>Revision 2 unverändert übernommen</x:v>
      </x:c>
      <x:c r="R653" s="5" t="str">
        <x:v>Ein Mieter lässt eine reparaturbedürftige Heizungsanlage auf eigene Kosten reparieren. Er hat den Vermieter zuvor nicht zur Beseitigung dieses Mangels aufgefordert und beruft sich für einen Verzug des Vermieters lediglich auf einen Hinweis im Mietvertrag. Weitere Umstände, die eine Mahnung entbehrlich machen, liegen nicht vor. Zu prüfen ist der Aufwendungsersatz wegen Verzugs mit der Mängelbeseitigung nach § 536a Abs. 2 Nr. 1 BGB.
Hat der Mieter einen Anspruch auf Kostenerstattung für die Reparatur der Heizungsanlage? Begründen Sie.</x:v>
      </x:c>
      <x:c r="S653" s="5" t="str">
        <x:v>2909a83329aa3cfdf0de6bf9c0436130fb38e77a4b60a7feac83bc3905e79173</x:v>
      </x:c>
    </x:row>
    <x:row r="654" ht="36" customHeight="1">
      <x:c r="A654" s="5" t="str">
        <x:v>R-0250</x:v>
      </x:c>
      <x:c r="B654" s="5" t="str">
        <x:v>WQ</x:v>
      </x:c>
      <x:c r="C654" s="5" t="str">
        <x:v>3</x:v>
      </x:c>
      <x:c r="D654" s="5" t="str">
        <x:v>Recht und Steuern</x:v>
      </x:c>
      <x:c r="E654" s="5" t="str">
        <x:v>Recht</x:v>
      </x:c>
      <x:c r="F654" s="5" t="str">
        <x:v>ui-wq-recht-schuld</x:v>
      </x:c>
      <x:c r="G654" s="5" t="str">
        <x:v>BGB Schuldrecht</x:v>
      </x:c>
      <x:c r="H654" s="5" t="str">
        <x:v>tr-wq-r05</x:v>
      </x:c>
      <x:c r="I654" s="5" t="str">
        <x:v>3.1.2.4</x:v>
      </x:c>
      <x:c r="J654" s="5" t="str">
        <x:v>Miete, Darlehen, Dienstleistung, Werk und Leasing</x:v>
      </x:c>
      <x:c r="K654" s="5" t="str"/>
      <x:c r="L654" s="5" t="str">
        <x:v>Weitere Vertragstypen, E-Commerce &amp; Leistungsstörungen</x:v>
      </x:c>
      <x:c r="M654" s="5" t="n">
        <x:v>102</x:v>
      </x:c>
      <x:c r="N654" s="5" t="n">
        <x:v>13</x:v>
      </x:c>
      <x:c r="O654" s="5" t="str"/>
      <x:c r="P654" s="5" t="str">
        <x:v>Pilot freigegeben</x:v>
      </x:c>
      <x:c r="Q654" s="5" t="str">
        <x:v>Revision 2 unverändert übernommen</x:v>
      </x:c>
      <x:c r="R654" s="5" t="str">
        <x:v>Was versteht man im Mietrecht unter Schönheitsreparaturen?</x:v>
      </x:c>
      <x:c r="S654" s="5" t="str">
        <x:v>0a40f041e99069993e44b3606b651dd4480c5e3227bbad1a6781792f18df0232</x:v>
      </x:c>
    </x:row>
    <x:row r="655" ht="36" customHeight="1">
      <x:c r="A655" s="5" t="str">
        <x:v>R-0251</x:v>
      </x:c>
      <x:c r="B655" s="5" t="str">
        <x:v>WQ</x:v>
      </x:c>
      <x:c r="C655" s="5" t="str">
        <x:v>3</x:v>
      </x:c>
      <x:c r="D655" s="5" t="str">
        <x:v>Recht und Steuern</x:v>
      </x:c>
      <x:c r="E655" s="5" t="str">
        <x:v>Recht</x:v>
      </x:c>
      <x:c r="F655" s="5" t="str">
        <x:v>ui-wq-recht-schuld</x:v>
      </x:c>
      <x:c r="G655" s="5" t="str">
        <x:v>BGB Schuldrecht</x:v>
      </x:c>
      <x:c r="H655" s="5" t="str">
        <x:v>tr-wq-r05</x:v>
      </x:c>
      <x:c r="I655" s="5" t="str">
        <x:v>3.1.2.4</x:v>
      </x:c>
      <x:c r="J655" s="5" t="str">
        <x:v>Miete, Darlehen, Dienstleistung, Werk und Leasing</x:v>
      </x:c>
      <x:c r="K655" s="5" t="str"/>
      <x:c r="L655" s="5" t="str">
        <x:v>Weitere Vertragstypen, E-Commerce &amp; Leistungsstörungen</x:v>
      </x:c>
      <x:c r="M655" s="5" t="n">
        <x:v>103</x:v>
      </x:c>
      <x:c r="N655" s="5" t="n">
        <x:v>14</x:v>
      </x:c>
      <x:c r="O655" s="5" t="str"/>
      <x:c r="P655" s="5" t="str">
        <x:v>Pilot freigegeben</x:v>
      </x:c>
      <x:c r="Q655" s="5" t="str">
        <x:v>Revision 2 unverändert übernommen</x:v>
      </x:c>
      <x:c r="R655" s="5" t="str">
        <x:v>Wie heißen die Vertragsparteien eines Darlehensvertrages?</x:v>
      </x:c>
      <x:c r="S655" s="5" t="str">
        <x:v>b32915542dd4d9365cc98f7d37ac6eca75d501a139aa72944066248d18973a4c</x:v>
      </x:c>
    </x:row>
    <x:row r="656" ht="36" customHeight="1">
      <x:c r="A656" s="5" t="str">
        <x:v>R-0252</x:v>
      </x:c>
      <x:c r="B656" s="5" t="str">
        <x:v>WQ</x:v>
      </x:c>
      <x:c r="C656" s="5" t="str">
        <x:v>3</x:v>
      </x:c>
      <x:c r="D656" s="5" t="str">
        <x:v>Recht und Steuern</x:v>
      </x:c>
      <x:c r="E656" s="5" t="str">
        <x:v>Recht</x:v>
      </x:c>
      <x:c r="F656" s="5" t="str">
        <x:v>ui-wq-recht-schuld</x:v>
      </x:c>
      <x:c r="G656" s="5" t="str">
        <x:v>BGB Schuldrecht</x:v>
      </x:c>
      <x:c r="H656" s="5" t="str">
        <x:v>tr-wq-r05</x:v>
      </x:c>
      <x:c r="I656" s="5" t="str">
        <x:v>3.1.2.4</x:v>
      </x:c>
      <x:c r="J656" s="5" t="str">
        <x:v>Miete, Darlehen, Dienstleistung, Werk und Leasing</x:v>
      </x:c>
      <x:c r="K656" s="5" t="str"/>
      <x:c r="L656" s="5" t="str">
        <x:v>Weitere Vertragstypen, E-Commerce &amp; Leistungsstörungen</x:v>
      </x:c>
      <x:c r="M656" s="5" t="n">
        <x:v>104</x:v>
      </x:c>
      <x:c r="N656" s="5" t="n">
        <x:v>15</x:v>
      </x:c>
      <x:c r="O656" s="5" t="str"/>
      <x:c r="P656" s="5" t="str">
        <x:v>Pilot freigegeben</x:v>
      </x:c>
      <x:c r="Q656" s="5" t="str">
        <x:v>Revision 2 unverändert übernommen</x:v>
      </x:c>
      <x:c r="R656" s="5" t="str">
        <x:v>Welche Pflichten haben Darlehensgeber und Darlehensnehmer?</x:v>
      </x:c>
      <x:c r="S656" s="5" t="str">
        <x:v>8f6564fd1d8102e7503a9e173462834ab83813fc841e6239950b6443d094fcc5</x:v>
      </x:c>
    </x:row>
    <x:row r="657" ht="36" customHeight="1">
      <x:c r="A657" s="5" t="str">
        <x:v>R-0253</x:v>
      </x:c>
      <x:c r="B657" s="5" t="str">
        <x:v>WQ</x:v>
      </x:c>
      <x:c r="C657" s="5" t="str">
        <x:v>3</x:v>
      </x:c>
      <x:c r="D657" s="5" t="str">
        <x:v>Recht und Steuern</x:v>
      </x:c>
      <x:c r="E657" s="5" t="str">
        <x:v>Recht</x:v>
      </x:c>
      <x:c r="F657" s="5" t="str">
        <x:v>ui-wq-recht-schuld</x:v>
      </x:c>
      <x:c r="G657" s="5" t="str">
        <x:v>BGB Schuldrecht</x:v>
      </x:c>
      <x:c r="H657" s="5" t="str">
        <x:v>tr-wq-r05</x:v>
      </x:c>
      <x:c r="I657" s="5" t="str">
        <x:v>3.1.2.4</x:v>
      </x:c>
      <x:c r="J657" s="5" t="str">
        <x:v>Miete, Darlehen, Dienstleistung, Werk und Leasing</x:v>
      </x:c>
      <x:c r="K657" s="5" t="str"/>
      <x:c r="L657" s="5" t="str">
        <x:v>Weitere Vertragstypen, E-Commerce &amp; Leistungsstörungen</x:v>
      </x:c>
      <x:c r="M657" s="5" t="n">
        <x:v>105</x:v>
      </x:c>
      <x:c r="N657" s="5" t="n">
        <x:v>16</x:v>
      </x:c>
      <x:c r="O657" s="5" t="str"/>
      <x:c r="P657" s="5" t="str">
        <x:v>Pilot freigegeben</x:v>
      </x:c>
      <x:c r="Q657" s="5" t="str">
        <x:v>Revision 2 unverändert übernommen</x:v>
      </x:c>
      <x:c r="R657" s="5" t="str">
        <x:v>Wann liegt ein Verbraucherdarlehensvertrag vor?</x:v>
      </x:c>
      <x:c r="S657" s="5" t="str">
        <x:v>f0cd71d5359afa259195104bbfd9e6e87dd4d1857bccb713c9ff17e6ae6eeaf1</x:v>
      </x:c>
    </x:row>
    <x:row r="658" ht="36" customHeight="1">
      <x:c r="A658" s="5" t="str">
        <x:v>R-0254</x:v>
      </x:c>
      <x:c r="B658" s="5" t="str">
        <x:v>WQ</x:v>
      </x:c>
      <x:c r="C658" s="5" t="str">
        <x:v>3</x:v>
      </x:c>
      <x:c r="D658" s="5" t="str">
        <x:v>Recht und Steuern</x:v>
      </x:c>
      <x:c r="E658" s="5" t="str">
        <x:v>Recht</x:v>
      </x:c>
      <x:c r="F658" s="5" t="str">
        <x:v>ui-wq-recht-schuld</x:v>
      </x:c>
      <x:c r="G658" s="5" t="str">
        <x:v>BGB Schuldrecht</x:v>
      </x:c>
      <x:c r="H658" s="5" t="str">
        <x:v>tr-wq-r05</x:v>
      </x:c>
      <x:c r="I658" s="5" t="str">
        <x:v>3.1.2.4</x:v>
      </x:c>
      <x:c r="J658" s="5" t="str">
        <x:v>Miete, Darlehen, Dienstleistung, Werk und Leasing</x:v>
      </x:c>
      <x:c r="K658" s="5" t="str"/>
      <x:c r="L658" s="5" t="str">
        <x:v>Weitere Vertragstypen, E-Commerce &amp; Leistungsstörungen</x:v>
      </x:c>
      <x:c r="M658" s="5" t="n">
        <x:v>106</x:v>
      </x:c>
      <x:c r="N658" s="5" t="n">
        <x:v>17</x:v>
      </x:c>
      <x:c r="O658" s="5" t="str"/>
      <x:c r="P658" s="5" t="str">
        <x:v>Pilot freigegeben</x:v>
      </x:c>
      <x:c r="Q658" s="5" t="str">
        <x:v>Revision 2 unverändert übernommen</x:v>
      </x:c>
      <x:c r="R658" s="5" t="str">
        <x:v>In welchen Fällen liegt ein Verbraucherdarlehensvertrag vor? Kreuzen Sie alle richtigen Antworten an.</x:v>
      </x:c>
      <x:c r="S658" s="5" t="str">
        <x:v>fad2a2604b7d62b2ef2753e67fc1f5d1655528fcfa78273a82aa997c95732a8e</x:v>
      </x:c>
    </x:row>
    <x:row r="659" ht="36" customHeight="1">
      <x:c r="A659" s="5" t="str">
        <x:v>R-0255</x:v>
      </x:c>
      <x:c r="B659" s="5" t="str">
        <x:v>WQ</x:v>
      </x:c>
      <x:c r="C659" s="5" t="str">
        <x:v>3</x:v>
      </x:c>
      <x:c r="D659" s="5" t="str">
        <x:v>Recht und Steuern</x:v>
      </x:c>
      <x:c r="E659" s="5" t="str">
        <x:v>Recht</x:v>
      </x:c>
      <x:c r="F659" s="5" t="str">
        <x:v>ui-wq-recht-schuld</x:v>
      </x:c>
      <x:c r="G659" s="5" t="str">
        <x:v>BGB Schuldrecht</x:v>
      </x:c>
      <x:c r="H659" s="5" t="str">
        <x:v>tr-wq-r05</x:v>
      </x:c>
      <x:c r="I659" s="5" t="str">
        <x:v>3.1.2.4</x:v>
      </x:c>
      <x:c r="J659" s="5" t="str">
        <x:v>Miete, Darlehen, Dienstleistung, Werk und Leasing</x:v>
      </x:c>
      <x:c r="K659" s="5" t="str"/>
      <x:c r="L659" s="5" t="str">
        <x:v>Weitere Vertragstypen, E-Commerce &amp; Leistungsstörungen</x:v>
      </x:c>
      <x:c r="M659" s="5" t="n">
        <x:v>107</x:v>
      </x:c>
      <x:c r="N659" s="5" t="n">
        <x:v>18</x:v>
      </x:c>
      <x:c r="O659" s="5" t="str"/>
      <x:c r="P659" s="5" t="str">
        <x:v>Pilot freigegeben</x:v>
      </x:c>
      <x:c r="Q659" s="5" t="str">
        <x:v>Revision 2 unverändert übernommen</x:v>
      </x:c>
      <x:c r="R659" s="5" t="str">
        <x:v>Hat die Bank Anspruch auf Zahlung der Kreditraten, obwohl der Käufer vom Kaufvertrag zurückgetreten ist?</x:v>
      </x:c>
      <x:c r="S659" s="5" t="str">
        <x:v>e8e1d299118ee3701f0225ed696376729ff0c993a977a26effc561547ca51be0</x:v>
      </x:c>
    </x:row>
    <x:row r="660" ht="36" customHeight="1">
      <x:c r="A660" s="5" t="str">
        <x:v>R-0256</x:v>
      </x:c>
      <x:c r="B660" s="5" t="str">
        <x:v>WQ</x:v>
      </x:c>
      <x:c r="C660" s="5" t="str">
        <x:v>3</x:v>
      </x:c>
      <x:c r="D660" s="5" t="str">
        <x:v>Recht und Steuern</x:v>
      </x:c>
      <x:c r="E660" s="5" t="str">
        <x:v>Recht</x:v>
      </x:c>
      <x:c r="F660" s="5" t="str">
        <x:v>ui-wq-recht-schuld</x:v>
      </x:c>
      <x:c r="G660" s="5" t="str">
        <x:v>BGB Schuldrecht</x:v>
      </x:c>
      <x:c r="H660" s="5" t="str">
        <x:v>tr-wq-r05</x:v>
      </x:c>
      <x:c r="I660" s="5" t="str">
        <x:v>3.1.2.4</x:v>
      </x:c>
      <x:c r="J660" s="5" t="str">
        <x:v>Miete, Darlehen, Dienstleistung, Werk und Leasing</x:v>
      </x:c>
      <x:c r="K660" s="5" t="str"/>
      <x:c r="L660" s="5" t="str">
        <x:v>Weitere Vertragstypen, E-Commerce &amp; Leistungsstörungen</x:v>
      </x:c>
      <x:c r="M660" s="5" t="n">
        <x:v>108</x:v>
      </x:c>
      <x:c r="N660" s="5" t="n">
        <x:v>19</x:v>
      </x:c>
      <x:c r="O660" s="5" t="str"/>
      <x:c r="P660" s="5" t="str">
        <x:v>Pilot freigegeben</x:v>
      </x:c>
      <x:c r="Q660" s="5" t="str">
        <x:v>Revision 2 unverändert übernommen</x:v>
      </x:c>
      <x:c r="R660" s="5" t="str">
        <x:v>Ergänzen Sie den Lückentext zur Abgrenzung von Dienstvertrag und Werkvertrag.</x:v>
      </x:c>
      <x:c r="S660" s="5" t="str">
        <x:v>149d080310caf09362690dfe57b12487c1d1874720a9cf0209416cf9765cb468</x:v>
      </x:c>
    </x:row>
    <x:row r="661" ht="36" customHeight="1">
      <x:c r="A661" s="5" t="str">
        <x:v>R-0257</x:v>
      </x:c>
      <x:c r="B661" s="5" t="str">
        <x:v>WQ</x:v>
      </x:c>
      <x:c r="C661" s="5" t="str">
        <x:v>3</x:v>
      </x:c>
      <x:c r="D661" s="5" t="str">
        <x:v>Recht und Steuern</x:v>
      </x:c>
      <x:c r="E661" s="5" t="str">
        <x:v>Recht</x:v>
      </x:c>
      <x:c r="F661" s="5" t="str">
        <x:v>ui-wq-recht-schuld</x:v>
      </x:c>
      <x:c r="G661" s="5" t="str">
        <x:v>BGB Schuldrecht</x:v>
      </x:c>
      <x:c r="H661" s="5" t="str">
        <x:v>tr-wq-r05</x:v>
      </x:c>
      <x:c r="I661" s="5" t="str">
        <x:v>3.1.2.4</x:v>
      </x:c>
      <x:c r="J661" s="5" t="str">
        <x:v>Miete, Darlehen, Dienstleistung, Werk und Leasing</x:v>
      </x:c>
      <x:c r="K661" s="5" t="str"/>
      <x:c r="L661" s="5" t="str">
        <x:v>Weitere Vertragstypen, E-Commerce &amp; Leistungsstörungen</x:v>
      </x:c>
      <x:c r="M661" s="5" t="n">
        <x:v>109</x:v>
      </x:c>
      <x:c r="N661" s="5" t="n">
        <x:v>20</x:v>
      </x:c>
      <x:c r="O661" s="5" t="str"/>
      <x:c r="P661" s="5" t="str">
        <x:v>Pilot freigegeben</x:v>
      </x:c>
      <x:c r="Q661" s="5" t="str">
        <x:v>Revision 2 unverändert übernommen</x:v>
      </x:c>
      <x:c r="R661" s="5" t="str">
        <x:v>Was ist der wesentliche Unterschied zwischen Werkvertrag und Werklieferungsvertrag?</x:v>
      </x:c>
      <x:c r="S661" s="5" t="str">
        <x:v>fd7f67e06c390065c704119ddb1145550e6860a3da4fe9e41980294dc8d9ae18</x:v>
      </x:c>
    </x:row>
    <x:row r="662" ht="36" customHeight="1">
      <x:c r="A662" s="5" t="str">
        <x:v>R-0258</x:v>
      </x:c>
      <x:c r="B662" s="5" t="str">
        <x:v>WQ</x:v>
      </x:c>
      <x:c r="C662" s="5" t="str">
        <x:v>3</x:v>
      </x:c>
      <x:c r="D662" s="5" t="str">
        <x:v>Recht und Steuern</x:v>
      </x:c>
      <x:c r="E662" s="5" t="str">
        <x:v>Recht</x:v>
      </x:c>
      <x:c r="F662" s="5" t="str">
        <x:v>ui-wq-recht-schuld</x:v>
      </x:c>
      <x:c r="G662" s="5" t="str">
        <x:v>BGB Schuldrecht</x:v>
      </x:c>
      <x:c r="H662" s="5" t="str">
        <x:v>tr-wq-r05</x:v>
      </x:c>
      <x:c r="I662" s="5" t="str">
        <x:v>3.1.2.4</x:v>
      </x:c>
      <x:c r="J662" s="5" t="str">
        <x:v>Miete, Darlehen, Dienstleistung, Werk und Leasing</x:v>
      </x:c>
      <x:c r="K662" s="5" t="str"/>
      <x:c r="L662" s="5" t="str">
        <x:v>Weitere Vertragstypen, E-Commerce &amp; Leistungsstörungen</x:v>
      </x:c>
      <x:c r="M662" s="5" t="n">
        <x:v>110</x:v>
      </x:c>
      <x:c r="N662" s="5" t="n">
        <x:v>21</x:v>
      </x:c>
      <x:c r="O662" s="5" t="str"/>
      <x:c r="P662" s="5" t="str">
        <x:v>Pilot freigegeben</x:v>
      </x:c>
      <x:c r="Q662" s="5" t="str">
        <x:v>Revision 2 unverändert übernommen</x:v>
      </x:c>
      <x:c r="R662" s="5" t="str">
        <x:v>Welche Vertragsart liegt beim Kauf einer Küche mit späterer Lieferung und Montage vor?</x:v>
      </x:c>
      <x:c r="S662" s="5" t="str">
        <x:v>12818cf9a5b68ebf0e81fed7effa9499f18ff5ce17397204d92cc3edb7431f8e</x:v>
      </x:c>
    </x:row>
    <x:row r="663" ht="36" customHeight="1">
      <x:c r="A663" s="5" t="str">
        <x:v>R-0259</x:v>
      </x:c>
      <x:c r="B663" s="5" t="str">
        <x:v>WQ</x:v>
      </x:c>
      <x:c r="C663" s="5" t="str">
        <x:v>3</x:v>
      </x:c>
      <x:c r="D663" s="5" t="str">
        <x:v>Recht und Steuern</x:v>
      </x:c>
      <x:c r="E663" s="5" t="str">
        <x:v>Recht</x:v>
      </x:c>
      <x:c r="F663" s="5" t="str">
        <x:v>ui-wq-recht-schuld</x:v>
      </x:c>
      <x:c r="G663" s="5" t="str">
        <x:v>BGB Schuldrecht</x:v>
      </x:c>
      <x:c r="H663" s="5" t="str">
        <x:v>tr-wq-r05</x:v>
      </x:c>
      <x:c r="I663" s="5" t="str">
        <x:v>3.1.2.4</x:v>
      </x:c>
      <x:c r="J663" s="5" t="str">
        <x:v>Miete, Darlehen, Dienstleistung, Werk und Leasing</x:v>
      </x:c>
      <x:c r="K663" s="5" t="str"/>
      <x:c r="L663" s="5" t="str">
        <x:v>Weitere Vertragstypen, E-Commerce &amp; Leistungsstörungen</x:v>
      </x:c>
      <x:c r="M663" s="5" t="n">
        <x:v>111</x:v>
      </x:c>
      <x:c r="N663" s="5" t="n">
        <x:v>22</x:v>
      </x:c>
      <x:c r="O663" s="5" t="str"/>
      <x:c r="P663" s="5" t="str">
        <x:v>Pilot freigegeben</x:v>
      </x:c>
      <x:c r="Q663" s="5" t="str">
        <x:v>Revision 2 unverändert übernommen</x:v>
      </x:c>
      <x:c r="R663" s="5" t="str">
        <x:v>Welche Rechtsfolgen ergeben sich neben der Fälligkeit der Vergütung aus der Abnahme eines Werkes? Nennen Sie mindestens zwei.</x:v>
      </x:c>
      <x:c r="S663" s="5" t="str">
        <x:v>61a5c9c6151972761d9b650c7e8d8b1eead976a14efc410aec01ee6d6a9b9879</x:v>
      </x:c>
    </x:row>
    <x:row r="664" ht="36" customHeight="1">
      <x:c r="A664" s="5" t="str">
        <x:v>R-0260</x:v>
      </x:c>
      <x:c r="B664" s="5" t="str">
        <x:v>WQ</x:v>
      </x:c>
      <x:c r="C664" s="5" t="str">
        <x:v>3</x:v>
      </x:c>
      <x:c r="D664" s="5" t="str">
        <x:v>Recht und Steuern</x:v>
      </x:c>
      <x:c r="E664" s="5" t="str">
        <x:v>Recht</x:v>
      </x:c>
      <x:c r="F664" s="5" t="str">
        <x:v>ui-wq-recht-schuld</x:v>
      </x:c>
      <x:c r="G664" s="5" t="str">
        <x:v>BGB Schuldrecht</x:v>
      </x:c>
      <x:c r="H664" s="5" t="str">
        <x:v>tr-wq-r05</x:v>
      </x:c>
      <x:c r="I664" s="5" t="str">
        <x:v>3.1.2.4</x:v>
      </x:c>
      <x:c r="J664" s="5" t="str">
        <x:v>Miete, Darlehen, Dienstleistung, Werk und Leasing</x:v>
      </x:c>
      <x:c r="K664" s="5" t="str"/>
      <x:c r="L664" s="5" t="str">
        <x:v>Weitere Vertragstypen, E-Commerce &amp; Leistungsstörungen</x:v>
      </x:c>
      <x:c r="M664" s="5" t="n">
        <x:v>112</x:v>
      </x:c>
      <x:c r="N664" s="5" t="n">
        <x:v>23</x:v>
      </x:c>
      <x:c r="O664" s="5" t="str"/>
      <x:c r="P664" s="5" t="str">
        <x:v>Pilot freigegeben</x:v>
      </x:c>
      <x:c r="Q664" s="5" t="str">
        <x:v>Revision 2 unverändert übernommen</x:v>
      </x:c>
      <x:c r="R664" s="5" t="str">
        <x:v>Ergänzen Sie die Übersicht zu den Gewährleistungsrechten im Werkvertrag.</x:v>
      </x:c>
      <x:c r="S664" s="5" t="str">
        <x:v>187551e762a70f57af73256c6513159538f771564fdf60215561eb77d436556b</x:v>
      </x:c>
    </x:row>
    <x:row r="665" ht="36" customHeight="1">
      <x:c r="A665" s="5" t="str">
        <x:v>R-0261</x:v>
      </x:c>
      <x:c r="B665" s="5" t="str">
        <x:v>WQ</x:v>
      </x:c>
      <x:c r="C665" s="5" t="str">
        <x:v>3</x:v>
      </x:c>
      <x:c r="D665" s="5" t="str">
        <x:v>Recht und Steuern</x:v>
      </x:c>
      <x:c r="E665" s="5" t="str">
        <x:v>Recht</x:v>
      </x:c>
      <x:c r="F665" s="5" t="str">
        <x:v>ui-wq-recht-schuld</x:v>
      </x:c>
      <x:c r="G665" s="5" t="str">
        <x:v>BGB Schuldrecht</x:v>
      </x:c>
      <x:c r="H665" s="5" t="str">
        <x:v>tr-wq-r05</x:v>
      </x:c>
      <x:c r="I665" s="5" t="str">
        <x:v>3.1.2.4</x:v>
      </x:c>
      <x:c r="J665" s="5" t="str">
        <x:v>Miete, Darlehen, Dienstleistung, Werk und Leasing</x:v>
      </x:c>
      <x:c r="K665" s="5" t="str"/>
      <x:c r="L665" s="5" t="str">
        <x:v>Weitere Vertragstypen, E-Commerce &amp; Leistungsstörungen</x:v>
      </x:c>
      <x:c r="M665" s="5" t="n">
        <x:v>113</x:v>
      </x:c>
      <x:c r="N665" s="5" t="n">
        <x:v>24</x:v>
      </x:c>
      <x:c r="O665" s="5" t="str"/>
      <x:c r="P665" s="5" t="str">
        <x:v>Pilot freigegeben</x:v>
      </x:c>
      <x:c r="Q665" s="5" t="str">
        <x:v>Revision 2 unverändert übernommen</x:v>
      </x:c>
      <x:c r="R665" s="5" t="str">
        <x:v>Welche drei wesentlichen Unterschiede bestehen zu den kaufrechtlichen Gewährleistungsansprüchen?</x:v>
      </x:c>
      <x:c r="S665" s="5" t="str">
        <x:v>9fb944b43f4b368243b0e6bbf4b05663a9e5324b889cfe5b556e43d33afc789e</x:v>
      </x:c>
    </x:row>
    <x:row r="666" ht="36" customHeight="1">
      <x:c r="A666" s="5" t="str">
        <x:v>R-0262</x:v>
      </x:c>
      <x:c r="B666" s="5" t="str">
        <x:v>WQ</x:v>
      </x:c>
      <x:c r="C666" s="5" t="str">
        <x:v>3</x:v>
      </x:c>
      <x:c r="D666" s="5" t="str">
        <x:v>Recht und Steuern</x:v>
      </x:c>
      <x:c r="E666" s="5" t="str">
        <x:v>Recht</x:v>
      </x:c>
      <x:c r="F666" s="5" t="str">
        <x:v>ui-wq-recht-schuld</x:v>
      </x:c>
      <x:c r="G666" s="5" t="str">
        <x:v>BGB Schuldrecht</x:v>
      </x:c>
      <x:c r="H666" s="5" t="str">
        <x:v>tr-wq-r05</x:v>
      </x:c>
      <x:c r="I666" s="5" t="str">
        <x:v>3.1.2.4</x:v>
      </x:c>
      <x:c r="J666" s="5" t="str">
        <x:v>Miete, Darlehen, Dienstleistung, Werk und Leasing</x:v>
      </x:c>
      <x:c r="K666" s="5" t="str"/>
      <x:c r="L666" s="5" t="str">
        <x:v>Weitere Vertragstypen, E-Commerce &amp; Leistungsstörungen</x:v>
      </x:c>
      <x:c r="M666" s="5" t="n">
        <x:v>114</x:v>
      </x:c>
      <x:c r="N666" s="5" t="n">
        <x:v>25</x:v>
      </x:c>
      <x:c r="O666" s="5" t="str"/>
      <x:c r="P666" s="5" t="str">
        <x:v>Pilot freigegeben</x:v>
      </x:c>
      <x:c r="Q666" s="5" t="str">
        <x:v>Revision 2 unverändert übernommen</x:v>
      </x:c>
      <x:c r="R666" s="5" t="str">
        <x:v>Welche Gewährleistungsrechte hat der Besteller im Werkvertrag?</x:v>
      </x:c>
      <x:c r="S666" s="5" t="str">
        <x:v>6d01d4a6ec38527c77a79a27d1a72173c2c24c5cdd1bc471d29c9f615cc15368</x:v>
      </x:c>
    </x:row>
    <x:row r="667" ht="36" customHeight="1">
      <x:c r="A667" s="5" t="str">
        <x:v>R-0263</x:v>
      </x:c>
      <x:c r="B667" s="5" t="str">
        <x:v>WQ</x:v>
      </x:c>
      <x:c r="C667" s="5" t="str">
        <x:v>3</x:v>
      </x:c>
      <x:c r="D667" s="5" t="str">
        <x:v>Recht und Steuern</x:v>
      </x:c>
      <x:c r="E667" s="5" t="str">
        <x:v>Recht</x:v>
      </x:c>
      <x:c r="F667" s="5" t="str">
        <x:v>ui-wq-recht-schuld</x:v>
      </x:c>
      <x:c r="G667" s="5" t="str">
        <x:v>BGB Schuldrecht</x:v>
      </x:c>
      <x:c r="H667" s="5" t="str">
        <x:v>tr-wq-r05</x:v>
      </x:c>
      <x:c r="I667" s="5" t="str">
        <x:v>3.1.2.4</x:v>
      </x:c>
      <x:c r="J667" s="5" t="str">
        <x:v>Miete, Darlehen, Dienstleistung, Werk und Leasing</x:v>
      </x:c>
      <x:c r="K667" s="5" t="str"/>
      <x:c r="L667" s="5" t="str">
        <x:v>Weitere Vertragstypen, E-Commerce &amp; Leistungsstörungen</x:v>
      </x:c>
      <x:c r="M667" s="5" t="n">
        <x:v>115</x:v>
      </x:c>
      <x:c r="N667" s="5" t="n">
        <x:v>26</x:v>
      </x:c>
      <x:c r="O667" s="5" t="str"/>
      <x:c r="P667" s="5" t="str">
        <x:v>Pilot freigegeben</x:v>
      </x:c>
      <x:c r="Q667" s="5" t="str">
        <x:v>Revision 2 unverändert übernommen</x:v>
      </x:c>
      <x:c r="R667" s="5" t="str">
        <x:v>Ein Kunde hat aufgrund eines Werkvertrags einen Mehrspartenanschluss herstellen lassen. Das Werk ist mangelhaft. Der Kunde verlangt sofort eine Herabsetzung der Vergütung, ohne dem Unternehmer zuvor eine angemessene Frist zur Nacherfüllung gesetzt zu haben. Die Nacherfüllung ist möglich und dem Kunden zumutbar; sie ist weder fehlgeschlagen noch verweigert worden. Auch sonst liegt kein Grund vor, der eine Fristsetzung entbehrlich macht.
Hat der Kunde sofort Anspruch auf Preisminderung wegen eines mangelhaften Mehrspartenanschlusses?</x:v>
      </x:c>
      <x:c r="S667" s="5" t="str">
        <x:v>cef9a837c3b3abe73bcb0e522172ef464b2fb11f91ae90a02ea9e36ed2149494</x:v>
      </x:c>
    </x:row>
    <x:row r="668" ht="36" customHeight="1">
      <x:c r="A668" s="5" t="str">
        <x:v>R-0264</x:v>
      </x:c>
      <x:c r="B668" s="5" t="str">
        <x:v>WQ</x:v>
      </x:c>
      <x:c r="C668" s="5" t="str">
        <x:v>3</x:v>
      </x:c>
      <x:c r="D668" s="5" t="str">
        <x:v>Recht und Steuern</x:v>
      </x:c>
      <x:c r="E668" s="5" t="str">
        <x:v>Recht</x:v>
      </x:c>
      <x:c r="F668" s="5" t="str">
        <x:v>ui-wq-recht-schuld</x:v>
      </x:c>
      <x:c r="G668" s="5" t="str">
        <x:v>BGB Schuldrecht</x:v>
      </x:c>
      <x:c r="H668" s="5" t="str">
        <x:v>tr-wq-r05</x:v>
      </x:c>
      <x:c r="I668" s="5" t="str">
        <x:v>3.1.2.4</x:v>
      </x:c>
      <x:c r="J668" s="5" t="str">
        <x:v>Miete, Darlehen, Dienstleistung, Werk und Leasing</x:v>
      </x:c>
      <x:c r="K668" s="5" t="str">
        <x:v>3.1.3.2</x:v>
      </x:c>
      <x:c r="L668" s="5" t="str">
        <x:v>Weitere Vertragstypen, E-Commerce &amp; Leistungsstörungen</x:v>
      </x:c>
      <x:c r="M668" s="5" t="n">
        <x:v>116</x:v>
      </x:c>
      <x:c r="N668" s="5" t="n">
        <x:v>27</x:v>
      </x:c>
      <x:c r="O668" s="5" t="str"/>
      <x:c r="P668" s="5" t="str">
        <x:v>Pilot freigegeben</x:v>
      </x:c>
      <x:c r="Q668" s="5" t="str">
        <x:v>Revision 2 unverändert übernommen</x:v>
      </x:c>
      <x:c r="R668" s="5" t="str">
        <x:v>Welche Sicherungsrechte hat ein Werkunternehmer?</x:v>
      </x:c>
      <x:c r="S668" s="5" t="str">
        <x:v>eeddb940f9cc3b045846b12b72ca40822e56b8b7ea35dc3367afd9fa9c5323e3</x:v>
      </x:c>
    </x:row>
    <x:row r="669" ht="36" customHeight="1">
      <x:c r="A669" s="5" t="str">
        <x:v>R-0265</x:v>
      </x:c>
      <x:c r="B669" s="5" t="str">
        <x:v>WQ</x:v>
      </x:c>
      <x:c r="C669" s="5" t="str">
        <x:v>3</x:v>
      </x:c>
      <x:c r="D669" s="5" t="str">
        <x:v>Recht und Steuern</x:v>
      </x:c>
      <x:c r="E669" s="5" t="str">
        <x:v>Recht</x:v>
      </x:c>
      <x:c r="F669" s="5" t="str">
        <x:v>ui-wq-recht-schuld</x:v>
      </x:c>
      <x:c r="G669" s="5" t="str">
        <x:v>BGB Schuldrecht</x:v>
      </x:c>
      <x:c r="H669" s="5" t="str">
        <x:v>tr-wq-r05</x:v>
      </x:c>
      <x:c r="I669" s="5" t="str">
        <x:v>3.1.2.4</x:v>
      </x:c>
      <x:c r="J669" s="5" t="str">
        <x:v>Miete, Darlehen, Dienstleistung, Werk und Leasing</x:v>
      </x:c>
      <x:c r="K669" s="5" t="str">
        <x:v>3.1.3.2</x:v>
      </x:c>
      <x:c r="L669" s="5" t="str">
        <x:v>Weitere Vertragstypen, E-Commerce &amp; Leistungsstörungen</x:v>
      </x:c>
      <x:c r="M669" s="5" t="n">
        <x:v>117</x:v>
      </x:c>
      <x:c r="N669" s="5" t="n">
        <x:v>28</x:v>
      </x:c>
      <x:c r="O669" s="5" t="str"/>
      <x:c r="P669" s="5" t="str">
        <x:v>Pilot freigegeben</x:v>
      </x:c>
      <x:c r="Q669" s="5" t="str">
        <x:v>Revision 2 unverändert übernommen</x:v>
      </x:c>
      <x:c r="R669" s="5" t="str">
        <x:v>Steht der Autowerkstatt ein Werkunternehmerpfandrecht am geleasten Fahrzeug zu?</x:v>
      </x:c>
      <x:c r="S669" s="5" t="str">
        <x:v>4672e2b8e772251013094898f25815df93699cb7461c4876fdae0975ea7a7a32</x:v>
      </x:c>
    </x:row>
    <x:row r="670" ht="36" customHeight="1">
      <x:c r="A670" s="5" t="str">
        <x:v>R-0266</x:v>
      </x:c>
      <x:c r="B670" s="5" t="str">
        <x:v>WQ</x:v>
      </x:c>
      <x:c r="C670" s="5" t="str">
        <x:v>3</x:v>
      </x:c>
      <x:c r="D670" s="5" t="str">
        <x:v>Recht und Steuern</x:v>
      </x:c>
      <x:c r="E670" s="5" t="str">
        <x:v>Recht</x:v>
      </x:c>
      <x:c r="F670" s="5" t="str">
        <x:v>ui-wq-recht-schuld</x:v>
      </x:c>
      <x:c r="G670" s="5" t="str">
        <x:v>BGB Schuldrecht</x:v>
      </x:c>
      <x:c r="H670" s="5" t="str">
        <x:v>tr-wq-r05</x:v>
      </x:c>
      <x:c r="I670" s="5" t="str">
        <x:v>3.1.2.4</x:v>
      </x:c>
      <x:c r="J670" s="5" t="str">
        <x:v>Miete, Darlehen, Dienstleistung, Werk und Leasing</x:v>
      </x:c>
      <x:c r="K670" s="5" t="str"/>
      <x:c r="L670" s="5" t="str">
        <x:v>Weitere Vertragstypen, E-Commerce &amp; Leistungsstörungen</x:v>
      </x:c>
      <x:c r="M670" s="5" t="n">
        <x:v>118</x:v>
      </x:c>
      <x:c r="N670" s="5" t="n">
        <x:v>29</x:v>
      </x:c>
      <x:c r="O670" s="5" t="str"/>
      <x:c r="P670" s="5" t="str">
        <x:v>Pilot freigegeben</x:v>
      </x:c>
      <x:c r="Q670" s="5" t="str">
        <x:v>Revision 2 unverändert übernommen</x:v>
      </x:c>
      <x:c r="R670" s="5" t="str">
        <x:v>Ordnen Sie die Vertragsarten im Leasingverhältnis korrekt zu.</x:v>
      </x:c>
      <x:c r="S670" s="5" t="str">
        <x:v>acb93716d1c67ebeb6306218a8e617969fdee9a69e07117a6532b2656c02fe15</x:v>
      </x:c>
    </x:row>
    <x:row r="671" ht="36" customHeight="1">
      <x:c r="A671" s="5" t="str">
        <x:v>R-0267</x:v>
      </x:c>
      <x:c r="B671" s="5" t="str">
        <x:v>WQ</x:v>
      </x:c>
      <x:c r="C671" s="5" t="str">
        <x:v>3</x:v>
      </x:c>
      <x:c r="D671" s="5" t="str">
        <x:v>Recht und Steuern</x:v>
      </x:c>
      <x:c r="E671" s="5" t="str">
        <x:v>Recht</x:v>
      </x:c>
      <x:c r="F671" s="5" t="str">
        <x:v>ui-wq-recht-schuld</x:v>
      </x:c>
      <x:c r="G671" s="5" t="str">
        <x:v>BGB Schuldrecht</x:v>
      </x:c>
      <x:c r="H671" s="5" t="str">
        <x:v>tr-wq-r05</x:v>
      </x:c>
      <x:c r="I671" s="5" t="str">
        <x:v>3.1.2.4</x:v>
      </x:c>
      <x:c r="J671" s="5" t="str">
        <x:v>Miete, Darlehen, Dienstleistung, Werk und Leasing</x:v>
      </x:c>
      <x:c r="K671" s="5" t="str"/>
      <x:c r="L671" s="5" t="str">
        <x:v>Weitere Vertragstypen, E-Commerce &amp; Leistungsstörungen</x:v>
      </x:c>
      <x:c r="M671" s="5" t="n">
        <x:v>119</x:v>
      </x:c>
      <x:c r="N671" s="5" t="n">
        <x:v>30</x:v>
      </x:c>
      <x:c r="O671" s="5" t="str"/>
      <x:c r="P671" s="5" t="str">
        <x:v>Pilot freigegeben</x:v>
      </x:c>
      <x:c r="Q671" s="5" t="str">
        <x:v>Revision 2 unverändert übernommen</x:v>
      </x:c>
      <x:c r="R671" s="5" t="str">
        <x:v>Darf die Unternehmerin die Zahlung der Leasingraten wegen der mangelhaften Verpackungsmaschine verweigern?</x:v>
      </x:c>
      <x:c r="S671" s="5" t="str">
        <x:v>aaa3744005374d27fe4289db37eb3e5a294dc889048de9a2a2bfa1536d9b1d28</x:v>
      </x:c>
    </x:row>
    <x:row r="672" ht="36" customHeight="1">
      <x:c r="A672" s="5" t="str">
        <x:v>R-0268</x:v>
      </x:c>
      <x:c r="B672" s="5" t="str">
        <x:v>WQ</x:v>
      </x:c>
      <x:c r="C672" s="5" t="str">
        <x:v>3</x:v>
      </x:c>
      <x:c r="D672" s="5" t="str">
        <x:v>Recht und Steuern</x:v>
      </x:c>
      <x:c r="E672" s="5" t="str">
        <x:v>Recht</x:v>
      </x:c>
      <x:c r="F672" s="5" t="str">
        <x:v>ui-wq-recht-schuld</x:v>
      </x:c>
      <x:c r="G672" s="5" t="str">
        <x:v>BGB Schuldrecht</x:v>
      </x:c>
      <x:c r="H672" s="5" t="str">
        <x:v>tr-wq-r05</x:v>
      </x:c>
      <x:c r="I672" s="5" t="str">
        <x:v>3.1.2.4</x:v>
      </x:c>
      <x:c r="J672" s="5" t="str">
        <x:v>Miete, Darlehen, Dienstleistung, Werk und Leasing</x:v>
      </x:c>
      <x:c r="K672" s="5" t="str"/>
      <x:c r="L672" s="5" t="str">
        <x:v>Weitere Vertragstypen, E-Commerce &amp; Leistungsstörungen</x:v>
      </x:c>
      <x:c r="M672" s="5" t="n">
        <x:v>120</x:v>
      </x:c>
      <x:c r="N672" s="5" t="n">
        <x:v>31</x:v>
      </x:c>
      <x:c r="O672" s="5" t="str"/>
      <x:c r="P672" s="5" t="str">
        <x:v>Pilot freigegeben</x:v>
      </x:c>
      <x:c r="Q672" s="5" t="str">
        <x:v>Revision 2 unverändert übernommen</x:v>
      </x:c>
      <x:c r="R672" s="5" t="str">
        <x:v>Darf die Unternehmerin die Zahlung der Leasingraten verweigern, wenn sie gegenüber dem Hersteller wirksam vom Kaufvertrag zurückgetreten ist?</x:v>
      </x:c>
      <x:c r="S672" s="5" t="str">
        <x:v>6f805eb30e3a4e780434533292cf74dcaa4b71e8d6d08b072739414a6687863f</x:v>
      </x:c>
    </x:row>
    <x:row r="673" ht="36" customHeight="1">
      <x:c r="A673" s="5" t="str">
        <x:v>R-0269</x:v>
      </x:c>
      <x:c r="B673" s="5" t="str">
        <x:v>WQ</x:v>
      </x:c>
      <x:c r="C673" s="5" t="str">
        <x:v>3</x:v>
      </x:c>
      <x:c r="D673" s="5" t="str">
        <x:v>Recht und Steuern</x:v>
      </x:c>
      <x:c r="E673" s="5" t="str">
        <x:v>Recht</x:v>
      </x:c>
      <x:c r="F673" s="5" t="str">
        <x:v>ui-wq-recht-schuld</x:v>
      </x:c>
      <x:c r="G673" s="5" t="str">
        <x:v>BGB Schuldrecht</x:v>
      </x:c>
      <x:c r="H673" s="5" t="str">
        <x:v>tr-wq-r06</x:v>
      </x:c>
      <x:c r="I673" s="5" t="str">
        <x:v>3.1.2.5</x:v>
      </x:c>
      <x:c r="J673" s="5" t="str">
        <x:v>Onlineverträge und Widerruf</x:v>
      </x:c>
      <x:c r="K673" s="5" t="str"/>
      <x:c r="L673" s="5" t="str">
        <x:v>Weitere Vertragstypen, E-Commerce &amp; Leistungsstörungen</x:v>
      </x:c>
      <x:c r="M673" s="5" t="n">
        <x:v>121</x:v>
      </x:c>
      <x:c r="N673" s="5" t="n">
        <x:v>2</x:v>
      </x:c>
      <x:c r="O673" s="5" t="str"/>
      <x:c r="P673" s="5" t="str">
        <x:v>Pilot freigegeben</x:v>
      </x:c>
      <x:c r="Q673" s="5" t="str">
        <x:v>Revision 2 unverändert übernommen</x:v>
      </x:c>
      <x:c r="R673" s="5" t="str">
        <x:v>Ergänzen Sie den Lückentext zum Fernabsatzvertrag.</x:v>
      </x:c>
      <x:c r="S673" s="5" t="str">
        <x:v>e5b4f72d9babffec1e82ef50fac0dd765ed5d8635f51a5344096624a95ecb5f2</x:v>
      </x:c>
    </x:row>
    <x:row r="674" ht="36" customHeight="1">
      <x:c r="A674" s="5" t="str">
        <x:v>R-0270</x:v>
      </x:c>
      <x:c r="B674" s="5" t="str">
        <x:v>WQ</x:v>
      </x:c>
      <x:c r="C674" s="5" t="str">
        <x:v>3</x:v>
      </x:c>
      <x:c r="D674" s="5" t="str">
        <x:v>Recht und Steuern</x:v>
      </x:c>
      <x:c r="E674" s="5" t="str">
        <x:v>Recht</x:v>
      </x:c>
      <x:c r="F674" s="5" t="str">
        <x:v>ui-wq-recht-schuld</x:v>
      </x:c>
      <x:c r="G674" s="5" t="str">
        <x:v>BGB Schuldrecht</x:v>
      </x:c>
      <x:c r="H674" s="5" t="str">
        <x:v>tr-wq-r06</x:v>
      </x:c>
      <x:c r="I674" s="5" t="str">
        <x:v>3.1.2.5</x:v>
      </x:c>
      <x:c r="J674" s="5" t="str">
        <x:v>Onlineverträge und Widerruf</x:v>
      </x:c>
      <x:c r="K674" s="5" t="str"/>
      <x:c r="L674" s="5" t="str">
        <x:v>Weitere Vertragstypen, E-Commerce &amp; Leistungsstörungen</x:v>
      </x:c>
      <x:c r="M674" s="5" t="n">
        <x:v>122</x:v>
      </x:c>
      <x:c r="N674" s="5" t="n">
        <x:v>3</x:v>
      </x:c>
      <x:c r="O674" s="5" t="str"/>
      <x:c r="P674" s="5" t="str">
        <x:v>Pilot freigegeben</x:v>
      </x:c>
      <x:c r="Q674" s="5" t="str">
        <x:v>Revision 2 unverändert übernommen</x:v>
      </x:c>
      <x:c r="R674" s="5" t="str">
        <x:v>Hat die Verbraucherin ein Widerrufsrecht beim Onlinekauf des Abendkleides?</x:v>
      </x:c>
      <x:c r="S674" s="5" t="str">
        <x:v>51c4ded37741dff825d62d7bb39ad21e1b7993b9d32fa8de64b2c6efd6f132e0</x:v>
      </x:c>
    </x:row>
    <x:row r="675" ht="36" customHeight="1">
      <x:c r="A675" s="5" t="str">
        <x:v>R-0271</x:v>
      </x:c>
      <x:c r="B675" s="5" t="str">
        <x:v>WQ</x:v>
      </x:c>
      <x:c r="C675" s="5" t="str">
        <x:v>3</x:v>
      </x:c>
      <x:c r="D675" s="5" t="str">
        <x:v>Recht und Steuern</x:v>
      </x:c>
      <x:c r="E675" s="5" t="str">
        <x:v>Recht</x:v>
      </x:c>
      <x:c r="F675" s="5" t="str">
        <x:v>ui-wq-recht-schuld</x:v>
      </x:c>
      <x:c r="G675" s="5" t="str">
        <x:v>BGB Schuldrecht</x:v>
      </x:c>
      <x:c r="H675" s="5" t="str">
        <x:v>tr-wq-r06</x:v>
      </x:c>
      <x:c r="I675" s="5" t="str">
        <x:v>3.1.2.5</x:v>
      </x:c>
      <x:c r="J675" s="5" t="str">
        <x:v>Onlineverträge und Widerruf</x:v>
      </x:c>
      <x:c r="K675" s="5" t="str"/>
      <x:c r="L675" s="5" t="str">
        <x:v>Weitere Vertragstypen, E-Commerce &amp; Leistungsstörungen</x:v>
      </x:c>
      <x:c r="M675" s="5" t="n">
        <x:v>123</x:v>
      </x:c>
      <x:c r="N675" s="5" t="n">
        <x:v>4</x:v>
      </x:c>
      <x:c r="O675" s="5" t="str"/>
      <x:c r="P675" s="5" t="str">
        <x:v>Pilot freigegeben</x:v>
      </x:c>
      <x:c r="Q675" s="5" t="str">
        <x:v>Revision 2 unverändert übernommen</x:v>
      </x:c>
      <x:c r="R675" s="5" t="str">
        <x:v>Muss die Verbraucherin die Rücksendekosten nach einem Widerruf tragen?</x:v>
      </x:c>
      <x:c r="S675" s="5" t="str">
        <x:v>20ad926844f5246186c13a9191ab487c38eaa1f6049596a0953549b9cff8ae0f</x:v>
      </x:c>
    </x:row>
    <x:row r="676" ht="36" customHeight="1">
      <x:c r="A676" s="5" t="str">
        <x:v>R-0272</x:v>
      </x:c>
      <x:c r="B676" s="5" t="str">
        <x:v>WQ</x:v>
      </x:c>
      <x:c r="C676" s="5" t="str">
        <x:v>3</x:v>
      </x:c>
      <x:c r="D676" s="5" t="str">
        <x:v>Recht und Steuern</x:v>
      </x:c>
      <x:c r="E676" s="5" t="str">
        <x:v>Recht</x:v>
      </x:c>
      <x:c r="F676" s="5" t="str">
        <x:v>ui-wq-recht-schuld</x:v>
      </x:c>
      <x:c r="G676" s="5" t="str">
        <x:v>BGB Schuldrecht</x:v>
      </x:c>
      <x:c r="H676" s="5" t="str">
        <x:v>tr-wq-r06</x:v>
      </x:c>
      <x:c r="I676" s="5" t="str">
        <x:v>3.1.2.5</x:v>
      </x:c>
      <x:c r="J676" s="5" t="str">
        <x:v>Onlineverträge und Widerruf</x:v>
      </x:c>
      <x:c r="K676" s="5" t="str"/>
      <x:c r="L676" s="5" t="str">
        <x:v>Weitere Vertragstypen, E-Commerce &amp; Leistungsstörungen</x:v>
      </x:c>
      <x:c r="M676" s="5" t="n">
        <x:v>124</x:v>
      </x:c>
      <x:c r="N676" s="5" t="n">
        <x:v>5</x:v>
      </x:c>
      <x:c r="O676" s="5" t="str"/>
      <x:c r="P676" s="5" t="str">
        <x:v>Pilot freigegeben</x:v>
      </x:c>
      <x:c r="Q676" s="5" t="str">
        <x:v>Revision 2 unverändert übernommen</x:v>
      </x:c>
      <x:c r="R676" s="5" t="str">
        <x:v>Hat die Verbraucherin Anspruch auf Erstattung der Hinsendekosten?</x:v>
      </x:c>
      <x:c r="S676" s="5" t="str">
        <x:v>b0da0a1c465133ad3453967d88a4a2536fea5a8a6de629434a758faad8771ff9</x:v>
      </x:c>
    </x:row>
    <x:row r="677" ht="36" customHeight="1">
      <x:c r="A677" s="5" t="str">
        <x:v>R-0273</x:v>
      </x:c>
      <x:c r="B677" s="5" t="str">
        <x:v>WQ</x:v>
      </x:c>
      <x:c r="C677" s="5" t="str">
        <x:v>3</x:v>
      </x:c>
      <x:c r="D677" s="5" t="str">
        <x:v>Recht und Steuern</x:v>
      </x:c>
      <x:c r="E677" s="5" t="str">
        <x:v>Recht</x:v>
      </x:c>
      <x:c r="F677" s="5" t="str">
        <x:v>ui-wq-recht-schuld</x:v>
      </x:c>
      <x:c r="G677" s="5" t="str">
        <x:v>BGB Schuldrecht</x:v>
      </x:c>
      <x:c r="H677" s="5" t="str">
        <x:v>tr-wq-r06</x:v>
      </x:c>
      <x:c r="I677" s="5" t="str">
        <x:v>3.1.2.5</x:v>
      </x:c>
      <x:c r="J677" s="5" t="str">
        <x:v>Onlineverträge und Widerruf</x:v>
      </x:c>
      <x:c r="K677" s="5" t="str"/>
      <x:c r="L677" s="5" t="str">
        <x:v>Weitere Vertragstypen, E-Commerce &amp; Leistungsstörungen</x:v>
      </x:c>
      <x:c r="M677" s="5" t="n">
        <x:v>125</x:v>
      </x:c>
      <x:c r="N677" s="5" t="n">
        <x:v>6</x:v>
      </x:c>
      <x:c r="O677" s="5" t="str"/>
      <x:c r="P677" s="5" t="str">
        <x:v>Pilot freigegeben</x:v>
      </x:c>
      <x:c r="Q677" s="5" t="str">
        <x:v>Revision 2 unverändert übernommen</x:v>
      </x:c>
      <x:c r="R677" s="5" t="str">
        <x:v>Welche rechtliche Bedeutung haben die einzelnen Schritte beim Onlinekauf eines Gaming-PCs?</x:v>
      </x:c>
      <x:c r="S677" s="5" t="str">
        <x:v>2d1f93be80840b107f9951c474d0d0ad3cd6f7b559fd950727a884e431b3f198</x:v>
      </x:c>
    </x:row>
    <x:row r="678" ht="36" customHeight="1">
      <x:c r="A678" s="5" t="str">
        <x:v>R-0274</x:v>
      </x:c>
      <x:c r="B678" s="5" t="str">
        <x:v>WQ</x:v>
      </x:c>
      <x:c r="C678" s="5" t="str">
        <x:v>3</x:v>
      </x:c>
      <x:c r="D678" s="5" t="str">
        <x:v>Recht und Steuern</x:v>
      </x:c>
      <x:c r="E678" s="5" t="str">
        <x:v>Recht</x:v>
      </x:c>
      <x:c r="F678" s="5" t="str">
        <x:v>ui-wq-recht-schuld</x:v>
      </x:c>
      <x:c r="G678" s="5" t="str">
        <x:v>BGB Schuldrecht</x:v>
      </x:c>
      <x:c r="H678" s="5" t="str">
        <x:v>tr-wq-r07</x:v>
      </x:c>
      <x:c r="I678" s="5" t="str">
        <x:v>3.1.2.5</x:v>
      </x:c>
      <x:c r="J678" s="5" t="str">
        <x:v>Leistung, Verzug und Schadensersatz</x:v>
      </x:c>
      <x:c r="K678" s="5" t="str"/>
      <x:c r="L678" s="5" t="str">
        <x:v>Weitere Vertragstypen, E-Commerce &amp; Leistungsstörungen</x:v>
      </x:c>
      <x:c r="M678" s="5" t="n">
        <x:v>126</x:v>
      </x:c>
      <x:c r="N678" s="5" t="n">
        <x:v>11</x:v>
      </x:c>
      <x:c r="O678" s="5" t="str"/>
      <x:c r="P678" s="5" t="str">
        <x:v>Pilot freigegeben</x:v>
      </x:c>
      <x:c r="Q678" s="5" t="str">
        <x:v>Revision 2 unverändert übernommen</x:v>
      </x:c>
      <x:c r="R678" s="5" t="str">
        <x:v>Welche Leistungs- bzw. Erfüllungsorte kennt das BGB?</x:v>
      </x:c>
      <x:c r="S678" s="5" t="str">
        <x:v>a53a858f87ee9803ba5c64a61275287b3e5251f26c3d43cfa0ba8730a7a03c4b</x:v>
      </x:c>
    </x:row>
    <x:row r="679" ht="36" customHeight="1">
      <x:c r="A679" s="5" t="str">
        <x:v>R-0275</x:v>
      </x:c>
      <x:c r="B679" s="5" t="str">
        <x:v>WQ</x:v>
      </x:c>
      <x:c r="C679" s="5" t="str">
        <x:v>3</x:v>
      </x:c>
      <x:c r="D679" s="5" t="str">
        <x:v>Recht und Steuern</x:v>
      </x:c>
      <x:c r="E679" s="5" t="str">
        <x:v>Recht</x:v>
      </x:c>
      <x:c r="F679" s="5" t="str">
        <x:v>ui-wq-recht-schuld</x:v>
      </x:c>
      <x:c r="G679" s="5" t="str">
        <x:v>BGB Schuldrecht</x:v>
      </x:c>
      <x:c r="H679" s="5" t="str">
        <x:v>tr-wq-r07</x:v>
      </x:c>
      <x:c r="I679" s="5" t="str">
        <x:v>3.1.2.5</x:v>
      </x:c>
      <x:c r="J679" s="5" t="str">
        <x:v>Leistung, Verzug und Schadensersatz</x:v>
      </x:c>
      <x:c r="K679" s="5" t="str"/>
      <x:c r="L679" s="5" t="str">
        <x:v>Weitere Vertragstypen, E-Commerce &amp; Leistungsstörungen</x:v>
      </x:c>
      <x:c r="M679" s="5" t="n">
        <x:v>127</x:v>
      </x:c>
      <x:c r="N679" s="5" t="n">
        <x:v>12</x:v>
      </x:c>
      <x:c r="O679" s="5" t="str"/>
      <x:c r="P679" s="5" t="str">
        <x:v>Pilot freigegeben</x:v>
      </x:c>
      <x:c r="Q679" s="5" t="str">
        <x:v>Revision 2 unverändert übernommen</x:v>
      </x:c>
      <x:c r="R679" s="5" t="str">
        <x:v>Welcher Leistungsort ist der gesetzliche Normalfall, wenn keine Vereinbarung getroffen wurde?</x:v>
      </x:c>
      <x:c r="S679" s="5" t="str">
        <x:v>267f19260d2ea1181c2d03c8868bbce8f69750ea0568b218b7ff5dd6ae3f07e0</x:v>
      </x:c>
    </x:row>
    <x:row r="680" ht="36" customHeight="1">
      <x:c r="A680" s="5" t="str">
        <x:v>R-0276</x:v>
      </x:c>
      <x:c r="B680" s="5" t="str">
        <x:v>WQ</x:v>
      </x:c>
      <x:c r="C680" s="5" t="str">
        <x:v>3</x:v>
      </x:c>
      <x:c r="D680" s="5" t="str">
        <x:v>Recht und Steuern</x:v>
      </x:c>
      <x:c r="E680" s="5" t="str">
        <x:v>Recht</x:v>
      </x:c>
      <x:c r="F680" s="5" t="str">
        <x:v>ui-wq-recht-schuld</x:v>
      </x:c>
      <x:c r="G680" s="5" t="str">
        <x:v>BGB Schuldrecht</x:v>
      </x:c>
      <x:c r="H680" s="5" t="str">
        <x:v>tr-wq-r07</x:v>
      </x:c>
      <x:c r="I680" s="5" t="str">
        <x:v>3.1.2.5</x:v>
      </x:c>
      <x:c r="J680" s="5" t="str">
        <x:v>Leistung, Verzug und Schadensersatz</x:v>
      </x:c>
      <x:c r="K680" s="5" t="str"/>
      <x:c r="L680" s="5" t="str">
        <x:v>Weitere Vertragstypen, E-Commerce &amp; Leistungsstörungen</x:v>
      </x:c>
      <x:c r="M680" s="5" t="n">
        <x:v>128</x:v>
      </x:c>
      <x:c r="N680" s="5" t="n">
        <x:v>13</x:v>
      </x:c>
      <x:c r="O680" s="5" t="str"/>
      <x:c r="P680" s="5" t="str">
        <x:v>Pilot freigegeben</x:v>
      </x:c>
      <x:c r="Q680" s="5" t="str">
        <x:v>Revision 2 unverändert übernommen</x:v>
      </x:c>
      <x:c r="R680" s="5" t="str">
        <x:v>Nennen Sie ein Beispiel für einen Leistungsort, der sich aus den Umständen ergibt.</x:v>
      </x:c>
      <x:c r="S680" s="5" t="str">
        <x:v>3a2fe69d25fd548658e1c6c54a2f9655de470ee1ed5538d32f0ee8bdde0481f2</x:v>
      </x:c>
    </x:row>
    <x:row r="681" ht="36" customHeight="1">
      <x:c r="A681" s="5" t="str">
        <x:v>R-0277</x:v>
      </x:c>
      <x:c r="B681" s="5" t="str">
        <x:v>WQ</x:v>
      </x:c>
      <x:c r="C681" s="5" t="str">
        <x:v>3</x:v>
      </x:c>
      <x:c r="D681" s="5" t="str">
        <x:v>Recht und Steuern</x:v>
      </x:c>
      <x:c r="E681" s="5" t="str">
        <x:v>Recht</x:v>
      </x:c>
      <x:c r="F681" s="5" t="str">
        <x:v>ui-wq-recht-schuld</x:v>
      </x:c>
      <x:c r="G681" s="5" t="str">
        <x:v>BGB Schuldrecht</x:v>
      </x:c>
      <x:c r="H681" s="5" t="str">
        <x:v>tr-wq-r07</x:v>
      </x:c>
      <x:c r="I681" s="5" t="str">
        <x:v>3.1.2.5</x:v>
      </x:c>
      <x:c r="J681" s="5" t="str">
        <x:v>Leistung, Verzug und Schadensersatz</x:v>
      </x:c>
      <x:c r="K681" s="5" t="str"/>
      <x:c r="L681" s="5" t="str">
        <x:v>Weitere Vertragstypen, E-Commerce &amp; Leistungsstörungen</x:v>
      </x:c>
      <x:c r="M681" s="5" t="n">
        <x:v>129</x:v>
      </x:c>
      <x:c r="N681" s="5" t="n">
        <x:v>14</x:v>
      </x:c>
      <x:c r="O681" s="5" t="str"/>
      <x:c r="P681" s="5" t="str">
        <x:v>Pilot freigegeben</x:v>
      </x:c>
      <x:c r="Q681" s="5" t="str">
        <x:v>Revision 2 unverändert übernommen</x:v>
      </x:c>
      <x:c r="R681" s="5" t="str">
        <x:v>Ergänzen Sie den Lückentext zur Fälligkeit und Erfüllbarkeit.</x:v>
      </x:c>
      <x:c r="S681" s="5" t="str">
        <x:v>3c10c51aac79dbdab54bae0acc6a58ad509ff459a5246c8c83ae81dd21e7ff67</x:v>
      </x:c>
    </x:row>
    <x:row r="682" ht="36" customHeight="1">
      <x:c r="A682" s="5" t="str">
        <x:v>R-0278</x:v>
      </x:c>
      <x:c r="B682" s="5" t="str">
        <x:v>WQ</x:v>
      </x:c>
      <x:c r="C682" s="5" t="str">
        <x:v>3</x:v>
      </x:c>
      <x:c r="D682" s="5" t="str">
        <x:v>Recht und Steuern</x:v>
      </x:c>
      <x:c r="E682" s="5" t="str">
        <x:v>Recht</x:v>
      </x:c>
      <x:c r="F682" s="5" t="str">
        <x:v>ui-wq-recht-schuld</x:v>
      </x:c>
      <x:c r="G682" s="5" t="str">
        <x:v>BGB Schuldrecht</x:v>
      </x:c>
      <x:c r="H682" s="5" t="str">
        <x:v>tr-wq-r07</x:v>
      </x:c>
      <x:c r="I682" s="5" t="str">
        <x:v>3.1.2.5</x:v>
      </x:c>
      <x:c r="J682" s="5" t="str">
        <x:v>Leistung, Verzug und Schadensersatz</x:v>
      </x:c>
      <x:c r="K682" s="5" t="str"/>
      <x:c r="L682" s="5" t="str">
        <x:v>Weitere Vertragstypen, E-Commerce &amp; Leistungsstörungen</x:v>
      </x:c>
      <x:c r="M682" s="5" t="n">
        <x:v>130</x:v>
      </x:c>
      <x:c r="N682" s="5" t="n">
        <x:v>15</x:v>
      </x:c>
      <x:c r="O682" s="5" t="str"/>
      <x:c r="P682" s="5" t="str">
        <x:v>Pilot freigegeben</x:v>
      </x:c>
      <x:c r="Q682" s="5" t="str">
        <x:v>Revision 2 unverändert übernommen</x:v>
      </x:c>
      <x:c r="R682" s="5" t="str">
        <x:v>Was ist der Unterschied zwischen Erfüllbarkeit und Fälligkeit bei einem Zahlungsziel?</x:v>
      </x:c>
      <x:c r="S682" s="5" t="str">
        <x:v>d30572ff374ce5ddb378fc2b4ea1de1cd6ab66c0a864e4d999239c87d7c9d520</x:v>
      </x:c>
    </x:row>
    <x:row r="683" ht="36" customHeight="1">
      <x:c r="A683" s="5" t="str">
        <x:v>R-0279</x:v>
      </x:c>
      <x:c r="B683" s="5" t="str">
        <x:v>WQ</x:v>
      </x:c>
      <x:c r="C683" s="5" t="str">
        <x:v>3</x:v>
      </x:c>
      <x:c r="D683" s="5" t="str">
        <x:v>Recht und Steuern</x:v>
      </x:c>
      <x:c r="E683" s="5" t="str">
        <x:v>Recht</x:v>
      </x:c>
      <x:c r="F683" s="5" t="str">
        <x:v>ui-wq-recht-schuld</x:v>
      </x:c>
      <x:c r="G683" s="5" t="str">
        <x:v>BGB Schuldrecht</x:v>
      </x:c>
      <x:c r="H683" s="5" t="str">
        <x:v>tr-wq-r07</x:v>
      </x:c>
      <x:c r="I683" s="5" t="str">
        <x:v>3.1.2.5</x:v>
      </x:c>
      <x:c r="J683" s="5" t="str">
        <x:v>Leistung, Verzug und Schadensersatz</x:v>
      </x:c>
      <x:c r="K683" s="5" t="str"/>
      <x:c r="L683" s="5" t="str">
        <x:v>Weitere Vertragstypen, E-Commerce &amp; Leistungsstörungen</x:v>
      </x:c>
      <x:c r="M683" s="5" t="n">
        <x:v>131</x:v>
      </x:c>
      <x:c r="N683" s="5" t="n">
        <x:v>16</x:v>
      </x:c>
      <x:c r="O683" s="5" t="str"/>
      <x:c r="P683" s="5" t="str">
        <x:v>Pilot freigegeben</x:v>
      </x:c>
      <x:c r="Q683" s="5" t="str">
        <x:v>Revision 2 unverändert übernommen</x:v>
      </x:c>
      <x:c r="R683" s="5" t="str">
        <x:v>Nennen Sie die drei Voraussetzungen des Schuldnerverzugs nach § 286 Abs. 1 BGB.</x:v>
      </x:c>
      <x:c r="S683" s="5" t="str">
        <x:v>a168a21f7925ba3dd9a92c23cc8385584659756c56a827c3220bb19bb6104369</x:v>
      </x:c>
    </x:row>
    <x:row r="684" ht="36" customHeight="1">
      <x:c r="A684" s="5" t="str">
        <x:v>R-0280</x:v>
      </x:c>
      <x:c r="B684" s="5" t="str">
        <x:v>WQ</x:v>
      </x:c>
      <x:c r="C684" s="5" t="str">
        <x:v>3</x:v>
      </x:c>
      <x:c r="D684" s="5" t="str">
        <x:v>Recht und Steuern</x:v>
      </x:c>
      <x:c r="E684" s="5" t="str">
        <x:v>Recht</x:v>
      </x:c>
      <x:c r="F684" s="5" t="str">
        <x:v>ui-wq-recht-schuld</x:v>
      </x:c>
      <x:c r="G684" s="5" t="str">
        <x:v>BGB Schuldrecht</x:v>
      </x:c>
      <x:c r="H684" s="5" t="str">
        <x:v>tr-wq-r07</x:v>
      </x:c>
      <x:c r="I684" s="5" t="str">
        <x:v>3.1.2.5</x:v>
      </x:c>
      <x:c r="J684" s="5" t="str">
        <x:v>Leistung, Verzug und Schadensersatz</x:v>
      </x:c>
      <x:c r="K684" s="5" t="str"/>
      <x:c r="L684" s="5" t="str">
        <x:v>Weitere Vertragstypen, E-Commerce &amp; Leistungsstörungen</x:v>
      </x:c>
      <x:c r="M684" s="5" t="n">
        <x:v>132</x:v>
      </x:c>
      <x:c r="N684" s="5" t="n">
        <x:v>17</x:v>
      </x:c>
      <x:c r="O684" s="5" t="str"/>
      <x:c r="P684" s="5" t="str">
        <x:v>Pilot freigegeben</x:v>
      </x:c>
      <x:c r="Q684" s="5" t="str">
        <x:v>Revision 2 unverändert übernommen</x:v>
      </x:c>
      <x:c r="R684" s="5" t="str">
        <x:v>In welchen Fällen ist eine Mahnung nach § 286 Abs. 2 BGB entbehrlich?</x:v>
      </x:c>
      <x:c r="S684" s="5" t="str">
        <x:v>5537d65a964f6f3f3595bf289534ea081688357f6d69709da967edb9b6953b4e</x:v>
      </x:c>
    </x:row>
    <x:row r="685" ht="36" customHeight="1">
      <x:c r="A685" s="5" t="str">
        <x:v>R-0281</x:v>
      </x:c>
      <x:c r="B685" s="5" t="str">
        <x:v>WQ</x:v>
      </x:c>
      <x:c r="C685" s="5" t="str">
        <x:v>3</x:v>
      </x:c>
      <x:c r="D685" s="5" t="str">
        <x:v>Recht und Steuern</x:v>
      </x:c>
      <x:c r="E685" s="5" t="str">
        <x:v>Recht</x:v>
      </x:c>
      <x:c r="F685" s="5" t="str">
        <x:v>ui-wq-recht-schuld</x:v>
      </x:c>
      <x:c r="G685" s="5" t="str">
        <x:v>BGB Schuldrecht</x:v>
      </x:c>
      <x:c r="H685" s="5" t="str">
        <x:v>tr-wq-r07</x:v>
      </x:c>
      <x:c r="I685" s="5" t="str">
        <x:v>3.1.2.5</x:v>
      </x:c>
      <x:c r="J685" s="5" t="str">
        <x:v>Leistung, Verzug und Schadensersatz</x:v>
      </x:c>
      <x:c r="K685" s="5" t="str"/>
      <x:c r="L685" s="5" t="str">
        <x:v>Weitere Vertragstypen, E-Commerce &amp; Leistungsstörungen</x:v>
      </x:c>
      <x:c r="M685" s="5" t="n">
        <x:v>133</x:v>
      </x:c>
      <x:c r="N685" s="5" t="n">
        <x:v>18</x:v>
      </x:c>
      <x:c r="O685" s="5" t="str"/>
      <x:c r="P685" s="5" t="str">
        <x:v>Pilot freigegeben</x:v>
      </x:c>
      <x:c r="Q685" s="5" t="str">
        <x:v>Revision 2 unverändert übernommen</x:v>
      </x:c>
      <x:c r="R685" s="5" t="str">
        <x:v>Ab wann gerät ein Unternehmer bei Entgeltforderungen nach § 286 Abs. 3 BGB ohne Mahnung in Verzug?</x:v>
      </x:c>
      <x:c r="S685" s="5" t="str">
        <x:v>3411e5197df25b0d873040bc33ac6523683fa02809ba1e95ef0b3f00ba900efa</x:v>
      </x:c>
    </x:row>
    <x:row r="686" ht="36" customHeight="1">
      <x:c r="A686" s="5" t="str">
        <x:v>R-0282</x:v>
      </x:c>
      <x:c r="B686" s="5" t="str">
        <x:v>WQ</x:v>
      </x:c>
      <x:c r="C686" s="5" t="str">
        <x:v>3</x:v>
      </x:c>
      <x:c r="D686" s="5" t="str">
        <x:v>Recht und Steuern</x:v>
      </x:c>
      <x:c r="E686" s="5" t="str">
        <x:v>Recht</x:v>
      </x:c>
      <x:c r="F686" s="5" t="str">
        <x:v>ui-wq-recht-schuld</x:v>
      </x:c>
      <x:c r="G686" s="5" t="str">
        <x:v>BGB Schuldrecht</x:v>
      </x:c>
      <x:c r="H686" s="5" t="str">
        <x:v>tr-wq-r07</x:v>
      </x:c>
      <x:c r="I686" s="5" t="str">
        <x:v>3.1.2.5</x:v>
      </x:c>
      <x:c r="J686" s="5" t="str">
        <x:v>Leistung, Verzug und Schadensersatz</x:v>
      </x:c>
      <x:c r="K686" s="5" t="str"/>
      <x:c r="L686" s="5" t="str">
        <x:v>Weitere Vertragstypen, E-Commerce &amp; Leistungsstörungen</x:v>
      </x:c>
      <x:c r="M686" s="5" t="n">
        <x:v>134</x:v>
      </x:c>
      <x:c r="N686" s="5" t="n">
        <x:v>19</x:v>
      </x:c>
      <x:c r="O686" s="5" t="str"/>
      <x:c r="P686" s="5" t="str">
        <x:v>Pilot freigegeben</x:v>
      </x:c>
      <x:c r="Q686" s="5" t="str">
        <x:v>Revision 2 unverändert übernommen</x:v>
      </x:c>
      <x:c r="R686" s="5" t="str">
        <x:v>Kunde K hat eine fällige Rechnung erhalten und bis zum 22.12. nicht bezahlt. Eine Mahnung wurde nicht ausgesprochen und es liegt kein besonderer Fall vor, in dem eine Mahnung entbehrlich wäre. Liegt bereits Schuldnerverzug vor?</x:v>
      </x:c>
      <x:c r="S686" s="5" t="str">
        <x:v>9b05579f1afe0a6363d02cd59c38e407e60e971ac02645e60866ec7a6e35241f</x:v>
      </x:c>
    </x:row>
    <x:row r="687" ht="36" customHeight="1">
      <x:c r="A687" s="5" t="str">
        <x:v>R-0283</x:v>
      </x:c>
      <x:c r="B687" s="5" t="str">
        <x:v>WQ</x:v>
      </x:c>
      <x:c r="C687" s="5" t="str">
        <x:v>3</x:v>
      </x:c>
      <x:c r="D687" s="5" t="str">
        <x:v>Recht und Steuern</x:v>
      </x:c>
      <x:c r="E687" s="5" t="str">
        <x:v>Recht</x:v>
      </x:c>
      <x:c r="F687" s="5" t="str">
        <x:v>ui-wq-recht-schuld</x:v>
      </x:c>
      <x:c r="G687" s="5" t="str">
        <x:v>BGB Schuldrecht</x:v>
      </x:c>
      <x:c r="H687" s="5" t="str">
        <x:v>tr-wq-r07</x:v>
      </x:c>
      <x:c r="I687" s="5" t="str">
        <x:v>3.1.2.5</x:v>
      </x:c>
      <x:c r="J687" s="5" t="str">
        <x:v>Leistung, Verzug und Schadensersatz</x:v>
      </x:c>
      <x:c r="K687" s="5" t="str"/>
      <x:c r="L687" s="5" t="str">
        <x:v>Weitere Vertragstypen, E-Commerce &amp; Leistungsstörungen</x:v>
      </x:c>
      <x:c r="M687" s="5" t="n">
        <x:v>135</x:v>
      </x:c>
      <x:c r="N687" s="5" t="n">
        <x:v>20</x:v>
      </x:c>
      <x:c r="O687" s="5" t="str"/>
      <x:c r="P687" s="5" t="str">
        <x:v>Pilot freigegeben</x:v>
      </x:c>
      <x:c r="Q687" s="5" t="str">
        <x:v>Revision 2 unverändert übernommen</x:v>
      </x:c>
      <x:c r="R687" s="5" t="str">
        <x:v>Hersteller M schuldet O eine fällige Lieferung, liefert aber nicht. O fordert M am 03.04. per E-Mail zur Lieferung auf; die Aufforderung geht M am selben Tag zu. Ab wann liegt Lieferverzug vor?</x:v>
      </x:c>
      <x:c r="S687" s="5" t="str">
        <x:v>fca32a59fdbca4b13db92679a6cf06dbdd8fa1d999ceb53393849a7ffa324d77</x:v>
      </x:c>
    </x:row>
    <x:row r="688" ht="36" customHeight="1">
      <x:c r="A688" s="5" t="str">
        <x:v>R-0284</x:v>
      </x:c>
      <x:c r="B688" s="5" t="str">
        <x:v>WQ</x:v>
      </x:c>
      <x:c r="C688" s="5" t="str">
        <x:v>3</x:v>
      </x:c>
      <x:c r="D688" s="5" t="str">
        <x:v>Recht und Steuern</x:v>
      </x:c>
      <x:c r="E688" s="5" t="str">
        <x:v>Recht</x:v>
      </x:c>
      <x:c r="F688" s="5" t="str">
        <x:v>ui-wq-recht-schuld</x:v>
      </x:c>
      <x:c r="G688" s="5" t="str">
        <x:v>BGB Schuldrecht</x:v>
      </x:c>
      <x:c r="H688" s="5" t="str">
        <x:v>tr-wq-r07</x:v>
      </x:c>
      <x:c r="I688" s="5" t="str">
        <x:v>3.1.2.5</x:v>
      </x:c>
      <x:c r="J688" s="5" t="str">
        <x:v>Leistung, Verzug und Schadensersatz</x:v>
      </x:c>
      <x:c r="K688" s="5" t="str"/>
      <x:c r="L688" s="5" t="str">
        <x:v>Weitere Vertragstypen, E-Commerce &amp; Leistungsstörungen</x:v>
      </x:c>
      <x:c r="M688" s="5" t="n">
        <x:v>136</x:v>
      </x:c>
      <x:c r="N688" s="5" t="n">
        <x:v>21</x:v>
      </x:c>
      <x:c r="O688" s="5" t="str"/>
      <x:c r="P688" s="5" t="str">
        <x:v>Pilot freigegeben</x:v>
      </x:c>
      <x:c r="Q688" s="5" t="str">
        <x:v>Revision 2 unverändert übernommen</x:v>
      </x:c>
      <x:c r="R688" s="5" t="str">
        <x:v>Eine Lieferung ist vertraglich verbindlich bis zum 22.11. geschuldet. Die Ware wird bis zu diesem Termin nicht geliefert. Ab wann liegt Schuldnerverzug vor und ist dafür noch eine Mahnung erforderlich?</x:v>
      </x:c>
      <x:c r="S688" s="5" t="str">
        <x:v>594c4e9f68f03b8ddc666bb0793739bafce40143bd6949c1106cbf3756863605</x:v>
      </x:c>
    </x:row>
    <x:row r="689" ht="36" customHeight="1">
      <x:c r="A689" s="5" t="str">
        <x:v>R-0285</x:v>
      </x:c>
      <x:c r="B689" s="5" t="str">
        <x:v>WQ</x:v>
      </x:c>
      <x:c r="C689" s="5" t="str">
        <x:v>3</x:v>
      </x:c>
      <x:c r="D689" s="5" t="str">
        <x:v>Recht und Steuern</x:v>
      </x:c>
      <x:c r="E689" s="5" t="str">
        <x:v>Recht</x:v>
      </x:c>
      <x:c r="F689" s="5" t="str">
        <x:v>ui-wq-recht-schuld</x:v>
      </x:c>
      <x:c r="G689" s="5" t="str">
        <x:v>BGB Schuldrecht</x:v>
      </x:c>
      <x:c r="H689" s="5" t="str">
        <x:v>tr-wq-r07</x:v>
      </x:c>
      <x:c r="I689" s="5" t="str">
        <x:v>3.1.2.5</x:v>
      </x:c>
      <x:c r="J689" s="5" t="str">
        <x:v>Leistung, Verzug und Schadensersatz</x:v>
      </x:c>
      <x:c r="K689" s="5" t="str"/>
      <x:c r="L689" s="5" t="str">
        <x:v>Weitere Vertragstypen, E-Commerce &amp; Leistungsstörungen</x:v>
      </x:c>
      <x:c r="M689" s="5" t="n">
        <x:v>137</x:v>
      </x:c>
      <x:c r="N689" s="5" t="n">
        <x:v>22</x:v>
      </x:c>
      <x:c r="O689" s="5" t="str"/>
      <x:c r="P689" s="5" t="str">
        <x:v>Pilot freigegeben</x:v>
      </x:c>
      <x:c r="Q689" s="5" t="str">
        <x:v>Revision 2 unverändert übernommen</x:v>
      </x:c>
      <x:c r="R689" s="5" t="str">
        <x:v>Unternehmer X erhält am 20.11. eine an diesem Tag fällige Entgeltrechnung. Er zahlt bis zum 31.12. nicht und wird nicht gemahnt. Ab wann befindet er sich nach § 286 Abs. 3 BGB spätestens in Verzug?</x:v>
      </x:c>
      <x:c r="S689" s="5" t="str">
        <x:v>531733d9c870078d88ac2cafc27b0cd348197e86093cbb450cc284ee82c977ae</x:v>
      </x:c>
    </x:row>
    <x:row r="690" ht="36" customHeight="1">
      <x:c r="A690" s="5" t="str">
        <x:v>R-0286</x:v>
      </x:c>
      <x:c r="B690" s="5" t="str">
        <x:v>WQ</x:v>
      </x:c>
      <x:c r="C690" s="5" t="str">
        <x:v>3</x:v>
      </x:c>
      <x:c r="D690" s="5" t="str">
        <x:v>Recht und Steuern</x:v>
      </x:c>
      <x:c r="E690" s="5" t="str">
        <x:v>Recht</x:v>
      </x:c>
      <x:c r="F690" s="5" t="str">
        <x:v>ui-wq-recht-schuld</x:v>
      </x:c>
      <x:c r="G690" s="5" t="str">
        <x:v>BGB Schuldrecht</x:v>
      </x:c>
      <x:c r="H690" s="5" t="str">
        <x:v>tr-wq-r07</x:v>
      </x:c>
      <x:c r="I690" s="5" t="str">
        <x:v>3.1.2.5</x:v>
      </x:c>
      <x:c r="J690" s="5" t="str">
        <x:v>Leistung, Verzug und Schadensersatz</x:v>
      </x:c>
      <x:c r="K690" s="5" t="str"/>
      <x:c r="L690" s="5" t="str">
        <x:v>Weitere Vertragstypen, E-Commerce &amp; Leistungsstörungen</x:v>
      </x:c>
      <x:c r="M690" s="5" t="n">
        <x:v>138</x:v>
      </x:c>
      <x:c r="N690" s="5" t="n">
        <x:v>23</x:v>
      </x:c>
      <x:c r="O690" s="5" t="str"/>
      <x:c r="P690" s="5" t="str">
        <x:v>Pilot freigegeben</x:v>
      </x:c>
      <x:c r="Q690" s="5" t="str">
        <x:v>Revision 2 unverändert übernommen</x:v>
      </x:c>
      <x:c r="R690" s="5" t="str">
        <x:v>Ein Verkäufer liefert ein von K gekauftes Auto schuldhaft verspätet. Wegen des Lieferverzugs muss K vorübergehend einen Mietwagen nehmen. Kann K die dadurch entstandenen Mietwagenkosten als Verspätungsschaden ersetzt verlangen?</x:v>
      </x:c>
      <x:c r="S690" s="5" t="str">
        <x:v>fffaa9fb618a8d14030ee61ad17513525a6e894724fef2b402b2fa224da96df7</x:v>
      </x:c>
    </x:row>
    <x:row r="691" ht="36" customHeight="1">
      <x:c r="A691" s="5" t="str">
        <x:v>R-0287</x:v>
      </x:c>
      <x:c r="B691" s="5" t="str">
        <x:v>WQ</x:v>
      </x:c>
      <x:c r="C691" s="5" t="str">
        <x:v>3</x:v>
      </x:c>
      <x:c r="D691" s="5" t="str">
        <x:v>Recht und Steuern</x:v>
      </x:c>
      <x:c r="E691" s="5" t="str">
        <x:v>Recht</x:v>
      </x:c>
      <x:c r="F691" s="5" t="str">
        <x:v>ui-wq-recht-schuld</x:v>
      </x:c>
      <x:c r="G691" s="5" t="str">
        <x:v>BGB Schuldrecht</x:v>
      </x:c>
      <x:c r="H691" s="5" t="str">
        <x:v>tr-wq-r07</x:v>
      </x:c>
      <x:c r="I691" s="5" t="str">
        <x:v>3.1.2.5</x:v>
      </x:c>
      <x:c r="J691" s="5" t="str">
        <x:v>Leistung, Verzug und Schadensersatz</x:v>
      </x:c>
      <x:c r="K691" s="5" t="str"/>
      <x:c r="L691" s="5" t="str">
        <x:v>Weitere Vertragstypen, E-Commerce &amp; Leistungsstörungen</x:v>
      </x:c>
      <x:c r="M691" s="5" t="n">
        <x:v>139</x:v>
      </x:c>
      <x:c r="N691" s="5" t="n">
        <x:v>24</x:v>
      </x:c>
      <x:c r="O691" s="5" t="str"/>
      <x:c r="P691" s="5" t="str">
        <x:v>Pilot freigegeben</x:v>
      </x:c>
      <x:c r="Q691" s="5" t="str">
        <x:v>Revision 2 unverändert übernommen</x:v>
      </x:c>
      <x:c r="R691" s="5" t="str">
        <x:v>Nennen Sie mindestens zwei Rechtsfolgen des Verzugs.</x:v>
      </x:c>
      <x:c r="S691" s="5" t="str">
        <x:v>41ccdd0071e86d4a4d0f882f4420e4e6eb956ecdac6ec1e13f25b1b91217eb2d</x:v>
      </x:c>
    </x:row>
    <x:row r="692" ht="36" customHeight="1">
      <x:c r="A692" s="5" t="str">
        <x:v>R-0288</x:v>
      </x:c>
      <x:c r="B692" s="5" t="str">
        <x:v>WQ</x:v>
      </x:c>
      <x:c r="C692" s="5" t="str">
        <x:v>3</x:v>
      </x:c>
      <x:c r="D692" s="5" t="str">
        <x:v>Recht und Steuern</x:v>
      </x:c>
      <x:c r="E692" s="5" t="str">
        <x:v>Recht</x:v>
      </x:c>
      <x:c r="F692" s="5" t="str">
        <x:v>ui-wq-recht-schuld</x:v>
      </x:c>
      <x:c r="G692" s="5" t="str">
        <x:v>BGB Schuldrecht</x:v>
      </x:c>
      <x:c r="H692" s="5" t="str">
        <x:v>tr-wq-r07</x:v>
      </x:c>
      <x:c r="I692" s="5" t="str">
        <x:v>3.1.2.5</x:v>
      </x:c>
      <x:c r="J692" s="5" t="str">
        <x:v>Leistung, Verzug und Schadensersatz</x:v>
      </x:c>
      <x:c r="K692" s="5" t="str"/>
      <x:c r="L692" s="5" t="str">
        <x:v>Weitere Vertragstypen, E-Commerce &amp; Leistungsstörungen</x:v>
      </x:c>
      <x:c r="M692" s="5" t="n">
        <x:v>140</x:v>
      </x:c>
      <x:c r="N692" s="5" t="n">
        <x:v>25</x:v>
      </x:c>
      <x:c r="O692" s="5" t="str"/>
      <x:c r="P692" s="5" t="str">
        <x:v>Pilot freigegeben</x:v>
      </x:c>
      <x:c r="Q692" s="5" t="str">
        <x:v>Revision 2 unverändert übernommen</x:v>
      </x:c>
      <x:c r="R692" s="5" t="str">
        <x:v>Wie hoch sind die Verzugszinsen bei Verbrauchern und Unternehmern?</x:v>
      </x:c>
      <x:c r="S692" s="5" t="str">
        <x:v>d81cb91f339b9e2cd10221906a2593069a7f92e280ee7cc3b8e72761c6c0eabc</x:v>
      </x:c>
    </x:row>
    <x:row r="693" ht="36" customHeight="1">
      <x:c r="A693" s="5" t="str">
        <x:v>R-0289</x:v>
      </x:c>
      <x:c r="B693" s="5" t="str">
        <x:v>WQ</x:v>
      </x:c>
      <x:c r="C693" s="5" t="str">
        <x:v>3</x:v>
      </x:c>
      <x:c r="D693" s="5" t="str">
        <x:v>Recht und Steuern</x:v>
      </x:c>
      <x:c r="E693" s="5" t="str">
        <x:v>Recht</x:v>
      </x:c>
      <x:c r="F693" s="5" t="str">
        <x:v>ui-wq-recht-schuld</x:v>
      </x:c>
      <x:c r="G693" s="5" t="str">
        <x:v>BGB Schuldrecht</x:v>
      </x:c>
      <x:c r="H693" s="5" t="str">
        <x:v>tr-wq-r07</x:v>
      </x:c>
      <x:c r="I693" s="5" t="str">
        <x:v>3.1.2.5</x:v>
      </x:c>
      <x:c r="J693" s="5" t="str">
        <x:v>Leistung, Verzug und Schadensersatz</x:v>
      </x:c>
      <x:c r="K693" s="5" t="str"/>
      <x:c r="L693" s="5" t="str">
        <x:v>Weitere Vertragstypen, E-Commerce &amp; Leistungsstörungen</x:v>
      </x:c>
      <x:c r="M693" s="5" t="n">
        <x:v>141</x:v>
      </x:c>
      <x:c r="N693" s="5" t="n">
        <x:v>26</x:v>
      </x:c>
      <x:c r="O693" s="5" t="str"/>
      <x:c r="P693" s="5" t="str">
        <x:v>Pilot freigegeben</x:v>
      </x:c>
      <x:c r="Q693" s="5" t="str">
        <x:v>Revision 2 unverändert übernommen</x:v>
      </x:c>
      <x:c r="R693" s="5" t="str">
        <x:v>Hat eine Mahnung Auswirkungen auf die Verjährung?</x:v>
      </x:c>
      <x:c r="S693" s="5" t="str">
        <x:v>8fc23a032f805882054312090925e38f124904768420b888c4a4c55b22a808c4</x:v>
      </x:c>
    </x:row>
    <x:row r="694" ht="36" customHeight="1">
      <x:c r="A694" s="5" t="str">
        <x:v>R-0290</x:v>
      </x:c>
      <x:c r="B694" s="5" t="str">
        <x:v>WQ</x:v>
      </x:c>
      <x:c r="C694" s="5" t="str">
        <x:v>3</x:v>
      </x:c>
      <x:c r="D694" s="5" t="str">
        <x:v>Recht und Steuern</x:v>
      </x:c>
      <x:c r="E694" s="5" t="str">
        <x:v>Recht</x:v>
      </x:c>
      <x:c r="F694" s="5" t="str">
        <x:v>ui-wq-recht-schuld</x:v>
      </x:c>
      <x:c r="G694" s="5" t="str">
        <x:v>BGB Schuldrecht</x:v>
      </x:c>
      <x:c r="H694" s="5" t="str">
        <x:v>tr-wq-r07</x:v>
      </x:c>
      <x:c r="I694" s="5" t="str">
        <x:v>3.1.2.5</x:v>
      </x:c>
      <x:c r="J694" s="5" t="str">
        <x:v>Leistung, Verzug und Schadensersatz</x:v>
      </x:c>
      <x:c r="K694" s="5" t="str"/>
      <x:c r="L694" s="5" t="str">
        <x:v>Weitere Vertragstypen, E-Commerce &amp; Leistungsstörungen</x:v>
      </x:c>
      <x:c r="M694" s="5" t="n">
        <x:v>142</x:v>
      </x:c>
      <x:c r="N694" s="5" t="n">
        <x:v>27</x:v>
      </x:c>
      <x:c r="O694" s="5" t="str"/>
      <x:c r="P694" s="5" t="str">
        <x:v>Pilot freigegeben</x:v>
      </x:c>
      <x:c r="Q694" s="5" t="str">
        <x:v>Revision 2 unverändert übernommen</x:v>
      </x:c>
      <x:c r="R694" s="5" t="str">
        <x:v>Für die Rechtsabteilung von Circle Harbor: Wo ist Ihnen § 323 BGB bereits im Zusammenhang mit dem Kaufvertrag begegnet?</x:v>
      </x:c>
      <x:c r="S694" s="5" t="str">
        <x:v>2f9e3dd2bbc0749a85e21681eaa9380bd6ebcfe3b2d35b4ae2a553f3db0f71fa</x:v>
      </x:c>
    </x:row>
    <x:row r="695" ht="36" customHeight="1">
      <x:c r="A695" s="5" t="str">
        <x:v>R-0291</x:v>
      </x:c>
      <x:c r="B695" s="5" t="str">
        <x:v>WQ</x:v>
      </x:c>
      <x:c r="C695" s="5" t="str">
        <x:v>3</x:v>
      </x:c>
      <x:c r="D695" s="5" t="str">
        <x:v>Recht und Steuern</x:v>
      </x:c>
      <x:c r="E695" s="5" t="str">
        <x:v>Recht</x:v>
      </x:c>
      <x:c r="F695" s="5" t="str">
        <x:v>ui-wq-recht-schuld</x:v>
      </x:c>
      <x:c r="G695" s="5" t="str">
        <x:v>BGB Schuldrecht</x:v>
      </x:c>
      <x:c r="H695" s="5" t="str">
        <x:v>tr-wq-r07</x:v>
      </x:c>
      <x:c r="I695" s="5" t="str">
        <x:v>3.1.2.5</x:v>
      </x:c>
      <x:c r="J695" s="5" t="str">
        <x:v>Leistung, Verzug und Schadensersatz</x:v>
      </x:c>
      <x:c r="K695" s="5" t="str"/>
      <x:c r="L695" s="5" t="str">
        <x:v>Weitere Vertragstypen, E-Commerce &amp; Leistungsstörungen</x:v>
      </x:c>
      <x:c r="M695" s="5" t="n">
        <x:v>143</x:v>
      </x:c>
      <x:c r="N695" s="5" t="n">
        <x:v>28</x:v>
      </x:c>
      <x:c r="O695" s="5" t="str"/>
      <x:c r="P695" s="5" t="str">
        <x:v>Pilot freigegeben</x:v>
      </x:c>
      <x:c r="Q695" s="5" t="str">
        <x:v>Revision 2 unverändert übernommen</x:v>
      </x:c>
      <x:c r="R695" s="5" t="str">
        <x:v>Unter welchen Voraussetzungen besteht ein Rücktrittsrecht nach § 323 Abs. 1 BGB?</x:v>
      </x:c>
      <x:c r="S695" s="5" t="str">
        <x:v>d5b14d7ae3adc372a90d25fe6d61ae6f43dadffbd5a5cbe1cc542e3ebe0c8d6e</x:v>
      </x:c>
    </x:row>
    <x:row r="696" ht="36" customHeight="1">
      <x:c r="A696" s="5" t="str">
        <x:v>R-0292</x:v>
      </x:c>
      <x:c r="B696" s="5" t="str">
        <x:v>WQ</x:v>
      </x:c>
      <x:c r="C696" s="5" t="str">
        <x:v>3</x:v>
      </x:c>
      <x:c r="D696" s="5" t="str">
        <x:v>Recht und Steuern</x:v>
      </x:c>
      <x:c r="E696" s="5" t="str">
        <x:v>Recht</x:v>
      </x:c>
      <x:c r="F696" s="5" t="str">
        <x:v>ui-wq-recht-schuld</x:v>
      </x:c>
      <x:c r="G696" s="5" t="str">
        <x:v>BGB Schuldrecht</x:v>
      </x:c>
      <x:c r="H696" s="5" t="str">
        <x:v>tr-wq-r07</x:v>
      </x:c>
      <x:c r="I696" s="5" t="str">
        <x:v>3.1.2.5</x:v>
      </x:c>
      <x:c r="J696" s="5" t="str">
        <x:v>Leistung, Verzug und Schadensersatz</x:v>
      </x:c>
      <x:c r="K696" s="5" t="str"/>
      <x:c r="L696" s="5" t="str">
        <x:v>Weitere Vertragstypen, E-Commerce &amp; Leistungsstörungen</x:v>
      </x:c>
      <x:c r="M696" s="5" t="n">
        <x:v>144</x:v>
      </x:c>
      <x:c r="N696" s="5" t="n">
        <x:v>29</x:v>
      </x:c>
      <x:c r="O696" s="5" t="str"/>
      <x:c r="P696" s="5" t="str">
        <x:v>Pilot freigegeben</x:v>
      </x:c>
      <x:c r="Q696" s="5" t="str">
        <x:v>Revision 2 unverändert übernommen</x:v>
      </x:c>
      <x:c r="R696" s="5" t="str">
        <x:v>K bestellt ein Neufahrzeug mit vereinbarter Lieferung bis Ende Oktober. Ende Oktober ist noch keine Lieferung erfolgt. K hat dem Verkäufer bislang keine angemessene Nachfrist zur Lieferung gesetzt. Kann K nach § 323 Abs. 1 BGB sofort vom Kaufvertrag zurücktreten?</x:v>
      </x:c>
      <x:c r="S696" s="5" t="str">
        <x:v>a7133693dc563b17f3d47199d9519bbd5fc29521be628722f8a6567250025bc3</x:v>
      </x:c>
    </x:row>
    <x:row r="697" ht="36" customHeight="1">
      <x:c r="A697" s="5" t="str">
        <x:v>R-0293</x:v>
      </x:c>
      <x:c r="B697" s="5" t="str">
        <x:v>WQ</x:v>
      </x:c>
      <x:c r="C697" s="5" t="str">
        <x:v>3</x:v>
      </x:c>
      <x:c r="D697" s="5" t="str">
        <x:v>Recht und Steuern</x:v>
      </x:c>
      <x:c r="E697" s="5" t="str">
        <x:v>Recht</x:v>
      </x:c>
      <x:c r="F697" s="5" t="str">
        <x:v>ui-wq-recht-schuld</x:v>
      </x:c>
      <x:c r="G697" s="5" t="str">
        <x:v>BGB Schuldrecht</x:v>
      </x:c>
      <x:c r="H697" s="5" t="str">
        <x:v>tr-wq-r07</x:v>
      </x:c>
      <x:c r="I697" s="5" t="str">
        <x:v>3.1.2.5</x:v>
      </x:c>
      <x:c r="J697" s="5" t="str">
        <x:v>Leistung, Verzug und Schadensersatz</x:v>
      </x:c>
      <x:c r="K697" s="5" t="str"/>
      <x:c r="L697" s="5" t="str">
        <x:v>Weitere Vertragstypen, E-Commerce &amp; Leistungsstörungen</x:v>
      </x:c>
      <x:c r="M697" s="5" t="n">
        <x:v>145</x:v>
      </x:c>
      <x:c r="N697" s="5" t="n">
        <x:v>30</x:v>
      </x:c>
      <x:c r="O697" s="5" t="str"/>
      <x:c r="P697" s="5" t="str">
        <x:v>Pilot freigegeben</x:v>
      </x:c>
      <x:c r="Q697" s="5" t="str">
        <x:v>Revision 2 unverändert übernommen</x:v>
      </x:c>
      <x:c r="R697" s="5" t="str">
        <x:v>E bestellt Deutschlandfahnen. Im Vertrag ist ausdrücklich vereinbart, dass sie spätestens bis zum 10.06. geliefert werden müssen und E an einer späteren Lieferung kein Interesse mehr hat. Die Lieferung bleibt aus. Kann E ohne weitere Fristsetzung vom Vertrag zurücktreten?</x:v>
      </x:c>
      <x:c r="S697" s="5" t="str">
        <x:v>c99778f9090f472277aaad1a409cf04f6cd73aeae1daec63b836a6d4ef1429b4</x:v>
      </x:c>
    </x:row>
    <x:row r="698" ht="36" customHeight="1">
      <x:c r="A698" s="5" t="str">
        <x:v>R-0294</x:v>
      </x:c>
      <x:c r="B698" s="5" t="str">
        <x:v>WQ</x:v>
      </x:c>
      <x:c r="C698" s="5" t="str">
        <x:v>3</x:v>
      </x:c>
      <x:c r="D698" s="5" t="str">
        <x:v>Recht und Steuern</x:v>
      </x:c>
      <x:c r="E698" s="5" t="str">
        <x:v>Recht</x:v>
      </x:c>
      <x:c r="F698" s="5" t="str">
        <x:v>ui-wq-recht-schuld</x:v>
      </x:c>
      <x:c r="G698" s="5" t="str">
        <x:v>BGB Schuldrecht</x:v>
      </x:c>
      <x:c r="H698" s="5" t="str">
        <x:v>tr-wq-r07</x:v>
      </x:c>
      <x:c r="I698" s="5" t="str">
        <x:v>3.1.2.5</x:v>
      </x:c>
      <x:c r="J698" s="5" t="str">
        <x:v>Leistung, Verzug und Schadensersatz</x:v>
      </x:c>
      <x:c r="K698" s="5" t="str"/>
      <x:c r="L698" s="5" t="str">
        <x:v>Weitere Vertragstypen, E-Commerce &amp; Leistungsstörungen</x:v>
      </x:c>
      <x:c r="M698" s="5" t="n">
        <x:v>146</x:v>
      </x:c>
      <x:c r="N698" s="5" t="n">
        <x:v>31</x:v>
      </x:c>
      <x:c r="O698" s="5" t="str"/>
      <x:c r="P698" s="5" t="str">
        <x:v>Pilot freigegeben</x:v>
      </x:c>
      <x:c r="Q698" s="5" t="str">
        <x:v>Revision 2 unverändert übernommen</x:v>
      </x:c>
      <x:c r="R698" s="5" t="str">
        <x:v>Welche Arten der Unmöglichkeit werden unterschieden?</x:v>
      </x:c>
      <x:c r="S698" s="5" t="str">
        <x:v>7917c048be9bdbeb430017a2b01491388a3abac06b360691e8ae69dbfaac20b5</x:v>
      </x:c>
    </x:row>
    <x:row r="699" ht="36" customHeight="1">
      <x:c r="A699" s="5" t="str">
        <x:v>R-0295</x:v>
      </x:c>
      <x:c r="B699" s="5" t="str">
        <x:v>WQ</x:v>
      </x:c>
      <x:c r="C699" s="5" t="str">
        <x:v>3</x:v>
      </x:c>
      <x:c r="D699" s="5" t="str">
        <x:v>Recht und Steuern</x:v>
      </x:c>
      <x:c r="E699" s="5" t="str">
        <x:v>Recht</x:v>
      </x:c>
      <x:c r="F699" s="5" t="str">
        <x:v>ui-wq-recht-schuld</x:v>
      </x:c>
      <x:c r="G699" s="5" t="str">
        <x:v>BGB Schuldrecht</x:v>
      </x:c>
      <x:c r="H699" s="5" t="str">
        <x:v>tr-wq-r07</x:v>
      </x:c>
      <x:c r="I699" s="5" t="str">
        <x:v>3.1.2.5</x:v>
      </x:c>
      <x:c r="J699" s="5" t="str">
        <x:v>Leistung, Verzug und Schadensersatz</x:v>
      </x:c>
      <x:c r="K699" s="5" t="str"/>
      <x:c r="L699" s="5" t="str">
        <x:v>Weitere Vertragstypen, E-Commerce &amp; Leistungsstörungen</x:v>
      </x:c>
      <x:c r="M699" s="5" t="n">
        <x:v>147</x:v>
      </x:c>
      <x:c r="N699" s="5" t="n">
        <x:v>32</x:v>
      </x:c>
      <x:c r="O699" s="5" t="str"/>
      <x:c r="P699" s="5" t="str">
        <x:v>Pilot freigegeben</x:v>
      </x:c>
      <x:c r="Q699" s="5" t="str">
        <x:v>Revision 2 unverändert übernommen</x:v>
      </x:c>
      <x:c r="R699" s="5" t="str">
        <x:v>Was bedeutet anfängliche objektive Unmöglichkeit?</x:v>
      </x:c>
      <x:c r="S699" s="5" t="str">
        <x:v>a15abde6bc42dadd386597f95d159da7b0e819be0e2a1408e10ab9cdb0e9163e</x:v>
      </x:c>
    </x:row>
    <x:row r="700" ht="36" customHeight="1">
      <x:c r="A700" s="5" t="str">
        <x:v>R-0296</x:v>
      </x:c>
      <x:c r="B700" s="5" t="str">
        <x:v>WQ</x:v>
      </x:c>
      <x:c r="C700" s="5" t="str">
        <x:v>3</x:v>
      </x:c>
      <x:c r="D700" s="5" t="str">
        <x:v>Recht und Steuern</x:v>
      </x:c>
      <x:c r="E700" s="5" t="str">
        <x:v>Recht</x:v>
      </x:c>
      <x:c r="F700" s="5" t="str">
        <x:v>ui-wq-recht-schuld</x:v>
      </x:c>
      <x:c r="G700" s="5" t="str">
        <x:v>BGB Schuldrecht</x:v>
      </x:c>
      <x:c r="H700" s="5" t="str">
        <x:v>tr-wq-r07</x:v>
      </x:c>
      <x:c r="I700" s="5" t="str">
        <x:v>3.1.2.5</x:v>
      </x:c>
      <x:c r="J700" s="5" t="str">
        <x:v>Leistung, Verzug und Schadensersatz</x:v>
      </x:c>
      <x:c r="K700" s="5" t="str"/>
      <x:c r="L700" s="5" t="str">
        <x:v>Weitere Vertragstypen, E-Commerce &amp; Leistungsstörungen</x:v>
      </x:c>
      <x:c r="M700" s="5" t="n">
        <x:v>148</x:v>
      </x:c>
      <x:c r="N700" s="5" t="n">
        <x:v>33</x:v>
      </x:c>
      <x:c r="O700" s="5" t="str"/>
      <x:c r="P700" s="5" t="str">
        <x:v>Pilot freigegeben</x:v>
      </x:c>
      <x:c r="Q700" s="5" t="str">
        <x:v>Revision 2 unverändert übernommen</x:v>
      </x:c>
      <x:c r="R700" s="5" t="str">
        <x:v>Was bedeutet nachträgliche subjektive Unmöglichkeit?</x:v>
      </x:c>
      <x:c r="S700" s="5" t="str">
        <x:v>d09876a5cab73d7e9e4feaae05042d29adbb29e7721b9b97ede5910035c34931</x:v>
      </x:c>
    </x:row>
    <x:row r="701" ht="36" customHeight="1">
      <x:c r="A701" s="5" t="str">
        <x:v>R-0297</x:v>
      </x:c>
      <x:c r="B701" s="5" t="str">
        <x:v>WQ</x:v>
      </x:c>
      <x:c r="C701" s="5" t="str">
        <x:v>3</x:v>
      </x:c>
      <x:c r="D701" s="5" t="str">
        <x:v>Recht und Steuern</x:v>
      </x:c>
      <x:c r="E701" s="5" t="str">
        <x:v>Recht</x:v>
      </x:c>
      <x:c r="F701" s="5" t="str">
        <x:v>ui-wq-recht-schuld</x:v>
      </x:c>
      <x:c r="G701" s="5" t="str">
        <x:v>BGB Schuldrecht</x:v>
      </x:c>
      <x:c r="H701" s="5" t="str">
        <x:v>tr-wq-r07</x:v>
      </x:c>
      <x:c r="I701" s="5" t="str">
        <x:v>3.1.2.5</x:v>
      </x:c>
      <x:c r="J701" s="5" t="str">
        <x:v>Leistung, Verzug und Schadensersatz</x:v>
      </x:c>
      <x:c r="K701" s="5" t="str"/>
      <x:c r="L701" s="5" t="str">
        <x:v>Weitere Vertragstypen, E-Commerce &amp; Leistungsstörungen</x:v>
      </x:c>
      <x:c r="M701" s="5" t="n">
        <x:v>149</x:v>
      </x:c>
      <x:c r="N701" s="5" t="n">
        <x:v>34</x:v>
      </x:c>
      <x:c r="O701" s="5" t="str"/>
      <x:c r="P701" s="5" t="str">
        <x:v>Pilot freigegeben</x:v>
      </x:c>
      <x:c r="Q701" s="5" t="str">
        <x:v>Revision 2 unverändert übernommen</x:v>
      </x:c>
      <x:c r="R701" s="5" t="str">
        <x:v>H verkauft K eine bestimmte Skulptur, die bereits vor Abschluss des Kaufvertrags zerstört worden war. Ist trotz dieser anfänglichen objektiven Unmöglichkeit ein wirksamer Kaufvertrag zustande gekommen?</x:v>
      </x:c>
      <x:c r="S701" s="5" t="str">
        <x:v>f6cd399d29bfe9d23ccd8476c59ce2bfeec7a46effb7d268b6a04da05ad44f7b</x:v>
      </x:c>
    </x:row>
    <x:row r="702" ht="36" customHeight="1">
      <x:c r="A702" s="5" t="str">
        <x:v>R-0298</x:v>
      </x:c>
      <x:c r="B702" s="5" t="str">
        <x:v>WQ</x:v>
      </x:c>
      <x:c r="C702" s="5" t="str">
        <x:v>3</x:v>
      </x:c>
      <x:c r="D702" s="5" t="str">
        <x:v>Recht und Steuern</x:v>
      </x:c>
      <x:c r="E702" s="5" t="str">
        <x:v>Recht</x:v>
      </x:c>
      <x:c r="F702" s="5" t="str">
        <x:v>ui-wq-recht-schuld</x:v>
      </x:c>
      <x:c r="G702" s="5" t="str">
        <x:v>BGB Schuldrecht</x:v>
      </x:c>
      <x:c r="H702" s="5" t="str">
        <x:v>tr-wq-r07</x:v>
      </x:c>
      <x:c r="I702" s="5" t="str">
        <x:v>3.1.2.5</x:v>
      </x:c>
      <x:c r="J702" s="5" t="str">
        <x:v>Leistung, Verzug und Schadensersatz</x:v>
      </x:c>
      <x:c r="K702" s="5" t="str"/>
      <x:c r="L702" s="5" t="str">
        <x:v>Weitere Vertragstypen, E-Commerce &amp; Leistungsstörungen</x:v>
      </x:c>
      <x:c r="M702" s="5" t="n">
        <x:v>150</x:v>
      </x:c>
      <x:c r="N702" s="5" t="n">
        <x:v>35</x:v>
      </x:c>
      <x:c r="O702" s="5" t="str"/>
      <x:c r="P702" s="5" t="str">
        <x:v>Pilot freigegeben</x:v>
      </x:c>
      <x:c r="Q702" s="5" t="str">
        <x:v>Revision 2 unverändert übernommen</x:v>
      </x:c>
      <x:c r="R702" s="5" t="str">
        <x:v>H verkauft K eine bestimmte Skulptur, die bereits vor Abschluss des Kaufvertrags zerstört worden war. Hat K einen Anspruch auf Übereignung der zerstörten Skulptur?</x:v>
      </x:c>
      <x:c r="S702" s="5" t="str">
        <x:v>56b7c0e6d7f73db7778f65498a3984dc8c4d57e534f0ddfc17601c5e9f1b83ca</x:v>
      </x:c>
    </x:row>
    <x:row r="703" ht="36" customHeight="1">
      <x:c r="A703" s="5" t="str">
        <x:v>R-0299</x:v>
      </x:c>
      <x:c r="B703" s="5" t="str">
        <x:v>WQ</x:v>
      </x:c>
      <x:c r="C703" s="5" t="str">
        <x:v>3</x:v>
      </x:c>
      <x:c r="D703" s="5" t="str">
        <x:v>Recht und Steuern</x:v>
      </x:c>
      <x:c r="E703" s="5" t="str">
        <x:v>Recht</x:v>
      </x:c>
      <x:c r="F703" s="5" t="str">
        <x:v>ui-wq-recht-schuld</x:v>
      </x:c>
      <x:c r="G703" s="5" t="str">
        <x:v>BGB Schuldrecht</x:v>
      </x:c>
      <x:c r="H703" s="5" t="str">
        <x:v>tr-wq-r07</x:v>
      </x:c>
      <x:c r="I703" s="5" t="str">
        <x:v>3.1.2.5</x:v>
      </x:c>
      <x:c r="J703" s="5" t="str">
        <x:v>Leistung, Verzug und Schadensersatz</x:v>
      </x:c>
      <x:c r="K703" s="5" t="str"/>
      <x:c r="L703" s="5" t="str">
        <x:v>Weitere Vertragstypen, E-Commerce &amp; Leistungsstörungen</x:v>
      </x:c>
      <x:c r="M703" s="5" t="n">
        <x:v>151</x:v>
      </x:c>
      <x:c r="N703" s="5" t="n">
        <x:v>36</x:v>
      </x:c>
      <x:c r="O703" s="5" t="str"/>
      <x:c r="P703" s="5" t="str">
        <x:v>Pilot freigegeben</x:v>
      </x:c>
      <x:c r="Q703" s="5" t="str">
        <x:v>Revision 2 unverändert übernommen</x:v>
      </x:c>
      <x:c r="R703" s="5" t="str">
        <x:v>H verkauft K eine bestimmte Skulptur, die bereits vor Abschluss des Kaufvertrags zerstört worden war. Die Leistungspflicht des H ist wegen Unmöglichkeit ausgeschlossen. Hat H trotzdem Anspruch auf Zahlung des Kaufpreises?</x:v>
      </x:c>
      <x:c r="S703" s="5" t="str">
        <x:v>8e09c38ccfa04b46fb27a4d67c7db92bb1e68761a326ebfce1eb03bab1842b8f</x:v>
      </x:c>
    </x:row>
    <x:row r="704" ht="36" customHeight="1">
      <x:c r="A704" s="5" t="str">
        <x:v>R-0300</x:v>
      </x:c>
      <x:c r="B704" s="5" t="str">
        <x:v>WQ</x:v>
      </x:c>
      <x:c r="C704" s="5" t="str">
        <x:v>3</x:v>
      </x:c>
      <x:c r="D704" s="5" t="str">
        <x:v>Recht und Steuern</x:v>
      </x:c>
      <x:c r="E704" s="5" t="str">
        <x:v>Recht</x:v>
      </x:c>
      <x:c r="F704" s="5" t="str">
        <x:v>ui-wq-recht-schuld</x:v>
      </x:c>
      <x:c r="G704" s="5" t="str">
        <x:v>BGB Schuldrecht</x:v>
      </x:c>
      <x:c r="H704" s="5" t="str">
        <x:v>tr-wq-r07</x:v>
      </x:c>
      <x:c r="I704" s="5" t="str">
        <x:v>3.1.2.5</x:v>
      </x:c>
      <x:c r="J704" s="5" t="str">
        <x:v>Leistung, Verzug und Schadensersatz</x:v>
      </x:c>
      <x:c r="K704" s="5" t="str"/>
      <x:c r="L704" s="5" t="str">
        <x:v>Weitere Vertragstypen, E-Commerce &amp; Leistungsstörungen</x:v>
      </x:c>
      <x:c r="M704" s="5" t="n">
        <x:v>152</x:v>
      </x:c>
      <x:c r="N704" s="5" t="n">
        <x:v>37</x:v>
      </x:c>
      <x:c r="O704" s="5" t="str"/>
      <x:c r="P704" s="5" t="str">
        <x:v>Pilot freigegeben</x:v>
      </x:c>
      <x:c r="Q704" s="5" t="str">
        <x:v>Revision 2 unverändert übernommen</x:v>
      </x:c>
      <x:c r="R704" s="5" t="str">
        <x:v>H verkauft K eine Skulptur, die bereits vor Abschluss des Kaufvertrags zerstört worden war. H wusste bei Vertragsabschluss nichts von der Zerstörung. K wollte die Skulptur mit Gewinn weiterverkaufen. Kann K von H Schadensersatz wegen des entgangenen Weiterverkaufsgewinns verlangen?</x:v>
      </x:c>
      <x:c r="S704" s="5" t="str">
        <x:v>36a833dfbae7cb72f6b572a724f88ba2ce0bf5c205f61e5dcf91b2775b790795</x:v>
      </x:c>
    </x:row>
    <x:row r="705" ht="36" customHeight="1">
      <x:c r="A705" s="5" t="str">
        <x:v>R-0301</x:v>
      </x:c>
      <x:c r="B705" s="5" t="str">
        <x:v>WQ</x:v>
      </x:c>
      <x:c r="C705" s="5" t="str">
        <x:v>3</x:v>
      </x:c>
      <x:c r="D705" s="5" t="str">
        <x:v>Recht und Steuern</x:v>
      </x:c>
      <x:c r="E705" s="5" t="str">
        <x:v>Recht</x:v>
      </x:c>
      <x:c r="F705" s="5" t="str">
        <x:v>ui-wq-recht-schuld</x:v>
      </x:c>
      <x:c r="G705" s="5" t="str">
        <x:v>BGB Schuldrecht</x:v>
      </x:c>
      <x:c r="H705" s="5" t="str">
        <x:v>tr-wq-r07</x:v>
      </x:c>
      <x:c r="I705" s="5" t="str">
        <x:v>3.1.2.5</x:v>
      </x:c>
      <x:c r="J705" s="5" t="str">
        <x:v>Leistung, Verzug und Schadensersatz</x:v>
      </x:c>
      <x:c r="K705" s="5" t="str"/>
      <x:c r="L705" s="5" t="str">
        <x:v>Weitere Vertragstypen, E-Commerce &amp; Leistungsstörungen</x:v>
      </x:c>
      <x:c r="M705" s="5" t="n">
        <x:v>153</x:v>
      </x:c>
      <x:c r="N705" s="5" t="n">
        <x:v>38</x:v>
      </x:c>
      <x:c r="O705" s="5" t="str"/>
      <x:c r="P705" s="5" t="str">
        <x:v>Pilot freigegeben</x:v>
      </x:c>
      <x:c r="Q705" s="5" t="str">
        <x:v>Revision 2 unverändert übernommen</x:v>
      </x:c>
      <x:c r="R705" s="5" t="str">
        <x:v>Für die Rechtsabteilung von Circle Harbor: Die V-OHG schuldet der M-GmbH Bauteile aus einer Gattung. Die für M bestimmten Bauteile gehen noch im Lager der V-OHG verloren, bevor sie einem Transporteur übergeben wurden. Kann die M-GmbH weiterhin die Lieferung gleichartiger neuer Bauteile verlangen?</x:v>
      </x:c>
      <x:c r="S705" s="5" t="str">
        <x:v>bbe0c84f8e356deab3bc9603c5e408db2c40fd0ad0f909e9dacc49a77b504ed1</x:v>
      </x:c>
    </x:row>
    <x:row r="706" ht="36" customHeight="1">
      <x:c r="A706" s="5" t="str">
        <x:v>R-0302</x:v>
      </x:c>
      <x:c r="B706" s="5" t="str">
        <x:v>WQ</x:v>
      </x:c>
      <x:c r="C706" s="5" t="str">
        <x:v>3</x:v>
      </x:c>
      <x:c r="D706" s="5" t="str">
        <x:v>Recht und Steuern</x:v>
      </x:c>
      <x:c r="E706" s="5" t="str">
        <x:v>Recht</x:v>
      </x:c>
      <x:c r="F706" s="5" t="str">
        <x:v>ui-wq-recht-schuld</x:v>
      </x:c>
      <x:c r="G706" s="5" t="str">
        <x:v>BGB Schuldrecht</x:v>
      </x:c>
      <x:c r="H706" s="5" t="str">
        <x:v>tr-wq-r07</x:v>
      </x:c>
      <x:c r="I706" s="5" t="str">
        <x:v>3.1.2.5</x:v>
      </x:c>
      <x:c r="J706" s="5" t="str">
        <x:v>Leistung, Verzug und Schadensersatz</x:v>
      </x:c>
      <x:c r="K706" s="5" t="str"/>
      <x:c r="L706" s="5" t="str">
        <x:v>Weitere Vertragstypen, E-Commerce &amp; Leistungsstörungen</x:v>
      </x:c>
      <x:c r="M706" s="5" t="n">
        <x:v>154</x:v>
      </x:c>
      <x:c r="N706" s="5" t="n">
        <x:v>39</x:v>
      </x:c>
      <x:c r="O706" s="5" t="str"/>
      <x:c r="P706" s="5" t="str">
        <x:v>Pilot freigegeben</x:v>
      </x:c>
      <x:c r="Q706" s="5" t="str">
        <x:v>Revision 2 unverändert übernommen</x:v>
      </x:c>
      <x:c r="R706" s="5" t="str">
        <x:v>Wann tritt bei einer Schickschuld die Konkretisierung gemäß § 243 Abs. 2 BGB ein?</x:v>
      </x:c>
      <x:c r="S706" s="5" t="str">
        <x:v>e50bd0d2eea3b9eb71f481b6dc0abb9d4b44fd29f35c6280732f531391018a99</x:v>
      </x:c>
    </x:row>
    <x:row r="707" ht="36" customHeight="1">
      <x:c r="A707" s="5" t="str">
        <x:v>R-0303</x:v>
      </x:c>
      <x:c r="B707" s="5" t="str">
        <x:v>WQ</x:v>
      </x:c>
      <x:c r="C707" s="5" t="str">
        <x:v>3</x:v>
      </x:c>
      <x:c r="D707" s="5" t="str">
        <x:v>Recht und Steuern</x:v>
      </x:c>
      <x:c r="E707" s="5" t="str">
        <x:v>Recht</x:v>
      </x:c>
      <x:c r="F707" s="5" t="str">
        <x:v>ui-wq-recht-schuld</x:v>
      </x:c>
      <x:c r="G707" s="5" t="str">
        <x:v>BGB Schuldrecht</x:v>
      </x:c>
      <x:c r="H707" s="5" t="str">
        <x:v>tr-wq-r07</x:v>
      </x:c>
      <x:c r="I707" s="5" t="str">
        <x:v>3.1.2.5</x:v>
      </x:c>
      <x:c r="J707" s="5" t="str">
        <x:v>Leistung, Verzug und Schadensersatz</x:v>
      </x:c>
      <x:c r="K707" s="5" t="str"/>
      <x:c r="L707" s="5" t="str">
        <x:v>Weitere Vertragstypen, E-Commerce &amp; Leistungsstörungen</x:v>
      </x:c>
      <x:c r="M707" s="5" t="n">
        <x:v>155</x:v>
      </x:c>
      <x:c r="N707" s="5" t="n">
        <x:v>40</x:v>
      </x:c>
      <x:c r="O707" s="5" t="str"/>
      <x:c r="P707" s="5" t="str">
        <x:v>Pilot freigegeben</x:v>
      </x:c>
      <x:c r="Q707" s="5" t="str">
        <x:v>Revision 2 unverändert übernommen</x:v>
      </x:c>
      <x:c r="R707" s="5" t="str">
        <x:v>Für die Rechtsabteilung von Circle Harbor: Die V-OHG verkauft der M-GmbH im beiderseitigen Handelskauf Gattungsware als Schickschuld. Die V-OHG wählt die geschuldete Ware ordnungsgemäß aus, verpackt sie und übergibt sie dem Transporteur. Auf dem Transport geht das Paket ohne Verschulden der V-OHG verloren. Hat die V-OHG trotzdem Anspruch auf den Kaufpreis?</x:v>
      </x:c>
      <x:c r="S707" s="5" t="str">
        <x:v>fbf5852fd8b8529dc048f5394a2de2a8758eeec80279dd773d252ce3076468a7</x:v>
      </x:c>
    </x:row>
    <x:row r="708" ht="36" customHeight="1">
      <x:c r="A708" s="5" t="str">
        <x:v>R-0304</x:v>
      </x:c>
      <x:c r="B708" s="5" t="str">
        <x:v>WQ</x:v>
      </x:c>
      <x:c r="C708" s="5" t="str">
        <x:v>3</x:v>
      </x:c>
      <x:c r="D708" s="5" t="str">
        <x:v>Recht und Steuern</x:v>
      </x:c>
      <x:c r="E708" s="5" t="str">
        <x:v>Recht</x:v>
      </x:c>
      <x:c r="F708" s="5" t="str">
        <x:v>ui-wq-recht-schuld</x:v>
      </x:c>
      <x:c r="G708" s="5" t="str">
        <x:v>BGB Schuldrecht</x:v>
      </x:c>
      <x:c r="H708" s="5" t="str">
        <x:v>tr-wq-r07</x:v>
      </x:c>
      <x:c r="I708" s="5" t="str">
        <x:v>3.1.2.5</x:v>
      </x:c>
      <x:c r="J708" s="5" t="str">
        <x:v>Leistung, Verzug und Schadensersatz</x:v>
      </x:c>
      <x:c r="K708" s="5" t="str"/>
      <x:c r="L708" s="5" t="str">
        <x:v>Weitere Vertragstypen, E-Commerce &amp; Leistungsstörungen</x:v>
      </x:c>
      <x:c r="M708" s="5" t="n">
        <x:v>156</x:v>
      </x:c>
      <x:c r="N708" s="5" t="n">
        <x:v>41</x:v>
      </x:c>
      <x:c r="O708" s="5" t="str"/>
      <x:c r="P708" s="5" t="str">
        <x:v>Pilot freigegeben</x:v>
      </x:c>
      <x:c r="Q708" s="5" t="str">
        <x:v>Revision 2 unverändert übernommen</x:v>
      </x:c>
      <x:c r="R708" s="5" t="str">
        <x:v>Ein Unternehmer verkauft einer privaten Verbraucherin Ware und versendet sie mit einem von ihm ausgewählten Transportdienst. Das Paket geht vor der Übergabe an die Verbraucherin verloren. Muss die Verbraucherin den Kaufpreis trotzdem zahlen?</x:v>
      </x:c>
      <x:c r="S708" s="5" t="str">
        <x:v>86f70255d9e56c7f26c7fb5d4f5b33f2297015b9913a08697365491770eafee6</x:v>
      </x:c>
    </x:row>
    <x:row r="709" ht="36" customHeight="1">
      <x:c r="A709" s="5" t="str">
        <x:v>R-0305</x:v>
      </x:c>
      <x:c r="B709" s="5" t="str">
        <x:v>WQ</x:v>
      </x:c>
      <x:c r="C709" s="5" t="str">
        <x:v>3</x:v>
      </x:c>
      <x:c r="D709" s="5" t="str">
        <x:v>Recht und Steuern</x:v>
      </x:c>
      <x:c r="E709" s="5" t="str">
        <x:v>Recht</x:v>
      </x:c>
      <x:c r="F709" s="5" t="str">
        <x:v>ui-wq-recht-schuld</x:v>
      </x:c>
      <x:c r="G709" s="5" t="str">
        <x:v>BGB Schuldrecht</x:v>
      </x:c>
      <x:c r="H709" s="5" t="str">
        <x:v>tr-wq-r07</x:v>
      </x:c>
      <x:c r="I709" s="5" t="str">
        <x:v>3.1.2.5</x:v>
      </x:c>
      <x:c r="J709" s="5" t="str">
        <x:v>Leistung, Verzug und Schadensersatz</x:v>
      </x:c>
      <x:c r="K709" s="5" t="str"/>
      <x:c r="L709" s="5" t="str">
        <x:v>Weitere Vertragstypen, E-Commerce &amp; Leistungsstörungen</x:v>
      </x:c>
      <x:c r="M709" s="5" t="n">
        <x:v>157</x:v>
      </x:c>
      <x:c r="N709" s="5" t="n">
        <x:v>42</x:v>
      </x:c>
      <x:c r="O709" s="5" t="str"/>
      <x:c r="P709" s="5" t="str">
        <x:v>Pilot freigegeben</x:v>
      </x:c>
      <x:c r="Q709" s="5" t="str">
        <x:v>Revision 2 unverändert übernommen</x:v>
      </x:c>
      <x:c r="R709" s="5" t="str">
        <x:v>Welche Voraussetzungen müssen für einen Schadensersatzanspruch aus § 823 Abs. 1 BGB vorliegen?</x:v>
      </x:c>
      <x:c r="S709" s="5" t="str">
        <x:v>9f5aa4d9df9d868ebd9aa755e452500d379ec9c89b65e253d82f12afdc798492</x:v>
      </x:c>
    </x:row>
    <x:row r="710" ht="36" customHeight="1">
      <x:c r="A710" s="5" t="str">
        <x:v>R-0306</x:v>
      </x:c>
      <x:c r="B710" s="5" t="str">
        <x:v>WQ</x:v>
      </x:c>
      <x:c r="C710" s="5" t="str">
        <x:v>3</x:v>
      </x:c>
      <x:c r="D710" s="5" t="str">
        <x:v>Recht und Steuern</x:v>
      </x:c>
      <x:c r="E710" s="5" t="str">
        <x:v>Recht</x:v>
      </x:c>
      <x:c r="F710" s="5" t="str">
        <x:v>ui-wq-recht-schuld</x:v>
      </x:c>
      <x:c r="G710" s="5" t="str">
        <x:v>BGB Schuldrecht</x:v>
      </x:c>
      <x:c r="H710" s="5" t="str">
        <x:v>tr-wq-r07</x:v>
      </x:c>
      <x:c r="I710" s="5" t="str">
        <x:v>3.1.2.5</x:v>
      </x:c>
      <x:c r="J710" s="5" t="str">
        <x:v>Leistung, Verzug und Schadensersatz</x:v>
      </x:c>
      <x:c r="K710" s="5" t="str"/>
      <x:c r="L710" s="5" t="str">
        <x:v>Weitere Vertragstypen, E-Commerce &amp; Leistungsstörungen</x:v>
      </x:c>
      <x:c r="M710" s="5" t="n">
        <x:v>158</x:v>
      </x:c>
      <x:c r="N710" s="5" t="n">
        <x:v>43</x:v>
      </x:c>
      <x:c r="O710" s="5" t="str"/>
      <x:c r="P710" s="5" t="str">
        <x:v>Pilot freigegeben</x:v>
      </x:c>
      <x:c r="Q710" s="5" t="str">
        <x:v>Revision 2 unverändert übernommen</x:v>
      </x:c>
      <x:c r="R710" s="5" t="str">
        <x:v>Für die Rechtsabteilung von Circle Harbor: K beauftragt die T-GmbH aufgrund eines Werkvertrags mit Arbeiten an einer Sache in ihrem Eigentum. Mitarbeiter B der T-GmbH beschädigt diese Sache bei der Ausführung fahrlässig. Kann K von B persönlich Schadensersatz nach § 823 Abs. 1 BGB verlangen?</x:v>
      </x:c>
      <x:c r="S710" s="5" t="str">
        <x:v>a21f0d4ef10aa79fbc55b412f5e665dcc5f7180f34cb4e87d057be052182ef07</x:v>
      </x:c>
    </x:row>
    <x:row r="711" ht="36" customHeight="1">
      <x:c r="A711" s="5" t="str">
        <x:v>R-0307</x:v>
      </x:c>
      <x:c r="B711" s="5" t="str">
        <x:v>WQ</x:v>
      </x:c>
      <x:c r="C711" s="5" t="str">
        <x:v>3</x:v>
      </x:c>
      <x:c r="D711" s="5" t="str">
        <x:v>Recht und Steuern</x:v>
      </x:c>
      <x:c r="E711" s="5" t="str">
        <x:v>Recht</x:v>
      </x:c>
      <x:c r="F711" s="5" t="str">
        <x:v>ui-wq-recht-schuld</x:v>
      </x:c>
      <x:c r="G711" s="5" t="str">
        <x:v>BGB Schuldrecht</x:v>
      </x:c>
      <x:c r="H711" s="5" t="str">
        <x:v>tr-wq-r07</x:v>
      </x:c>
      <x:c r="I711" s="5" t="str">
        <x:v>3.1.2.5</x:v>
      </x:c>
      <x:c r="J711" s="5" t="str">
        <x:v>Leistung, Verzug und Schadensersatz</x:v>
      </x:c>
      <x:c r="K711" s="5" t="str"/>
      <x:c r="L711" s="5" t="str">
        <x:v>Weitere Vertragstypen, E-Commerce &amp; Leistungsstörungen</x:v>
      </x:c>
      <x:c r="M711" s="5" t="n">
        <x:v>159</x:v>
      </x:c>
      <x:c r="N711" s="5" t="n">
        <x:v>44</x:v>
      </x:c>
      <x:c r="O711" s="5" t="str"/>
      <x:c r="P711" s="5" t="str">
        <x:v>Pilot freigegeben</x:v>
      </x:c>
      <x:c r="Q711" s="5" t="str">
        <x:v>Revision 2 unverändert übernommen</x:v>
      </x:c>
      <x:c r="R711" s="5" t="str">
        <x:v>Für die Rechtsabteilung von Circle Harbor: K beauftragt die T-GmbH aufgrund eines Werkvertrags mit Arbeiten an einer Sache in ihrem Eigentum. Mitarbeiter B der T-GmbH beschädigt die Sache bei der Vertragserfüllung fahrlässig. Kann K von der T-GmbH Schadensersatz aus dem Werkvertrag verlangen, obwohl B den Schaden verursacht hat?</x:v>
      </x:c>
      <x:c r="S711" s="5" t="str">
        <x:v>00c60c791ad8773bf22e585a5c74939e4b78c52bdb10ecc10dee48b6dfcee169</x:v>
      </x:c>
    </x:row>
    <x:row r="712" ht="36" customHeight="1">
      <x:c r="A712" s="5" t="str">
        <x:v>R-0308</x:v>
      </x:c>
      <x:c r="B712" s="5" t="str">
        <x:v>WQ</x:v>
      </x:c>
      <x:c r="C712" s="5" t="str">
        <x:v>3</x:v>
      </x:c>
      <x:c r="D712" s="5" t="str">
        <x:v>Recht und Steuern</x:v>
      </x:c>
      <x:c r="E712" s="5" t="str">
        <x:v>Recht</x:v>
      </x:c>
      <x:c r="F712" s="5" t="str">
        <x:v>ui-wq-recht-schuld</x:v>
      </x:c>
      <x:c r="G712" s="5" t="str">
        <x:v>BGB Schuldrecht</x:v>
      </x:c>
      <x:c r="H712" s="5" t="str">
        <x:v>tr-wq-r07</x:v>
      </x:c>
      <x:c r="I712" s="5" t="str">
        <x:v>3.1.2.5</x:v>
      </x:c>
      <x:c r="J712" s="5" t="str">
        <x:v>Leistung, Verzug und Schadensersatz</x:v>
      </x:c>
      <x:c r="K712" s="5" t="str"/>
      <x:c r="L712" s="5" t="str">
        <x:v>Weitere Vertragstypen, E-Commerce &amp; Leistungsstörungen</x:v>
      </x:c>
      <x:c r="M712" s="5" t="n">
        <x:v>160</x:v>
      </x:c>
      <x:c r="N712" s="5" t="n">
        <x:v>45</x:v>
      </x:c>
      <x:c r="O712" s="5" t="str"/>
      <x:c r="P712" s="5" t="str">
        <x:v>Pilot freigegeben</x:v>
      </x:c>
      <x:c r="Q712" s="5" t="str">
        <x:v>Revision 2 unverändert übernommen</x:v>
      </x:c>
      <x:c r="R712" s="5" t="str">
        <x:v>Für die Rechtsabteilung von Circle Harbor: K beauftragt die T-GmbH mit Arbeiten an einer Sache in ihrem Eigentum. Der weisungsabhängig für die T-GmbH tätige Mitarbeiter B beschädigt die Sache bei der Arbeit fahrlässig. Kann K von der T-GmbH grundsätzlich Schadensersatz nach § 831 BGB verlangen und unter welcher Voraussetzung kann sich die T-GmbH entlasten?</x:v>
      </x:c>
      <x:c r="S712" s="5" t="str">
        <x:v>9a621d0a07b83c8ee87741558fd896db7ea65c86be43691609b344c4b47f155a</x:v>
      </x:c>
    </x:row>
    <x:row r="713" ht="36" customHeight="1">
      <x:c r="A713" s="5" t="str">
        <x:v>R-0309</x:v>
      </x:c>
      <x:c r="B713" s="5" t="str">
        <x:v>WQ</x:v>
      </x:c>
      <x:c r="C713" s="5" t="str">
        <x:v>3</x:v>
      </x:c>
      <x:c r="D713" s="5" t="str">
        <x:v>Recht und Steuern</x:v>
      </x:c>
      <x:c r="E713" s="5" t="str">
        <x:v>Recht</x:v>
      </x:c>
      <x:c r="F713" s="5" t="str">
        <x:v>ui-wq-recht-sachen</x:v>
      </x:c>
      <x:c r="G713" s="5" t="str">
        <x:v>BGB Sachenrecht</x:v>
      </x:c>
      <x:c r="H713" s="5" t="str">
        <x:v>tr-wq-r08</x:v>
      </x:c>
      <x:c r="I713" s="5" t="str">
        <x:v>3.1.3.1</x:v>
      </x:c>
      <x:c r="J713" s="5" t="str">
        <x:v>Besitz und Eigentumsübertragung</x:v>
      </x:c>
      <x:c r="K713" s="5" t="str"/>
      <x:c r="L713" s="5" t="str">
        <x:v>Sachenrecht, Kreditsicherheiten &amp; Insolvenz</x:v>
      </x:c>
      <x:c r="M713" s="5" t="n">
        <x:v>14</x:v>
      </x:c>
      <x:c r="N713" s="5" t="n">
        <x:v>11</x:v>
      </x:c>
      <x:c r="O713" s="5" t="str"/>
      <x:c r="P713" s="5" t="str">
        <x:v>Pilot freigegeben</x:v>
      </x:c>
      <x:c r="Q713" s="5" t="str">
        <x:v>Revision 2 unverändert übernommen</x:v>
      </x:c>
      <x:c r="R713" s="5" t="str">
        <x:v>Wie erfolgt der Eigentumserwerb an einer beweglichen Sache?</x:v>
      </x:c>
      <x:c r="S713" s="5" t="str">
        <x:v>3682d70befdf74f2e2bba395396156b3da4b61aeae89aed270abea5f631d9571</x:v>
      </x:c>
    </x:row>
    <x:row r="714" ht="36" customHeight="1">
      <x:c r="A714" s="5" t="str">
        <x:v>R-0310</x:v>
      </x:c>
      <x:c r="B714" s="5" t="str">
        <x:v>WQ</x:v>
      </x:c>
      <x:c r="C714" s="5" t="str">
        <x:v>3</x:v>
      </x:c>
      <x:c r="D714" s="5" t="str">
        <x:v>Recht und Steuern</x:v>
      </x:c>
      <x:c r="E714" s="5" t="str">
        <x:v>Recht</x:v>
      </x:c>
      <x:c r="F714" s="5" t="str">
        <x:v>ui-wq-recht-sachen</x:v>
      </x:c>
      <x:c r="G714" s="5" t="str">
        <x:v>BGB Sachenrecht</x:v>
      </x:c>
      <x:c r="H714" s="5" t="str">
        <x:v>tr-wq-r08</x:v>
      </x:c>
      <x:c r="I714" s="5" t="str">
        <x:v>3.1.3.1</x:v>
      </x:c>
      <x:c r="J714" s="5" t="str">
        <x:v>Besitz und Eigentumsübertragung</x:v>
      </x:c>
      <x:c r="K714" s="5" t="str"/>
      <x:c r="L714" s="5" t="str">
        <x:v>Sachenrecht, Kreditsicherheiten &amp; Insolvenz</x:v>
      </x:c>
      <x:c r="M714" s="5" t="n">
        <x:v>15</x:v>
      </x:c>
      <x:c r="N714" s="5" t="n">
        <x:v>12</x:v>
      </x:c>
      <x:c r="O714" s="5" t="str"/>
      <x:c r="P714" s="5" t="str">
        <x:v>Pilot freigegeben</x:v>
      </x:c>
      <x:c r="Q714" s="5" t="str">
        <x:v>Revision 2 unverändert übernommen</x:v>
      </x:c>
      <x:c r="R714" s="5" t="str">
        <x:v>Was ist der Unterschied zwischen Verpflichtungsgeschäft und Verfügungsgeschäft?</x:v>
      </x:c>
      <x:c r="S714" s="5" t="str">
        <x:v>47bad0ca702e044ba6c5faa93787385bc191cf22e9b70f908cf841b1784c2027</x:v>
      </x:c>
    </x:row>
    <x:row r="715" ht="36" customHeight="1">
      <x:c r="A715" s="5" t="str">
        <x:v>R-0311</x:v>
      </x:c>
      <x:c r="B715" s="5" t="str">
        <x:v>WQ</x:v>
      </x:c>
      <x:c r="C715" s="5" t="str">
        <x:v>3</x:v>
      </x:c>
      <x:c r="D715" s="5" t="str">
        <x:v>Recht und Steuern</x:v>
      </x:c>
      <x:c r="E715" s="5" t="str">
        <x:v>Recht</x:v>
      </x:c>
      <x:c r="F715" s="5" t="str">
        <x:v>ui-wq-recht-sachen</x:v>
      </x:c>
      <x:c r="G715" s="5" t="str">
        <x:v>BGB Sachenrecht</x:v>
      </x:c>
      <x:c r="H715" s="5" t="str">
        <x:v>tr-wq-r08</x:v>
      </x:c>
      <x:c r="I715" s="5" t="str">
        <x:v>3.1.3.1</x:v>
      </x:c>
      <x:c r="J715" s="5" t="str">
        <x:v>Besitz und Eigentumsübertragung</x:v>
      </x:c>
      <x:c r="K715" s="5" t="str"/>
      <x:c r="L715" s="5" t="str">
        <x:v>Sachenrecht, Kreditsicherheiten &amp; Insolvenz</x:v>
      </x:c>
      <x:c r="M715" s="5" t="n">
        <x:v>16</x:v>
      </x:c>
      <x:c r="N715" s="5" t="n">
        <x:v>13</x:v>
      </x:c>
      <x:c r="O715" s="5" t="str"/>
      <x:c r="P715" s="5" t="str">
        <x:v>Pilot freigegeben</x:v>
      </x:c>
      <x:c r="Q715" s="5" t="str">
        <x:v>Revision 2 unverändert übernommen</x:v>
      </x:c>
      <x:c r="R715" s="5" t="str">
        <x:v>K kauft in einem Circle-Harbor-Store ein E-Bike. Die Verkaufsperson und K einigen sich über den Eigentumsübergang und das E-Bike wird K übergeben. Ein Eigentumsvorbehalt wurde nicht vereinbart; der Kaufpreis ist noch nicht bezahlt. Ist K bereits Eigentümerin des E-Bikes?</x:v>
      </x:c>
      <x:c r="S715" s="5" t="str">
        <x:v>62da61dcebd1535f6da2ebbcc9760be64e53153187acefb7bdb742a57049aae2</x:v>
      </x:c>
    </x:row>
    <x:row r="716" ht="36" customHeight="1">
      <x:c r="A716" s="5" t="str">
        <x:v>R-0312</x:v>
      </x:c>
      <x:c r="B716" s="5" t="str">
        <x:v>WQ</x:v>
      </x:c>
      <x:c r="C716" s="5" t="str">
        <x:v>3</x:v>
      </x:c>
      <x:c r="D716" s="5" t="str">
        <x:v>Recht und Steuern</x:v>
      </x:c>
      <x:c r="E716" s="5" t="str">
        <x:v>Recht</x:v>
      </x:c>
      <x:c r="F716" s="5" t="str">
        <x:v>ui-wq-recht-sachen</x:v>
      </x:c>
      <x:c r="G716" s="5" t="str">
        <x:v>BGB Sachenrecht</x:v>
      </x:c>
      <x:c r="H716" s="5" t="str">
        <x:v>tr-wq-r08</x:v>
      </x:c>
      <x:c r="I716" s="5" t="str">
        <x:v>3.1.3.1</x:v>
      </x:c>
      <x:c r="J716" s="5" t="str">
        <x:v>Besitz und Eigentumsübertragung</x:v>
      </x:c>
      <x:c r="K716" s="5" t="str">
        <x:v>3.1.1.1</x:v>
      </x:c>
      <x:c r="L716" s="5" t="str">
        <x:v>Sachenrecht, Kreditsicherheiten &amp; Insolvenz</x:v>
      </x:c>
      <x:c r="M716" s="5" t="n">
        <x:v>17</x:v>
      </x:c>
      <x:c r="N716" s="5" t="n">
        <x:v>14</x:v>
      </x:c>
      <x:c r="O716" s="5" t="str"/>
      <x:c r="P716" s="5" t="str">
        <x:v>Pilot freigegeben</x:v>
      </x:c>
      <x:c r="Q716" s="5" t="str">
        <x:v>Revision 2 unverändert übernommen</x:v>
      </x:c>
      <x:c r="R716" s="5" t="str">
        <x:v>Wann liegt ein Scheinbestandteil nach § 95 BGB vor?</x:v>
      </x:c>
      <x:c r="S716" s="5" t="str">
        <x:v>f7a0769906e2fe4f58c2af10d6609ff311275ef5b6403713fd7d72edba616399</x:v>
      </x:c>
    </x:row>
    <x:row r="717" ht="36" customHeight="1">
      <x:c r="A717" s="5" t="str">
        <x:v>R-0313</x:v>
      </x:c>
      <x:c r="B717" s="5" t="str">
        <x:v>WQ</x:v>
      </x:c>
      <x:c r="C717" s="5" t="str">
        <x:v>3</x:v>
      </x:c>
      <x:c r="D717" s="5" t="str">
        <x:v>Recht und Steuern</x:v>
      </x:c>
      <x:c r="E717" s="5" t="str">
        <x:v>Recht</x:v>
      </x:c>
      <x:c r="F717" s="5" t="str">
        <x:v>ui-wq-recht-sachen</x:v>
      </x:c>
      <x:c r="G717" s="5" t="str">
        <x:v>BGB Sachenrecht</x:v>
      </x:c>
      <x:c r="H717" s="5" t="str">
        <x:v>tr-wq-r08</x:v>
      </x:c>
      <x:c r="I717" s="5" t="str">
        <x:v>3.1.3.1</x:v>
      </x:c>
      <x:c r="J717" s="5" t="str">
        <x:v>Besitz und Eigentumsübertragung</x:v>
      </x:c>
      <x:c r="K717" s="5" t="str"/>
      <x:c r="L717" s="5" t="str">
        <x:v>Sachenrecht, Kreditsicherheiten &amp; Insolvenz</x:v>
      </x:c>
      <x:c r="M717" s="5" t="n">
        <x:v>18</x:v>
      </x:c>
      <x:c r="N717" s="5" t="n">
        <x:v>15</x:v>
      </x:c>
      <x:c r="O717" s="5" t="str"/>
      <x:c r="P717" s="5" t="str">
        <x:v>Pilot freigegeben</x:v>
      </x:c>
      <x:c r="Q717" s="5" t="str">
        <x:v>Revision 2 unverändert übernommen</x:v>
      </x:c>
      <x:c r="R717" s="5" t="str">
        <x:v>G errichtet auf einem gemieteten Grundstück eine Lagerhalle, die nur für die Dauer des Mietverhältnisses mit dem Grundstück verbunden und danach wieder entfernt werden soll. Wer ist während der Mietzeit Eigentümer der Lagerhalle?</x:v>
      </x:c>
      <x:c r="S717" s="5" t="str">
        <x:v>8a62d0821999bd7e2bb814d5dae886a8480d75dcce403f75f8f64dd31d604b81</x:v>
      </x:c>
    </x:row>
    <x:row r="718" ht="36" customHeight="1">
      <x:c r="A718" s="5" t="str">
        <x:v>R-0314</x:v>
      </x:c>
      <x:c r="B718" s="5" t="str">
        <x:v>WQ</x:v>
      </x:c>
      <x:c r="C718" s="5" t="str">
        <x:v>3</x:v>
      </x:c>
      <x:c r="D718" s="5" t="str">
        <x:v>Recht und Steuern</x:v>
      </x:c>
      <x:c r="E718" s="5" t="str">
        <x:v>Recht</x:v>
      </x:c>
      <x:c r="F718" s="5" t="str">
        <x:v>ui-wq-recht-sachen</x:v>
      </x:c>
      <x:c r="G718" s="5" t="str">
        <x:v>BGB Sachenrecht</x:v>
      </x:c>
      <x:c r="H718" s="5" t="str">
        <x:v>tr-wq-r09</x:v>
      </x:c>
      <x:c r="I718" s="5" t="str">
        <x:v>3.1.3.2</x:v>
      </x:c>
      <x:c r="J718" s="5" t="str">
        <x:v>Sicherheiten für Forderungen</x:v>
      </x:c>
      <x:c r="K718" s="5" t="str">
        <x:v>3.1.3.1</x:v>
      </x:c>
      <x:c r="L718" s="5" t="str">
        <x:v>Sachenrecht, Kreditsicherheiten &amp; Insolvenz</x:v>
      </x:c>
      <x:c r="M718" s="5" t="n">
        <x:v>19</x:v>
      </x:c>
      <x:c r="N718" s="5" t="n">
        <x:v>4</x:v>
      </x:c>
      <x:c r="O718" s="5" t="str"/>
      <x:c r="P718" s="5" t="str">
        <x:v>Pilot freigegeben</x:v>
      </x:c>
      <x:c r="Q718" s="5" t="str">
        <x:v>Revision 2 unverändert übernommen</x:v>
      </x:c>
      <x:c r="R718" s="5" t="str">
        <x:v>Wer ist bei einer Sicherungsübereignung Eigentümer der Sache?</x:v>
      </x:c>
      <x:c r="S718" s="5" t="str">
        <x:v>bcbf516bc843fb8bdb8e6e27a899ed8f52871934fcd1cfffc0dcb20d563292bf</x:v>
      </x:c>
    </x:row>
    <x:row r="719" ht="36" customHeight="1">
      <x:c r="A719" s="5" t="str">
        <x:v>R-0315</x:v>
      </x:c>
      <x:c r="B719" s="5" t="str">
        <x:v>WQ</x:v>
      </x:c>
      <x:c r="C719" s="5" t="str">
        <x:v>3</x:v>
      </x:c>
      <x:c r="D719" s="5" t="str">
        <x:v>Recht und Steuern</x:v>
      </x:c>
      <x:c r="E719" s="5" t="str">
        <x:v>Recht</x:v>
      </x:c>
      <x:c r="F719" s="5" t="str">
        <x:v>ui-wq-recht-sachen</x:v>
      </x:c>
      <x:c r="G719" s="5" t="str">
        <x:v>BGB Sachenrecht</x:v>
      </x:c>
      <x:c r="H719" s="5" t="str">
        <x:v>tr-wq-r08</x:v>
      </x:c>
      <x:c r="I719" s="5" t="str">
        <x:v>3.1.3.1</x:v>
      </x:c>
      <x:c r="J719" s="5" t="str">
        <x:v>Besitz und Eigentumsübertragung</x:v>
      </x:c>
      <x:c r="K719" s="5" t="str"/>
      <x:c r="L719" s="5" t="str">
        <x:v>Sachenrecht, Kreditsicherheiten &amp; Insolvenz</x:v>
      </x:c>
      <x:c r="M719" s="5" t="n">
        <x:v>20</x:v>
      </x:c>
      <x:c r="N719" s="5" t="n">
        <x:v>16</x:v>
      </x:c>
      <x:c r="O719" s="5" t="str"/>
      <x:c r="P719" s="5" t="str">
        <x:v>Pilot freigegeben</x:v>
      </x:c>
      <x:c r="Q719" s="5" t="str">
        <x:v>Revision 2 unverändert übernommen</x:v>
      </x:c>
      <x:c r="R719" s="5" t="str">
        <x:v>Was ist der Unterschied zwischen unmittelbarem und mittelbarem Besitz?</x:v>
      </x:c>
      <x:c r="S719" s="5" t="str">
        <x:v>641e58cc36b0c40bf26ba3df2ee15dd9520dadfe244df266d20b1c6495d6518b</x:v>
      </x:c>
    </x:row>
    <x:row r="720" ht="36" customHeight="1">
      <x:c r="A720" s="5" t="str">
        <x:v>R-0316</x:v>
      </x:c>
      <x:c r="B720" s="5" t="str">
        <x:v>WQ</x:v>
      </x:c>
      <x:c r="C720" s="5" t="str">
        <x:v>3</x:v>
      </x:c>
      <x:c r="D720" s="5" t="str">
        <x:v>Recht und Steuern</x:v>
      </x:c>
      <x:c r="E720" s="5" t="str">
        <x:v>Recht</x:v>
      </x:c>
      <x:c r="F720" s="5" t="str">
        <x:v>ui-wq-recht-sachen</x:v>
      </x:c>
      <x:c r="G720" s="5" t="str">
        <x:v>BGB Sachenrecht</x:v>
      </x:c>
      <x:c r="H720" s="5" t="str">
        <x:v>tr-wq-r09</x:v>
      </x:c>
      <x:c r="I720" s="5" t="str">
        <x:v>3.1.3.2</x:v>
      </x:c>
      <x:c r="J720" s="5" t="str">
        <x:v>Sicherheiten für Forderungen</x:v>
      </x:c>
      <x:c r="K720" s="5" t="str">
        <x:v>3.1.3.1</x:v>
      </x:c>
      <x:c r="L720" s="5" t="str">
        <x:v>Sachenrecht, Kreditsicherheiten &amp; Insolvenz</x:v>
      </x:c>
      <x:c r="M720" s="5" t="n">
        <x:v>21</x:v>
      </x:c>
      <x:c r="N720" s="5" t="n">
        <x:v>5</x:v>
      </x:c>
      <x:c r="O720" s="5" t="str"/>
      <x:c r="P720" s="5" t="str">
        <x:v>Pilot freigegeben</x:v>
      </x:c>
      <x:c r="Q720" s="5" t="str">
        <x:v>Revision 2 unverändert übernommen</x:v>
      </x:c>
      <x:c r="R720" s="5" t="str">
        <x:v>Wer ist bei der Sicherungsübereignung unmittelbarer Besitzer der Maschine?</x:v>
      </x:c>
      <x:c r="S720" s="5" t="str">
        <x:v>e9a963ee6a0488cffa28de8624777bbd433e531ed1f3a861db71cd8ecafd029a</x:v>
      </x:c>
    </x:row>
    <x:row r="721" ht="36" customHeight="1">
      <x:c r="A721" s="5" t="str">
        <x:v>R-0317</x:v>
      </x:c>
      <x:c r="B721" s="5" t="str">
        <x:v>WQ</x:v>
      </x:c>
      <x:c r="C721" s="5" t="str">
        <x:v>3</x:v>
      </x:c>
      <x:c r="D721" s="5" t="str">
        <x:v>Recht und Steuern</x:v>
      </x:c>
      <x:c r="E721" s="5" t="str">
        <x:v>Recht</x:v>
      </x:c>
      <x:c r="F721" s="5" t="str">
        <x:v>ui-wq-recht-sachen</x:v>
      </x:c>
      <x:c r="G721" s="5" t="str">
        <x:v>BGB Sachenrecht</x:v>
      </x:c>
      <x:c r="H721" s="5" t="str">
        <x:v>tr-wq-r09</x:v>
      </x:c>
      <x:c r="I721" s="5" t="str">
        <x:v>3.1.3.2</x:v>
      </x:c>
      <x:c r="J721" s="5" t="str">
        <x:v>Sicherheiten für Forderungen</x:v>
      </x:c>
      <x:c r="K721" s="5" t="str">
        <x:v>3.1.3.1</x:v>
      </x:c>
      <x:c r="L721" s="5" t="str">
        <x:v>Sachenrecht, Kreditsicherheiten &amp; Insolvenz</x:v>
      </x:c>
      <x:c r="M721" s="5" t="n">
        <x:v>22</x:v>
      </x:c>
      <x:c r="N721" s="5" t="n">
        <x:v>6</x:v>
      </x:c>
      <x:c r="O721" s="5" t="str"/>
      <x:c r="P721" s="5" t="str">
        <x:v>Pilot freigegeben</x:v>
      </x:c>
      <x:c r="Q721" s="5" t="str">
        <x:v>Revision 2 unverändert übernommen</x:v>
      </x:c>
      <x:c r="R721" s="5" t="str">
        <x:v>Wer ist bei der Sicherungsübereignung mittelbarer Besitzer der Maschine?</x:v>
      </x:c>
      <x:c r="S721" s="5" t="str">
        <x:v>82639b1f2e1afbe211a8017d826ff3cdf8b62862e83691f7d167fce9b9f12203</x:v>
      </x:c>
    </x:row>
    <x:row r="722" ht="36" customHeight="1">
      <x:c r="A722" s="5" t="str">
        <x:v>R-0318</x:v>
      </x:c>
      <x:c r="B722" s="5" t="str">
        <x:v>WQ</x:v>
      </x:c>
      <x:c r="C722" s="5" t="str">
        <x:v>3</x:v>
      </x:c>
      <x:c r="D722" s="5" t="str">
        <x:v>Recht und Steuern</x:v>
      </x:c>
      <x:c r="E722" s="5" t="str">
        <x:v>Recht</x:v>
      </x:c>
      <x:c r="F722" s="5" t="str">
        <x:v>ui-wq-recht-sachen</x:v>
      </x:c>
      <x:c r="G722" s="5" t="str">
        <x:v>BGB Sachenrecht</x:v>
      </x:c>
      <x:c r="H722" s="5" t="str">
        <x:v>tr-wq-r08</x:v>
      </x:c>
      <x:c r="I722" s="5" t="str">
        <x:v>3.1.3.1</x:v>
      </x:c>
      <x:c r="J722" s="5" t="str">
        <x:v>Besitz und Eigentumsübertragung</x:v>
      </x:c>
      <x:c r="K722" s="5" t="str"/>
      <x:c r="L722" s="5" t="str">
        <x:v>Sachenrecht, Kreditsicherheiten &amp; Insolvenz</x:v>
      </x:c>
      <x:c r="M722" s="5" t="n">
        <x:v>23</x:v>
      </x:c>
      <x:c r="N722" s="5" t="n">
        <x:v>17</x:v>
      </x:c>
      <x:c r="O722" s="5" t="str"/>
      <x:c r="P722" s="5" t="str">
        <x:v>Pilot freigegeben</x:v>
      </x:c>
      <x:c r="Q722" s="5" t="str">
        <x:v>Revision 2 unverändert übernommen</x:v>
      </x:c>
      <x:c r="R722" s="5" t="str">
        <x:v>Wie kann Eigentum übertragen werden, wenn sich die Sache bei einem Dritten befindet?</x:v>
      </x:c>
      <x:c r="S722" s="5" t="str">
        <x:v>4b120c518cbed40db5b0f515dc087256099fa1238c846879b68f7dd32cf3b7f4</x:v>
      </x:c>
    </x:row>
    <x:row r="723" ht="36" customHeight="1">
      <x:c r="A723" s="5" t="str">
        <x:v>R-0319</x:v>
      </x:c>
      <x:c r="B723" s="5" t="str">
        <x:v>WQ</x:v>
      </x:c>
      <x:c r="C723" s="5" t="str">
        <x:v>3</x:v>
      </x:c>
      <x:c r="D723" s="5" t="str">
        <x:v>Recht und Steuern</x:v>
      </x:c>
      <x:c r="E723" s="5" t="str">
        <x:v>Recht</x:v>
      </x:c>
      <x:c r="F723" s="5" t="str">
        <x:v>ui-wq-recht-sachen</x:v>
      </x:c>
      <x:c r="G723" s="5" t="str">
        <x:v>BGB Sachenrecht</x:v>
      </x:c>
      <x:c r="H723" s="5" t="str">
        <x:v>tr-wq-r08</x:v>
      </x:c>
      <x:c r="I723" s="5" t="str">
        <x:v>3.1.3.1</x:v>
      </x:c>
      <x:c r="J723" s="5" t="str">
        <x:v>Besitz und Eigentumsübertragung</x:v>
      </x:c>
      <x:c r="K723" s="5" t="str"/>
      <x:c r="L723" s="5" t="str">
        <x:v>Sachenrecht, Kreditsicherheiten &amp; Insolvenz</x:v>
      </x:c>
      <x:c r="M723" s="5" t="n">
        <x:v>24</x:v>
      </x:c>
      <x:c r="N723" s="5" t="n">
        <x:v>18</x:v>
      </x:c>
      <x:c r="O723" s="5" t="str"/>
      <x:c r="P723" s="5" t="str">
        <x:v>Pilot freigegeben</x:v>
      </x:c>
      <x:c r="Q723" s="5" t="str">
        <x:v>Revision 2 unverändert übernommen</x:v>
      </x:c>
      <x:c r="R723" s="5" t="str">
        <x:v>A ist Eigentümer von Reifen, die bei einem Reifenhändler eingelagert sind. A verkauft die Reifen an K, ohne dass der Reifenhändler sie sofort herausgibt. Wie kann A K nach § 931 BGB das Eigentum an den eingelagerten Reifen übertragen?</x:v>
      </x:c>
      <x:c r="S723" s="5" t="str">
        <x:v>32a63c9b737980c8fb2b30fc9711ca60f065aa7d4b181011fac27084e5c42283</x:v>
      </x:c>
    </x:row>
    <x:row r="724" ht="36" customHeight="1">
      <x:c r="A724" s="5" t="str">
        <x:v>R-0320</x:v>
      </x:c>
      <x:c r="B724" s="5" t="str">
        <x:v>WQ</x:v>
      </x:c>
      <x:c r="C724" s="5" t="str">
        <x:v>3</x:v>
      </x:c>
      <x:c r="D724" s="5" t="str">
        <x:v>Recht und Steuern</x:v>
      </x:c>
      <x:c r="E724" s="5" t="str">
        <x:v>Recht</x:v>
      </x:c>
      <x:c r="F724" s="5" t="str">
        <x:v>ui-wq-recht-sachen</x:v>
      </x:c>
      <x:c r="G724" s="5" t="str">
        <x:v>BGB Sachenrecht</x:v>
      </x:c>
      <x:c r="H724" s="5" t="str">
        <x:v>tr-wq-r08</x:v>
      </x:c>
      <x:c r="I724" s="5" t="str">
        <x:v>3.1.3.1</x:v>
      </x:c>
      <x:c r="J724" s="5" t="str">
        <x:v>Besitz und Eigentumsübertragung</x:v>
      </x:c>
      <x:c r="K724" s="5" t="str"/>
      <x:c r="L724" s="5" t="str">
        <x:v>Sachenrecht, Kreditsicherheiten &amp; Insolvenz</x:v>
      </x:c>
      <x:c r="M724" s="5" t="n">
        <x:v>25</x:v>
      </x:c>
      <x:c r="N724" s="5" t="n">
        <x:v>19</x:v>
      </x:c>
      <x:c r="O724" s="5" t="str"/>
      <x:c r="P724" s="5" t="str">
        <x:v>Pilot freigegeben</x:v>
      </x:c>
      <x:c r="Q724" s="5" t="str">
        <x:v>Revision 2 unverändert übernommen</x:v>
      </x:c>
      <x:c r="R724" s="5" t="str">
        <x:v>K kauft ein Haus, auf dessen Dach eine Photovoltaikanlage montiert ist. Die Anlage ist rechtlich weder wesentlicher Bestandteil noch Zubehör des Grundstücks und kann gesondert übereignet werden. Wird K mit dem Hauskauf automatisch Eigentümerin der Photovoltaikanlage?</x:v>
      </x:c>
      <x:c r="S724" s="5" t="str">
        <x:v>9e4228f2e9a93731057dc09ea86bd84e2f03c9a9ecbd4191fa5511b43d88c5b1</x:v>
      </x:c>
    </x:row>
    <x:row r="725" ht="36" customHeight="1">
      <x:c r="A725" s="5" t="str">
        <x:v>R-0321</x:v>
      </x:c>
      <x:c r="B725" s="5" t="str">
        <x:v>WQ</x:v>
      </x:c>
      <x:c r="C725" s="5" t="str">
        <x:v>3</x:v>
      </x:c>
      <x:c r="D725" s="5" t="str">
        <x:v>Recht und Steuern</x:v>
      </x:c>
      <x:c r="E725" s="5" t="str">
        <x:v>Recht</x:v>
      </x:c>
      <x:c r="F725" s="5" t="str">
        <x:v>ui-wq-recht-sachen</x:v>
      </x:c>
      <x:c r="G725" s="5" t="str">
        <x:v>BGB Sachenrecht</x:v>
      </x:c>
      <x:c r="H725" s="5" t="str">
        <x:v>tr-wq-r09</x:v>
      </x:c>
      <x:c r="I725" s="5" t="str">
        <x:v>3.1.3.2</x:v>
      </x:c>
      <x:c r="J725" s="5" t="str">
        <x:v>Sicherheiten für Forderungen</x:v>
      </x:c>
      <x:c r="K725" s="5" t="str">
        <x:v>3.1.3.1</x:v>
      </x:c>
      <x:c r="L725" s="5" t="str">
        <x:v>Sachenrecht, Kreditsicherheiten &amp; Insolvenz</x:v>
      </x:c>
      <x:c r="M725" s="5" t="n">
        <x:v>26</x:v>
      </x:c>
      <x:c r="N725" s="5" t="n">
        <x:v>7</x:v>
      </x:c>
      <x:c r="O725" s="5" t="str"/>
      <x:c r="P725" s="5" t="str">
        <x:v>Pilot freigegeben</x:v>
      </x:c>
      <x:c r="Q725" s="5" t="str">
        <x:v>Revision 2 unverändert übernommen</x:v>
      </x:c>
      <x:c r="R725" s="5" t="str">
        <x:v>Auf dem von K gekauften Haus befindet sich eine Photovoltaikanlage, die rechtlich nicht Bestandteil oder Zubehör des Grundstücks ist. Der frühere Hauseigentümer hatte die Anlage vor dem Hausverkauf zur Kreditsicherung an Bank B übereignet. Wer ist nach dem Hauskauf Eigentümer der Photovoltaikanlage – K oder Bank B?</x:v>
      </x:c>
      <x:c r="S725" s="5" t="str">
        <x:v>1178e3822bb48cb5335a5f93f72122df046a22a5467b3a909bd3da468a1d14c8</x:v>
      </x:c>
    </x:row>
    <x:row r="726" ht="36" customHeight="1">
      <x:c r="A726" s="5" t="str">
        <x:v>R-0322</x:v>
      </x:c>
      <x:c r="B726" s="5" t="str">
        <x:v>WQ</x:v>
      </x:c>
      <x:c r="C726" s="5" t="str">
        <x:v>3</x:v>
      </x:c>
      <x:c r="D726" s="5" t="str">
        <x:v>Recht und Steuern</x:v>
      </x:c>
      <x:c r="E726" s="5" t="str">
        <x:v>Recht</x:v>
      </x:c>
      <x:c r="F726" s="5" t="str">
        <x:v>ui-wq-recht-sachen</x:v>
      </x:c>
      <x:c r="G726" s="5" t="str">
        <x:v>BGB Sachenrecht</x:v>
      </x:c>
      <x:c r="H726" s="5" t="str">
        <x:v>tr-wq-r08</x:v>
      </x:c>
      <x:c r="I726" s="5" t="str">
        <x:v>3.1.3.1</x:v>
      </x:c>
      <x:c r="J726" s="5" t="str">
        <x:v>Besitz und Eigentumsübertragung</x:v>
      </x:c>
      <x:c r="K726" s="5" t="str"/>
      <x:c r="L726" s="5" t="str">
        <x:v>Sachenrecht, Kreditsicherheiten &amp; Insolvenz</x:v>
      </x:c>
      <x:c r="M726" s="5" t="n">
        <x:v>27</x:v>
      </x:c>
      <x:c r="N726" s="5" t="n">
        <x:v>20</x:v>
      </x:c>
      <x:c r="O726" s="5" t="str"/>
      <x:c r="P726" s="5" t="str">
        <x:v>Pilot freigegeben</x:v>
      </x:c>
      <x:c r="Q726" s="5" t="str">
        <x:v>Revision 2 unverändert übernommen</x:v>
      </x:c>
      <x:c r="R726" s="5" t="str">
        <x:v>Welche Voraussetzungen hat der Herausgabeanspruch aus § 985 BGB?</x:v>
      </x:c>
      <x:c r="S726" s="5" t="str">
        <x:v>d4a828762558a5003b0ca507973faf9d34383ac70932706ec2b1ce7e627c7dcb</x:v>
      </x:c>
    </x:row>
    <x:row r="727" ht="36" customHeight="1">
      <x:c r="A727" s="5" t="str">
        <x:v>R-0323</x:v>
      </x:c>
      <x:c r="B727" s="5" t="str">
        <x:v>WQ</x:v>
      </x:c>
      <x:c r="C727" s="5" t="str">
        <x:v>3</x:v>
      </x:c>
      <x:c r="D727" s="5" t="str">
        <x:v>Recht und Steuern</x:v>
      </x:c>
      <x:c r="E727" s="5" t="str">
        <x:v>Recht</x:v>
      </x:c>
      <x:c r="F727" s="5" t="str">
        <x:v>ui-wq-recht-sachen</x:v>
      </x:c>
      <x:c r="G727" s="5" t="str">
        <x:v>BGB Sachenrecht</x:v>
      </x:c>
      <x:c r="H727" s="5" t="str">
        <x:v>tr-wq-r08</x:v>
      </x:c>
      <x:c r="I727" s="5" t="str">
        <x:v>3.1.3.1</x:v>
      </x:c>
      <x:c r="J727" s="5" t="str">
        <x:v>Besitz und Eigentumsübertragung</x:v>
      </x:c>
      <x:c r="K727" s="5" t="str"/>
      <x:c r="L727" s="5" t="str">
        <x:v>Sachenrecht, Kreditsicherheiten &amp; Insolvenz</x:v>
      </x:c>
      <x:c r="M727" s="5" t="n">
        <x:v>28</x:v>
      </x:c>
      <x:c r="N727" s="5" t="n">
        <x:v>21</x:v>
      </x:c>
      <x:c r="O727" s="5" t="str"/>
      <x:c r="P727" s="5" t="str">
        <x:v>Pilot freigegeben</x:v>
      </x:c>
      <x:c r="Q727" s="5" t="str">
        <x:v>Revision 2 unverändert übernommen</x:v>
      </x:c>
      <x:c r="R727" s="5" t="str">
        <x:v>A ist Eigentümer eines Fahrrads. B veräußert und übergibt das Fahrrad ohne Berechtigung an C. C hält B gutgläubig für den Eigentümer; das Fahrrad war A weder gestohlen worden noch verloren gegangen oder sonst abhandengekommen. Kann A das Fahrrad von C nach § 985 BGB herausverlangen?</x:v>
      </x:c>
      <x:c r="S727" s="5" t="str">
        <x:v>e5c5f7b9b93cdb31956321e5caf4ee044bfe274828cbe95587f178f8bfdce6c3</x:v>
      </x:c>
    </x:row>
    <x:row r="728" ht="36" customHeight="1">
      <x:c r="A728" s="5" t="str">
        <x:v>R-0324</x:v>
      </x:c>
      <x:c r="B728" s="5" t="str">
        <x:v>WQ</x:v>
      </x:c>
      <x:c r="C728" s="5" t="str">
        <x:v>3</x:v>
      </x:c>
      <x:c r="D728" s="5" t="str">
        <x:v>Recht und Steuern</x:v>
      </x:c>
      <x:c r="E728" s="5" t="str">
        <x:v>Recht</x:v>
      </x:c>
      <x:c r="F728" s="5" t="str">
        <x:v>ui-wq-recht-sachen</x:v>
      </x:c>
      <x:c r="G728" s="5" t="str">
        <x:v>BGB Sachenrecht</x:v>
      </x:c>
      <x:c r="H728" s="5" t="str">
        <x:v>tr-wq-r08</x:v>
      </x:c>
      <x:c r="I728" s="5" t="str">
        <x:v>3.1.3.1</x:v>
      </x:c>
      <x:c r="J728" s="5" t="str">
        <x:v>Besitz und Eigentumsübertragung</x:v>
      </x:c>
      <x:c r="K728" s="5" t="str"/>
      <x:c r="L728" s="5" t="str">
        <x:v>Sachenrecht, Kreditsicherheiten &amp; Insolvenz</x:v>
      </x:c>
      <x:c r="M728" s="5" t="n">
        <x:v>29</x:v>
      </x:c>
      <x:c r="N728" s="5" t="n">
        <x:v>22</x:v>
      </x:c>
      <x:c r="O728" s="5" t="str"/>
      <x:c r="P728" s="5" t="str">
        <x:v>Pilot freigegeben</x:v>
      </x:c>
      <x:c r="Q728" s="5" t="str">
        <x:v>Revision 2 unverändert übernommen</x:v>
      </x:c>
      <x:c r="R728" s="5" t="str">
        <x:v>Unter welchen Voraussetzungen ist ein gutgläubiger Erwerb möglich?</x:v>
      </x:c>
      <x:c r="S728" s="5" t="str">
        <x:v>0560d7f027330f9e1bf052d1486954c4f5fbbf3a1bc80186b50692555c9360e4</x:v>
      </x:c>
    </x:row>
    <x:row r="729" ht="36" customHeight="1">
      <x:c r="A729" s="5" t="str">
        <x:v>R-0325</x:v>
      </x:c>
      <x:c r="B729" s="5" t="str">
        <x:v>WQ</x:v>
      </x:c>
      <x:c r="C729" s="5" t="str">
        <x:v>3</x:v>
      </x:c>
      <x:c r="D729" s="5" t="str">
        <x:v>Recht und Steuern</x:v>
      </x:c>
      <x:c r="E729" s="5" t="str">
        <x:v>Recht</x:v>
      </x:c>
      <x:c r="F729" s="5" t="str">
        <x:v>ui-wq-recht-sachen</x:v>
      </x:c>
      <x:c r="G729" s="5" t="str">
        <x:v>BGB Sachenrecht</x:v>
      </x:c>
      <x:c r="H729" s="5" t="str">
        <x:v>tr-wq-r08</x:v>
      </x:c>
      <x:c r="I729" s="5" t="str">
        <x:v>3.1.3.1</x:v>
      </x:c>
      <x:c r="J729" s="5" t="str">
        <x:v>Besitz und Eigentumsübertragung</x:v>
      </x:c>
      <x:c r="K729" s="5" t="str"/>
      <x:c r="L729" s="5" t="str">
        <x:v>Sachenrecht, Kreditsicherheiten &amp; Insolvenz</x:v>
      </x:c>
      <x:c r="M729" s="5" t="n">
        <x:v>30</x:v>
      </x:c>
      <x:c r="N729" s="5" t="n">
        <x:v>23</x:v>
      </x:c>
      <x:c r="O729" s="5" t="str"/>
      <x:c r="P729" s="5" t="str">
        <x:v>Pilot freigegeben</x:v>
      </x:c>
      <x:c r="Q729" s="5" t="str">
        <x:v>Revision 2 unverändert übernommen</x:v>
      </x:c>
      <x:c r="R729" s="5" t="str">
        <x:v>Ein Baumarkt ist Eigentümer eines Grills, der ihm gestohlen wird. Der Dieb verkauft und übergibt den Grill an den gutgläubigen N. Kann N Eigentum an dem gestohlenen Grill erwerben?</x:v>
      </x:c>
      <x:c r="S729" s="5" t="str">
        <x:v>bf9c12121ba7c55b1b4f9b8540c8e227ee0c6fbaa176b80076fe1884aa967046</x:v>
      </x:c>
    </x:row>
    <x:row r="730" ht="36" customHeight="1">
      <x:c r="A730" s="5" t="str">
        <x:v>R-0326</x:v>
      </x:c>
      <x:c r="B730" s="5" t="str">
        <x:v>WQ</x:v>
      </x:c>
      <x:c r="C730" s="5" t="str">
        <x:v>3</x:v>
      </x:c>
      <x:c r="D730" s="5" t="str">
        <x:v>Recht und Steuern</x:v>
      </x:c>
      <x:c r="E730" s="5" t="str">
        <x:v>Recht</x:v>
      </x:c>
      <x:c r="F730" s="5" t="str">
        <x:v>ui-wq-recht-sachen</x:v>
      </x:c>
      <x:c r="G730" s="5" t="str">
        <x:v>BGB Sachenrecht</x:v>
      </x:c>
      <x:c r="H730" s="5" t="str">
        <x:v>tr-wq-r08</x:v>
      </x:c>
      <x:c r="I730" s="5" t="str">
        <x:v>3.1.3.1</x:v>
      </x:c>
      <x:c r="J730" s="5" t="str">
        <x:v>Besitz und Eigentumsübertragung</x:v>
      </x:c>
      <x:c r="K730" s="5" t="str"/>
      <x:c r="L730" s="5" t="str">
        <x:v>Sachenrecht, Kreditsicherheiten &amp; Insolvenz</x:v>
      </x:c>
      <x:c r="M730" s="5" t="n">
        <x:v>31</x:v>
      </x:c>
      <x:c r="N730" s="5" t="n">
        <x:v>24</x:v>
      </x:c>
      <x:c r="O730" s="5" t="str"/>
      <x:c r="P730" s="5" t="str">
        <x:v>Pilot freigegeben</x:v>
      </x:c>
      <x:c r="Q730" s="5" t="str">
        <x:v>Revision 2 unverändert übernommen</x:v>
      </x:c>
      <x:c r="R730" s="5" t="str">
        <x:v>Ein Baumarkt ist Eigentümer eines Grills, der ihm gestohlen wurde. Der Dieb verkauft und übergibt den Grill an den gutgläubigen N. N kann wegen § 935 BGB kein Eigentum erwerben. Hat der Baumarkt gegen N einen Herausgabeanspruch nach § 985 BGB?</x:v>
      </x:c>
      <x:c r="S730" s="5" t="str">
        <x:v>a0f93bd0727d6beb3b5e24e9a7d948f568fa5055c75cd5933ed1db7d58440d28</x:v>
      </x:c>
    </x:row>
    <x:row r="731" ht="36" customHeight="1">
      <x:c r="A731" s="5" t="str">
        <x:v>R-0327</x:v>
      </x:c>
      <x:c r="B731" s="5" t="str">
        <x:v>WQ</x:v>
      </x:c>
      <x:c r="C731" s="5" t="str">
        <x:v>3</x:v>
      </x:c>
      <x:c r="D731" s="5" t="str">
        <x:v>Recht und Steuern</x:v>
      </x:c>
      <x:c r="E731" s="5" t="str">
        <x:v>Recht</x:v>
      </x:c>
      <x:c r="F731" s="5" t="str">
        <x:v>ui-wq-recht-sachen</x:v>
      </x:c>
      <x:c r="G731" s="5" t="str">
        <x:v>BGB Sachenrecht</x:v>
      </x:c>
      <x:c r="H731" s="5" t="str">
        <x:v>tr-wq-r09</x:v>
      </x:c>
      <x:c r="I731" s="5" t="str">
        <x:v>3.1.3.2</x:v>
      </x:c>
      <x:c r="J731" s="5" t="str">
        <x:v>Sicherheiten für Forderungen</x:v>
      </x:c>
      <x:c r="K731" s="5" t="str"/>
      <x:c r="L731" s="5" t="str">
        <x:v>Sachenrecht, Kreditsicherheiten &amp; Insolvenz</x:v>
      </x:c>
      <x:c r="M731" s="5" t="n">
        <x:v>32</x:v>
      </x:c>
      <x:c r="N731" s="5" t="n">
        <x:v>8</x:v>
      </x:c>
      <x:c r="O731" s="5" t="str"/>
      <x:c r="P731" s="5" t="str">
        <x:v>Pilot freigegeben</x:v>
      </x:c>
      <x:c r="Q731" s="5" t="str">
        <x:v>Revision 2 unverändert übernommen</x:v>
      </x:c>
      <x:c r="R731" s="5" t="str">
        <x:v>Welche zwei Arten von Kreditsicherheiten werden nach dem Sicherungsgegenstand unterschieden?</x:v>
      </x:c>
      <x:c r="S731" s="5" t="str">
        <x:v>1b29f1a38f53ac9e8f1a2a6da72ae18f910279ac625604e8f0a7ec03b73f5492</x:v>
      </x:c>
    </x:row>
    <x:row r="732" ht="36" customHeight="1">
      <x:c r="A732" s="5" t="str">
        <x:v>R-0328</x:v>
      </x:c>
      <x:c r="B732" s="5" t="str">
        <x:v>WQ</x:v>
      </x:c>
      <x:c r="C732" s="5" t="str">
        <x:v>3</x:v>
      </x:c>
      <x:c r="D732" s="5" t="str">
        <x:v>Recht und Steuern</x:v>
      </x:c>
      <x:c r="E732" s="5" t="str">
        <x:v>Recht</x:v>
      </x:c>
      <x:c r="F732" s="5" t="str">
        <x:v>ui-wq-recht-sachen</x:v>
      </x:c>
      <x:c r="G732" s="5" t="str">
        <x:v>BGB Sachenrecht</x:v>
      </x:c>
      <x:c r="H732" s="5" t="str">
        <x:v>tr-wq-r09</x:v>
      </x:c>
      <x:c r="I732" s="5" t="str">
        <x:v>3.1.3.2</x:v>
      </x:c>
      <x:c r="J732" s="5" t="str">
        <x:v>Sicherheiten für Forderungen</x:v>
      </x:c>
      <x:c r="K732" s="5" t="str"/>
      <x:c r="L732" s="5" t="str">
        <x:v>Sachenrecht, Kreditsicherheiten &amp; Insolvenz</x:v>
      </x:c>
      <x:c r="M732" s="5" t="n">
        <x:v>33</x:v>
      </x:c>
      <x:c r="N732" s="5" t="n">
        <x:v>9</x:v>
      </x:c>
      <x:c r="O732" s="5" t="str"/>
      <x:c r="P732" s="5" t="str">
        <x:v>Pilot freigegeben</x:v>
      </x:c>
      <x:c r="Q732" s="5" t="str">
        <x:v>Revision 2 unverändert übernommen</x:v>
      </x:c>
      <x:c r="R732" s="5" t="str">
        <x:v>Nennen Sie drei Beispiele für Personensicherheiten.</x:v>
      </x:c>
      <x:c r="S732" s="5" t="str">
        <x:v>a040c8abe7e8bde99ebbc58ca0abd3c21dff3e1ecb79ad789b3c7de4d912dbec</x:v>
      </x:c>
    </x:row>
    <x:row r="733" ht="36" customHeight="1">
      <x:c r="A733" s="5" t="str">
        <x:v>R-0329</x:v>
      </x:c>
      <x:c r="B733" s="5" t="str">
        <x:v>WQ</x:v>
      </x:c>
      <x:c r="C733" s="5" t="str">
        <x:v>3</x:v>
      </x:c>
      <x:c r="D733" s="5" t="str">
        <x:v>Recht und Steuern</x:v>
      </x:c>
      <x:c r="E733" s="5" t="str">
        <x:v>Recht</x:v>
      </x:c>
      <x:c r="F733" s="5" t="str">
        <x:v>ui-wq-recht-sachen</x:v>
      </x:c>
      <x:c r="G733" s="5" t="str">
        <x:v>BGB Sachenrecht</x:v>
      </x:c>
      <x:c r="H733" s="5" t="str">
        <x:v>tr-wq-r09</x:v>
      </x:c>
      <x:c r="I733" s="5" t="str">
        <x:v>3.1.3.2</x:v>
      </x:c>
      <x:c r="J733" s="5" t="str">
        <x:v>Sicherheiten für Forderungen</x:v>
      </x:c>
      <x:c r="K733" s="5" t="str"/>
      <x:c r="L733" s="5" t="str">
        <x:v>Sachenrecht, Kreditsicherheiten &amp; Insolvenz</x:v>
      </x:c>
      <x:c r="M733" s="5" t="n">
        <x:v>34</x:v>
      </x:c>
      <x:c r="N733" s="5" t="n">
        <x:v>10</x:v>
      </x:c>
      <x:c r="O733" s="5" t="str"/>
      <x:c r="P733" s="5" t="str">
        <x:v>Pilot freigegeben</x:v>
      </x:c>
      <x:c r="Q733" s="5" t="str">
        <x:v>Revision 2 unverändert übernommen</x:v>
      </x:c>
      <x:c r="R733" s="5" t="str">
        <x:v>Nennen Sie drei Beispiele für Sachsicherheiten.</x:v>
      </x:c>
      <x:c r="S733" s="5" t="str">
        <x:v>df675e8fdac2757d0993020630b71028768db07e91af3c197f2eab78635d877c</x:v>
      </x:c>
    </x:row>
    <x:row r="734" ht="36" customHeight="1">
      <x:c r="A734" s="5" t="str">
        <x:v>R-0330</x:v>
      </x:c>
      <x:c r="B734" s="5" t="str">
        <x:v>WQ</x:v>
      </x:c>
      <x:c r="C734" s="5" t="str">
        <x:v>3</x:v>
      </x:c>
      <x:c r="D734" s="5" t="str">
        <x:v>Recht und Steuern</x:v>
      </x:c>
      <x:c r="E734" s="5" t="str">
        <x:v>Recht</x:v>
      </x:c>
      <x:c r="F734" s="5" t="str">
        <x:v>ui-wq-recht-sachen</x:v>
      </x:c>
      <x:c r="G734" s="5" t="str">
        <x:v>BGB Sachenrecht</x:v>
      </x:c>
      <x:c r="H734" s="5" t="str">
        <x:v>tr-wq-r09</x:v>
      </x:c>
      <x:c r="I734" s="5" t="str">
        <x:v>3.1.3.2</x:v>
      </x:c>
      <x:c r="J734" s="5" t="str">
        <x:v>Sicherheiten für Forderungen</x:v>
      </x:c>
      <x:c r="K734" s="5" t="str"/>
      <x:c r="L734" s="5" t="str">
        <x:v>Sachenrecht, Kreditsicherheiten &amp; Insolvenz</x:v>
      </x:c>
      <x:c r="M734" s="5" t="n">
        <x:v>35</x:v>
      </x:c>
      <x:c r="N734" s="5" t="n">
        <x:v>11</x:v>
      </x:c>
      <x:c r="O734" s="5" t="str"/>
      <x:c r="P734" s="5" t="str">
        <x:v>Pilot freigegeben</x:v>
      </x:c>
      <x:c r="Q734" s="5" t="str">
        <x:v>Revision 2 unverändert übernommen</x:v>
      </x:c>
      <x:c r="R734" s="5" t="str">
        <x:v>Was bedeutet akzessorische Sicherheit?</x:v>
      </x:c>
      <x:c r="S734" s="5" t="str">
        <x:v>888fd359cf88a14f03eedffe4a71646204e2e26744da2108a777441e53f13835</x:v>
      </x:c>
    </x:row>
    <x:row r="735" ht="36" customHeight="1">
      <x:c r="A735" s="5" t="str">
        <x:v>R-0331</x:v>
      </x:c>
      <x:c r="B735" s="5" t="str">
        <x:v>WQ</x:v>
      </x:c>
      <x:c r="C735" s="5" t="str">
        <x:v>3</x:v>
      </x:c>
      <x:c r="D735" s="5" t="str">
        <x:v>Recht und Steuern</x:v>
      </x:c>
      <x:c r="E735" s="5" t="str">
        <x:v>Recht</x:v>
      </x:c>
      <x:c r="F735" s="5" t="str">
        <x:v>ui-wq-recht-sachen</x:v>
      </x:c>
      <x:c r="G735" s="5" t="str">
        <x:v>BGB Sachenrecht</x:v>
      </x:c>
      <x:c r="H735" s="5" t="str">
        <x:v>tr-wq-r09</x:v>
      </x:c>
      <x:c r="I735" s="5" t="str">
        <x:v>3.1.3.2</x:v>
      </x:c>
      <x:c r="J735" s="5" t="str">
        <x:v>Sicherheiten für Forderungen</x:v>
      </x:c>
      <x:c r="K735" s="5" t="str"/>
      <x:c r="L735" s="5" t="str">
        <x:v>Sachenrecht, Kreditsicherheiten &amp; Insolvenz</x:v>
      </x:c>
      <x:c r="M735" s="5" t="n">
        <x:v>36</x:v>
      </x:c>
      <x:c r="N735" s="5" t="n">
        <x:v>12</x:v>
      </x:c>
      <x:c r="O735" s="5" t="str"/>
      <x:c r="P735" s="5" t="str">
        <x:v>Pilot freigegeben</x:v>
      </x:c>
      <x:c r="Q735" s="5" t="str">
        <x:v>Revision 2 unverändert übernommen</x:v>
      </x:c>
      <x:c r="R735" s="5" t="str">
        <x:v>Nennen Sie Beispiele für akzessorische Sicherheiten.</x:v>
      </x:c>
      <x:c r="S735" s="5" t="str">
        <x:v>8f93905cab9c3a22e964db47a1594ba101d4e0c0f9b3e5f32fd889003aebc9b6</x:v>
      </x:c>
    </x:row>
    <x:row r="736" ht="36" customHeight="1">
      <x:c r="A736" s="5" t="str">
        <x:v>R-0332</x:v>
      </x:c>
      <x:c r="B736" s="5" t="str">
        <x:v>WQ</x:v>
      </x:c>
      <x:c r="C736" s="5" t="str">
        <x:v>3</x:v>
      </x:c>
      <x:c r="D736" s="5" t="str">
        <x:v>Recht und Steuern</x:v>
      </x:c>
      <x:c r="E736" s="5" t="str">
        <x:v>Recht</x:v>
      </x:c>
      <x:c r="F736" s="5" t="str">
        <x:v>ui-wq-recht-sachen</x:v>
      </x:c>
      <x:c r="G736" s="5" t="str">
        <x:v>BGB Sachenrecht</x:v>
      </x:c>
      <x:c r="H736" s="5" t="str">
        <x:v>tr-wq-r09</x:v>
      </x:c>
      <x:c r="I736" s="5" t="str">
        <x:v>3.1.3.2</x:v>
      </x:c>
      <x:c r="J736" s="5" t="str">
        <x:v>Sicherheiten für Forderungen</x:v>
      </x:c>
      <x:c r="K736" s="5" t="str"/>
      <x:c r="L736" s="5" t="str">
        <x:v>Sachenrecht, Kreditsicherheiten &amp; Insolvenz</x:v>
      </x:c>
      <x:c r="M736" s="5" t="n">
        <x:v>37</x:v>
      </x:c>
      <x:c r="N736" s="5" t="n">
        <x:v>13</x:v>
      </x:c>
      <x:c r="O736" s="5" t="str"/>
      <x:c r="P736" s="5" t="str">
        <x:v>Pilot freigegeben</x:v>
      </x:c>
      <x:c r="Q736" s="5" t="str">
        <x:v>Revision 2 unverändert übernommen</x:v>
      </x:c>
      <x:c r="R736" s="5" t="str">
        <x:v>Nennen Sie Beispiele für nicht akzessorische Sicherheiten.</x:v>
      </x:c>
      <x:c r="S736" s="5" t="str">
        <x:v>3e59e9b3f8de9945aaea6e62a8dd3cb9398fc818c7cad54b407683e598a8c525</x:v>
      </x:c>
    </x:row>
    <x:row r="737" ht="36" customHeight="1">
      <x:c r="A737" s="5" t="str">
        <x:v>R-0333</x:v>
      </x:c>
      <x:c r="B737" s="5" t="str">
        <x:v>WQ</x:v>
      </x:c>
      <x:c r="C737" s="5" t="str">
        <x:v>3</x:v>
      </x:c>
      <x:c r="D737" s="5" t="str">
        <x:v>Recht und Steuern</x:v>
      </x:c>
      <x:c r="E737" s="5" t="str">
        <x:v>Recht</x:v>
      </x:c>
      <x:c r="F737" s="5" t="str">
        <x:v>ui-wq-recht-sachen</x:v>
      </x:c>
      <x:c r="G737" s="5" t="str">
        <x:v>BGB Sachenrecht</x:v>
      </x:c>
      <x:c r="H737" s="5" t="str">
        <x:v>tr-wq-r09</x:v>
      </x:c>
      <x:c r="I737" s="5" t="str">
        <x:v>3.1.3.2</x:v>
      </x:c>
      <x:c r="J737" s="5" t="str">
        <x:v>Sicherheiten für Forderungen</x:v>
      </x:c>
      <x:c r="K737" s="5" t="str"/>
      <x:c r="L737" s="5" t="str">
        <x:v>Sachenrecht, Kreditsicherheiten &amp; Insolvenz</x:v>
      </x:c>
      <x:c r="M737" s="5" t="n">
        <x:v>38</x:v>
      </x:c>
      <x:c r="N737" s="5" t="n">
        <x:v>14</x:v>
      </x:c>
      <x:c r="O737" s="5" t="str"/>
      <x:c r="P737" s="5" t="str">
        <x:v>Pilot freigegeben</x:v>
      </x:c>
      <x:c r="Q737" s="5" t="str">
        <x:v>Revision 2 unverändert übernommen</x:v>
      </x:c>
      <x:c r="R737" s="5" t="str">
        <x:v>Was besagt der Grundsatz der Akzessorietät bei der Bürgschaft?</x:v>
      </x:c>
      <x:c r="S737" s="5" t="str">
        <x:v>5cef869aef84defc557c2df1064e99b44d2eefb9f5a24e18e3adaec0b0dcd3df</x:v>
      </x:c>
    </x:row>
    <x:row r="738" ht="36" customHeight="1">
      <x:c r="A738" s="5" t="str">
        <x:v>R-0334</x:v>
      </x:c>
      <x:c r="B738" s="5" t="str">
        <x:v>WQ</x:v>
      </x:c>
      <x:c r="C738" s="5" t="str">
        <x:v>3</x:v>
      </x:c>
      <x:c r="D738" s="5" t="str">
        <x:v>Recht und Steuern</x:v>
      </x:c>
      <x:c r="E738" s="5" t="str">
        <x:v>Recht</x:v>
      </x:c>
      <x:c r="F738" s="5" t="str">
        <x:v>ui-wq-recht-sachen</x:v>
      </x:c>
      <x:c r="G738" s="5" t="str">
        <x:v>BGB Sachenrecht</x:v>
      </x:c>
      <x:c r="H738" s="5" t="str">
        <x:v>tr-wq-r09</x:v>
      </x:c>
      <x:c r="I738" s="5" t="str">
        <x:v>3.1.3.2</x:v>
      </x:c>
      <x:c r="J738" s="5" t="str">
        <x:v>Sicherheiten für Forderungen</x:v>
      </x:c>
      <x:c r="K738" s="5" t="str"/>
      <x:c r="L738" s="5" t="str">
        <x:v>Sachenrecht, Kreditsicherheiten &amp; Insolvenz</x:v>
      </x:c>
      <x:c r="M738" s="5" t="n">
        <x:v>39</x:v>
      </x:c>
      <x:c r="N738" s="5" t="n">
        <x:v>15</x:v>
      </x:c>
      <x:c r="O738" s="5" t="str"/>
      <x:c r="P738" s="5" t="str">
        <x:v>Pilot freigegeben</x:v>
      </x:c>
      <x:c r="Q738" s="5" t="str">
        <x:v>Revision 2 unverändert übernommen</x:v>
      </x:c>
      <x:c r="R738" s="5" t="str">
        <x:v>Was geschieht mit der Forderung gegen den Schuldner, wenn der Bürge zahlt?</x:v>
      </x:c>
      <x:c r="S738" s="5" t="str">
        <x:v>80518567652f3670077251dbb0f77b5301c075e926bbe6c8213dc23699c40eeb</x:v>
      </x:c>
    </x:row>
    <x:row r="739" ht="36" customHeight="1">
      <x:c r="A739" s="5" t="str">
        <x:v>R-0335</x:v>
      </x:c>
      <x:c r="B739" s="5" t="str">
        <x:v>WQ</x:v>
      </x:c>
      <x:c r="C739" s="5" t="str">
        <x:v>3</x:v>
      </x:c>
      <x:c r="D739" s="5" t="str">
        <x:v>Recht und Steuern</x:v>
      </x:c>
      <x:c r="E739" s="5" t="str">
        <x:v>Recht</x:v>
      </x:c>
      <x:c r="F739" s="5" t="str">
        <x:v>ui-wq-recht-sachen</x:v>
      </x:c>
      <x:c r="G739" s="5" t="str">
        <x:v>BGB Sachenrecht</x:v>
      </x:c>
      <x:c r="H739" s="5" t="str">
        <x:v>tr-wq-r09</x:v>
      </x:c>
      <x:c r="I739" s="5" t="str">
        <x:v>3.1.3.2</x:v>
      </x:c>
      <x:c r="J739" s="5" t="str">
        <x:v>Sicherheiten für Forderungen</x:v>
      </x:c>
      <x:c r="K739" s="5" t="str"/>
      <x:c r="L739" s="5" t="str">
        <x:v>Sachenrecht, Kreditsicherheiten &amp; Insolvenz</x:v>
      </x:c>
      <x:c r="M739" s="5" t="n">
        <x:v>40</x:v>
      </x:c>
      <x:c r="N739" s="5" t="n">
        <x:v>16</x:v>
      </x:c>
      <x:c r="O739" s="5" t="str"/>
      <x:c r="P739" s="5" t="str">
        <x:v>Pilot freigegeben</x:v>
      </x:c>
      <x:c r="Q739" s="5" t="str">
        <x:v>Revision 2 unverändert übernommen</x:v>
      </x:c>
      <x:c r="R739" s="5" t="str">
        <x:v>Was bedeutet selbstschuldnerische Bürgschaft?</x:v>
      </x:c>
      <x:c r="S739" s="5" t="str">
        <x:v>d602a082e344587ca0fc309b7e4c3908b2d546cd6c47ab3f3fd110a9394d0390</x:v>
      </x:c>
    </x:row>
    <x:row r="740" ht="36" customHeight="1">
      <x:c r="A740" s="5" t="str">
        <x:v>R-0336</x:v>
      </x:c>
      <x:c r="B740" s="5" t="str">
        <x:v>WQ</x:v>
      </x:c>
      <x:c r="C740" s="5" t="str">
        <x:v>3</x:v>
      </x:c>
      <x:c r="D740" s="5" t="str">
        <x:v>Recht und Steuern</x:v>
      </x:c>
      <x:c r="E740" s="5" t="str">
        <x:v>Recht</x:v>
      </x:c>
      <x:c r="F740" s="5" t="str">
        <x:v>ui-wq-recht-sachen</x:v>
      </x:c>
      <x:c r="G740" s="5" t="str">
        <x:v>BGB Sachenrecht</x:v>
      </x:c>
      <x:c r="H740" s="5" t="str">
        <x:v>tr-wq-r09</x:v>
      </x:c>
      <x:c r="I740" s="5" t="str">
        <x:v>3.1.3.2</x:v>
      </x:c>
      <x:c r="J740" s="5" t="str">
        <x:v>Sicherheiten für Forderungen</x:v>
      </x:c>
      <x:c r="K740" s="5" t="str"/>
      <x:c r="L740" s="5" t="str">
        <x:v>Sachenrecht, Kreditsicherheiten &amp; Insolvenz</x:v>
      </x:c>
      <x:c r="M740" s="5" t="n">
        <x:v>41</x:v>
      </x:c>
      <x:c r="N740" s="5" t="n">
        <x:v>17</x:v>
      </x:c>
      <x:c r="O740" s="5" t="str"/>
      <x:c r="P740" s="5" t="str">
        <x:v>Pilot freigegeben</x:v>
      </x:c>
      <x:c r="Q740" s="5" t="str">
        <x:v>Revision 2 unverändert übernommen</x:v>
      </x:c>
      <x:c r="R740" s="5" t="str">
        <x:v>Eine Werkstatt repariert das Fahrzeug eines Kunden. Die Reparaturrechnung ist fällig und noch nicht bezahlt; das Fahrzeug befindet sich weiterhin bei der Werkstatt. Warum darf die Werkstatt das Fahrzeug zur Sicherung ihrer Forderung zurückbehalten?</x:v>
      </x:c>
      <x:c r="S740" s="5" t="str">
        <x:v>f39c306932af55de2b16107f0782b278a0011d8979f60435776198ba3766cc26</x:v>
      </x:c>
    </x:row>
    <x:row r="741" ht="36" customHeight="1">
      <x:c r="A741" s="5" t="str">
        <x:v>R-0337</x:v>
      </x:c>
      <x:c r="B741" s="5" t="str">
        <x:v>WQ</x:v>
      </x:c>
      <x:c r="C741" s="5" t="str">
        <x:v>3</x:v>
      </x:c>
      <x:c r="D741" s="5" t="str">
        <x:v>Recht und Steuern</x:v>
      </x:c>
      <x:c r="E741" s="5" t="str">
        <x:v>Recht</x:v>
      </x:c>
      <x:c r="F741" s="5" t="str">
        <x:v>ui-wq-recht-sachen</x:v>
      </x:c>
      <x:c r="G741" s="5" t="str">
        <x:v>BGB Sachenrecht</x:v>
      </x:c>
      <x:c r="H741" s="5" t="str">
        <x:v>tr-wq-r09</x:v>
      </x:c>
      <x:c r="I741" s="5" t="str">
        <x:v>3.1.3.2</x:v>
      </x:c>
      <x:c r="J741" s="5" t="str">
        <x:v>Sicherheiten für Forderungen</x:v>
      </x:c>
      <x:c r="K741" s="5" t="str"/>
      <x:c r="L741" s="5" t="str">
        <x:v>Sachenrecht, Kreditsicherheiten &amp; Insolvenz</x:v>
      </x:c>
      <x:c r="M741" s="5" t="n">
        <x:v>42</x:v>
      </x:c>
      <x:c r="N741" s="5" t="n">
        <x:v>18</x:v>
      </x:c>
      <x:c r="O741" s="5" t="str"/>
      <x:c r="P741" s="5" t="str">
        <x:v>Pilot freigegeben</x:v>
      </x:c>
      <x:c r="Q741" s="5" t="str">
        <x:v>Revision 2 unverändert übernommen</x:v>
      </x:c>
      <x:c r="R741" s="5" t="str">
        <x:v>Welche Art von Pfandrecht ist das Werkunternehmerpfandrecht nach § 647 BGB?</x:v>
      </x:c>
      <x:c r="S741" s="5" t="str">
        <x:v>a2865a80c7ca8cf377f7a4b55f3100483f9aa76f8611803c9d9b477b8d77c015</x:v>
      </x:c>
    </x:row>
    <x:row r="742" ht="36" customHeight="1">
      <x:c r="A742" s="5" t="str">
        <x:v>R-0338</x:v>
      </x:c>
      <x:c r="B742" s="5" t="str">
        <x:v>WQ</x:v>
      </x:c>
      <x:c r="C742" s="5" t="str">
        <x:v>3</x:v>
      </x:c>
      <x:c r="D742" s="5" t="str">
        <x:v>Recht und Steuern</x:v>
      </x:c>
      <x:c r="E742" s="5" t="str">
        <x:v>Recht</x:v>
      </x:c>
      <x:c r="F742" s="5" t="str">
        <x:v>ui-wq-recht-sachen</x:v>
      </x:c>
      <x:c r="G742" s="5" t="str">
        <x:v>BGB Sachenrecht</x:v>
      </x:c>
      <x:c r="H742" s="5" t="str">
        <x:v>tr-wq-r09</x:v>
      </x:c>
      <x:c r="I742" s="5" t="str">
        <x:v>3.1.3.2</x:v>
      </x:c>
      <x:c r="J742" s="5" t="str">
        <x:v>Sicherheiten für Forderungen</x:v>
      </x:c>
      <x:c r="K742" s="5" t="str"/>
      <x:c r="L742" s="5" t="str">
        <x:v>Sachenrecht, Kreditsicherheiten &amp; Insolvenz</x:v>
      </x:c>
      <x:c r="M742" s="5" t="n">
        <x:v>43</x:v>
      </x:c>
      <x:c r="N742" s="5" t="n">
        <x:v>19</x:v>
      </x:c>
      <x:c r="O742" s="5" t="str"/>
      <x:c r="P742" s="5" t="str">
        <x:v>Pilot freigegeben</x:v>
      </x:c>
      <x:c r="Q742" s="5" t="str">
        <x:v>Revision 2 unverändert übernommen</x:v>
      </x:c>
      <x:c r="R742" s="5" t="str">
        <x:v>Nennen Sie ein Beispiel für ein vertragliches Pfandrecht.</x:v>
      </x:c>
      <x:c r="S742" s="5" t="str">
        <x:v>64a1f9bb62270c3650c5a3e8047e535a475573b6f8bca7931474bb5843a97f8a</x:v>
      </x:c>
    </x:row>
    <x:row r="743" ht="36" customHeight="1">
      <x:c r="A743" s="5" t="str">
        <x:v>R-0339</x:v>
      </x:c>
      <x:c r="B743" s="5" t="str">
        <x:v>WQ</x:v>
      </x:c>
      <x:c r="C743" s="5" t="str">
        <x:v>3</x:v>
      </x:c>
      <x:c r="D743" s="5" t="str">
        <x:v>Recht und Steuern</x:v>
      </x:c>
      <x:c r="E743" s="5" t="str">
        <x:v>Recht</x:v>
      </x:c>
      <x:c r="F743" s="5" t="str">
        <x:v>ui-wq-recht-sachen</x:v>
      </x:c>
      <x:c r="G743" s="5" t="str">
        <x:v>BGB Sachenrecht</x:v>
      </x:c>
      <x:c r="H743" s="5" t="str">
        <x:v>tr-wq-r09</x:v>
      </x:c>
      <x:c r="I743" s="5" t="str">
        <x:v>3.1.3.2</x:v>
      </x:c>
      <x:c r="J743" s="5" t="str">
        <x:v>Sicherheiten für Forderungen</x:v>
      </x:c>
      <x:c r="K743" s="5" t="str"/>
      <x:c r="L743" s="5" t="str">
        <x:v>Sachenrecht, Kreditsicherheiten &amp; Insolvenz</x:v>
      </x:c>
      <x:c r="M743" s="5" t="n">
        <x:v>44</x:v>
      </x:c>
      <x:c r="N743" s="5" t="n">
        <x:v>20</x:v>
      </x:c>
      <x:c r="O743" s="5" t="str"/>
      <x:c r="P743" s="5" t="str">
        <x:v>Pilot freigegeben</x:v>
      </x:c>
      <x:c r="Q743" s="5" t="str">
        <x:v>Revision 2 unverändert übernommen</x:v>
      </x:c>
      <x:c r="R743" s="5" t="str">
        <x:v>Wie entsteht ein Pfändungspfandrecht und in welchem Zusammenhang steht es mit der Zwangsvollstreckung?</x:v>
      </x:c>
      <x:c r="S743" s="5" t="str">
        <x:v>1c947b7ddf6eb64cf90f20d95babe7549ba8a651e8774f1f3d09e0544e15587b</x:v>
      </x:c>
    </x:row>
    <x:row r="744" ht="36" customHeight="1">
      <x:c r="A744" s="5" t="str">
        <x:v>R-0340</x:v>
      </x:c>
      <x:c r="B744" s="5" t="str">
        <x:v>WQ</x:v>
      </x:c>
      <x:c r="C744" s="5" t="str">
        <x:v>3</x:v>
      </x:c>
      <x:c r="D744" s="5" t="str">
        <x:v>Recht und Steuern</x:v>
      </x:c>
      <x:c r="E744" s="5" t="str">
        <x:v>Recht</x:v>
      </x:c>
      <x:c r="F744" s="5" t="str">
        <x:v>ui-wq-recht-sachen</x:v>
      </x:c>
      <x:c r="G744" s="5" t="str">
        <x:v>BGB Sachenrecht</x:v>
      </x:c>
      <x:c r="H744" s="5" t="str">
        <x:v>tr-wq-r09</x:v>
      </x:c>
      <x:c r="I744" s="5" t="str">
        <x:v>3.1.3.2</x:v>
      </x:c>
      <x:c r="J744" s="5" t="str">
        <x:v>Sicherheiten für Forderungen</x:v>
      </x:c>
      <x:c r="K744" s="5" t="str"/>
      <x:c r="L744" s="5" t="str">
        <x:v>Sachenrecht, Kreditsicherheiten &amp; Insolvenz</x:v>
      </x:c>
      <x:c r="M744" s="5" t="n">
        <x:v>45</x:v>
      </x:c>
      <x:c r="N744" s="5" t="n">
        <x:v>21</x:v>
      </x:c>
      <x:c r="O744" s="5" t="str"/>
      <x:c r="P744" s="5" t="str">
        <x:v>Pilot freigegeben</x:v>
      </x:c>
      <x:c r="Q744" s="5" t="str">
        <x:v>Revision 2 unverändert übernommen</x:v>
      </x:c>
      <x:c r="R744" s="5" t="str">
        <x:v>Was versteht man unter einer Sicherungsübereignung?</x:v>
      </x:c>
      <x:c r="S744" s="5" t="str">
        <x:v>ecb5d7f1efc6906a7a696575532a28bc0a8ef274f87ca100f654a6048bbf9f57</x:v>
      </x:c>
    </x:row>
    <x:row r="745" ht="36" customHeight="1">
      <x:c r="A745" s="5" t="str">
        <x:v>R-0341</x:v>
      </x:c>
      <x:c r="B745" s="5" t="str">
        <x:v>WQ</x:v>
      </x:c>
      <x:c r="C745" s="5" t="str">
        <x:v>3</x:v>
      </x:c>
      <x:c r="D745" s="5" t="str">
        <x:v>Recht und Steuern</x:v>
      </x:c>
      <x:c r="E745" s="5" t="str">
        <x:v>Recht</x:v>
      </x:c>
      <x:c r="F745" s="5" t="str">
        <x:v>ui-wq-recht-sachen</x:v>
      </x:c>
      <x:c r="G745" s="5" t="str">
        <x:v>BGB Sachenrecht</x:v>
      </x:c>
      <x:c r="H745" s="5" t="str">
        <x:v>tr-wq-r09</x:v>
      </x:c>
      <x:c r="I745" s="5" t="str">
        <x:v>3.1.3.2</x:v>
      </x:c>
      <x:c r="J745" s="5" t="str">
        <x:v>Sicherheiten für Forderungen</x:v>
      </x:c>
      <x:c r="K745" s="5" t="str"/>
      <x:c r="L745" s="5" t="str">
        <x:v>Sachenrecht, Kreditsicherheiten &amp; Insolvenz</x:v>
      </x:c>
      <x:c r="M745" s="5" t="n">
        <x:v>46</x:v>
      </x:c>
      <x:c r="N745" s="5" t="n">
        <x:v>22</x:v>
      </x:c>
      <x:c r="O745" s="5" t="str"/>
      <x:c r="P745" s="5" t="str">
        <x:v>Pilot freigegeben</x:v>
      </x:c>
      <x:c r="Q745" s="5" t="str">
        <x:v>Revision 2 unverändert übernommen</x:v>
      </x:c>
      <x:c r="R745" s="5" t="str">
        <x:v>Nennen Sie drei weitere Sicherungsmittel neben der Sicherungsübereignung.</x:v>
      </x:c>
      <x:c r="S745" s="5" t="str">
        <x:v>0ca4391e028edf75753b112e34558be7810e947650835bc35d2931ba1c12bb4b</x:v>
      </x:c>
    </x:row>
    <x:row r="746" ht="36" customHeight="1">
      <x:c r="A746" s="5" t="str">
        <x:v>R-0342</x:v>
      </x:c>
      <x:c r="B746" s="5" t="str">
        <x:v>WQ</x:v>
      </x:c>
      <x:c r="C746" s="5" t="str">
        <x:v>3</x:v>
      </x:c>
      <x:c r="D746" s="5" t="str">
        <x:v>Recht und Steuern</x:v>
      </x:c>
      <x:c r="E746" s="5" t="str">
        <x:v>Recht</x:v>
      </x:c>
      <x:c r="F746" s="5" t="str">
        <x:v>ui-wq-recht-sachen</x:v>
      </x:c>
      <x:c r="G746" s="5" t="str">
        <x:v>BGB Sachenrecht</x:v>
      </x:c>
      <x:c r="H746" s="5" t="str">
        <x:v>tr-wq-r09</x:v>
      </x:c>
      <x:c r="I746" s="5" t="str">
        <x:v>3.1.3.2</x:v>
      </x:c>
      <x:c r="J746" s="5" t="str">
        <x:v>Sicherheiten für Forderungen</x:v>
      </x:c>
      <x:c r="K746" s="5" t="str"/>
      <x:c r="L746" s="5" t="str">
        <x:v>Sachenrecht, Kreditsicherheiten &amp; Insolvenz</x:v>
      </x:c>
      <x:c r="M746" s="5" t="n">
        <x:v>47</x:v>
      </x:c>
      <x:c r="N746" s="5" t="n">
        <x:v>23</x:v>
      </x:c>
      <x:c r="O746" s="5" t="str"/>
      <x:c r="P746" s="5" t="str">
        <x:v>Pilot freigegeben</x:v>
      </x:c>
      <x:c r="Q746" s="5" t="str">
        <x:v>Revision 2 unverändert übernommen</x:v>
      </x:c>
      <x:c r="R746" s="5" t="str">
        <x:v>Warum bevorzugen Banken häufig eine Hypothek als Sicherheit?</x:v>
      </x:c>
      <x:c r="S746" s="5" t="str">
        <x:v>44e8dcfc1fec9367a9f5dc5a0fa1f42387712cb939334126730902b7c5353e30</x:v>
      </x:c>
    </x:row>
    <x:row r="747" ht="36" customHeight="1">
      <x:c r="A747" s="5" t="str">
        <x:v>R-0343</x:v>
      </x:c>
      <x:c r="B747" s="5" t="str">
        <x:v>WQ</x:v>
      </x:c>
      <x:c r="C747" s="5" t="str">
        <x:v>3</x:v>
      </x:c>
      <x:c r="D747" s="5" t="str">
        <x:v>Recht und Steuern</x:v>
      </x:c>
      <x:c r="E747" s="5" t="str">
        <x:v>Recht</x:v>
      </x:c>
      <x:c r="F747" s="5" t="str">
        <x:v>ui-wq-recht-sachen</x:v>
      </x:c>
      <x:c r="G747" s="5" t="str">
        <x:v>BGB Sachenrecht</x:v>
      </x:c>
      <x:c r="H747" s="5" t="str">
        <x:v>tr-wq-r09</x:v>
      </x:c>
      <x:c r="I747" s="5" t="str">
        <x:v>3.1.3.2</x:v>
      </x:c>
      <x:c r="J747" s="5" t="str">
        <x:v>Sicherheiten für Forderungen</x:v>
      </x:c>
      <x:c r="K747" s="5" t="str"/>
      <x:c r="L747" s="5" t="str">
        <x:v>Sachenrecht, Kreditsicherheiten &amp; Insolvenz</x:v>
      </x:c>
      <x:c r="M747" s="5" t="n">
        <x:v>48</x:v>
      </x:c>
      <x:c r="N747" s="5" t="n">
        <x:v>24</x:v>
      </x:c>
      <x:c r="O747" s="5" t="str"/>
      <x:c r="P747" s="5" t="str">
        <x:v>Pilot freigegeben</x:v>
      </x:c>
      <x:c r="Q747" s="5" t="str">
        <x:v>Revision 2 unverändert übernommen</x:v>
      </x:c>
      <x:c r="R747" s="5" t="str">
        <x:v>Warum wird die Sicherungsübereignung oft dem vertraglichen Pfandrecht vorgezogen?</x:v>
      </x:c>
      <x:c r="S747" s="5" t="str">
        <x:v>21090afa18e707cefdd98bb4812245e0530c4679ba95384cc54c168bae34332f</x:v>
      </x:c>
    </x:row>
    <x:row r="748" ht="36" customHeight="1">
      <x:c r="A748" s="5" t="str">
        <x:v>R-0344</x:v>
      </x:c>
      <x:c r="B748" s="5" t="str">
        <x:v>WQ</x:v>
      </x:c>
      <x:c r="C748" s="5" t="str">
        <x:v>3</x:v>
      </x:c>
      <x:c r="D748" s="5" t="str">
        <x:v>Recht und Steuern</x:v>
      </x:c>
      <x:c r="E748" s="5" t="str">
        <x:v>Recht</x:v>
      </x:c>
      <x:c r="F748" s="5" t="str">
        <x:v>ui-wq-recht-sachen</x:v>
      </x:c>
      <x:c r="G748" s="5" t="str">
        <x:v>BGB Sachenrecht</x:v>
      </x:c>
      <x:c r="H748" s="5" t="str">
        <x:v>tr-wq-r09</x:v>
      </x:c>
      <x:c r="I748" s="5" t="str">
        <x:v>3.1.3.2</x:v>
      </x:c>
      <x:c r="J748" s="5" t="str">
        <x:v>Sicherheiten für Forderungen</x:v>
      </x:c>
      <x:c r="K748" s="5" t="str"/>
      <x:c r="L748" s="5" t="str">
        <x:v>Sachenrecht, Kreditsicherheiten &amp; Insolvenz</x:v>
      </x:c>
      <x:c r="M748" s="5" t="n">
        <x:v>49</x:v>
      </x:c>
      <x:c r="N748" s="5" t="n">
        <x:v>25</x:v>
      </x:c>
      <x:c r="O748" s="5" t="str"/>
      <x:c r="P748" s="5" t="str">
        <x:v>Pilot freigegeben</x:v>
      </x:c>
      <x:c r="Q748" s="5" t="str">
        <x:v>Revision 2 unverändert übernommen</x:v>
      </x:c>
      <x:c r="R748" s="5" t="str">
        <x:v>Was versteht man unter einer Sicherungsabtretung?</x:v>
      </x:c>
      <x:c r="S748" s="5" t="str">
        <x:v>208e0a3041c26072ebbf74fe69e816e62a69e925e62ce74f44f9bfe4b2e3cef3</x:v>
      </x:c>
    </x:row>
    <x:row r="749" ht="36" customHeight="1">
      <x:c r="A749" s="5" t="str">
        <x:v>R-0345</x:v>
      </x:c>
      <x:c r="B749" s="5" t="str">
        <x:v>WQ</x:v>
      </x:c>
      <x:c r="C749" s="5" t="str">
        <x:v>3</x:v>
      </x:c>
      <x:c r="D749" s="5" t="str">
        <x:v>Recht und Steuern</x:v>
      </x:c>
      <x:c r="E749" s="5" t="str">
        <x:v>Recht</x:v>
      </x:c>
      <x:c r="F749" s="5" t="str">
        <x:v>ui-wq-recht-sachen</x:v>
      </x:c>
      <x:c r="G749" s="5" t="str">
        <x:v>BGB Sachenrecht</x:v>
      </x:c>
      <x:c r="H749" s="5" t="str">
        <x:v>tr-wq-r09</x:v>
      </x:c>
      <x:c r="I749" s="5" t="str">
        <x:v>3.1.3.2</x:v>
      </x:c>
      <x:c r="J749" s="5" t="str">
        <x:v>Sicherheiten für Forderungen</x:v>
      </x:c>
      <x:c r="K749" s="5" t="str"/>
      <x:c r="L749" s="5" t="str">
        <x:v>Sachenrecht, Kreditsicherheiten &amp; Insolvenz</x:v>
      </x:c>
      <x:c r="M749" s="5" t="n">
        <x:v>50</x:v>
      </x:c>
      <x:c r="N749" s="5" t="n">
        <x:v>26</x:v>
      </x:c>
      <x:c r="O749" s="5" t="str"/>
      <x:c r="P749" s="5" t="str">
        <x:v>Pilot freigegeben</x:v>
      </x:c>
      <x:c r="Q749" s="5" t="str">
        <x:v>Revision 2 unverändert übernommen</x:v>
      </x:c>
      <x:c r="R749" s="5" t="str">
        <x:v>Wie heißen die Beteiligten bei einer Abtretung?</x:v>
      </x:c>
      <x:c r="S749" s="5" t="str">
        <x:v>b42a372a30d8bc3e3fa8b7eee6d3a9ec92257f61045f7c308c2904442dadaac0</x:v>
      </x:c>
    </x:row>
    <x:row r="750" ht="36" customHeight="1">
      <x:c r="A750" s="5" t="str">
        <x:v>R-0346</x:v>
      </x:c>
      <x:c r="B750" s="5" t="str">
        <x:v>WQ</x:v>
      </x:c>
      <x:c r="C750" s="5" t="str">
        <x:v>3</x:v>
      </x:c>
      <x:c r="D750" s="5" t="str">
        <x:v>Recht und Steuern</x:v>
      </x:c>
      <x:c r="E750" s="5" t="str">
        <x:v>Recht</x:v>
      </x:c>
      <x:c r="F750" s="5" t="str">
        <x:v>ui-wq-recht-sachen</x:v>
      </x:c>
      <x:c r="G750" s="5" t="str">
        <x:v>BGB Sachenrecht</x:v>
      </x:c>
      <x:c r="H750" s="5" t="str">
        <x:v>tr-wq-r09</x:v>
      </x:c>
      <x:c r="I750" s="5" t="str">
        <x:v>3.1.3.2</x:v>
      </x:c>
      <x:c r="J750" s="5" t="str">
        <x:v>Sicherheiten für Forderungen</x:v>
      </x:c>
      <x:c r="K750" s="5" t="str"/>
      <x:c r="L750" s="5" t="str">
        <x:v>Sachenrecht, Kreditsicherheiten &amp; Insolvenz</x:v>
      </x:c>
      <x:c r="M750" s="5" t="n">
        <x:v>51</x:v>
      </x:c>
      <x:c r="N750" s="5" t="n">
        <x:v>27</x:v>
      </x:c>
      <x:c r="O750" s="5" t="str"/>
      <x:c r="P750" s="5" t="str">
        <x:v>Pilot freigegeben</x:v>
      </x:c>
      <x:c r="Q750" s="5" t="str">
        <x:v>Revision 2 unverändert übernommen</x:v>
      </x:c>
      <x:c r="R750" s="5" t="str">
        <x:v>Gläubiger G tritt eine Forderung gegen Schuldner S an den neuen Gläubiger N ab. S weiß nichts von der Abtretung und zahlt an G. Muss S anschließend noch einmal an N zahlen?</x:v>
      </x:c>
      <x:c r="S750" s="5" t="str">
        <x:v>8101b5c8f9b1ff55f37e0a45062a77f3e0f188af8c49fab2b9d53b942b07f31a</x:v>
      </x:c>
    </x:row>
    <x:row r="751" ht="36" customHeight="1">
      <x:c r="A751" s="5" t="str">
        <x:v>R-0347</x:v>
      </x:c>
      <x:c r="B751" s="5" t="str">
        <x:v>WQ</x:v>
      </x:c>
      <x:c r="C751" s="5" t="str">
        <x:v>3</x:v>
      </x:c>
      <x:c r="D751" s="5" t="str">
        <x:v>Recht und Steuern</x:v>
      </x:c>
      <x:c r="E751" s="5" t="str">
        <x:v>Recht</x:v>
      </x:c>
      <x:c r="F751" s="5" t="str">
        <x:v>ui-wq-recht-sachen</x:v>
      </x:c>
      <x:c r="G751" s="5" t="str">
        <x:v>BGB Sachenrecht</x:v>
      </x:c>
      <x:c r="H751" s="5" t="str">
        <x:v>tr-wq-r09</x:v>
      </x:c>
      <x:c r="I751" s="5" t="str">
        <x:v>3.1.3.2</x:v>
      </x:c>
      <x:c r="J751" s="5" t="str">
        <x:v>Sicherheiten für Forderungen</x:v>
      </x:c>
      <x:c r="K751" s="5" t="str"/>
      <x:c r="L751" s="5" t="str">
        <x:v>Sachenrecht, Kreditsicherheiten &amp; Insolvenz</x:v>
      </x:c>
      <x:c r="M751" s="5" t="n">
        <x:v>52</x:v>
      </x:c>
      <x:c r="N751" s="5" t="n">
        <x:v>28</x:v>
      </x:c>
      <x:c r="O751" s="5" t="str"/>
      <x:c r="P751" s="5" t="str">
        <x:v>Pilot freigegeben</x:v>
      </x:c>
      <x:c r="Q751" s="5" t="str">
        <x:v>Revision 2 unverändert übernommen</x:v>
      </x:c>
      <x:c r="R751" s="5" t="str">
        <x:v>Wann ist eine Abtretung ausgeschlossen?</x:v>
      </x:c>
      <x:c r="S751" s="5" t="str">
        <x:v>fadfc3c4e5e03feeaeaff4370697f340e75b50133559bf16f9134ebb6650eb0b</x:v>
      </x:c>
    </x:row>
    <x:row r="752" ht="36" customHeight="1">
      <x:c r="A752" s="5" t="str">
        <x:v>R-0348</x:v>
      </x:c>
      <x:c r="B752" s="5" t="str">
        <x:v>WQ</x:v>
      </x:c>
      <x:c r="C752" s="5" t="str">
        <x:v>3</x:v>
      </x:c>
      <x:c r="D752" s="5" t="str">
        <x:v>Recht und Steuern</x:v>
      </x:c>
      <x:c r="E752" s="5" t="str">
        <x:v>Recht</x:v>
      </x:c>
      <x:c r="F752" s="5" t="str">
        <x:v>ui-wq-recht-sachen</x:v>
      </x:c>
      <x:c r="G752" s="5" t="str">
        <x:v>BGB Sachenrecht</x:v>
      </x:c>
      <x:c r="H752" s="5" t="str">
        <x:v>tr-wq-r09</x:v>
      </x:c>
      <x:c r="I752" s="5" t="str">
        <x:v>3.1.3.2</x:v>
      </x:c>
      <x:c r="J752" s="5" t="str">
        <x:v>Sicherheiten für Forderungen</x:v>
      </x:c>
      <x:c r="K752" s="5" t="str"/>
      <x:c r="L752" s="5" t="str">
        <x:v>Sachenrecht, Kreditsicherheiten &amp; Insolvenz</x:v>
      </x:c>
      <x:c r="M752" s="5" t="n">
        <x:v>53</x:v>
      </x:c>
      <x:c r="N752" s="5" t="n">
        <x:v>29</x:v>
      </x:c>
      <x:c r="O752" s="5" t="str"/>
      <x:c r="P752" s="5" t="str">
        <x:v>Pilot freigegeben</x:v>
      </x:c>
      <x:c r="Q752" s="5" t="str">
        <x:v>Revision 2 unverändert übernommen</x:v>
      </x:c>
      <x:c r="R752" s="5" t="str">
        <x:v>Welche zwei wichtigsten Grundpfandrechte gibt es?</x:v>
      </x:c>
      <x:c r="S752" s="5" t="str">
        <x:v>0d96e42473864b8e9681edfe5dbc5a972ee4066a6e7a304a8bf166f7dea66dc8</x:v>
      </x:c>
    </x:row>
    <x:row r="753" ht="36" customHeight="1">
      <x:c r="A753" s="5" t="str">
        <x:v>R-0349</x:v>
      </x:c>
      <x:c r="B753" s="5" t="str">
        <x:v>WQ</x:v>
      </x:c>
      <x:c r="C753" s="5" t="str">
        <x:v>3</x:v>
      </x:c>
      <x:c r="D753" s="5" t="str">
        <x:v>Recht und Steuern</x:v>
      </x:c>
      <x:c r="E753" s="5" t="str">
        <x:v>Recht</x:v>
      </x:c>
      <x:c r="F753" s="5" t="str">
        <x:v>ui-wq-recht-sachen</x:v>
      </x:c>
      <x:c r="G753" s="5" t="str">
        <x:v>BGB Sachenrecht</x:v>
      </x:c>
      <x:c r="H753" s="5" t="str">
        <x:v>tr-wq-r09</x:v>
      </x:c>
      <x:c r="I753" s="5" t="str">
        <x:v>3.1.3.2</x:v>
      </x:c>
      <x:c r="J753" s="5" t="str">
        <x:v>Sicherheiten für Forderungen</x:v>
      </x:c>
      <x:c r="K753" s="5" t="str"/>
      <x:c r="L753" s="5" t="str">
        <x:v>Sachenrecht, Kreditsicherheiten &amp; Insolvenz</x:v>
      </x:c>
      <x:c r="M753" s="5" t="n">
        <x:v>54</x:v>
      </x:c>
      <x:c r="N753" s="5" t="n">
        <x:v>30</x:v>
      </x:c>
      <x:c r="O753" s="5" t="str"/>
      <x:c r="P753" s="5" t="str">
        <x:v>Pilot freigegeben</x:v>
      </x:c>
      <x:c r="Q753" s="5" t="str">
        <x:v>Revision 2 unverändert übernommen</x:v>
      </x:c>
      <x:c r="R753" s="5" t="str">
        <x:v>Was ist der Unterschied zwischen Briefhypothek und Buchhypothek?</x:v>
      </x:c>
      <x:c r="S753" s="5" t="str">
        <x:v>d0b27991d7d52863671e6a3b8b6f7ded765ad5a3764b3d0619760ec83d9c2809</x:v>
      </x:c>
    </x:row>
    <x:row r="754" ht="36" customHeight="1">
      <x:c r="A754" s="5" t="str">
        <x:v>R-0350</x:v>
      </x:c>
      <x:c r="B754" s="5" t="str">
        <x:v>WQ</x:v>
      </x:c>
      <x:c r="C754" s="5" t="str">
        <x:v>3</x:v>
      </x:c>
      <x:c r="D754" s="5" t="str">
        <x:v>Recht und Steuern</x:v>
      </x:c>
      <x:c r="E754" s="5" t="str">
        <x:v>Recht</x:v>
      </x:c>
      <x:c r="F754" s="5" t="str">
        <x:v>ui-wq-recht-sachen</x:v>
      </x:c>
      <x:c r="G754" s="5" t="str">
        <x:v>BGB Sachenrecht</x:v>
      </x:c>
      <x:c r="H754" s="5" t="str">
        <x:v>tr-wq-r09</x:v>
      </x:c>
      <x:c r="I754" s="5" t="str">
        <x:v>3.1.3.2</x:v>
      </x:c>
      <x:c r="J754" s="5" t="str">
        <x:v>Sicherheiten für Forderungen</x:v>
      </x:c>
      <x:c r="K754" s="5" t="str"/>
      <x:c r="L754" s="5" t="str">
        <x:v>Sachenrecht, Kreditsicherheiten &amp; Insolvenz</x:v>
      </x:c>
      <x:c r="M754" s="5" t="n">
        <x:v>55</x:v>
      </x:c>
      <x:c r="N754" s="5" t="n">
        <x:v>31</x:v>
      </x:c>
      <x:c r="O754" s="5" t="str"/>
      <x:c r="P754" s="5" t="str">
        <x:v>Pilot freigegeben</x:v>
      </x:c>
      <x:c r="Q754" s="5" t="str">
        <x:v>Revision 2 unverändert übernommen</x:v>
      </x:c>
      <x:c r="R754" s="5" t="str">
        <x:v>Wer bleibt Eigentümer eines Grundstücks nach Bestellung einer Grundschuld?</x:v>
      </x:c>
      <x:c r="S754" s="5" t="str">
        <x:v>f9c051d043cef71f8de503a6f846403942a55b52ea9be309e7fcad4246e572f3</x:v>
      </x:c>
    </x:row>
    <x:row r="755" ht="36" customHeight="1">
      <x:c r="A755" s="5" t="str">
        <x:v>R-0351</x:v>
      </x:c>
      <x:c r="B755" s="5" t="str">
        <x:v>WQ</x:v>
      </x:c>
      <x:c r="C755" s="5" t="str">
        <x:v>3</x:v>
      </x:c>
      <x:c r="D755" s="5" t="str">
        <x:v>Recht und Steuern</x:v>
      </x:c>
      <x:c r="E755" s="5" t="str">
        <x:v>Recht</x:v>
      </x:c>
      <x:c r="F755" s="5" t="str">
        <x:v>ui-wq-recht-sachen</x:v>
      </x:c>
      <x:c r="G755" s="5" t="str">
        <x:v>BGB Sachenrecht</x:v>
      </x:c>
      <x:c r="H755" s="5" t="str">
        <x:v>tr-wq-r09</x:v>
      </x:c>
      <x:c r="I755" s="5" t="str">
        <x:v>3.1.3.2</x:v>
      </x:c>
      <x:c r="J755" s="5" t="str">
        <x:v>Sicherheiten für Forderungen</x:v>
      </x:c>
      <x:c r="K755" s="5" t="str"/>
      <x:c r="L755" s="5" t="str">
        <x:v>Sachenrecht, Kreditsicherheiten &amp; Insolvenz</x:v>
      </x:c>
      <x:c r="M755" s="5" t="n">
        <x:v>56</x:v>
      </x:c>
      <x:c r="N755" s="5" t="n">
        <x:v>32</x:v>
      </x:c>
      <x:c r="O755" s="5" t="str"/>
      <x:c r="P755" s="5" t="str">
        <x:v>Pilot freigegeben</x:v>
      </x:c>
      <x:c r="Q755" s="5" t="str">
        <x:v>Revision 2 unverändert übernommen</x:v>
      </x:c>
      <x:c r="R755" s="5" t="str">
        <x:v>Warum ist die Grundschuld in der Praxis beliebter als die Hypothek?</x:v>
      </x:c>
      <x:c r="S755" s="5" t="str">
        <x:v>788f4eebdd255fc6dd3dad9c302a9810f69444b46981e5ed589ee8dea42a1a25</x:v>
      </x:c>
    </x:row>
    <x:row r="756" ht="36" customHeight="1">
      <x:c r="A756" s="5" t="str">
        <x:v>R-0352</x:v>
      </x:c>
      <x:c r="B756" s="5" t="str">
        <x:v>WQ</x:v>
      </x:c>
      <x:c r="C756" s="5" t="str">
        <x:v>3</x:v>
      </x:c>
      <x:c r="D756" s="5" t="str">
        <x:v>Recht und Steuern</x:v>
      </x:c>
      <x:c r="E756" s="5" t="str">
        <x:v>Recht</x:v>
      </x:c>
      <x:c r="F756" s="5" t="str">
        <x:v>ui-wq-recht-sachen</x:v>
      </x:c>
      <x:c r="G756" s="5" t="str">
        <x:v>BGB Sachenrecht</x:v>
      </x:c>
      <x:c r="H756" s="5" t="str">
        <x:v>tr-wq-r09</x:v>
      </x:c>
      <x:c r="I756" s="5" t="str">
        <x:v>3.1.3.2</x:v>
      </x:c>
      <x:c r="J756" s="5" t="str">
        <x:v>Sicherheiten für Forderungen</x:v>
      </x:c>
      <x:c r="K756" s="5" t="str"/>
      <x:c r="L756" s="5" t="str">
        <x:v>Sachenrecht, Kreditsicherheiten &amp; Insolvenz</x:v>
      </x:c>
      <x:c r="M756" s="5" t="n">
        <x:v>57</x:v>
      </x:c>
      <x:c r="N756" s="5" t="n">
        <x:v>33</x:v>
      </x:c>
      <x:c r="O756" s="5" t="str"/>
      <x:c r="P756" s="5" t="str">
        <x:v>Pilot freigegeben</x:v>
      </x:c>
      <x:c r="Q756" s="5" t="str">
        <x:v>Revision 2 unverändert übernommen</x:v>
      </x:c>
      <x:c r="R756" s="5" t="str">
        <x:v>Ein Verkäufer liefert Ware unter Eigentumsvorbehalt. Der Käufer zahlt den Kaufpreis nicht und der Verkäufer tritt wirksam vom Kaufvertrag zurück. Unter welchen Voraussetzungen kann der Verkäufer die Ware nach § 985 BGB herausverlangen?</x:v>
      </x:c>
      <x:c r="S756" s="5" t="str">
        <x:v>e4ca37805563222e377e65c67c29d440373f627d9b68e301f97d6b369667480f</x:v>
      </x:c>
    </x:row>
    <x:row r="757" ht="36" customHeight="1">
      <x:c r="A757" s="5" t="str">
        <x:v>R-0353</x:v>
      </x:c>
      <x:c r="B757" s="5" t="str">
        <x:v>WQ</x:v>
      </x:c>
      <x:c r="C757" s="5" t="str">
        <x:v>3</x:v>
      </x:c>
      <x:c r="D757" s="5" t="str">
        <x:v>Recht und Steuern</x:v>
      </x:c>
      <x:c r="E757" s="5" t="str">
        <x:v>Recht</x:v>
      </x:c>
      <x:c r="F757" s="5" t="str">
        <x:v>ui-wq-recht-sachen</x:v>
      </x:c>
      <x:c r="G757" s="5" t="str">
        <x:v>BGB Sachenrecht</x:v>
      </x:c>
      <x:c r="H757" s="5" t="str">
        <x:v>tr-wq-r09</x:v>
      </x:c>
      <x:c r="I757" s="5" t="str">
        <x:v>3.1.3.2</x:v>
      </x:c>
      <x:c r="J757" s="5" t="str">
        <x:v>Sicherheiten für Forderungen</x:v>
      </x:c>
      <x:c r="K757" s="5" t="str"/>
      <x:c r="L757" s="5" t="str">
        <x:v>Sachenrecht, Kreditsicherheiten &amp; Insolvenz</x:v>
      </x:c>
      <x:c r="M757" s="5" t="n">
        <x:v>58</x:v>
      </x:c>
      <x:c r="N757" s="5" t="n">
        <x:v>34</x:v>
      </x:c>
      <x:c r="O757" s="5" t="str"/>
      <x:c r="P757" s="5" t="str">
        <x:v>Pilot freigegeben</x:v>
      </x:c>
      <x:c r="Q757" s="5" t="str">
        <x:v>Revision 2 unverändert übernommen</x:v>
      </x:c>
      <x:c r="R757" s="5" t="str">
        <x:v>Für die Rechtsabteilung von Circle Harbor: Die B-GmbH verkauft Kopierpapier unter wirksam vereinbartem Eigentumsvorbehalt. Der Käufer hat den Kaufpreis noch nicht vollständig bezahlt. Warum ist die B-GmbH weiterhin Eigentümerin des Kopierpapiers?</x:v>
      </x:c>
      <x:c r="S757" s="5" t="str">
        <x:v>00762d9aaacc9f6da07dbddc9031bb82ef858b4e6fc99cb4fa68dc973474b011</x:v>
      </x:c>
    </x:row>
    <x:row r="758" ht="36" customHeight="1">
      <x:c r="A758" s="5" t="str">
        <x:v>R-0354</x:v>
      </x:c>
      <x:c r="B758" s="5" t="str">
        <x:v>WQ</x:v>
      </x:c>
      <x:c r="C758" s="5" t="str">
        <x:v>3</x:v>
      </x:c>
      <x:c r="D758" s="5" t="str">
        <x:v>Recht und Steuern</x:v>
      </x:c>
      <x:c r="E758" s="5" t="str">
        <x:v>Recht</x:v>
      </x:c>
      <x:c r="F758" s="5" t="str">
        <x:v>ui-wq-recht-sachen</x:v>
      </x:c>
      <x:c r="G758" s="5" t="str">
        <x:v>BGB Sachenrecht</x:v>
      </x:c>
      <x:c r="H758" s="5" t="str">
        <x:v>tr-wq-r09</x:v>
      </x:c>
      <x:c r="I758" s="5" t="str">
        <x:v>3.1.3.2</x:v>
      </x:c>
      <x:c r="J758" s="5" t="str">
        <x:v>Sicherheiten für Forderungen</x:v>
      </x:c>
      <x:c r="K758" s="5" t="str"/>
      <x:c r="L758" s="5" t="str">
        <x:v>Sachenrecht, Kreditsicherheiten &amp; Insolvenz</x:v>
      </x:c>
      <x:c r="M758" s="5" t="n">
        <x:v>59</x:v>
      </x:c>
      <x:c r="N758" s="5" t="n">
        <x:v>35</x:v>
      </x:c>
      <x:c r="O758" s="5" t="str"/>
      <x:c r="P758" s="5" t="str">
        <x:v>Pilot freigegeben</x:v>
      </x:c>
      <x:c r="Q758" s="5" t="str">
        <x:v>Revision 2 unverändert übernommen</x:v>
      </x:c>
      <x:c r="R758" s="5" t="str">
        <x:v>Ware wurde unter Eigentumsvorbehalt geliefert. Der Käufer zahlt nicht und der Verkäufer tritt wirksam vom Kaufvertrag zurück. Welche Folge hat der Rücktritt für das Besitzrecht des Käufers und den Herausgabeanspruch des Verkäufers?</x:v>
      </x:c>
      <x:c r="S758" s="5" t="str">
        <x:v>aa7874dee1565a675be2760122d2ed6f63c97d2daf3249338e23fd7d87ed311e</x:v>
      </x:c>
    </x:row>
    <x:row r="759" ht="36" customHeight="1">
      <x:c r="A759" s="5" t="str">
        <x:v>R-0355</x:v>
      </x:c>
      <x:c r="B759" s="5" t="str">
        <x:v>WQ</x:v>
      </x:c>
      <x:c r="C759" s="5" t="str">
        <x:v>3</x:v>
      </x:c>
      <x:c r="D759" s="5" t="str">
        <x:v>Recht und Steuern</x:v>
      </x:c>
      <x:c r="E759" s="5" t="str">
        <x:v>Recht</x:v>
      </x:c>
      <x:c r="F759" s="5" t="str">
        <x:v>ui-wq-recht-sachen</x:v>
      </x:c>
      <x:c r="G759" s="5" t="str">
        <x:v>BGB Sachenrecht</x:v>
      </x:c>
      <x:c r="H759" s="5" t="str">
        <x:v>tr-wq-r09</x:v>
      </x:c>
      <x:c r="I759" s="5" t="str">
        <x:v>3.1.3.2</x:v>
      </x:c>
      <x:c r="J759" s="5" t="str">
        <x:v>Sicherheiten für Forderungen</x:v>
      </x:c>
      <x:c r="K759" s="5" t="str"/>
      <x:c r="L759" s="5" t="str">
        <x:v>Sachenrecht, Kreditsicherheiten &amp; Insolvenz</x:v>
      </x:c>
      <x:c r="M759" s="5" t="n">
        <x:v>60</x:v>
      </x:c>
      <x:c r="N759" s="5" t="n">
        <x:v>36</x:v>
      </x:c>
      <x:c r="O759" s="5" t="str"/>
      <x:c r="P759" s="5" t="str">
        <x:v>Pilot freigegeben</x:v>
      </x:c>
      <x:c r="Q759" s="5" t="str">
        <x:v>Revision 2 unverändert übernommen</x:v>
      </x:c>
      <x:c r="R759" s="5" t="str">
        <x:v>Ein Käufer hat unter Eigentumsvorbehalt gelieferte Ware bereits verbraucht. Anschließend tritt der Verkäufer wegen der ausbleibenden Zahlung wirksam vom Kaufvertrag zurück. Welche Leistung muss der Käufer hinsichtlich der bereits verbrauchten Ware erbringen?</x:v>
      </x:c>
      <x:c r="S759" s="5" t="str">
        <x:v>327a1febdfdbe9b27f6511f4800849044b7d7aa0fd6c60e47f6b194e0824f730</x:v>
      </x:c>
    </x:row>
    <x:row r="760" ht="36" customHeight="1">
      <x:c r="A760" s="5" t="str">
        <x:v>R-0356</x:v>
      </x:c>
      <x:c r="B760" s="5" t="str">
        <x:v>WQ</x:v>
      </x:c>
      <x:c r="C760" s="5" t="str">
        <x:v>3</x:v>
      </x:c>
      <x:c r="D760" s="5" t="str">
        <x:v>Recht und Steuern</x:v>
      </x:c>
      <x:c r="E760" s="5" t="str">
        <x:v>Recht</x:v>
      </x:c>
      <x:c r="F760" s="5" t="str">
        <x:v>ui-wq-recht-sachen</x:v>
      </x:c>
      <x:c r="G760" s="5" t="str">
        <x:v>BGB Sachenrecht</x:v>
      </x:c>
      <x:c r="H760" s="5" t="str">
        <x:v>tr-wq-r09</x:v>
      </x:c>
      <x:c r="I760" s="5" t="str">
        <x:v>3.1.3.2</x:v>
      </x:c>
      <x:c r="J760" s="5" t="str">
        <x:v>Sicherheiten für Forderungen</x:v>
      </x:c>
      <x:c r="K760" s="5" t="str"/>
      <x:c r="L760" s="5" t="str">
        <x:v>Sachenrecht, Kreditsicherheiten &amp; Insolvenz</x:v>
      </x:c>
      <x:c r="M760" s="5" t="n">
        <x:v>61</x:v>
      </x:c>
      <x:c r="N760" s="5" t="n">
        <x:v>37</x:v>
      </x:c>
      <x:c r="O760" s="5" t="str"/>
      <x:c r="P760" s="5" t="str">
        <x:v>Pilot freigegeben</x:v>
      </x:c>
      <x:c r="Q760" s="5" t="str">
        <x:v>Revision 2 unverändert übernommen</x:v>
      </x:c>
      <x:c r="R760" s="5" t="str">
        <x:v>Was versteht man unter einem verlängerten Eigentumsvorbehalt?</x:v>
      </x:c>
      <x:c r="S760" s="5" t="str">
        <x:v>c445be7e02ce34e681a0345c874869df4f7b8a7fe4a035df594eae025f5d8cc6</x:v>
      </x:c>
    </x:row>
    <x:row r="761" ht="36" customHeight="1">
      <x:c r="A761" s="5" t="str">
        <x:v>R-0357</x:v>
      </x:c>
      <x:c r="B761" s="5" t="str">
        <x:v>WQ</x:v>
      </x:c>
      <x:c r="C761" s="5" t="str">
        <x:v>3</x:v>
      </x:c>
      <x:c r="D761" s="5" t="str">
        <x:v>Recht und Steuern</x:v>
      </x:c>
      <x:c r="E761" s="5" t="str">
        <x:v>Recht</x:v>
      </x:c>
      <x:c r="F761" s="5" t="str">
        <x:v>ui-wq-recht-sachen</x:v>
      </x:c>
      <x:c r="G761" s="5" t="str">
        <x:v>BGB Sachenrecht</x:v>
      </x:c>
      <x:c r="H761" s="5" t="str">
        <x:v>tr-wq-r10</x:v>
      </x:c>
      <x:c r="I761" s="5" t="str">
        <x:v>3.1.3.3</x:v>
      </x:c>
      <x:c r="J761" s="5" t="str">
        <x:v>Insolvenz und Gläubigerrechte</x:v>
      </x:c>
      <x:c r="K761" s="5" t="str"/>
      <x:c r="L761" s="5" t="str">
        <x:v>Sachenrecht, Kreditsicherheiten &amp; Insolvenz</x:v>
      </x:c>
      <x:c r="M761" s="5" t="n">
        <x:v>62</x:v>
      </x:c>
      <x:c r="N761" s="5" t="n">
        <x:v>1</x:v>
      </x:c>
      <x:c r="O761" s="5" t="str"/>
      <x:c r="P761" s="5" t="str">
        <x:v>Pilot freigegeben</x:v>
      </x:c>
      <x:c r="Q761" s="5" t="str">
        <x:v>Revision 2 unverändert übernommen</x:v>
      </x:c>
      <x:c r="R761" s="5" t="str">
        <x:v>Was ist das Ziel des Insolvenzverfahrens?</x:v>
      </x:c>
      <x:c r="S761" s="5" t="str">
        <x:v>3e939f508ea76c3536ead4fb3e3844b6637b2250a8079bebb134a500b4732172</x:v>
      </x:c>
    </x:row>
    <x:row r="762" ht="36" customHeight="1">
      <x:c r="A762" s="5" t="str">
        <x:v>R-0358</x:v>
      </x:c>
      <x:c r="B762" s="5" t="str">
        <x:v>WQ</x:v>
      </x:c>
      <x:c r="C762" s="5" t="str">
        <x:v>3</x:v>
      </x:c>
      <x:c r="D762" s="5" t="str">
        <x:v>Recht und Steuern</x:v>
      </x:c>
      <x:c r="E762" s="5" t="str">
        <x:v>Recht</x:v>
      </x:c>
      <x:c r="F762" s="5" t="str">
        <x:v>ui-wq-recht-sachen</x:v>
      </x:c>
      <x:c r="G762" s="5" t="str">
        <x:v>BGB Sachenrecht</x:v>
      </x:c>
      <x:c r="H762" s="5" t="str">
        <x:v>tr-wq-r10</x:v>
      </x:c>
      <x:c r="I762" s="5" t="str">
        <x:v>3.1.3.3</x:v>
      </x:c>
      <x:c r="J762" s="5" t="str">
        <x:v>Insolvenz und Gläubigerrechte</x:v>
      </x:c>
      <x:c r="K762" s="5" t="str"/>
      <x:c r="L762" s="5" t="str">
        <x:v>Sachenrecht, Kreditsicherheiten &amp; Insolvenz</x:v>
      </x:c>
      <x:c r="M762" s="5" t="n">
        <x:v>63</x:v>
      </x:c>
      <x:c r="N762" s="5" t="n">
        <x:v>2</x:v>
      </x:c>
      <x:c r="O762" s="5" t="str"/>
      <x:c r="P762" s="5" t="str">
        <x:v>Pilot freigegeben</x:v>
      </x:c>
      <x:c r="Q762" s="5" t="str">
        <x:v>Revision 2 unverändert übernommen</x:v>
      </x:c>
      <x:c r="R762" s="5" t="str">
        <x:v>Wer ist Insolvenzgläubiger?</x:v>
      </x:c>
      <x:c r="S762" s="5" t="str">
        <x:v>80f73bd73cb07a8a1cc6f48bd59139a7aeacb979639020a5ed69ac1e03cee471</x:v>
      </x:c>
    </x:row>
    <x:row r="763" ht="36" customHeight="1">
      <x:c r="A763" s="5" t="str">
        <x:v>R-0359</x:v>
      </x:c>
      <x:c r="B763" s="5" t="str">
        <x:v>WQ</x:v>
      </x:c>
      <x:c r="C763" s="5" t="str">
        <x:v>3</x:v>
      </x:c>
      <x:c r="D763" s="5" t="str">
        <x:v>Recht und Steuern</x:v>
      </x:c>
      <x:c r="E763" s="5" t="str">
        <x:v>Recht</x:v>
      </x:c>
      <x:c r="F763" s="5" t="str">
        <x:v>ui-wq-recht-sachen</x:v>
      </x:c>
      <x:c r="G763" s="5" t="str">
        <x:v>BGB Sachenrecht</x:v>
      </x:c>
      <x:c r="H763" s="5" t="str">
        <x:v>tr-wq-r10</x:v>
      </x:c>
      <x:c r="I763" s="5" t="str">
        <x:v>3.1.3.3</x:v>
      </x:c>
      <x:c r="J763" s="5" t="str">
        <x:v>Insolvenz und Gläubigerrechte</x:v>
      </x:c>
      <x:c r="K763" s="5" t="str"/>
      <x:c r="L763" s="5" t="str">
        <x:v>Sachenrecht, Kreditsicherheiten &amp; Insolvenz</x:v>
      </x:c>
      <x:c r="M763" s="5" t="n">
        <x:v>64</x:v>
      </x:c>
      <x:c r="N763" s="5" t="n">
        <x:v>3</x:v>
      </x:c>
      <x:c r="O763" s="5" t="str"/>
      <x:c r="P763" s="5" t="str">
        <x:v>Pilot freigegeben</x:v>
      </x:c>
      <x:c r="Q763" s="5" t="str">
        <x:v>Revision 2 unverändert übernommen</x:v>
      </x:c>
      <x:c r="R763" s="5" t="str">
        <x:v>Nennen Sie die drei Insolvenzgründe.</x:v>
      </x:c>
      <x:c r="S763" s="5" t="str">
        <x:v>e94d26ee3619af76679cfcf58de096c18072694f4e8acba64b1de560cdeebc90</x:v>
      </x:c>
    </x:row>
    <x:row r="764" ht="36" customHeight="1">
      <x:c r="A764" s="5" t="str">
        <x:v>R-0360</x:v>
      </x:c>
      <x:c r="B764" s="5" t="str">
        <x:v>WQ</x:v>
      </x:c>
      <x:c r="C764" s="5" t="str">
        <x:v>3</x:v>
      </x:c>
      <x:c r="D764" s="5" t="str">
        <x:v>Recht und Steuern</x:v>
      </x:c>
      <x:c r="E764" s="5" t="str">
        <x:v>Recht</x:v>
      </x:c>
      <x:c r="F764" s="5" t="str">
        <x:v>ui-wq-recht-sachen</x:v>
      </x:c>
      <x:c r="G764" s="5" t="str">
        <x:v>BGB Sachenrecht</x:v>
      </x:c>
      <x:c r="H764" s="5" t="str">
        <x:v>tr-wq-r10</x:v>
      </x:c>
      <x:c r="I764" s="5" t="str">
        <x:v>3.1.3.3</x:v>
      </x:c>
      <x:c r="J764" s="5" t="str">
        <x:v>Insolvenz und Gläubigerrechte</x:v>
      </x:c>
      <x:c r="K764" s="5" t="str"/>
      <x:c r="L764" s="5" t="str">
        <x:v>Sachenrecht, Kreditsicherheiten &amp; Insolvenz</x:v>
      </x:c>
      <x:c r="M764" s="5" t="n">
        <x:v>65</x:v>
      </x:c>
      <x:c r="N764" s="5" t="n">
        <x:v>4</x:v>
      </x:c>
      <x:c r="O764" s="5" t="str"/>
      <x:c r="P764" s="5" t="str">
        <x:v>Pilot freigegeben</x:v>
      </x:c>
      <x:c r="Q764" s="5" t="str">
        <x:v>Revision 2 unverändert übernommen</x:v>
      </x:c>
      <x:c r="R764" s="5" t="str">
        <x:v>Was ist der Unterschied zwischen Regelinsolvenz und Verbraucherinsolvenz?</x:v>
      </x:c>
      <x:c r="S764" s="5" t="str">
        <x:v>185f386aeb5e0d10381039d91729854cf749db7c0ed007228839b5d85fb90d15</x:v>
      </x:c>
    </x:row>
    <x:row r="765" ht="36" customHeight="1">
      <x:c r="A765" s="5" t="str">
        <x:v>R-0361</x:v>
      </x:c>
      <x:c r="B765" s="5" t="str">
        <x:v>WQ</x:v>
      </x:c>
      <x:c r="C765" s="5" t="str">
        <x:v>3</x:v>
      </x:c>
      <x:c r="D765" s="5" t="str">
        <x:v>Recht und Steuern</x:v>
      </x:c>
      <x:c r="E765" s="5" t="str">
        <x:v>Recht</x:v>
      </x:c>
      <x:c r="F765" s="5" t="str">
        <x:v>ui-wq-recht-sachen</x:v>
      </x:c>
      <x:c r="G765" s="5" t="str">
        <x:v>BGB Sachenrecht</x:v>
      </x:c>
      <x:c r="H765" s="5" t="str">
        <x:v>tr-wq-r10</x:v>
      </x:c>
      <x:c r="I765" s="5" t="str">
        <x:v>3.1.3.3</x:v>
      </x:c>
      <x:c r="J765" s="5" t="str">
        <x:v>Insolvenz und Gläubigerrechte</x:v>
      </x:c>
      <x:c r="K765" s="5" t="str"/>
      <x:c r="L765" s="5" t="str">
        <x:v>Sachenrecht, Kreditsicherheiten &amp; Insolvenz</x:v>
      </x:c>
      <x:c r="M765" s="5" t="n">
        <x:v>66</x:v>
      </x:c>
      <x:c r="N765" s="5" t="n">
        <x:v>5</x:v>
      </x:c>
      <x:c r="O765" s="5" t="str"/>
      <x:c r="P765" s="5" t="str">
        <x:v>Pilot freigegeben</x:v>
      </x:c>
      <x:c r="Q765" s="5" t="str">
        <x:v>Revision 2 unverändert übernommen</x:v>
      </x:c>
      <x:c r="R765" s="5" t="str">
        <x:v>Welches Gericht ist für ein Insolvenzverfahren zuständig?</x:v>
      </x:c>
      <x:c r="S765" s="5" t="str">
        <x:v>f970950c3d2eb472d2b2a92f7353c5b0981fd251e1e7fd549b8d02866f2456df</x:v>
      </x:c>
    </x:row>
    <x:row r="766" ht="36" customHeight="1">
      <x:c r="A766" s="5" t="str">
        <x:v>R-0362</x:v>
      </x:c>
      <x:c r="B766" s="5" t="str">
        <x:v>WQ</x:v>
      </x:c>
      <x:c r="C766" s="5" t="str">
        <x:v>3</x:v>
      </x:c>
      <x:c r="D766" s="5" t="str">
        <x:v>Recht und Steuern</x:v>
      </x:c>
      <x:c r="E766" s="5" t="str">
        <x:v>Recht</x:v>
      </x:c>
      <x:c r="F766" s="5" t="str">
        <x:v>ui-wq-recht-sachen</x:v>
      </x:c>
      <x:c r="G766" s="5" t="str">
        <x:v>BGB Sachenrecht</x:v>
      </x:c>
      <x:c r="H766" s="5" t="str">
        <x:v>tr-wq-r10</x:v>
      </x:c>
      <x:c r="I766" s="5" t="str">
        <x:v>3.1.3.3</x:v>
      </x:c>
      <x:c r="J766" s="5" t="str">
        <x:v>Insolvenz und Gläubigerrechte</x:v>
      </x:c>
      <x:c r="K766" s="5" t="str"/>
      <x:c r="L766" s="5" t="str">
        <x:v>Sachenrecht, Kreditsicherheiten &amp; Insolvenz</x:v>
      </x:c>
      <x:c r="M766" s="5" t="n">
        <x:v>67</x:v>
      </x:c>
      <x:c r="N766" s="5" t="n">
        <x:v>6</x:v>
      </x:c>
      <x:c r="O766" s="5" t="str"/>
      <x:c r="P766" s="5" t="str">
        <x:v>Pilot freigegeben</x:v>
      </x:c>
      <x:c r="Q766" s="5" t="str">
        <x:v>Revision 2 unverändert übernommen</x:v>
      </x:c>
      <x:c r="R766" s="5" t="str">
        <x:v>In welcher Form muss ein Insolvenzantrag gestellt werden?</x:v>
      </x:c>
      <x:c r="S766" s="5" t="str">
        <x:v>bcc09ccbcf808c05b671210178056cc76afea666ba9a89a62c1788aaafd0454d</x:v>
      </x:c>
    </x:row>
    <x:row r="767" ht="36" customHeight="1">
      <x:c r="A767" s="5" t="str">
        <x:v>R-0363</x:v>
      </x:c>
      <x:c r="B767" s="5" t="str">
        <x:v>WQ</x:v>
      </x:c>
      <x:c r="C767" s="5" t="str">
        <x:v>3</x:v>
      </x:c>
      <x:c r="D767" s="5" t="str">
        <x:v>Recht und Steuern</x:v>
      </x:c>
      <x:c r="E767" s="5" t="str">
        <x:v>Recht</x:v>
      </x:c>
      <x:c r="F767" s="5" t="str">
        <x:v>ui-wq-recht-sachen</x:v>
      </x:c>
      <x:c r="G767" s="5" t="str">
        <x:v>BGB Sachenrecht</x:v>
      </x:c>
      <x:c r="H767" s="5" t="str">
        <x:v>tr-wq-r10</x:v>
      </x:c>
      <x:c r="I767" s="5" t="str">
        <x:v>3.1.3.3</x:v>
      </x:c>
      <x:c r="J767" s="5" t="str">
        <x:v>Insolvenz und Gläubigerrechte</x:v>
      </x:c>
      <x:c r="K767" s="5" t="str"/>
      <x:c r="L767" s="5" t="str">
        <x:v>Sachenrecht, Kreditsicherheiten &amp; Insolvenz</x:v>
      </x:c>
      <x:c r="M767" s="5" t="n">
        <x:v>68</x:v>
      </x:c>
      <x:c r="N767" s="5" t="n">
        <x:v>7</x:v>
      </x:c>
      <x:c r="O767" s="5" t="str"/>
      <x:c r="P767" s="5" t="str">
        <x:v>Pilot freigegeben</x:v>
      </x:c>
      <x:c r="Q767" s="5" t="str">
        <x:v>Revision 2 unverändert übernommen</x:v>
      </x:c>
      <x:c r="R767" s="5" t="str">
        <x:v>Wie hoch ist die Insolvenzquote, wenn Insolvenzforderungen von insgesamt 200.000 € einer verteilbaren Insolvenzmasse von 20.000 € gegenüberstehen?</x:v>
      </x:c>
      <x:c r="S767" s="5" t="str">
        <x:v>445f45fd37ef089e0d69c107b4dc3c356a2800f2632be95f48dcc041ef622770</x:v>
      </x:c>
    </x:row>
    <x:row r="768" ht="36" customHeight="1">
      <x:c r="A768" s="5" t="str">
        <x:v>R-0364</x:v>
      </x:c>
      <x:c r="B768" s="5" t="str">
        <x:v>WQ</x:v>
      </x:c>
      <x:c r="C768" s="5" t="str">
        <x:v>3</x:v>
      </x:c>
      <x:c r="D768" s="5" t="str">
        <x:v>Recht und Steuern</x:v>
      </x:c>
      <x:c r="E768" s="5" t="str">
        <x:v>Recht</x:v>
      </x:c>
      <x:c r="F768" s="5" t="str">
        <x:v>ui-wq-recht-sachen</x:v>
      </x:c>
      <x:c r="G768" s="5" t="str">
        <x:v>BGB Sachenrecht</x:v>
      </x:c>
      <x:c r="H768" s="5" t="str">
        <x:v>tr-wq-r10</x:v>
      </x:c>
      <x:c r="I768" s="5" t="str">
        <x:v>3.1.3.3</x:v>
      </x:c>
      <x:c r="J768" s="5" t="str">
        <x:v>Insolvenz und Gläubigerrechte</x:v>
      </x:c>
      <x:c r="K768" s="5" t="str"/>
      <x:c r="L768" s="5" t="str">
        <x:v>Sachenrecht, Kreditsicherheiten &amp; Insolvenz</x:v>
      </x:c>
      <x:c r="M768" s="5" t="n">
        <x:v>69</x:v>
      </x:c>
      <x:c r="N768" s="5" t="n">
        <x:v>8</x:v>
      </x:c>
      <x:c r="O768" s="5" t="str"/>
      <x:c r="P768" s="5" t="str">
        <x:v>Pilot freigegeben</x:v>
      </x:c>
      <x:c r="Q768" s="5" t="str">
        <x:v>Revision 2 unverändert übernommen</x:v>
      </x:c>
      <x:c r="R768" s="5" t="str">
        <x:v>Ein Gläubiger hat im Insolvenzverfahren eine Forderung von 1.000 €. Die Insolvenzquote beträgt 10 %. Welchen Betrag erhält der Gläubiger?</x:v>
      </x:c>
      <x:c r="S768" s="5" t="str">
        <x:v>e13f6aab8b6df86e7709b77658a85b17bf2a9bcdba096fde04298a95dc412691</x:v>
      </x:c>
    </x:row>
    <x:row r="769" ht="36" customHeight="1">
      <x:c r="A769" s="5" t="str">
        <x:v>R-0365</x:v>
      </x:c>
      <x:c r="B769" s="5" t="str">
        <x:v>WQ</x:v>
      </x:c>
      <x:c r="C769" s="5" t="str">
        <x:v>3</x:v>
      </x:c>
      <x:c r="D769" s="5" t="str">
        <x:v>Recht und Steuern</x:v>
      </x:c>
      <x:c r="E769" s="5" t="str">
        <x:v>Recht</x:v>
      </x:c>
      <x:c r="F769" s="5" t="str">
        <x:v>ui-wq-recht-sachen</x:v>
      </x:c>
      <x:c r="G769" s="5" t="str">
        <x:v>BGB Sachenrecht</x:v>
      </x:c>
      <x:c r="H769" s="5" t="str">
        <x:v>tr-wq-r10</x:v>
      </x:c>
      <x:c r="I769" s="5" t="str">
        <x:v>3.1.3.3</x:v>
      </x:c>
      <x:c r="J769" s="5" t="str">
        <x:v>Insolvenz und Gläubigerrechte</x:v>
      </x:c>
      <x:c r="K769" s="5" t="str"/>
      <x:c r="L769" s="5" t="str">
        <x:v>Sachenrecht, Kreditsicherheiten &amp; Insolvenz</x:v>
      </x:c>
      <x:c r="M769" s="5" t="n">
        <x:v>70</x:v>
      </x:c>
      <x:c r="N769" s="5" t="n">
        <x:v>9</x:v>
      </x:c>
      <x:c r="O769" s="5" t="str"/>
      <x:c r="P769" s="5" t="str">
        <x:v>Pilot freigegeben</x:v>
      </x:c>
      <x:c r="Q769" s="5" t="str">
        <x:v>Revision 2 unverändert übernommen</x:v>
      </x:c>
      <x:c r="R769" s="5" t="str">
        <x:v>Wer befindet sich im Insolvenzverfahren häufig in einer besseren Position als einfache Insolvenzgläubiger?</x:v>
      </x:c>
      <x:c r="S769" s="5" t="str">
        <x:v>00a35a6dffbba914072898a4d572090a67b3eb377000241a70e816c5a7e38df9</x:v>
      </x:c>
    </x:row>
    <x:row r="770" ht="36" customHeight="1">
      <x:c r="A770" s="5" t="str">
        <x:v>R-0366</x:v>
      </x:c>
      <x:c r="B770" s="5" t="str">
        <x:v>WQ</x:v>
      </x:c>
      <x:c r="C770" s="5" t="str">
        <x:v>3</x:v>
      </x:c>
      <x:c r="D770" s="5" t="str">
        <x:v>Recht und Steuern</x:v>
      </x:c>
      <x:c r="E770" s="5" t="str">
        <x:v>Recht</x:v>
      </x:c>
      <x:c r="F770" s="5" t="str">
        <x:v>ui-wq-recht-sachen</x:v>
      </x:c>
      <x:c r="G770" s="5" t="str">
        <x:v>BGB Sachenrecht</x:v>
      </x:c>
      <x:c r="H770" s="5" t="str">
        <x:v>tr-wq-r10</x:v>
      </x:c>
      <x:c r="I770" s="5" t="str">
        <x:v>3.1.3.3</x:v>
      </x:c>
      <x:c r="J770" s="5" t="str">
        <x:v>Insolvenz und Gläubigerrechte</x:v>
      </x:c>
      <x:c r="K770" s="5" t="str"/>
      <x:c r="L770" s="5" t="str">
        <x:v>Sachenrecht, Kreditsicherheiten &amp; Insolvenz</x:v>
      </x:c>
      <x:c r="M770" s="5" t="n">
        <x:v>71</x:v>
      </x:c>
      <x:c r="N770" s="5" t="n">
        <x:v>10</x:v>
      </x:c>
      <x:c r="O770" s="5" t="str"/>
      <x:c r="P770" s="5" t="str">
        <x:v>Pilot freigegeben</x:v>
      </x:c>
      <x:c r="Q770" s="5" t="str">
        <x:v>Revision 2 unverändert übernommen</x:v>
      </x:c>
      <x:c r="R770" s="5" t="str">
        <x:v>Nennen Sie Beispiele für Absonderungsrechte.</x:v>
      </x:c>
      <x:c r="S770" s="5" t="str">
        <x:v>2039c5578a60b72c6f1ef123a9439fbffeab25b313fffe4103c20bdfa43f0131</x:v>
      </x:c>
    </x:row>
    <x:row r="771" ht="36" customHeight="1">
      <x:c r="A771" s="5" t="str">
        <x:v>R-0367</x:v>
      </x:c>
      <x:c r="B771" s="5" t="str">
        <x:v>WQ</x:v>
      </x:c>
      <x:c r="C771" s="5" t="str">
        <x:v>3</x:v>
      </x:c>
      <x:c r="D771" s="5" t="str">
        <x:v>Recht und Steuern</x:v>
      </x:c>
      <x:c r="E771" s="5" t="str">
        <x:v>Recht</x:v>
      </x:c>
      <x:c r="F771" s="5" t="str">
        <x:v>ui-wq-recht-sachen</x:v>
      </x:c>
      <x:c r="G771" s="5" t="str">
        <x:v>BGB Sachenrecht</x:v>
      </x:c>
      <x:c r="H771" s="5" t="str">
        <x:v>tr-wq-r10</x:v>
      </x:c>
      <x:c r="I771" s="5" t="str">
        <x:v>3.1.3.3</x:v>
      </x:c>
      <x:c r="J771" s="5" t="str">
        <x:v>Insolvenz und Gläubigerrechte</x:v>
      </x:c>
      <x:c r="K771" s="5" t="str"/>
      <x:c r="L771" s="5" t="str">
        <x:v>Sachenrecht, Kreditsicherheiten &amp; Insolvenz</x:v>
      </x:c>
      <x:c r="M771" s="5" t="n">
        <x:v>72</x:v>
      </x:c>
      <x:c r="N771" s="5" t="n">
        <x:v>11</x:v>
      </x:c>
      <x:c r="O771" s="5" t="str"/>
      <x:c r="P771" s="5" t="str">
        <x:v>Pilot freigegeben</x:v>
      </x:c>
      <x:c r="Q771" s="5" t="str">
        <x:v>Revision 2 unverändert übernommen</x:v>
      </x:c>
      <x:c r="R771" s="5" t="str">
        <x:v>Nennen Sie ein Beispiel für Aussonderungsberechtigte.</x:v>
      </x:c>
      <x:c r="S771" s="5" t="str">
        <x:v>e275744451324ae86cf3bab96b63d444dda74c1d14f277dd78ff2e7a75cc381a</x:v>
      </x:c>
    </x:row>
    <x:row r="772" ht="36" customHeight="1">
      <x:c r="A772" s="5" t="str">
        <x:v>R-0368</x:v>
      </x:c>
      <x:c r="B772" s="5" t="str">
        <x:v>WQ</x:v>
      </x:c>
      <x:c r="C772" s="5" t="str">
        <x:v>3</x:v>
      </x:c>
      <x:c r="D772" s="5" t="str">
        <x:v>Recht und Steuern</x:v>
      </x:c>
      <x:c r="E772" s="5" t="str">
        <x:v>Recht</x:v>
      </x:c>
      <x:c r="F772" s="5" t="str">
        <x:v>ui-wq-recht-sachen</x:v>
      </x:c>
      <x:c r="G772" s="5" t="str">
        <x:v>BGB Sachenrecht</x:v>
      </x:c>
      <x:c r="H772" s="5" t="str">
        <x:v>tr-wq-r10</x:v>
      </x:c>
      <x:c r="I772" s="5" t="str">
        <x:v>3.1.3.3</x:v>
      </x:c>
      <x:c r="J772" s="5" t="str">
        <x:v>Insolvenz und Gläubigerrechte</x:v>
      </x:c>
      <x:c r="K772" s="5" t="str"/>
      <x:c r="L772" s="5" t="str">
        <x:v>Sachenrecht, Kreditsicherheiten &amp; Insolvenz</x:v>
      </x:c>
      <x:c r="M772" s="5" t="n">
        <x:v>73</x:v>
      </x:c>
      <x:c r="N772" s="5" t="n">
        <x:v>12</x:v>
      </x:c>
      <x:c r="O772" s="5" t="str"/>
      <x:c r="P772" s="5" t="str">
        <x:v>Pilot freigegeben</x:v>
      </x:c>
      <x:c r="Q772" s="5" t="str">
        <x:v>Revision 2 unverändert übernommen</x:v>
      </x:c>
      <x:c r="R772" s="5" t="str">
        <x:v>Welche wesentlichen Wirkungen hat die Eröffnung eines Insolvenzverfahrens?</x:v>
      </x:c>
      <x:c r="S772" s="5" t="str">
        <x:v>1a9fc8d485a2e4f4995a3f0855c326889321591338631d5a102af1d64c853b01</x:v>
      </x:c>
    </x:row>
    <x:row r="773" ht="36" customHeight="1">
      <x:c r="A773" s="5" t="str">
        <x:v>R-0369</x:v>
      </x:c>
      <x:c r="B773" s="5" t="str">
        <x:v>WQ</x:v>
      </x:c>
      <x:c r="C773" s="5" t="str">
        <x:v>3</x:v>
      </x:c>
      <x:c r="D773" s="5" t="str">
        <x:v>Recht und Steuern</x:v>
      </x:c>
      <x:c r="E773" s="5" t="str">
        <x:v>Recht</x:v>
      </x:c>
      <x:c r="F773" s="5" t="str">
        <x:v>ui-wq-recht-sachen</x:v>
      </x:c>
      <x:c r="G773" s="5" t="str">
        <x:v>BGB Sachenrecht</x:v>
      </x:c>
      <x:c r="H773" s="5" t="str">
        <x:v>tr-wq-r10</x:v>
      </x:c>
      <x:c r="I773" s="5" t="str">
        <x:v>3.1.3.3</x:v>
      </x:c>
      <x:c r="J773" s="5" t="str">
        <x:v>Insolvenz und Gläubigerrechte</x:v>
      </x:c>
      <x:c r="K773" s="5" t="str"/>
      <x:c r="L773" s="5" t="str">
        <x:v>Sachenrecht, Kreditsicherheiten &amp; Insolvenz</x:v>
      </x:c>
      <x:c r="M773" s="5" t="n">
        <x:v>74</x:v>
      </x:c>
      <x:c r="N773" s="5" t="n">
        <x:v>13</x:v>
      </x:c>
      <x:c r="O773" s="5" t="str"/>
      <x:c r="P773" s="5" t="str">
        <x:v>Pilot freigegeben</x:v>
      </x:c>
      <x:c r="Q773" s="5" t="str">
        <x:v>Revision 2 unverändert übernommen</x:v>
      </x:c>
      <x:c r="R773" s="5" t="str">
        <x:v>Was versteht man unter der Insolvenzmasse?</x:v>
      </x:c>
      <x:c r="S773" s="5" t="str">
        <x:v>46fa0212d2794c801a49eaf3dfacff9f6d6a049f28a20c40fe002c21aec40b29</x:v>
      </x:c>
    </x:row>
    <x:row r="774" ht="36" customHeight="1">
      <x:c r="A774" s="5" t="str">
        <x:v>R-0370</x:v>
      </x:c>
      <x:c r="B774" s="5" t="str">
        <x:v>WQ</x:v>
      </x:c>
      <x:c r="C774" s="5" t="str">
        <x:v>3</x:v>
      </x:c>
      <x:c r="D774" s="5" t="str">
        <x:v>Recht und Steuern</x:v>
      </x:c>
      <x:c r="E774" s="5" t="str">
        <x:v>Recht</x:v>
      </x:c>
      <x:c r="F774" s="5" t="str">
        <x:v>ui-wq-recht-sachen</x:v>
      </x:c>
      <x:c r="G774" s="5" t="str">
        <x:v>BGB Sachenrecht</x:v>
      </x:c>
      <x:c r="H774" s="5" t="str">
        <x:v>tr-wq-r10</x:v>
      </x:c>
      <x:c r="I774" s="5" t="str">
        <x:v>3.1.3.3</x:v>
      </x:c>
      <x:c r="J774" s="5" t="str">
        <x:v>Insolvenz und Gläubigerrechte</x:v>
      </x:c>
      <x:c r="K774" s="5" t="str"/>
      <x:c r="L774" s="5" t="str">
        <x:v>Sachenrecht, Kreditsicherheiten &amp; Insolvenz</x:v>
      </x:c>
      <x:c r="M774" s="5" t="n">
        <x:v>75</x:v>
      </x:c>
      <x:c r="N774" s="5" t="n">
        <x:v>14</x:v>
      </x:c>
      <x:c r="O774" s="5" t="str"/>
      <x:c r="P774" s="5" t="str">
        <x:v>Pilot freigegeben</x:v>
      </x:c>
      <x:c r="Q774" s="5" t="str">
        <x:v>Revision 2 unverändert übernommen</x:v>
      </x:c>
      <x:c r="R774" s="5" t="str">
        <x:v>Welche Aufgabe hat der Insolvenzverwalter?</x:v>
      </x:c>
      <x:c r="S774" s="5" t="str">
        <x:v>37e6e24217e98f7ff5e14919a885a18a3c6923b0114bf0f1c7777813172ee2ff</x:v>
      </x:c>
    </x:row>
    <x:row r="775" ht="36" customHeight="1">
      <x:c r="A775" s="5" t="str">
        <x:v>R-0371</x:v>
      </x:c>
      <x:c r="B775" s="5" t="str">
        <x:v>WQ</x:v>
      </x:c>
      <x:c r="C775" s="5" t="str">
        <x:v>3</x:v>
      </x:c>
      <x:c r="D775" s="5" t="str">
        <x:v>Recht und Steuern</x:v>
      </x:c>
      <x:c r="E775" s="5" t="str">
        <x:v>Recht</x:v>
      </x:c>
      <x:c r="F775" s="5" t="str">
        <x:v>ui-wq-recht-sachen</x:v>
      </x:c>
      <x:c r="G775" s="5" t="str">
        <x:v>BGB Sachenrecht</x:v>
      </x:c>
      <x:c r="H775" s="5" t="str">
        <x:v>tr-wq-r10</x:v>
      </x:c>
      <x:c r="I775" s="5" t="str">
        <x:v>3.1.3.3</x:v>
      </x:c>
      <x:c r="J775" s="5" t="str">
        <x:v>Insolvenz und Gläubigerrechte</x:v>
      </x:c>
      <x:c r="K775" s="5" t="str"/>
      <x:c r="L775" s="5" t="str">
        <x:v>Sachenrecht, Kreditsicherheiten &amp; Insolvenz</x:v>
      </x:c>
      <x:c r="M775" s="5" t="n">
        <x:v>76</x:v>
      </x:c>
      <x:c r="N775" s="5" t="n">
        <x:v>15</x:v>
      </x:c>
      <x:c r="O775" s="5" t="str"/>
      <x:c r="P775" s="5" t="str">
        <x:v>Pilot freigegeben</x:v>
      </x:c>
      <x:c r="Q775" s="5" t="str">
        <x:v>Revision 2 unverändert übernommen</x:v>
      </x:c>
      <x:c r="R775" s="5" t="str">
        <x:v>Eine Lieferantin hat Räder unter Eigentumsvorbehalt geliefert. Vor vollständiger Kaufpreiszahlung wird über das Vermögen des Käufers das Insolvenzverfahren eröffnet. Warum kann die Lieferantin die Räder aus der Insolvenzmasse aussondern?</x:v>
      </x:c>
      <x:c r="S775" s="5" t="str">
        <x:v>ebcfdbba3f5d62442c15a589f6ea07993f1870250f39cc8062a9daeb400cdb4e</x:v>
      </x:c>
    </x:row>
    <x:row r="776" ht="36" customHeight="1">
      <x:c r="A776" s="5" t="str">
        <x:v>R-0372</x:v>
      </x:c>
      <x:c r="B776" s="5" t="str">
        <x:v>WQ</x:v>
      </x:c>
      <x:c r="C776" s="5" t="str">
        <x:v>3</x:v>
      </x:c>
      <x:c r="D776" s="5" t="str">
        <x:v>Recht und Steuern</x:v>
      </x:c>
      <x:c r="E776" s="5" t="str">
        <x:v>Recht</x:v>
      </x:c>
      <x:c r="F776" s="5" t="str">
        <x:v>ui-wq-recht-sachen</x:v>
      </x:c>
      <x:c r="G776" s="5" t="str">
        <x:v>BGB Sachenrecht</x:v>
      </x:c>
      <x:c r="H776" s="5" t="str">
        <x:v>tr-wq-r08</x:v>
      </x:c>
      <x:c r="I776" s="5" t="str">
        <x:v>3.1.3.1</x:v>
      </x:c>
      <x:c r="J776" s="5" t="str">
        <x:v>Besitz und Eigentumsübertragung</x:v>
      </x:c>
      <x:c r="K776" s="5" t="str"/>
      <x:c r="L776" s="5" t="str">
        <x:v>Sachenrecht, Kreditsicherheiten &amp; Insolvenz</x:v>
      </x:c>
      <x:c r="M776" s="5" t="n">
        <x:v>77</x:v>
      </x:c>
      <x:c r="N776" s="5" t="n">
        <x:v>25</x:v>
      </x:c>
      <x:c r="O776" s="5" t="str"/>
      <x:c r="P776" s="5" t="str">
        <x:v>Pilot freigegeben</x:v>
      </x:c>
      <x:c r="Q776" s="5" t="str">
        <x:v>Revision 2 unverändert übernommen</x:v>
      </x:c>
      <x:c r="R776" s="5" t="str">
        <x:v>Welche Voraussetzung muss für einen Herausgabeanspruch nach § 985 BGB vorliegen?</x:v>
      </x:c>
      <x:c r="S776" s="5" t="str">
        <x:v>365e3a351989d89ff849a30b91c477596ff1a56e230f5663150f29df2598f242</x:v>
      </x:c>
    </x:row>
    <x:row r="777" ht="36" customHeight="1">
      <x:c r="A777" s="5" t="str">
        <x:v>R-0373</x:v>
      </x:c>
      <x:c r="B777" s="5" t="str">
        <x:v>WQ</x:v>
      </x:c>
      <x:c r="C777" s="5" t="str">
        <x:v>3</x:v>
      </x:c>
      <x:c r="D777" s="5" t="str">
        <x:v>Recht und Steuern</x:v>
      </x:c>
      <x:c r="E777" s="5" t="str">
        <x:v>Recht</x:v>
      </x:c>
      <x:c r="F777" s="5" t="str">
        <x:v>ui-wq-recht-handel</x:v>
      </x:c>
      <x:c r="G777" s="5" t="str">
        <x:v>Handelsrecht</x:v>
      </x:c>
      <x:c r="H777" s="5" t="str">
        <x:v>tr-wq-r11</x:v>
      </x:c>
      <x:c r="I777" s="5" t="str">
        <x:v>3.1.4.1</x:v>
      </x:c>
      <x:c r="J777" s="5" t="str">
        <x:v>Kaufleute und Firma</x:v>
      </x:c>
      <x:c r="K777" s="5" t="str"/>
      <x:c r="L777" s="5" t="str">
        <x:v>Handelsrecht</x:v>
      </x:c>
      <x:c r="M777" s="5" t="n">
        <x:v>37</x:v>
      </x:c>
      <x:c r="N777" s="5" t="n">
        <x:v>16</x:v>
      </x:c>
      <x:c r="O777" s="5" t="str"/>
      <x:c r="P777" s="5" t="str">
        <x:v>Pilot freigegeben</x:v>
      </x:c>
      <x:c r="Q777" s="5" t="str">
        <x:v>Revision 2 unverändert übernommen</x:v>
      </x:c>
      <x:c r="R777" s="5" t="str">
        <x:v>Was ist Handelsrecht?</x:v>
      </x:c>
      <x:c r="S777" s="5" t="str">
        <x:v>b4d84c7903ce85a440bcf1a7ad392e921591c8e5809c2fac16852b8d037a03a1</x:v>
      </x:c>
    </x:row>
    <x:row r="778" ht="36" customHeight="1">
      <x:c r="A778" s="5" t="str">
        <x:v>R-0374</x:v>
      </x:c>
      <x:c r="B778" s="5" t="str">
        <x:v>WQ</x:v>
      </x:c>
      <x:c r="C778" s="5" t="str">
        <x:v>3</x:v>
      </x:c>
      <x:c r="D778" s="5" t="str">
        <x:v>Recht und Steuern</x:v>
      </x:c>
      <x:c r="E778" s="5" t="str">
        <x:v>Recht</x:v>
      </x:c>
      <x:c r="F778" s="5" t="str">
        <x:v>ui-wq-recht-handel</x:v>
      </x:c>
      <x:c r="G778" s="5" t="str">
        <x:v>Handelsrecht</x:v>
      </x:c>
      <x:c r="H778" s="5" t="str">
        <x:v>tr-wq-r11</x:v>
      </x:c>
      <x:c r="I778" s="5" t="str">
        <x:v>3.1.4.1</x:v>
      </x:c>
      <x:c r="J778" s="5" t="str">
        <x:v>Kaufleute und Firma</x:v>
      </x:c>
      <x:c r="K778" s="5" t="str"/>
      <x:c r="L778" s="5" t="str">
        <x:v>Handelsrecht</x:v>
      </x:c>
      <x:c r="M778" s="5" t="n">
        <x:v>38</x:v>
      </x:c>
      <x:c r="N778" s="5" t="n">
        <x:v>17</x:v>
      </x:c>
      <x:c r="O778" s="5" t="str"/>
      <x:c r="P778" s="5" t="str">
        <x:v>Pilot freigegeben</x:v>
      </x:c>
      <x:c r="Q778" s="5" t="str">
        <x:v>Revision 2 unverändert übernommen</x:v>
      </x:c>
      <x:c r="R778" s="5" t="str">
        <x:v>Welchen Charakter haben die Vorschriften des HGB gegenüber dem BGB?</x:v>
      </x:c>
      <x:c r="S778" s="5" t="str">
        <x:v>553a165dbd2bb1ec5d6515f14a797f1011380f2765e6448de5135989cc5a176a</x:v>
      </x:c>
    </x:row>
    <x:row r="779" ht="36" customHeight="1">
      <x:c r="A779" s="5" t="str">
        <x:v>R-0375</x:v>
      </x:c>
      <x:c r="B779" s="5" t="str">
        <x:v>WQ</x:v>
      </x:c>
      <x:c r="C779" s="5" t="str">
        <x:v>3</x:v>
      </x:c>
      <x:c r="D779" s="5" t="str">
        <x:v>Recht und Steuern</x:v>
      </x:c>
      <x:c r="E779" s="5" t="str">
        <x:v>Recht</x:v>
      </x:c>
      <x:c r="F779" s="5" t="str">
        <x:v>ui-wq-recht-handel</x:v>
      </x:c>
      <x:c r="G779" s="5" t="str">
        <x:v>Handelsrecht</x:v>
      </x:c>
      <x:c r="H779" s="5" t="str">
        <x:v>tr-wq-r11</x:v>
      </x:c>
      <x:c r="I779" s="5" t="str">
        <x:v>3.1.4.1</x:v>
      </x:c>
      <x:c r="J779" s="5" t="str">
        <x:v>Kaufleute und Firma</x:v>
      </x:c>
      <x:c r="K779" s="5" t="str"/>
      <x:c r="L779" s="5" t="str">
        <x:v>Handelsrecht</x:v>
      </x:c>
      <x:c r="M779" s="5" t="n">
        <x:v>39</x:v>
      </x:c>
      <x:c r="N779" s="5" t="n">
        <x:v>18</x:v>
      </x:c>
      <x:c r="O779" s="5" t="str"/>
      <x:c r="P779" s="5" t="str">
        <x:v>Pilot freigegeben</x:v>
      </x:c>
      <x:c r="Q779" s="5" t="str">
        <x:v>Revision 2 unverändert übernommen</x:v>
      </x:c>
      <x:c r="R779" s="5" t="str">
        <x:v>Welche Arten von Kaufleuten kennt das HGB?</x:v>
      </x:c>
      <x:c r="S779" s="5" t="str">
        <x:v>357ca80caa3a456dad502c658be9c3729f649a38fcb66a6d551e3718318e1c52</x:v>
      </x:c>
    </x:row>
    <x:row r="780" ht="36" customHeight="1">
      <x:c r="A780" s="5" t="str">
        <x:v>R-0376</x:v>
      </x:c>
      <x:c r="B780" s="5" t="str">
        <x:v>WQ</x:v>
      </x:c>
      <x:c r="C780" s="5" t="str">
        <x:v>3</x:v>
      </x:c>
      <x:c r="D780" s="5" t="str">
        <x:v>Recht und Steuern</x:v>
      </x:c>
      <x:c r="E780" s="5" t="str">
        <x:v>Recht</x:v>
      </x:c>
      <x:c r="F780" s="5" t="str">
        <x:v>ui-wq-recht-handel</x:v>
      </x:c>
      <x:c r="G780" s="5" t="str">
        <x:v>Handelsrecht</x:v>
      </x:c>
      <x:c r="H780" s="5" t="str">
        <x:v>tr-wq-r11</x:v>
      </x:c>
      <x:c r="I780" s="5" t="str">
        <x:v>3.1.4.1</x:v>
      </x:c>
      <x:c r="J780" s="5" t="str">
        <x:v>Kaufleute und Firma</x:v>
      </x:c>
      <x:c r="K780" s="5" t="str"/>
      <x:c r="L780" s="5" t="str">
        <x:v>Handelsrecht</x:v>
      </x:c>
      <x:c r="M780" s="5" t="n">
        <x:v>40</x:v>
      </x:c>
      <x:c r="N780" s="5" t="n">
        <x:v>19</x:v>
      </x:c>
      <x:c r="O780" s="5" t="str"/>
      <x:c r="P780" s="5" t="str">
        <x:v>Pilot freigegeben</x:v>
      </x:c>
      <x:c r="Q780" s="5" t="str">
        <x:v>Revision 2 unverändert übernommen</x:v>
      </x:c>
      <x:c r="R780" s="5" t="str">
        <x:v>Welche Voraussetzung muss ein Ist-Kaufmann erfüllen?</x:v>
      </x:c>
      <x:c r="S780" s="5" t="str">
        <x:v>0c5d32457d7420c6d7111d00a8601b78d0b8a8f8391e95805bbd38a9664309a2</x:v>
      </x:c>
    </x:row>
    <x:row r="781" ht="36" customHeight="1">
      <x:c r="A781" s="5" t="str">
        <x:v>R-0377</x:v>
      </x:c>
      <x:c r="B781" s="5" t="str">
        <x:v>WQ</x:v>
      </x:c>
      <x:c r="C781" s="5" t="str">
        <x:v>3</x:v>
      </x:c>
      <x:c r="D781" s="5" t="str">
        <x:v>Recht und Steuern</x:v>
      </x:c>
      <x:c r="E781" s="5" t="str">
        <x:v>Recht</x:v>
      </x:c>
      <x:c r="F781" s="5" t="str">
        <x:v>ui-wq-recht-handel</x:v>
      </x:c>
      <x:c r="G781" s="5" t="str">
        <x:v>Handelsrecht</x:v>
      </x:c>
      <x:c r="H781" s="5" t="str">
        <x:v>tr-wq-r11</x:v>
      </x:c>
      <x:c r="I781" s="5" t="str">
        <x:v>3.1.4.1</x:v>
      </x:c>
      <x:c r="J781" s="5" t="str">
        <x:v>Kaufleute und Firma</x:v>
      </x:c>
      <x:c r="K781" s="5" t="str"/>
      <x:c r="L781" s="5" t="str">
        <x:v>Handelsrecht</x:v>
      </x:c>
      <x:c r="M781" s="5" t="n">
        <x:v>41</x:v>
      </x:c>
      <x:c r="N781" s="5" t="n">
        <x:v>20</x:v>
      </x:c>
      <x:c r="O781" s="5" t="str"/>
      <x:c r="P781" s="5" t="str">
        <x:v>Pilot freigegeben</x:v>
      </x:c>
      <x:c r="Q781" s="5" t="str">
        <x:v>Revision 2 unverändert übernommen</x:v>
      </x:c>
      <x:c r="R781" s="5" t="str">
        <x:v>Wann liegt eine kaufmännische Einrichtung vor?</x:v>
      </x:c>
      <x:c r="S781" s="5" t="str">
        <x:v>cd466735793b9819929c5e6b098742e5d70a1f722a63443215ac9c7149edd0aa</x:v>
      </x:c>
    </x:row>
    <x:row r="782" ht="36" customHeight="1">
      <x:c r="A782" s="5" t="str">
        <x:v>R-0378</x:v>
      </x:c>
      <x:c r="B782" s="5" t="str">
        <x:v>WQ</x:v>
      </x:c>
      <x:c r="C782" s="5" t="str">
        <x:v>3</x:v>
      </x:c>
      <x:c r="D782" s="5" t="str">
        <x:v>Recht und Steuern</x:v>
      </x:c>
      <x:c r="E782" s="5" t="str">
        <x:v>Recht</x:v>
      </x:c>
      <x:c r="F782" s="5" t="str">
        <x:v>ui-wq-recht-handel</x:v>
      </x:c>
      <x:c r="G782" s="5" t="str">
        <x:v>Handelsrecht</x:v>
      </x:c>
      <x:c r="H782" s="5" t="str">
        <x:v>tr-wq-r11</x:v>
      </x:c>
      <x:c r="I782" s="5" t="str">
        <x:v>3.1.4.1</x:v>
      </x:c>
      <x:c r="J782" s="5" t="str">
        <x:v>Kaufleute und Firma</x:v>
      </x:c>
      <x:c r="K782" s="5" t="str"/>
      <x:c r="L782" s="5" t="str">
        <x:v>Handelsrecht</x:v>
      </x:c>
      <x:c r="M782" s="5" t="n">
        <x:v>42</x:v>
      </x:c>
      <x:c r="N782" s="5" t="n">
        <x:v>21</x:v>
      </x:c>
      <x:c r="O782" s="5" t="str"/>
      <x:c r="P782" s="5" t="str">
        <x:v>Pilot freigegeben</x:v>
      </x:c>
      <x:c r="Q782" s="5" t="str">
        <x:v>Revision 2 unverändert übernommen</x:v>
      </x:c>
      <x:c r="R782" s="5" t="str">
        <x:v>Was unterscheidet einen Kleingewerbetreibenden vom Ist-Kaufmann?</x:v>
      </x:c>
      <x:c r="S782" s="5" t="str">
        <x:v>bc1c857c9451fe77baa26d6fd6286cbce1f52042bf617e4a30843cc348148563</x:v>
      </x:c>
    </x:row>
    <x:row r="783" ht="36" customHeight="1">
      <x:c r="A783" s="5" t="str">
        <x:v>R-0379</x:v>
      </x:c>
      <x:c r="B783" s="5" t="str">
        <x:v>WQ</x:v>
      </x:c>
      <x:c r="C783" s="5" t="str">
        <x:v>3</x:v>
      </x:c>
      <x:c r="D783" s="5" t="str">
        <x:v>Recht und Steuern</x:v>
      </x:c>
      <x:c r="E783" s="5" t="str">
        <x:v>Recht</x:v>
      </x:c>
      <x:c r="F783" s="5" t="str">
        <x:v>ui-wq-recht-handel</x:v>
      </x:c>
      <x:c r="G783" s="5" t="str">
        <x:v>Handelsrecht</x:v>
      </x:c>
      <x:c r="H783" s="5" t="str">
        <x:v>tr-wq-r11</x:v>
      </x:c>
      <x:c r="I783" s="5" t="str">
        <x:v>3.1.4.1</x:v>
      </x:c>
      <x:c r="J783" s="5" t="str">
        <x:v>Kaufleute und Firma</x:v>
      </x:c>
      <x:c r="K783" s="5" t="str"/>
      <x:c r="L783" s="5" t="str">
        <x:v>Handelsrecht</x:v>
      </x:c>
      <x:c r="M783" s="5" t="n">
        <x:v>43</x:v>
      </x:c>
      <x:c r="N783" s="5" t="n">
        <x:v>22</x:v>
      </x:c>
      <x:c r="O783" s="5" t="str"/>
      <x:c r="P783" s="5" t="str">
        <x:v>Pilot freigegeben</x:v>
      </x:c>
      <x:c r="Q783" s="5" t="str">
        <x:v>Revision 2 unverändert übernommen</x:v>
      </x:c>
      <x:c r="R783" s="5" t="str">
        <x:v>Was ist die Firma eines Kaufmanns?</x:v>
      </x:c>
      <x:c r="S783" s="5" t="str">
        <x:v>3134922a596d0007b12bbbc75d9e028ccd6d0721660a4719f7acd232a8b688e8</x:v>
      </x:c>
    </x:row>
    <x:row r="784" ht="36" customHeight="1">
      <x:c r="A784" s="5" t="str">
        <x:v>R-0380</x:v>
      </x:c>
      <x:c r="B784" s="5" t="str">
        <x:v>WQ</x:v>
      </x:c>
      <x:c r="C784" s="5" t="str">
        <x:v>3</x:v>
      </x:c>
      <x:c r="D784" s="5" t="str">
        <x:v>Recht und Steuern</x:v>
      </x:c>
      <x:c r="E784" s="5" t="str">
        <x:v>Recht</x:v>
      </x:c>
      <x:c r="F784" s="5" t="str">
        <x:v>ui-wq-recht-schuld</x:v>
      </x:c>
      <x:c r="G784" s="5" t="str">
        <x:v>BGB Schuldrecht</x:v>
      </x:c>
      <x:c r="H784" s="5" t="str">
        <x:v>tr-wq-r04</x:v>
      </x:c>
      <x:c r="I784" s="5" t="str">
        <x:v>3.1.2.3</x:v>
      </x:c>
      <x:c r="J784" s="5" t="str">
        <x:v>Warenkauf und Rechte bei Mängeln</x:v>
      </x:c>
      <x:c r="K784" s="5" t="str"/>
      <x:c r="L784" s="5" t="str">
        <x:v>Handelsrecht</x:v>
      </x:c>
      <x:c r="M784" s="5" t="n">
        <x:v>161</x:v>
      </x:c>
      <x:c r="N784" s="5" t="n">
        <x:v>54</x:v>
      </x:c>
      <x:c r="O784" s="5" t="str"/>
      <x:c r="P784" s="5" t="str">
        <x:v>Pilot freigegeben</x:v>
      </x:c>
      <x:c r="Q784" s="5" t="str">
        <x:v>Revision 2 unverändert übernommen</x:v>
      </x:c>
      <x:c r="R784" s="5" t="str">
        <x:v>Ein Käufer erhält mangelhafte Ware und verlangt als Nacherfüllung die Lieferung einer mangelfreien Sache. Auf welche Anspruchsgrundlage stützt sich der Anspruch auf Neulieferung?</x:v>
      </x:c>
      <x:c r="S784" s="5" t="str">
        <x:v>a94a4f346bb5e1bcf1013d377066c2a45e88587fb97f7238985bc4865b549aa5</x:v>
      </x:c>
    </x:row>
    <x:row r="785" ht="36" customHeight="1">
      <x:c r="A785" s="5" t="str">
        <x:v>R-0381</x:v>
      </x:c>
      <x:c r="B785" s="5" t="str">
        <x:v>WQ</x:v>
      </x:c>
      <x:c r="C785" s="5" t="str">
        <x:v>3</x:v>
      </x:c>
      <x:c r="D785" s="5" t="str">
        <x:v>Recht und Steuern</x:v>
      </x:c>
      <x:c r="E785" s="5" t="str">
        <x:v>Recht</x:v>
      </x:c>
      <x:c r="F785" s="5" t="str">
        <x:v>ui-wq-recht-handel</x:v>
      </x:c>
      <x:c r="G785" s="5" t="str">
        <x:v>Handelsrecht</x:v>
      </x:c>
      <x:c r="H785" s="5" t="str">
        <x:v>tr-wq-r15</x:v>
      </x:c>
      <x:c r="I785" s="5" t="str">
        <x:v>3.1.4</x:v>
      </x:c>
      <x:c r="J785" s="5" t="str">
        <x:v>Handelsgeschäfte und Lieferklauseln</x:v>
      </x:c>
      <x:c r="K785" s="5" t="str"/>
      <x:c r="L785" s="5" t="str">
        <x:v>Handelsrecht</x:v>
      </x:c>
      <x:c r="M785" s="5" t="n">
        <x:v>44</x:v>
      </x:c>
      <x:c r="N785" s="5" t="n">
        <x:v>4</x:v>
      </x:c>
      <x:c r="O785" s="5" t="str"/>
      <x:c r="P785" s="5" t="str">
        <x:v>Pilot freigegeben</x:v>
      </x:c>
      <x:c r="Q785" s="5" t="str">
        <x:v>Revision 2 unverändert übernommen</x:v>
      </x:c>
      <x:c r="R785" s="5" t="str">
        <x:v>Welche Pflicht hat der Käufer bei einem beiderseitigen Handelskauf nach § 377 HGB?</x:v>
      </x:c>
      <x:c r="S785" s="5" t="str">
        <x:v>7e611524b528824b4dfabce1dede129718182a8549ac4af26ae86b4eb95db09e</x:v>
      </x:c>
    </x:row>
    <x:row r="786" ht="36" customHeight="1">
      <x:c r="A786" s="5" t="str">
        <x:v>R-0382</x:v>
      </x:c>
      <x:c r="B786" s="5" t="str">
        <x:v>WQ</x:v>
      </x:c>
      <x:c r="C786" s="5" t="str">
        <x:v>3</x:v>
      </x:c>
      <x:c r="D786" s="5" t="str">
        <x:v>Recht und Steuern</x:v>
      </x:c>
      <x:c r="E786" s="5" t="str">
        <x:v>Recht</x:v>
      </x:c>
      <x:c r="F786" s="5" t="str">
        <x:v>ui-wq-recht-handel</x:v>
      </x:c>
      <x:c r="G786" s="5" t="str">
        <x:v>Handelsrecht</x:v>
      </x:c>
      <x:c r="H786" s="5" t="str">
        <x:v>tr-wq-r15</x:v>
      </x:c>
      <x:c r="I786" s="5" t="str">
        <x:v>3.1.4</x:v>
      </x:c>
      <x:c r="J786" s="5" t="str">
        <x:v>Handelsgeschäfte und Lieferklauseln</x:v>
      </x:c>
      <x:c r="K786" s="5" t="str"/>
      <x:c r="L786" s="5" t="str">
        <x:v>Handelsrecht</x:v>
      </x:c>
      <x:c r="M786" s="5" t="n">
        <x:v>45</x:v>
      </x:c>
      <x:c r="N786" s="5" t="n">
        <x:v>5</x:v>
      </x:c>
      <x:c r="O786" s="5" t="str"/>
      <x:c r="P786" s="5" t="str">
        <x:v>Pilot freigegeben</x:v>
      </x:c>
      <x:c r="Q786" s="5" t="str">
        <x:v>Revision 2 unverändert übernommen</x:v>
      </x:c>
      <x:c r="R786" s="5" t="str">
        <x:v>Welche Folge hat eine verspätete Mängelrüge nach § 377 HGB?</x:v>
      </x:c>
      <x:c r="S786" s="5" t="str">
        <x:v>ac6e9d48f530e25cb0599ff7aac0019a91678ec47b1ab79cfc12dee7cff4368b</x:v>
      </x:c>
    </x:row>
    <x:row r="787" ht="36" customHeight="1">
      <x:c r="A787" s="5" t="str">
        <x:v>R-0383</x:v>
      </x:c>
      <x:c r="B787" s="5" t="str">
        <x:v>WQ</x:v>
      </x:c>
      <x:c r="C787" s="5" t="str">
        <x:v>3</x:v>
      </x:c>
      <x:c r="D787" s="5" t="str">
        <x:v>Recht und Steuern</x:v>
      </x:c>
      <x:c r="E787" s="5" t="str">
        <x:v>Recht</x:v>
      </x:c>
      <x:c r="F787" s="5" t="str">
        <x:v>ui-wq-recht-handel</x:v>
      </x:c>
      <x:c r="G787" s="5" t="str">
        <x:v>Handelsrecht</x:v>
      </x:c>
      <x:c r="H787" s="5" t="str">
        <x:v>tr-wq-r15</x:v>
      </x:c>
      <x:c r="I787" s="5" t="str">
        <x:v>3.1.4</x:v>
      </x:c>
      <x:c r="J787" s="5" t="str">
        <x:v>Handelsgeschäfte und Lieferklauseln</x:v>
      </x:c>
      <x:c r="K787" s="5" t="str"/>
      <x:c r="L787" s="5" t="str">
        <x:v>Handelsrecht</x:v>
      </x:c>
      <x:c r="M787" s="5" t="n">
        <x:v>46</x:v>
      </x:c>
      <x:c r="N787" s="5" t="n">
        <x:v>6</x:v>
      </x:c>
      <x:c r="O787" s="5" t="str"/>
      <x:c r="P787" s="5" t="str">
        <x:v>Pilot freigegeben</x:v>
      </x:c>
      <x:c r="Q787" s="5" t="str">
        <x:v>Revision 2 unverändert übernommen</x:v>
      </x:c>
      <x:c r="R787" s="5" t="str">
        <x:v>Wie ist das Schweigen einer Bank auf einen Überweisungsauftrag rechtlich zu bewerten?</x:v>
      </x:c>
      <x:c r="S787" s="5" t="str">
        <x:v>5329957edae2fb6e8e25f4779335571a1b1016a4fd8202e64c4a135d283d0645</x:v>
      </x:c>
    </x:row>
    <x:row r="788" ht="36" customHeight="1">
      <x:c r="A788" s="5" t="str">
        <x:v>R-0384</x:v>
      </x:c>
      <x:c r="B788" s="5" t="str">
        <x:v>WQ</x:v>
      </x:c>
      <x:c r="C788" s="5" t="str">
        <x:v>3</x:v>
      </x:c>
      <x:c r="D788" s="5" t="str">
        <x:v>Recht und Steuern</x:v>
      </x:c>
      <x:c r="E788" s="5" t="str">
        <x:v>Recht</x:v>
      </x:c>
      <x:c r="F788" s="5" t="str">
        <x:v>ui-wq-recht-handel</x:v>
      </x:c>
      <x:c r="G788" s="5" t="str">
        <x:v>Handelsrecht</x:v>
      </x:c>
      <x:c r="H788" s="5" t="str">
        <x:v>tr-wq-r15</x:v>
      </x:c>
      <x:c r="I788" s="5" t="str">
        <x:v>3.1.4</x:v>
      </x:c>
      <x:c r="J788" s="5" t="str">
        <x:v>Handelsgeschäfte und Lieferklauseln</x:v>
      </x:c>
      <x:c r="K788" s="5" t="str"/>
      <x:c r="L788" s="5" t="str">
        <x:v>Handelsrecht</x:v>
      </x:c>
      <x:c r="M788" s="5" t="n">
        <x:v>47</x:v>
      </x:c>
      <x:c r="N788" s="5" t="n">
        <x:v>7</x:v>
      </x:c>
      <x:c r="O788" s="5" t="str"/>
      <x:c r="P788" s="5" t="str">
        <x:v>Pilot freigegeben</x:v>
      </x:c>
      <x:c r="Q788" s="5" t="str">
        <x:v>Revision 2 unverändert übernommen</x:v>
      </x:c>
      <x:c r="R788" s="5" t="str">
        <x:v>Welche Voraussetzungen gelten für ein kaufmännisches Bestätigungsschreiben?</x:v>
      </x:c>
      <x:c r="S788" s="5" t="str">
        <x:v>fc52a1e83da0926e2a64046d8393ffb00ef35fcac58c5701cdf3e112e9e6edf7</x:v>
      </x:c>
    </x:row>
    <x:row r="789" ht="36" customHeight="1">
      <x:c r="A789" s="5" t="str">
        <x:v>R-0385</x:v>
      </x:c>
      <x:c r="B789" s="5" t="str">
        <x:v>WQ</x:v>
      </x:c>
      <x:c r="C789" s="5" t="str">
        <x:v>3</x:v>
      </x:c>
      <x:c r="D789" s="5" t="str">
        <x:v>Recht und Steuern</x:v>
      </x:c>
      <x:c r="E789" s="5" t="str">
        <x:v>Recht</x:v>
      </x:c>
      <x:c r="F789" s="5" t="str">
        <x:v>ui-wq-recht-handel</x:v>
      </x:c>
      <x:c r="G789" s="5" t="str">
        <x:v>Handelsrecht</x:v>
      </x:c>
      <x:c r="H789" s="5" t="str">
        <x:v>tr-wq-r15</x:v>
      </x:c>
      <x:c r="I789" s="5" t="str">
        <x:v>3.1.4</x:v>
      </x:c>
      <x:c r="J789" s="5" t="str">
        <x:v>Handelsgeschäfte und Lieferklauseln</x:v>
      </x:c>
      <x:c r="K789" s="5" t="str"/>
      <x:c r="L789" s="5" t="str">
        <x:v>Handelsrecht</x:v>
      </x:c>
      <x:c r="M789" s="5" t="n">
        <x:v>48</x:v>
      </x:c>
      <x:c r="N789" s="5" t="n">
        <x:v>8</x:v>
      </x:c>
      <x:c r="O789" s="5" t="str"/>
      <x:c r="P789" s="5" t="str">
        <x:v>Pilot freigegeben</x:v>
      </x:c>
      <x:c r="Q789" s="5" t="str">
        <x:v>Revision 2 unverändert übernommen</x:v>
      </x:c>
      <x:c r="R789" s="5" t="str">
        <x:v>Welche Rechtsfolge hat ein kaufmännisches Bestätigungsschreiben, wenn der Empfänger nicht unverzüglich widerspricht?</x:v>
      </x:c>
      <x:c r="S789" s="5" t="str">
        <x:v>7139df6bb8004e4ce8f9eb3b50045ec623caed3909443b0413e357aa2098e47e</x:v>
      </x:c>
    </x:row>
    <x:row r="790" ht="36" customHeight="1">
      <x:c r="A790" s="5" t="str">
        <x:v>R-0386</x:v>
      </x:c>
      <x:c r="B790" s="5" t="str">
        <x:v>WQ</x:v>
      </x:c>
      <x:c r="C790" s="5" t="str">
        <x:v>3</x:v>
      </x:c>
      <x:c r="D790" s="5" t="str">
        <x:v>Recht und Steuern</x:v>
      </x:c>
      <x:c r="E790" s="5" t="str">
        <x:v>Recht</x:v>
      </x:c>
      <x:c r="F790" s="5" t="str">
        <x:v>ui-wq-recht-handel</x:v>
      </x:c>
      <x:c r="G790" s="5" t="str">
        <x:v>Handelsrecht</x:v>
      </x:c>
      <x:c r="H790" s="5" t="str">
        <x:v>tr-wq-r14</x:v>
      </x:c>
      <x:c r="I790" s="5" t="str">
        <x:v>3.1.4</x:v>
      </x:c>
      <x:c r="J790" s="5" t="str">
        <x:v>Prokura und kaufmännische Vollmachten</x:v>
      </x:c>
      <x:c r="K790" s="5" t="str"/>
      <x:c r="L790" s="5" t="str">
        <x:v>Handelsrecht</x:v>
      </x:c>
      <x:c r="M790" s="5" t="n">
        <x:v>49</x:v>
      </x:c>
      <x:c r="N790" s="5" t="n">
        <x:v>5</x:v>
      </x:c>
      <x:c r="O790" s="5" t="str"/>
      <x:c r="P790" s="5" t="str">
        <x:v>Pilot freigegeben</x:v>
      </x:c>
      <x:c r="Q790" s="5" t="str">
        <x:v>Revision 2 unverändert übernommen</x:v>
      </x:c>
      <x:c r="R790" s="5" t="str">
        <x:v>Wann wird eine Prokura wirksam?</x:v>
      </x:c>
      <x:c r="S790" s="5" t="str">
        <x:v>9ffa2a478f409877f089d08b16512f15922a27f39b054cfa327e5f452ab577a7</x:v>
      </x:c>
    </x:row>
    <x:row r="791" ht="36" customHeight="1">
      <x:c r="A791" s="5" t="str">
        <x:v>R-0387</x:v>
      </x:c>
      <x:c r="B791" s="5" t="str">
        <x:v>WQ</x:v>
      </x:c>
      <x:c r="C791" s="5" t="str">
        <x:v>3</x:v>
      </x:c>
      <x:c r="D791" s="5" t="str">
        <x:v>Recht und Steuern</x:v>
      </x:c>
      <x:c r="E791" s="5" t="str">
        <x:v>Recht</x:v>
      </x:c>
      <x:c r="F791" s="5" t="str">
        <x:v>ui-wq-recht-handel</x:v>
      </x:c>
      <x:c r="G791" s="5" t="str">
        <x:v>Handelsrecht</x:v>
      </x:c>
      <x:c r="H791" s="5" t="str">
        <x:v>tr-wq-r14</x:v>
      </x:c>
      <x:c r="I791" s="5" t="str">
        <x:v>3.1.4</x:v>
      </x:c>
      <x:c r="J791" s="5" t="str">
        <x:v>Prokura und kaufmännische Vollmachten</x:v>
      </x:c>
      <x:c r="K791" s="5" t="str"/>
      <x:c r="L791" s="5" t="str">
        <x:v>Handelsrecht</x:v>
      </x:c>
      <x:c r="M791" s="5" t="n">
        <x:v>50</x:v>
      </x:c>
      <x:c r="N791" s="5" t="n">
        <x:v>6</x:v>
      </x:c>
      <x:c r="O791" s="5" t="str"/>
      <x:c r="P791" s="5" t="str">
        <x:v>Pilot freigegeben</x:v>
      </x:c>
      <x:c r="Q791" s="5" t="str">
        <x:v>Revision 2 unverändert übernommen</x:v>
      </x:c>
      <x:c r="R791" s="5" t="str">
        <x:v>Welche Geschäfte darf ein Prokurist grundsätzlich vornehmen?</x:v>
      </x:c>
      <x:c r="S791" s="5" t="str">
        <x:v>8bf96de3aa788a4557af2f8555a22aafc264c7ca75709a33631382b3fcb63562</x:v>
      </x:c>
    </x:row>
    <x:row r="792" ht="36" customHeight="1">
      <x:c r="A792" s="5" t="str">
        <x:v>R-0388</x:v>
      </x:c>
      <x:c r="B792" s="5" t="str">
        <x:v>WQ</x:v>
      </x:c>
      <x:c r="C792" s="5" t="str">
        <x:v>3</x:v>
      </x:c>
      <x:c r="D792" s="5" t="str">
        <x:v>Recht und Steuern</x:v>
      </x:c>
      <x:c r="E792" s="5" t="str">
        <x:v>Recht</x:v>
      </x:c>
      <x:c r="F792" s="5" t="str">
        <x:v>ui-wq-recht-handel</x:v>
      </x:c>
      <x:c r="G792" s="5" t="str">
        <x:v>Handelsrecht</x:v>
      </x:c>
      <x:c r="H792" s="5" t="str">
        <x:v>tr-wq-r14</x:v>
      </x:c>
      <x:c r="I792" s="5" t="str">
        <x:v>3.1.4</x:v>
      </x:c>
      <x:c r="J792" s="5" t="str">
        <x:v>Prokura und kaufmännische Vollmachten</x:v>
      </x:c>
      <x:c r="K792" s="5" t="str"/>
      <x:c r="L792" s="5" t="str">
        <x:v>Handelsrecht</x:v>
      </x:c>
      <x:c r="M792" s="5" t="n">
        <x:v>51</x:v>
      </x:c>
      <x:c r="N792" s="5" t="n">
        <x:v>7</x:v>
      </x:c>
      <x:c r="O792" s="5" t="str"/>
      <x:c r="P792" s="5" t="str">
        <x:v>Pilot freigegeben</x:v>
      </x:c>
      <x:c r="Q792" s="5" t="str">
        <x:v>Revision 2 unverändert übernommen</x:v>
      </x:c>
      <x:c r="R792" s="5" t="str">
        <x:v>Darf ein Prokurist Grundstücke kaufen?</x:v>
      </x:c>
      <x:c r="S792" s="5" t="str">
        <x:v>94730e8c3b0b03b234c5523075b30597757edc6f2b8c0f9e5ece2f53f7f3ae9f</x:v>
      </x:c>
    </x:row>
    <x:row r="793" ht="36" customHeight="1">
      <x:c r="A793" s="5" t="str">
        <x:v>R-0389</x:v>
      </x:c>
      <x:c r="B793" s="5" t="str">
        <x:v>WQ</x:v>
      </x:c>
      <x:c r="C793" s="5" t="str">
        <x:v>3</x:v>
      </x:c>
      <x:c r="D793" s="5" t="str">
        <x:v>Recht und Steuern</x:v>
      </x:c>
      <x:c r="E793" s="5" t="str">
        <x:v>Recht</x:v>
      </x:c>
      <x:c r="F793" s="5" t="str">
        <x:v>ui-wq-recht-handel</x:v>
      </x:c>
      <x:c r="G793" s="5" t="str">
        <x:v>Handelsrecht</x:v>
      </x:c>
      <x:c r="H793" s="5" t="str">
        <x:v>tr-wq-r14</x:v>
      </x:c>
      <x:c r="I793" s="5" t="str">
        <x:v>3.1.4</x:v>
      </x:c>
      <x:c r="J793" s="5" t="str">
        <x:v>Prokura und kaufmännische Vollmachten</x:v>
      </x:c>
      <x:c r="K793" s="5" t="str"/>
      <x:c r="L793" s="5" t="str">
        <x:v>Handelsrecht</x:v>
      </x:c>
      <x:c r="M793" s="5" t="n">
        <x:v>52</x:v>
      </x:c>
      <x:c r="N793" s="5" t="n">
        <x:v>8</x:v>
      </x:c>
      <x:c r="O793" s="5" t="str"/>
      <x:c r="P793" s="5" t="str">
        <x:v>Pilot freigegeben</x:v>
      </x:c>
      <x:c r="Q793" s="5" t="str">
        <x:v>Revision 2 unverändert übernommen</x:v>
      </x:c>
      <x:c r="R793" s="5" t="str">
        <x:v>Darf ein Prokurist ohne besondere Ermächtigung Grundstücke veräußern oder belasten?</x:v>
      </x:c>
      <x:c r="S793" s="5" t="str">
        <x:v>552540e41d6a28725bec015073c37c0fa86399f7d8b3992037cb407a6b0da2b7</x:v>
      </x:c>
    </x:row>
    <x:row r="794" ht="36" customHeight="1">
      <x:c r="A794" s="5" t="str">
        <x:v>R-0390</x:v>
      </x:c>
      <x:c r="B794" s="5" t="str">
        <x:v>WQ</x:v>
      </x:c>
      <x:c r="C794" s="5" t="str">
        <x:v>3</x:v>
      </x:c>
      <x:c r="D794" s="5" t="str">
        <x:v>Recht und Steuern</x:v>
      </x:c>
      <x:c r="E794" s="5" t="str">
        <x:v>Recht</x:v>
      </x:c>
      <x:c r="F794" s="5" t="str">
        <x:v>ui-wq-recht-handel</x:v>
      </x:c>
      <x:c r="G794" s="5" t="str">
        <x:v>Handelsrecht</x:v>
      </x:c>
      <x:c r="H794" s="5" t="str">
        <x:v>tr-wq-r14</x:v>
      </x:c>
      <x:c r="I794" s="5" t="str">
        <x:v>3.1.4</x:v>
      </x:c>
      <x:c r="J794" s="5" t="str">
        <x:v>Prokura und kaufmännische Vollmachten</x:v>
      </x:c>
      <x:c r="K794" s="5" t="str"/>
      <x:c r="L794" s="5" t="str">
        <x:v>Handelsrecht</x:v>
      </x:c>
      <x:c r="M794" s="5" t="n">
        <x:v>53</x:v>
      </x:c>
      <x:c r="N794" s="5" t="n">
        <x:v>9</x:v>
      </x:c>
      <x:c r="O794" s="5" t="str"/>
      <x:c r="P794" s="5" t="str">
        <x:v>Pilot freigegeben</x:v>
      </x:c>
      <x:c r="Q794" s="5" t="str">
        <x:v>Revision 2 unverändert übernommen</x:v>
      </x:c>
      <x:c r="R794" s="5" t="str">
        <x:v>Für die Rechtsabteilung von Circle Harbor: Eine GmbH hat einer Mitarbeiterin Prokura erteilt. Die Prokuristin kauft im Namen der GmbH ein Grundstück. Für Grundstückskäufe ist keine besondere interne Beschränkung vereinbart. Warum ist der Grundstückskauf für die GmbH wirksam?</x:v>
      </x:c>
      <x:c r="S794" s="5" t="str">
        <x:v>55e3dd46c77b2ffe9209ca0dd68c33f5bc94c32496c6e4898257bb9c2e18bbe5</x:v>
      </x:c>
    </x:row>
    <x:row r="795" ht="36" customHeight="1">
      <x:c r="A795" s="5" t="str">
        <x:v>R-0391</x:v>
      </x:c>
      <x:c r="B795" s="5" t="str">
        <x:v>WQ</x:v>
      </x:c>
      <x:c r="C795" s="5" t="str">
        <x:v>3</x:v>
      </x:c>
      <x:c r="D795" s="5" t="str">
        <x:v>Recht und Steuern</x:v>
      </x:c>
      <x:c r="E795" s="5" t="str">
        <x:v>Recht</x:v>
      </x:c>
      <x:c r="F795" s="5" t="str">
        <x:v>ui-wq-recht-handel</x:v>
      </x:c>
      <x:c r="G795" s="5" t="str">
        <x:v>Handelsrecht</x:v>
      </x:c>
      <x:c r="H795" s="5" t="str">
        <x:v>tr-wq-r14</x:v>
      </x:c>
      <x:c r="I795" s="5" t="str">
        <x:v>3.1.4</x:v>
      </x:c>
      <x:c r="J795" s="5" t="str">
        <x:v>Prokura und kaufmännische Vollmachten</x:v>
      </x:c>
      <x:c r="K795" s="5" t="str"/>
      <x:c r="L795" s="5" t="str">
        <x:v>Handelsrecht</x:v>
      </x:c>
      <x:c r="M795" s="5" t="n">
        <x:v>54</x:v>
      </x:c>
      <x:c r="N795" s="5" t="n">
        <x:v>10</x:v>
      </x:c>
      <x:c r="O795" s="5" t="str"/>
      <x:c r="P795" s="5" t="str">
        <x:v>Pilot freigegeben</x:v>
      </x:c>
      <x:c r="Q795" s="5" t="str">
        <x:v>Revision 2 unverändert übernommen</x:v>
      </x:c>
      <x:c r="R795" s="5" t="str">
        <x:v>Circle Harbor hat einer Mitarbeiterin Prokura erteilt, ihr intern jedoch den Einkauf bestimmter Lackieranlagen untersagt. Die Prokuristin bestellt trotzdem im Namen der Circle Harbor GmbH eine Lackieranlage bei einem Lieferanten, der von der internen Beschränkung nichts weiß. Warum muss Circle Harbor die Anlage abnehmen und bezahlen?</x:v>
      </x:c>
      <x:c r="S795" s="5" t="str">
        <x:v>4e856e7b1ea067e8c8d74b7662e3d1ec4f281675ddfaf098ee05dd9a8f40ccf9</x:v>
      </x:c>
    </x:row>
    <x:row r="796" ht="36" customHeight="1">
      <x:c r="A796" s="5" t="str">
        <x:v>R-0392</x:v>
      </x:c>
      <x:c r="B796" s="5" t="str">
        <x:v>WQ</x:v>
      </x:c>
      <x:c r="C796" s="5" t="str">
        <x:v>3</x:v>
      </x:c>
      <x:c r="D796" s="5" t="str">
        <x:v>Recht und Steuern</x:v>
      </x:c>
      <x:c r="E796" s="5" t="str">
        <x:v>Recht</x:v>
      </x:c>
      <x:c r="F796" s="5" t="str">
        <x:v>ui-wq-recht-handel</x:v>
      </x:c>
      <x:c r="G796" s="5" t="str">
        <x:v>Handelsrecht</x:v>
      </x:c>
      <x:c r="H796" s="5" t="str">
        <x:v>tr-wq-r12</x:v>
      </x:c>
      <x:c r="I796" s="5" t="str">
        <x:v>3.1.4.2</x:v>
      </x:c>
      <x:c r="J796" s="5" t="str">
        <x:v>Register und Publizität</x:v>
      </x:c>
      <x:c r="K796" s="5" t="str"/>
      <x:c r="L796" s="5" t="str">
        <x:v>Handelsrecht</x:v>
      </x:c>
      <x:c r="M796" s="5" t="n">
        <x:v>55</x:v>
      </x:c>
      <x:c r="N796" s="5" t="n">
        <x:v>10</x:v>
      </x:c>
      <x:c r="O796" s="5" t="str"/>
      <x:c r="P796" s="5" t="str">
        <x:v>Pilot freigegeben</x:v>
      </x:c>
      <x:c r="Q796" s="5" t="str">
        <x:v>Revision 2 unverändert übernommen</x:v>
      </x:c>
      <x:c r="R796" s="5" t="str">
        <x:v>Wer führt das Handelsregister?</x:v>
      </x:c>
      <x:c r="S796" s="5" t="str">
        <x:v>ce2a7860c65257d951e585504bb5165d80780bfb7e6f0bf4beca50ce90381cae</x:v>
      </x:c>
    </x:row>
    <x:row r="797" ht="36" customHeight="1">
      <x:c r="A797" s="5" t="str">
        <x:v>R-0393</x:v>
      </x:c>
      <x:c r="B797" s="5" t="str">
        <x:v>WQ</x:v>
      </x:c>
      <x:c r="C797" s="5" t="str">
        <x:v>3</x:v>
      </x:c>
      <x:c r="D797" s="5" t="str">
        <x:v>Recht und Steuern</x:v>
      </x:c>
      <x:c r="E797" s="5" t="str">
        <x:v>Recht</x:v>
      </x:c>
      <x:c r="F797" s="5" t="str">
        <x:v>ui-wq-recht-handel</x:v>
      </x:c>
      <x:c r="G797" s="5" t="str">
        <x:v>Handelsrecht</x:v>
      </x:c>
      <x:c r="H797" s="5" t="str">
        <x:v>tr-wq-r12</x:v>
      </x:c>
      <x:c r="I797" s="5" t="str">
        <x:v>3.1.4.2</x:v>
      </x:c>
      <x:c r="J797" s="5" t="str">
        <x:v>Register und Publizität</x:v>
      </x:c>
      <x:c r="K797" s="5" t="str"/>
      <x:c r="L797" s="5" t="str">
        <x:v>Handelsrecht</x:v>
      </x:c>
      <x:c r="M797" s="5" t="n">
        <x:v>56</x:v>
      </x:c>
      <x:c r="N797" s="5" t="n">
        <x:v>11</x:v>
      </x:c>
      <x:c r="O797" s="5" t="str"/>
      <x:c r="P797" s="5" t="str">
        <x:v>Pilot freigegeben</x:v>
      </x:c>
      <x:c r="Q797" s="5" t="str">
        <x:v>Revision 2 unverändert übernommen</x:v>
      </x:c>
      <x:c r="R797" s="5" t="str">
        <x:v>Welche Unternehmen werden in Abteilung A des Handelsregisters eingetragen?</x:v>
      </x:c>
      <x:c r="S797" s="5" t="str">
        <x:v>fe300f047ca9049b78ef8f0c56a377850e5f9bac3cbeec5135f4e74ba89eeab5</x:v>
      </x:c>
    </x:row>
    <x:row r="798" ht="36" customHeight="1">
      <x:c r="A798" s="5" t="str">
        <x:v>R-0394</x:v>
      </x:c>
      <x:c r="B798" s="5" t="str">
        <x:v>WQ</x:v>
      </x:c>
      <x:c r="C798" s="5" t="str">
        <x:v>3</x:v>
      </x:c>
      <x:c r="D798" s="5" t="str">
        <x:v>Recht und Steuern</x:v>
      </x:c>
      <x:c r="E798" s="5" t="str">
        <x:v>Recht</x:v>
      </x:c>
      <x:c r="F798" s="5" t="str">
        <x:v>ui-wq-recht-handel</x:v>
      </x:c>
      <x:c r="G798" s="5" t="str">
        <x:v>Handelsrecht</x:v>
      </x:c>
      <x:c r="H798" s="5" t="str">
        <x:v>tr-wq-r12</x:v>
      </x:c>
      <x:c r="I798" s="5" t="str">
        <x:v>3.1.4.2</x:v>
      </x:c>
      <x:c r="J798" s="5" t="str">
        <x:v>Register und Publizität</x:v>
      </x:c>
      <x:c r="K798" s="5" t="str"/>
      <x:c r="L798" s="5" t="str">
        <x:v>Handelsrecht</x:v>
      </x:c>
      <x:c r="M798" s="5" t="n">
        <x:v>57</x:v>
      </x:c>
      <x:c r="N798" s="5" t="n">
        <x:v>12</x:v>
      </x:c>
      <x:c r="O798" s="5" t="str"/>
      <x:c r="P798" s="5" t="str">
        <x:v>Pilot freigegeben</x:v>
      </x:c>
      <x:c r="Q798" s="5" t="str">
        <x:v>Revision 2 unverändert übernommen</x:v>
      </x:c>
      <x:c r="R798" s="5" t="str">
        <x:v>Welche Unternehmen werden in Abteilung B des Handelsregisters eingetragen?</x:v>
      </x:c>
      <x:c r="S798" s="5" t="str">
        <x:v>ace10fb595f7f7b7ab93013e313b9d253145289e767e23a29605baa81aab9e5f</x:v>
      </x:c>
    </x:row>
    <x:row r="799" ht="36" customHeight="1">
      <x:c r="A799" s="5" t="str">
        <x:v>R-0395</x:v>
      </x:c>
      <x:c r="B799" s="5" t="str">
        <x:v>WQ</x:v>
      </x:c>
      <x:c r="C799" s="5" t="str">
        <x:v>3</x:v>
      </x:c>
      <x:c r="D799" s="5" t="str">
        <x:v>Recht und Steuern</x:v>
      </x:c>
      <x:c r="E799" s="5" t="str">
        <x:v>Recht</x:v>
      </x:c>
      <x:c r="F799" s="5" t="str">
        <x:v>ui-wq-recht-handel</x:v>
      </x:c>
      <x:c r="G799" s="5" t="str">
        <x:v>Handelsrecht</x:v>
      </x:c>
      <x:c r="H799" s="5" t="str">
        <x:v>tr-wq-r12</x:v>
      </x:c>
      <x:c r="I799" s="5" t="str">
        <x:v>3.1.4.2</x:v>
      </x:c>
      <x:c r="J799" s="5" t="str">
        <x:v>Register und Publizität</x:v>
      </x:c>
      <x:c r="K799" s="5" t="str"/>
      <x:c r="L799" s="5" t="str">
        <x:v>Handelsrecht</x:v>
      </x:c>
      <x:c r="M799" s="5" t="n">
        <x:v>58</x:v>
      </x:c>
      <x:c r="N799" s="5" t="n">
        <x:v>13</x:v>
      </x:c>
      <x:c r="O799" s="5" t="str"/>
      <x:c r="P799" s="5" t="str">
        <x:v>Pilot freigegeben</x:v>
      </x:c>
      <x:c r="Q799" s="5" t="str">
        <x:v>Revision 2 unverändert übernommen</x:v>
      </x:c>
      <x:c r="R799" s="5" t="str">
        <x:v>Was bedeutet positive Publizität des Handelsregisters?</x:v>
      </x:c>
      <x:c r="S799" s="5" t="str">
        <x:v>52c4a35ee699f833cb5002987a101e9b7af86cacf3d0e0a8fc97940e711766b3</x:v>
      </x:c>
    </x:row>
    <x:row r="800" ht="36" customHeight="1">
      <x:c r="A800" s="5" t="str">
        <x:v>R-0396</x:v>
      </x:c>
      <x:c r="B800" s="5" t="str">
        <x:v>WQ</x:v>
      </x:c>
      <x:c r="C800" s="5" t="str">
        <x:v>3</x:v>
      </x:c>
      <x:c r="D800" s="5" t="str">
        <x:v>Recht und Steuern</x:v>
      </x:c>
      <x:c r="E800" s="5" t="str">
        <x:v>Recht</x:v>
      </x:c>
      <x:c r="F800" s="5" t="str">
        <x:v>ui-wq-recht-handel</x:v>
      </x:c>
      <x:c r="G800" s="5" t="str">
        <x:v>Handelsrecht</x:v>
      </x:c>
      <x:c r="H800" s="5" t="str">
        <x:v>tr-wq-r12</x:v>
      </x:c>
      <x:c r="I800" s="5" t="str">
        <x:v>3.1.4.2</x:v>
      </x:c>
      <x:c r="J800" s="5" t="str">
        <x:v>Register und Publizität</x:v>
      </x:c>
      <x:c r="K800" s="5" t="str"/>
      <x:c r="L800" s="5" t="str">
        <x:v>Handelsrecht</x:v>
      </x:c>
      <x:c r="M800" s="5" t="n">
        <x:v>59</x:v>
      </x:c>
      <x:c r="N800" s="5" t="n">
        <x:v>14</x:v>
      </x:c>
      <x:c r="O800" s="5" t="str"/>
      <x:c r="P800" s="5" t="str">
        <x:v>Pilot freigegeben</x:v>
      </x:c>
      <x:c r="Q800" s="5" t="str">
        <x:v>Revision 2 unverändert übernommen</x:v>
      </x:c>
      <x:c r="R800" s="5" t="str">
        <x:v>Was bedeutet negative Publizität des Handelsregisters?</x:v>
      </x:c>
      <x:c r="S800" s="5" t="str">
        <x:v>3014d72af3e31979565e8f52c63b2ab2bed10cc51049ce9460878a48d6c1ca0c</x:v>
      </x:c>
    </x:row>
    <x:row r="801" ht="36" customHeight="1">
      <x:c r="A801" s="5" t="str">
        <x:v>R-0397</x:v>
      </x:c>
      <x:c r="B801" s="5" t="str">
        <x:v>WQ</x:v>
      </x:c>
      <x:c r="C801" s="5" t="str">
        <x:v>3</x:v>
      </x:c>
      <x:c r="D801" s="5" t="str">
        <x:v>Recht und Steuern</x:v>
      </x:c>
      <x:c r="E801" s="5" t="str">
        <x:v>Recht</x:v>
      </x:c>
      <x:c r="F801" s="5" t="str">
        <x:v>ui-wq-recht-handel</x:v>
      </x:c>
      <x:c r="G801" s="5" t="str">
        <x:v>Handelsrecht</x:v>
      </x:c>
      <x:c r="H801" s="5" t="str">
        <x:v>tr-wq-r12</x:v>
      </x:c>
      <x:c r="I801" s="5" t="str">
        <x:v>3.1.4.2</x:v>
      </x:c>
      <x:c r="J801" s="5" t="str">
        <x:v>Register und Publizität</x:v>
      </x:c>
      <x:c r="K801" s="5" t="str"/>
      <x:c r="L801" s="5" t="str">
        <x:v>Handelsrecht</x:v>
      </x:c>
      <x:c r="M801" s="5" t="n">
        <x:v>60</x:v>
      </x:c>
      <x:c r="N801" s="5" t="n">
        <x:v>15</x:v>
      </x:c>
      <x:c r="O801" s="5" t="str"/>
      <x:c r="P801" s="5" t="str">
        <x:v>Pilot freigegeben</x:v>
      </x:c>
      <x:c r="Q801" s="5" t="str">
        <x:v>Revision 2 unverändert übernommen</x:v>
      </x:c>
      <x:c r="R801" s="5" t="str">
        <x:v>Welche drei Funktionen erfüllt das Handelsregister?</x:v>
      </x:c>
      <x:c r="S801" s="5" t="str">
        <x:v>2f5d3febe7f02830c40068cc877cc71ac1878652d3cfd111d18c2a7a74f5f4a5</x:v>
      </x:c>
    </x:row>
    <x:row r="802" ht="36" customHeight="1">
      <x:c r="A802" s="5" t="str">
        <x:v>R-0398</x:v>
      </x:c>
      <x:c r="B802" s="5" t="str">
        <x:v>WQ</x:v>
      </x:c>
      <x:c r="C802" s="5" t="str">
        <x:v>3</x:v>
      </x:c>
      <x:c r="D802" s="5" t="str">
        <x:v>Recht und Steuern</x:v>
      </x:c>
      <x:c r="E802" s="5" t="str">
        <x:v>Recht</x:v>
      </x:c>
      <x:c r="F802" s="5" t="str">
        <x:v>ui-wq-recht-handel</x:v>
      </x:c>
      <x:c r="G802" s="5" t="str">
        <x:v>Handelsrecht</x:v>
      </x:c>
      <x:c r="H802" s="5" t="str">
        <x:v>tr-wq-r12</x:v>
      </x:c>
      <x:c r="I802" s="5" t="str">
        <x:v>3.1.4.2</x:v>
      </x:c>
      <x:c r="J802" s="5" t="str">
        <x:v>Register und Publizität</x:v>
      </x:c>
      <x:c r="K802" s="5" t="str"/>
      <x:c r="L802" s="5" t="str">
        <x:v>Handelsrecht</x:v>
      </x:c>
      <x:c r="M802" s="5" t="n">
        <x:v>61</x:v>
      </x:c>
      <x:c r="N802" s="5" t="n">
        <x:v>16</x:v>
      </x:c>
      <x:c r="O802" s="5" t="str"/>
      <x:c r="P802" s="5" t="str">
        <x:v>Pilot freigegeben</x:v>
      </x:c>
      <x:c r="Q802" s="5" t="str">
        <x:v>Revision 2 unverändert übernommen</x:v>
      </x:c>
      <x:c r="R802" s="5" t="str">
        <x:v>Welche Tatsachen sind typischerweise eintragungspflichtig?</x:v>
      </x:c>
      <x:c r="S802" s="5" t="str">
        <x:v>7995936a5db4c053b8297dbadd28ac14dc6535b61ac0726da293872b0013a223</x:v>
      </x:c>
    </x:row>
    <x:row r="803" ht="36" customHeight="1">
      <x:c r="A803" s="5" t="str">
        <x:v>R-0399</x:v>
      </x:c>
      <x:c r="B803" s="5" t="str">
        <x:v>WQ</x:v>
      </x:c>
      <x:c r="C803" s="5" t="str">
        <x:v>3</x:v>
      </x:c>
      <x:c r="D803" s="5" t="str">
        <x:v>Recht und Steuern</x:v>
      </x:c>
      <x:c r="E803" s="5" t="str">
        <x:v>Recht</x:v>
      </x:c>
      <x:c r="F803" s="5" t="str">
        <x:v>ui-wq-recht-handel</x:v>
      </x:c>
      <x:c r="G803" s="5" t="str">
        <x:v>Handelsrecht</x:v>
      </x:c>
      <x:c r="H803" s="5" t="str">
        <x:v>tr-wq-r12</x:v>
      </x:c>
      <x:c r="I803" s="5" t="str">
        <x:v>3.1.4.2</x:v>
      </x:c>
      <x:c r="J803" s="5" t="str">
        <x:v>Register und Publizität</x:v>
      </x:c>
      <x:c r="K803" s="5" t="str"/>
      <x:c r="L803" s="5" t="str">
        <x:v>Handelsrecht</x:v>
      </x:c>
      <x:c r="M803" s="5" t="n">
        <x:v>62</x:v>
      </x:c>
      <x:c r="N803" s="5" t="n">
        <x:v>17</x:v>
      </x:c>
      <x:c r="O803" s="5" t="str"/>
      <x:c r="P803" s="5" t="str">
        <x:v>Pilot freigegeben</x:v>
      </x:c>
      <x:c r="Q803" s="5" t="str">
        <x:v>Revision 2 unverändert übernommen</x:v>
      </x:c>
      <x:c r="R803" s="5" t="str">
        <x:v>Welche Tatsachen sind typischerweise nicht eintragungspflichtig?</x:v>
      </x:c>
      <x:c r="S803" s="5" t="str">
        <x:v>516b640ce5328c15a90974b2afb2f34f47fa4bdbab282ad8a24778fd27fc2e28</x:v>
      </x:c>
    </x:row>
    <x:row r="804" ht="36" customHeight="1">
      <x:c r="A804" s="5" t="str">
        <x:v>R-0400</x:v>
      </x:c>
      <x:c r="B804" s="5" t="str">
        <x:v>WQ</x:v>
      </x:c>
      <x:c r="C804" s="5" t="str">
        <x:v>3</x:v>
      </x:c>
      <x:c r="D804" s="5" t="str">
        <x:v>Recht und Steuern</x:v>
      </x:c>
      <x:c r="E804" s="5" t="str">
        <x:v>Recht</x:v>
      </x:c>
      <x:c r="F804" s="5" t="str">
        <x:v>ui-wq-recht-handel</x:v>
      </x:c>
      <x:c r="G804" s="5" t="str">
        <x:v>Handelsrecht</x:v>
      </x:c>
      <x:c r="H804" s="5" t="str">
        <x:v>tr-wq-r13</x:v>
      </x:c>
      <x:c r="I804" s="5" t="str">
        <x:v>3.1.4.3</x:v>
      </x:c>
      <x:c r="J804" s="5" t="str">
        <x:v>Handelsvertreter, Makler und Absatzpartner</x:v>
      </x:c>
      <x:c r="K804" s="5" t="str"/>
      <x:c r="L804" s="5" t="str">
        <x:v>Handelsrecht</x:v>
      </x:c>
      <x:c r="M804" s="5" t="n">
        <x:v>63</x:v>
      </x:c>
      <x:c r="N804" s="5" t="n">
        <x:v>6</x:v>
      </x:c>
      <x:c r="O804" s="5" t="str"/>
      <x:c r="P804" s="5" t="str">
        <x:v>Pilot freigegeben</x:v>
      </x:c>
      <x:c r="Q804" s="5" t="str">
        <x:v>Revision 2 unverändert übernommen</x:v>
      </x:c>
      <x:c r="R804" s="5" t="str">
        <x:v>Nennen Sie drei selbstständige kaufmännische Hilfspersonen.</x:v>
      </x:c>
      <x:c r="S804" s="5" t="str">
        <x:v>6e9963c42a05b708eded2c7ddf4b1050e6dd3ece9448a7919a14e9d66a237c90</x:v>
      </x:c>
    </x:row>
    <x:row r="805" ht="36" customHeight="1">
      <x:c r="A805" s="5" t="str">
        <x:v>R-0401</x:v>
      </x:c>
      <x:c r="B805" s="5" t="str">
        <x:v>WQ</x:v>
      </x:c>
      <x:c r="C805" s="5" t="str">
        <x:v>3</x:v>
      </x:c>
      <x:c r="D805" s="5" t="str">
        <x:v>Recht und Steuern</x:v>
      </x:c>
      <x:c r="E805" s="5" t="str">
        <x:v>Recht</x:v>
      </x:c>
      <x:c r="F805" s="5" t="str">
        <x:v>ui-wq-recht-handel</x:v>
      </x:c>
      <x:c r="G805" s="5" t="str">
        <x:v>Handelsrecht</x:v>
      </x:c>
      <x:c r="H805" s="5" t="str">
        <x:v>tr-wq-r13</x:v>
      </x:c>
      <x:c r="I805" s="5" t="str">
        <x:v>3.1.4.3</x:v>
      </x:c>
      <x:c r="J805" s="5" t="str">
        <x:v>Handelsvertreter, Makler und Absatzpartner</x:v>
      </x:c>
      <x:c r="K805" s="5" t="str"/>
      <x:c r="L805" s="5" t="str">
        <x:v>Handelsrecht</x:v>
      </x:c>
      <x:c r="M805" s="5" t="n">
        <x:v>64</x:v>
      </x:c>
      <x:c r="N805" s="5" t="n">
        <x:v>7</x:v>
      </x:c>
      <x:c r="O805" s="5" t="str"/>
      <x:c r="P805" s="5" t="str">
        <x:v>Pilot freigegeben</x:v>
      </x:c>
      <x:c r="Q805" s="5" t="str">
        <x:v>Revision 2 unverändert übernommen</x:v>
      </x:c>
      <x:c r="R805" s="5" t="str">
        <x:v>Wer ist Handelsvertreter?</x:v>
      </x:c>
      <x:c r="S805" s="5" t="str">
        <x:v>145c42d55c7eab62a0b4ee0d14f19f4d4abab5e73c31bf0233f4e41889c9fa77</x:v>
      </x:c>
    </x:row>
    <x:row r="806" ht="36" customHeight="1">
      <x:c r="A806" s="5" t="str">
        <x:v>R-0402</x:v>
      </x:c>
      <x:c r="B806" s="5" t="str">
        <x:v>WQ</x:v>
      </x:c>
      <x:c r="C806" s="5" t="str">
        <x:v>3</x:v>
      </x:c>
      <x:c r="D806" s="5" t="str">
        <x:v>Recht und Steuern</x:v>
      </x:c>
      <x:c r="E806" s="5" t="str">
        <x:v>Recht</x:v>
      </x:c>
      <x:c r="F806" s="5" t="str">
        <x:v>ui-wq-recht-handel</x:v>
      </x:c>
      <x:c r="G806" s="5" t="str">
        <x:v>Handelsrecht</x:v>
      </x:c>
      <x:c r="H806" s="5" t="str">
        <x:v>tr-wq-r13</x:v>
      </x:c>
      <x:c r="I806" s="5" t="str">
        <x:v>3.1.4.3</x:v>
      </x:c>
      <x:c r="J806" s="5" t="str">
        <x:v>Handelsvertreter, Makler und Absatzpartner</x:v>
      </x:c>
      <x:c r="K806" s="5" t="str"/>
      <x:c r="L806" s="5" t="str">
        <x:v>Handelsrecht</x:v>
      </x:c>
      <x:c r="M806" s="5" t="n">
        <x:v>65</x:v>
      </x:c>
      <x:c r="N806" s="5" t="n">
        <x:v>8</x:v>
      </x:c>
      <x:c r="O806" s="5" t="str"/>
      <x:c r="P806" s="5" t="str">
        <x:v>Pilot freigegeben</x:v>
      </x:c>
      <x:c r="Q806" s="5" t="str">
        <x:v>Revision 2 unverändert übernommen</x:v>
      </x:c>
      <x:c r="R806" s="5" t="str">
        <x:v>Wodurch unterscheidet sich der Handelsmakler vom Handelsvertreter?</x:v>
      </x:c>
      <x:c r="S806" s="5" t="str">
        <x:v>10a900b48ec79a8dc83cd2a6b46a3678d3cc93df0a2d1016066f0a5855fba026</x:v>
      </x:c>
    </x:row>
    <x:row r="807" ht="36" customHeight="1">
      <x:c r="A807" s="5" t="str">
        <x:v>R-0403</x:v>
      </x:c>
      <x:c r="B807" s="5" t="str">
        <x:v>WQ</x:v>
      </x:c>
      <x:c r="C807" s="5" t="str">
        <x:v>3</x:v>
      </x:c>
      <x:c r="D807" s="5" t="str">
        <x:v>Recht und Steuern</x:v>
      </x:c>
      <x:c r="E807" s="5" t="str">
        <x:v>Recht</x:v>
      </x:c>
      <x:c r="F807" s="5" t="str">
        <x:v>ui-wq-recht-handel</x:v>
      </x:c>
      <x:c r="G807" s="5" t="str">
        <x:v>Handelsrecht</x:v>
      </x:c>
      <x:c r="H807" s="5" t="str">
        <x:v>tr-wq-r13</x:v>
      </x:c>
      <x:c r="I807" s="5" t="str">
        <x:v>3.1.4.3</x:v>
      </x:c>
      <x:c r="J807" s="5" t="str">
        <x:v>Handelsvertreter, Makler und Absatzpartner</x:v>
      </x:c>
      <x:c r="K807" s="5" t="str"/>
      <x:c r="L807" s="5" t="str">
        <x:v>Handelsrecht</x:v>
      </x:c>
      <x:c r="M807" s="5" t="n">
        <x:v>66</x:v>
      </x:c>
      <x:c r="N807" s="5" t="n">
        <x:v>9</x:v>
      </x:c>
      <x:c r="O807" s="5" t="str"/>
      <x:c r="P807" s="5" t="str">
        <x:v>Pilot freigegeben</x:v>
      </x:c>
      <x:c r="Q807" s="5" t="str">
        <x:v>Revision 2 unverändert übernommen</x:v>
      </x:c>
      <x:c r="R807" s="5" t="str">
        <x:v>Was versteht man unter einem Kommissionsgeschäft?</x:v>
      </x:c>
      <x:c r="S807" s="5" t="str">
        <x:v>b8fcd27efc55ef38b796e4ed5001716dfe4fd5969fa6cecfa77d1387bc03c8ec</x:v>
      </x:c>
    </x:row>
    <x:row r="808" ht="36" customHeight="1">
      <x:c r="A808" s="5" t="str">
        <x:v>R-0404</x:v>
      </x:c>
      <x:c r="B808" s="5" t="str">
        <x:v>WQ</x:v>
      </x:c>
      <x:c r="C808" s="5" t="str">
        <x:v>3</x:v>
      </x:c>
      <x:c r="D808" s="5" t="str">
        <x:v>Recht und Steuern</x:v>
      </x:c>
      <x:c r="E808" s="5" t="str">
        <x:v>Recht</x:v>
      </x:c>
      <x:c r="F808" s="5" t="str">
        <x:v>ui-wq-recht-handel</x:v>
      </x:c>
      <x:c r="G808" s="5" t="str">
        <x:v>Handelsrecht</x:v>
      </x:c>
      <x:c r="H808" s="5" t="str">
        <x:v>tr-wq-r13</x:v>
      </x:c>
      <x:c r="I808" s="5" t="str">
        <x:v>3.1.4.3</x:v>
      </x:c>
      <x:c r="J808" s="5" t="str">
        <x:v>Handelsvertreter, Makler und Absatzpartner</x:v>
      </x:c>
      <x:c r="K808" s="5" t="str"/>
      <x:c r="L808" s="5" t="str">
        <x:v>Handelsrecht</x:v>
      </x:c>
      <x:c r="M808" s="5" t="n">
        <x:v>67</x:v>
      </x:c>
      <x:c r="N808" s="5" t="n">
        <x:v>10</x:v>
      </x:c>
      <x:c r="O808" s="5" t="str"/>
      <x:c r="P808" s="5" t="str">
        <x:v>Pilot freigegeben</x:v>
      </x:c>
      <x:c r="Q808" s="5" t="str">
        <x:v>Revision 2 unverändert übernommen</x:v>
      </x:c>
      <x:c r="R808" s="5" t="str">
        <x:v>Wer ist beim Kommissionsgeschäft der Kommittent?</x:v>
      </x:c>
      <x:c r="S808" s="5" t="str">
        <x:v>d4fdb7795a5a372bfbf70c271494ce2817f39bf71c123c7a4846bf7f3ac4a19d</x:v>
      </x:c>
    </x:row>
    <x:row r="809" ht="36" customHeight="1">
      <x:c r="A809" s="5" t="str">
        <x:v>R-0405</x:v>
      </x:c>
      <x:c r="B809" s="5" t="str">
        <x:v>WQ</x:v>
      </x:c>
      <x:c r="C809" s="5" t="str">
        <x:v>3</x:v>
      </x:c>
      <x:c r="D809" s="5" t="str">
        <x:v>Recht und Steuern</x:v>
      </x:c>
      <x:c r="E809" s="5" t="str">
        <x:v>Recht</x:v>
      </x:c>
      <x:c r="F809" s="5" t="str">
        <x:v>ui-wq-recht-handel</x:v>
      </x:c>
      <x:c r="G809" s="5" t="str">
        <x:v>Handelsrecht</x:v>
      </x:c>
      <x:c r="H809" s="5" t="str">
        <x:v>tr-wq-r13</x:v>
      </x:c>
      <x:c r="I809" s="5" t="str">
        <x:v>3.1.4.3</x:v>
      </x:c>
      <x:c r="J809" s="5" t="str">
        <x:v>Handelsvertreter, Makler und Absatzpartner</x:v>
      </x:c>
      <x:c r="K809" s="5" t="str"/>
      <x:c r="L809" s="5" t="str">
        <x:v>Handelsrecht</x:v>
      </x:c>
      <x:c r="M809" s="5" t="n">
        <x:v>68</x:v>
      </x:c>
      <x:c r="N809" s="5" t="n">
        <x:v>11</x:v>
      </x:c>
      <x:c r="O809" s="5" t="str"/>
      <x:c r="P809" s="5" t="str">
        <x:v>Pilot freigegeben</x:v>
      </x:c>
      <x:c r="Q809" s="5" t="str">
        <x:v>Revision 2 unverändert übernommen</x:v>
      </x:c>
      <x:c r="R809" s="5" t="str">
        <x:v>Kommt beim Kommissionsgeschäft der Kaufvertrag zwischen Kommittent und Drittem zustande?</x:v>
      </x:c>
      <x:c r="S809" s="5" t="str">
        <x:v>a005edcd2472d994d705d48452f0fcac8cdac1b526c63a8c36768af5c96af7b5</x:v>
      </x:c>
    </x:row>
    <x:row r="810" ht="36" customHeight="1">
      <x:c r="A810" s="5" t="str">
        <x:v>R-0406</x:v>
      </x:c>
      <x:c r="B810" s="5" t="str">
        <x:v>WQ</x:v>
      </x:c>
      <x:c r="C810" s="5" t="str">
        <x:v>3</x:v>
      </x:c>
      <x:c r="D810" s="5" t="str">
        <x:v>Recht und Steuern</x:v>
      </x:c>
      <x:c r="E810" s="5" t="str">
        <x:v>Recht</x:v>
      </x:c>
      <x:c r="F810" s="5" t="str">
        <x:v>ui-wq-recht-handel</x:v>
      </x:c>
      <x:c r="G810" s="5" t="str">
        <x:v>Handelsrecht</x:v>
      </x:c>
      <x:c r="H810" s="5" t="str">
        <x:v>tr-wq-r13</x:v>
      </x:c>
      <x:c r="I810" s="5" t="str">
        <x:v>3.1.4.3</x:v>
      </x:c>
      <x:c r="J810" s="5" t="str">
        <x:v>Handelsvertreter, Makler und Absatzpartner</x:v>
      </x:c>
      <x:c r="K810" s="5" t="str"/>
      <x:c r="L810" s="5" t="str">
        <x:v>Handelsrecht</x:v>
      </x:c>
      <x:c r="M810" s="5" t="n">
        <x:v>69</x:v>
      </x:c>
      <x:c r="N810" s="5" t="n">
        <x:v>12</x:v>
      </x:c>
      <x:c r="O810" s="5" t="str"/>
      <x:c r="P810" s="5" t="str">
        <x:v>Pilot freigegeben</x:v>
      </x:c>
      <x:c r="Q810" s="5" t="str">
        <x:v>Revision 2 unverändert übernommen</x:v>
      </x:c>
      <x:c r="R810" s="5" t="str">
        <x:v>Darf der Kommissionär einen Mehrerlös für sich behalten?</x:v>
      </x:c>
      <x:c r="S810" s="5" t="str">
        <x:v>c56b03d2cce58f42bea2812cdb365b33427c2d994dc03e26d9fd226a9421c716</x:v>
      </x:c>
    </x:row>
    <x:row r="811" ht="36" customHeight="1">
      <x:c r="A811" s="5" t="str">
        <x:v>R-0407</x:v>
      </x:c>
      <x:c r="B811" s="5" t="str">
        <x:v>WQ</x:v>
      </x:c>
      <x:c r="C811" s="5" t="str">
        <x:v>3</x:v>
      </x:c>
      <x:c r="D811" s="5" t="str">
        <x:v>Recht und Steuern</x:v>
      </x:c>
      <x:c r="E811" s="5" t="str">
        <x:v>Recht</x:v>
      </x:c>
      <x:c r="F811" s="5" t="str">
        <x:v>ui-wq-recht-arbeit</x:v>
      </x:c>
      <x:c r="G811" s="5" t="str">
        <x:v>Arbeitsrecht</x:v>
      </x:c>
      <x:c r="H811" s="5" t="str">
        <x:v>tr-wq-r19</x:v>
      </x:c>
      <x:c r="I811" s="5" t="str">
        <x:v>3.1.5</x:v>
      </x:c>
      <x:c r="J811" s="5" t="str">
        <x:v>Tarifverträge und arbeitsrechtliche Normen</x:v>
      </x:c>
      <x:c r="K811" s="5" t="str">
        <x:v>3.1.5.1; 3.1.5.2; 3.1.5.3</x:v>
      </x:c>
      <x:c r="L811" s="5" t="str">
        <x:v>Betriebsverfassungs-, Tarif- &amp; Arbeitsschutzrecht</x:v>
      </x:c>
      <x:c r="M811" s="5" t="n">
        <x:v>12</x:v>
      </x:c>
      <x:c r="N811" s="5" t="n">
        <x:v>2</x:v>
      </x:c>
      <x:c r="O811" s="5" t="str"/>
      <x:c r="P811" s="5" t="str">
        <x:v>Pilot freigegeben</x:v>
      </x:c>
      <x:c r="Q811" s="5" t="str">
        <x:v>Revision 2 unverändert übernommen</x:v>
      </x:c>
      <x:c r="R811" s="5" t="str">
        <x:v>In welcher Reihenfolge stehen die arbeitsrechtlichen Rechtsquellen?</x:v>
      </x:c>
      <x:c r="S811" s="5" t="str">
        <x:v>fe55912658564287085a5f3cb333f28a97bdbe1cb209d7ae013a7f78b8b9a7f6</x:v>
      </x:c>
    </x:row>
    <x:row r="812" ht="36" customHeight="1">
      <x:c r="A812" s="5" t="str">
        <x:v>R-0408</x:v>
      </x:c>
      <x:c r="B812" s="5" t="str">
        <x:v>WQ</x:v>
      </x:c>
      <x:c r="C812" s="5" t="str">
        <x:v>3</x:v>
      </x:c>
      <x:c r="D812" s="5" t="str">
        <x:v>Recht und Steuern</x:v>
      </x:c>
      <x:c r="E812" s="5" t="str">
        <x:v>Recht</x:v>
      </x:c>
      <x:c r="F812" s="5" t="str">
        <x:v>ui-wq-recht-arbeit</x:v>
      </x:c>
      <x:c r="G812" s="5" t="str">
        <x:v>Arbeitsrecht</x:v>
      </x:c>
      <x:c r="H812" s="5" t="str">
        <x:v>tr-wq-r19</x:v>
      </x:c>
      <x:c r="I812" s="5" t="str">
        <x:v>3.1.5</x:v>
      </x:c>
      <x:c r="J812" s="5" t="str">
        <x:v>Tarifverträge und arbeitsrechtliche Normen</x:v>
      </x:c>
      <x:c r="K812" s="5" t="str">
        <x:v>3.1.5.1; 3.1.5.2; 3.1.5.3</x:v>
      </x:c>
      <x:c r="L812" s="5" t="str">
        <x:v>Betriebsverfassungs-, Tarif- &amp; Arbeitsschutzrecht</x:v>
      </x:c>
      <x:c r="M812" s="5" t="n">
        <x:v>13</x:v>
      </x:c>
      <x:c r="N812" s="5" t="n">
        <x:v>3</x:v>
      </x:c>
      <x:c r="O812" s="5" t="str"/>
      <x:c r="P812" s="5" t="str">
        <x:v>Pilot freigegeben</x:v>
      </x:c>
      <x:c r="Q812" s="5" t="str">
        <x:v>Revision 2 unverändert übernommen</x:v>
      </x:c>
      <x:c r="R812" s="5" t="str">
        <x:v>Was besagt das Günstigkeitsprinzip im Arbeitsrecht?</x:v>
      </x:c>
      <x:c r="S812" s="5" t="str">
        <x:v>09a69d6a45703b8e56dccdf9645382a3ccf005998c6f014283e18a4ff35d8b53</x:v>
      </x:c>
    </x:row>
    <x:row r="813" ht="36" customHeight="1">
      <x:c r="A813" s="5" t="str">
        <x:v>R-0409</x:v>
      </x:c>
      <x:c r="B813" s="5" t="str">
        <x:v>WQ</x:v>
      </x:c>
      <x:c r="C813" s="5" t="str">
        <x:v>3</x:v>
      </x:c>
      <x:c r="D813" s="5" t="str">
        <x:v>Recht und Steuern</x:v>
      </x:c>
      <x:c r="E813" s="5" t="str">
        <x:v>Recht</x:v>
      </x:c>
      <x:c r="F813" s="5" t="str">
        <x:v>ui-wq-recht-arbeit</x:v>
      </x:c>
      <x:c r="G813" s="5" t="str">
        <x:v>Arbeitsrecht</x:v>
      </x:c>
      <x:c r="H813" s="5" t="str">
        <x:v>tr-wq-r18</x:v>
      </x:c>
      <x:c r="I813" s="5" t="str">
        <x:v>3.1.5.3</x:v>
      </x:c>
      <x:c r="J813" s="5" t="str">
        <x:v>Schutzregeln im Arbeitsverhältnis</x:v>
      </x:c>
      <x:c r="K813" s="5" t="str"/>
      <x:c r="L813" s="5" t="str">
        <x:v>Betriebsverfassungs-, Tarif- &amp; Arbeitsschutzrecht</x:v>
      </x:c>
      <x:c r="M813" s="5" t="n">
        <x:v>14</x:v>
      </x:c>
      <x:c r="N813" s="5" t="n">
        <x:v>3</x:v>
      </x:c>
      <x:c r="O813" s="5" t="str"/>
      <x:c r="P813" s="5" t="str">
        <x:v>Pilot freigegeben</x:v>
      </x:c>
      <x:c r="Q813" s="5" t="str">
        <x:v>Revision 2 unverändert übernommen</x:v>
      </x:c>
      <x:c r="R813" s="5" t="str">
        <x:v>Welche wesentlichen Schutzvorschriften des Mutterschutzgesetzes gelten für schwangere Arbeitnehmerinnen?</x:v>
      </x:c>
      <x:c r="S813" s="5" t="str">
        <x:v>9b5905cc521a5bca3d7f96ed39ba225406d77fb13256f3660c28cdb951f9dbcd</x:v>
      </x:c>
    </x:row>
    <x:row r="814" ht="36" customHeight="1">
      <x:c r="A814" s="5" t="str">
        <x:v>R-0410</x:v>
      </x:c>
      <x:c r="B814" s="5" t="str">
        <x:v>WQ</x:v>
      </x:c>
      <x:c r="C814" s="5" t="str">
        <x:v>3</x:v>
      </x:c>
      <x:c r="D814" s="5" t="str">
        <x:v>Recht und Steuern</x:v>
      </x:c>
      <x:c r="E814" s="5" t="str">
        <x:v>Recht</x:v>
      </x:c>
      <x:c r="F814" s="5" t="str">
        <x:v>ui-wq-recht-arbeit</x:v>
      </x:c>
      <x:c r="G814" s="5" t="str">
        <x:v>Arbeitsrecht</x:v>
      </x:c>
      <x:c r="H814" s="5" t="str">
        <x:v>tr-wq-r16</x:v>
      </x:c>
      <x:c r="I814" s="5" t="str">
        <x:v>3.1.5.1</x:v>
      </x:c>
      <x:c r="J814" s="5" t="str">
        <x:v>Arbeitsvertrag, Entgelt &amp; Kündigung</x:v>
      </x:c>
      <x:c r="K814" s="5" t="str"/>
      <x:c r="L814" s="5" t="str">
        <x:v>Arbeitsvertrag, Entgelt &amp; Kündigung</x:v>
      </x:c>
      <x:c r="M814" s="5" t="n">
        <x:v>15</x:v>
      </x:c>
      <x:c r="N814" s="5" t="n">
        <x:v>9</x:v>
      </x:c>
      <x:c r="O814" s="5" t="str"/>
      <x:c r="P814" s="5" t="str">
        <x:v>Pilot freigegeben</x:v>
      </x:c>
      <x:c r="Q814" s="5" t="str">
        <x:v>Revision 2 unverändert übernommen</x:v>
      </x:c>
      <x:c r="R814" s="5" t="str">
        <x:v>Wie definiert § 611a BGB den Arbeitsvertrag?</x:v>
      </x:c>
      <x:c r="S814" s="5" t="str">
        <x:v>43d760e88bd89872be48dfc8b04bcb93754b58ea7b26e530a554a47023ca8a1f</x:v>
      </x:c>
    </x:row>
    <x:row r="815" ht="36" customHeight="1">
      <x:c r="A815" s="5" t="str">
        <x:v>R-0411</x:v>
      </x:c>
      <x:c r="B815" s="5" t="str">
        <x:v>WQ</x:v>
      </x:c>
      <x:c r="C815" s="5" t="str">
        <x:v>3</x:v>
      </x:c>
      <x:c r="D815" s="5" t="str">
        <x:v>Recht und Steuern</x:v>
      </x:c>
      <x:c r="E815" s="5" t="str">
        <x:v>Recht</x:v>
      </x:c>
      <x:c r="F815" s="5" t="str">
        <x:v>ui-wq-recht-arbeit</x:v>
      </x:c>
      <x:c r="G815" s="5" t="str">
        <x:v>Arbeitsrecht</x:v>
      </x:c>
      <x:c r="H815" s="5" t="str">
        <x:v>tr-wq-r16</x:v>
      </x:c>
      <x:c r="I815" s="5" t="str">
        <x:v>3.1.5.1</x:v>
      </x:c>
      <x:c r="J815" s="5" t="str">
        <x:v>Arbeitsvertrag, Entgelt &amp; Kündigung</x:v>
      </x:c>
      <x:c r="K815" s="5" t="str"/>
      <x:c r="L815" s="5" t="str">
        <x:v>Arbeitsvertrag, Entgelt &amp; Kündigung</x:v>
      </x:c>
      <x:c r="M815" s="5" t="n">
        <x:v>16</x:v>
      </x:c>
      <x:c r="N815" s="5" t="n">
        <x:v>10</x:v>
      </x:c>
      <x:c r="O815" s="5" t="str"/>
      <x:c r="P815" s="5" t="str">
        <x:v>Pilot freigegeben</x:v>
      </x:c>
      <x:c r="Q815" s="5" t="str">
        <x:v>Revision 2 unverändert übernommen</x:v>
      </x:c>
      <x:c r="R815" s="5" t="str">
        <x:v>Worauf beziehen sich Weisungen des Arbeitgebers?</x:v>
      </x:c>
      <x:c r="S815" s="5" t="str">
        <x:v>259e39ec76a77dee43fb179b2a820a2d39b983487b0c8df11bdb37fb9f5d833d</x:v>
      </x:c>
    </x:row>
    <x:row r="816" ht="36" customHeight="1">
      <x:c r="A816" s="5" t="str">
        <x:v>R-0412</x:v>
      </x:c>
      <x:c r="B816" s="5" t="str">
        <x:v>WQ</x:v>
      </x:c>
      <x:c r="C816" s="5" t="str">
        <x:v>3</x:v>
      </x:c>
      <x:c r="D816" s="5" t="str">
        <x:v>Recht und Steuern</x:v>
      </x:c>
      <x:c r="E816" s="5" t="str">
        <x:v>Recht</x:v>
      </x:c>
      <x:c r="F816" s="5" t="str">
        <x:v>ui-wq-recht-arbeit</x:v>
      </x:c>
      <x:c r="G816" s="5" t="str">
        <x:v>Arbeitsrecht</x:v>
      </x:c>
      <x:c r="H816" s="5" t="str">
        <x:v>tr-wq-r16</x:v>
      </x:c>
      <x:c r="I816" s="5" t="str">
        <x:v>3.1.5.1</x:v>
      </x:c>
      <x:c r="J816" s="5" t="str">
        <x:v>Arbeitsvertrag, Entgelt &amp; Kündigung</x:v>
      </x:c>
      <x:c r="K816" s="5" t="str"/>
      <x:c r="L816" s="5" t="str">
        <x:v>Arbeitsvertrag, Entgelt &amp; Kündigung</x:v>
      </x:c>
      <x:c r="M816" s="5" t="n">
        <x:v>17</x:v>
      </x:c>
      <x:c r="N816" s="5" t="n">
        <x:v>11</x:v>
      </x:c>
      <x:c r="O816" s="5" t="str"/>
      <x:c r="P816" s="5" t="str">
        <x:v>Pilot freigegeben</x:v>
      </x:c>
      <x:c r="Q816" s="5" t="str">
        <x:v>Revision 2 unverändert übernommen</x:v>
      </x:c>
      <x:c r="R816" s="5" t="str">
        <x:v>Wozu ist der Arbeitgeber nach § 611a BGB verpflichtet?</x:v>
      </x:c>
      <x:c r="S816" s="5" t="str">
        <x:v>07d0718f4554033a6b2d27a52a49c6efb9a07e512dc747d98f74e31e9ce55d57</x:v>
      </x:c>
    </x:row>
    <x:row r="817" ht="36" customHeight="1">
      <x:c r="A817" s="5" t="str">
        <x:v>R-0413</x:v>
      </x:c>
      <x:c r="B817" s="5" t="str">
        <x:v>WQ</x:v>
      </x:c>
      <x:c r="C817" s="5" t="str">
        <x:v>3</x:v>
      </x:c>
      <x:c r="D817" s="5" t="str">
        <x:v>Recht und Steuern</x:v>
      </x:c>
      <x:c r="E817" s="5" t="str">
        <x:v>Recht</x:v>
      </x:c>
      <x:c r="F817" s="5" t="str">
        <x:v>ui-wq-recht-arbeit</x:v>
      </x:c>
      <x:c r="G817" s="5" t="str">
        <x:v>Arbeitsrecht</x:v>
      </x:c>
      <x:c r="H817" s="5" t="str">
        <x:v>tr-wq-r16</x:v>
      </x:c>
      <x:c r="I817" s="5" t="str">
        <x:v>3.1.5.1</x:v>
      </x:c>
      <x:c r="J817" s="5" t="str">
        <x:v>Arbeitsvertrag, Entgelt &amp; Kündigung</x:v>
      </x:c>
      <x:c r="K817" s="5" t="str">
        <x:v>3.1.5.3</x:v>
      </x:c>
      <x:c r="L817" s="5" t="str">
        <x:v>Arbeitsvertrag, Entgelt &amp; Kündigung</x:v>
      </x:c>
      <x:c r="M817" s="5" t="n">
        <x:v>18</x:v>
      </x:c>
      <x:c r="N817" s="5" t="n">
        <x:v>12</x:v>
      </x:c>
      <x:c r="O817" s="5" t="str"/>
      <x:c r="P817" s="5" t="str">
        <x:v>Pilot freigegeben</x:v>
      </x:c>
      <x:c r="Q817" s="5" t="str">
        <x:v>Revision 2 unverändert übernommen</x:v>
      </x:c>
      <x:c r="R817" s="5" t="str">
        <x:v>Was muss ein Arbeitgeber bei einer Stellenausschreibung nach dem AGG beachten?</x:v>
      </x:c>
      <x:c r="S817" s="5" t="str">
        <x:v>659a436267bcaa5dfc5060018a36b6fd6a5ec2a338bb89045d1d77a98d821036</x:v>
      </x:c>
    </x:row>
    <x:row r="818" ht="36" customHeight="1">
      <x:c r="A818" s="5" t="str">
        <x:v>R-0414</x:v>
      </x:c>
      <x:c r="B818" s="5" t="str">
        <x:v>WQ</x:v>
      </x:c>
      <x:c r="C818" s="5" t="str">
        <x:v>3</x:v>
      </x:c>
      <x:c r="D818" s="5" t="str">
        <x:v>Recht und Steuern</x:v>
      </x:c>
      <x:c r="E818" s="5" t="str">
        <x:v>Recht</x:v>
      </x:c>
      <x:c r="F818" s="5" t="str">
        <x:v>ui-wq-recht-arbeit</x:v>
      </x:c>
      <x:c r="G818" s="5" t="str">
        <x:v>Arbeitsrecht</x:v>
      </x:c>
      <x:c r="H818" s="5" t="str">
        <x:v>tr-wq-r16</x:v>
      </x:c>
      <x:c r="I818" s="5" t="str">
        <x:v>3.1.5.1</x:v>
      </x:c>
      <x:c r="J818" s="5" t="str">
        <x:v>Arbeitsvertrag, Entgelt &amp; Kündigung</x:v>
      </x:c>
      <x:c r="K818" s="5" t="str">
        <x:v>3.1.5.3</x:v>
      </x:c>
      <x:c r="L818" s="5" t="str">
        <x:v>Arbeitsvertrag, Entgelt &amp; Kündigung</x:v>
      </x:c>
      <x:c r="M818" s="5" t="n">
        <x:v>19</x:v>
      </x:c>
      <x:c r="N818" s="5" t="n">
        <x:v>13</x:v>
      </x:c>
      <x:c r="O818" s="5" t="str"/>
      <x:c r="P818" s="5" t="str">
        <x:v>Pilot freigegeben</x:v>
      </x:c>
      <x:c r="Q818" s="5" t="str">
        <x:v>Revision 2 unverändert übernommen</x:v>
      </x:c>
      <x:c r="R818" s="5" t="str">
        <x:v>Nennen Sie Beispiele für unzulässige Diskriminierungsmerkmale in Stellenanzeigen.</x:v>
      </x:c>
      <x:c r="S818" s="5" t="str">
        <x:v>4050779260376597684278b37dc474379b43c6ffbc643ce182ccaf97498df505</x:v>
      </x:c>
    </x:row>
    <x:row r="819" ht="36" customHeight="1">
      <x:c r="A819" s="5" t="str">
        <x:v>R-0415</x:v>
      </x:c>
      <x:c r="B819" s="5" t="str">
        <x:v>WQ</x:v>
      </x:c>
      <x:c r="C819" s="5" t="str">
        <x:v>3</x:v>
      </x:c>
      <x:c r="D819" s="5" t="str">
        <x:v>Recht und Steuern</x:v>
      </x:c>
      <x:c r="E819" s="5" t="str">
        <x:v>Recht</x:v>
      </x:c>
      <x:c r="F819" s="5" t="str">
        <x:v>ui-wq-recht-arbeit</x:v>
      </x:c>
      <x:c r="G819" s="5" t="str">
        <x:v>Arbeitsrecht</x:v>
      </x:c>
      <x:c r="H819" s="5" t="str">
        <x:v>tr-wq-r16</x:v>
      </x:c>
      <x:c r="I819" s="5" t="str">
        <x:v>3.1.5.1</x:v>
      </x:c>
      <x:c r="J819" s="5" t="str">
        <x:v>Arbeitsvertrag, Entgelt &amp; Kündigung</x:v>
      </x:c>
      <x:c r="K819" s="5" t="str"/>
      <x:c r="L819" s="5" t="str">
        <x:v>Arbeitsvertrag, Entgelt &amp; Kündigung</x:v>
      </x:c>
      <x:c r="M819" s="5" t="n">
        <x:v>20</x:v>
      </x:c>
      <x:c r="N819" s="5" t="n">
        <x:v>14</x:v>
      </x:c>
      <x:c r="O819" s="5" t="str"/>
      <x:c r="P819" s="5" t="str">
        <x:v>Pilot freigegeben</x:v>
      </x:c>
      <x:c r="Q819" s="5" t="str">
        <x:v>Revision 2 unverändert übernommen</x:v>
      </x:c>
      <x:c r="R819" s="5" t="str">
        <x:v>Wann können Bewerber die Erstattung ihrer Vorstellungskosten verlangen?</x:v>
      </x:c>
      <x:c r="S819" s="5" t="str">
        <x:v>b74823e4759b24ce2bbcc661dcb39f03ca582aac5900cdbccd34b9d13575f547</x:v>
      </x:c>
    </x:row>
    <x:row r="820" ht="36" customHeight="1">
      <x:c r="A820" s="5" t="str">
        <x:v>R-0416</x:v>
      </x:c>
      <x:c r="B820" s="5" t="str">
        <x:v>WQ</x:v>
      </x:c>
      <x:c r="C820" s="5" t="str">
        <x:v>3</x:v>
      </x:c>
      <x:c r="D820" s="5" t="str">
        <x:v>Recht und Steuern</x:v>
      </x:c>
      <x:c r="E820" s="5" t="str">
        <x:v>Recht</x:v>
      </x:c>
      <x:c r="F820" s="5" t="str">
        <x:v>ui-wq-recht-arbeit</x:v>
      </x:c>
      <x:c r="G820" s="5" t="str">
        <x:v>Arbeitsrecht</x:v>
      </x:c>
      <x:c r="H820" s="5" t="str">
        <x:v>tr-wq-r16</x:v>
      </x:c>
      <x:c r="I820" s="5" t="str">
        <x:v>3.1.5.1</x:v>
      </x:c>
      <x:c r="J820" s="5" t="str">
        <x:v>Arbeitsvertrag, Entgelt &amp; Kündigung</x:v>
      </x:c>
      <x:c r="K820" s="5" t="str"/>
      <x:c r="L820" s="5" t="str">
        <x:v>Arbeitsvertrag, Entgelt &amp; Kündigung</x:v>
      </x:c>
      <x:c r="M820" s="5" t="n">
        <x:v>21</x:v>
      </x:c>
      <x:c r="N820" s="5" t="n">
        <x:v>15</x:v>
      </x:c>
      <x:c r="O820" s="5" t="str"/>
      <x:c r="P820" s="5" t="str">
        <x:v>Pilot freigegeben</x:v>
      </x:c>
      <x:c r="Q820" s="5" t="str">
        <x:v>Revision 2 unverändert übernommen</x:v>
      </x:c>
      <x:c r="R820" s="5" t="str">
        <x:v>Macht es für die Erstattung von Vorstellungskosten einen Unterschied, ob der Bewerber eingestellt wird?</x:v>
      </x:c>
      <x:c r="S820" s="5" t="str">
        <x:v>5a85babdef88eaf545b32b95d2c4ca173db466cf3e5c1283af079304b32118f6</x:v>
      </x:c>
    </x:row>
    <x:row r="821" ht="36" customHeight="1">
      <x:c r="A821" s="5" t="str">
        <x:v>R-0417</x:v>
      </x:c>
      <x:c r="B821" s="5" t="str">
        <x:v>WQ</x:v>
      </x:c>
      <x:c r="C821" s="5" t="str">
        <x:v>3</x:v>
      </x:c>
      <x:c r="D821" s="5" t="str">
        <x:v>Recht und Steuern</x:v>
      </x:c>
      <x:c r="E821" s="5" t="str">
        <x:v>Recht</x:v>
      </x:c>
      <x:c r="F821" s="5" t="str">
        <x:v>ui-wq-recht-arbeit</x:v>
      </x:c>
      <x:c r="G821" s="5" t="str">
        <x:v>Arbeitsrecht</x:v>
      </x:c>
      <x:c r="H821" s="5" t="str">
        <x:v>tr-wq-r16</x:v>
      </x:c>
      <x:c r="I821" s="5" t="str">
        <x:v>3.1.5.1</x:v>
      </x:c>
      <x:c r="J821" s="5" t="str">
        <x:v>Arbeitsvertrag, Entgelt &amp; Kündigung</x:v>
      </x:c>
      <x:c r="K821" s="5" t="str"/>
      <x:c r="L821" s="5" t="str">
        <x:v>Arbeitsvertrag, Entgelt &amp; Kündigung</x:v>
      </x:c>
      <x:c r="M821" s="5" t="n">
        <x:v>22</x:v>
      </x:c>
      <x:c r="N821" s="5" t="n">
        <x:v>16</x:v>
      </x:c>
      <x:c r="O821" s="5" t="str"/>
      <x:c r="P821" s="5" t="str">
        <x:v>Pilot freigegeben</x:v>
      </x:c>
      <x:c r="Q821" s="5" t="str">
        <x:v>Revision 2 unverändert übernommen</x:v>
      </x:c>
      <x:c r="R821" s="5" t="str">
        <x:v>Wie kann ein Arbeitgeber die Erstattung von Vorstellungskosten ausschließen?</x:v>
      </x:c>
      <x:c r="S821" s="5" t="str">
        <x:v>151dcaabe01f4de4fb622b57c459669c4d8a32c65bf29f15e8916fc3ac7c4266</x:v>
      </x:c>
    </x:row>
    <x:row r="822" ht="36" customHeight="1">
      <x:c r="A822" s="5" t="str">
        <x:v>R-0418</x:v>
      </x:c>
      <x:c r="B822" s="5" t="str">
        <x:v>WQ</x:v>
      </x:c>
      <x:c r="C822" s="5" t="str">
        <x:v>3</x:v>
      </x:c>
      <x:c r="D822" s="5" t="str">
        <x:v>Recht und Steuern</x:v>
      </x:c>
      <x:c r="E822" s="5" t="str">
        <x:v>Recht</x:v>
      </x:c>
      <x:c r="F822" s="5" t="str">
        <x:v>ui-wq-recht-arbeit</x:v>
      </x:c>
      <x:c r="G822" s="5" t="str">
        <x:v>Arbeitsrecht</x:v>
      </x:c>
      <x:c r="H822" s="5" t="str">
        <x:v>tr-wq-r16</x:v>
      </x:c>
      <x:c r="I822" s="5" t="str">
        <x:v>3.1.5.1</x:v>
      </x:c>
      <x:c r="J822" s="5" t="str">
        <x:v>Arbeitsvertrag, Entgelt &amp; Kündigung</x:v>
      </x:c>
      <x:c r="K822" s="5" t="str"/>
      <x:c r="L822" s="5" t="str">
        <x:v>Arbeitsvertrag, Entgelt &amp; Kündigung</x:v>
      </x:c>
      <x:c r="M822" s="5" t="n">
        <x:v>23</x:v>
      </x:c>
      <x:c r="N822" s="5" t="n">
        <x:v>17</x:v>
      </x:c>
      <x:c r="O822" s="5" t="str"/>
      <x:c r="P822" s="5" t="str">
        <x:v>Pilot freigegeben</x:v>
      </x:c>
      <x:c r="Q822" s="5" t="str">
        <x:v>Revision 2 unverändert übernommen</x:v>
      </x:c>
      <x:c r="R822" s="5" t="str">
        <x:v>Welche Fragen sind im Vorstellungsgespräch grundsätzlich unzulässig?</x:v>
      </x:c>
      <x:c r="S822" s="5" t="str">
        <x:v>1088456b29069713780bfe6ba6dbdc85af110e0050dbe3ca833e39b34f843e0f</x:v>
      </x:c>
    </x:row>
    <x:row r="823" ht="36" customHeight="1">
      <x:c r="A823" s="5" t="str">
        <x:v>R-0419</x:v>
      </x:c>
      <x:c r="B823" s="5" t="str">
        <x:v>WQ</x:v>
      </x:c>
      <x:c r="C823" s="5" t="str">
        <x:v>3</x:v>
      </x:c>
      <x:c r="D823" s="5" t="str">
        <x:v>Recht und Steuern</x:v>
      </x:c>
      <x:c r="E823" s="5" t="str">
        <x:v>Recht</x:v>
      </x:c>
      <x:c r="F823" s="5" t="str">
        <x:v>ui-wq-recht-arbeit</x:v>
      </x:c>
      <x:c r="G823" s="5" t="str">
        <x:v>Arbeitsrecht</x:v>
      </x:c>
      <x:c r="H823" s="5" t="str">
        <x:v>tr-wq-r16</x:v>
      </x:c>
      <x:c r="I823" s="5" t="str">
        <x:v>3.1.5.1</x:v>
      </x:c>
      <x:c r="J823" s="5" t="str">
        <x:v>Arbeitsvertrag, Entgelt &amp; Kündigung</x:v>
      </x:c>
      <x:c r="K823" s="5" t="str"/>
      <x:c r="L823" s="5" t="str">
        <x:v>Arbeitsvertrag, Entgelt &amp; Kündigung</x:v>
      </x:c>
      <x:c r="M823" s="5" t="n">
        <x:v>24</x:v>
      </x:c>
      <x:c r="N823" s="5" t="n">
        <x:v>18</x:v>
      </x:c>
      <x:c r="O823" s="5" t="str"/>
      <x:c r="P823" s="5" t="str">
        <x:v>Pilot freigegeben</x:v>
      </x:c>
      <x:c r="Q823" s="5" t="str">
        <x:v>Revision 2 unverändert übernommen</x:v>
      </x:c>
      <x:c r="R823" s="5" t="str">
        <x:v>Welche Fragen sind im Vorstellungsgespräch grundsätzlich zulässig?</x:v>
      </x:c>
      <x:c r="S823" s="5" t="str">
        <x:v>d7a79ada7bd92d22124036ecb15456cd07ff73c889c7850abd6a3d830219c282</x:v>
      </x:c>
    </x:row>
    <x:row r="824" ht="36" customHeight="1">
      <x:c r="A824" s="5" t="str">
        <x:v>R-0420</x:v>
      </x:c>
      <x:c r="B824" s="5" t="str">
        <x:v>WQ</x:v>
      </x:c>
      <x:c r="C824" s="5" t="str">
        <x:v>3</x:v>
      </x:c>
      <x:c r="D824" s="5" t="str">
        <x:v>Recht und Steuern</x:v>
      </x:c>
      <x:c r="E824" s="5" t="str">
        <x:v>Recht</x:v>
      </x:c>
      <x:c r="F824" s="5" t="str">
        <x:v>ui-wq-recht-arbeit</x:v>
      </x:c>
      <x:c r="G824" s="5" t="str">
        <x:v>Arbeitsrecht</x:v>
      </x:c>
      <x:c r="H824" s="5" t="str">
        <x:v>tr-wq-r16</x:v>
      </x:c>
      <x:c r="I824" s="5" t="str">
        <x:v>3.1.5.1</x:v>
      </x:c>
      <x:c r="J824" s="5" t="str">
        <x:v>Arbeitsvertrag, Entgelt &amp; Kündigung</x:v>
      </x:c>
      <x:c r="K824" s="5" t="str"/>
      <x:c r="L824" s="5" t="str">
        <x:v>Arbeitsvertrag, Entgelt &amp; Kündigung</x:v>
      </x:c>
      <x:c r="M824" s="5" t="n">
        <x:v>25</x:v>
      </x:c>
      <x:c r="N824" s="5" t="n">
        <x:v>19</x:v>
      </x:c>
      <x:c r="O824" s="5" t="str"/>
      <x:c r="P824" s="5" t="str">
        <x:v>Pilot freigegeben</x:v>
      </x:c>
      <x:c r="Q824" s="5" t="str">
        <x:v>Revision 2 unverändert übernommen</x:v>
      </x:c>
      <x:c r="R824" s="5" t="str">
        <x:v>Wann darf nach Vorstrafen gefragt werden?</x:v>
      </x:c>
      <x:c r="S824" s="5" t="str">
        <x:v>051dc747f9e0d59ae75ff13f9e70c8901a82752cf78533ec44c2fa22a310502e</x:v>
      </x:c>
    </x:row>
    <x:row r="825" ht="36" customHeight="1">
      <x:c r="A825" s="5" t="str">
        <x:v>R-0421</x:v>
      </x:c>
      <x:c r="B825" s="5" t="str">
        <x:v>WQ</x:v>
      </x:c>
      <x:c r="C825" s="5" t="str">
        <x:v>3</x:v>
      </x:c>
      <x:c r="D825" s="5" t="str">
        <x:v>Recht und Steuern</x:v>
      </x:c>
      <x:c r="E825" s="5" t="str">
        <x:v>Recht</x:v>
      </x:c>
      <x:c r="F825" s="5" t="str">
        <x:v>ui-wq-recht-arbeit</x:v>
      </x:c>
      <x:c r="G825" s="5" t="str">
        <x:v>Arbeitsrecht</x:v>
      </x:c>
      <x:c r="H825" s="5" t="str">
        <x:v>tr-wq-r16</x:v>
      </x:c>
      <x:c r="I825" s="5" t="str">
        <x:v>3.1.5.1</x:v>
      </x:c>
      <x:c r="J825" s="5" t="str">
        <x:v>Arbeitsvertrag, Entgelt &amp; Kündigung</x:v>
      </x:c>
      <x:c r="K825" s="5" t="str"/>
      <x:c r="L825" s="5" t="str">
        <x:v>Arbeitsvertrag, Entgelt &amp; Kündigung</x:v>
      </x:c>
      <x:c r="M825" s="5" t="n">
        <x:v>26</x:v>
      </x:c>
      <x:c r="N825" s="5" t="n">
        <x:v>20</x:v>
      </x:c>
      <x:c r="O825" s="5" t="str"/>
      <x:c r="P825" s="5" t="str">
        <x:v>Pilot freigegeben</x:v>
      </x:c>
      <x:c r="Q825" s="5" t="str">
        <x:v>Revision 2 unverändert übernommen</x:v>
      </x:c>
      <x:c r="R825" s="5" t="str">
        <x:v>Welche Folgen kann eine arglistige Täuschung im Bewerbungsverfahren haben?</x:v>
      </x:c>
      <x:c r="S825" s="5" t="str">
        <x:v>365076dc5605d9498d424876e20801fa0a557beaacd5d752a5aff1d7e68da964</x:v>
      </x:c>
    </x:row>
    <x:row r="826" ht="36" customHeight="1">
      <x:c r="A826" s="5" t="str">
        <x:v>R-0422</x:v>
      </x:c>
      <x:c r="B826" s="5" t="str">
        <x:v>WQ</x:v>
      </x:c>
      <x:c r="C826" s="5" t="str">
        <x:v>3</x:v>
      </x:c>
      <x:c r="D826" s="5" t="str">
        <x:v>Recht und Steuern</x:v>
      </x:c>
      <x:c r="E826" s="5" t="str">
        <x:v>Recht</x:v>
      </x:c>
      <x:c r="F826" s="5" t="str">
        <x:v>ui-wq-recht-arbeit</x:v>
      </x:c>
      <x:c r="G826" s="5" t="str">
        <x:v>Arbeitsrecht</x:v>
      </x:c>
      <x:c r="H826" s="5" t="str">
        <x:v>tr-wq-r16</x:v>
      </x:c>
      <x:c r="I826" s="5" t="str">
        <x:v>3.1.5.1</x:v>
      </x:c>
      <x:c r="J826" s="5" t="str">
        <x:v>Arbeitsvertrag, Entgelt &amp; Kündigung</x:v>
      </x:c>
      <x:c r="K826" s="5" t="str"/>
      <x:c r="L826" s="5" t="str">
        <x:v>Arbeitsvertrag, Entgelt &amp; Kündigung</x:v>
      </x:c>
      <x:c r="M826" s="5" t="n">
        <x:v>27</x:v>
      </x:c>
      <x:c r="N826" s="5" t="n">
        <x:v>21</x:v>
      </x:c>
      <x:c r="O826" s="5" t="str"/>
      <x:c r="P826" s="5" t="str">
        <x:v>Pilot freigegeben</x:v>
      </x:c>
      <x:c r="Q826" s="5" t="str">
        <x:v>Revision 2 unverändert übernommen</x:v>
      </x:c>
      <x:c r="R826" s="5" t="str">
        <x:v>Ist für die Wirksamkeit eines Arbeitsvertrags Schriftform erforderlich?</x:v>
      </x:c>
      <x:c r="S826" s="5" t="str">
        <x:v>5fc2077a9bcfa36ee617106174b10a76a5fc8827246c008ae5d0cce7e294e05c</x:v>
      </x:c>
    </x:row>
    <x:row r="827" ht="36" customHeight="1">
      <x:c r="A827" s="5" t="str">
        <x:v>R-0423</x:v>
      </x:c>
      <x:c r="B827" s="5" t="str">
        <x:v>WQ</x:v>
      </x:c>
      <x:c r="C827" s="5" t="str">
        <x:v>3</x:v>
      </x:c>
      <x:c r="D827" s="5" t="str">
        <x:v>Recht und Steuern</x:v>
      </x:c>
      <x:c r="E827" s="5" t="str">
        <x:v>Recht</x:v>
      </x:c>
      <x:c r="F827" s="5" t="str">
        <x:v>ui-wq-recht-arbeit</x:v>
      </x:c>
      <x:c r="G827" s="5" t="str">
        <x:v>Arbeitsrecht</x:v>
      </x:c>
      <x:c r="H827" s="5" t="str">
        <x:v>tr-wq-r16</x:v>
      </x:c>
      <x:c r="I827" s="5" t="str">
        <x:v>3.1.5.1</x:v>
      </x:c>
      <x:c r="J827" s="5" t="str">
        <x:v>Arbeitsvertrag, Entgelt &amp; Kündigung</x:v>
      </x:c>
      <x:c r="K827" s="5" t="str"/>
      <x:c r="L827" s="5" t="str">
        <x:v>Arbeitsvertrag, Entgelt &amp; Kündigung</x:v>
      </x:c>
      <x:c r="M827" s="5" t="n">
        <x:v>28</x:v>
      </x:c>
      <x:c r="N827" s="5" t="n">
        <x:v>22</x:v>
      </x:c>
      <x:c r="O827" s="5" t="str"/>
      <x:c r="P827" s="5" t="str">
        <x:v>Pilot freigegeben</x:v>
      </x:c>
      <x:c r="Q827" s="5" t="str">
        <x:v>Revision 2 unverändert übernommen</x:v>
      </x:c>
      <x:c r="R827" s="5" t="str">
        <x:v>Nennen Sie vier Beschäftigungsarten neben dem unbefristeten Arbeitsverhältnis.</x:v>
      </x:c>
      <x:c r="S827" s="5" t="str">
        <x:v>c502e153db91b080135d3275411825f9686f80b5f43a973a07f7e128fe16ab7a</x:v>
      </x:c>
    </x:row>
    <x:row r="828" ht="36" customHeight="1">
      <x:c r="A828" s="5" t="str">
        <x:v>R-0424</x:v>
      </x:c>
      <x:c r="B828" s="5" t="str">
        <x:v>WQ</x:v>
      </x:c>
      <x:c r="C828" s="5" t="str">
        <x:v>3</x:v>
      </x:c>
      <x:c r="D828" s="5" t="str">
        <x:v>Recht und Steuern</x:v>
      </x:c>
      <x:c r="E828" s="5" t="str">
        <x:v>Recht</x:v>
      </x:c>
      <x:c r="F828" s="5" t="str">
        <x:v>ui-wq-recht-arbeit</x:v>
      </x:c>
      <x:c r="G828" s="5" t="str">
        <x:v>Arbeitsrecht</x:v>
      </x:c>
      <x:c r="H828" s="5" t="str">
        <x:v>tr-wq-r16</x:v>
      </x:c>
      <x:c r="I828" s="5" t="str">
        <x:v>3.1.5.1</x:v>
      </x:c>
      <x:c r="J828" s="5" t="str">
        <x:v>Arbeitsvertrag, Entgelt &amp; Kündigung</x:v>
      </x:c>
      <x:c r="K828" s="5" t="str"/>
      <x:c r="L828" s="5" t="str">
        <x:v>Arbeitsvertrag, Entgelt &amp; Kündigung</x:v>
      </x:c>
      <x:c r="M828" s="5" t="n">
        <x:v>29</x:v>
      </x:c>
      <x:c r="N828" s="5" t="n">
        <x:v>23</x:v>
      </x:c>
      <x:c r="O828" s="5" t="str"/>
      <x:c r="P828" s="5" t="str">
        <x:v>Pilot freigegeben</x:v>
      </x:c>
      <x:c r="Q828" s="5" t="str">
        <x:v>Revision 2 unverändert übernommen</x:v>
      </x:c>
      <x:c r="R828" s="5" t="str">
        <x:v>Warum bieten Arbeitgeber häufig befristete Arbeitsverhältnisse an?</x:v>
      </x:c>
      <x:c r="S828" s="5" t="str">
        <x:v>7d0e6a61059c551e752197286262e2209e6135a67c1b23b66fdbe38fd38b50fa</x:v>
      </x:c>
    </x:row>
    <x:row r="829" ht="36" customHeight="1">
      <x:c r="A829" s="5" t="str">
        <x:v>R-0425</x:v>
      </x:c>
      <x:c r="B829" s="5" t="str">
        <x:v>WQ</x:v>
      </x:c>
      <x:c r="C829" s="5" t="str">
        <x:v>3</x:v>
      </x:c>
      <x:c r="D829" s="5" t="str">
        <x:v>Recht und Steuern</x:v>
      </x:c>
      <x:c r="E829" s="5" t="str">
        <x:v>Recht</x:v>
      </x:c>
      <x:c r="F829" s="5" t="str">
        <x:v>ui-wq-recht-arbeit</x:v>
      </x:c>
      <x:c r="G829" s="5" t="str">
        <x:v>Arbeitsrecht</x:v>
      </x:c>
      <x:c r="H829" s="5" t="str">
        <x:v>tr-wq-r16</x:v>
      </x:c>
      <x:c r="I829" s="5" t="str">
        <x:v>3.1.5.1</x:v>
      </x:c>
      <x:c r="J829" s="5" t="str">
        <x:v>Arbeitsvertrag, Entgelt &amp; Kündigung</x:v>
      </x:c>
      <x:c r="K829" s="5" t="str"/>
      <x:c r="L829" s="5" t="str">
        <x:v>Arbeitsvertrag, Entgelt &amp; Kündigung</x:v>
      </x:c>
      <x:c r="M829" s="5" t="n">
        <x:v>30</x:v>
      </x:c>
      <x:c r="N829" s="5" t="n">
        <x:v>24</x:v>
      </x:c>
      <x:c r="O829" s="5" t="str"/>
      <x:c r="P829" s="5" t="str">
        <x:v>Pilot freigegeben</x:v>
      </x:c>
      <x:c r="Q829" s="5" t="str">
        <x:v>Revision 2 unverändert übernommen</x:v>
      </x:c>
      <x:c r="R829" s="5" t="str">
        <x:v>Wie endet ein befristetes Arbeitsverhältnis?</x:v>
      </x:c>
      <x:c r="S829" s="5" t="str">
        <x:v>577a4421d2b53d38707dde74ca423f0de1eb5886042e3934718d19f280f027e8</x:v>
      </x:c>
    </x:row>
    <x:row r="830" ht="36" customHeight="1">
      <x:c r="A830" s="5" t="str">
        <x:v>R-0426</x:v>
      </x:c>
      <x:c r="B830" s="5" t="str">
        <x:v>WQ</x:v>
      </x:c>
      <x:c r="C830" s="5" t="str">
        <x:v>3</x:v>
      </x:c>
      <x:c r="D830" s="5" t="str">
        <x:v>Recht und Steuern</x:v>
      </x:c>
      <x:c r="E830" s="5" t="str">
        <x:v>Recht</x:v>
      </x:c>
      <x:c r="F830" s="5" t="str">
        <x:v>ui-wq-recht-arbeit</x:v>
      </x:c>
      <x:c r="G830" s="5" t="str">
        <x:v>Arbeitsrecht</x:v>
      </x:c>
      <x:c r="H830" s="5" t="str">
        <x:v>tr-wq-r16</x:v>
      </x:c>
      <x:c r="I830" s="5" t="str">
        <x:v>3.1.5.1</x:v>
      </x:c>
      <x:c r="J830" s="5" t="str">
        <x:v>Arbeitsvertrag, Entgelt &amp; Kündigung</x:v>
      </x:c>
      <x:c r="K830" s="5" t="str"/>
      <x:c r="L830" s="5" t="str">
        <x:v>Arbeitsvertrag, Entgelt &amp; Kündigung</x:v>
      </x:c>
      <x:c r="M830" s="5" t="n">
        <x:v>31</x:v>
      </x:c>
      <x:c r="N830" s="5" t="n">
        <x:v>25</x:v>
      </x:c>
      <x:c r="O830" s="5" t="str"/>
      <x:c r="P830" s="5" t="str">
        <x:v>Pilot freigegeben</x:v>
      </x:c>
      <x:c r="Q830" s="5" t="str">
        <x:v>Revision 2 unverändert übernommen</x:v>
      </x:c>
      <x:c r="R830" s="5" t="str">
        <x:v>Welche Form ist für die Wirksamkeit einer Befristung vorgeschrieben?</x:v>
      </x:c>
      <x:c r="S830" s="5" t="str">
        <x:v>c62aa0185e8d90d03ad1e3c0255f4da389d2b868eda92184d995a7b540ef9c7b</x:v>
      </x:c>
    </x:row>
    <x:row r="831" ht="36" customHeight="1">
      <x:c r="A831" s="5" t="str">
        <x:v>R-0427</x:v>
      </x:c>
      <x:c r="B831" s="5" t="str">
        <x:v>WQ</x:v>
      </x:c>
      <x:c r="C831" s="5" t="str">
        <x:v>3</x:v>
      </x:c>
      <x:c r="D831" s="5" t="str">
        <x:v>Recht und Steuern</x:v>
      </x:c>
      <x:c r="E831" s="5" t="str">
        <x:v>Recht</x:v>
      </x:c>
      <x:c r="F831" s="5" t="str">
        <x:v>ui-wq-recht-arbeit</x:v>
      </x:c>
      <x:c r="G831" s="5" t="str">
        <x:v>Arbeitsrecht</x:v>
      </x:c>
      <x:c r="H831" s="5" t="str">
        <x:v>tr-wq-r16</x:v>
      </x:c>
      <x:c r="I831" s="5" t="str">
        <x:v>3.1.5.1</x:v>
      </x:c>
      <x:c r="J831" s="5" t="str">
        <x:v>Arbeitsvertrag, Entgelt &amp; Kündigung</x:v>
      </x:c>
      <x:c r="K831" s="5" t="str"/>
      <x:c r="L831" s="5" t="str">
        <x:v>Arbeitsvertrag, Entgelt &amp; Kündigung</x:v>
      </x:c>
      <x:c r="M831" s="5" t="n">
        <x:v>32</x:v>
      </x:c>
      <x:c r="N831" s="5" t="n">
        <x:v>26</x:v>
      </x:c>
      <x:c r="O831" s="5" t="str"/>
      <x:c r="P831" s="5" t="str">
        <x:v>Pilot freigegeben</x:v>
      </x:c>
      <x:c r="Q831" s="5" t="str">
        <x:v>Revision 2 unverändert übernommen</x:v>
      </x:c>
      <x:c r="R831" s="5" t="str">
        <x:v>Nennen Sie drei sachliche Gründe für eine Befristung.</x:v>
      </x:c>
      <x:c r="S831" s="5" t="str">
        <x:v>fee42cdb2072445934599ef36b0b7dc6550ec6c49e8c18404c7f3f384aea621f</x:v>
      </x:c>
    </x:row>
    <x:row r="832" ht="36" customHeight="1">
      <x:c r="A832" s="5" t="str">
        <x:v>R-0428</x:v>
      </x:c>
      <x:c r="B832" s="5" t="str">
        <x:v>WQ</x:v>
      </x:c>
      <x:c r="C832" s="5" t="str">
        <x:v>3</x:v>
      </x:c>
      <x:c r="D832" s="5" t="str">
        <x:v>Recht und Steuern</x:v>
      </x:c>
      <x:c r="E832" s="5" t="str">
        <x:v>Recht</x:v>
      </x:c>
      <x:c r="F832" s="5" t="str">
        <x:v>ui-wq-recht-arbeit</x:v>
      </x:c>
      <x:c r="G832" s="5" t="str">
        <x:v>Arbeitsrecht</x:v>
      </x:c>
      <x:c r="H832" s="5" t="str">
        <x:v>tr-wq-r16</x:v>
      </x:c>
      <x:c r="I832" s="5" t="str">
        <x:v>3.1.5.1</x:v>
      </x:c>
      <x:c r="J832" s="5" t="str">
        <x:v>Arbeitsvertrag, Entgelt &amp; Kündigung</x:v>
      </x:c>
      <x:c r="K832" s="5" t="str"/>
      <x:c r="L832" s="5" t="str">
        <x:v>Arbeitsvertrag, Entgelt &amp; Kündigung</x:v>
      </x:c>
      <x:c r="M832" s="5" t="n">
        <x:v>33</x:v>
      </x:c>
      <x:c r="N832" s="5" t="n">
        <x:v>27</x:v>
      </x:c>
      <x:c r="O832" s="5" t="str"/>
      <x:c r="P832" s="5" t="str">
        <x:v>Pilot freigegeben</x:v>
      </x:c>
      <x:c r="Q832" s="5" t="str">
        <x:v>Revision 2 unverändert übernommen</x:v>
      </x:c>
      <x:c r="R832" s="5" t="str">
        <x:v>Was umfasst das Direktionsrecht des Arbeitgebers?</x:v>
      </x:c>
      <x:c r="S832" s="5" t="str">
        <x:v>32360f5b76e6afe66db5649959f32282fa3fb106043b9be5cc3c5fb5875e70e3</x:v>
      </x:c>
    </x:row>
    <x:row r="833" ht="36" customHeight="1">
      <x:c r="A833" s="5" t="str">
        <x:v>R-0429</x:v>
      </x:c>
      <x:c r="B833" s="5" t="str">
        <x:v>WQ</x:v>
      </x:c>
      <x:c r="C833" s="5" t="str">
        <x:v>3</x:v>
      </x:c>
      <x:c r="D833" s="5" t="str">
        <x:v>Recht und Steuern</x:v>
      </x:c>
      <x:c r="E833" s="5" t="str">
        <x:v>Recht</x:v>
      </x:c>
      <x:c r="F833" s="5" t="str">
        <x:v>ui-wq-recht-arbeit</x:v>
      </x:c>
      <x:c r="G833" s="5" t="str">
        <x:v>Arbeitsrecht</x:v>
      </x:c>
      <x:c r="H833" s="5" t="str">
        <x:v>tr-wq-r16</x:v>
      </x:c>
      <x:c r="I833" s="5" t="str">
        <x:v>3.1.5.1</x:v>
      </x:c>
      <x:c r="J833" s="5" t="str">
        <x:v>Arbeitsvertrag, Entgelt &amp; Kündigung</x:v>
      </x:c>
      <x:c r="K833" s="5" t="str"/>
      <x:c r="L833" s="5" t="str">
        <x:v>Arbeitsvertrag, Entgelt &amp; Kündigung</x:v>
      </x:c>
      <x:c r="M833" s="5" t="n">
        <x:v>34</x:v>
      </x:c>
      <x:c r="N833" s="5" t="n">
        <x:v>28</x:v>
      </x:c>
      <x:c r="O833" s="5" t="str"/>
      <x:c r="P833" s="5" t="str">
        <x:v>Pilot freigegeben</x:v>
      </x:c>
      <x:c r="Q833" s="5" t="str">
        <x:v>Revision 2 unverändert übernommen</x:v>
      </x:c>
      <x:c r="R833" s="5" t="str">
        <x:v>Wodurch wird das Direktionsrecht des Arbeitgebers begrenzt?</x:v>
      </x:c>
      <x:c r="S833" s="5" t="str">
        <x:v>8fdf1654215935b356c8f390700468b78854349c491079d6bf400e02a7771848</x:v>
      </x:c>
    </x:row>
    <x:row r="834" ht="36" customHeight="1">
      <x:c r="A834" s="5" t="str">
        <x:v>R-0430</x:v>
      </x:c>
      <x:c r="B834" s="5" t="str">
        <x:v>WQ</x:v>
      </x:c>
      <x:c r="C834" s="5" t="str">
        <x:v>3</x:v>
      </x:c>
      <x:c r="D834" s="5" t="str">
        <x:v>Recht und Steuern</x:v>
      </x:c>
      <x:c r="E834" s="5" t="str">
        <x:v>Recht</x:v>
      </x:c>
      <x:c r="F834" s="5" t="str">
        <x:v>ui-wq-recht-arbeit</x:v>
      </x:c>
      <x:c r="G834" s="5" t="str">
        <x:v>Arbeitsrecht</x:v>
      </x:c>
      <x:c r="H834" s="5" t="str">
        <x:v>tr-wq-r16</x:v>
      </x:c>
      <x:c r="I834" s="5" t="str">
        <x:v>3.1.5.1</x:v>
      </x:c>
      <x:c r="J834" s="5" t="str">
        <x:v>Arbeitsvertrag, Entgelt &amp; Kündigung</x:v>
      </x:c>
      <x:c r="K834" s="5" t="str"/>
      <x:c r="L834" s="5" t="str">
        <x:v>Arbeitsvertrag, Entgelt &amp; Kündigung</x:v>
      </x:c>
      <x:c r="M834" s="5" t="n">
        <x:v>35</x:v>
      </x:c>
      <x:c r="N834" s="5" t="n">
        <x:v>29</x:v>
      </x:c>
      <x:c r="O834" s="5" t="str"/>
      <x:c r="P834" s="5" t="str">
        <x:v>Pilot freigegeben</x:v>
      </x:c>
      <x:c r="Q834" s="5" t="str">
        <x:v>Revision 2 unverändert übernommen</x:v>
      </x:c>
      <x:c r="R834" s="5" t="str">
        <x:v>Worauf muss der Arbeitgeber bei Ausübung seines Direktionsrechts Rücksicht nehmen?</x:v>
      </x:c>
      <x:c r="S834" s="5" t="str">
        <x:v>f7e21675070918fd5694bb27383eb4da672b02889e364e1de240a03b9dc05fab</x:v>
      </x:c>
    </x:row>
    <x:row r="835" ht="36" customHeight="1">
      <x:c r="A835" s="5" t="str">
        <x:v>R-0431</x:v>
      </x:c>
      <x:c r="B835" s="5" t="str">
        <x:v>WQ</x:v>
      </x:c>
      <x:c r="C835" s="5" t="str">
        <x:v>3</x:v>
      </x:c>
      <x:c r="D835" s="5" t="str">
        <x:v>Recht und Steuern</x:v>
      </x:c>
      <x:c r="E835" s="5" t="str">
        <x:v>Recht</x:v>
      </x:c>
      <x:c r="F835" s="5" t="str">
        <x:v>ui-wq-recht-arbeit</x:v>
      </x:c>
      <x:c r="G835" s="5" t="str">
        <x:v>Arbeitsrecht</x:v>
      </x:c>
      <x:c r="H835" s="5" t="str">
        <x:v>tr-wq-r16</x:v>
      </x:c>
      <x:c r="I835" s="5" t="str">
        <x:v>3.1.5.1</x:v>
      </x:c>
      <x:c r="J835" s="5" t="str">
        <x:v>Arbeitsvertrag, Entgelt &amp; Kündigung</x:v>
      </x:c>
      <x:c r="K835" s="5" t="str"/>
      <x:c r="L835" s="5" t="str">
        <x:v>Arbeitsvertrag, Entgelt &amp; Kündigung</x:v>
      </x:c>
      <x:c r="M835" s="5" t="n">
        <x:v>36</x:v>
      </x:c>
      <x:c r="N835" s="5" t="n">
        <x:v>30</x:v>
      </x:c>
      <x:c r="O835" s="5" t="str"/>
      <x:c r="P835" s="5" t="str">
        <x:v>Pilot freigegeben</x:v>
      </x:c>
      <x:c r="Q835" s="5" t="str">
        <x:v>Revision 2 unverändert übernommen</x:v>
      </x:c>
      <x:c r="R835" s="5" t="str">
        <x:v>Wann besteht kein Weisungsrecht des Arbeitgebers?</x:v>
      </x:c>
      <x:c r="S835" s="5" t="str">
        <x:v>cd386a6a1375cffaa0e1f11bf8af2d4937ca8d43f6008f7e7ad1e94b33d31bd0</x:v>
      </x:c>
    </x:row>
    <x:row r="836" ht="36" customHeight="1">
      <x:c r="A836" s="5" t="str">
        <x:v>R-0432</x:v>
      </x:c>
      <x:c r="B836" s="5" t="str">
        <x:v>WQ</x:v>
      </x:c>
      <x:c r="C836" s="5" t="str">
        <x:v>3</x:v>
      </x:c>
      <x:c r="D836" s="5" t="str">
        <x:v>Recht und Steuern</x:v>
      </x:c>
      <x:c r="E836" s="5" t="str">
        <x:v>Recht</x:v>
      </x:c>
      <x:c r="F836" s="5" t="str">
        <x:v>ui-wq-recht-arbeit</x:v>
      </x:c>
      <x:c r="G836" s="5" t="str">
        <x:v>Arbeitsrecht</x:v>
      </x:c>
      <x:c r="H836" s="5" t="str">
        <x:v>tr-wq-r16</x:v>
      </x:c>
      <x:c r="I836" s="5" t="str">
        <x:v>3.1.5.1</x:v>
      </x:c>
      <x:c r="J836" s="5" t="str">
        <x:v>Arbeitsvertrag, Entgelt &amp; Kündigung</x:v>
      </x:c>
      <x:c r="K836" s="5" t="str"/>
      <x:c r="L836" s="5" t="str">
        <x:v>Arbeitsvertrag, Entgelt &amp; Kündigung</x:v>
      </x:c>
      <x:c r="M836" s="5" t="n">
        <x:v>37</x:v>
      </x:c>
      <x:c r="N836" s="5" t="n">
        <x:v>31</x:v>
      </x:c>
      <x:c r="O836" s="5" t="str"/>
      <x:c r="P836" s="5" t="str">
        <x:v>Pilot freigegeben</x:v>
      </x:c>
      <x:c r="Q836" s="5" t="str">
        <x:v>Revision 2 unverändert übernommen</x:v>
      </x:c>
      <x:c r="R836" s="5" t="str">
        <x:v>Welche Nebenpflichten treffen Arbeitnehmer neben der Arbeitspflicht?</x:v>
      </x:c>
      <x:c r="S836" s="5" t="str">
        <x:v>8fdc53e008b97edd14fa291604eb9793a23b600bfa6d708cadc28dda6a92798f</x:v>
      </x:c>
    </x:row>
    <x:row r="837" ht="36" customHeight="1">
      <x:c r="A837" s="5" t="str">
        <x:v>R-0433</x:v>
      </x:c>
      <x:c r="B837" s="5" t="str">
        <x:v>WQ</x:v>
      </x:c>
      <x:c r="C837" s="5" t="str">
        <x:v>3</x:v>
      </x:c>
      <x:c r="D837" s="5" t="str">
        <x:v>Recht und Steuern</x:v>
      </x:c>
      <x:c r="E837" s="5" t="str">
        <x:v>Recht</x:v>
      </x:c>
      <x:c r="F837" s="5" t="str">
        <x:v>ui-wq-recht-arbeit</x:v>
      </x:c>
      <x:c r="G837" s="5" t="str">
        <x:v>Arbeitsrecht</x:v>
      </x:c>
      <x:c r="H837" s="5" t="str">
        <x:v>tr-wq-r16</x:v>
      </x:c>
      <x:c r="I837" s="5" t="str">
        <x:v>3.1.5.1</x:v>
      </x:c>
      <x:c r="J837" s="5" t="str">
        <x:v>Arbeitsvertrag, Entgelt &amp; Kündigung</x:v>
      </x:c>
      <x:c r="K837" s="5" t="str"/>
      <x:c r="L837" s="5" t="str">
        <x:v>Arbeitsvertrag, Entgelt &amp; Kündigung</x:v>
      </x:c>
      <x:c r="M837" s="5" t="n">
        <x:v>38</x:v>
      </x:c>
      <x:c r="N837" s="5" t="n">
        <x:v>32</x:v>
      </x:c>
      <x:c r="O837" s="5" t="str"/>
      <x:c r="P837" s="5" t="str">
        <x:v>Pilot freigegeben</x:v>
      </x:c>
      <x:c r="Q837" s="5" t="str">
        <x:v>Revision 2 unverändert übernommen</x:v>
      </x:c>
      <x:c r="R837" s="5" t="str">
        <x:v>Wie haftet ein Arbeitnehmer bei Vorsatz?</x:v>
      </x:c>
      <x:c r="S837" s="5" t="str">
        <x:v>d4e5d8612567398e4b32cf96c35449384cb91ddca2014bbbdebd198b795b4d95</x:v>
      </x:c>
    </x:row>
    <x:row r="838" ht="36" customHeight="1">
      <x:c r="A838" s="5" t="str">
        <x:v>R-0434</x:v>
      </x:c>
      <x:c r="B838" s="5" t="str">
        <x:v>WQ</x:v>
      </x:c>
      <x:c r="C838" s="5" t="str">
        <x:v>3</x:v>
      </x:c>
      <x:c r="D838" s="5" t="str">
        <x:v>Recht und Steuern</x:v>
      </x:c>
      <x:c r="E838" s="5" t="str">
        <x:v>Recht</x:v>
      </x:c>
      <x:c r="F838" s="5" t="str">
        <x:v>ui-wq-recht-arbeit</x:v>
      </x:c>
      <x:c r="G838" s="5" t="str">
        <x:v>Arbeitsrecht</x:v>
      </x:c>
      <x:c r="H838" s="5" t="str">
        <x:v>tr-wq-r16</x:v>
      </x:c>
      <x:c r="I838" s="5" t="str">
        <x:v>3.1.5.1</x:v>
      </x:c>
      <x:c r="J838" s="5" t="str">
        <x:v>Arbeitsvertrag, Entgelt &amp; Kündigung</x:v>
      </x:c>
      <x:c r="K838" s="5" t="str"/>
      <x:c r="L838" s="5" t="str">
        <x:v>Arbeitsvertrag, Entgelt &amp; Kündigung</x:v>
      </x:c>
      <x:c r="M838" s="5" t="n">
        <x:v>39</x:v>
      </x:c>
      <x:c r="N838" s="5" t="n">
        <x:v>33</x:v>
      </x:c>
      <x:c r="O838" s="5" t="str"/>
      <x:c r="P838" s="5" t="str">
        <x:v>Pilot freigegeben</x:v>
      </x:c>
      <x:c r="Q838" s="5" t="str">
        <x:v>Revision 2 unverändert übernommen</x:v>
      </x:c>
      <x:c r="R838" s="5" t="str">
        <x:v>Wie haftet ein Arbeitnehmer bei mittlerer Fahrlässigkeit?</x:v>
      </x:c>
      <x:c r="S838" s="5" t="str">
        <x:v>fca54e3e996242f64a7d20f19ebe107f7ce5336f9c67c91c2dcfe99afb9da7bf</x:v>
      </x:c>
    </x:row>
    <x:row r="839" ht="36" customHeight="1">
      <x:c r="A839" s="5" t="str">
        <x:v>R-0435</x:v>
      </x:c>
      <x:c r="B839" s="5" t="str">
        <x:v>WQ</x:v>
      </x:c>
      <x:c r="C839" s="5" t="str">
        <x:v>3</x:v>
      </x:c>
      <x:c r="D839" s="5" t="str">
        <x:v>Recht und Steuern</x:v>
      </x:c>
      <x:c r="E839" s="5" t="str">
        <x:v>Recht</x:v>
      </x:c>
      <x:c r="F839" s="5" t="str">
        <x:v>ui-wq-recht-arbeit</x:v>
      </x:c>
      <x:c r="G839" s="5" t="str">
        <x:v>Arbeitsrecht</x:v>
      </x:c>
      <x:c r="H839" s="5" t="str">
        <x:v>tr-wq-r16</x:v>
      </x:c>
      <x:c r="I839" s="5" t="str">
        <x:v>3.1.5.1</x:v>
      </x:c>
      <x:c r="J839" s="5" t="str">
        <x:v>Arbeitsvertrag, Entgelt &amp; Kündigung</x:v>
      </x:c>
      <x:c r="K839" s="5" t="str"/>
      <x:c r="L839" s="5" t="str">
        <x:v>Arbeitsvertrag, Entgelt &amp; Kündigung</x:v>
      </x:c>
      <x:c r="M839" s="5" t="n">
        <x:v>40</x:v>
      </x:c>
      <x:c r="N839" s="5" t="n">
        <x:v>34</x:v>
      </x:c>
      <x:c r="O839" s="5" t="str"/>
      <x:c r="P839" s="5" t="str">
        <x:v>Pilot freigegeben</x:v>
      </x:c>
      <x:c r="Q839" s="5" t="str">
        <x:v>Revision 2 unverändert übernommen</x:v>
      </x:c>
      <x:c r="R839" s="5" t="str">
        <x:v>Wie haftet ein Arbeitnehmer bei leichtester Fahrlässigkeit?</x:v>
      </x:c>
      <x:c r="S839" s="5" t="str">
        <x:v>dcb875e8c1ee9ed071bb317501db6a8f915947e45e1455f2d670d2be820f9b5a</x:v>
      </x:c>
    </x:row>
    <x:row r="840" ht="36" customHeight="1">
      <x:c r="A840" s="5" t="str">
        <x:v>R-0436</x:v>
      </x:c>
      <x:c r="B840" s="5" t="str">
        <x:v>WQ</x:v>
      </x:c>
      <x:c r="C840" s="5" t="str">
        <x:v>3</x:v>
      </x:c>
      <x:c r="D840" s="5" t="str">
        <x:v>Recht und Steuern</x:v>
      </x:c>
      <x:c r="E840" s="5" t="str">
        <x:v>Recht</x:v>
      </x:c>
      <x:c r="F840" s="5" t="str">
        <x:v>ui-wq-recht-arbeit</x:v>
      </x:c>
      <x:c r="G840" s="5" t="str">
        <x:v>Arbeitsrecht</x:v>
      </x:c>
      <x:c r="H840" s="5" t="str">
        <x:v>tr-wq-r16</x:v>
      </x:c>
      <x:c r="I840" s="5" t="str">
        <x:v>3.1.5.1</x:v>
      </x:c>
      <x:c r="J840" s="5" t="str">
        <x:v>Arbeitsvertrag, Entgelt &amp; Kündigung</x:v>
      </x:c>
      <x:c r="K840" s="5" t="str"/>
      <x:c r="L840" s="5" t="str">
        <x:v>Arbeitsvertrag, Entgelt &amp; Kündigung</x:v>
      </x:c>
      <x:c r="M840" s="5" t="n">
        <x:v>41</x:v>
      </x:c>
      <x:c r="N840" s="5" t="n">
        <x:v>35</x:v>
      </x:c>
      <x:c r="O840" s="5" t="str"/>
      <x:c r="P840" s="5" t="str">
        <x:v>Pilot freigegeben</x:v>
      </x:c>
      <x:c r="Q840" s="5" t="str">
        <x:v>Revision 2 unverändert übernommen</x:v>
      </x:c>
      <x:c r="R840" s="5" t="str">
        <x:v>Nennen Sie Nebenpflichten des Arbeitgebers.</x:v>
      </x:c>
      <x:c r="S840" s="5" t="str">
        <x:v>17b2f93206090ec89dace308476eea5d9915f2bb2e936a6854b6b2d05cf08869</x:v>
      </x:c>
    </x:row>
    <x:row r="841" ht="36" customHeight="1">
      <x:c r="A841" s="5" t="str">
        <x:v>R-0437</x:v>
      </x:c>
      <x:c r="B841" s="5" t="str">
        <x:v>WQ</x:v>
      </x:c>
      <x:c r="C841" s="5" t="str">
        <x:v>3</x:v>
      </x:c>
      <x:c r="D841" s="5" t="str">
        <x:v>Recht und Steuern</x:v>
      </x:c>
      <x:c r="E841" s="5" t="str">
        <x:v>Recht</x:v>
      </x:c>
      <x:c r="F841" s="5" t="str">
        <x:v>ui-wq-recht-arbeit</x:v>
      </x:c>
      <x:c r="G841" s="5" t="str">
        <x:v>Arbeitsrecht</x:v>
      </x:c>
      <x:c r="H841" s="5" t="str">
        <x:v>tr-wq-r16</x:v>
      </x:c>
      <x:c r="I841" s="5" t="str">
        <x:v>3.1.5.1</x:v>
      </x:c>
      <x:c r="J841" s="5" t="str">
        <x:v>Arbeitsvertrag, Entgelt &amp; Kündigung</x:v>
      </x:c>
      <x:c r="K841" s="5" t="str"/>
      <x:c r="L841" s="5" t="str">
        <x:v>Arbeitsvertrag, Entgelt &amp; Kündigung</x:v>
      </x:c>
      <x:c r="M841" s="5" t="n">
        <x:v>42</x:v>
      </x:c>
      <x:c r="N841" s="5" t="n">
        <x:v>36</x:v>
      </x:c>
      <x:c r="O841" s="5" t="str"/>
      <x:c r="P841" s="5" t="str">
        <x:v>Pilot freigegeben</x:v>
      </x:c>
      <x:c r="Q841" s="5" t="str">
        <x:v>Revision 2 unverändert übernommen</x:v>
      </x:c>
      <x:c r="R841" s="5" t="str">
        <x:v>Nennen Sie drei Entlohnungsformen neben Stundenlohn und Festgehalt.</x:v>
      </x:c>
      <x:c r="S841" s="5" t="str">
        <x:v>82f4956d87a54d827cc055834ccf92a086147d033c92fcce98af899719df7e40</x:v>
      </x:c>
    </x:row>
    <x:row r="842" ht="36" customHeight="1">
      <x:c r="A842" s="5" t="str">
        <x:v>R-0438</x:v>
      </x:c>
      <x:c r="B842" s="5" t="str">
        <x:v>WQ</x:v>
      </x:c>
      <x:c r="C842" s="5" t="str">
        <x:v>3</x:v>
      </x:c>
      <x:c r="D842" s="5" t="str">
        <x:v>Recht und Steuern</x:v>
      </x:c>
      <x:c r="E842" s="5" t="str">
        <x:v>Recht</x:v>
      </x:c>
      <x:c r="F842" s="5" t="str">
        <x:v>ui-wq-recht-arbeit</x:v>
      </x:c>
      <x:c r="G842" s="5" t="str">
        <x:v>Arbeitsrecht</x:v>
      </x:c>
      <x:c r="H842" s="5" t="str">
        <x:v>tr-wq-r16</x:v>
      </x:c>
      <x:c r="I842" s="5" t="str">
        <x:v>3.1.5.1</x:v>
      </x:c>
      <x:c r="J842" s="5" t="str">
        <x:v>Arbeitsvertrag, Entgelt &amp; Kündigung</x:v>
      </x:c>
      <x:c r="K842" s="5" t="str"/>
      <x:c r="L842" s="5" t="str">
        <x:v>Arbeitsvertrag, Entgelt &amp; Kündigung</x:v>
      </x:c>
      <x:c r="M842" s="5" t="n">
        <x:v>43</x:v>
      </x:c>
      <x:c r="N842" s="5" t="n">
        <x:v>37</x:v>
      </x:c>
      <x:c r="O842" s="5" t="str"/>
      <x:c r="P842" s="5" t="str">
        <x:v>Pilot freigegeben</x:v>
      </x:c>
      <x:c r="Q842" s="5" t="str">
        <x:v>Revision 2 unverändert übernommen</x:v>
      </x:c>
      <x:c r="R842" s="5" t="str">
        <x:v>Nennen Sie zwei gesetzliche Schutzvorschriften, die Lohnansprüche vor Pfändung oder Abtretung schützen.</x:v>
      </x:c>
      <x:c r="S842" s="5" t="str">
        <x:v>3bd3c1ac1bd13441d8ee760510c1060941dec444772951dc7ee8fcaa8ace05e5</x:v>
      </x:c>
    </x:row>
    <x:row r="843" ht="36" customHeight="1">
      <x:c r="A843" s="5" t="str">
        <x:v>R-0439</x:v>
      </x:c>
      <x:c r="B843" s="5" t="str">
        <x:v>WQ</x:v>
      </x:c>
      <x:c r="C843" s="5" t="str">
        <x:v>3</x:v>
      </x:c>
      <x:c r="D843" s="5" t="str">
        <x:v>Recht und Steuern</x:v>
      </x:c>
      <x:c r="E843" s="5" t="str">
        <x:v>Recht</x:v>
      </x:c>
      <x:c r="F843" s="5" t="str">
        <x:v>ui-wq-recht-arbeit</x:v>
      </x:c>
      <x:c r="G843" s="5" t="str">
        <x:v>Arbeitsrecht</x:v>
      </x:c>
      <x:c r="H843" s="5" t="str">
        <x:v>tr-wq-r16</x:v>
      </x:c>
      <x:c r="I843" s="5" t="str">
        <x:v>3.1.5.1</x:v>
      </x:c>
      <x:c r="J843" s="5" t="str">
        <x:v>Arbeitsvertrag, Entgelt &amp; Kündigung</x:v>
      </x:c>
      <x:c r="K843" s="5" t="str"/>
      <x:c r="L843" s="5" t="str">
        <x:v>Arbeitsvertrag, Entgelt &amp; Kündigung</x:v>
      </x:c>
      <x:c r="M843" s="5" t="n">
        <x:v>44</x:v>
      </x:c>
      <x:c r="N843" s="5" t="n">
        <x:v>38</x:v>
      </x:c>
      <x:c r="O843" s="5" t="str"/>
      <x:c r="P843" s="5" t="str">
        <x:v>Pilot freigegeben</x:v>
      </x:c>
      <x:c r="Q843" s="5" t="str">
        <x:v>Revision 2 unverändert übernommen</x:v>
      </x:c>
      <x:c r="R843" s="5" t="str">
        <x:v>Was versteht man unter einer betrieblichen Übung?</x:v>
      </x:c>
      <x:c r="S843" s="5" t="str">
        <x:v>ef2429d829ab83154085c39ed48021de2a6ee6f0655115eb639236cae121fcf8</x:v>
      </x:c>
    </x:row>
    <x:row r="844" ht="36" customHeight="1">
      <x:c r="A844" s="5" t="str">
        <x:v>R-0440</x:v>
      </x:c>
      <x:c r="B844" s="5" t="str">
        <x:v>WQ</x:v>
      </x:c>
      <x:c r="C844" s="5" t="str">
        <x:v>3</x:v>
      </x:c>
      <x:c r="D844" s="5" t="str">
        <x:v>Recht und Steuern</x:v>
      </x:c>
      <x:c r="E844" s="5" t="str">
        <x:v>Recht</x:v>
      </x:c>
      <x:c r="F844" s="5" t="str">
        <x:v>ui-wq-recht-arbeit</x:v>
      </x:c>
      <x:c r="G844" s="5" t="str">
        <x:v>Arbeitsrecht</x:v>
      </x:c>
      <x:c r="H844" s="5" t="str">
        <x:v>tr-wq-r16</x:v>
      </x:c>
      <x:c r="I844" s="5" t="str">
        <x:v>3.1.5.1</x:v>
      </x:c>
      <x:c r="J844" s="5" t="str">
        <x:v>Arbeitsvertrag, Entgelt &amp; Kündigung</x:v>
      </x:c>
      <x:c r="K844" s="5" t="str"/>
      <x:c r="L844" s="5" t="str">
        <x:v>Arbeitsvertrag, Entgelt &amp; Kündigung</x:v>
      </x:c>
      <x:c r="M844" s="5" t="n">
        <x:v>45</x:v>
      </x:c>
      <x:c r="N844" s="5" t="n">
        <x:v>39</x:v>
      </x:c>
      <x:c r="O844" s="5" t="str"/>
      <x:c r="P844" s="5" t="str">
        <x:v>Pilot freigegeben</x:v>
      </x:c>
      <x:c r="Q844" s="5" t="str">
        <x:v>Revision 2 unverändert übernommen</x:v>
      </x:c>
      <x:c r="R844" s="5" t="str">
        <x:v>Wann entsteht regelmäßig eine betriebliche Übung?</x:v>
      </x:c>
      <x:c r="S844" s="5" t="str">
        <x:v>38a4eb30a4d767d13dd25577442b1c9a586f9bd54926094b1520f3049a08929e</x:v>
      </x:c>
    </x:row>
    <x:row r="845" ht="36" customHeight="1">
      <x:c r="A845" s="5" t="str">
        <x:v>R-0441</x:v>
      </x:c>
      <x:c r="B845" s="5" t="str">
        <x:v>WQ</x:v>
      </x:c>
      <x:c r="C845" s="5" t="str">
        <x:v>3</x:v>
      </x:c>
      <x:c r="D845" s="5" t="str">
        <x:v>Recht und Steuern</x:v>
      </x:c>
      <x:c r="E845" s="5" t="str">
        <x:v>Recht</x:v>
      </x:c>
      <x:c r="F845" s="5" t="str">
        <x:v>ui-wq-recht-arbeit</x:v>
      </x:c>
      <x:c r="G845" s="5" t="str">
        <x:v>Arbeitsrecht</x:v>
      </x:c>
      <x:c r="H845" s="5" t="str">
        <x:v>tr-wq-r16</x:v>
      </x:c>
      <x:c r="I845" s="5" t="str">
        <x:v>3.1.5.1</x:v>
      </x:c>
      <x:c r="J845" s="5" t="str">
        <x:v>Arbeitsvertrag, Entgelt &amp; Kündigung</x:v>
      </x:c>
      <x:c r="K845" s="5" t="str"/>
      <x:c r="L845" s="5" t="str">
        <x:v>Arbeitsvertrag, Entgelt &amp; Kündigung</x:v>
      </x:c>
      <x:c r="M845" s="5" t="n">
        <x:v>46</x:v>
      </x:c>
      <x:c r="N845" s="5" t="n">
        <x:v>40</x:v>
      </x:c>
      <x:c r="O845" s="5" t="str"/>
      <x:c r="P845" s="5" t="str">
        <x:v>Pilot freigegeben</x:v>
      </x:c>
      <x:c r="Q845" s="5" t="str">
        <x:v>Revision 2 unverändert übernommen</x:v>
      </x:c>
      <x:c r="R845" s="5" t="str">
        <x:v>Wie kann ein Arbeitgeber die Entstehung einer betrieblichen Übung verhindern?</x:v>
      </x:c>
      <x:c r="S845" s="5" t="str">
        <x:v>7176c12d56b0e1cbb0ce2f466758a3b7e97f359c04a01dbf5b02d11991723559</x:v>
      </x:c>
    </x:row>
    <x:row r="846" ht="36" customHeight="1">
      <x:c r="A846" s="5" t="str">
        <x:v>R-0442</x:v>
      </x:c>
      <x:c r="B846" s="5" t="str">
        <x:v>WQ</x:v>
      </x:c>
      <x:c r="C846" s="5" t="str">
        <x:v>3</x:v>
      </x:c>
      <x:c r="D846" s="5" t="str">
        <x:v>Recht und Steuern</x:v>
      </x:c>
      <x:c r="E846" s="5" t="str">
        <x:v>Recht</x:v>
      </x:c>
      <x:c r="F846" s="5" t="str">
        <x:v>ui-wq-recht-arbeit</x:v>
      </x:c>
      <x:c r="G846" s="5" t="str">
        <x:v>Arbeitsrecht</x:v>
      </x:c>
      <x:c r="H846" s="5" t="str">
        <x:v>tr-wq-r16</x:v>
      </x:c>
      <x:c r="I846" s="5" t="str">
        <x:v>3.1.5.1</x:v>
      </x:c>
      <x:c r="J846" s="5" t="str">
        <x:v>Arbeitsvertrag, Entgelt &amp; Kündigung</x:v>
      </x:c>
      <x:c r="K846" s="5" t="str"/>
      <x:c r="L846" s="5" t="str">
        <x:v>Arbeitsvertrag, Entgelt &amp; Kündigung</x:v>
      </x:c>
      <x:c r="M846" s="5" t="n">
        <x:v>47</x:v>
      </x:c>
      <x:c r="N846" s="5" t="n">
        <x:v>41</x:v>
      </x:c>
      <x:c r="O846" s="5" t="str"/>
      <x:c r="P846" s="5" t="str">
        <x:v>Pilot freigegeben</x:v>
      </x:c>
      <x:c r="Q846" s="5" t="str">
        <x:v>Revision 2 unverändert übernommen</x:v>
      </x:c>
      <x:c r="R846" s="5" t="str">
        <x:v>In welchen Fällen ist Lohn ohne Arbeitsleistung zu zahlen?</x:v>
      </x:c>
      <x:c r="S846" s="5" t="str">
        <x:v>af483999bba654989d8dea3c330b75070ae82bca0be440b8958c9186a4c4549f</x:v>
      </x:c>
    </x:row>
    <x:row r="847" ht="36" customHeight="1">
      <x:c r="A847" s="5" t="str">
        <x:v>R-0445</x:v>
      </x:c>
      <x:c r="B847" s="5" t="str">
        <x:v>WQ</x:v>
      </x:c>
      <x:c r="C847" s="5" t="str">
        <x:v>3</x:v>
      </x:c>
      <x:c r="D847" s="5" t="str">
        <x:v>Recht und Steuern</x:v>
      </x:c>
      <x:c r="E847" s="5" t="str">
        <x:v>Recht</x:v>
      </x:c>
      <x:c r="F847" s="5" t="str">
        <x:v>ui-wq-recht-arbeit</x:v>
      </x:c>
      <x:c r="G847" s="5" t="str">
        <x:v>Arbeitsrecht</x:v>
      </x:c>
      <x:c r="H847" s="5" t="str">
        <x:v>tr-wq-r16</x:v>
      </x:c>
      <x:c r="I847" s="5" t="str">
        <x:v>3.1.5.1</x:v>
      </x:c>
      <x:c r="J847" s="5" t="str">
        <x:v>Arbeitsvertrag, Entgelt &amp; Kündigung</x:v>
      </x:c>
      <x:c r="K847" s="5" t="str"/>
      <x:c r="L847" s="5" t="str">
        <x:v>Arbeitsvertrag, Entgelt &amp; Kündigung</x:v>
      </x:c>
      <x:c r="M847" s="5" t="n">
        <x:v>48</x:v>
      </x:c>
      <x:c r="N847" s="5" t="n">
        <x:v>42</x:v>
      </x:c>
      <x:c r="O847" s="5" t="str"/>
      <x:c r="P847" s="5" t="str">
        <x:v>Pilot freigegeben</x:v>
      </x:c>
      <x:c r="Q847" s="5" t="str">
        <x:v>Revision 2 unverändert übernommen</x:v>
      </x:c>
      <x:c r="R847" s="5" t="str">
        <x:v>Haben Arbeitnehmer bei jahrelanger vorbehaltloser Zahlung von Weihnachtsgeld einen Anspruch auf die Leistung?</x:v>
      </x:c>
      <x:c r="S847" s="5" t="str">
        <x:v>8cf55a023091de574c3e02d162545246659e9d4ac8861192453691f0c67ada1d</x:v>
      </x:c>
    </x:row>
    <x:row r="848" ht="36" customHeight="1">
      <x:c r="A848" s="5" t="str">
        <x:v>R-0448</x:v>
      </x:c>
      <x:c r="B848" s="5" t="str">
        <x:v>WQ</x:v>
      </x:c>
      <x:c r="C848" s="5" t="str">
        <x:v>3</x:v>
      </x:c>
      <x:c r="D848" s="5" t="str">
        <x:v>Recht und Steuern</x:v>
      </x:c>
      <x:c r="E848" s="5" t="str">
        <x:v>Recht</x:v>
      </x:c>
      <x:c r="F848" s="5" t="str">
        <x:v>ui-wq-recht-arbeit</x:v>
      </x:c>
      <x:c r="G848" s="5" t="str">
        <x:v>Arbeitsrecht</x:v>
      </x:c>
      <x:c r="H848" s="5" t="str">
        <x:v>tr-wq-r16</x:v>
      </x:c>
      <x:c r="I848" s="5" t="str">
        <x:v>3.1.5.1</x:v>
      </x:c>
      <x:c r="J848" s="5" t="str">
        <x:v>Arbeitsvertrag, Entgelt &amp; Kündigung</x:v>
      </x:c>
      <x:c r="K848" s="5" t="str"/>
      <x:c r="L848" s="5" t="str">
        <x:v>Arbeitsvertrag, Entgelt &amp; Kündigung</x:v>
      </x:c>
      <x:c r="M848" s="5" t="n">
        <x:v>49</x:v>
      </x:c>
      <x:c r="N848" s="5" t="n">
        <x:v>43</x:v>
      </x:c>
      <x:c r="O848" s="5" t="str"/>
      <x:c r="P848" s="5" t="str">
        <x:v>Pilot freigegeben</x:v>
      </x:c>
      <x:c r="Q848" s="5" t="str">
        <x:v>Revision 2 unverändert übernommen</x:v>
      </x:c>
      <x:c r="R848" s="5" t="str">
        <x:v>Besteht ein Anspruch auf Entgeltfortzahlung während der vierwöchigen Wartezeit?</x:v>
      </x:c>
      <x:c r="S848" s="5" t="str">
        <x:v>856375553e59855e2b0f9dc4f185e16e3cdaa83a92a7fbb00ed8e138dabedfc3</x:v>
      </x:c>
    </x:row>
    <x:row r="849" ht="36" customHeight="1">
      <x:c r="A849" s="5" t="str">
        <x:v>R-0449</x:v>
      </x:c>
      <x:c r="B849" s="5" t="str">
        <x:v>WQ</x:v>
      </x:c>
      <x:c r="C849" s="5" t="str">
        <x:v>3</x:v>
      </x:c>
      <x:c r="D849" s="5" t="str">
        <x:v>Recht und Steuern</x:v>
      </x:c>
      <x:c r="E849" s="5" t="str">
        <x:v>Recht</x:v>
      </x:c>
      <x:c r="F849" s="5" t="str">
        <x:v>ui-wq-recht-arbeit</x:v>
      </x:c>
      <x:c r="G849" s="5" t="str">
        <x:v>Arbeitsrecht</x:v>
      </x:c>
      <x:c r="H849" s="5" t="str">
        <x:v>tr-wq-r16</x:v>
      </x:c>
      <x:c r="I849" s="5" t="str">
        <x:v>3.1.5.1</x:v>
      </x:c>
      <x:c r="J849" s="5" t="str">
        <x:v>Arbeitsvertrag, Entgelt &amp; Kündigung</x:v>
      </x:c>
      <x:c r="K849" s="5" t="str"/>
      <x:c r="L849" s="5" t="str">
        <x:v>Arbeitsvertrag, Entgelt &amp; Kündigung</x:v>
      </x:c>
      <x:c r="M849" s="5" t="n">
        <x:v>50</x:v>
      </x:c>
      <x:c r="N849" s="5" t="n">
        <x:v>44</x:v>
      </x:c>
      <x:c r="O849" s="5" t="str"/>
      <x:c r="P849" s="5" t="str">
        <x:v>Pilot freigegeben</x:v>
      </x:c>
      <x:c r="Q849" s="5" t="str">
        <x:v>Revision 2 unverändert übernommen</x:v>
      </x:c>
      <x:c r="R849" s="5" t="str">
        <x:v>Besteht ein Anspruch auf Entgeltfortzahlung bei selbstverschuldeter Arbeitsunfähigkeit?</x:v>
      </x:c>
      <x:c r="S849" s="5" t="str">
        <x:v>ea8eeed0d2bf18b2ad4dca7099555a60e6d128df1ddc9d551e2e6a1cfb5992f6</x:v>
      </x:c>
    </x:row>
    <x:row r="850" ht="36" customHeight="1">
      <x:c r="A850" s="5" t="str">
        <x:v>R-0450</x:v>
      </x:c>
      <x:c r="B850" s="5" t="str">
        <x:v>WQ</x:v>
      </x:c>
      <x:c r="C850" s="5" t="str">
        <x:v>3</x:v>
      </x:c>
      <x:c r="D850" s="5" t="str">
        <x:v>Recht und Steuern</x:v>
      </x:c>
      <x:c r="E850" s="5" t="str">
        <x:v>Recht</x:v>
      </x:c>
      <x:c r="F850" s="5" t="str">
        <x:v>ui-wq-recht-arbeit</x:v>
      </x:c>
      <x:c r="G850" s="5" t="str">
        <x:v>Arbeitsrecht</x:v>
      </x:c>
      <x:c r="H850" s="5" t="str">
        <x:v>tr-wq-r16</x:v>
      </x:c>
      <x:c r="I850" s="5" t="str">
        <x:v>3.1.5.1</x:v>
      </x:c>
      <x:c r="J850" s="5" t="str">
        <x:v>Arbeitsvertrag, Entgelt &amp; Kündigung</x:v>
      </x:c>
      <x:c r="K850" s="5" t="str"/>
      <x:c r="L850" s="5" t="str">
        <x:v>Arbeitsvertrag, Entgelt &amp; Kündigung</x:v>
      </x:c>
      <x:c r="M850" s="5" t="n">
        <x:v>51</x:v>
      </x:c>
      <x:c r="N850" s="5" t="n">
        <x:v>45</x:v>
      </x:c>
      <x:c r="O850" s="5" t="str"/>
      <x:c r="P850" s="5" t="str">
        <x:v>Pilot freigegeben</x:v>
      </x:c>
      <x:c r="Q850" s="5" t="str">
        <x:v>Revision 2 unverändert übernommen</x:v>
      </x:c>
      <x:c r="R850" s="5" t="str">
        <x:v>Entsteht bei einer neuen Erkrankung ein neuer Anspruch auf Entgeltfortzahlung?</x:v>
      </x:c>
      <x:c r="S850" s="5" t="str">
        <x:v>c5e386e5465ce7d8b19c51478155f71a66482600cbbba30ca7596138a6b14be5</x:v>
      </x:c>
    </x:row>
    <x:row r="851" ht="36" customHeight="1">
      <x:c r="A851" s="5" t="str">
        <x:v>R-0451</x:v>
      </x:c>
      <x:c r="B851" s="5" t="str">
        <x:v>WQ</x:v>
      </x:c>
      <x:c r="C851" s="5" t="str">
        <x:v>3</x:v>
      </x:c>
      <x:c r="D851" s="5" t="str">
        <x:v>Recht und Steuern</x:v>
      </x:c>
      <x:c r="E851" s="5" t="str">
        <x:v>Recht</x:v>
      </x:c>
      <x:c r="F851" s="5" t="str">
        <x:v>ui-wq-recht-arbeit</x:v>
      </x:c>
      <x:c r="G851" s="5" t="str">
        <x:v>Arbeitsrecht</x:v>
      </x:c>
      <x:c r="H851" s="5" t="str">
        <x:v>tr-wq-r16</x:v>
      </x:c>
      <x:c r="I851" s="5" t="str">
        <x:v>3.1.5.1</x:v>
      </x:c>
      <x:c r="J851" s="5" t="str">
        <x:v>Arbeitsvertrag, Entgelt &amp; Kündigung</x:v>
      </x:c>
      <x:c r="K851" s="5" t="str"/>
      <x:c r="L851" s="5" t="str">
        <x:v>Arbeitsvertrag, Entgelt &amp; Kündigung</x:v>
      </x:c>
      <x:c r="M851" s="5" t="n">
        <x:v>52</x:v>
      </x:c>
      <x:c r="N851" s="5" t="n">
        <x:v>46</x:v>
      </x:c>
      <x:c r="O851" s="5" t="str"/>
      <x:c r="P851" s="5" t="str">
        <x:v>Pilot freigegeben</x:v>
      </x:c>
      <x:c r="Q851" s="5" t="str">
        <x:v>Revision 2 unverändert übernommen</x:v>
      </x:c>
      <x:c r="R851" s="5" t="str">
        <x:v>Wann entsteht bei einer Folgeerkrankung erneut ein Anspruch auf Entgeltfortzahlung?</x:v>
      </x:c>
      <x:c r="S851" s="5" t="str">
        <x:v>da0c5afd53fb0a77e0310b3bfe4315b055a56a87240f779ef031ddef11b38733</x:v>
      </x:c>
    </x:row>
    <x:row r="852" ht="36" customHeight="1">
      <x:c r="A852" s="5" t="str">
        <x:v>R-0452</x:v>
      </x:c>
      <x:c r="B852" s="5" t="str">
        <x:v>WQ</x:v>
      </x:c>
      <x:c r="C852" s="5" t="str">
        <x:v>3</x:v>
      </x:c>
      <x:c r="D852" s="5" t="str">
        <x:v>Recht und Steuern</x:v>
      </x:c>
      <x:c r="E852" s="5" t="str">
        <x:v>Recht</x:v>
      </x:c>
      <x:c r="F852" s="5" t="str">
        <x:v>ui-wq-recht-arbeit</x:v>
      </x:c>
      <x:c r="G852" s="5" t="str">
        <x:v>Arbeitsrecht</x:v>
      </x:c>
      <x:c r="H852" s="5" t="str">
        <x:v>tr-wq-r16</x:v>
      </x:c>
      <x:c r="I852" s="5" t="str">
        <x:v>3.1.5.1</x:v>
      </x:c>
      <x:c r="J852" s="5" t="str">
        <x:v>Arbeitsvertrag, Entgelt &amp; Kündigung</x:v>
      </x:c>
      <x:c r="K852" s="5" t="str">
        <x:v>3.1.5.3</x:v>
      </x:c>
      <x:c r="L852" s="5" t="str">
        <x:v>Arbeitsvertrag, Entgelt &amp; Kündigung</x:v>
      </x:c>
      <x:c r="M852" s="5" t="n">
        <x:v>53</x:v>
      </x:c>
      <x:c r="N852" s="5" t="n">
        <x:v>47</x:v>
      </x:c>
      <x:c r="O852" s="5" t="str"/>
      <x:c r="P852" s="5" t="str">
        <x:v>Pilot freigegeben</x:v>
      </x:c>
      <x:c r="Q852" s="5" t="str">
        <x:v>Revision 2 unverändert übernommen</x:v>
      </x:c>
      <x:c r="R852" s="5" t="str">
        <x:v>Welche Pflichten hat ein Arbeitnehmer bei Eintritt einer Arbeitsunfähigkeit im Urlaub?</x:v>
      </x:c>
      <x:c r="S852" s="5" t="str">
        <x:v>689a69334f23737ac3dcab6c9f0512953477a5fd5d7bcf051d98ab7ab3ca85f0</x:v>
      </x:c>
    </x:row>
    <x:row r="853" ht="36" customHeight="1">
      <x:c r="A853" s="5" t="str">
        <x:v>R-0453</x:v>
      </x:c>
      <x:c r="B853" s="5" t="str">
        <x:v>WQ</x:v>
      </x:c>
      <x:c r="C853" s="5" t="str">
        <x:v>3</x:v>
      </x:c>
      <x:c r="D853" s="5" t="str">
        <x:v>Recht und Steuern</x:v>
      </x:c>
      <x:c r="E853" s="5" t="str">
        <x:v>Recht</x:v>
      </x:c>
      <x:c r="F853" s="5" t="str">
        <x:v>ui-wq-recht-arbeit</x:v>
      </x:c>
      <x:c r="G853" s="5" t="str">
        <x:v>Arbeitsrecht</x:v>
      </x:c>
      <x:c r="H853" s="5" t="str">
        <x:v>tr-wq-r16</x:v>
      </x:c>
      <x:c r="I853" s="5" t="str">
        <x:v>3.1.5.1</x:v>
      </x:c>
      <x:c r="J853" s="5" t="str">
        <x:v>Arbeitsvertrag, Entgelt &amp; Kündigung</x:v>
      </x:c>
      <x:c r="K853" s="5" t="str">
        <x:v>3.1.5.3</x:v>
      </x:c>
      <x:c r="L853" s="5" t="str">
        <x:v>Arbeitsvertrag, Entgelt &amp; Kündigung</x:v>
      </x:c>
      <x:c r="M853" s="5" t="n">
        <x:v>54</x:v>
      </x:c>
      <x:c r="N853" s="5" t="n">
        <x:v>48</x:v>
      </x:c>
      <x:c r="O853" s="5" t="str"/>
      <x:c r="P853" s="5" t="str">
        <x:v>Pilot freigegeben</x:v>
      </x:c>
      <x:c r="Q853" s="5" t="str">
        <x:v>Revision 2 unverändert übernommen</x:v>
      </x:c>
      <x:c r="R853" s="5" t="str">
        <x:v>Werden Krankheitstage während des Urlaubs auf den Urlaub angerechnet?</x:v>
      </x:c>
      <x:c r="S853" s="5" t="str">
        <x:v>f65b5c4285547b1c2bbd647cf27c15cfffe62ba8d70c1cb1fa254fac71e18953</x:v>
      </x:c>
    </x:row>
    <x:row r="854" ht="36" customHeight="1">
      <x:c r="A854" s="5" t="str">
        <x:v>R-0454</x:v>
      </x:c>
      <x:c r="B854" s="5" t="str">
        <x:v>WQ</x:v>
      </x:c>
      <x:c r="C854" s="5" t="str">
        <x:v>3</x:v>
      </x:c>
      <x:c r="D854" s="5" t="str">
        <x:v>Recht und Steuern</x:v>
      </x:c>
      <x:c r="E854" s="5" t="str">
        <x:v>Recht</x:v>
      </x:c>
      <x:c r="F854" s="5" t="str">
        <x:v>ui-wq-recht-arbeit</x:v>
      </x:c>
      <x:c r="G854" s="5" t="str">
        <x:v>Arbeitsrecht</x:v>
      </x:c>
      <x:c r="H854" s="5" t="str">
        <x:v>tr-wq-r16</x:v>
      </x:c>
      <x:c r="I854" s="5" t="str">
        <x:v>3.1.5.1</x:v>
      </x:c>
      <x:c r="J854" s="5" t="str">
        <x:v>Arbeitsvertrag, Entgelt &amp; Kündigung</x:v>
      </x:c>
      <x:c r="K854" s="5" t="str"/>
      <x:c r="L854" s="5" t="str">
        <x:v>Arbeitsvertrag, Entgelt &amp; Kündigung</x:v>
      </x:c>
      <x:c r="M854" s="5" t="n">
        <x:v>55</x:v>
      </x:c>
      <x:c r="N854" s="5" t="n">
        <x:v>49</x:v>
      </x:c>
      <x:c r="O854" s="5" t="str"/>
      <x:c r="P854" s="5" t="str">
        <x:v>Pilot freigegeben</x:v>
      </x:c>
      <x:c r="Q854" s="5" t="str">
        <x:v>Revision 2 unverändert übernommen</x:v>
      </x:c>
      <x:c r="R854" s="5" t="str">
        <x:v>Wann gerät ein Arbeitgeber in Annahmeverzug?</x:v>
      </x:c>
      <x:c r="S854" s="5" t="str">
        <x:v>6d85512c9670b77d6779af991dc04cd906e4cd975d81bc0d2065ea0a51778b1a</x:v>
      </x:c>
    </x:row>
    <x:row r="855" ht="36" customHeight="1">
      <x:c r="A855" s="5" t="str">
        <x:v>R-0455</x:v>
      </x:c>
      <x:c r="B855" s="5" t="str">
        <x:v>WQ</x:v>
      </x:c>
      <x:c r="C855" s="5" t="str">
        <x:v>3</x:v>
      </x:c>
      <x:c r="D855" s="5" t="str">
        <x:v>Recht und Steuern</x:v>
      </x:c>
      <x:c r="E855" s="5" t="str">
        <x:v>Recht</x:v>
      </x:c>
      <x:c r="F855" s="5" t="str">
        <x:v>ui-wq-recht-arbeit</x:v>
      </x:c>
      <x:c r="G855" s="5" t="str">
        <x:v>Arbeitsrecht</x:v>
      </x:c>
      <x:c r="H855" s="5" t="str">
        <x:v>tr-wq-r16</x:v>
      </x:c>
      <x:c r="I855" s="5" t="str">
        <x:v>3.1.5.1</x:v>
      </x:c>
      <x:c r="J855" s="5" t="str">
        <x:v>Arbeitsvertrag, Entgelt &amp; Kündigung</x:v>
      </x:c>
      <x:c r="K855" s="5" t="str"/>
      <x:c r="L855" s="5" t="str">
        <x:v>Arbeitsvertrag, Entgelt &amp; Kündigung</x:v>
      </x:c>
      <x:c r="M855" s="5" t="n">
        <x:v>56</x:v>
      </x:c>
      <x:c r="N855" s="5" t="n">
        <x:v>50</x:v>
      </x:c>
      <x:c r="O855" s="5" t="str"/>
      <x:c r="P855" s="5" t="str">
        <x:v>Pilot freigegeben</x:v>
      </x:c>
      <x:c r="Q855" s="5" t="str">
        <x:v>Revision 2 unverändert übernommen</x:v>
      </x:c>
      <x:c r="R855" s="5" t="str">
        <x:v>Welche Maßnahmen beenden ein Arbeitsverhältnis?</x:v>
      </x:c>
      <x:c r="S855" s="5" t="str">
        <x:v>d4abea1ceeb0f03c74c9cdb17d0f417889e25cc1ab37478ac7cb9e890232b77e</x:v>
      </x:c>
    </x:row>
    <x:row r="856" ht="36" customHeight="1">
      <x:c r="A856" s="5" t="str">
        <x:v>R-0456</x:v>
      </x:c>
      <x:c r="B856" s="5" t="str">
        <x:v>WQ</x:v>
      </x:c>
      <x:c r="C856" s="5" t="str">
        <x:v>3</x:v>
      </x:c>
      <x:c r="D856" s="5" t="str">
        <x:v>Recht und Steuern</x:v>
      </x:c>
      <x:c r="E856" s="5" t="str">
        <x:v>Recht</x:v>
      </x:c>
      <x:c r="F856" s="5" t="str">
        <x:v>ui-wq-recht-arbeit</x:v>
      </x:c>
      <x:c r="G856" s="5" t="str">
        <x:v>Arbeitsrecht</x:v>
      </x:c>
      <x:c r="H856" s="5" t="str">
        <x:v>tr-wq-r16</x:v>
      </x:c>
      <x:c r="I856" s="5" t="str">
        <x:v>3.1.5.1</x:v>
      </x:c>
      <x:c r="J856" s="5" t="str">
        <x:v>Arbeitsvertrag, Entgelt &amp; Kündigung</x:v>
      </x:c>
      <x:c r="K856" s="5" t="str"/>
      <x:c r="L856" s="5" t="str">
        <x:v>Arbeitsvertrag, Entgelt &amp; Kündigung</x:v>
      </x:c>
      <x:c r="M856" s="5" t="n">
        <x:v>57</x:v>
      </x:c>
      <x:c r="N856" s="5" t="n">
        <x:v>51</x:v>
      </x:c>
      <x:c r="O856" s="5" t="str"/>
      <x:c r="P856" s="5" t="str">
        <x:v>Pilot freigegeben</x:v>
      </x:c>
      <x:c r="Q856" s="5" t="str">
        <x:v>Revision 2 unverändert übernommen</x:v>
      </x:c>
      <x:c r="R856" s="5" t="str">
        <x:v>Beendet der Tod des Arbeitgebers automatisch das Arbeitsverhältnis?</x:v>
      </x:c>
      <x:c r="S856" s="5" t="str">
        <x:v>5dc6b148d4bbc20c0eb6d1361d60b07a9015dff3024a8548b13b34a79e4bc868</x:v>
      </x:c>
    </x:row>
    <x:row r="857" ht="36" customHeight="1">
      <x:c r="A857" s="5" t="str">
        <x:v>R-0457</x:v>
      </x:c>
      <x:c r="B857" s="5" t="str">
        <x:v>WQ</x:v>
      </x:c>
      <x:c r="C857" s="5" t="str">
        <x:v>3</x:v>
      </x:c>
      <x:c r="D857" s="5" t="str">
        <x:v>Recht und Steuern</x:v>
      </x:c>
      <x:c r="E857" s="5" t="str">
        <x:v>Recht</x:v>
      </x:c>
      <x:c r="F857" s="5" t="str">
        <x:v>ui-wq-recht-arbeit</x:v>
      </x:c>
      <x:c r="G857" s="5" t="str">
        <x:v>Arbeitsrecht</x:v>
      </x:c>
      <x:c r="H857" s="5" t="str">
        <x:v>tr-wq-r16</x:v>
      </x:c>
      <x:c r="I857" s="5" t="str">
        <x:v>3.1.5.1</x:v>
      </x:c>
      <x:c r="J857" s="5" t="str">
        <x:v>Arbeitsvertrag, Entgelt &amp; Kündigung</x:v>
      </x:c>
      <x:c r="K857" s="5" t="str"/>
      <x:c r="L857" s="5" t="str">
        <x:v>Arbeitsvertrag, Entgelt &amp; Kündigung</x:v>
      </x:c>
      <x:c r="M857" s="5" t="n">
        <x:v>58</x:v>
      </x:c>
      <x:c r="N857" s="5" t="n">
        <x:v>52</x:v>
      </x:c>
      <x:c r="O857" s="5" t="str"/>
      <x:c r="P857" s="5" t="str">
        <x:v>Pilot freigegeben</x:v>
      </x:c>
      <x:c r="Q857" s="5" t="str">
        <x:v>Revision 2 unverändert übernommen</x:v>
      </x:c>
      <x:c r="R857" s="5" t="str">
        <x:v>Beendet eine Betriebsveräußerung automatisch das Arbeitsverhältnis?</x:v>
      </x:c>
      <x:c r="S857" s="5" t="str">
        <x:v>5e1d8e42ef534ee61e9af0a30f9dc171f9a2b93322227b1980588a9e2c0e3fcd</x:v>
      </x:c>
    </x:row>
    <x:row r="858" ht="36" customHeight="1">
      <x:c r="A858" s="5" t="str">
        <x:v>R-0458</x:v>
      </x:c>
      <x:c r="B858" s="5" t="str">
        <x:v>WQ</x:v>
      </x:c>
      <x:c r="C858" s="5" t="str">
        <x:v>3</x:v>
      </x:c>
      <x:c r="D858" s="5" t="str">
        <x:v>Recht und Steuern</x:v>
      </x:c>
      <x:c r="E858" s="5" t="str">
        <x:v>Recht</x:v>
      </x:c>
      <x:c r="F858" s="5" t="str">
        <x:v>ui-wq-recht-arbeit</x:v>
      </x:c>
      <x:c r="G858" s="5" t="str">
        <x:v>Arbeitsrecht</x:v>
      </x:c>
      <x:c r="H858" s="5" t="str">
        <x:v>tr-wq-r16</x:v>
      </x:c>
      <x:c r="I858" s="5" t="str">
        <x:v>3.1.5.1</x:v>
      </x:c>
      <x:c r="J858" s="5" t="str">
        <x:v>Arbeitsvertrag, Entgelt &amp; Kündigung</x:v>
      </x:c>
      <x:c r="K858" s="5" t="str"/>
      <x:c r="L858" s="5" t="str">
        <x:v>Arbeitsvertrag, Entgelt &amp; Kündigung</x:v>
      </x:c>
      <x:c r="M858" s="5" t="n">
        <x:v>59</x:v>
      </x:c>
      <x:c r="N858" s="5" t="n">
        <x:v>53</x:v>
      </x:c>
      <x:c r="O858" s="5" t="str"/>
      <x:c r="P858" s="5" t="str">
        <x:v>Pilot freigegeben</x:v>
      </x:c>
      <x:c r="Q858" s="5" t="str">
        <x:v>Revision 2 unverändert übernommen</x:v>
      </x:c>
      <x:c r="R858" s="5" t="str">
        <x:v>Endet ein befristetes Arbeitsverhältnis trotz Schwangerschaft automatisch mit Fristablauf?</x:v>
      </x:c>
      <x:c r="S858" s="5" t="str">
        <x:v>1e4163c02503e3da7df0e43891790cb24fff45faf9faebccfa6155b886781ca0</x:v>
      </x:c>
    </x:row>
    <x:row r="859" ht="36" customHeight="1">
      <x:c r="A859" s="5" t="str">
        <x:v>R-0459</x:v>
      </x:c>
      <x:c r="B859" s="5" t="str">
        <x:v>WQ</x:v>
      </x:c>
      <x:c r="C859" s="5" t="str">
        <x:v>3</x:v>
      </x:c>
      <x:c r="D859" s="5" t="str">
        <x:v>Recht und Steuern</x:v>
      </x:c>
      <x:c r="E859" s="5" t="str">
        <x:v>Recht</x:v>
      </x:c>
      <x:c r="F859" s="5" t="str">
        <x:v>ui-wq-recht-arbeit</x:v>
      </x:c>
      <x:c r="G859" s="5" t="str">
        <x:v>Arbeitsrecht</x:v>
      </x:c>
      <x:c r="H859" s="5" t="str">
        <x:v>tr-wq-r16</x:v>
      </x:c>
      <x:c r="I859" s="5" t="str">
        <x:v>3.1.5.1</x:v>
      </x:c>
      <x:c r="J859" s="5" t="str">
        <x:v>Arbeitsvertrag, Entgelt &amp; Kündigung</x:v>
      </x:c>
      <x:c r="K859" s="5" t="str"/>
      <x:c r="L859" s="5" t="str">
        <x:v>Arbeitsvertrag, Entgelt &amp; Kündigung</x:v>
      </x:c>
      <x:c r="M859" s="5" t="n">
        <x:v>60</x:v>
      </x:c>
      <x:c r="N859" s="5" t="n">
        <x:v>54</x:v>
      </x:c>
      <x:c r="O859" s="5" t="str"/>
      <x:c r="P859" s="5" t="str">
        <x:v>Pilot freigegeben</x:v>
      </x:c>
      <x:c r="Q859" s="5" t="str">
        <x:v>Revision 2 unverändert übernommen</x:v>
      </x:c>
      <x:c r="R859" s="5" t="str">
        <x:v>Welche Folgen hat ein Aufhebungsvertrag für Arbeitnehmer?</x:v>
      </x:c>
      <x:c r="S859" s="5" t="str">
        <x:v>59f826e0ff3411d935135c038847187447c30425dcd740d9d047e9344cb5f05c</x:v>
      </x:c>
    </x:row>
    <x:row r="860" ht="36" customHeight="1">
      <x:c r="A860" s="5" t="str">
        <x:v>R-0460</x:v>
      </x:c>
      <x:c r="B860" s="5" t="str">
        <x:v>WQ</x:v>
      </x:c>
      <x:c r="C860" s="5" t="str">
        <x:v>3</x:v>
      </x:c>
      <x:c r="D860" s="5" t="str">
        <x:v>Recht und Steuern</x:v>
      </x:c>
      <x:c r="E860" s="5" t="str">
        <x:v>Recht</x:v>
      </x:c>
      <x:c r="F860" s="5" t="str">
        <x:v>ui-wq-recht-arbeit</x:v>
      </x:c>
      <x:c r="G860" s="5" t="str">
        <x:v>Arbeitsrecht</x:v>
      </x:c>
      <x:c r="H860" s="5" t="str">
        <x:v>tr-wq-r16</x:v>
      </x:c>
      <x:c r="I860" s="5" t="str">
        <x:v>3.1.5.1</x:v>
      </x:c>
      <x:c r="J860" s="5" t="str">
        <x:v>Arbeitsvertrag, Entgelt &amp; Kündigung</x:v>
      </x:c>
      <x:c r="K860" s="5" t="str"/>
      <x:c r="L860" s="5" t="str">
        <x:v>Arbeitsvertrag, Entgelt &amp; Kündigung</x:v>
      </x:c>
      <x:c r="M860" s="5" t="n">
        <x:v>61</x:v>
      </x:c>
      <x:c r="N860" s="5" t="n">
        <x:v>55</x:v>
      </x:c>
      <x:c r="O860" s="5" t="str"/>
      <x:c r="P860" s="5" t="str">
        <x:v>Pilot freigegeben</x:v>
      </x:c>
      <x:c r="Q860" s="5" t="str">
        <x:v>Revision 2 unverändert übernommen</x:v>
      </x:c>
      <x:c r="R860" s="5" t="str">
        <x:v>Was ist eine Kündigung?</x:v>
      </x:c>
      <x:c r="S860" s="5" t="str">
        <x:v>37daa9f5f31a92b5e95e2ec2495c017c4507c564e08abbdfabc89a21917bfb79</x:v>
      </x:c>
    </x:row>
    <x:row r="861" ht="36" customHeight="1">
      <x:c r="A861" s="5" t="str">
        <x:v>R-0461</x:v>
      </x:c>
      <x:c r="B861" s="5" t="str">
        <x:v>WQ</x:v>
      </x:c>
      <x:c r="C861" s="5" t="str">
        <x:v>3</x:v>
      </x:c>
      <x:c r="D861" s="5" t="str">
        <x:v>Recht und Steuern</x:v>
      </x:c>
      <x:c r="E861" s="5" t="str">
        <x:v>Recht</x:v>
      </x:c>
      <x:c r="F861" s="5" t="str">
        <x:v>ui-wq-recht-arbeit</x:v>
      </x:c>
      <x:c r="G861" s="5" t="str">
        <x:v>Arbeitsrecht</x:v>
      </x:c>
      <x:c r="H861" s="5" t="str">
        <x:v>tr-wq-r16</x:v>
      </x:c>
      <x:c r="I861" s="5" t="str">
        <x:v>3.1.5.1</x:v>
      </x:c>
      <x:c r="J861" s="5" t="str">
        <x:v>Arbeitsvertrag, Entgelt &amp; Kündigung</x:v>
      </x:c>
      <x:c r="K861" s="5" t="str"/>
      <x:c r="L861" s="5" t="str">
        <x:v>Arbeitsvertrag, Entgelt &amp; Kündigung</x:v>
      </x:c>
      <x:c r="M861" s="5" t="n">
        <x:v>62</x:v>
      </x:c>
      <x:c r="N861" s="5" t="n">
        <x:v>56</x:v>
      </x:c>
      <x:c r="O861" s="5" t="str"/>
      <x:c r="P861" s="5" t="str">
        <x:v>Pilot freigegeben</x:v>
      </x:c>
      <x:c r="Q861" s="5" t="str">
        <x:v>Revision 2 unverändert übernommen</x:v>
      </x:c>
      <x:c r="R861" s="5" t="str">
        <x:v>Warum ist der Zugang einer Kündigung rechtlich bedeutsam?</x:v>
      </x:c>
      <x:c r="S861" s="5" t="str">
        <x:v>ca10b43a592e646c4fb592cb655cec210a1a288b9f2b04651711283b98fc8ef0</x:v>
      </x:c>
    </x:row>
    <x:row r="862" ht="36" customHeight="1">
      <x:c r="A862" s="5" t="str">
        <x:v>R-0462</x:v>
      </x:c>
      <x:c r="B862" s="5" t="str">
        <x:v>WQ</x:v>
      </x:c>
      <x:c r="C862" s="5" t="str">
        <x:v>3</x:v>
      </x:c>
      <x:c r="D862" s="5" t="str">
        <x:v>Recht und Steuern</x:v>
      </x:c>
      <x:c r="E862" s="5" t="str">
        <x:v>Recht</x:v>
      </x:c>
      <x:c r="F862" s="5" t="str">
        <x:v>ui-wq-recht-arbeit</x:v>
      </x:c>
      <x:c r="G862" s="5" t="str">
        <x:v>Arbeitsrecht</x:v>
      </x:c>
      <x:c r="H862" s="5" t="str">
        <x:v>tr-wq-r16</x:v>
      </x:c>
      <x:c r="I862" s="5" t="str">
        <x:v>3.1.5.1</x:v>
      </x:c>
      <x:c r="J862" s="5" t="str">
        <x:v>Arbeitsvertrag, Entgelt &amp; Kündigung</x:v>
      </x:c>
      <x:c r="K862" s="5" t="str"/>
      <x:c r="L862" s="5" t="str">
        <x:v>Arbeitsvertrag, Entgelt &amp; Kündigung</x:v>
      </x:c>
      <x:c r="M862" s="5" t="n">
        <x:v>63</x:v>
      </x:c>
      <x:c r="N862" s="5" t="n">
        <x:v>57</x:v>
      </x:c>
      <x:c r="O862" s="5" t="str"/>
      <x:c r="P862" s="5" t="str">
        <x:v>Pilot freigegeben</x:v>
      </x:c>
      <x:c r="Q862" s="5" t="str">
        <x:v>Revision 2 unverändert übernommen</x:v>
      </x:c>
      <x:c r="R862" s="5" t="str">
        <x:v>In welcher Form muss eine Kündigung erfolgen?</x:v>
      </x:c>
      <x:c r="S862" s="5" t="str">
        <x:v>158cbcb4bacfbe37fff8e8769744f4556c9c03760c0357702e2943b228dd024c</x:v>
      </x:c>
    </x:row>
    <x:row r="863" ht="36" customHeight="1">
      <x:c r="A863" s="5" t="str">
        <x:v>R-0463</x:v>
      </x:c>
      <x:c r="B863" s="5" t="str">
        <x:v>WQ</x:v>
      </x:c>
      <x:c r="C863" s="5" t="str">
        <x:v>3</x:v>
      </x:c>
      <x:c r="D863" s="5" t="str">
        <x:v>Recht und Steuern</x:v>
      </x:c>
      <x:c r="E863" s="5" t="str">
        <x:v>Recht</x:v>
      </x:c>
      <x:c r="F863" s="5" t="str">
        <x:v>ui-wq-recht-arbeit</x:v>
      </x:c>
      <x:c r="G863" s="5" t="str">
        <x:v>Arbeitsrecht</x:v>
      </x:c>
      <x:c r="H863" s="5" t="str">
        <x:v>tr-wq-r16</x:v>
      </x:c>
      <x:c r="I863" s="5" t="str">
        <x:v>3.1.5.1</x:v>
      </x:c>
      <x:c r="J863" s="5" t="str">
        <x:v>Arbeitsvertrag, Entgelt &amp; Kündigung</x:v>
      </x:c>
      <x:c r="K863" s="5" t="str"/>
      <x:c r="L863" s="5" t="str">
        <x:v>Arbeitsvertrag, Entgelt &amp; Kündigung</x:v>
      </x:c>
      <x:c r="M863" s="5" t="n">
        <x:v>64</x:v>
      </x:c>
      <x:c r="N863" s="5" t="n">
        <x:v>58</x:v>
      </x:c>
      <x:c r="O863" s="5" t="str"/>
      <x:c r="P863" s="5" t="str">
        <x:v>Pilot freigegeben</x:v>
      </x:c>
      <x:c r="Q863" s="5" t="str">
        <x:v>Revision 2 unverändert übernommen</x:v>
      </x:c>
      <x:c r="R863" s="5" t="str">
        <x:v>Muss eine Kündigung im Kündigungsschreiben begründet werden?</x:v>
      </x:c>
      <x:c r="S863" s="5" t="str">
        <x:v>b1441725601ce6471498582c9826406ad8e7c6afae73aedefbd6c31d74fa406a</x:v>
      </x:c>
    </x:row>
    <x:row r="864" ht="36" customHeight="1">
      <x:c r="A864" s="5" t="str">
        <x:v>R-0464</x:v>
      </x:c>
      <x:c r="B864" s="5" t="str">
        <x:v>WQ</x:v>
      </x:c>
      <x:c r="C864" s="5" t="str">
        <x:v>3</x:v>
      </x:c>
      <x:c r="D864" s="5" t="str">
        <x:v>Recht und Steuern</x:v>
      </x:c>
      <x:c r="E864" s="5" t="str">
        <x:v>Recht</x:v>
      </x:c>
      <x:c r="F864" s="5" t="str">
        <x:v>ui-wq-recht-arbeit</x:v>
      </x:c>
      <x:c r="G864" s="5" t="str">
        <x:v>Arbeitsrecht</x:v>
      </x:c>
      <x:c r="H864" s="5" t="str">
        <x:v>tr-wq-r16</x:v>
      </x:c>
      <x:c r="I864" s="5" t="str">
        <x:v>3.1.5.1</x:v>
      </x:c>
      <x:c r="J864" s="5" t="str">
        <x:v>Arbeitsvertrag, Entgelt &amp; Kündigung</x:v>
      </x:c>
      <x:c r="K864" s="5" t="str">
        <x:v>3.1.5.2</x:v>
      </x:c>
      <x:c r="L864" s="5" t="str">
        <x:v>Arbeitsvertrag, Entgelt &amp; Kündigung</x:v>
      </x:c>
      <x:c r="M864" s="5" t="n">
        <x:v>65</x:v>
      </x:c>
      <x:c r="N864" s="5" t="n">
        <x:v>59</x:v>
      </x:c>
      <x:c r="O864" s="5" t="str"/>
      <x:c r="P864" s="5" t="str">
        <x:v>Pilot freigegeben</x:v>
      </x:c>
      <x:c r="Q864" s="5" t="str">
        <x:v>Revision 2 unverändert übernommen</x:v>
      </x:c>
      <x:c r="R864" s="5" t="str">
        <x:v>Welche Informationen muss der Arbeitgeber dem Betriebsrat vor einer Kündigung mitteilen?</x:v>
      </x:c>
      <x:c r="S864" s="5" t="str">
        <x:v>c0d588e8fc3bc51e5a698c9ea55938832ba4504978d80eb27d72e8aa52b30e04</x:v>
      </x:c>
    </x:row>
    <x:row r="865" ht="36" customHeight="1">
      <x:c r="A865" s="5" t="str">
        <x:v>R-0465</x:v>
      </x:c>
      <x:c r="B865" s="5" t="str">
        <x:v>WQ</x:v>
      </x:c>
      <x:c r="C865" s="5" t="str">
        <x:v>3</x:v>
      </x:c>
      <x:c r="D865" s="5" t="str">
        <x:v>Recht und Steuern</x:v>
      </x:c>
      <x:c r="E865" s="5" t="str">
        <x:v>Recht</x:v>
      </x:c>
      <x:c r="F865" s="5" t="str">
        <x:v>ui-wq-recht-arbeit</x:v>
      </x:c>
      <x:c r="G865" s="5" t="str">
        <x:v>Arbeitsrecht</x:v>
      </x:c>
      <x:c r="H865" s="5" t="str">
        <x:v>tr-wq-r16</x:v>
      </x:c>
      <x:c r="I865" s="5" t="str">
        <x:v>3.1.5.1</x:v>
      </x:c>
      <x:c r="J865" s="5" t="str">
        <x:v>Arbeitsvertrag, Entgelt &amp; Kündigung</x:v>
      </x:c>
      <x:c r="K865" s="5" t="str">
        <x:v>3.1.5.2</x:v>
      </x:c>
      <x:c r="L865" s="5" t="str">
        <x:v>Arbeitsvertrag, Entgelt &amp; Kündigung</x:v>
      </x:c>
      <x:c r="M865" s="5" t="n">
        <x:v>66</x:v>
      </x:c>
      <x:c r="N865" s="5" t="n">
        <x:v>60</x:v>
      </x:c>
      <x:c r="O865" s="5" t="str"/>
      <x:c r="P865" s="5" t="str">
        <x:v>Pilot freigegeben</x:v>
      </x:c>
      <x:c r="Q865" s="5" t="str">
        <x:v>Revision 2 unverändert übernommen</x:v>
      </x:c>
      <x:c r="R865" s="5" t="str">
        <x:v>Welche Folge hat eine Kündigung ohne ordnungsgemäße Anhörung des Betriebsrats?</x:v>
      </x:c>
      <x:c r="S865" s="5" t="str">
        <x:v>48559dbe9d46cf17b24d07fb3219f515afc80301893750de8139509829922f02</x:v>
      </x:c>
    </x:row>
    <x:row r="866" ht="36" customHeight="1">
      <x:c r="A866" s="5" t="str">
        <x:v>R-0466</x:v>
      </x:c>
      <x:c r="B866" s="5" t="str">
        <x:v>WQ</x:v>
      </x:c>
      <x:c r="C866" s="5" t="str">
        <x:v>3</x:v>
      </x:c>
      <x:c r="D866" s="5" t="str">
        <x:v>Recht und Steuern</x:v>
      </x:c>
      <x:c r="E866" s="5" t="str">
        <x:v>Recht</x:v>
      </x:c>
      <x:c r="F866" s="5" t="str">
        <x:v>ui-wq-recht-arbeit</x:v>
      </x:c>
      <x:c r="G866" s="5" t="str">
        <x:v>Arbeitsrecht</x:v>
      </x:c>
      <x:c r="H866" s="5" t="str">
        <x:v>tr-wq-r16</x:v>
      </x:c>
      <x:c r="I866" s="5" t="str">
        <x:v>3.1.5.1</x:v>
      </x:c>
      <x:c r="J866" s="5" t="str">
        <x:v>Arbeitsvertrag, Entgelt &amp; Kündigung</x:v>
      </x:c>
      <x:c r="K866" s="5" t="str"/>
      <x:c r="L866" s="5" t="str">
        <x:v>Arbeitsvertrag, Entgelt &amp; Kündigung</x:v>
      </x:c>
      <x:c r="M866" s="5" t="n">
        <x:v>67</x:v>
      </x:c>
      <x:c r="N866" s="5" t="n">
        <x:v>61</x:v>
      </x:c>
      <x:c r="O866" s="5" t="str"/>
      <x:c r="P866" s="5" t="str">
        <x:v>Pilot freigegeben</x:v>
      </x:c>
      <x:c r="Q866" s="5" t="str">
        <x:v>Revision 2 unverändert übernommen</x:v>
      </x:c>
      <x:c r="R866" s="5" t="str">
        <x:v>Innerhalb welcher Frist muss Kündigungsschutzklage erhoben werden und was geschieht bei Fristversäumnis?</x:v>
      </x:c>
      <x:c r="S866" s="5" t="str">
        <x:v>d93dc0b93ccf68bc36f5b68a1f2724a98f7622ea449800d085c755349e2f161a</x:v>
      </x:c>
    </x:row>
    <x:row r="867" ht="36" customHeight="1">
      <x:c r="A867" s="5" t="str">
        <x:v>R-0467</x:v>
      </x:c>
      <x:c r="B867" s="5" t="str">
        <x:v>WQ</x:v>
      </x:c>
      <x:c r="C867" s="5" t="str">
        <x:v>3</x:v>
      </x:c>
      <x:c r="D867" s="5" t="str">
        <x:v>Recht und Steuern</x:v>
      </x:c>
      <x:c r="E867" s="5" t="str">
        <x:v>Recht</x:v>
      </x:c>
      <x:c r="F867" s="5" t="str">
        <x:v>ui-wq-recht-arbeit</x:v>
      </x:c>
      <x:c r="G867" s="5" t="str">
        <x:v>Arbeitsrecht</x:v>
      </x:c>
      <x:c r="H867" s="5" t="str">
        <x:v>tr-wq-r16</x:v>
      </x:c>
      <x:c r="I867" s="5" t="str">
        <x:v>3.1.5.1</x:v>
      </x:c>
      <x:c r="J867" s="5" t="str">
        <x:v>Arbeitsvertrag, Entgelt &amp; Kündigung</x:v>
      </x:c>
      <x:c r="K867" s="5" t="str"/>
      <x:c r="L867" s="5" t="str">
        <x:v>Arbeitsvertrag, Entgelt &amp; Kündigung</x:v>
      </x:c>
      <x:c r="M867" s="5" t="n">
        <x:v>68</x:v>
      </x:c>
      <x:c r="N867" s="5" t="n">
        <x:v>62</x:v>
      </x:c>
      <x:c r="O867" s="5" t="str"/>
      <x:c r="P867" s="5" t="str">
        <x:v>Pilot freigegeben</x:v>
      </x:c>
      <x:c r="Q867" s="5" t="str">
        <x:v>Revision 2 unverändert übernommen</x:v>
      </x:c>
      <x:c r="R867" s="5" t="str">
        <x:v>Was kennzeichnet eine ordentliche Kündigung?</x:v>
      </x:c>
      <x:c r="S867" s="5" t="str">
        <x:v>85df3ade26dee3df93bbb53ab0c2cfbcaad9fc33969214b119bd1e7871e7af92</x:v>
      </x:c>
    </x:row>
    <x:row r="868" ht="36" customHeight="1">
      <x:c r="A868" s="5" t="str">
        <x:v>R-0468</x:v>
      </x:c>
      <x:c r="B868" s="5" t="str">
        <x:v>WQ</x:v>
      </x:c>
      <x:c r="C868" s="5" t="str">
        <x:v>3</x:v>
      </x:c>
      <x:c r="D868" s="5" t="str">
        <x:v>Recht und Steuern</x:v>
      </x:c>
      <x:c r="E868" s="5" t="str">
        <x:v>Recht</x:v>
      </x:c>
      <x:c r="F868" s="5" t="str">
        <x:v>ui-wq-recht-arbeit</x:v>
      </x:c>
      <x:c r="G868" s="5" t="str">
        <x:v>Arbeitsrecht</x:v>
      </x:c>
      <x:c r="H868" s="5" t="str">
        <x:v>tr-wq-r16</x:v>
      </x:c>
      <x:c r="I868" s="5" t="str">
        <x:v>3.1.5.1</x:v>
      </x:c>
      <x:c r="J868" s="5" t="str">
        <x:v>Arbeitsvertrag, Entgelt &amp; Kündigung</x:v>
      </x:c>
      <x:c r="K868" s="5" t="str"/>
      <x:c r="L868" s="5" t="str">
        <x:v>Arbeitsvertrag, Entgelt &amp; Kündigung</x:v>
      </x:c>
      <x:c r="M868" s="5" t="n">
        <x:v>69</x:v>
      </x:c>
      <x:c r="N868" s="5" t="n">
        <x:v>63</x:v>
      </x:c>
      <x:c r="O868" s="5" t="str"/>
      <x:c r="P868" s="5" t="str">
        <x:v>Pilot freigegeben</x:v>
      </x:c>
      <x:c r="Q868" s="5" t="str">
        <x:v>Revision 2 unverändert übernommen</x:v>
      </x:c>
      <x:c r="R868" s="5" t="str">
        <x:v>Welche gesetzliche Grundkündigungsfrist gilt für eine Kündigung durch den Arbeitnehmer?</x:v>
      </x:c>
      <x:c r="S868" s="5" t="str">
        <x:v>0ad47194ee6700cceb74466eca91d0d6da7b94d89953c55aa4cd2c73c2fabfb5</x:v>
      </x:c>
    </x:row>
    <x:row r="869" ht="36" customHeight="1">
      <x:c r="A869" s="5" t="str">
        <x:v>R-0469</x:v>
      </x:c>
      <x:c r="B869" s="5" t="str">
        <x:v>WQ</x:v>
      </x:c>
      <x:c r="C869" s="5" t="str">
        <x:v>3</x:v>
      </x:c>
      <x:c r="D869" s="5" t="str">
        <x:v>Recht und Steuern</x:v>
      </x:c>
      <x:c r="E869" s="5" t="str">
        <x:v>Recht</x:v>
      </x:c>
      <x:c r="F869" s="5" t="str">
        <x:v>ui-wq-recht-arbeit</x:v>
      </x:c>
      <x:c r="G869" s="5" t="str">
        <x:v>Arbeitsrecht</x:v>
      </x:c>
      <x:c r="H869" s="5" t="str">
        <x:v>tr-wq-r16</x:v>
      </x:c>
      <x:c r="I869" s="5" t="str">
        <x:v>3.1.5.1</x:v>
      </x:c>
      <x:c r="J869" s="5" t="str">
        <x:v>Arbeitsvertrag, Entgelt &amp; Kündigung</x:v>
      </x:c>
      <x:c r="K869" s="5" t="str"/>
      <x:c r="L869" s="5" t="str">
        <x:v>Arbeitsvertrag, Entgelt &amp; Kündigung</x:v>
      </x:c>
      <x:c r="M869" s="5" t="n">
        <x:v>70</x:v>
      </x:c>
      <x:c r="N869" s="5" t="n">
        <x:v>64</x:v>
      </x:c>
      <x:c r="O869" s="5" t="str"/>
      <x:c r="P869" s="5" t="str">
        <x:v>Pilot freigegeben</x:v>
      </x:c>
      <x:c r="Q869" s="5" t="str">
        <x:v>Revision 2 unverändert übernommen</x:v>
      </x:c>
      <x:c r="R869" s="5" t="str">
        <x:v>Wie verlängert sich die gesetzliche Kündigungsfrist für den Arbeitgeber mit der Betriebszugehörigkeit?</x:v>
      </x:c>
      <x:c r="S869" s="5" t="str">
        <x:v>552e5dd958b93273b16b89e8866e28fbccc7cd00125910af6558232404fef233</x:v>
      </x:c>
    </x:row>
    <x:row r="870" ht="36" customHeight="1">
      <x:c r="A870" s="5" t="str">
        <x:v>R-0470</x:v>
      </x:c>
      <x:c r="B870" s="5" t="str">
        <x:v>WQ</x:v>
      </x:c>
      <x:c r="C870" s="5" t="str">
        <x:v>3</x:v>
      </x:c>
      <x:c r="D870" s="5" t="str">
        <x:v>Recht und Steuern</x:v>
      </x:c>
      <x:c r="E870" s="5" t="str">
        <x:v>Recht</x:v>
      </x:c>
      <x:c r="F870" s="5" t="str">
        <x:v>ui-wq-recht-arbeit</x:v>
      </x:c>
      <x:c r="G870" s="5" t="str">
        <x:v>Arbeitsrecht</x:v>
      </x:c>
      <x:c r="H870" s="5" t="str">
        <x:v>tr-wq-r16</x:v>
      </x:c>
      <x:c r="I870" s="5" t="str">
        <x:v>3.1.5.1</x:v>
      </x:c>
      <x:c r="J870" s="5" t="str">
        <x:v>Arbeitsvertrag, Entgelt &amp; Kündigung</x:v>
      </x:c>
      <x:c r="K870" s="5" t="str"/>
      <x:c r="L870" s="5" t="str">
        <x:v>Arbeitsvertrag, Entgelt &amp; Kündigung</x:v>
      </x:c>
      <x:c r="M870" s="5" t="n">
        <x:v>71</x:v>
      </x:c>
      <x:c r="N870" s="5" t="n">
        <x:v>65</x:v>
      </x:c>
      <x:c r="O870" s="5" t="str"/>
      <x:c r="P870" s="5" t="str">
        <x:v>Pilot freigegeben</x:v>
      </x:c>
      <x:c r="Q870" s="5" t="str">
        <x:v>Revision 2 unverändert übernommen</x:v>
      </x:c>
      <x:c r="R870" s="5" t="str">
        <x:v>Unter welchen Voraussetzungen ist eine außerordentliche Kündigung nach § 626 BGB möglich?</x:v>
      </x:c>
      <x:c r="S870" s="5" t="str">
        <x:v>198499b934587e71ccd775c068ab66017b5738bb9d1baa83adc0de6b0baaef7f</x:v>
      </x:c>
    </x:row>
    <x:row r="871" ht="36" customHeight="1">
      <x:c r="A871" s="5" t="str">
        <x:v>R-0471</x:v>
      </x:c>
      <x:c r="B871" s="5" t="str">
        <x:v>WQ</x:v>
      </x:c>
      <x:c r="C871" s="5" t="str">
        <x:v>3</x:v>
      </x:c>
      <x:c r="D871" s="5" t="str">
        <x:v>Recht und Steuern</x:v>
      </x:c>
      <x:c r="E871" s="5" t="str">
        <x:v>Recht</x:v>
      </x:c>
      <x:c r="F871" s="5" t="str">
        <x:v>ui-wq-recht-arbeit</x:v>
      </x:c>
      <x:c r="G871" s="5" t="str">
        <x:v>Arbeitsrecht</x:v>
      </x:c>
      <x:c r="H871" s="5" t="str">
        <x:v>tr-wq-r16</x:v>
      </x:c>
      <x:c r="I871" s="5" t="str">
        <x:v>3.1.5.1</x:v>
      </x:c>
      <x:c r="J871" s="5" t="str">
        <x:v>Arbeitsvertrag, Entgelt &amp; Kündigung</x:v>
      </x:c>
      <x:c r="K871" s="5" t="str"/>
      <x:c r="L871" s="5" t="str">
        <x:v>Arbeitsvertrag, Entgelt &amp; Kündigung</x:v>
      </x:c>
      <x:c r="M871" s="5" t="n">
        <x:v>72</x:v>
      </x:c>
      <x:c r="N871" s="5" t="n">
        <x:v>66</x:v>
      </x:c>
      <x:c r="O871" s="5" t="str"/>
      <x:c r="P871" s="5" t="str">
        <x:v>Pilot freigegeben</x:v>
      </x:c>
      <x:c r="Q871" s="5" t="str">
        <x:v>Revision 2 unverändert übernommen</x:v>
      </x:c>
      <x:c r="R871" s="5" t="str">
        <x:v>Welche Erklärungsfrist gilt für eine außerordentliche Kündigung?</x:v>
      </x:c>
      <x:c r="S871" s="5" t="str">
        <x:v>21030863e8cdc593214fbeca091ac4e9790ecadd81730de365594fdb43578fe7</x:v>
      </x:c>
    </x:row>
    <x:row r="872" ht="36" customHeight="1">
      <x:c r="A872" s="5" t="str">
        <x:v>R-0472</x:v>
      </x:c>
      <x:c r="B872" s="5" t="str">
        <x:v>WQ</x:v>
      </x:c>
      <x:c r="C872" s="5" t="str">
        <x:v>3</x:v>
      </x:c>
      <x:c r="D872" s="5" t="str">
        <x:v>Recht und Steuern</x:v>
      </x:c>
      <x:c r="E872" s="5" t="str">
        <x:v>Recht</x:v>
      </x:c>
      <x:c r="F872" s="5" t="str">
        <x:v>ui-wq-recht-arbeit</x:v>
      </x:c>
      <x:c r="G872" s="5" t="str">
        <x:v>Arbeitsrecht</x:v>
      </x:c>
      <x:c r="H872" s="5" t="str">
        <x:v>tr-wq-r16</x:v>
      </x:c>
      <x:c r="I872" s="5" t="str">
        <x:v>3.1.5.1</x:v>
      </x:c>
      <x:c r="J872" s="5" t="str">
        <x:v>Arbeitsvertrag, Entgelt &amp; Kündigung</x:v>
      </x:c>
      <x:c r="K872" s="5" t="str"/>
      <x:c r="L872" s="5" t="str">
        <x:v>Arbeitsvertrag, Entgelt &amp; Kündigung</x:v>
      </x:c>
      <x:c r="M872" s="5" t="n">
        <x:v>73</x:v>
      </x:c>
      <x:c r="N872" s="5" t="n">
        <x:v>67</x:v>
      </x:c>
      <x:c r="O872" s="5" t="str"/>
      <x:c r="P872" s="5" t="str">
        <x:v>Pilot freigegeben</x:v>
      </x:c>
      <x:c r="Q872" s="5" t="str">
        <x:v>Revision 2 unverändert übernommen</x:v>
      </x:c>
      <x:c r="R872" s="5" t="str">
        <x:v>Welche persönliche Wartezeit verlangt der allgemeine Kündigungsschutz nach dem KSchG?</x:v>
      </x:c>
      <x:c r="S872" s="5" t="str">
        <x:v>e5acfd8acde6bbc2340fe38617c7483123b4799e9934a63bf4a73459ae2ba6c5</x:v>
      </x:c>
    </x:row>
    <x:row r="873" ht="36" customHeight="1">
      <x:c r="A873" s="5" t="str">
        <x:v>R-0473</x:v>
      </x:c>
      <x:c r="B873" s="5" t="str">
        <x:v>WQ</x:v>
      </x:c>
      <x:c r="C873" s="5" t="str">
        <x:v>3</x:v>
      </x:c>
      <x:c r="D873" s="5" t="str">
        <x:v>Recht und Steuern</x:v>
      </x:c>
      <x:c r="E873" s="5" t="str">
        <x:v>Recht</x:v>
      </x:c>
      <x:c r="F873" s="5" t="str">
        <x:v>ui-wq-recht-arbeit</x:v>
      </x:c>
      <x:c r="G873" s="5" t="str">
        <x:v>Arbeitsrecht</x:v>
      </x:c>
      <x:c r="H873" s="5" t="str">
        <x:v>tr-wq-r16</x:v>
      </x:c>
      <x:c r="I873" s="5" t="str">
        <x:v>3.1.5.1</x:v>
      </x:c>
      <x:c r="J873" s="5" t="str">
        <x:v>Arbeitsvertrag, Entgelt &amp; Kündigung</x:v>
      </x:c>
      <x:c r="K873" s="5" t="str"/>
      <x:c r="L873" s="5" t="str">
        <x:v>Arbeitsvertrag, Entgelt &amp; Kündigung</x:v>
      </x:c>
      <x:c r="M873" s="5" t="n">
        <x:v>74</x:v>
      </x:c>
      <x:c r="N873" s="5" t="n">
        <x:v>68</x:v>
      </x:c>
      <x:c r="O873" s="5" t="str"/>
      <x:c r="P873" s="5" t="str">
        <x:v>Pilot freigegeben</x:v>
      </x:c>
      <x:c r="Q873" s="5" t="str">
        <x:v>Revision 2 unverändert übernommen</x:v>
      </x:c>
      <x:c r="R873" s="5" t="str">
        <x:v>Welche Betriebsgröße ist für den allgemeinen Kündigungsschutz grundsätzlich erforderlich?</x:v>
      </x:c>
      <x:c r="S873" s="5" t="str">
        <x:v>22db3046979a998a472453ffb9224782a7c0f30713a4b4a68929fd7d3017eb04</x:v>
      </x:c>
    </x:row>
    <x:row r="874" ht="36" customHeight="1">
      <x:c r="A874" s="5" t="str">
        <x:v>R-0474</x:v>
      </x:c>
      <x:c r="B874" s="5" t="str">
        <x:v>WQ</x:v>
      </x:c>
      <x:c r="C874" s="5" t="str">
        <x:v>3</x:v>
      </x:c>
      <x:c r="D874" s="5" t="str">
        <x:v>Recht und Steuern</x:v>
      </x:c>
      <x:c r="E874" s="5" t="str">
        <x:v>Recht</x:v>
      </x:c>
      <x:c r="F874" s="5" t="str">
        <x:v>ui-wq-recht-arbeit</x:v>
      </x:c>
      <x:c r="G874" s="5" t="str">
        <x:v>Arbeitsrecht</x:v>
      </x:c>
      <x:c r="H874" s="5" t="str">
        <x:v>tr-wq-r16</x:v>
      </x:c>
      <x:c r="I874" s="5" t="str">
        <x:v>3.1.5.1</x:v>
      </x:c>
      <x:c r="J874" s="5" t="str">
        <x:v>Arbeitsvertrag, Entgelt &amp; Kündigung</x:v>
      </x:c>
      <x:c r="K874" s="5" t="str"/>
      <x:c r="L874" s="5" t="str">
        <x:v>Arbeitsvertrag, Entgelt &amp; Kündigung</x:v>
      </x:c>
      <x:c r="M874" s="5" t="n">
        <x:v>75</x:v>
      </x:c>
      <x:c r="N874" s="5" t="n">
        <x:v>69</x:v>
      </x:c>
      <x:c r="O874" s="5" t="str"/>
      <x:c r="P874" s="5" t="str">
        <x:v>Pilot freigegeben</x:v>
      </x:c>
      <x:c r="Q874" s="5" t="str">
        <x:v>Revision 2 unverändert übernommen</x:v>
      </x:c>
      <x:c r="R874" s="5" t="str">
        <x:v>Welche drei Arten sozial gerechtfertigter Kündigungsgründe kennt § 1 KSchG?</x:v>
      </x:c>
      <x:c r="S874" s="5" t="str">
        <x:v>878ce7c6481778028c555ceae0022c8b363d793f1d45b8005dd4871cccf9bf2b</x:v>
      </x:c>
    </x:row>
    <x:row r="875" ht="36" customHeight="1">
      <x:c r="A875" s="5" t="str">
        <x:v>R-0475</x:v>
      </x:c>
      <x:c r="B875" s="5" t="str">
        <x:v>WQ</x:v>
      </x:c>
      <x:c r="C875" s="5" t="str">
        <x:v>3</x:v>
      </x:c>
      <x:c r="D875" s="5" t="str">
        <x:v>Recht und Steuern</x:v>
      </x:c>
      <x:c r="E875" s="5" t="str">
        <x:v>Recht</x:v>
      </x:c>
      <x:c r="F875" s="5" t="str">
        <x:v>ui-wq-recht-arbeit</x:v>
      </x:c>
      <x:c r="G875" s="5" t="str">
        <x:v>Arbeitsrecht</x:v>
      </x:c>
      <x:c r="H875" s="5" t="str">
        <x:v>tr-wq-r16</x:v>
      </x:c>
      <x:c r="I875" s="5" t="str">
        <x:v>3.1.5.1</x:v>
      </x:c>
      <x:c r="J875" s="5" t="str">
        <x:v>Arbeitsvertrag, Entgelt &amp; Kündigung</x:v>
      </x:c>
      <x:c r="K875" s="5" t="str"/>
      <x:c r="L875" s="5" t="str">
        <x:v>Arbeitsvertrag, Entgelt &amp; Kündigung</x:v>
      </x:c>
      <x:c r="M875" s="5" t="n">
        <x:v>76</x:v>
      </x:c>
      <x:c r="N875" s="5" t="n">
        <x:v>70</x:v>
      </x:c>
      <x:c r="O875" s="5" t="str"/>
      <x:c r="P875" s="5" t="str">
        <x:v>Pilot freigegeben</x:v>
      </x:c>
      <x:c r="Q875" s="5" t="str">
        <x:v>Revision 2 unverändert übernommen</x:v>
      </x:c>
      <x:c r="R875" s="5" t="str">
        <x:v>Wann ist vor einer verhaltensbedingten Kündigung grundsätzlich eine Abmahnung erforderlich?</x:v>
      </x:c>
      <x:c r="S875" s="5" t="str">
        <x:v>3ae8523b49bdc41263495782bda3f71b63aa748a2bcca5bb5ae6db76c6055e17</x:v>
      </x:c>
    </x:row>
    <x:row r="876" ht="36" customHeight="1">
      <x:c r="A876" s="5" t="str">
        <x:v>R-0476</x:v>
      </x:c>
      <x:c r="B876" s="5" t="str">
        <x:v>WQ</x:v>
      </x:c>
      <x:c r="C876" s="5" t="str">
        <x:v>3</x:v>
      </x:c>
      <x:c r="D876" s="5" t="str">
        <x:v>Recht und Steuern</x:v>
      </x:c>
      <x:c r="E876" s="5" t="str">
        <x:v>Recht</x:v>
      </x:c>
      <x:c r="F876" s="5" t="str">
        <x:v>ui-wq-recht-arbeit</x:v>
      </x:c>
      <x:c r="G876" s="5" t="str">
        <x:v>Arbeitsrecht</x:v>
      </x:c>
      <x:c r="H876" s="5" t="str">
        <x:v>tr-wq-r16</x:v>
      </x:c>
      <x:c r="I876" s="5" t="str">
        <x:v>3.1.5.1</x:v>
      </x:c>
      <x:c r="J876" s="5" t="str">
        <x:v>Arbeitsvertrag, Entgelt &amp; Kündigung</x:v>
      </x:c>
      <x:c r="K876" s="5" t="str"/>
      <x:c r="L876" s="5" t="str">
        <x:v>Arbeitsvertrag, Entgelt &amp; Kündigung</x:v>
      </x:c>
      <x:c r="M876" s="5" t="n">
        <x:v>77</x:v>
      </x:c>
      <x:c r="N876" s="5" t="n">
        <x:v>71</x:v>
      </x:c>
      <x:c r="O876" s="5" t="str"/>
      <x:c r="P876" s="5" t="str">
        <x:v>Pilot freigegeben</x:v>
      </x:c>
      <x:c r="Q876" s="5" t="str">
        <x:v>Revision 2 unverändert übernommen</x:v>
      </x:c>
      <x:c r="R876" s="5" t="str">
        <x:v>Welche drei Funktionen beziehungsweise Bestandteile hat eine wirksame Abmahnung?</x:v>
      </x:c>
      <x:c r="S876" s="5" t="str">
        <x:v>3a51019a9fc70bb8ed77e0a7f6ee3459be8176a0c8353afbfbe57f27d9b91f1f</x:v>
      </x:c>
    </x:row>
    <x:row r="877" ht="36" customHeight="1">
      <x:c r="A877" s="5" t="str">
        <x:v>R-0477</x:v>
      </x:c>
      <x:c r="B877" s="5" t="str">
        <x:v>WQ</x:v>
      </x:c>
      <x:c r="C877" s="5" t="str">
        <x:v>3</x:v>
      </x:c>
      <x:c r="D877" s="5" t="str">
        <x:v>Recht und Steuern</x:v>
      </x:c>
      <x:c r="E877" s="5" t="str">
        <x:v>Recht</x:v>
      </x:c>
      <x:c r="F877" s="5" t="str">
        <x:v>ui-wq-recht-arbeit</x:v>
      </x:c>
      <x:c r="G877" s="5" t="str">
        <x:v>Arbeitsrecht</x:v>
      </x:c>
      <x:c r="H877" s="5" t="str">
        <x:v>tr-wq-r16</x:v>
      </x:c>
      <x:c r="I877" s="5" t="str">
        <x:v>3.1.5.1</x:v>
      </x:c>
      <x:c r="J877" s="5" t="str">
        <x:v>Arbeitsvertrag, Entgelt &amp; Kündigung</x:v>
      </x:c>
      <x:c r="K877" s="5" t="str"/>
      <x:c r="L877" s="5" t="str">
        <x:v>Arbeitsvertrag, Entgelt &amp; Kündigung</x:v>
      </x:c>
      <x:c r="M877" s="5" t="n">
        <x:v>78</x:v>
      </x:c>
      <x:c r="N877" s="5" t="n">
        <x:v>72</x:v>
      </x:c>
      <x:c r="O877" s="5" t="str"/>
      <x:c r="P877" s="5" t="str">
        <x:v>Pilot freigegeben</x:v>
      </x:c>
      <x:c r="Q877" s="5" t="str">
        <x:v>Revision 2 unverändert übernommen</x:v>
      </x:c>
      <x:c r="R877" s="5" t="str">
        <x:v>Welche Voraussetzungen sind bei einer personenbedingten Kündigung zu prüfen?</x:v>
      </x:c>
      <x:c r="S877" s="5" t="str">
        <x:v>4c06324f39891d3cd587bf3981712c9167f3fe7c9f4f753255aa2bc2b80487f8</x:v>
      </x:c>
    </x:row>
    <x:row r="878" ht="36" customHeight="1">
      <x:c r="A878" s="5" t="str">
        <x:v>R-0478</x:v>
      </x:c>
      <x:c r="B878" s="5" t="str">
        <x:v>WQ</x:v>
      </x:c>
      <x:c r="C878" s="5" t="str">
        <x:v>3</x:v>
      </x:c>
      <x:c r="D878" s="5" t="str">
        <x:v>Recht und Steuern</x:v>
      </x:c>
      <x:c r="E878" s="5" t="str">
        <x:v>Recht</x:v>
      </x:c>
      <x:c r="F878" s="5" t="str">
        <x:v>ui-wq-recht-arbeit</x:v>
      </x:c>
      <x:c r="G878" s="5" t="str">
        <x:v>Arbeitsrecht</x:v>
      </x:c>
      <x:c r="H878" s="5" t="str">
        <x:v>tr-wq-r16</x:v>
      </x:c>
      <x:c r="I878" s="5" t="str">
        <x:v>3.1.5.1</x:v>
      </x:c>
      <x:c r="J878" s="5" t="str">
        <x:v>Arbeitsvertrag, Entgelt &amp; Kündigung</x:v>
      </x:c>
      <x:c r="K878" s="5" t="str"/>
      <x:c r="L878" s="5" t="str">
        <x:v>Arbeitsvertrag, Entgelt &amp; Kündigung</x:v>
      </x:c>
      <x:c r="M878" s="5" t="n">
        <x:v>79</x:v>
      </x:c>
      <x:c r="N878" s="5" t="n">
        <x:v>73</x:v>
      </x:c>
      <x:c r="O878" s="5" t="str"/>
      <x:c r="P878" s="5" t="str">
        <x:v>Pilot freigegeben</x:v>
      </x:c>
      <x:c r="Q878" s="5" t="str">
        <x:v>Revision 2 unverändert übernommen</x:v>
      </x:c>
      <x:c r="R878" s="5" t="str">
        <x:v>Welche Voraussetzungen hat eine betriebsbedingte Kündigung?</x:v>
      </x:c>
      <x:c r="S878" s="5" t="str">
        <x:v>f3b9611b33c8894d5e44b0645435c4c284aa366e360ba049a716bd2a8271f4c7</x:v>
      </x:c>
    </x:row>
    <x:row r="879" ht="36" customHeight="1">
      <x:c r="A879" s="5" t="str">
        <x:v>R-0479</x:v>
      </x:c>
      <x:c r="B879" s="5" t="str">
        <x:v>WQ</x:v>
      </x:c>
      <x:c r="C879" s="5" t="str">
        <x:v>3</x:v>
      </x:c>
      <x:c r="D879" s="5" t="str">
        <x:v>Recht und Steuern</x:v>
      </x:c>
      <x:c r="E879" s="5" t="str">
        <x:v>Recht</x:v>
      </x:c>
      <x:c r="F879" s="5" t="str">
        <x:v>ui-wq-recht-arbeit</x:v>
      </x:c>
      <x:c r="G879" s="5" t="str">
        <x:v>Arbeitsrecht</x:v>
      </x:c>
      <x:c r="H879" s="5" t="str">
        <x:v>tr-wq-r16</x:v>
      </x:c>
      <x:c r="I879" s="5" t="str">
        <x:v>3.1.5.1</x:v>
      </x:c>
      <x:c r="J879" s="5" t="str">
        <x:v>Arbeitsvertrag, Entgelt &amp; Kündigung</x:v>
      </x:c>
      <x:c r="K879" s="5" t="str"/>
      <x:c r="L879" s="5" t="str">
        <x:v>Arbeitsvertrag, Entgelt &amp; Kündigung</x:v>
      </x:c>
      <x:c r="M879" s="5" t="n">
        <x:v>80</x:v>
      </x:c>
      <x:c r="N879" s="5" t="n">
        <x:v>74</x:v>
      </x:c>
      <x:c r="O879" s="5" t="str"/>
      <x:c r="P879" s="5" t="str">
        <x:v>Pilot freigegeben</x:v>
      </x:c>
      <x:c r="Q879" s="5" t="str">
        <x:v>Revision 2 unverändert übernommen</x:v>
      </x:c>
      <x:c r="R879" s="5" t="str">
        <x:v>Welche Arbeitnehmer dürfen ausnahmsweise aus der Sozialauswahl herausgenommen werden?</x:v>
      </x:c>
      <x:c r="S879" s="5" t="str">
        <x:v>8bfd4330613efa1d12e5e88d87076a381f9c8d875ca5c6604a50800f372791d5</x:v>
      </x:c>
    </x:row>
    <x:row r="880" ht="36" customHeight="1">
      <x:c r="A880" s="5" t="str">
        <x:v>R-0480</x:v>
      </x:c>
      <x:c r="B880" s="5" t="str">
        <x:v>WQ</x:v>
      </x:c>
      <x:c r="C880" s="5" t="str">
        <x:v>3</x:v>
      </x:c>
      <x:c r="D880" s="5" t="str">
        <x:v>Recht und Steuern</x:v>
      </x:c>
      <x:c r="E880" s="5" t="str">
        <x:v>Recht</x:v>
      </x:c>
      <x:c r="F880" s="5" t="str">
        <x:v>ui-wq-recht-arbeit</x:v>
      </x:c>
      <x:c r="G880" s="5" t="str">
        <x:v>Arbeitsrecht</x:v>
      </x:c>
      <x:c r="H880" s="5" t="str">
        <x:v>tr-wq-r16</x:v>
      </x:c>
      <x:c r="I880" s="5" t="str">
        <x:v>3.1.5.1</x:v>
      </x:c>
      <x:c r="J880" s="5" t="str">
        <x:v>Arbeitsvertrag, Entgelt &amp; Kündigung</x:v>
      </x:c>
      <x:c r="K880" s="5" t="str"/>
      <x:c r="L880" s="5" t="str">
        <x:v>Arbeitsvertrag, Entgelt &amp; Kündigung</x:v>
      </x:c>
      <x:c r="M880" s="5" t="n">
        <x:v>81</x:v>
      </x:c>
      <x:c r="N880" s="5" t="n">
        <x:v>75</x:v>
      </x:c>
      <x:c r="O880" s="5" t="str"/>
      <x:c r="P880" s="5" t="str">
        <x:v>Pilot freigegeben</x:v>
      </x:c>
      <x:c r="Q880" s="5" t="str">
        <x:v>Revision 2 unverändert übernommen</x:v>
      </x:c>
      <x:c r="R880" s="5" t="str">
        <x:v>Wann entsteht ein Abfindungsanspruch nach § 1a KSchG und wie wird die Abfindung berechnet?</x:v>
      </x:c>
      <x:c r="S880" s="5" t="str">
        <x:v>742546f09bac7a147149c412402fe6ac95829dc917171d27f8ba87ae450d30b6</x:v>
      </x:c>
    </x:row>
    <x:row r="881" ht="36" customHeight="1">
      <x:c r="A881" s="5" t="str">
        <x:v>R-0481</x:v>
      </x:c>
      <x:c r="B881" s="5" t="str">
        <x:v>WQ</x:v>
      </x:c>
      <x:c r="C881" s="5" t="str">
        <x:v>3</x:v>
      </x:c>
      <x:c r="D881" s="5" t="str">
        <x:v>Recht und Steuern</x:v>
      </x:c>
      <x:c r="E881" s="5" t="str">
        <x:v>Recht</x:v>
      </x:c>
      <x:c r="F881" s="5" t="str">
        <x:v>ui-wq-recht-arbeit</x:v>
      </x:c>
      <x:c r="G881" s="5" t="str">
        <x:v>Arbeitsrecht</x:v>
      </x:c>
      <x:c r="H881" s="5" t="str">
        <x:v>tr-wq-r16</x:v>
      </x:c>
      <x:c r="I881" s="5" t="str">
        <x:v>3.1.5.1</x:v>
      </x:c>
      <x:c r="J881" s="5" t="str">
        <x:v>Arbeitsvertrag, Entgelt &amp; Kündigung</x:v>
      </x:c>
      <x:c r="K881" s="5" t="str">
        <x:v>3.1.5.3</x:v>
      </x:c>
      <x:c r="L881" s="5" t="str">
        <x:v>Arbeitsvertrag, Entgelt &amp; Kündigung</x:v>
      </x:c>
      <x:c r="M881" s="5" t="n">
        <x:v>82</x:v>
      </x:c>
      <x:c r="N881" s="5" t="n">
        <x:v>76</x:v>
      </x:c>
      <x:c r="O881" s="5" t="str"/>
      <x:c r="P881" s="5" t="str">
        <x:v>Pilot freigegeben</x:v>
      </x:c>
      <x:c r="Q881" s="5" t="str">
        <x:v>Revision 2 unverändert übernommen</x:v>
      </x:c>
      <x:c r="R881" s="5" t="str">
        <x:v>Welche Folgen hat besonderer Kündigungsschutz für besonders geschützte Beschäftigtengruppen?</x:v>
      </x:c>
      <x:c r="S881" s="5" t="str">
        <x:v>8e9ca801c6fb5dea6a797471da1b860a7ab8fd285688e4beb68d68e09a9f132f</x:v>
      </x:c>
    </x:row>
    <x:row r="882" ht="36" customHeight="1">
      <x:c r="A882" s="5" t="str">
        <x:v>R-0482</x:v>
      </x:c>
      <x:c r="B882" s="5" t="str">
        <x:v>WQ</x:v>
      </x:c>
      <x:c r="C882" s="5" t="str">
        <x:v>3</x:v>
      </x:c>
      <x:c r="D882" s="5" t="str">
        <x:v>Recht und Steuern</x:v>
      </x:c>
      <x:c r="E882" s="5" t="str">
        <x:v>Recht</x:v>
      </x:c>
      <x:c r="F882" s="5" t="str">
        <x:v>ui-wq-recht-arbeit</x:v>
      </x:c>
      <x:c r="G882" s="5" t="str">
        <x:v>Arbeitsrecht</x:v>
      </x:c>
      <x:c r="H882" s="5" t="str">
        <x:v>tr-wq-r16</x:v>
      </x:c>
      <x:c r="I882" s="5" t="str">
        <x:v>3.1.5.1</x:v>
      </x:c>
      <x:c r="J882" s="5" t="str">
        <x:v>Arbeitsvertrag, Entgelt &amp; Kündigung</x:v>
      </x:c>
      <x:c r="K882" s="5" t="str"/>
      <x:c r="L882" s="5" t="str">
        <x:v>Arbeitsvertrag, Entgelt &amp; Kündigung</x:v>
      </x:c>
      <x:c r="M882" s="5" t="n">
        <x:v>83</x:v>
      </x:c>
      <x:c r="N882" s="5" t="n">
        <x:v>77</x:v>
      </x:c>
      <x:c r="O882" s="5" t="str"/>
      <x:c r="P882" s="5" t="str">
        <x:v>Pilot freigegeben</x:v>
      </x:c>
      <x:c r="Q882" s="5" t="str">
        <x:v>Revision 2 unverändert übernommen</x:v>
      </x:c>
      <x:c r="R882" s="5" t="str">
        <x:v>Welche vier Kriterien sind bei der Sozialauswahl nach § 1 Abs. 3 KSchG zu berücksichtigen?</x:v>
      </x:c>
      <x:c r="S882" s="5" t="str">
        <x:v>be06ac0b692409abff7d349abbfb77b5281cc6593b6bc3d0af0ff6e0a35ab526</x:v>
      </x:c>
    </x:row>
    <x:row r="883" ht="36" customHeight="1">
      <x:c r="A883" s="5" t="str">
        <x:v>R-0483</x:v>
      </x:c>
      <x:c r="B883" s="5" t="str">
        <x:v>WQ</x:v>
      </x:c>
      <x:c r="C883" s="5" t="str">
        <x:v>3</x:v>
      </x:c>
      <x:c r="D883" s="5" t="str">
        <x:v>Recht und Steuern</x:v>
      </x:c>
      <x:c r="E883" s="5" t="str">
        <x:v>Recht</x:v>
      </x:c>
      <x:c r="F883" s="5" t="str">
        <x:v>ui-wq-recht-arbeit</x:v>
      </x:c>
      <x:c r="G883" s="5" t="str">
        <x:v>Arbeitsrecht</x:v>
      </x:c>
      <x:c r="H883" s="5" t="str">
        <x:v>tr-wq-r16</x:v>
      </x:c>
      <x:c r="I883" s="5" t="str">
        <x:v>3.1.5.1</x:v>
      </x:c>
      <x:c r="J883" s="5" t="str">
        <x:v>Arbeitsvertrag, Entgelt &amp; Kündigung</x:v>
      </x:c>
      <x:c r="K883" s="5" t="str"/>
      <x:c r="L883" s="5" t="str">
        <x:v>Arbeitsvertrag, Entgelt &amp; Kündigung</x:v>
      </x:c>
      <x:c r="M883" s="5" t="n">
        <x:v>84</x:v>
      </x:c>
      <x:c r="N883" s="5" t="n">
        <x:v>78</x:v>
      </x:c>
      <x:c r="O883" s="5" t="str"/>
      <x:c r="P883" s="5" t="str">
        <x:v>Pilot freigegeben</x:v>
      </x:c>
      <x:c r="Q883" s="5" t="str">
        <x:v>Revision 2 unverändert übernommen</x:v>
      </x:c>
      <x:c r="R883" s="5" t="str">
        <x:v>Welches Ziel verfolgt die Sozialauswahl bei einer betriebsbedingten Kündigung?</x:v>
      </x:c>
      <x:c r="S883" s="5" t="str">
        <x:v>5966094dc9cfc46a28424188e54f22a81a72439120ca44e68ca20b4d8c289e50</x:v>
      </x:c>
    </x:row>
    <x:row r="884" ht="36" customHeight="1">
      <x:c r="A884" s="5" t="str">
        <x:v>R-0484</x:v>
      </x:c>
      <x:c r="B884" s="5" t="str">
        <x:v>WQ</x:v>
      </x:c>
      <x:c r="C884" s="5" t="str">
        <x:v>3</x:v>
      </x:c>
      <x:c r="D884" s="5" t="str">
        <x:v>Recht und Steuern</x:v>
      </x:c>
      <x:c r="E884" s="5" t="str">
        <x:v>Recht</x:v>
      </x:c>
      <x:c r="F884" s="5" t="str">
        <x:v>ui-wq-recht-arbeit</x:v>
      </x:c>
      <x:c r="G884" s="5" t="str">
        <x:v>Arbeitsrecht</x:v>
      </x:c>
      <x:c r="H884" s="5" t="str">
        <x:v>tr-wq-r16</x:v>
      </x:c>
      <x:c r="I884" s="5" t="str">
        <x:v>3.1.5.1</x:v>
      </x:c>
      <x:c r="J884" s="5" t="str">
        <x:v>Arbeitsvertrag, Entgelt &amp; Kündigung</x:v>
      </x:c>
      <x:c r="K884" s="5" t="str">
        <x:v>3.1.5.3</x:v>
      </x:c>
      <x:c r="L884" s="5" t="str">
        <x:v>Arbeitsvertrag, Entgelt &amp; Kündigung</x:v>
      </x:c>
      <x:c r="M884" s="5" t="n">
        <x:v>85</x:v>
      </x:c>
      <x:c r="N884" s="5" t="n">
        <x:v>79</x:v>
      </x:c>
      <x:c r="O884" s="5" t="str"/>
      <x:c r="P884" s="5" t="str">
        <x:v>Pilot freigegeben</x:v>
      </x:c>
      <x:c r="Q884" s="5" t="str">
        <x:v>Revision 2 unverändert übernommen</x:v>
      </x:c>
      <x:c r="R884" s="5" t="str">
        <x:v>Nennen Sie mindestens fünf Personengruppen mit besonderem Kündigungsschutz.</x:v>
      </x:c>
      <x:c r="S884" s="5" t="str">
        <x:v>e59c37b36d69c0ee1de40bc49b7b2fb252e9d9f94e6e37a7b6d194627c8cae5e</x:v>
      </x:c>
    </x:row>
    <x:row r="885" ht="36" customHeight="1">
      <x:c r="A885" s="5" t="str">
        <x:v>R-0485</x:v>
      </x:c>
      <x:c r="B885" s="5" t="str">
        <x:v>WQ</x:v>
      </x:c>
      <x:c r="C885" s="5" t="str">
        <x:v>3</x:v>
      </x:c>
      <x:c r="D885" s="5" t="str">
        <x:v>Recht und Steuern</x:v>
      </x:c>
      <x:c r="E885" s="5" t="str">
        <x:v>Recht</x:v>
      </x:c>
      <x:c r="F885" s="5" t="str">
        <x:v>ui-wq-recht-arbeit</x:v>
      </x:c>
      <x:c r="G885" s="5" t="str">
        <x:v>Arbeitsrecht</x:v>
      </x:c>
      <x:c r="H885" s="5" t="str">
        <x:v>tr-wq-r17</x:v>
      </x:c>
      <x:c r="I885" s="5" t="str">
        <x:v>3.1.5.2</x:v>
      </x:c>
      <x:c r="J885" s="5" t="str">
        <x:v>Betriebsrat und Beteiligung</x:v>
      </x:c>
      <x:c r="K885" s="5" t="str"/>
      <x:c r="L885" s="5" t="str">
        <x:v>Betriebsverfassungs-, Tarif- &amp; Arbeitsschutzrecht</x:v>
      </x:c>
      <x:c r="M885" s="5" t="n">
        <x:v>86</x:v>
      </x:c>
      <x:c r="N885" s="5" t="n">
        <x:v>1</x:v>
      </x:c>
      <x:c r="O885" s="5" t="str"/>
      <x:c r="P885" s="5" t="str">
        <x:v>Pilot freigegeben</x:v>
      </x:c>
      <x:c r="Q885" s="5" t="str">
        <x:v>Revision 2 unverändert übernommen</x:v>
      </x:c>
      <x:c r="R885" s="5" t="str">
        <x:v>Unter welchen Voraussetzungen kann ein Betriebsrat gewählt werden?</x:v>
      </x:c>
      <x:c r="S885" s="5" t="str">
        <x:v>0f63148242dd64cbdadf77d538e260de9ac8ad15c780c85204a2b3e39cf79cf3</x:v>
      </x:c>
    </x:row>
    <x:row r="886" ht="36" customHeight="1">
      <x:c r="A886" s="5" t="str">
        <x:v>R-0486</x:v>
      </x:c>
      <x:c r="B886" s="5" t="str">
        <x:v>WQ</x:v>
      </x:c>
      <x:c r="C886" s="5" t="str">
        <x:v>3</x:v>
      </x:c>
      <x:c r="D886" s="5" t="str">
        <x:v>Recht und Steuern</x:v>
      </x:c>
      <x:c r="E886" s="5" t="str">
        <x:v>Recht</x:v>
      </x:c>
      <x:c r="F886" s="5" t="str">
        <x:v>ui-wq-recht-arbeit</x:v>
      </x:c>
      <x:c r="G886" s="5" t="str">
        <x:v>Arbeitsrecht</x:v>
      </x:c>
      <x:c r="H886" s="5" t="str">
        <x:v>tr-wq-r17</x:v>
      </x:c>
      <x:c r="I886" s="5" t="str">
        <x:v>3.1.5.2</x:v>
      </x:c>
      <x:c r="J886" s="5" t="str">
        <x:v>Betriebsrat und Beteiligung</x:v>
      </x:c>
      <x:c r="K886" s="5" t="str"/>
      <x:c r="L886" s="5" t="str">
        <x:v>Betriebsverfassungs-, Tarif- &amp; Arbeitsschutzrecht</x:v>
      </x:c>
      <x:c r="M886" s="5" t="n">
        <x:v>87</x:v>
      </x:c>
      <x:c r="N886" s="5" t="n">
        <x:v>2</x:v>
      </x:c>
      <x:c r="O886" s="5" t="str"/>
      <x:c r="P886" s="5" t="str">
        <x:v>Pilot freigegeben</x:v>
      </x:c>
      <x:c r="Q886" s="5" t="str">
        <x:v>Revision 2 unverändert übernommen</x:v>
      </x:c>
      <x:c r="R886" s="5" t="str">
        <x:v>Wie müssen Arbeitgeber und Betriebsrat nach § 2 BetrVG zusammenarbeiten?</x:v>
      </x:c>
      <x:c r="S886" s="5" t="str">
        <x:v>73fdbf9f1d0e41daeed6ea7c03b264f04b6b002625acbf78eae4def33fff5a80</x:v>
      </x:c>
    </x:row>
    <x:row r="887" ht="36" customHeight="1">
      <x:c r="A887" s="5" t="str">
        <x:v>R-0487</x:v>
      </x:c>
      <x:c r="B887" s="5" t="str">
        <x:v>WQ</x:v>
      </x:c>
      <x:c r="C887" s="5" t="str">
        <x:v>3</x:v>
      </x:c>
      <x:c r="D887" s="5" t="str">
        <x:v>Recht und Steuern</x:v>
      </x:c>
      <x:c r="E887" s="5" t="str">
        <x:v>Recht</x:v>
      </x:c>
      <x:c r="F887" s="5" t="str">
        <x:v>ui-wq-recht-arbeit</x:v>
      </x:c>
      <x:c r="G887" s="5" t="str">
        <x:v>Arbeitsrecht</x:v>
      </x:c>
      <x:c r="H887" s="5" t="str">
        <x:v>tr-wq-r17</x:v>
      </x:c>
      <x:c r="I887" s="5" t="str">
        <x:v>3.1.5.2</x:v>
      </x:c>
      <x:c r="J887" s="5" t="str">
        <x:v>Betriebsrat und Beteiligung</x:v>
      </x:c>
      <x:c r="K887" s="5" t="str"/>
      <x:c r="L887" s="5" t="str">
        <x:v>Betriebsverfassungs-, Tarif- &amp; Arbeitsschutzrecht</x:v>
      </x:c>
      <x:c r="M887" s="5" t="n">
        <x:v>88</x:v>
      </x:c>
      <x:c r="N887" s="5" t="n">
        <x:v>3</x:v>
      </x:c>
      <x:c r="O887" s="5" t="str"/>
      <x:c r="P887" s="5" t="str">
        <x:v>Pilot freigegeben</x:v>
      </x:c>
      <x:c r="Q887" s="5" t="str">
        <x:v>Revision 2 unverändert übernommen</x:v>
      </x:c>
      <x:c r="R887" s="5" t="str">
        <x:v>Wer ist nach § 7 BetrVG wahlberechtigt?</x:v>
      </x:c>
      <x:c r="S887" s="5" t="str">
        <x:v>8851296df72a7246b5766f7b700d76a4fd615943789b73dbc1c7dfc516036290</x:v>
      </x:c>
    </x:row>
    <x:row r="888" ht="36" customHeight="1">
      <x:c r="A888" s="5" t="str">
        <x:v>R-0488</x:v>
      </x:c>
      <x:c r="B888" s="5" t="str">
        <x:v>WQ</x:v>
      </x:c>
      <x:c r="C888" s="5" t="str">
        <x:v>3</x:v>
      </x:c>
      <x:c r="D888" s="5" t="str">
        <x:v>Recht und Steuern</x:v>
      </x:c>
      <x:c r="E888" s="5" t="str">
        <x:v>Recht</x:v>
      </x:c>
      <x:c r="F888" s="5" t="str">
        <x:v>ui-wq-recht-arbeit</x:v>
      </x:c>
      <x:c r="G888" s="5" t="str">
        <x:v>Arbeitsrecht</x:v>
      </x:c>
      <x:c r="H888" s="5" t="str">
        <x:v>tr-wq-r17</x:v>
      </x:c>
      <x:c r="I888" s="5" t="str">
        <x:v>3.1.5.2</x:v>
      </x:c>
      <x:c r="J888" s="5" t="str">
        <x:v>Betriebsrat und Beteiligung</x:v>
      </x:c>
      <x:c r="K888" s="5" t="str"/>
      <x:c r="L888" s="5" t="str">
        <x:v>Betriebsverfassungs-, Tarif- &amp; Arbeitsschutzrecht</x:v>
      </x:c>
      <x:c r="M888" s="5" t="n">
        <x:v>89</x:v>
      </x:c>
      <x:c r="N888" s="5" t="n">
        <x:v>4</x:v>
      </x:c>
      <x:c r="O888" s="5" t="str"/>
      <x:c r="P888" s="5" t="str">
        <x:v>Pilot freigegeben</x:v>
      </x:c>
      <x:c r="Q888" s="5" t="str">
        <x:v>Revision 2 unverändert übernommen</x:v>
      </x:c>
      <x:c r="R888" s="5" t="str">
        <x:v>Wer kann nach § 8 BetrVG in den Betriebsrat gewählt werden?</x:v>
      </x:c>
      <x:c r="S888" s="5" t="str">
        <x:v>d0db6980fae2e672cacea3d821564aaf0d50ad1fca7d329dad69cda2fa3678d7</x:v>
      </x:c>
    </x:row>
    <x:row r="889" ht="36" customHeight="1">
      <x:c r="A889" s="5" t="str">
        <x:v>R-0489</x:v>
      </x:c>
      <x:c r="B889" s="5" t="str">
        <x:v>WQ</x:v>
      </x:c>
      <x:c r="C889" s="5" t="str">
        <x:v>3</x:v>
      </x:c>
      <x:c r="D889" s="5" t="str">
        <x:v>Recht und Steuern</x:v>
      </x:c>
      <x:c r="E889" s="5" t="str">
        <x:v>Recht</x:v>
      </x:c>
      <x:c r="F889" s="5" t="str">
        <x:v>ui-wq-recht-arbeit</x:v>
      </x:c>
      <x:c r="G889" s="5" t="str">
        <x:v>Arbeitsrecht</x:v>
      </x:c>
      <x:c r="H889" s="5" t="str">
        <x:v>tr-wq-r17</x:v>
      </x:c>
      <x:c r="I889" s="5" t="str">
        <x:v>3.1.5.2</x:v>
      </x:c>
      <x:c r="J889" s="5" t="str">
        <x:v>Betriebsrat und Beteiligung</x:v>
      </x:c>
      <x:c r="K889" s="5" t="str"/>
      <x:c r="L889" s="5" t="str">
        <x:v>Betriebsverfassungs-, Tarif- &amp; Arbeitsschutzrecht</x:v>
      </x:c>
      <x:c r="M889" s="5" t="n">
        <x:v>90</x:v>
      </x:c>
      <x:c r="N889" s="5" t="n">
        <x:v>5</x:v>
      </x:c>
      <x:c r="O889" s="5" t="str"/>
      <x:c r="P889" s="5" t="str">
        <x:v>Pilot freigegeben</x:v>
      </x:c>
      <x:c r="Q889" s="5" t="str">
        <x:v>Revision 2 unverändert übernommen</x:v>
      </x:c>
      <x:c r="R889" s="5" t="str">
        <x:v>Wer gehört nicht zu den wahlberechtigten Arbeitnehmern bei einer Betriebsratswahl?</x:v>
      </x:c>
      <x:c r="S889" s="5" t="str">
        <x:v>e35889a98ff942c1120fafc720b289b08c6924d9c2a67270e64b7b56ca2ac807</x:v>
      </x:c>
    </x:row>
    <x:row r="890" ht="36" customHeight="1">
      <x:c r="A890" s="5" t="str">
        <x:v>R-0490</x:v>
      </x:c>
      <x:c r="B890" s="5" t="str">
        <x:v>WQ</x:v>
      </x:c>
      <x:c r="C890" s="5" t="str">
        <x:v>3</x:v>
      </x:c>
      <x:c r="D890" s="5" t="str">
        <x:v>Recht und Steuern</x:v>
      </x:c>
      <x:c r="E890" s="5" t="str">
        <x:v>Recht</x:v>
      </x:c>
      <x:c r="F890" s="5" t="str">
        <x:v>ui-wq-recht-arbeit</x:v>
      </x:c>
      <x:c r="G890" s="5" t="str">
        <x:v>Arbeitsrecht</x:v>
      </x:c>
      <x:c r="H890" s="5" t="str">
        <x:v>tr-wq-r17</x:v>
      </x:c>
      <x:c r="I890" s="5" t="str">
        <x:v>3.1.5.2</x:v>
      </x:c>
      <x:c r="J890" s="5" t="str">
        <x:v>Betriebsrat und Beteiligung</x:v>
      </x:c>
      <x:c r="K890" s="5" t="str"/>
      <x:c r="L890" s="5" t="str">
        <x:v>Betriebsverfassungs-, Tarif- &amp; Arbeitsschutzrecht</x:v>
      </x:c>
      <x:c r="M890" s="5" t="n">
        <x:v>91</x:v>
      </x:c>
      <x:c r="N890" s="5" t="n">
        <x:v>6</x:v>
      </x:c>
      <x:c r="O890" s="5" t="str"/>
      <x:c r="P890" s="5" t="str">
        <x:v>Pilot freigegeben</x:v>
      </x:c>
      <x:c r="Q890" s="5" t="str">
        <x:v>Revision 2 unverändert übernommen</x:v>
      </x:c>
      <x:c r="R890" s="5" t="str">
        <x:v>Was versteht man unter einer Betriebsvereinbarung?</x:v>
      </x:c>
      <x:c r="S890" s="5" t="str">
        <x:v>36d00bd703b9393888897e59d2fcc1c0136fe2dce2f0ee8747a08dadc7ec168b</x:v>
      </x:c>
    </x:row>
    <x:row r="891" ht="36" customHeight="1">
      <x:c r="A891" s="5" t="str">
        <x:v>R-0491</x:v>
      </x:c>
      <x:c r="B891" s="5" t="str">
        <x:v>WQ</x:v>
      </x:c>
      <x:c r="C891" s="5" t="str">
        <x:v>3</x:v>
      </x:c>
      <x:c r="D891" s="5" t="str">
        <x:v>Recht und Steuern</x:v>
      </x:c>
      <x:c r="E891" s="5" t="str">
        <x:v>Recht</x:v>
      </x:c>
      <x:c r="F891" s="5" t="str">
        <x:v>ui-wq-recht-arbeit</x:v>
      </x:c>
      <x:c r="G891" s="5" t="str">
        <x:v>Arbeitsrecht</x:v>
      </x:c>
      <x:c r="H891" s="5" t="str">
        <x:v>tr-wq-r17</x:v>
      </x:c>
      <x:c r="I891" s="5" t="str">
        <x:v>3.1.5.2</x:v>
      </x:c>
      <x:c r="J891" s="5" t="str">
        <x:v>Betriebsrat und Beteiligung</x:v>
      </x:c>
      <x:c r="K891" s="5" t="str"/>
      <x:c r="L891" s="5" t="str">
        <x:v>Betriebsverfassungs-, Tarif- &amp; Arbeitsschutzrecht</x:v>
      </x:c>
      <x:c r="M891" s="5" t="n">
        <x:v>92</x:v>
      </x:c>
      <x:c r="N891" s="5" t="n">
        <x:v>7</x:v>
      </x:c>
      <x:c r="O891" s="5" t="str"/>
      <x:c r="P891" s="5" t="str">
        <x:v>Pilot freigegeben</x:v>
      </x:c>
      <x:c r="Q891" s="5" t="str">
        <x:v>Revision 2 unverändert übernommen</x:v>
      </x:c>
      <x:c r="R891" s="5" t="str">
        <x:v>Welche Mitwirkungsrechte des Betriebsrats gibt es in abgestufter Form?</x:v>
      </x:c>
      <x:c r="S891" s="5" t="str">
        <x:v>82570ab2b061d2c2280f5413cad9a11718e833fb3ce218b4fdb18c6c1dd7c0ed</x:v>
      </x:c>
    </x:row>
    <x:row r="892" ht="36" customHeight="1">
      <x:c r="A892" s="5" t="str">
        <x:v>R-0492</x:v>
      </x:c>
      <x:c r="B892" s="5" t="str">
        <x:v>WQ</x:v>
      </x:c>
      <x:c r="C892" s="5" t="str">
        <x:v>3</x:v>
      </x:c>
      <x:c r="D892" s="5" t="str">
        <x:v>Recht und Steuern</x:v>
      </x:c>
      <x:c r="E892" s="5" t="str">
        <x:v>Recht</x:v>
      </x:c>
      <x:c r="F892" s="5" t="str">
        <x:v>ui-wq-recht-arbeit</x:v>
      </x:c>
      <x:c r="G892" s="5" t="str">
        <x:v>Arbeitsrecht</x:v>
      </x:c>
      <x:c r="H892" s="5" t="str">
        <x:v>tr-wq-r17</x:v>
      </x:c>
      <x:c r="I892" s="5" t="str">
        <x:v>3.1.5.2</x:v>
      </x:c>
      <x:c r="J892" s="5" t="str">
        <x:v>Betriebsrat und Beteiligung</x:v>
      </x:c>
      <x:c r="K892" s="5" t="str"/>
      <x:c r="L892" s="5" t="str">
        <x:v>Betriebsverfassungs-, Tarif- &amp; Arbeitsschutzrecht</x:v>
      </x:c>
      <x:c r="M892" s="5" t="n">
        <x:v>93</x:v>
      </x:c>
      <x:c r="N892" s="5" t="n">
        <x:v>8</x:v>
      </x:c>
      <x:c r="O892" s="5" t="str"/>
      <x:c r="P892" s="5" t="str">
        <x:v>Pilot freigegeben</x:v>
      </x:c>
      <x:c r="Q892" s="5" t="str">
        <x:v>Revision 2 unverändert übernommen</x:v>
      </x:c>
      <x:c r="R892" s="5" t="str">
        <x:v>Welche Beteiligungsform hat der Betriebsrat bei der Einführung einer Betriebsordnung?</x:v>
      </x:c>
      <x:c r="S892" s="5" t="str">
        <x:v>5c20673969457ff5bff9f031d83663c1f242fa471e60fcbc76fac5973e82d8fd</x:v>
      </x:c>
    </x:row>
    <x:row r="893" ht="36" customHeight="1">
      <x:c r="A893" s="5" t="str">
        <x:v>R-0493</x:v>
      </x:c>
      <x:c r="B893" s="5" t="str">
        <x:v>WQ</x:v>
      </x:c>
      <x:c r="C893" s="5" t="str">
        <x:v>3</x:v>
      </x:c>
      <x:c r="D893" s="5" t="str">
        <x:v>Recht und Steuern</x:v>
      </x:c>
      <x:c r="E893" s="5" t="str">
        <x:v>Recht</x:v>
      </x:c>
      <x:c r="F893" s="5" t="str">
        <x:v>ui-wq-recht-arbeit</x:v>
      </x:c>
      <x:c r="G893" s="5" t="str">
        <x:v>Arbeitsrecht</x:v>
      </x:c>
      <x:c r="H893" s="5" t="str">
        <x:v>tr-wq-r17</x:v>
      </x:c>
      <x:c r="I893" s="5" t="str">
        <x:v>3.1.5.2</x:v>
      </x:c>
      <x:c r="J893" s="5" t="str">
        <x:v>Betriebsrat und Beteiligung</x:v>
      </x:c>
      <x:c r="K893" s="5" t="str"/>
      <x:c r="L893" s="5" t="str">
        <x:v>Betriebsverfassungs-, Tarif- &amp; Arbeitsschutzrecht</x:v>
      </x:c>
      <x:c r="M893" s="5" t="n">
        <x:v>94</x:v>
      </x:c>
      <x:c r="N893" s="5" t="n">
        <x:v>9</x:v>
      </x:c>
      <x:c r="O893" s="5" t="str"/>
      <x:c r="P893" s="5" t="str">
        <x:v>Pilot freigegeben</x:v>
      </x:c>
      <x:c r="Q893" s="5" t="str">
        <x:v>Revision 2 unverändert übernommen</x:v>
      </x:c>
      <x:c r="R893" s="5" t="str">
        <x:v>Welche Beteiligungsform hat der Betriebsrat beim Bau eines neuen Verwaltungsgebäudes?</x:v>
      </x:c>
      <x:c r="S893" s="5" t="str">
        <x:v>c89890d80db7247f8e28c25544f2c68e12d99b73b36e59a404889ae41e04aac5</x:v>
      </x:c>
    </x:row>
    <x:row r="894" ht="36" customHeight="1">
      <x:c r="A894" s="5" t="str">
        <x:v>R-0494</x:v>
      </x:c>
      <x:c r="B894" s="5" t="str">
        <x:v>WQ</x:v>
      </x:c>
      <x:c r="C894" s="5" t="str">
        <x:v>3</x:v>
      </x:c>
      <x:c r="D894" s="5" t="str">
        <x:v>Recht und Steuern</x:v>
      </x:c>
      <x:c r="E894" s="5" t="str">
        <x:v>Recht</x:v>
      </x:c>
      <x:c r="F894" s="5" t="str">
        <x:v>ui-wq-recht-arbeit</x:v>
      </x:c>
      <x:c r="G894" s="5" t="str">
        <x:v>Arbeitsrecht</x:v>
      </x:c>
      <x:c r="H894" s="5" t="str">
        <x:v>tr-wq-r17</x:v>
      </x:c>
      <x:c r="I894" s="5" t="str">
        <x:v>3.1.5.2</x:v>
      </x:c>
      <x:c r="J894" s="5" t="str">
        <x:v>Betriebsrat und Beteiligung</x:v>
      </x:c>
      <x:c r="K894" s="5" t="str"/>
      <x:c r="L894" s="5" t="str">
        <x:v>Betriebsverfassungs-, Tarif- &amp; Arbeitsschutzrecht</x:v>
      </x:c>
      <x:c r="M894" s="5" t="n">
        <x:v>95</x:v>
      </x:c>
      <x:c r="N894" s="5" t="n">
        <x:v>10</x:v>
      </x:c>
      <x:c r="O894" s="5" t="str"/>
      <x:c r="P894" s="5" t="str">
        <x:v>Pilot freigegeben</x:v>
      </x:c>
      <x:c r="Q894" s="5" t="str">
        <x:v>Revision 2 unverändert übernommen</x:v>
      </x:c>
      <x:c r="R894" s="5" t="str">
        <x:v>Welche Beteiligungsform hat der Betriebsrat bei innerbetrieblichen Weiterbildungsmaßnahmen?</x:v>
      </x:c>
      <x:c r="S894" s="5" t="str">
        <x:v>b9f39026ddf9dc42720e04bde36627db9c20f501eebae3eb564766f521e14ad0</x:v>
      </x:c>
    </x:row>
    <x:row r="895" ht="36" customHeight="1">
      <x:c r="A895" s="5" t="str">
        <x:v>R-0495</x:v>
      </x:c>
      <x:c r="B895" s="5" t="str">
        <x:v>WQ</x:v>
      </x:c>
      <x:c r="C895" s="5" t="str">
        <x:v>3</x:v>
      </x:c>
      <x:c r="D895" s="5" t="str">
        <x:v>Recht und Steuern</x:v>
      </x:c>
      <x:c r="E895" s="5" t="str">
        <x:v>Recht</x:v>
      </x:c>
      <x:c r="F895" s="5" t="str">
        <x:v>ui-wq-recht-arbeit</x:v>
      </x:c>
      <x:c r="G895" s="5" t="str">
        <x:v>Arbeitsrecht</x:v>
      </x:c>
      <x:c r="H895" s="5" t="str">
        <x:v>tr-wq-r17</x:v>
      </x:c>
      <x:c r="I895" s="5" t="str">
        <x:v>3.1.5.2</x:v>
      </x:c>
      <x:c r="J895" s="5" t="str">
        <x:v>Betriebsrat und Beteiligung</x:v>
      </x:c>
      <x:c r="K895" s="5" t="str"/>
      <x:c r="L895" s="5" t="str">
        <x:v>Betriebsverfassungs-, Tarif- &amp; Arbeitsschutzrecht</x:v>
      </x:c>
      <x:c r="M895" s="5" t="n">
        <x:v>96</x:v>
      </x:c>
      <x:c r="N895" s="5" t="n">
        <x:v>11</x:v>
      </x:c>
      <x:c r="O895" s="5" t="str"/>
      <x:c r="P895" s="5" t="str">
        <x:v>Pilot freigegeben</x:v>
      </x:c>
      <x:c r="Q895" s="5" t="str">
        <x:v>Revision 2 unverändert übernommen</x:v>
      </x:c>
      <x:c r="R895" s="5" t="str">
        <x:v>Welche Beteiligungsform hat der Betriebsrat bei einer Kündigung eines Arbeitnehmers?</x:v>
      </x:c>
      <x:c r="S895" s="5" t="str">
        <x:v>27a73931d9f7f3589fbd8d3feab13ea79c1bffe2d280a3e378b6b0197b9574ca</x:v>
      </x:c>
    </x:row>
    <x:row r="896" ht="36" customHeight="1">
      <x:c r="A896" s="5" t="str">
        <x:v>R-0496</x:v>
      </x:c>
      <x:c r="B896" s="5" t="str">
        <x:v>WQ</x:v>
      </x:c>
      <x:c r="C896" s="5" t="str">
        <x:v>3</x:v>
      </x:c>
      <x:c r="D896" s="5" t="str">
        <x:v>Recht und Steuern</x:v>
      </x:c>
      <x:c r="E896" s="5" t="str">
        <x:v>Recht</x:v>
      </x:c>
      <x:c r="F896" s="5" t="str">
        <x:v>ui-wq-recht-arbeit</x:v>
      </x:c>
      <x:c r="G896" s="5" t="str">
        <x:v>Arbeitsrecht</x:v>
      </x:c>
      <x:c r="H896" s="5" t="str">
        <x:v>tr-wq-r18</x:v>
      </x:c>
      <x:c r="I896" s="5" t="str">
        <x:v>3.1.5.3</x:v>
      </x:c>
      <x:c r="J896" s="5" t="str">
        <x:v>Schutzregeln im Arbeitsverhältnis</x:v>
      </x:c>
      <x:c r="K896" s="5" t="str"/>
      <x:c r="L896" s="5" t="str">
        <x:v>Betriebsverfassungs-, Tarif- &amp; Arbeitsschutzrecht</x:v>
      </x:c>
      <x:c r="M896" s="5" t="n">
        <x:v>97</x:v>
      </x:c>
      <x:c r="N896" s="5" t="n">
        <x:v>4</x:v>
      </x:c>
      <x:c r="O896" s="5" t="str"/>
      <x:c r="P896" s="5" t="str">
        <x:v>Pilot freigegeben</x:v>
      </x:c>
      <x:c r="Q896" s="5" t="str">
        <x:v>Revision 2 unverändert übernommen</x:v>
      </x:c>
      <x:c r="R896" s="5" t="str">
        <x:v>Nennen Sie mindestens fünf wichtige Gesetze oder Verordnungen des Arbeitsschutzes.</x:v>
      </x:c>
      <x:c r="S896" s="5" t="str">
        <x:v>0fa554cab471988a451d8684098449da001b5b3ec87fd053f1e6382b5ed220a8</x:v>
      </x:c>
    </x:row>
    <x:row r="897" ht="36" customHeight="1">
      <x:c r="A897" s="5" t="str">
        <x:v>R-0497</x:v>
      </x:c>
      <x:c r="B897" s="5" t="str">
        <x:v>WQ</x:v>
      </x:c>
      <x:c r="C897" s="5" t="str">
        <x:v>3</x:v>
      </x:c>
      <x:c r="D897" s="5" t="str">
        <x:v>Recht und Steuern</x:v>
      </x:c>
      <x:c r="E897" s="5" t="str">
        <x:v>Recht</x:v>
      </x:c>
      <x:c r="F897" s="5" t="str">
        <x:v>ui-wq-recht-arbeit</x:v>
      </x:c>
      <x:c r="G897" s="5" t="str">
        <x:v>Arbeitsrecht</x:v>
      </x:c>
      <x:c r="H897" s="5" t="str">
        <x:v>tr-wq-r18</x:v>
      </x:c>
      <x:c r="I897" s="5" t="str">
        <x:v>3.1.5.3</x:v>
      </x:c>
      <x:c r="J897" s="5" t="str">
        <x:v>Schutzregeln im Arbeitsverhältnis</x:v>
      </x:c>
      <x:c r="K897" s="5" t="str"/>
      <x:c r="L897" s="5" t="str">
        <x:v>Betriebsverfassungs-, Tarif- &amp; Arbeitsschutzrecht</x:v>
      </x:c>
      <x:c r="M897" s="5" t="n">
        <x:v>98</x:v>
      </x:c>
      <x:c r="N897" s="5" t="n">
        <x:v>5</x:v>
      </x:c>
      <x:c r="O897" s="5" t="str"/>
      <x:c r="P897" s="5" t="str">
        <x:v>Pilot freigegeben</x:v>
      </x:c>
      <x:c r="Q897" s="5" t="str">
        <x:v>Revision 2 unverändert übernommen</x:v>
      </x:c>
      <x:c r="R897" s="5" t="str">
        <x:v>Wer trägt die Kosten für vorgeschriebene persönliche Schutzausrüstung?</x:v>
      </x:c>
      <x:c r="S897" s="5" t="str">
        <x:v>1a53131eed109ece778afb61a01eadde7e2df78bc315ab1f51715aa88fd11c74</x:v>
      </x:c>
    </x:row>
    <x:row r="898" ht="36" customHeight="1">
      <x:c r="A898" s="5" t="str">
        <x:v>R-0498</x:v>
      </x:c>
      <x:c r="B898" s="5" t="str">
        <x:v>WQ</x:v>
      </x:c>
      <x:c r="C898" s="5" t="str">
        <x:v>3</x:v>
      </x:c>
      <x:c r="D898" s="5" t="str">
        <x:v>Recht und Steuern</x:v>
      </x:c>
      <x:c r="E898" s="5" t="str">
        <x:v>Recht</x:v>
      </x:c>
      <x:c r="F898" s="5" t="str">
        <x:v>ui-wq-recht-arbeit</x:v>
      </x:c>
      <x:c r="G898" s="5" t="str">
        <x:v>Arbeitsrecht</x:v>
      </x:c>
      <x:c r="H898" s="5" t="str">
        <x:v>tr-wq-r18</x:v>
      </x:c>
      <x:c r="I898" s="5" t="str">
        <x:v>3.1.5.3</x:v>
      </x:c>
      <x:c r="J898" s="5" t="str">
        <x:v>Schutzregeln im Arbeitsverhältnis</x:v>
      </x:c>
      <x:c r="K898" s="5" t="str"/>
      <x:c r="L898" s="5" t="str">
        <x:v>Betriebsverfassungs-, Tarif- &amp; Arbeitsschutzrecht</x:v>
      </x:c>
      <x:c r="M898" s="5" t="n">
        <x:v>99</x:v>
      </x:c>
      <x:c r="N898" s="5" t="n">
        <x:v>6</x:v>
      </x:c>
      <x:c r="O898" s="5" t="str"/>
      <x:c r="P898" s="5" t="str">
        <x:v>Pilot freigegeben</x:v>
      </x:c>
      <x:c r="Q898" s="5" t="str">
        <x:v>Revision 2 unverändert übernommen</x:v>
      </x:c>
      <x:c r="R898" s="5" t="str">
        <x:v>Ab wie vielen Beschäftigten ist ein Arbeitsschutzausschuss zu bilden?</x:v>
      </x:c>
      <x:c r="S898" s="5" t="str">
        <x:v>99c8d011620d4758734df0314216269d8425d3df549486a06a58c6d9eef5fe1d</x:v>
      </x:c>
    </x:row>
    <x:row r="899" ht="36" customHeight="1">
      <x:c r="A899" s="5" t="str">
        <x:v>R-0499</x:v>
      </x:c>
      <x:c r="B899" s="5" t="str">
        <x:v>WQ</x:v>
      </x:c>
      <x:c r="C899" s="5" t="str">
        <x:v>3</x:v>
      </x:c>
      <x:c r="D899" s="5" t="str">
        <x:v>Recht und Steuern</x:v>
      </x:c>
      <x:c r="E899" s="5" t="str">
        <x:v>Recht</x:v>
      </x:c>
      <x:c r="F899" s="5" t="str">
        <x:v>ui-wq-recht-arbeit</x:v>
      </x:c>
      <x:c r="G899" s="5" t="str">
        <x:v>Arbeitsrecht</x:v>
      </x:c>
      <x:c r="H899" s="5" t="str">
        <x:v>tr-wq-r18</x:v>
      </x:c>
      <x:c r="I899" s="5" t="str">
        <x:v>3.1.5.3</x:v>
      </x:c>
      <x:c r="J899" s="5" t="str">
        <x:v>Schutzregeln im Arbeitsverhältnis</x:v>
      </x:c>
      <x:c r="K899" s="5" t="str"/>
      <x:c r="L899" s="5" t="str">
        <x:v>Betriebsverfassungs-, Tarif- &amp; Arbeitsschutzrecht</x:v>
      </x:c>
      <x:c r="M899" s="5" t="n">
        <x:v>100</x:v>
      </x:c>
      <x:c r="N899" s="5" t="n">
        <x:v>7</x:v>
      </x:c>
      <x:c r="O899" s="5" t="str"/>
      <x:c r="P899" s="5" t="str">
        <x:v>Pilot freigegeben</x:v>
      </x:c>
      <x:c r="Q899" s="5" t="str">
        <x:v>Revision 2 unverändert übernommen</x:v>
      </x:c>
      <x:c r="R899" s="5" t="str">
        <x:v>Wann entsteht erstmals der volle gesetzliche Urlaubsanspruch?</x:v>
      </x:c>
      <x:c r="S899" s="5" t="str">
        <x:v>2a6dd1dd10e146db2ccbb38b900be296a9daa7736c3df2778c02ba570c157a9b</x:v>
      </x:c>
    </x:row>
    <x:row r="900" ht="36" customHeight="1">
      <x:c r="A900" s="5" t="str">
        <x:v>R-0500</x:v>
      </x:c>
      <x:c r="B900" s="5" t="str">
        <x:v>WQ</x:v>
      </x:c>
      <x:c r="C900" s="5" t="str">
        <x:v>3</x:v>
      </x:c>
      <x:c r="D900" s="5" t="str">
        <x:v>Recht und Steuern</x:v>
      </x:c>
      <x:c r="E900" s="5" t="str">
        <x:v>Recht</x:v>
      </x:c>
      <x:c r="F900" s="5" t="str">
        <x:v>ui-wq-recht-arbeit</x:v>
      </x:c>
      <x:c r="G900" s="5" t="str">
        <x:v>Arbeitsrecht</x:v>
      </x:c>
      <x:c r="H900" s="5" t="str">
        <x:v>tr-wq-r18</x:v>
      </x:c>
      <x:c r="I900" s="5" t="str">
        <x:v>3.1.5.3</x:v>
      </x:c>
      <x:c r="J900" s="5" t="str">
        <x:v>Schutzregeln im Arbeitsverhältnis</x:v>
      </x:c>
      <x:c r="K900" s="5" t="str"/>
      <x:c r="L900" s="5" t="str">
        <x:v>Betriebsverfassungs-, Tarif- &amp; Arbeitsschutzrecht</x:v>
      </x:c>
      <x:c r="M900" s="5" t="n">
        <x:v>101</x:v>
      </x:c>
      <x:c r="N900" s="5" t="n">
        <x:v>8</x:v>
      </x:c>
      <x:c r="O900" s="5" t="str"/>
      <x:c r="P900" s="5" t="str">
        <x:v>Pilot freigegeben</x:v>
      </x:c>
      <x:c r="Q900" s="5" t="str">
        <x:v>Revision 2 unverändert übernommen</x:v>
      </x:c>
      <x:c r="R900" s="5" t="str">
        <x:v>Wie hoch ist der gesetzliche Mindesturlaub bei einer Sechstagewoche?</x:v>
      </x:c>
      <x:c r="S900" s="5" t="str">
        <x:v>2ea54aec851df124ac1797e0ff9c321c80f35043cc8457434900e4ffb00893fc</x:v>
      </x:c>
    </x:row>
    <x:row r="901" ht="36" customHeight="1">
      <x:c r="A901" s="5" t="str">
        <x:v>R-0501</x:v>
      </x:c>
      <x:c r="B901" s="5" t="str">
        <x:v>WQ</x:v>
      </x:c>
      <x:c r="C901" s="5" t="str">
        <x:v>3</x:v>
      </x:c>
      <x:c r="D901" s="5" t="str">
        <x:v>Recht und Steuern</x:v>
      </x:c>
      <x:c r="E901" s="5" t="str">
        <x:v>Recht</x:v>
      </x:c>
      <x:c r="F901" s="5" t="str">
        <x:v>ui-wq-recht-arbeit</x:v>
      </x:c>
      <x:c r="G901" s="5" t="str">
        <x:v>Arbeitsrecht</x:v>
      </x:c>
      <x:c r="H901" s="5" t="str">
        <x:v>tr-wq-r18</x:v>
      </x:c>
      <x:c r="I901" s="5" t="str">
        <x:v>3.1.5.3</x:v>
      </x:c>
      <x:c r="J901" s="5" t="str">
        <x:v>Schutzregeln im Arbeitsverhältnis</x:v>
      </x:c>
      <x:c r="K901" s="5" t="str"/>
      <x:c r="L901" s="5" t="str">
        <x:v>Betriebsverfassungs-, Tarif- &amp; Arbeitsschutzrecht</x:v>
      </x:c>
      <x:c r="M901" s="5" t="n">
        <x:v>102</x:v>
      </x:c>
      <x:c r="N901" s="5" t="n">
        <x:v>9</x:v>
      </x:c>
      <x:c r="O901" s="5" t="str"/>
      <x:c r="P901" s="5" t="str">
        <x:v>Pilot freigegeben</x:v>
      </x:c>
      <x:c r="Q901" s="5" t="str">
        <x:v>Revision 2 unverändert übernommen</x:v>
      </x:c>
      <x:c r="R901" s="5" t="str">
        <x:v>Wie hoch ist der gesetzliche Mindesturlaub bei einer Fünftagewoche?</x:v>
      </x:c>
      <x:c r="S901" s="5" t="str">
        <x:v>a2047ee7c09d4ea43b7f6316f54851f634cd01438baddea51a803ce00aab67f1</x:v>
      </x:c>
    </x:row>
    <x:row r="902" ht="36" customHeight="1">
      <x:c r="A902" s="5" t="str">
        <x:v>R-0502</x:v>
      </x:c>
      <x:c r="B902" s="5" t="str">
        <x:v>WQ</x:v>
      </x:c>
      <x:c r="C902" s="5" t="str">
        <x:v>3</x:v>
      </x:c>
      <x:c r="D902" s="5" t="str">
        <x:v>Recht und Steuern</x:v>
      </x:c>
      <x:c r="E902" s="5" t="str">
        <x:v>Recht</x:v>
      </x:c>
      <x:c r="F902" s="5" t="str">
        <x:v>ui-wq-recht-wettbewerb</x:v>
      </x:c>
      <x:c r="G902" s="5" t="str">
        <x:v>Wettbewerbsrecht</x:v>
      </x:c>
      <x:c r="H902" s="5" t="str">
        <x:v>tr-wq-r20</x:v>
      </x:c>
      <x:c r="I902" s="5" t="str">
        <x:v>3.1.6</x:v>
      </x:c>
      <x:c r="J902" s="5" t="str">
        <x:v>Wettbewerbsrecht</x:v>
      </x:c>
      <x:c r="K902" s="5" t="str"/>
      <x:c r="L902" s="5" t="str">
        <x:v>Wettbewerbsrecht</x:v>
      </x:c>
      <x:c r="M902" s="5" t="n">
        <x:v>1</x:v>
      </x:c>
      <x:c r="N902" s="5" t="n">
        <x:v>1</x:v>
      </x:c>
      <x:c r="O902" s="5" t="str"/>
      <x:c r="P902" s="5" t="str">
        <x:v>Pilot freigegeben</x:v>
      </x:c>
      <x:c r="Q902" s="5" t="str">
        <x:v>Revision 2 unverändert übernommen</x:v>
      </x:c>
      <x:c r="R902" s="5" t="str">
        <x:v>Welche Zielsetzung verfolgt das Gesetz gegen den unlauteren Wettbewerb (UWG)?</x:v>
      </x:c>
      <x:c r="S902" s="5" t="str">
        <x:v>6d792d6baba6ee043ca132ab3997be9726f6efa3004cebbd96f30a822dac4f21</x:v>
      </x:c>
    </x:row>
    <x:row r="903" ht="36" customHeight="1">
      <x:c r="A903" s="5" t="str">
        <x:v>R-0503</x:v>
      </x:c>
      <x:c r="B903" s="5" t="str">
        <x:v>WQ</x:v>
      </x:c>
      <x:c r="C903" s="5" t="str">
        <x:v>3</x:v>
      </x:c>
      <x:c r="D903" s="5" t="str">
        <x:v>Recht und Steuern</x:v>
      </x:c>
      <x:c r="E903" s="5" t="str">
        <x:v>Recht</x:v>
      </x:c>
      <x:c r="F903" s="5" t="str">
        <x:v>ui-wq-recht-wettbewerb</x:v>
      </x:c>
      <x:c r="G903" s="5" t="str">
        <x:v>Wettbewerbsrecht</x:v>
      </x:c>
      <x:c r="H903" s="5" t="str">
        <x:v>tr-wq-r20</x:v>
      </x:c>
      <x:c r="I903" s="5" t="str">
        <x:v>3.1.6</x:v>
      </x:c>
      <x:c r="J903" s="5" t="str">
        <x:v>Wettbewerbsrecht</x:v>
      </x:c>
      <x:c r="K903" s="5" t="str"/>
      <x:c r="L903" s="5" t="str">
        <x:v>Wettbewerbsrecht</x:v>
      </x:c>
      <x:c r="M903" s="5" t="n">
        <x:v>2</x:v>
      </x:c>
      <x:c r="N903" s="5" t="n">
        <x:v>2</x:v>
      </x:c>
      <x:c r="O903" s="5" t="str"/>
      <x:c r="P903" s="5" t="str">
        <x:v>Pilot freigegeben</x:v>
      </x:c>
      <x:c r="Q903" s="5" t="str">
        <x:v>Revision 2 unverändert übernommen</x:v>
      </x:c>
      <x:c r="R903" s="5" t="str">
        <x:v>Ein Baumarkt verkauft Lichterketten mit einem GS-Zeichen, das vom Hersteller ohne erforderliche Zulassung angebracht wurde. Der Baumarkt wusste davon nichts. Liegt ein Verstoß gegen das UWG vor? Begründen Sie.</x:v>
      </x:c>
      <x:c r="S903" s="5" t="str">
        <x:v>653de7bbd227fcb88b3b05778f67269fdde5b19ef3aa3154256f3ce1896c3a30</x:v>
      </x:c>
    </x:row>
    <x:row r="904" ht="36" customHeight="1">
      <x:c r="A904" s="5" t="str">
        <x:v>R-0504</x:v>
      </x:c>
      <x:c r="B904" s="5" t="str">
        <x:v>WQ</x:v>
      </x:c>
      <x:c r="C904" s="5" t="str">
        <x:v>3</x:v>
      </x:c>
      <x:c r="D904" s="5" t="str">
        <x:v>Recht und Steuern</x:v>
      </x:c>
      <x:c r="E904" s="5" t="str">
        <x:v>Recht</x:v>
      </x:c>
      <x:c r="F904" s="5" t="str">
        <x:v>ui-wq-recht-wettbewerb</x:v>
      </x:c>
      <x:c r="G904" s="5" t="str">
        <x:v>Wettbewerbsrecht</x:v>
      </x:c>
      <x:c r="H904" s="5" t="str">
        <x:v>tr-wq-r20</x:v>
      </x:c>
      <x:c r="I904" s="5" t="str">
        <x:v>3.1.6</x:v>
      </x:c>
      <x:c r="J904" s="5" t="str">
        <x:v>Wettbewerbsrecht</x:v>
      </x:c>
      <x:c r="K904" s="5" t="str"/>
      <x:c r="L904" s="5" t="str">
        <x:v>Wettbewerbsrecht</x:v>
      </x:c>
      <x:c r="M904" s="5" t="n">
        <x:v>3</x:v>
      </x:c>
      <x:c r="N904" s="5" t="n">
        <x:v>3</x:v>
      </x:c>
      <x:c r="O904" s="5" t="str"/>
      <x:c r="P904" s="5" t="str">
        <x:v>Pilot freigegeben</x:v>
      </x:c>
      <x:c r="Q904" s="5" t="str">
        <x:v>Revision 2 unverändert übernommen</x:v>
      </x:c>
      <x:c r="R904" s="5" t="str">
        <x:v>Welche wettbewerbsrechtlichen Ansprüche kann ein beeinträchtigter Unternehmer gegen einen unlauter handelnden Mitbewerber geltend machen?</x:v>
      </x:c>
      <x:c r="S904" s="5" t="str">
        <x:v>57833d2f79d407a42d4b0f38b01655c9a43dba371d0afd1ff56279dbc2b40132</x:v>
      </x:c>
    </x:row>
    <x:row r="905" ht="36" customHeight="1">
      <x:c r="A905" s="5" t="str">
        <x:v>R-0505</x:v>
      </x:c>
      <x:c r="B905" s="5" t="str">
        <x:v>WQ</x:v>
      </x:c>
      <x:c r="C905" s="5" t="str">
        <x:v>3</x:v>
      </x:c>
      <x:c r="D905" s="5" t="str">
        <x:v>Recht und Steuern</x:v>
      </x:c>
      <x:c r="E905" s="5" t="str">
        <x:v>Recht</x:v>
      </x:c>
      <x:c r="F905" s="5" t="str">
        <x:v>ui-wq-recht-wettbewerb</x:v>
      </x:c>
      <x:c r="G905" s="5" t="str">
        <x:v>Wettbewerbsrecht</x:v>
      </x:c>
      <x:c r="H905" s="5" t="str">
        <x:v>tr-wq-r20</x:v>
      </x:c>
      <x:c r="I905" s="5" t="str">
        <x:v>3.1.6</x:v>
      </x:c>
      <x:c r="J905" s="5" t="str">
        <x:v>Wettbewerbsrecht</x:v>
      </x:c>
      <x:c r="K905" s="5" t="str"/>
      <x:c r="L905" s="5" t="str">
        <x:v>Wettbewerbsrecht</x:v>
      </x:c>
      <x:c r="M905" s="5" t="n">
        <x:v>4</x:v>
      </x:c>
      <x:c r="N905" s="5" t="n">
        <x:v>4</x:v>
      </x:c>
      <x:c r="O905" s="5" t="str"/>
      <x:c r="P905" s="5" t="str">
        <x:v>Pilot freigegeben</x:v>
      </x:c>
      <x:c r="Q905" s="5" t="str">
        <x:v>Revision 2 unverändert übernommen</x:v>
      </x:c>
      <x:c r="R905" s="5" t="str">
        <x:v>Wer kann neben einem Mitbewerber Ansprüche nach dem UWG geltend machen?</x:v>
      </x:c>
      <x:c r="S905" s="5" t="str">
        <x:v>a954183fffe47e156574ab30c38830376b7571d012bb98845fb6843064109f31</x:v>
      </x:c>
    </x:row>
    <x:row r="906" ht="36" customHeight="1">
      <x:c r="A906" s="5" t="str">
        <x:v>R-0506</x:v>
      </x:c>
      <x:c r="B906" s="5" t="str">
        <x:v>WQ</x:v>
      </x:c>
      <x:c r="C906" s="5" t="str">
        <x:v>3</x:v>
      </x:c>
      <x:c r="D906" s="5" t="str">
        <x:v>Recht und Steuern</x:v>
      </x:c>
      <x:c r="E906" s="5" t="str">
        <x:v>Recht</x:v>
      </x:c>
      <x:c r="F906" s="5" t="str">
        <x:v>ui-wq-recht-wettbewerb</x:v>
      </x:c>
      <x:c r="G906" s="5" t="str">
        <x:v>Wettbewerbsrecht</x:v>
      </x:c>
      <x:c r="H906" s="5" t="str">
        <x:v>tr-wq-r20</x:v>
      </x:c>
      <x:c r="I906" s="5" t="str">
        <x:v>3.1.6</x:v>
      </x:c>
      <x:c r="J906" s="5" t="str">
        <x:v>Wettbewerbsrecht</x:v>
      </x:c>
      <x:c r="K906" s="5" t="str"/>
      <x:c r="L906" s="5" t="str">
        <x:v>Wettbewerbsrecht</x:v>
      </x:c>
      <x:c r="M906" s="5" t="n">
        <x:v>5</x:v>
      </x:c>
      <x:c r="N906" s="5" t="n">
        <x:v>5</x:v>
      </x:c>
      <x:c r="O906" s="5" t="str"/>
      <x:c r="P906" s="5" t="str">
        <x:v>Pilot freigegeben</x:v>
      </x:c>
      <x:c r="Q906" s="5" t="str">
        <x:v>Revision 2 unverändert übernommen</x:v>
      </x:c>
      <x:c r="R906" s="5" t="str">
        <x:v>Mehrere Fahrschulen erhöhen nach einer Preisankündigung einer Wettbewerberin ihre Preise auf ein vergleichbares Niveau. Liegt ein Verstoß gegen § 1 GWB vor? Begründen Sie.</x:v>
      </x:c>
      <x:c r="S906" s="5" t="str">
        <x:v>66667b9739d4d458caa0f17d79a51c4e07cc7cabe3fe1707b4fdd8b6339e80df</x:v>
      </x:c>
    </x:row>
    <x:row r="907" ht="36" customHeight="1">
      <x:c r="A907" s="5" t="str">
        <x:v>R-0507</x:v>
      </x:c>
      <x:c r="B907" s="5" t="str">
        <x:v>WQ</x:v>
      </x:c>
      <x:c r="C907" s="5" t="str">
        <x:v>3</x:v>
      </x:c>
      <x:c r="D907" s="5" t="str">
        <x:v>Recht und Steuern</x:v>
      </x:c>
      <x:c r="E907" s="5" t="str">
        <x:v>Recht</x:v>
      </x:c>
      <x:c r="F907" s="5" t="str">
        <x:v>ui-wq-recht-wettbewerb</x:v>
      </x:c>
      <x:c r="G907" s="5" t="str">
        <x:v>Wettbewerbsrecht</x:v>
      </x:c>
      <x:c r="H907" s="5" t="str">
        <x:v>tr-wq-r20</x:v>
      </x:c>
      <x:c r="I907" s="5" t="str">
        <x:v>3.1.6</x:v>
      </x:c>
      <x:c r="J907" s="5" t="str">
        <x:v>Wettbewerbsrecht</x:v>
      </x:c>
      <x:c r="K907" s="5" t="str"/>
      <x:c r="L907" s="5" t="str">
        <x:v>Wettbewerbsrecht</x:v>
      </x:c>
      <x:c r="M907" s="5" t="n">
        <x:v>6</x:v>
      </x:c>
      <x:c r="N907" s="5" t="n">
        <x:v>6</x:v>
      </x:c>
      <x:c r="O907" s="5" t="str"/>
      <x:c r="P907" s="5" t="str">
        <x:v>Pilot freigegeben</x:v>
      </x:c>
      <x:c r="Q907" s="5" t="str">
        <x:v>Revision 2 unverändert übernommen</x:v>
      </x:c>
      <x:c r="R907" s="5" t="str">
        <x:v>Eine Fahrschülerin hat aufgrund einer wettbewerbswidrigen Preisabsprache 300 € mehr bezahlt. Hat sie einen Schadensersatzanspruch?</x:v>
      </x:c>
      <x:c r="S907" s="5" t="str">
        <x:v>05812944ec4331bfb2fb6071475425b5d096cce97f646f97a240e86150c4e67c</x:v>
      </x:c>
    </x:row>
    <x:row r="908" ht="36" customHeight="1">
      <x:c r="A908" s="5" t="str">
        <x:v>R-0508</x:v>
      </x:c>
      <x:c r="B908" s="5" t="str">
        <x:v>WQ</x:v>
      </x:c>
      <x:c r="C908" s="5" t="str">
        <x:v>3</x:v>
      </x:c>
      <x:c r="D908" s="5" t="str">
        <x:v>Recht und Steuern</x:v>
      </x:c>
      <x:c r="E908" s="5" t="str">
        <x:v>Recht</x:v>
      </x:c>
      <x:c r="F908" s="5" t="str">
        <x:v>ui-wq-recht-gewerbe</x:v>
      </x:c>
      <x:c r="G908" s="5" t="str">
        <x:v>Gewerberecht</x:v>
      </x:c>
      <x:c r="H908" s="5" t="str">
        <x:v>tr-wq-r21</x:v>
      </x:c>
      <x:c r="I908" s="5" t="str">
        <x:v>3.1.7</x:v>
      </x:c>
      <x:c r="J908" s="5" t="str">
        <x:v>Gewerberecht</x:v>
      </x:c>
      <x:c r="K908" s="5" t="str"/>
      <x:c r="L908" s="5" t="str">
        <x:v>Gewerberecht</x:v>
      </x:c>
      <x:c r="M908" s="5" t="n">
        <x:v>1</x:v>
      </x:c>
      <x:c r="N908" s="5" t="n">
        <x:v>1</x:v>
      </x:c>
      <x:c r="O908" s="5" t="str"/>
      <x:c r="P908" s="5" t="str">
        <x:v>Pilot freigegeben</x:v>
      </x:c>
      <x:c r="Q908" s="5" t="str">
        <x:v>Revision 2 unverändert übernommen</x:v>
      </x:c>
      <x:c r="R908" s="5" t="str">
        <x:v>Was versteht man unter einem Gewerbe?</x:v>
      </x:c>
      <x:c r="S908" s="5" t="str">
        <x:v>2ef85365a5be6de3da9f26a47bfc9e59495e5596b9c4c5887fefa7c881cc3920</x:v>
      </x:c>
    </x:row>
    <x:row r="909" ht="36" customHeight="1">
      <x:c r="A909" s="5" t="str">
        <x:v>R-0509</x:v>
      </x:c>
      <x:c r="B909" s="5" t="str">
        <x:v>WQ</x:v>
      </x:c>
      <x:c r="C909" s="5" t="str">
        <x:v>3</x:v>
      </x:c>
      <x:c r="D909" s="5" t="str">
        <x:v>Recht und Steuern</x:v>
      </x:c>
      <x:c r="E909" s="5" t="str">
        <x:v>Recht</x:v>
      </x:c>
      <x:c r="F909" s="5" t="str">
        <x:v>ui-wq-recht-gewerbe</x:v>
      </x:c>
      <x:c r="G909" s="5" t="str">
        <x:v>Gewerberecht</x:v>
      </x:c>
      <x:c r="H909" s="5" t="str">
        <x:v>tr-wq-r21</x:v>
      </x:c>
      <x:c r="I909" s="5" t="str">
        <x:v>3.1.7</x:v>
      </x:c>
      <x:c r="J909" s="5" t="str">
        <x:v>Gewerberecht</x:v>
      </x:c>
      <x:c r="K909" s="5" t="str"/>
      <x:c r="L909" s="5" t="str">
        <x:v>Gewerberecht</x:v>
      </x:c>
      <x:c r="M909" s="5" t="n">
        <x:v>2</x:v>
      </x:c>
      <x:c r="N909" s="5" t="n">
        <x:v>2</x:v>
      </x:c>
      <x:c r="O909" s="5" t="str"/>
      <x:c r="P909" s="5" t="str">
        <x:v>Pilot freigegeben</x:v>
      </x:c>
      <x:c r="Q909" s="5" t="str">
        <x:v>Revision 2 unverändert übernommen</x:v>
      </x:c>
      <x:c r="R909" s="5" t="str">
        <x:v>Welche Tätigkeiten zählen grundsätzlich nicht zu den Gewerben?</x:v>
      </x:c>
      <x:c r="S909" s="5" t="str">
        <x:v>adad53d3e494bb0e8982fb3fa0a284e202aec3ef03d64e5589cfc571ed78e3ff</x:v>
      </x:c>
    </x:row>
    <x:row r="910" ht="36" customHeight="1">
      <x:c r="A910" s="5" t="str">
        <x:v>R-0510</x:v>
      </x:c>
      <x:c r="B910" s="5" t="str">
        <x:v>WQ</x:v>
      </x:c>
      <x:c r="C910" s="5" t="str">
        <x:v>3</x:v>
      </x:c>
      <x:c r="D910" s="5" t="str">
        <x:v>Recht und Steuern</x:v>
      </x:c>
      <x:c r="E910" s="5" t="str">
        <x:v>Recht</x:v>
      </x:c>
      <x:c r="F910" s="5" t="str">
        <x:v>ui-wq-recht-gewerbe</x:v>
      </x:c>
      <x:c r="G910" s="5" t="str">
        <x:v>Gewerberecht</x:v>
      </x:c>
      <x:c r="H910" s="5" t="str">
        <x:v>tr-wq-r21</x:v>
      </x:c>
      <x:c r="I910" s="5" t="str">
        <x:v>3.1.7</x:v>
      </x:c>
      <x:c r="J910" s="5" t="str">
        <x:v>Gewerberecht</x:v>
      </x:c>
      <x:c r="K910" s="5" t="str"/>
      <x:c r="L910" s="5" t="str">
        <x:v>Gewerberecht</x:v>
      </x:c>
      <x:c r="M910" s="5" t="n">
        <x:v>3</x:v>
      </x:c>
      <x:c r="N910" s="5" t="n">
        <x:v>3</x:v>
      </x:c>
      <x:c r="O910" s="5" t="str"/>
      <x:c r="P910" s="5" t="str">
        <x:v>Pilot freigegeben</x:v>
      </x:c>
      <x:c r="Q910" s="5" t="str">
        <x:v>Revision 2 unverändert übernommen</x:v>
      </x:c>
      <x:c r="R910" s="5" t="str">
        <x:v>Liegt in den folgenden Fällen ein Gewerbe vor? 1. Bäckerei mit acht Filialen 2. Steuerberater und Rechtsanwältin in Partnerschaft 3. Landwirtin züchtet Rinder 4. Unternehmer betreibt Spielhallen</x:v>
      </x:c>
      <x:c r="S910" s="5" t="str">
        <x:v>17df95d7f43384552ee3159b79b1d47324e96632040a3585ad4b7af6c5c8010e</x:v>
      </x:c>
    </x:row>
    <x:row r="911" ht="36" customHeight="1">
      <x:c r="A911" s="5" t="str">
        <x:v>R-0511</x:v>
      </x:c>
      <x:c r="B911" s="5" t="str">
        <x:v>WQ</x:v>
      </x:c>
      <x:c r="C911" s="5" t="str">
        <x:v>3</x:v>
      </x:c>
      <x:c r="D911" s="5" t="str">
        <x:v>Recht und Steuern</x:v>
      </x:c>
      <x:c r="E911" s="5" t="str">
        <x:v>Recht</x:v>
      </x:c>
      <x:c r="F911" s="5" t="str">
        <x:v>ui-wq-recht-gewerbe</x:v>
      </x:c>
      <x:c r="G911" s="5" t="str">
        <x:v>Gewerberecht</x:v>
      </x:c>
      <x:c r="H911" s="5" t="str">
        <x:v>tr-wq-r21</x:v>
      </x:c>
      <x:c r="I911" s="5" t="str">
        <x:v>3.1.7</x:v>
      </x:c>
      <x:c r="J911" s="5" t="str">
        <x:v>Gewerberecht</x:v>
      </x:c>
      <x:c r="K911" s="5" t="str"/>
      <x:c r="L911" s="5" t="str">
        <x:v>Gewerberecht</x:v>
      </x:c>
      <x:c r="M911" s="5" t="n">
        <x:v>4</x:v>
      </x:c>
      <x:c r="N911" s="5" t="n">
        <x:v>4</x:v>
      </x:c>
      <x:c r="O911" s="5" t="str"/>
      <x:c r="P911" s="5" t="str">
        <x:v>Pilot freigegeben</x:v>
      </x:c>
      <x:c r="Q911" s="5" t="str">
        <x:v>Revision 2 unverändert übernommen</x:v>
      </x:c>
      <x:c r="R911" s="5" t="str">
        <x:v>Welche Beispiele gehören zu den erlaubnispflichtigen Gewerben?</x:v>
      </x:c>
      <x:c r="S911" s="5" t="str">
        <x:v>b447be47a1c9e10d83cc88b8b8ced2647bbcc8386d1de717416636106bc8c316</x:v>
      </x:c>
    </x:row>
    <x:row r="912" ht="36" customHeight="1">
      <x:c r="A912" s="5" t="str">
        <x:v>R-0512</x:v>
      </x:c>
      <x:c r="B912" s="5" t="str">
        <x:v>WQ</x:v>
      </x:c>
      <x:c r="C912" s="5" t="str">
        <x:v>3</x:v>
      </x:c>
      <x:c r="D912" s="5" t="str">
        <x:v>Recht und Steuern</x:v>
      </x:c>
      <x:c r="E912" s="5" t="str">
        <x:v>Recht</x:v>
      </x:c>
      <x:c r="F912" s="5" t="str">
        <x:v>ui-wq-recht-gewerbe</x:v>
      </x:c>
      <x:c r="G912" s="5" t="str">
        <x:v>Gewerberecht</x:v>
      </x:c>
      <x:c r="H912" s="5" t="str">
        <x:v>tr-wq-r21</x:v>
      </x:c>
      <x:c r="I912" s="5" t="str">
        <x:v>3.1.7</x:v>
      </x:c>
      <x:c r="J912" s="5" t="str">
        <x:v>Gewerberecht</x:v>
      </x:c>
      <x:c r="K912" s="5" t="str"/>
      <x:c r="L912" s="5" t="str">
        <x:v>Gewerberecht</x:v>
      </x:c>
      <x:c r="M912" s="5" t="n">
        <x:v>5</x:v>
      </x:c>
      <x:c r="N912" s="5" t="n">
        <x:v>5</x:v>
      </x:c>
      <x:c r="O912" s="5" t="str"/>
      <x:c r="P912" s="5" t="str">
        <x:v>Pilot freigegeben</x:v>
      </x:c>
      <x:c r="Q912" s="5" t="str">
        <x:v>Revision 2 unverändert übernommen</x:v>
      </x:c>
      <x:c r="R912" s="5" t="str">
        <x:v>Welche Beispiele gehören zu den überwachungsbedürftigen Gewerben?</x:v>
      </x:c>
      <x:c r="S912" s="5" t="str">
        <x:v>dfc09153997015b895f10c07066177280ae30adf15aa156d3d16437a41c1718b</x:v>
      </x:c>
    </x:row>
    <x:row r="913" ht="36" customHeight="1">
      <x:c r="A913" s="5" t="str">
        <x:v>R-0513</x:v>
      </x:c>
      <x:c r="B913" s="5" t="str">
        <x:v>WQ</x:v>
      </x:c>
      <x:c r="C913" s="5" t="str">
        <x:v>3</x:v>
      </x:c>
      <x:c r="D913" s="5" t="str">
        <x:v>Recht und Steuern</x:v>
      </x:c>
      <x:c r="E913" s="5" t="str">
        <x:v>Recht</x:v>
      </x:c>
      <x:c r="F913" s="5" t="str">
        <x:v>ui-wq-recht-gewerbe</x:v>
      </x:c>
      <x:c r="G913" s="5" t="str">
        <x:v>Gewerberecht</x:v>
      </x:c>
      <x:c r="H913" s="5" t="str">
        <x:v>tr-wq-r21</x:v>
      </x:c>
      <x:c r="I913" s="5" t="str">
        <x:v>3.1.7</x:v>
      </x:c>
      <x:c r="J913" s="5" t="str">
        <x:v>Gewerberecht</x:v>
      </x:c>
      <x:c r="K913" s="5" t="str"/>
      <x:c r="L913" s="5" t="str">
        <x:v>Gewerberecht</x:v>
      </x:c>
      <x:c r="M913" s="5" t="n">
        <x:v>6</x:v>
      </x:c>
      <x:c r="N913" s="5" t="n">
        <x:v>6</x:v>
      </x:c>
      <x:c r="O913" s="5" t="str"/>
      <x:c r="P913" s="5" t="str">
        <x:v>Pilot freigegeben</x:v>
      </x:c>
      <x:c r="Q913" s="5" t="str">
        <x:v>Revision 2 unverändert übernommen</x:v>
      </x:c>
      <x:c r="R913" s="5" t="str">
        <x:v>Wer ist für die Gewerbeaufsicht zuständig?</x:v>
      </x:c>
      <x:c r="S913" s="5" t="str">
        <x:v>e7a91d1530c3f0dd14a31d008922b9b06272a059984ec63081b8484d530b6344</x:v>
      </x:c>
    </x:row>
    <x:row r="914" ht="36" customHeight="1">
      <x:c r="A914" s="5" t="str">
        <x:v>R-0514</x:v>
      </x:c>
      <x:c r="B914" s="5" t="str">
        <x:v>WQ</x:v>
      </x:c>
      <x:c r="C914" s="5" t="str">
        <x:v>3</x:v>
      </x:c>
      <x:c r="D914" s="5" t="str">
        <x:v>Recht und Steuern</x:v>
      </x:c>
      <x:c r="E914" s="5" t="str">
        <x:v>Recht</x:v>
      </x:c>
      <x:c r="F914" s="5" t="str">
        <x:v>ui-wq-recht-schuld</x:v>
      </x:c>
      <x:c r="G914" s="5" t="str">
        <x:v>BGB Schuldrecht</x:v>
      </x:c>
      <x:c r="H914" s="5" t="str">
        <x:v>tr-wq-r07</x:v>
      </x:c>
      <x:c r="I914" s="5" t="str">
        <x:v>3.1.2.5</x:v>
      </x:c>
      <x:c r="J914" s="5" t="str">
        <x:v>Leistung, Verzug und Schadensersatz</x:v>
      </x:c>
      <x:c r="K914" s="5" t="str"/>
      <x:c r="L914" s="5" t="str">
        <x:v>BGB Allgemeiner Teil</x:v>
      </x:c>
      <x:c r="M914" s="5" t="n">
        <x:v>162</x:v>
      </x:c>
      <x:c r="N914" s="5" t="n">
        <x:v>46</x:v>
      </x:c>
      <x:c r="O914" s="5" t="str"/>
      <x:c r="P914" s="5" t="str">
        <x:v>Pilot freigegeben</x:v>
      </x:c>
      <x:c r="Q914" s="5" t="str">
        <x:v>Revision 2 unverändert übernommen</x:v>
      </x:c>
      <x:c r="R914" s="5" t="str">
        <x:v>Wie ist die Deliktsfähigkeit Minderjähriger nach § 828 BGB abgestuft?</x:v>
      </x:c>
      <x:c r="S914" s="5" t="str">
        <x:v>42c90b08f272220b3e2c117291bdb5e6ef0a3b0b3f21ba51e8b3ee4d4b0ebfcd</x:v>
      </x:c>
    </x:row>
    <x:row r="915" ht="36" customHeight="1">
      <x:c r="A915" s="5" t="str">
        <x:v>R-0515</x:v>
      </x:c>
      <x:c r="B915" s="5" t="str">
        <x:v>WQ</x:v>
      </x:c>
      <x:c r="C915" s="5" t="str">
        <x:v>3</x:v>
      </x:c>
      <x:c r="D915" s="5" t="str">
        <x:v>Recht und Steuern</x:v>
      </x:c>
      <x:c r="E915" s="5" t="str">
        <x:v>Recht</x:v>
      </x:c>
      <x:c r="F915" s="5" t="str">
        <x:v>ui-wq-recht-at</x:v>
      </x:c>
      <x:c r="G915" s="5" t="str">
        <x:v>BGB Allgemeiner Teil</x:v>
      </x:c>
      <x:c r="H915" s="5" t="str">
        <x:v>tr-wq-r01</x:v>
      </x:c>
      <x:c r="I915" s="5" t="str">
        <x:v>3.1.1</x:v>
      </x:c>
      <x:c r="J915" s="5" t="str">
        <x:v>BGB: Personen, Rechtsgeschäfte und Vertretung</x:v>
      </x:c>
      <x:c r="K915" s="5" t="str"/>
      <x:c r="L915" s="5" t="str">
        <x:v>BGB Allgemeiner Teil</x:v>
      </x:c>
      <x:c r="M915" s="5" t="n">
        <x:v>82</x:v>
      </x:c>
      <x:c r="N915" s="5" t="n">
        <x:v>82</x:v>
      </x:c>
      <x:c r="O915" s="5" t="str"/>
      <x:c r="P915" s="5" t="str">
        <x:v>Pilot freigegeben</x:v>
      </x:c>
      <x:c r="Q915" s="5" t="str">
        <x:v>Revision 2 unverändert übernommen</x:v>
      </x:c>
      <x:c r="R915" s="5" t="str">
        <x:v>Wie unterscheiden sich wesentliche Bestandteile, unwesentliche Bestandteile und Scheinbestandteile einer Sache?</x:v>
      </x:c>
      <x:c r="S915" s="5" t="str">
        <x:v>496672a18486b297b576595a38d8f40ea9140aa2f3ea53a68a69712fe1ecf798</x:v>
      </x:c>
    </x:row>
    <x:row r="916" ht="36" customHeight="1">
      <x:c r="A916" s="5" t="str">
        <x:v>R-0516</x:v>
      </x:c>
      <x:c r="B916" s="5" t="str">
        <x:v>WQ</x:v>
      </x:c>
      <x:c r="C916" s="5" t="str">
        <x:v>3</x:v>
      </x:c>
      <x:c r="D916" s="5" t="str">
        <x:v>Recht und Steuern</x:v>
      </x:c>
      <x:c r="E916" s="5" t="str">
        <x:v>Recht</x:v>
      </x:c>
      <x:c r="F916" s="5" t="str">
        <x:v>ui-wq-recht-at</x:v>
      </x:c>
      <x:c r="G916" s="5" t="str">
        <x:v>BGB Allgemeiner Teil</x:v>
      </x:c>
      <x:c r="H916" s="5" t="str">
        <x:v>tr-wq-r01</x:v>
      </x:c>
      <x:c r="I916" s="5" t="str">
        <x:v>3.1.1</x:v>
      </x:c>
      <x:c r="J916" s="5" t="str">
        <x:v>BGB: Personen, Rechtsgeschäfte und Vertretung</x:v>
      </x:c>
      <x:c r="K916" s="5" t="str"/>
      <x:c r="L916" s="5" t="str">
        <x:v>BGB Allgemeiner Teil</x:v>
      </x:c>
      <x:c r="M916" s="5" t="n">
        <x:v>83</x:v>
      </x:c>
      <x:c r="N916" s="5" t="n">
        <x:v>83</x:v>
      </x:c>
      <x:c r="O916" s="5" t="str"/>
      <x:c r="P916" s="5" t="str">
        <x:v>Pilot freigegeben</x:v>
      </x:c>
      <x:c r="Q916" s="5" t="str">
        <x:v>Revision 2 unverändert übernommen</x:v>
      </x:c>
      <x:c r="R916" s="5" t="str">
        <x:v>Sind Tiere nach dem BGB Sachen?</x:v>
      </x:c>
      <x:c r="S916" s="5" t="str">
        <x:v>e71dc6d9c0cf59a437dc0788a01f013cc261e8eb4de8108fe60c9397fa97d667</x:v>
      </x:c>
    </x:row>
    <x:row r="917" ht="36" customHeight="1">
      <x:c r="A917" s="5" t="str">
        <x:v>R-0517</x:v>
      </x:c>
      <x:c r="B917" s="5" t="str">
        <x:v>WQ</x:v>
      </x:c>
      <x:c r="C917" s="5" t="str">
        <x:v>3</x:v>
      </x:c>
      <x:c r="D917" s="5" t="str">
        <x:v>Recht und Steuern</x:v>
      </x:c>
      <x:c r="E917" s="5" t="str">
        <x:v>Recht</x:v>
      </x:c>
      <x:c r="F917" s="5" t="str">
        <x:v>ui-wq-recht-schuld</x:v>
      </x:c>
      <x:c r="G917" s="5" t="str">
        <x:v>BGB Schuldrecht</x:v>
      </x:c>
      <x:c r="H917" s="5" t="str">
        <x:v>tr-wq-r02</x:v>
      </x:c>
      <x:c r="I917" s="5" t="str">
        <x:v>3.1.2.1</x:v>
      </x:c>
      <x:c r="J917" s="5" t="str">
        <x:v>Schuldverhältnisse, AGB, Fristen und Gerichte</x:v>
      </x:c>
      <x:c r="K917" s="5" t="str"/>
      <x:c r="L917" s="5" t="str">
        <x:v>Schuldrecht: Grundlagen, AGB, Verjährung, Gerichte &amp; Produkthaftung</x:v>
      </x:c>
      <x:c r="M917" s="5" t="n">
        <x:v>163</x:v>
      </x:c>
      <x:c r="N917" s="5" t="n">
        <x:v>23</x:v>
      </x:c>
      <x:c r="O917" s="5" t="str"/>
      <x:c r="P917" s="5" t="str">
        <x:v>Pilot freigegeben</x:v>
      </x:c>
      <x:c r="Q917" s="5" t="str">
        <x:v>Revision 2 unverändert übernommen</x:v>
      </x:c>
      <x:c r="R917" s="5" t="str">
        <x:v>Was ist der Unterschied zwischen Hemmung und Neubeginn der Verjährung?</x:v>
      </x:c>
      <x:c r="S917" s="5" t="str">
        <x:v>49f78956f70beebfcba6eb8633cd8d7b0c73924b4781a781d38de3c863105972</x:v>
      </x:c>
    </x:row>
    <x:row r="918" ht="36" customHeight="1">
      <x:c r="A918" s="5" t="str">
        <x:v>R-0518</x:v>
      </x:c>
      <x:c r="B918" s="5" t="str">
        <x:v>WQ</x:v>
      </x:c>
      <x:c r="C918" s="5" t="str">
        <x:v>3</x:v>
      </x:c>
      <x:c r="D918" s="5" t="str">
        <x:v>Recht und Steuern</x:v>
      </x:c>
      <x:c r="E918" s="5" t="str">
        <x:v>Recht</x:v>
      </x:c>
      <x:c r="F918" s="5" t="str">
        <x:v>ui-wq-recht-schuld</x:v>
      </x:c>
      <x:c r="G918" s="5" t="str">
        <x:v>BGB Schuldrecht</x:v>
      </x:c>
      <x:c r="H918" s="5" t="str">
        <x:v>tr-wq-r02</x:v>
      </x:c>
      <x:c r="I918" s="5" t="str">
        <x:v>3.1.2.1</x:v>
      </x:c>
      <x:c r="J918" s="5" t="str">
        <x:v>Schuldverhältnisse, AGB, Fristen und Gerichte</x:v>
      </x:c>
      <x:c r="K918" s="5" t="str"/>
      <x:c r="L918" s="5" t="str">
        <x:v>Schuldrecht: Grundlagen, AGB, Verjährung, Gerichte &amp; Produkthaftung</x:v>
      </x:c>
      <x:c r="M918" s="5" t="n">
        <x:v>164</x:v>
      </x:c>
      <x:c r="N918" s="5" t="n">
        <x:v>24</x:v>
      </x:c>
      <x:c r="O918" s="5" t="str"/>
      <x:c r="P918" s="5" t="str">
        <x:v>Pilot freigegeben</x:v>
      </x:c>
      <x:c r="Q918" s="5" t="str">
        <x:v>Revision 2 unverändert übernommen</x:v>
      </x:c>
      <x:c r="R918" s="5" t="str">
        <x:v>Nennen Sie typische Gründe für die Hemmung und für den Neubeginn der Verjährung.</x:v>
      </x:c>
      <x:c r="S918" s="5" t="str">
        <x:v>af191a639a7b75e8ca52aa5ac9b473cc357ba433a668026d04a3ad743fa545cc</x:v>
      </x:c>
    </x:row>
    <x:row r="919" ht="36" customHeight="1">
      <x:c r="A919" s="5" t="str">
        <x:v>R-0519</x:v>
      </x:c>
      <x:c r="B919" s="5" t="str">
        <x:v>WQ</x:v>
      </x:c>
      <x:c r="C919" s="5" t="str">
        <x:v>3</x:v>
      </x:c>
      <x:c r="D919" s="5" t="str">
        <x:v>Recht und Steuern</x:v>
      </x:c>
      <x:c r="E919" s="5" t="str">
        <x:v>Recht</x:v>
      </x:c>
      <x:c r="F919" s="5" t="str">
        <x:v>ui-wq-recht-schuld</x:v>
      </x:c>
      <x:c r="G919" s="5" t="str">
        <x:v>BGB Schuldrecht</x:v>
      </x:c>
      <x:c r="H919" s="5" t="str">
        <x:v>tr-wq-r05</x:v>
      </x:c>
      <x:c r="I919" s="5" t="str">
        <x:v>3.1.2.4</x:v>
      </x:c>
      <x:c r="J919" s="5" t="str">
        <x:v>Miete, Darlehen, Dienstleistung, Werk und Leasing</x:v>
      </x:c>
      <x:c r="K919" s="5" t="str"/>
      <x:c r="L919" s="5" t="str">
        <x:v>Weitere Vertragstypen, E-Commerce &amp; Leistungsstörungen</x:v>
      </x:c>
      <x:c r="M919" s="5" t="n">
        <x:v>165</x:v>
      </x:c>
      <x:c r="N919" s="5" t="n">
        <x:v>32</x:v>
      </x:c>
      <x:c r="O919" s="5" t="str"/>
      <x:c r="P919" s="5" t="str">
        <x:v>Pilot freigegeben</x:v>
      </x:c>
      <x:c r="Q919" s="5" t="str">
        <x:v>Revision 2 unverändert übernommen</x:v>
      </x:c>
      <x:c r="R919" s="5" t="str">
        <x:v>Was schulden die Parteien bei einem Dienstvertrag und wird ein bestimmter Erfolg geschuldet?</x:v>
      </x:c>
      <x:c r="S919" s="5" t="str">
        <x:v>7acfeaafe75bc2559bd68e4d0e17009ea2f288f9f113fa1ddf6ff4e5f915a426</x:v>
      </x:c>
    </x:row>
    <x:row r="920" ht="36" customHeight="1">
      <x:c r="A920" s="5" t="str">
        <x:v>R-0520</x:v>
      </x:c>
      <x:c r="B920" s="5" t="str">
        <x:v>WQ</x:v>
      </x:c>
      <x:c r="C920" s="5" t="str">
        <x:v>3</x:v>
      </x:c>
      <x:c r="D920" s="5" t="str">
        <x:v>Recht und Steuern</x:v>
      </x:c>
      <x:c r="E920" s="5" t="str">
        <x:v>Recht</x:v>
      </x:c>
      <x:c r="F920" s="5" t="str">
        <x:v>ui-wq-recht-schuld</x:v>
      </x:c>
      <x:c r="G920" s="5" t="str">
        <x:v>BGB Schuldrecht</x:v>
      </x:c>
      <x:c r="H920" s="5" t="str">
        <x:v>tr-wq-r05</x:v>
      </x:c>
      <x:c r="I920" s="5" t="str">
        <x:v>3.1.2.4</x:v>
      </x:c>
      <x:c r="J920" s="5" t="str">
        <x:v>Miete, Darlehen, Dienstleistung, Werk und Leasing</x:v>
      </x:c>
      <x:c r="K920" s="5" t="str"/>
      <x:c r="L920" s="5" t="str">
        <x:v>Weitere Vertragstypen, E-Commerce &amp; Leistungsstörungen</x:v>
      </x:c>
      <x:c r="M920" s="5" t="n">
        <x:v>166</x:v>
      </x:c>
      <x:c r="N920" s="5" t="n">
        <x:v>33</x:v>
      </x:c>
      <x:c r="O920" s="5" t="str"/>
      <x:c r="P920" s="5" t="str">
        <x:v>Pilot freigegeben</x:v>
      </x:c>
      <x:c r="Q920" s="5" t="str">
        <x:v>Revision 2 unverändert übernommen</x:v>
      </x:c>
      <x:c r="R920" s="5" t="str">
        <x:v>Wie unterscheiden sich Ratenkauf und Leasing?</x:v>
      </x:c>
      <x:c r="S920" s="5" t="str">
        <x:v>5e9f7d90e4a69ddc90f61635c1d4a79d1b63e70c44ce73f545415d99a174298a</x:v>
      </x:c>
    </x:row>
    <x:row r="921" ht="36" customHeight="1">
      <x:c r="A921" s="5" t="str">
        <x:v>R-0521</x:v>
      </x:c>
      <x:c r="B921" s="5" t="str">
        <x:v>WQ</x:v>
      </x:c>
      <x:c r="C921" s="5" t="str">
        <x:v>3</x:v>
      </x:c>
      <x:c r="D921" s="5" t="str">
        <x:v>Recht und Steuern</x:v>
      </x:c>
      <x:c r="E921" s="5" t="str">
        <x:v>Recht</x:v>
      </x:c>
      <x:c r="F921" s="5" t="str">
        <x:v>ui-wq-recht-sachen</x:v>
      </x:c>
      <x:c r="G921" s="5" t="str">
        <x:v>BGB Sachenrecht</x:v>
      </x:c>
      <x:c r="H921" s="5" t="str">
        <x:v>tr-wq-r09</x:v>
      </x:c>
      <x:c r="I921" s="5" t="str">
        <x:v>3.1.3.2</x:v>
      </x:c>
      <x:c r="J921" s="5" t="str">
        <x:v>Sicherheiten für Forderungen</x:v>
      </x:c>
      <x:c r="K921" s="5" t="str"/>
      <x:c r="L921" s="5" t="str">
        <x:v>Sachenrecht, Kreditsicherheiten &amp; Insolvenz</x:v>
      </x:c>
      <x:c r="M921" s="5" t="n">
        <x:v>78</x:v>
      </x:c>
      <x:c r="N921" s="5" t="n">
        <x:v>38</x:v>
      </x:c>
      <x:c r="O921" s="5" t="str"/>
      <x:c r="P921" s="5" t="str">
        <x:v>Pilot freigegeben</x:v>
      </x:c>
      <x:c r="Q921" s="5" t="str">
        <x:v>Revision 2 unverändert übernommen</x:v>
      </x:c>
      <x:c r="R921" s="5" t="str">
        <x:v>Welche Voraussetzungen gelten grundsätzlich für die Bestellung eines Pfandrechts an einer beweglichen Sache?</x:v>
      </x:c>
      <x:c r="S921" s="5" t="str">
        <x:v>8266e357af2fc281c1e8479e78ba8f461732e714ba71ad7ba562314590f90323</x:v>
      </x:c>
    </x:row>
    <x:row r="922" ht="36" customHeight="1">
      <x:c r="A922" s="5" t="str">
        <x:v>R-0522</x:v>
      </x:c>
      <x:c r="B922" s="5" t="str">
        <x:v>WQ</x:v>
      </x:c>
      <x:c r="C922" s="5" t="str">
        <x:v>3</x:v>
      </x:c>
      <x:c r="D922" s="5" t="str">
        <x:v>Recht und Steuern</x:v>
      </x:c>
      <x:c r="E922" s="5" t="str">
        <x:v>Recht</x:v>
      </x:c>
      <x:c r="F922" s="5" t="str">
        <x:v>ui-wq-recht-sachen</x:v>
      </x:c>
      <x:c r="G922" s="5" t="str">
        <x:v>BGB Sachenrecht</x:v>
      </x:c>
      <x:c r="H922" s="5" t="str">
        <x:v>tr-wq-r09</x:v>
      </x:c>
      <x:c r="I922" s="5" t="str">
        <x:v>3.1.3.2</x:v>
      </x:c>
      <x:c r="J922" s="5" t="str">
        <x:v>Sicherheiten für Forderungen</x:v>
      </x:c>
      <x:c r="K922" s="5" t="str"/>
      <x:c r="L922" s="5" t="str">
        <x:v>Sachenrecht, Kreditsicherheiten &amp; Insolvenz</x:v>
      </x:c>
      <x:c r="M922" s="5" t="n">
        <x:v>79</x:v>
      </x:c>
      <x:c r="N922" s="5" t="n">
        <x:v>39</x:v>
      </x:c>
      <x:c r="O922" s="5" t="str"/>
      <x:c r="P922" s="5" t="str">
        <x:v>Pilot freigegeben</x:v>
      </x:c>
      <x:c r="Q922" s="5" t="str">
        <x:v>Revision 2 unverändert übernommen</x:v>
      </x:c>
      <x:c r="R922" s="5" t="str">
        <x:v>Wann und wie darf ein Pfandgläubiger ein Pfand an einer beweglichen Sache verwerten?</x:v>
      </x:c>
      <x:c r="S922" s="5" t="str">
        <x:v>de1e596fdd12448151062977dc30420c846205befe1ceb9d72b872736c032717</x:v>
      </x:c>
    </x:row>
    <x:row r="923" ht="36" customHeight="1">
      <x:c r="A923" s="5" t="str">
        <x:v>R-0523</x:v>
      </x:c>
      <x:c r="B923" s="5" t="str">
        <x:v>WQ</x:v>
      </x:c>
      <x:c r="C923" s="5" t="str">
        <x:v>3</x:v>
      </x:c>
      <x:c r="D923" s="5" t="str">
        <x:v>Recht und Steuern</x:v>
      </x:c>
      <x:c r="E923" s="5" t="str">
        <x:v>Recht</x:v>
      </x:c>
      <x:c r="F923" s="5" t="str">
        <x:v>ui-wq-recht-sachen</x:v>
      </x:c>
      <x:c r="G923" s="5" t="str">
        <x:v>BGB Sachenrecht</x:v>
      </x:c>
      <x:c r="H923" s="5" t="str">
        <x:v>tr-wq-r09</x:v>
      </x:c>
      <x:c r="I923" s="5" t="str">
        <x:v>3.1.3.2</x:v>
      </x:c>
      <x:c r="J923" s="5" t="str">
        <x:v>Sicherheiten für Forderungen</x:v>
      </x:c>
      <x:c r="K923" s="5" t="str"/>
      <x:c r="L923" s="5" t="str">
        <x:v>Sachenrecht, Kreditsicherheiten &amp; Insolvenz</x:v>
      </x:c>
      <x:c r="M923" s="5" t="n">
        <x:v>80</x:v>
      </x:c>
      <x:c r="N923" s="5" t="n">
        <x:v>40</x:v>
      </x:c>
      <x:c r="O923" s="5" t="str"/>
      <x:c r="P923" s="5" t="str">
        <x:v>Pilot freigegeben</x:v>
      </x:c>
      <x:c r="Q923" s="5" t="str">
        <x:v>Revision 2 unverändert übernommen</x:v>
      </x:c>
      <x:c r="R923" s="5" t="str">
        <x:v>Wie funktioniert eine Sicherungsabtretung und welche Rechtsfolgen hat sie?</x:v>
      </x:c>
      <x:c r="S923" s="5" t="str">
        <x:v>823d683da039b5fc3acb99eaa2c211ae5ba0e8428bfa1800c575f0e2c4e5e7e8</x:v>
      </x:c>
    </x:row>
    <x:row r="924" ht="36" customHeight="1">
      <x:c r="A924" s="5" t="str">
        <x:v>R-0524</x:v>
      </x:c>
      <x:c r="B924" s="5" t="str">
        <x:v>WQ</x:v>
      </x:c>
      <x:c r="C924" s="5" t="str">
        <x:v>3</x:v>
      </x:c>
      <x:c r="D924" s="5" t="str">
        <x:v>Recht und Steuern</x:v>
      </x:c>
      <x:c r="E924" s="5" t="str">
        <x:v>Recht</x:v>
      </x:c>
      <x:c r="F924" s="5" t="str">
        <x:v>ui-wq-recht-sachen</x:v>
      </x:c>
      <x:c r="G924" s="5" t="str">
        <x:v>BGB Sachenrecht</x:v>
      </x:c>
      <x:c r="H924" s="5" t="str">
        <x:v>tr-wq-r10</x:v>
      </x:c>
      <x:c r="I924" s="5" t="str">
        <x:v>3.1.3.3</x:v>
      </x:c>
      <x:c r="J924" s="5" t="str">
        <x:v>Insolvenz und Gläubigerrechte</x:v>
      </x:c>
      <x:c r="K924" s="5" t="str"/>
      <x:c r="L924" s="5" t="str">
        <x:v>Sachenrecht, Kreditsicherheiten &amp; Insolvenz</x:v>
      </x:c>
      <x:c r="M924" s="5" t="n">
        <x:v>81</x:v>
      </x:c>
      <x:c r="N924" s="5" t="n">
        <x:v>16</x:v>
      </x:c>
      <x:c r="O924" s="5" t="str"/>
      <x:c r="P924" s="5" t="str">
        <x:v>Pilot freigegeben</x:v>
      </x:c>
      <x:c r="Q924" s="5" t="str">
        <x:v>Revision 2 unverändert übernommen</x:v>
      </x:c>
      <x:c r="R924" s="5" t="str">
        <x:v>Welche Hauptschritte durchläuft ein Regelinsolvenzverfahren?</x:v>
      </x:c>
      <x:c r="S924" s="5" t="str">
        <x:v>e98761cc9a8c2fd95866db4f42679ce0df224df9d318034bc3a6fa9acd486995</x:v>
      </x:c>
    </x:row>
    <x:row r="925" ht="36" customHeight="1">
      <x:c r="A925" s="5" t="str">
        <x:v>R-0525</x:v>
      </x:c>
      <x:c r="B925" s="5" t="str">
        <x:v>WQ</x:v>
      </x:c>
      <x:c r="C925" s="5" t="str">
        <x:v>3</x:v>
      </x:c>
      <x:c r="D925" s="5" t="str">
        <x:v>Recht und Steuern</x:v>
      </x:c>
      <x:c r="E925" s="5" t="str">
        <x:v>Recht</x:v>
      </x:c>
      <x:c r="F925" s="5" t="str">
        <x:v>ui-wq-recht-sachen</x:v>
      </x:c>
      <x:c r="G925" s="5" t="str">
        <x:v>BGB Sachenrecht</x:v>
      </x:c>
      <x:c r="H925" s="5" t="str">
        <x:v>tr-wq-r10</x:v>
      </x:c>
      <x:c r="I925" s="5" t="str">
        <x:v>3.1.3.3</x:v>
      </x:c>
      <x:c r="J925" s="5" t="str">
        <x:v>Insolvenz und Gläubigerrechte</x:v>
      </x:c>
      <x:c r="K925" s="5" t="str"/>
      <x:c r="L925" s="5" t="str">
        <x:v>Sachenrecht, Kreditsicherheiten &amp; Insolvenz</x:v>
      </x:c>
      <x:c r="M925" s="5" t="n">
        <x:v>82</x:v>
      </x:c>
      <x:c r="N925" s="5" t="n">
        <x:v>17</x:v>
      </x:c>
      <x:c r="O925" s="5" t="str"/>
      <x:c r="P925" s="5" t="str">
        <x:v>Pilot freigegeben</x:v>
      </x:c>
      <x:c r="Q925" s="5" t="str">
        <x:v>Revision 2 unverändert übernommen</x:v>
      </x:c>
      <x:c r="R925" s="5" t="str">
        <x:v>Welche besonderen Voraussetzungen und Unterlagen verlangt das Verbraucherinsolvenzverfahren?</x:v>
      </x:c>
      <x:c r="S925" s="5" t="str">
        <x:v>c5409c9225d8652d6d1e2b4eec58ccdc354a274a549b9cb54567d6960aa4e706</x:v>
      </x:c>
    </x:row>
    <x:row r="926" ht="36" customHeight="1">
      <x:c r="A926" s="5" t="str">
        <x:v>R-0526</x:v>
      </x:c>
      <x:c r="B926" s="5" t="str">
        <x:v>WQ</x:v>
      </x:c>
      <x:c r="C926" s="5" t="str">
        <x:v>3</x:v>
      </x:c>
      <x:c r="D926" s="5" t="str">
        <x:v>Recht und Steuern</x:v>
      </x:c>
      <x:c r="E926" s="5" t="str">
        <x:v>Recht</x:v>
      </x:c>
      <x:c r="F926" s="5" t="str">
        <x:v>ui-wq-recht-sachen</x:v>
      </x:c>
      <x:c r="G926" s="5" t="str">
        <x:v>BGB Sachenrecht</x:v>
      </x:c>
      <x:c r="H926" s="5" t="str">
        <x:v>tr-wq-r10</x:v>
      </x:c>
      <x:c r="I926" s="5" t="str">
        <x:v>3.1.3.3</x:v>
      </x:c>
      <x:c r="J926" s="5" t="str">
        <x:v>Insolvenz und Gläubigerrechte</x:v>
      </x:c>
      <x:c r="K926" s="5" t="str"/>
      <x:c r="L926" s="5" t="str">
        <x:v>Sachenrecht, Kreditsicherheiten &amp; Insolvenz</x:v>
      </x:c>
      <x:c r="M926" s="5" t="n">
        <x:v>83</x:v>
      </x:c>
      <x:c r="N926" s="5" t="n">
        <x:v>18</x:v>
      </x:c>
      <x:c r="O926" s="5" t="str"/>
      <x:c r="P926" s="5" t="str">
        <x:v>Pilot freigegeben</x:v>
      </x:c>
      <x:c r="Q926" s="5" t="str">
        <x:v>Revision 2 unverändert übernommen</x:v>
      </x:c>
      <x:c r="R926" s="5" t="str">
        <x:v>Wie lange dauert die Abtretungsfrist zur Restschuldbefreiung grundsätzlich und welche Kernobliegenheiten bestehen?</x:v>
      </x:c>
      <x:c r="S926" s="5" t="str">
        <x:v>11aac8ea6cd9260852c94427654e35e340b9798a9dceb98c3deb9d5d1a36caf1</x:v>
      </x:c>
    </x:row>
    <x:row r="927" ht="36" customHeight="1">
      <x:c r="A927" s="5" t="str">
        <x:v>R-0527</x:v>
      </x:c>
      <x:c r="B927" s="5" t="str">
        <x:v>WQ</x:v>
      </x:c>
      <x:c r="C927" s="5" t="str">
        <x:v>3</x:v>
      </x:c>
      <x:c r="D927" s="5" t="str">
        <x:v>Recht und Steuern</x:v>
      </x:c>
      <x:c r="E927" s="5" t="str">
        <x:v>Recht</x:v>
      </x:c>
      <x:c r="F927" s="5" t="str">
        <x:v>ui-wq-recht-sachen</x:v>
      </x:c>
      <x:c r="G927" s="5" t="str">
        <x:v>BGB Sachenrecht</x:v>
      </x:c>
      <x:c r="H927" s="5" t="str">
        <x:v>tr-wq-r10</x:v>
      </x:c>
      <x:c r="I927" s="5" t="str">
        <x:v>3.1.3.3</x:v>
      </x:c>
      <x:c r="J927" s="5" t="str">
        <x:v>Insolvenz und Gläubigerrechte</x:v>
      </x:c>
      <x:c r="K927" s="5" t="str"/>
      <x:c r="L927" s="5" t="str">
        <x:v>Sachenrecht, Kreditsicherheiten &amp; Insolvenz</x:v>
      </x:c>
      <x:c r="M927" s="5" t="n">
        <x:v>84</x:v>
      </x:c>
      <x:c r="N927" s="5" t="n">
        <x:v>19</x:v>
      </x:c>
      <x:c r="O927" s="5" t="str"/>
      <x:c r="P927" s="5" t="str">
        <x:v>Pilot freigegeben</x:v>
      </x:c>
      <x:c r="Q927" s="5" t="str">
        <x:v>Revision 2 unverändert übernommen</x:v>
      </x:c>
      <x:c r="R927" s="5" t="str">
        <x:v>Wann kann die Restschuldbefreiung versagt werden und welche Forderungen werden von ihr nicht erfasst?</x:v>
      </x:c>
      <x:c r="S927" s="5" t="str">
        <x:v>2214c5e89a862b40fd142f6cae37cd1306578dd0e580c86f3114be034d712150</x:v>
      </x:c>
    </x:row>
    <x:row r="928" ht="36" customHeight="1">
      <x:c r="A928" s="5" t="str">
        <x:v>R-0528</x:v>
      </x:c>
      <x:c r="B928" s="5" t="str">
        <x:v>WQ</x:v>
      </x:c>
      <x:c r="C928" s="5" t="str">
        <x:v>3</x:v>
      </x:c>
      <x:c r="D928" s="5" t="str">
        <x:v>Recht und Steuern</x:v>
      </x:c>
      <x:c r="E928" s="5" t="str">
        <x:v>Recht</x:v>
      </x:c>
      <x:c r="F928" s="5" t="str">
        <x:v>ui-wq-recht-handel</x:v>
      </x:c>
      <x:c r="G928" s="5" t="str">
        <x:v>Handelsrecht</x:v>
      </x:c>
      <x:c r="H928" s="5" t="str">
        <x:v>tr-wq-r11</x:v>
      </x:c>
      <x:c r="I928" s="5" t="str">
        <x:v>3.1.4.1</x:v>
      </x:c>
      <x:c r="J928" s="5" t="str">
        <x:v>Kaufleute und Firma</x:v>
      </x:c>
      <x:c r="K928" s="5" t="str"/>
      <x:c r="L928" s="5" t="str">
        <x:v>Handelsrecht</x:v>
      </x:c>
      <x:c r="M928" s="5" t="n">
        <x:v>70</x:v>
      </x:c>
      <x:c r="N928" s="5" t="n">
        <x:v>23</x:v>
      </x:c>
      <x:c r="O928" s="5" t="str"/>
      <x:c r="P928" s="5" t="str">
        <x:v>Pilot freigegeben</x:v>
      </x:c>
      <x:c r="Q928" s="5" t="str">
        <x:v>Revision 2 unverändert übernommen</x:v>
      </x:c>
      <x:c r="R928" s="5" t="str">
        <x:v>Was versteht man unter einem Scheinkaufmann und welche Rechtsfolge hat der gesetzte Rechtsschein?</x:v>
      </x:c>
      <x:c r="S928" s="5" t="str">
        <x:v>2acf4a42271456a6b8e219f4c1b3df3c8c4e0966591142d770081c0d435468bc</x:v>
      </x:c>
    </x:row>
    <x:row r="929" ht="36" customHeight="1">
      <x:c r="A929" s="5" t="str">
        <x:v>R-0529</x:v>
      </x:c>
      <x:c r="B929" s="5" t="str">
        <x:v>WQ</x:v>
      </x:c>
      <x:c r="C929" s="5" t="str">
        <x:v>3</x:v>
      </x:c>
      <x:c r="D929" s="5" t="str">
        <x:v>Recht und Steuern</x:v>
      </x:c>
      <x:c r="E929" s="5" t="str">
        <x:v>Recht</x:v>
      </x:c>
      <x:c r="F929" s="5" t="str">
        <x:v>ui-wq-recht-handel</x:v>
      </x:c>
      <x:c r="G929" s="5" t="str">
        <x:v>Handelsrecht</x:v>
      </x:c>
      <x:c r="H929" s="5" t="str">
        <x:v>tr-wq-r14</x:v>
      </x:c>
      <x:c r="I929" s="5" t="str">
        <x:v>3.1.4</x:v>
      </x:c>
      <x:c r="J929" s="5" t="str">
        <x:v>Prokura und kaufmännische Vollmachten</x:v>
      </x:c>
      <x:c r="K929" s="5" t="str"/>
      <x:c r="L929" s="5" t="str">
        <x:v>Handelsrecht</x:v>
      </x:c>
      <x:c r="M929" s="5" t="n">
        <x:v>71</x:v>
      </x:c>
      <x:c r="N929" s="5" t="n">
        <x:v>11</x:v>
      </x:c>
      <x:c r="O929" s="5" t="str"/>
      <x:c r="P929" s="5" t="str">
        <x:v>Pilot freigegeben</x:v>
      </x:c>
      <x:c r="Q929" s="5" t="str">
        <x:v>Revision 2 unverändert übernommen</x:v>
      </x:c>
      <x:c r="R929" s="5" t="str">
        <x:v>Welchen Umfang hat eine Handlungsvollmacht und welche Geschäfte erfordern eine besondere Ermächtigung?</x:v>
      </x:c>
      <x:c r="S929" s="5" t="str">
        <x:v>406baa6fd36b053b3599cd5615faca974b959f39d205aed6d22470f4ba142539</x:v>
      </x:c>
    </x:row>
    <x:row r="930" ht="36" customHeight="1">
      <x:c r="A930" s="5" t="str">
        <x:v>R-0530</x:v>
      </x:c>
      <x:c r="B930" s="5" t="str">
        <x:v>WQ</x:v>
      </x:c>
      <x:c r="C930" s="5" t="str">
        <x:v>3</x:v>
      </x:c>
      <x:c r="D930" s="5" t="str">
        <x:v>Recht und Steuern</x:v>
      </x:c>
      <x:c r="E930" s="5" t="str">
        <x:v>Recht</x:v>
      </x:c>
      <x:c r="F930" s="5" t="str">
        <x:v>ui-wq-recht-handel</x:v>
      </x:c>
      <x:c r="G930" s="5" t="str">
        <x:v>Handelsrecht</x:v>
      </x:c>
      <x:c r="H930" s="5" t="str">
        <x:v>tr-wq-r14</x:v>
      </x:c>
      <x:c r="I930" s="5" t="str">
        <x:v>3.1.4</x:v>
      </x:c>
      <x:c r="J930" s="5" t="str">
        <x:v>Prokura und kaufmännische Vollmachten</x:v>
      </x:c>
      <x:c r="K930" s="5" t="str"/>
      <x:c r="L930" s="5" t="str">
        <x:v>Handelsrecht</x:v>
      </x:c>
      <x:c r="M930" s="5" t="n">
        <x:v>72</x:v>
      </x:c>
      <x:c r="N930" s="5" t="n">
        <x:v>12</x:v>
      </x:c>
      <x:c r="O930" s="5" t="str"/>
      <x:c r="P930" s="5" t="str">
        <x:v>Pilot freigegeben</x:v>
      </x:c>
      <x:c r="Q930" s="5" t="str">
        <x:v>Revision 2 unverändert übernommen</x:v>
      </x:c>
      <x:c r="R930" s="5" t="str">
        <x:v>Welche gesetzliche Vollmachtsvermutung gilt für Ladenangestellte nach § 56 HGB?</x:v>
      </x:c>
      <x:c r="S930" s="5" t="str">
        <x:v>b6d368acddc75d2de6e6b4d41ac07ebea3ab1c2a111d9c0bdf748437126c3929</x:v>
      </x:c>
    </x:row>
    <x:row r="931" ht="36" customHeight="1">
      <x:c r="A931" s="5" t="str">
        <x:v>R-0531</x:v>
      </x:c>
      <x:c r="B931" s="5" t="str">
        <x:v>WQ</x:v>
      </x:c>
      <x:c r="C931" s="5" t="str">
        <x:v>3</x:v>
      </x:c>
      <x:c r="D931" s="5" t="str">
        <x:v>Recht und Steuern</x:v>
      </x:c>
      <x:c r="E931" s="5" t="str">
        <x:v>Recht</x:v>
      </x:c>
      <x:c r="F931" s="5" t="str">
        <x:v>ui-wq-recht-handel</x:v>
      </x:c>
      <x:c r="G931" s="5" t="str">
        <x:v>Handelsrecht</x:v>
      </x:c>
      <x:c r="H931" s="5" t="str">
        <x:v>tr-wq-r14</x:v>
      </x:c>
      <x:c r="I931" s="5" t="str">
        <x:v>3.1.4</x:v>
      </x:c>
      <x:c r="J931" s="5" t="str">
        <x:v>Prokura und kaufmännische Vollmachten</x:v>
      </x:c>
      <x:c r="K931" s="5" t="str"/>
      <x:c r="L931" s="5" t="str">
        <x:v>Handelsrecht</x:v>
      </x:c>
      <x:c r="M931" s="5" t="n">
        <x:v>73</x:v>
      </x:c>
      <x:c r="N931" s="5" t="n">
        <x:v>13</x:v>
      </x:c>
      <x:c r="O931" s="5" t="str"/>
      <x:c r="P931" s="5" t="str">
        <x:v>Pilot freigegeben</x:v>
      </x:c>
      <x:c r="Q931" s="5" t="str">
        <x:v>Revision 2 unverändert übernommen</x:v>
      </x:c>
      <x:c r="R931" s="5" t="str">
        <x:v>Was ist ein Handlungsgehilfe nach § 59 HGB?</x:v>
      </x:c>
      <x:c r="S931" s="5" t="str">
        <x:v>0c569a1feae21612f7af6b1b616493e7ab1cf6657053165ee0324163b1ae0e1e</x:v>
      </x:c>
    </x:row>
    <x:row r="932" ht="36" customHeight="1">
      <x:c r="A932" s="5" t="str">
        <x:v>R-0532</x:v>
      </x:c>
      <x:c r="B932" s="5" t="str">
        <x:v>WQ</x:v>
      </x:c>
      <x:c r="C932" s="5" t="str">
        <x:v>3</x:v>
      </x:c>
      <x:c r="D932" s="5" t="str">
        <x:v>Recht und Steuern</x:v>
      </x:c>
      <x:c r="E932" s="5" t="str">
        <x:v>Recht</x:v>
      </x:c>
      <x:c r="F932" s="5" t="str">
        <x:v>ui-wq-recht-arbeit</x:v>
      </x:c>
      <x:c r="G932" s="5" t="str">
        <x:v>Arbeitsrecht</x:v>
      </x:c>
      <x:c r="H932" s="5" t="str">
        <x:v>tr-wq-r18</x:v>
      </x:c>
      <x:c r="I932" s="5" t="str">
        <x:v>3.1.5.3</x:v>
      </x:c>
      <x:c r="J932" s="5" t="str">
        <x:v>Schutzregeln im Arbeitsverhältnis</x:v>
      </x:c>
      <x:c r="K932" s="5" t="str"/>
      <x:c r="L932" s="5" t="str">
        <x:v>Betriebsverfassungs-, Tarif- &amp; Arbeitsschutzrecht</x:v>
      </x:c>
      <x:c r="M932" s="5" t="n">
        <x:v>103</x:v>
      </x:c>
      <x:c r="N932" s="5" t="n">
        <x:v>10</x:v>
      </x:c>
      <x:c r="O932" s="5" t="str"/>
      <x:c r="P932" s="5" t="str">
        <x:v>Pilot freigegeben</x:v>
      </x:c>
      <x:c r="Q932" s="5" t="str">
        <x:v>Revision 2 unverändert übernommen</x:v>
      </x:c>
      <x:c r="R932" s="5" t="str">
        <x:v>Wer gilt nach dem Jugendarbeitsschutzgesetz als Kind und wer als Jugendlicher?</x:v>
      </x:c>
      <x:c r="S932" s="5" t="str">
        <x:v>431da793178a50adccac6bdcd2195539ede2ae25f6758f806354174c1768cbb1</x:v>
      </x:c>
    </x:row>
    <x:row r="933" ht="36" customHeight="1">
      <x:c r="A933" s="5" t="str">
        <x:v>R-0533</x:v>
      </x:c>
      <x:c r="B933" s="5" t="str">
        <x:v>WQ</x:v>
      </x:c>
      <x:c r="C933" s="5" t="str">
        <x:v>3</x:v>
      </x:c>
      <x:c r="D933" s="5" t="str">
        <x:v>Recht und Steuern</x:v>
      </x:c>
      <x:c r="E933" s="5" t="str">
        <x:v>Recht</x:v>
      </x:c>
      <x:c r="F933" s="5" t="str">
        <x:v>ui-wq-recht-arbeit</x:v>
      </x:c>
      <x:c r="G933" s="5" t="str">
        <x:v>Arbeitsrecht</x:v>
      </x:c>
      <x:c r="H933" s="5" t="str">
        <x:v>tr-wq-r18</x:v>
      </x:c>
      <x:c r="I933" s="5" t="str">
        <x:v>3.1.5.3</x:v>
      </x:c>
      <x:c r="J933" s="5" t="str">
        <x:v>Schutzregeln im Arbeitsverhältnis</x:v>
      </x:c>
      <x:c r="K933" s="5" t="str"/>
      <x:c r="L933" s="5" t="str">
        <x:v>Betriebsverfassungs-, Tarif- &amp; Arbeitsschutzrecht</x:v>
      </x:c>
      <x:c r="M933" s="5" t="n">
        <x:v>104</x:v>
      </x:c>
      <x:c r="N933" s="5" t="n">
        <x:v>11</x:v>
      </x:c>
      <x:c r="O933" s="5" t="str"/>
      <x:c r="P933" s="5" t="str">
        <x:v>Pilot freigegeben</x:v>
      </x:c>
      <x:c r="Q933" s="5" t="str">
        <x:v>Revision 2 unverändert übernommen</x:v>
      </x:c>
      <x:c r="R933" s="5" t="str">
        <x:v>Welche Höchstarbeitszeit und welche Wochenarbeitsregel gelten grundsätzlich für Jugendliche?</x:v>
      </x:c>
      <x:c r="S933" s="5" t="str">
        <x:v>da67e89afef492bf1b5a779345bcd45cee424b8c95e0f39e5a601e78d9d77cc7</x:v>
      </x:c>
    </x:row>
    <x:row r="934" ht="36" customHeight="1">
      <x:c r="A934" s="5" t="str">
        <x:v>R-0534</x:v>
      </x:c>
      <x:c r="B934" s="5" t="str">
        <x:v>WQ</x:v>
      </x:c>
      <x:c r="C934" s="5" t="str">
        <x:v>3</x:v>
      </x:c>
      <x:c r="D934" s="5" t="str">
        <x:v>Recht und Steuern</x:v>
      </x:c>
      <x:c r="E934" s="5" t="str">
        <x:v>Recht</x:v>
      </x:c>
      <x:c r="F934" s="5" t="str">
        <x:v>ui-wq-recht-arbeit</x:v>
      </x:c>
      <x:c r="G934" s="5" t="str">
        <x:v>Arbeitsrecht</x:v>
      </x:c>
      <x:c r="H934" s="5" t="str">
        <x:v>tr-wq-r18</x:v>
      </x:c>
      <x:c r="I934" s="5" t="str">
        <x:v>3.1.5.3</x:v>
      </x:c>
      <x:c r="J934" s="5" t="str">
        <x:v>Schutzregeln im Arbeitsverhältnis</x:v>
      </x:c>
      <x:c r="K934" s="5" t="str"/>
      <x:c r="L934" s="5" t="str">
        <x:v>Betriebsverfassungs-, Tarif- &amp; Arbeitsschutzrecht</x:v>
      </x:c>
      <x:c r="M934" s="5" t="n">
        <x:v>105</x:v>
      </x:c>
      <x:c r="N934" s="5" t="n">
        <x:v>12</x:v>
      </x:c>
      <x:c r="O934" s="5" t="str"/>
      <x:c r="P934" s="5" t="str">
        <x:v>Pilot freigegeben</x:v>
      </x:c>
      <x:c r="Q934" s="5" t="str">
        <x:v>Revision 2 unverändert übernommen</x:v>
      </x:c>
      <x:c r="R934" s="5" t="str">
        <x:v>Welche Ruhepausen und welche Freizeit zwischen zwei Arbeitstagen müssen Jugendliche erhalten?</x:v>
      </x:c>
      <x:c r="S934" s="5" t="str">
        <x:v>ad4f91208205ab862a80ec91bbce03df1703393b38c3c653752e37593128fb8a</x:v>
      </x:c>
    </x:row>
    <x:row r="935" ht="36" customHeight="1">
      <x:c r="A935" s="5" t="str">
        <x:v>R-0535</x:v>
      </x:c>
      <x:c r="B935" s="5" t="str">
        <x:v>WQ</x:v>
      </x:c>
      <x:c r="C935" s="5" t="str">
        <x:v>3</x:v>
      </x:c>
      <x:c r="D935" s="5" t="str">
        <x:v>Recht und Steuern</x:v>
      </x:c>
      <x:c r="E935" s="5" t="str">
        <x:v>Recht</x:v>
      </x:c>
      <x:c r="F935" s="5" t="str">
        <x:v>ui-wq-recht-arbeit</x:v>
      </x:c>
      <x:c r="G935" s="5" t="str">
        <x:v>Arbeitsrecht</x:v>
      </x:c>
      <x:c r="H935" s="5" t="str">
        <x:v>tr-wq-r18</x:v>
      </x:c>
      <x:c r="I935" s="5" t="str">
        <x:v>3.1.5.3</x:v>
      </x:c>
      <x:c r="J935" s="5" t="str">
        <x:v>Schutzregeln im Arbeitsverhältnis</x:v>
      </x:c>
      <x:c r="K935" s="5" t="str"/>
      <x:c r="L935" s="5" t="str">
        <x:v>Betriebsverfassungs-, Tarif- &amp; Arbeitsschutzrecht</x:v>
      </x:c>
      <x:c r="M935" s="5" t="n">
        <x:v>106</x:v>
      </x:c>
      <x:c r="N935" s="5" t="n">
        <x:v>13</x:v>
      </x:c>
      <x:c r="O935" s="5" t="str"/>
      <x:c r="P935" s="5" t="str">
        <x:v>Pilot freigegeben</x:v>
      </x:c>
      <x:c r="Q935" s="5" t="str">
        <x:v>Revision 2 unverändert übernommen</x:v>
      </x:c>
      <x:c r="R935" s="5" t="str">
        <x:v>Welche wichtigen Schutzregeln gelten für Jugendliche hinsichtlich Berufsschule, gefährlicher Arbeit und ärztlicher Untersuchung?</x:v>
      </x:c>
      <x:c r="S935" s="5" t="str">
        <x:v>6130259d368880cc921cab23a644377a469b573c2ff7c6a339d813244216803a</x:v>
      </x:c>
    </x:row>
    <x:row r="936" ht="36" customHeight="1">
      <x:c r="A936" s="5" t="str">
        <x:v>R-0536</x:v>
      </x:c>
      <x:c r="B936" s="5" t="str">
        <x:v>WQ</x:v>
      </x:c>
      <x:c r="C936" s="5" t="str">
        <x:v>3</x:v>
      </x:c>
      <x:c r="D936" s="5" t="str">
        <x:v>Recht und Steuern</x:v>
      </x:c>
      <x:c r="E936" s="5" t="str">
        <x:v>Recht</x:v>
      </x:c>
      <x:c r="F936" s="5" t="str">
        <x:v>ui-wq-recht-arbeit</x:v>
      </x:c>
      <x:c r="G936" s="5" t="str">
        <x:v>Arbeitsrecht</x:v>
      </x:c>
      <x:c r="H936" s="5" t="str">
        <x:v>tr-wq-r18</x:v>
      </x:c>
      <x:c r="I936" s="5" t="str">
        <x:v>3.1.5.3</x:v>
      </x:c>
      <x:c r="J936" s="5" t="str">
        <x:v>Schutzregeln im Arbeitsverhältnis</x:v>
      </x:c>
      <x:c r="K936" s="5" t="str"/>
      <x:c r="L936" s="5" t="str">
        <x:v>Betriebsverfassungs-, Tarif- &amp; Arbeitsschutzrecht</x:v>
      </x:c>
      <x:c r="M936" s="5" t="n">
        <x:v>107</x:v>
      </x:c>
      <x:c r="N936" s="5" t="n">
        <x:v>14</x:v>
      </x:c>
      <x:c r="O936" s="5" t="str"/>
      <x:c r="P936" s="5" t="str">
        <x:v>Pilot freigegeben</x:v>
      </x:c>
      <x:c r="Q936" s="5" t="str">
        <x:v>Revision 2 unverändert übernommen</x:v>
      </x:c>
      <x:c r="R936" s="5" t="str">
        <x:v>Welche mutterschutzrechtlichen Schutzfristen gelten vor und nach einer Entbindung beziehungsweise nach einer Fehlgeburt?</x:v>
      </x:c>
      <x:c r="S936" s="5" t="str">
        <x:v>cab0eb6f30edccb74174935ce57f51ff44e4069cdf0b6ffb9d06c9216c4c8a93</x:v>
      </x:c>
    </x:row>
    <x:row r="937" ht="36" customHeight="1">
      <x:c r="A937" s="5" t="str">
        <x:v>R-0537</x:v>
      </x:c>
      <x:c r="B937" s="5" t="str">
        <x:v>WQ</x:v>
      </x:c>
      <x:c r="C937" s="5" t="str">
        <x:v>3</x:v>
      </x:c>
      <x:c r="D937" s="5" t="str">
        <x:v>Recht und Steuern</x:v>
      </x:c>
      <x:c r="E937" s="5" t="str">
        <x:v>Recht</x:v>
      </x:c>
      <x:c r="F937" s="5" t="str">
        <x:v>ui-wq-recht-arbeit</x:v>
      </x:c>
      <x:c r="G937" s="5" t="str">
        <x:v>Arbeitsrecht</x:v>
      </x:c>
      <x:c r="H937" s="5" t="str">
        <x:v>tr-wq-r18</x:v>
      </x:c>
      <x:c r="I937" s="5" t="str">
        <x:v>3.1.5.3</x:v>
      </x:c>
      <x:c r="J937" s="5" t="str">
        <x:v>Schutzregeln im Arbeitsverhältnis</x:v>
      </x:c>
      <x:c r="K937" s="5" t="str"/>
      <x:c r="L937" s="5" t="str">
        <x:v>Betriebsverfassungs-, Tarif- &amp; Arbeitsschutzrecht</x:v>
      </x:c>
      <x:c r="M937" s="5" t="n">
        <x:v>108</x:v>
      </x:c>
      <x:c r="N937" s="5" t="n">
        <x:v>15</x:v>
      </x:c>
      <x:c r="O937" s="5" t="str"/>
      <x:c r="P937" s="5" t="str">
        <x:v>Pilot freigegeben</x:v>
      </x:c>
      <x:c r="Q937" s="5" t="str">
        <x:v>Revision 2 unverändert übernommen</x:v>
      </x:c>
      <x:c r="R937" s="5" t="str">
        <x:v>Wann ist ein Mensch schwerbehindert und wann kann eine Gleichstellung erfolgen?</x:v>
      </x:c>
      <x:c r="S937" s="5" t="str">
        <x:v>601d866f0b8ece312052f1b58de3609a63bbdd4f07cebe1058890eb65ca8c284</x:v>
      </x:c>
    </x:row>
    <x:row r="938" ht="36" customHeight="1">
      <x:c r="A938" s="5" t="str">
        <x:v>R-0538</x:v>
      </x:c>
      <x:c r="B938" s="5" t="str">
        <x:v>WQ</x:v>
      </x:c>
      <x:c r="C938" s="5" t="str">
        <x:v>3</x:v>
      </x:c>
      <x:c r="D938" s="5" t="str">
        <x:v>Recht und Steuern</x:v>
      </x:c>
      <x:c r="E938" s="5" t="str">
        <x:v>Recht</x:v>
      </x:c>
      <x:c r="F938" s="5" t="str">
        <x:v>ui-wq-recht-arbeit</x:v>
      </x:c>
      <x:c r="G938" s="5" t="str">
        <x:v>Arbeitsrecht</x:v>
      </x:c>
      <x:c r="H938" s="5" t="str">
        <x:v>tr-wq-r18</x:v>
      </x:c>
      <x:c r="I938" s="5" t="str">
        <x:v>3.1.5.3</x:v>
      </x:c>
      <x:c r="J938" s="5" t="str">
        <x:v>Schutzregeln im Arbeitsverhältnis</x:v>
      </x:c>
      <x:c r="K938" s="5" t="str"/>
      <x:c r="L938" s="5" t="str">
        <x:v>Betriebsverfassungs-, Tarif- &amp; Arbeitsschutzrecht</x:v>
      </x:c>
      <x:c r="M938" s="5" t="n">
        <x:v>109</x:v>
      </x:c>
      <x:c r="N938" s="5" t="n">
        <x:v>16</x:v>
      </x:c>
      <x:c r="O938" s="5" t="str"/>
      <x:c r="P938" s="5" t="str">
        <x:v>Pilot freigegeben</x:v>
      </x:c>
      <x:c r="Q938" s="5" t="str">
        <x:v>Revision 2 unverändert übernommen</x:v>
      </x:c>
      <x:c r="R938" s="5" t="str">
        <x:v>Welche Beschäftigungspflicht haben Arbeitgeber gegenüber schwerbehinderten Menschen?</x:v>
      </x:c>
      <x:c r="S938" s="5" t="str">
        <x:v>87335542d06d59bb81ad287e59af88dcb5905326ab69780ce992fa15c3c101a3</x:v>
      </x:c>
    </x:row>
    <x:row r="939" ht="36" customHeight="1">
      <x:c r="A939" s="5" t="str">
        <x:v>R-0539</x:v>
      </x:c>
      <x:c r="B939" s="5" t="str">
        <x:v>WQ</x:v>
      </x:c>
      <x:c r="C939" s="5" t="str">
        <x:v>3</x:v>
      </x:c>
      <x:c r="D939" s="5" t="str">
        <x:v>Recht und Steuern</x:v>
      </x:c>
      <x:c r="E939" s="5" t="str">
        <x:v>Recht</x:v>
      </x:c>
      <x:c r="F939" s="5" t="str">
        <x:v>ui-wq-recht-arbeit</x:v>
      </x:c>
      <x:c r="G939" s="5" t="str">
        <x:v>Arbeitsrecht</x:v>
      </x:c>
      <x:c r="H939" s="5" t="str">
        <x:v>tr-wq-r18</x:v>
      </x:c>
      <x:c r="I939" s="5" t="str">
        <x:v>3.1.5.3</x:v>
      </x:c>
      <x:c r="J939" s="5" t="str">
        <x:v>Schutzregeln im Arbeitsverhältnis</x:v>
      </x:c>
      <x:c r="K939" s="5" t="str"/>
      <x:c r="L939" s="5" t="str">
        <x:v>Betriebsverfassungs-, Tarif- &amp; Arbeitsschutzrecht</x:v>
      </x:c>
      <x:c r="M939" s="5" t="n">
        <x:v>110</x:v>
      </x:c>
      <x:c r="N939" s="5" t="n">
        <x:v>17</x:v>
      </x:c>
      <x:c r="O939" s="5" t="str"/>
      <x:c r="P939" s="5" t="str">
        <x:v>Pilot freigegeben</x:v>
      </x:c>
      <x:c r="Q939" s="5" t="str">
        <x:v>Revision 2 unverändert übernommen</x:v>
      </x:c>
      <x:c r="R939" s="5" t="str">
        <x:v>Welche werktägliche Höchstarbeitszeit gilt nach dem Arbeitszeitgesetz?</x:v>
      </x:c>
      <x:c r="S939" s="5" t="str">
        <x:v>dd25f1180a66b20ad6784d636189fbd555fd2c757edfa1148058aab90649daad</x:v>
      </x:c>
    </x:row>
    <x:row r="940" ht="36" customHeight="1">
      <x:c r="A940" s="5" t="str">
        <x:v>R-0540</x:v>
      </x:c>
      <x:c r="B940" s="5" t="str">
        <x:v>WQ</x:v>
      </x:c>
      <x:c r="C940" s="5" t="str">
        <x:v>3</x:v>
      </x:c>
      <x:c r="D940" s="5" t="str">
        <x:v>Recht und Steuern</x:v>
      </x:c>
      <x:c r="E940" s="5" t="str">
        <x:v>Recht</x:v>
      </x:c>
      <x:c r="F940" s="5" t="str">
        <x:v>ui-wq-recht-arbeit</x:v>
      </x:c>
      <x:c r="G940" s="5" t="str">
        <x:v>Arbeitsrecht</x:v>
      </x:c>
      <x:c r="H940" s="5" t="str">
        <x:v>tr-wq-r18</x:v>
      </x:c>
      <x:c r="I940" s="5" t="str">
        <x:v>3.1.5.3</x:v>
      </x:c>
      <x:c r="J940" s="5" t="str">
        <x:v>Schutzregeln im Arbeitsverhältnis</x:v>
      </x:c>
      <x:c r="K940" s="5" t="str"/>
      <x:c r="L940" s="5" t="str">
        <x:v>Betriebsverfassungs-, Tarif- &amp; Arbeitsschutzrecht</x:v>
      </x:c>
      <x:c r="M940" s="5" t="n">
        <x:v>111</x:v>
      </x:c>
      <x:c r="N940" s="5" t="n">
        <x:v>18</x:v>
      </x:c>
      <x:c r="O940" s="5" t="str"/>
      <x:c r="P940" s="5" t="str">
        <x:v>Pilot freigegeben</x:v>
      </x:c>
      <x:c r="Q940" s="5" t="str">
        <x:v>Revision 2 unverändert übernommen</x:v>
      </x:c>
      <x:c r="R940" s="5" t="str">
        <x:v>Welche Ruhepausen und Ruhezeiten schreibt das Arbeitszeitgesetz vor?</x:v>
      </x:c>
      <x:c r="S940" s="5" t="str">
        <x:v>07e5d7c359e8cc942b3aed468d17828ed7c8f92760d7babd7857c1a14740218d</x:v>
      </x:c>
    </x:row>
    <x:row r="941" ht="36" customHeight="1">
      <x:c r="A941" s="5" t="str">
        <x:v>R-0541</x:v>
      </x:c>
      <x:c r="B941" s="5" t="str">
        <x:v>WQ</x:v>
      </x:c>
      <x:c r="C941" s="5" t="str">
        <x:v>3</x:v>
      </x:c>
      <x:c r="D941" s="5" t="str">
        <x:v>Recht und Steuern</x:v>
      </x:c>
      <x:c r="E941" s="5" t="str">
        <x:v>Recht</x:v>
      </x:c>
      <x:c r="F941" s="5" t="str">
        <x:v>ui-wq-recht-arbeit</x:v>
      </x:c>
      <x:c r="G941" s="5" t="str">
        <x:v>Arbeitsrecht</x:v>
      </x:c>
      <x:c r="H941" s="5" t="str">
        <x:v>tr-wq-r18</x:v>
      </x:c>
      <x:c r="I941" s="5" t="str">
        <x:v>3.1.5.3</x:v>
      </x:c>
      <x:c r="J941" s="5" t="str">
        <x:v>Schutzregeln im Arbeitsverhältnis</x:v>
      </x:c>
      <x:c r="K941" s="5" t="str"/>
      <x:c r="L941" s="5" t="str">
        <x:v>Betriebsverfassungs-, Tarif- &amp; Arbeitsschutzrecht</x:v>
      </x:c>
      <x:c r="M941" s="5" t="n">
        <x:v>112</x:v>
      </x:c>
      <x:c r="N941" s="5" t="n">
        <x:v>19</x:v>
      </x:c>
      <x:c r="O941" s="5" t="str"/>
      <x:c r="P941" s="5" t="str">
        <x:v>Pilot freigegeben</x:v>
      </x:c>
      <x:c r="Q941" s="5" t="str">
        <x:v>Revision 2 unverändert übernommen</x:v>
      </x:c>
      <x:c r="R941" s="5" t="str">
        <x:v>Welche Grundregeln gelten für Sonn- und Feiertagsarbeit sowie für Nachtarbeit?</x:v>
      </x:c>
      <x:c r="S941" s="5" t="str">
        <x:v>cc55d27a2b3264c3a563b61ef568fe8d0906a002b84b7afb13ba7d013c1104e1</x:v>
      </x:c>
    </x:row>
    <x:row r="942" ht="36" customHeight="1">
      <x:c r="A942" s="5" t="str">
        <x:v>R-0542</x:v>
      </x:c>
      <x:c r="B942" s="5" t="str">
        <x:v>WQ</x:v>
      </x:c>
      <x:c r="C942" s="5" t="str">
        <x:v>3</x:v>
      </x:c>
      <x:c r="D942" s="5" t="str">
        <x:v>Recht und Steuern</x:v>
      </x:c>
      <x:c r="E942" s="5" t="str">
        <x:v>Recht</x:v>
      </x:c>
      <x:c r="F942" s="5" t="str">
        <x:v>ui-wq-recht-arbeit</x:v>
      </x:c>
      <x:c r="G942" s="5" t="str">
        <x:v>Arbeitsrecht</x:v>
      </x:c>
      <x:c r="H942" s="5" t="str">
        <x:v>tr-wq-r18</x:v>
      </x:c>
      <x:c r="I942" s="5" t="str">
        <x:v>3.1.5.3</x:v>
      </x:c>
      <x:c r="J942" s="5" t="str">
        <x:v>Schutzregeln im Arbeitsverhältnis</x:v>
      </x:c>
      <x:c r="K942" s="5" t="str"/>
      <x:c r="L942" s="5" t="str">
        <x:v>Betriebsverfassungs-, Tarif- &amp; Arbeitsschutzrecht</x:v>
      </x:c>
      <x:c r="M942" s="5" t="n">
        <x:v>113</x:v>
      </x:c>
      <x:c r="N942" s="5" t="n">
        <x:v>20</x:v>
      </x:c>
      <x:c r="O942" s="5" t="str"/>
      <x:c r="P942" s="5" t="str">
        <x:v>Pilot freigegeben</x:v>
      </x:c>
      <x:c r="Q942" s="5" t="str">
        <x:v>Revision 2 unverändert übernommen</x:v>
      </x:c>
      <x:c r="R942" s="5" t="str">
        <x:v>Wann darf Urlaub auf das Folgejahr übertragen werden und wann kann er verfallen?</x:v>
      </x:c>
      <x:c r="S942" s="5" t="str">
        <x:v>2ff57e1bf7feb88d470842e60f3b48214437fa4138c242cdbc41fc3a9627741e</x:v>
      </x:c>
    </x:row>
    <x:row r="943" ht="36" customHeight="1">
      <x:c r="A943" s="5" t="str">
        <x:v>R-0543</x:v>
      </x:c>
      <x:c r="B943" s="5" t="str">
        <x:v>WQ</x:v>
      </x:c>
      <x:c r="C943" s="5" t="str">
        <x:v>3</x:v>
      </x:c>
      <x:c r="D943" s="5" t="str">
        <x:v>Recht und Steuern</x:v>
      </x:c>
      <x:c r="E943" s="5" t="str">
        <x:v>Recht</x:v>
      </x:c>
      <x:c r="F943" s="5" t="str">
        <x:v>ui-wq-recht-arbeit</x:v>
      </x:c>
      <x:c r="G943" s="5" t="str">
        <x:v>Arbeitsrecht</x:v>
      </x:c>
      <x:c r="H943" s="5" t="str">
        <x:v>tr-wq-r18</x:v>
      </x:c>
      <x:c r="I943" s="5" t="str">
        <x:v>3.1.5.3</x:v>
      </x:c>
      <x:c r="J943" s="5" t="str">
        <x:v>Schutzregeln im Arbeitsverhältnis</x:v>
      </x:c>
      <x:c r="K943" s="5" t="str"/>
      <x:c r="L943" s="5" t="str">
        <x:v>Betriebsverfassungs-, Tarif- &amp; Arbeitsschutzrecht</x:v>
      </x:c>
      <x:c r="M943" s="5" t="n">
        <x:v>114</x:v>
      </x:c>
      <x:c r="N943" s="5" t="n">
        <x:v>21</x:v>
      </x:c>
      <x:c r="O943" s="5" t="str"/>
      <x:c r="P943" s="5" t="str">
        <x:v>Pilot freigegeben</x:v>
      </x:c>
      <x:c r="Q943" s="5" t="str">
        <x:v>Revision 2 unverändert übernommen</x:v>
      </x:c>
      <x:c r="R943" s="5" t="str">
        <x:v>Wie wird das Urlaubsentgelt nach § 11 BUrlG grundsätzlich berechnet?</x:v>
      </x:c>
      <x:c r="S943" s="5" t="str">
        <x:v>b8d55e02292de40aea1f77e29081bba46e64a13258ad218b634739ad581cbd94</x:v>
      </x:c>
    </x:row>
    <x:row r="944" ht="36" customHeight="1">
      <x:c r="A944" s="5" t="str">
        <x:v>R-0544</x:v>
      </x:c>
      <x:c r="B944" s="5" t="str">
        <x:v>WQ</x:v>
      </x:c>
      <x:c r="C944" s="5" t="str">
        <x:v>3</x:v>
      </x:c>
      <x:c r="D944" s="5" t="str">
        <x:v>Recht und Steuern</x:v>
      </x:c>
      <x:c r="E944" s="5" t="str">
        <x:v>Recht</x:v>
      </x:c>
      <x:c r="F944" s="5" t="str">
        <x:v>ui-wq-recht-arbeit</x:v>
      </x:c>
      <x:c r="G944" s="5" t="str">
        <x:v>Arbeitsrecht</x:v>
      </x:c>
      <x:c r="H944" s="5" t="str">
        <x:v>tr-wq-r18</x:v>
      </x:c>
      <x:c r="I944" s="5" t="str">
        <x:v>3.1.5.3</x:v>
      </x:c>
      <x:c r="J944" s="5" t="str">
        <x:v>Schutzregeln im Arbeitsverhältnis</x:v>
      </x:c>
      <x:c r="K944" s="5" t="str"/>
      <x:c r="L944" s="5" t="str">
        <x:v>Betriebsverfassungs-, Tarif- &amp; Arbeitsschutzrecht</x:v>
      </x:c>
      <x:c r="M944" s="5" t="n">
        <x:v>115</x:v>
      </x:c>
      <x:c r="N944" s="5" t="n">
        <x:v>22</x:v>
      </x:c>
      <x:c r="O944" s="5" t="str"/>
      <x:c r="P944" s="5" t="str">
        <x:v>Pilot freigegeben</x:v>
      </x:c>
      <x:c r="Q944" s="5" t="str">
        <x:v>Revision 2 unverändert übernommen</x:v>
      </x:c>
      <x:c r="R944" s="5" t="str">
        <x:v>Wann ist nicht genommener Urlaub abzugelten?</x:v>
      </x:c>
      <x:c r="S944" s="5" t="str">
        <x:v>682aa9d422c1f07240ee440c327871b74b96745318ba8bf789b92fbed20b922d</x:v>
      </x:c>
    </x:row>
    <x:row r="945" ht="36" customHeight="1">
      <x:c r="A945" s="5" t="str">
        <x:v>R-0545</x:v>
      </x:c>
      <x:c r="B945" s="5" t="str">
        <x:v>WQ</x:v>
      </x:c>
      <x:c r="C945" s="5" t="str">
        <x:v>3</x:v>
      </x:c>
      <x:c r="D945" s="5" t="str">
        <x:v>Recht und Steuern</x:v>
      </x:c>
      <x:c r="E945" s="5" t="str">
        <x:v>Recht</x:v>
      </x:c>
      <x:c r="F945" s="5" t="str">
        <x:v>ui-wq-recht-wettbewerb</x:v>
      </x:c>
      <x:c r="G945" s="5" t="str">
        <x:v>Wettbewerbsrecht</x:v>
      </x:c>
      <x:c r="H945" s="5" t="str">
        <x:v>tr-wq-r20</x:v>
      </x:c>
      <x:c r="I945" s="5" t="str">
        <x:v>3.1.6</x:v>
      </x:c>
      <x:c r="J945" s="5" t="str">
        <x:v>Wettbewerbsrecht</x:v>
      </x:c>
      <x:c r="K945" s="5" t="str"/>
      <x:c r="L945" s="5" t="str">
        <x:v>Wettbewerbsrecht</x:v>
      </x:c>
      <x:c r="M945" s="5" t="n">
        <x:v>7</x:v>
      </x:c>
      <x:c r="N945" s="5" t="n">
        <x:v>7</x:v>
      </x:c>
      <x:c r="O945" s="5" t="str"/>
      <x:c r="P945" s="5" t="str">
        <x:v>Pilot freigegeben</x:v>
      </x:c>
      <x:c r="Q945" s="5" t="str">
        <x:v>Revision 2 unverändert übernommen</x:v>
      </x:c>
      <x:c r="R945" s="5" t="str">
        <x:v>Was ist eine geschäftliche Handlung im Sinne des UWG?</x:v>
      </x:c>
      <x:c r="S945" s="5" t="str">
        <x:v>05f0202f84ca438e281f5f6c551bbb7d9ac2e90ac93c3fb4f28e14a393940525</x:v>
      </x:c>
    </x:row>
    <x:row r="946" ht="36" customHeight="1">
      <x:c r="A946" s="5" t="str">
        <x:v>R-0546</x:v>
      </x:c>
      <x:c r="B946" s="5" t="str">
        <x:v>WQ</x:v>
      </x:c>
      <x:c r="C946" s="5" t="str">
        <x:v>3</x:v>
      </x:c>
      <x:c r="D946" s="5" t="str">
        <x:v>Recht und Steuern</x:v>
      </x:c>
      <x:c r="E946" s="5" t="str">
        <x:v>Recht</x:v>
      </x:c>
      <x:c r="F946" s="5" t="str">
        <x:v>ui-wq-recht-wettbewerb</x:v>
      </x:c>
      <x:c r="G946" s="5" t="str">
        <x:v>Wettbewerbsrecht</x:v>
      </x:c>
      <x:c r="H946" s="5" t="str">
        <x:v>tr-wq-r20</x:v>
      </x:c>
      <x:c r="I946" s="5" t="str">
        <x:v>3.1.6</x:v>
      </x:c>
      <x:c r="J946" s="5" t="str">
        <x:v>Wettbewerbsrecht</x:v>
      </x:c>
      <x:c r="K946" s="5" t="str"/>
      <x:c r="L946" s="5" t="str">
        <x:v>Wettbewerbsrecht</x:v>
      </x:c>
      <x:c r="M946" s="5" t="n">
        <x:v>8</x:v>
      </x:c>
      <x:c r="N946" s="5" t="n">
        <x:v>8</x:v>
      </x:c>
      <x:c r="O946" s="5" t="str"/>
      <x:c r="P946" s="5" t="str">
        <x:v>Pilot freigegeben</x:v>
      </x:c>
      <x:c r="Q946" s="5" t="str">
        <x:v>Revision 2 unverändert übernommen</x:v>
      </x:c>
      <x:c r="R946" s="5" t="str">
        <x:v>Was ist die sogenannte Schwarze Liste des UWG und nennen Sie drei Beispiele.</x:v>
      </x:c>
      <x:c r="S946" s="5" t="str">
        <x:v>767016da5c8e46a5e5e18ecfc4fea95f05098d23e02af83831f688f331a0974b</x:v>
      </x:c>
    </x:row>
    <x:row r="947" ht="36" customHeight="1">
      <x:c r="A947" s="5" t="str">
        <x:v>R-0547</x:v>
      </x:c>
      <x:c r="B947" s="5" t="str">
        <x:v>WQ</x:v>
      </x:c>
      <x:c r="C947" s="5" t="str">
        <x:v>3</x:v>
      </x:c>
      <x:c r="D947" s="5" t="str">
        <x:v>Recht und Steuern</x:v>
      </x:c>
      <x:c r="E947" s="5" t="str">
        <x:v>Recht</x:v>
      </x:c>
      <x:c r="F947" s="5" t="str">
        <x:v>ui-wq-recht-wettbewerb</x:v>
      </x:c>
      <x:c r="G947" s="5" t="str">
        <x:v>Wettbewerbsrecht</x:v>
      </x:c>
      <x:c r="H947" s="5" t="str">
        <x:v>tr-wq-r20</x:v>
      </x:c>
      <x:c r="I947" s="5" t="str">
        <x:v>3.1.6</x:v>
      </x:c>
      <x:c r="J947" s="5" t="str">
        <x:v>Wettbewerbsrecht</x:v>
      </x:c>
      <x:c r="K947" s="5" t="str"/>
      <x:c r="L947" s="5" t="str">
        <x:v>Wettbewerbsrecht</x:v>
      </x:c>
      <x:c r="M947" s="5" t="n">
        <x:v>9</x:v>
      </x:c>
      <x:c r="N947" s="5" t="n">
        <x:v>9</x:v>
      </x:c>
      <x:c r="O947" s="5" t="str"/>
      <x:c r="P947" s="5" t="str">
        <x:v>Pilot freigegeben</x:v>
      </x:c>
      <x:c r="Q947" s="5" t="str">
        <x:v>Revision 2 unverändert übernommen</x:v>
      </x:c>
      <x:c r="R947" s="5" t="str">
        <x:v>Wann ist ein Rechtsbruch nach § 3a UWG zugleich wettbewerbswidrig?</x:v>
      </x:c>
      <x:c r="S947" s="5" t="str">
        <x:v>0f073d75ff03bfd2bfa79cd27ddaf9bcebec650e2c402f5324603c7a47a08ae5</x:v>
      </x:c>
    </x:row>
    <x:row r="948" ht="36" customHeight="1">
      <x:c r="A948" s="5" t="str">
        <x:v>R-0548</x:v>
      </x:c>
      <x:c r="B948" s="5" t="str">
        <x:v>WQ</x:v>
      </x:c>
      <x:c r="C948" s="5" t="str">
        <x:v>3</x:v>
      </x:c>
      <x:c r="D948" s="5" t="str">
        <x:v>Recht und Steuern</x:v>
      </x:c>
      <x:c r="E948" s="5" t="str">
        <x:v>Recht</x:v>
      </x:c>
      <x:c r="F948" s="5" t="str">
        <x:v>ui-wq-recht-wettbewerb</x:v>
      </x:c>
      <x:c r="G948" s="5" t="str">
        <x:v>Wettbewerbsrecht</x:v>
      </x:c>
      <x:c r="H948" s="5" t="str">
        <x:v>tr-wq-r20</x:v>
      </x:c>
      <x:c r="I948" s="5" t="str">
        <x:v>3.1.6</x:v>
      </x:c>
      <x:c r="J948" s="5" t="str">
        <x:v>Wettbewerbsrecht</x:v>
      </x:c>
      <x:c r="K948" s="5" t="str"/>
      <x:c r="L948" s="5" t="str">
        <x:v>Wettbewerbsrecht</x:v>
      </x:c>
      <x:c r="M948" s="5" t="n">
        <x:v>10</x:v>
      </x:c>
      <x:c r="N948" s="5" t="n">
        <x:v>10</x:v>
      </x:c>
      <x:c r="O948" s="5" t="str"/>
      <x:c r="P948" s="5" t="str">
        <x:v>Pilot freigegeben</x:v>
      </x:c>
      <x:c r="Q948" s="5" t="str">
        <x:v>Revision 2 unverändert übernommen</x:v>
      </x:c>
      <x:c r="R948" s="5" t="str">
        <x:v>Welche unlauteren Handlungen zum Nachteil von Mitbewerbern nennt § 4 UWG?</x:v>
      </x:c>
      <x:c r="S948" s="5" t="str">
        <x:v>759eeed8155b6df232d7e3e0d4d216d5a1253603f3cfb398b0c0699703e64a4d</x:v>
      </x:c>
    </x:row>
    <x:row r="949" ht="36" customHeight="1">
      <x:c r="A949" s="5" t="str">
        <x:v>R-0549</x:v>
      </x:c>
      <x:c r="B949" s="5" t="str">
        <x:v>WQ</x:v>
      </x:c>
      <x:c r="C949" s="5" t="str">
        <x:v>3</x:v>
      </x:c>
      <x:c r="D949" s="5" t="str">
        <x:v>Recht und Steuern</x:v>
      </x:c>
      <x:c r="E949" s="5" t="str">
        <x:v>Recht</x:v>
      </x:c>
      <x:c r="F949" s="5" t="str">
        <x:v>ui-wq-recht-wettbewerb</x:v>
      </x:c>
      <x:c r="G949" s="5" t="str">
        <x:v>Wettbewerbsrecht</x:v>
      </x:c>
      <x:c r="H949" s="5" t="str">
        <x:v>tr-wq-r20</x:v>
      </x:c>
      <x:c r="I949" s="5" t="str">
        <x:v>3.1.6</x:v>
      </x:c>
      <x:c r="J949" s="5" t="str">
        <x:v>Wettbewerbsrecht</x:v>
      </x:c>
      <x:c r="K949" s="5" t="str"/>
      <x:c r="L949" s="5" t="str">
        <x:v>Wettbewerbsrecht</x:v>
      </x:c>
      <x:c r="M949" s="5" t="n">
        <x:v>11</x:v>
      </x:c>
      <x:c r="N949" s="5" t="n">
        <x:v>11</x:v>
      </x:c>
      <x:c r="O949" s="5" t="str"/>
      <x:c r="P949" s="5" t="str">
        <x:v>Pilot freigegeben</x:v>
      </x:c>
      <x:c r="Q949" s="5" t="str">
        <x:v>Revision 2 unverändert übernommen</x:v>
      </x:c>
      <x:c r="R949" s="5" t="str">
        <x:v>Wann ist eine geschäftliche Handlung nach § 4a UWG aggressiv?</x:v>
      </x:c>
      <x:c r="S949" s="5" t="str">
        <x:v>361fdcf3dc3f1c7390e3b198f9e3ec85a971e2f850bdd35b7ab268f92df949a8</x:v>
      </x:c>
    </x:row>
    <x:row r="950" ht="36" customHeight="1">
      <x:c r="A950" s="5" t="str">
        <x:v>R-0550</x:v>
      </x:c>
      <x:c r="B950" s="5" t="str">
        <x:v>WQ</x:v>
      </x:c>
      <x:c r="C950" s="5" t="str">
        <x:v>3</x:v>
      </x:c>
      <x:c r="D950" s="5" t="str">
        <x:v>Recht und Steuern</x:v>
      </x:c>
      <x:c r="E950" s="5" t="str">
        <x:v>Recht</x:v>
      </x:c>
      <x:c r="F950" s="5" t="str">
        <x:v>ui-wq-recht-wettbewerb</x:v>
      </x:c>
      <x:c r="G950" s="5" t="str">
        <x:v>Wettbewerbsrecht</x:v>
      </x:c>
      <x:c r="H950" s="5" t="str">
        <x:v>tr-wq-r20</x:v>
      </x:c>
      <x:c r="I950" s="5" t="str">
        <x:v>3.1.6</x:v>
      </x:c>
      <x:c r="J950" s="5" t="str">
        <x:v>Wettbewerbsrecht</x:v>
      </x:c>
      <x:c r="K950" s="5" t="str"/>
      <x:c r="L950" s="5" t="str">
        <x:v>Wettbewerbsrecht</x:v>
      </x:c>
      <x:c r="M950" s="5" t="n">
        <x:v>12</x:v>
      </x:c>
      <x:c r="N950" s="5" t="n">
        <x:v>12</x:v>
      </x:c>
      <x:c r="O950" s="5" t="str"/>
      <x:c r="P950" s="5" t="str">
        <x:v>Pilot freigegeben</x:v>
      </x:c>
      <x:c r="Q950" s="5" t="str">
        <x:v>Revision 2 unverändert übernommen</x:v>
      </x:c>
      <x:c r="R950" s="5" t="str">
        <x:v>Wie unterscheiden sich irreführende geschäftliche Handlung und irreführende Unterlassung?</x:v>
      </x:c>
      <x:c r="S950" s="5" t="str">
        <x:v>9cbc54dfab415a0f0804837f6e15ec9f62ef301b4c71e0d967a7ed25404d2544</x:v>
      </x:c>
    </x:row>
    <x:row r="951" ht="36" customHeight="1">
      <x:c r="A951" s="5" t="str">
        <x:v>R-0551</x:v>
      </x:c>
      <x:c r="B951" s="5" t="str">
        <x:v>WQ</x:v>
      </x:c>
      <x:c r="C951" s="5" t="str">
        <x:v>3</x:v>
      </x:c>
      <x:c r="D951" s="5" t="str">
        <x:v>Recht und Steuern</x:v>
      </x:c>
      <x:c r="E951" s="5" t="str">
        <x:v>Recht</x:v>
      </x:c>
      <x:c r="F951" s="5" t="str">
        <x:v>ui-wq-recht-wettbewerb</x:v>
      </x:c>
      <x:c r="G951" s="5" t="str">
        <x:v>Wettbewerbsrecht</x:v>
      </x:c>
      <x:c r="H951" s="5" t="str">
        <x:v>tr-wq-r20</x:v>
      </x:c>
      <x:c r="I951" s="5" t="str">
        <x:v>3.1.6</x:v>
      </x:c>
      <x:c r="J951" s="5" t="str">
        <x:v>Wettbewerbsrecht</x:v>
      </x:c>
      <x:c r="K951" s="5" t="str"/>
      <x:c r="L951" s="5" t="str">
        <x:v>Wettbewerbsrecht</x:v>
      </x:c>
      <x:c r="M951" s="5" t="n">
        <x:v>13</x:v>
      </x:c>
      <x:c r="N951" s="5" t="n">
        <x:v>13</x:v>
      </x:c>
      <x:c r="O951" s="5" t="str"/>
      <x:c r="P951" s="5" t="str">
        <x:v>Pilot freigegeben</x:v>
      </x:c>
      <x:c r="Q951" s="5" t="str">
        <x:v>Revision 2 unverändert übernommen</x:v>
      </x:c>
      <x:c r="R951" s="5" t="str">
        <x:v>Unter welchen Voraussetzungen ist vergleichende Werbung zulässig?</x:v>
      </x:c>
      <x:c r="S951" s="5" t="str">
        <x:v>88c45337deb3570c7ec05c800ae5812c206fd64053b31a973a8ba41bf833bd72</x:v>
      </x:c>
    </x:row>
    <x:row r="952" ht="36" customHeight="1">
      <x:c r="A952" s="5" t="str">
        <x:v>R-0552</x:v>
      </x:c>
      <x:c r="B952" s="5" t="str">
        <x:v>WQ</x:v>
      </x:c>
      <x:c r="C952" s="5" t="str">
        <x:v>3</x:v>
      </x:c>
      <x:c r="D952" s="5" t="str">
        <x:v>Recht und Steuern</x:v>
      </x:c>
      <x:c r="E952" s="5" t="str">
        <x:v>Recht</x:v>
      </x:c>
      <x:c r="F952" s="5" t="str">
        <x:v>ui-wq-recht-wettbewerb</x:v>
      </x:c>
      <x:c r="G952" s="5" t="str">
        <x:v>Wettbewerbsrecht</x:v>
      </x:c>
      <x:c r="H952" s="5" t="str">
        <x:v>tr-wq-r20</x:v>
      </x:c>
      <x:c r="I952" s="5" t="str">
        <x:v>3.1.6</x:v>
      </x:c>
      <x:c r="J952" s="5" t="str">
        <x:v>Wettbewerbsrecht</x:v>
      </x:c>
      <x:c r="K952" s="5" t="str"/>
      <x:c r="L952" s="5" t="str">
        <x:v>Wettbewerbsrecht</x:v>
      </x:c>
      <x:c r="M952" s="5" t="n">
        <x:v>14</x:v>
      </x:c>
      <x:c r="N952" s="5" t="n">
        <x:v>14</x:v>
      </x:c>
      <x:c r="O952" s="5" t="str"/>
      <x:c r="P952" s="5" t="str">
        <x:v>Pilot freigegeben</x:v>
      </x:c>
      <x:c r="Q952" s="5" t="str">
        <x:v>Revision 2 unverändert übernommen</x:v>
      </x:c>
      <x:c r="R952" s="5" t="str">
        <x:v>Wann ist Werbung nach § 7 UWG eine unzumutbare Belästigung?</x:v>
      </x:c>
      <x:c r="S952" s="5" t="str">
        <x:v>6fbff4f7a5eb518c88d216650526f38d7bb46391c14837d208dd0d3db6631a7c</x:v>
      </x:c>
    </x:row>
    <x:row r="953" ht="36" customHeight="1">
      <x:c r="A953" s="5" t="str">
        <x:v>R-0553</x:v>
      </x:c>
      <x:c r="B953" s="5" t="str">
        <x:v>WQ</x:v>
      </x:c>
      <x:c r="C953" s="5" t="str">
        <x:v>3</x:v>
      </x:c>
      <x:c r="D953" s="5" t="str">
        <x:v>Recht und Steuern</x:v>
      </x:c>
      <x:c r="E953" s="5" t="str">
        <x:v>Recht</x:v>
      </x:c>
      <x:c r="F953" s="5" t="str">
        <x:v>ui-wq-recht-wettbewerb</x:v>
      </x:c>
      <x:c r="G953" s="5" t="str">
        <x:v>Wettbewerbsrecht</x:v>
      </x:c>
      <x:c r="H953" s="5" t="str">
        <x:v>tr-wq-r20</x:v>
      </x:c>
      <x:c r="I953" s="5" t="str">
        <x:v>3.1.6</x:v>
      </x:c>
      <x:c r="J953" s="5" t="str">
        <x:v>Wettbewerbsrecht</x:v>
      </x:c>
      <x:c r="K953" s="5" t="str"/>
      <x:c r="L953" s="5" t="str">
        <x:v>Wettbewerbsrecht</x:v>
      </x:c>
      <x:c r="M953" s="5" t="n">
        <x:v>15</x:v>
      </x:c>
      <x:c r="N953" s="5" t="n">
        <x:v>15</x:v>
      </x:c>
      <x:c r="O953" s="5" t="str"/>
      <x:c r="P953" s="5" t="str">
        <x:v>Pilot freigegeben</x:v>
      </x:c>
      <x:c r="Q953" s="5" t="str">
        <x:v>Revision 2 unverändert übernommen</x:v>
      </x:c>
      <x:c r="R953" s="5" t="str">
        <x:v>Was verbietet § 1 GWB und wann kann eine wettbewerbsbeschränkende Vereinbarung freigestellt sein?</x:v>
      </x:c>
      <x:c r="S953" s="5" t="str">
        <x:v>38e60f95d2e3da09ac6c8763edfa61263730beed1e441f25d24a216c64559085</x:v>
      </x:c>
    </x:row>
    <x:row r="954" ht="36" customHeight="1">
      <x:c r="A954" s="5" t="str">
        <x:v>R-0554</x:v>
      </x:c>
      <x:c r="B954" s="5" t="str">
        <x:v>WQ</x:v>
      </x:c>
      <x:c r="C954" s="5" t="str">
        <x:v>3</x:v>
      </x:c>
      <x:c r="D954" s="5" t="str">
        <x:v>Recht und Steuern</x:v>
      </x:c>
      <x:c r="E954" s="5" t="str">
        <x:v>Recht</x:v>
      </x:c>
      <x:c r="F954" s="5" t="str">
        <x:v>ui-wq-recht-wettbewerb</x:v>
      </x:c>
      <x:c r="G954" s="5" t="str">
        <x:v>Wettbewerbsrecht</x:v>
      </x:c>
      <x:c r="H954" s="5" t="str">
        <x:v>tr-wq-r20</x:v>
      </x:c>
      <x:c r="I954" s="5" t="str">
        <x:v>3.1.6</x:v>
      </x:c>
      <x:c r="J954" s="5" t="str">
        <x:v>Wettbewerbsrecht</x:v>
      </x:c>
      <x:c r="K954" s="5" t="str"/>
      <x:c r="L954" s="5" t="str">
        <x:v>Wettbewerbsrecht</x:v>
      </x:c>
      <x:c r="M954" s="5" t="n">
        <x:v>16</x:v>
      </x:c>
      <x:c r="N954" s="5" t="n">
        <x:v>16</x:v>
      </x:c>
      <x:c r="O954" s="5" t="str"/>
      <x:c r="P954" s="5" t="str">
        <x:v>Pilot freigegeben</x:v>
      </x:c>
      <x:c r="Q954" s="5" t="str">
        <x:v>Revision 2 unverändert übernommen</x:v>
      </x:c>
      <x:c r="R954" s="5" t="str">
        <x:v>Was ist der Missbrauch einer marktbeherrschenden Stellung?</x:v>
      </x:c>
      <x:c r="S954" s="5" t="str">
        <x:v>25f9944050bc7e25a0ce5002419f1523b3fffa1d9d479abbf2048b49cac1eb18</x:v>
      </x:c>
    </x:row>
    <x:row r="955" ht="36" customHeight="1">
      <x:c r="A955" s="5" t="str">
        <x:v>R-0555</x:v>
      </x:c>
      <x:c r="B955" s="5" t="str">
        <x:v>WQ</x:v>
      </x:c>
      <x:c r="C955" s="5" t="str">
        <x:v>3</x:v>
      </x:c>
      <x:c r="D955" s="5" t="str">
        <x:v>Recht und Steuern</x:v>
      </x:c>
      <x:c r="E955" s="5" t="str">
        <x:v>Recht</x:v>
      </x:c>
      <x:c r="F955" s="5" t="str">
        <x:v>ui-wq-recht-wettbewerb</x:v>
      </x:c>
      <x:c r="G955" s="5" t="str">
        <x:v>Wettbewerbsrecht</x:v>
      </x:c>
      <x:c r="H955" s="5" t="str">
        <x:v>tr-wq-r20</x:v>
      </x:c>
      <x:c r="I955" s="5" t="str">
        <x:v>3.1.6</x:v>
      </x:c>
      <x:c r="J955" s="5" t="str">
        <x:v>Wettbewerbsrecht</x:v>
      </x:c>
      <x:c r="K955" s="5" t="str"/>
      <x:c r="L955" s="5" t="str">
        <x:v>Wettbewerbsrecht</x:v>
      </x:c>
      <x:c r="M955" s="5" t="n">
        <x:v>17</x:v>
      </x:c>
      <x:c r="N955" s="5" t="n">
        <x:v>17</x:v>
      </x:c>
      <x:c r="O955" s="5" t="str"/>
      <x:c r="P955" s="5" t="str">
        <x:v>Pilot freigegeben</x:v>
      </x:c>
      <x:c r="Q955" s="5" t="str">
        <x:v>Revision 2 unverändert übernommen</x:v>
      </x:c>
      <x:c r="R955" s="5" t="str">
        <x:v>Welchen Zweck hat die Zusammenschlusskontrolle nach dem GWB?</x:v>
      </x:c>
      <x:c r="S955" s="5" t="str">
        <x:v>2a8f39f9d2b77f5c82e2724e38c2d20aee42e362494e130afca605b37ddb4bc4</x:v>
      </x:c>
    </x:row>
    <x:row r="956" ht="36" customHeight="1">
      <x:c r="A956" s="5" t="str">
        <x:v>R-0556</x:v>
      </x:c>
      <x:c r="B956" s="5" t="str">
        <x:v>WQ</x:v>
      </x:c>
      <x:c r="C956" s="5" t="str">
        <x:v>3</x:v>
      </x:c>
      <x:c r="D956" s="5" t="str">
        <x:v>Recht und Steuern</x:v>
      </x:c>
      <x:c r="E956" s="5" t="str">
        <x:v>Recht</x:v>
      </x:c>
      <x:c r="F956" s="5" t="str">
        <x:v>ui-wq-recht-gewerbe</x:v>
      </x:c>
      <x:c r="G956" s="5" t="str">
        <x:v>Gewerberecht</x:v>
      </x:c>
      <x:c r="H956" s="5" t="str">
        <x:v>tr-wq-r21</x:v>
      </x:c>
      <x:c r="I956" s="5" t="str">
        <x:v>3.1.7</x:v>
      </x:c>
      <x:c r="J956" s="5" t="str">
        <x:v>Gewerberecht</x:v>
      </x:c>
      <x:c r="K956" s="5" t="str"/>
      <x:c r="L956" s="5" t="str">
        <x:v>Gewerberecht</x:v>
      </x:c>
      <x:c r="M956" s="5" t="n">
        <x:v>7</x:v>
      </x:c>
      <x:c r="N956" s="5" t="n">
        <x:v>7</x:v>
      </x:c>
      <x:c r="O956" s="5" t="str"/>
      <x:c r="P956" s="5" t="str">
        <x:v>Pilot freigegeben</x:v>
      </x:c>
      <x:c r="Q956" s="5" t="str">
        <x:v>Revision 2 unverändert übernommen</x:v>
      </x:c>
      <x:c r="R956" s="5" t="str">
        <x:v>Welche drei Grundformen des Gewerbes unterscheidet die Gewerbeordnung?</x:v>
      </x:c>
      <x:c r="S956" s="5" t="str">
        <x:v>f9217d278c20d17018f33e75bc0eea8f7a11c8bfe4cbef20e3cd31e2df9d36a5</x:v>
      </x:c>
    </x:row>
    <x:row r="957" ht="36" customHeight="1">
      <x:c r="A957" s="5" t="str">
        <x:v>R-0557</x:v>
      </x:c>
      <x:c r="B957" s="5" t="str">
        <x:v>WQ</x:v>
      </x:c>
      <x:c r="C957" s="5" t="str">
        <x:v>3</x:v>
      </x:c>
      <x:c r="D957" s="5" t="str">
        <x:v>Recht und Steuern</x:v>
      </x:c>
      <x:c r="E957" s="5" t="str">
        <x:v>Recht</x:v>
      </x:c>
      <x:c r="F957" s="5" t="str">
        <x:v>ui-wq-recht-gewerbe</x:v>
      </x:c>
      <x:c r="G957" s="5" t="str">
        <x:v>Gewerberecht</x:v>
      </x:c>
      <x:c r="H957" s="5" t="str">
        <x:v>tr-wq-r21</x:v>
      </x:c>
      <x:c r="I957" s="5" t="str">
        <x:v>3.1.7</x:v>
      </x:c>
      <x:c r="J957" s="5" t="str">
        <x:v>Gewerberecht</x:v>
      </x:c>
      <x:c r="K957" s="5" t="str"/>
      <x:c r="L957" s="5" t="str">
        <x:v>Gewerberecht</x:v>
      </x:c>
      <x:c r="M957" s="5" t="n">
        <x:v>8</x:v>
      </x:c>
      <x:c r="N957" s="5" t="n">
        <x:v>8</x:v>
      </x:c>
      <x:c r="O957" s="5" t="str"/>
      <x:c r="P957" s="5" t="str">
        <x:v>Pilot freigegeben</x:v>
      </x:c>
      <x:c r="Q957" s="5" t="str">
        <x:v>Revision 2 unverändert übernommen</x:v>
      </x:c>
      <x:c r="R957" s="5" t="str">
        <x:v>Was kennzeichnet ein Reisegewerbe und wann ist grundsätzlich eine Reisegewerbekarte erforderlich?</x:v>
      </x:c>
      <x:c r="S957" s="5" t="str">
        <x:v>ebe6563908af5e6b89449d6312038e833d3bd2089d98227ba419f4ec7d02e4ad</x:v>
      </x:c>
    </x:row>
    <x:row r="958" ht="36" customHeight="1">
      <x:c r="A958" s="5" t="str">
        <x:v>R-0558</x:v>
      </x:c>
      <x:c r="B958" s="5" t="str">
        <x:v>WQ</x:v>
      </x:c>
      <x:c r="C958" s="5" t="str">
        <x:v>3</x:v>
      </x:c>
      <x:c r="D958" s="5" t="str">
        <x:v>Recht und Steuern</x:v>
      </x:c>
      <x:c r="E958" s="5" t="str">
        <x:v>Recht</x:v>
      </x:c>
      <x:c r="F958" s="5" t="str">
        <x:v>ui-wq-recht-gewerbe</x:v>
      </x:c>
      <x:c r="G958" s="5" t="str">
        <x:v>Gewerberecht</x:v>
      </x:c>
      <x:c r="H958" s="5" t="str">
        <x:v>tr-wq-r21</x:v>
      </x:c>
      <x:c r="I958" s="5" t="str">
        <x:v>3.1.7</x:v>
      </x:c>
      <x:c r="J958" s="5" t="str">
        <x:v>Gewerberecht</x:v>
      </x:c>
      <x:c r="K958" s="5" t="str"/>
      <x:c r="L958" s="5" t="str">
        <x:v>Gewerberecht</x:v>
      </x:c>
      <x:c r="M958" s="5" t="n">
        <x:v>9</x:v>
      </x:c>
      <x:c r="N958" s="5" t="n">
        <x:v>9</x:v>
      </x:c>
      <x:c r="O958" s="5" t="str"/>
      <x:c r="P958" s="5" t="str">
        <x:v>Pilot freigegeben</x:v>
      </x:c>
      <x:c r="Q958" s="5" t="str">
        <x:v>Revision 2 unverändert übernommen</x:v>
      </x:c>
      <x:c r="R958" s="5" t="str">
        <x:v>Was ist Marktgewerbe und welche Veranstaltungsarten gehören dazu?</x:v>
      </x:c>
      <x:c r="S958" s="5" t="str">
        <x:v>b0eb02e097e1d1c2dad755549814920248aad8233b4db7f3ddaf636619e81c4e</x:v>
      </x:c>
    </x:row>
    <x:row r="959" ht="36" customHeight="1">
      <x:c r="A959" s="5" t="str">
        <x:v>R-0559</x:v>
      </x:c>
      <x:c r="B959" s="5" t="str">
        <x:v>WQ</x:v>
      </x:c>
      <x:c r="C959" s="5" t="str">
        <x:v>3</x:v>
      </x:c>
      <x:c r="D959" s="5" t="str">
        <x:v>Recht und Steuern</x:v>
      </x:c>
      <x:c r="E959" s="5" t="str">
        <x:v>Recht</x:v>
      </x:c>
      <x:c r="F959" s="5" t="str">
        <x:v>ui-wq-recht-gewerbe</x:v>
      </x:c>
      <x:c r="G959" s="5" t="str">
        <x:v>Gewerberecht</x:v>
      </x:c>
      <x:c r="H959" s="5" t="str">
        <x:v>tr-wq-r21</x:v>
      </x:c>
      <x:c r="I959" s="5" t="str">
        <x:v>3.1.7</x:v>
      </x:c>
      <x:c r="J959" s="5" t="str">
        <x:v>Gewerberecht</x:v>
      </x:c>
      <x:c r="K959" s="5" t="str"/>
      <x:c r="L959" s="5" t="str">
        <x:v>Gewerberecht</x:v>
      </x:c>
      <x:c r="M959" s="5" t="n">
        <x:v>10</x:v>
      </x:c>
      <x:c r="N959" s="5" t="n">
        <x:v>10</x:v>
      </x:c>
      <x:c r="O959" s="5" t="str"/>
      <x:c r="P959" s="5" t="str">
        <x:v>Pilot freigegeben</x:v>
      </x:c>
      <x:c r="Q959" s="5" t="str">
        <x:v>Revision 2 unverändert übernommen</x:v>
      </x:c>
      <x:c r="R959" s="5" t="str">
        <x:v>Welche Vorgänge sind nach § 14 GewO bei einem stehenden Gewerbe anzuzeigen?</x:v>
      </x:c>
      <x:c r="S959" s="5" t="str">
        <x:v>c8e8006238d206cd9f38ff950c96ff0fedfb082876a25a4883b4f6a9fdd7568e</x:v>
      </x:c>
    </x:row>
    <x:row r="960" ht="36" customHeight="1">
      <x:c r="A960" s="5" t="str">
        <x:v>R-0560</x:v>
      </x:c>
      <x:c r="B960" s="5" t="str">
        <x:v>WQ</x:v>
      </x:c>
      <x:c r="C960" s="5" t="str">
        <x:v>3</x:v>
      </x:c>
      <x:c r="D960" s="5" t="str">
        <x:v>Recht und Steuern</x:v>
      </x:c>
      <x:c r="E960" s="5" t="str">
        <x:v>Recht</x:v>
      </x:c>
      <x:c r="F960" s="5" t="str">
        <x:v>ui-wq-recht-gewerbe</x:v>
      </x:c>
      <x:c r="G960" s="5" t="str">
        <x:v>Gewerberecht</x:v>
      </x:c>
      <x:c r="H960" s="5" t="str">
        <x:v>tr-wq-r21</x:v>
      </x:c>
      <x:c r="I960" s="5" t="str">
        <x:v>3.1.7</x:v>
      </x:c>
      <x:c r="J960" s="5" t="str">
        <x:v>Gewerberecht</x:v>
      </x:c>
      <x:c r="K960" s="5" t="str"/>
      <x:c r="L960" s="5" t="str">
        <x:v>Gewerberecht</x:v>
      </x:c>
      <x:c r="M960" s="5" t="n">
        <x:v>11</x:v>
      </x:c>
      <x:c r="N960" s="5" t="n">
        <x:v>11</x:v>
      </x:c>
      <x:c r="O960" s="5" t="str"/>
      <x:c r="P960" s="5" t="str">
        <x:v>Pilot freigegeben</x:v>
      </x:c>
      <x:c r="Q960" s="5" t="str">
        <x:v>Revision 2 unverändert übernommen</x:v>
      </x:c>
      <x:c r="R960" s="5" t="str">
        <x:v>Was prüft die Behörde bei einem überwachungsbedürftigen Gewerbe nach § 38 GewO?</x:v>
      </x:c>
      <x:c r="S960" s="5" t="str">
        <x:v>5315720c12464b962760b68f95798df2a805b2efc1c2ca81addcbd03da95f9da</x:v>
      </x:c>
    </x:row>
    <x:row r="961" ht="36" customHeight="1">
      <x:c r="A961" s="5" t="str">
        <x:v>R-0561</x:v>
      </x:c>
      <x:c r="B961" s="5" t="str">
        <x:v>WQ</x:v>
      </x:c>
      <x:c r="C961" s="5" t="str">
        <x:v>3</x:v>
      </x:c>
      <x:c r="D961" s="5" t="str">
        <x:v>Recht und Steuern</x:v>
      </x:c>
      <x:c r="E961" s="5" t="str">
        <x:v>Recht</x:v>
      </x:c>
      <x:c r="F961" s="5" t="str">
        <x:v>ui-wq-recht-gewerbe</x:v>
      </x:c>
      <x:c r="G961" s="5" t="str">
        <x:v>Gewerberecht</x:v>
      </x:c>
      <x:c r="H961" s="5" t="str">
        <x:v>tr-wq-r21</x:v>
      </x:c>
      <x:c r="I961" s="5" t="str">
        <x:v>3.1.7</x:v>
      </x:c>
      <x:c r="J961" s="5" t="str">
        <x:v>Gewerberecht</x:v>
      </x:c>
      <x:c r="K961" s="5" t="str"/>
      <x:c r="L961" s="5" t="str">
        <x:v>Gewerberecht</x:v>
      </x:c>
      <x:c r="M961" s="5" t="n">
        <x:v>12</x:v>
      </x:c>
      <x:c r="N961" s="5" t="n">
        <x:v>12</x:v>
      </x:c>
      <x:c r="O961" s="5" t="str"/>
      <x:c r="P961" s="5" t="str">
        <x:v>Pilot freigegeben</x:v>
      </x:c>
      <x:c r="Q961" s="5" t="str">
        <x:v>Revision 2 unverändert übernommen</x:v>
      </x:c>
      <x:c r="R961" s="5" t="str">
        <x:v>Was bedeutet Erlaubnispflicht eines Gewerbes und nennen Sie typische Beispiele.</x:v>
      </x:c>
      <x:c r="S961" s="5" t="str">
        <x:v>9a13cf01c161379b4df2f33b2e172beeae192c459221c0519e39871d1080e337</x:v>
      </x:c>
    </x:row>
    <x:row r="962" ht="36" customHeight="1">
      <x:c r="A962" s="5" t="str">
        <x:v>R-0562</x:v>
      </x:c>
      <x:c r="B962" s="5" t="str">
        <x:v>WQ</x:v>
      </x:c>
      <x:c r="C962" s="5" t="str">
        <x:v>3</x:v>
      </x:c>
      <x:c r="D962" s="5" t="str">
        <x:v>Recht und Steuern</x:v>
      </x:c>
      <x:c r="E962" s="5" t="str">
        <x:v>Recht</x:v>
      </x:c>
      <x:c r="F962" s="5" t="str">
        <x:v>ui-wq-recht-gewerbe</x:v>
      </x:c>
      <x:c r="G962" s="5" t="str">
        <x:v>Gewerberecht</x:v>
      </x:c>
      <x:c r="H962" s="5" t="str">
        <x:v>tr-wq-r21</x:v>
      </x:c>
      <x:c r="I962" s="5" t="str">
        <x:v>3.1.7</x:v>
      </x:c>
      <x:c r="J962" s="5" t="str">
        <x:v>Gewerberecht</x:v>
      </x:c>
      <x:c r="K962" s="5" t="str"/>
      <x:c r="L962" s="5" t="str">
        <x:v>Gewerberecht</x:v>
      </x:c>
      <x:c r="M962" s="5" t="n">
        <x:v>13</x:v>
      </x:c>
      <x:c r="N962" s="5" t="n">
        <x:v>13</x:v>
      </x:c>
      <x:c r="O962" s="5" t="str"/>
      <x:c r="P962" s="5" t="str">
        <x:v>Pilot freigegeben</x:v>
      </x:c>
      <x:c r="Q962" s="5" t="str">
        <x:v>Revision 2 unverändert übernommen</x:v>
      </x:c>
      <x:c r="R962" s="5" t="str">
        <x:v>Welche Auskünfte können aus Gewerbeanzeigen weitergegeben werden?</x:v>
      </x:c>
      <x:c r="S962" s="5" t="str">
        <x:v>896a77d6a87fd88547ef6b4024e6faa113b645a39d9e570a17d3f5bf60666542</x:v>
      </x:c>
    </x:row>
    <x:row r="963" ht="36" customHeight="1">
      <x:c r="A963" s="5" t="str">
        <x:v>R-0563</x:v>
      </x:c>
      <x:c r="B963" s="5" t="str">
        <x:v>WQ</x:v>
      </x:c>
      <x:c r="C963" s="5" t="str">
        <x:v>3</x:v>
      </x:c>
      <x:c r="D963" s="5" t="str">
        <x:v>Recht und Steuern</x:v>
      </x:c>
      <x:c r="E963" s="5" t="str">
        <x:v>Recht</x:v>
      </x:c>
      <x:c r="F963" s="5" t="str">
        <x:v>ui-wq-recht-gewerbe</x:v>
      </x:c>
      <x:c r="G963" s="5" t="str">
        <x:v>Gewerberecht</x:v>
      </x:c>
      <x:c r="H963" s="5" t="str">
        <x:v>tr-wq-r21</x:v>
      </x:c>
      <x:c r="I963" s="5" t="str">
        <x:v>3.1.7</x:v>
      </x:c>
      <x:c r="J963" s="5" t="str">
        <x:v>Gewerberecht</x:v>
      </x:c>
      <x:c r="K963" s="5" t="str"/>
      <x:c r="L963" s="5" t="str">
        <x:v>Gewerberecht</x:v>
      </x:c>
      <x:c r="M963" s="5" t="n">
        <x:v>14</x:v>
      </x:c>
      <x:c r="N963" s="5" t="n">
        <x:v>14</x:v>
      </x:c>
      <x:c r="O963" s="5" t="str"/>
      <x:c r="P963" s="5" t="str">
        <x:v>Pilot freigegeben</x:v>
      </x:c>
      <x:c r="Q963" s="5" t="str">
        <x:v>Revision 2 unverändert übernommen</x:v>
      </x:c>
      <x:c r="R963" s="5" t="str">
        <x:v>Wer regelt die Ladenöffnungszeiten und warum können sie regional unterschiedlich sein?</x:v>
      </x:c>
      <x:c r="S963" s="5" t="str">
        <x:v>a1f54f2b9d55fe72bd67b22064ca526205f7187db7deb2efb9d26053c62f2933</x:v>
      </x:c>
    </x:row>
    <x:row r="964" ht="36" customHeight="1">
      <x:c r="A964" s="5" t="str">
        <x:v>R-0564</x:v>
      </x:c>
      <x:c r="B964" s="5" t="str">
        <x:v>WQ</x:v>
      </x:c>
      <x:c r="C964" s="5" t="str">
        <x:v>3</x:v>
      </x:c>
      <x:c r="D964" s="5" t="str">
        <x:v>Recht und Steuern</x:v>
      </x:c>
      <x:c r="E964" s="5" t="str">
        <x:v>Recht</x:v>
      </x:c>
      <x:c r="F964" s="5" t="str">
        <x:v>ui-wq-recht-gewerbe</x:v>
      </x:c>
      <x:c r="G964" s="5" t="str">
        <x:v>Gewerberecht</x:v>
      </x:c>
      <x:c r="H964" s="5" t="str">
        <x:v>tr-wq-r21</x:v>
      </x:c>
      <x:c r="I964" s="5" t="str">
        <x:v>3.1.7</x:v>
      </x:c>
      <x:c r="J964" s="5" t="str">
        <x:v>Gewerberecht</x:v>
      </x:c>
      <x:c r="K964" s="5" t="str"/>
      <x:c r="L964" s="5" t="str">
        <x:v>Gewerberecht</x:v>
      </x:c>
      <x:c r="M964" s="5" t="n">
        <x:v>15</x:v>
      </x:c>
      <x:c r="N964" s="5" t="n">
        <x:v>15</x:v>
      </x:c>
      <x:c r="O964" s="5" t="str"/>
      <x:c r="P964" s="5" t="str">
        <x:v>Pilot freigegeben</x:v>
      </x:c>
      <x:c r="Q964" s="5" t="str">
        <x:v>Revision 2 unverändert übernommen</x:v>
      </x:c>
      <x:c r="R964" s="5" t="str">
        <x:v>Welche Tätigkeiten können während gesetzlicher Ladenschlusszeiten verboten sein?</x:v>
      </x:c>
      <x:c r="S964" s="5" t="str">
        <x:v>39234a71c5c301a8453628b94ecb2968837df9fa1fc2fe6be40a2da481f42054</x:v>
      </x:c>
    </x:row>
    <x:row r="965" ht="36" customHeight="1">
      <x:c r="A965" s="5" t="str">
        <x:v>R-0565</x:v>
      </x:c>
      <x:c r="B965" s="5" t="str">
        <x:v>WQ</x:v>
      </x:c>
      <x:c r="C965" s="5" t="str">
        <x:v>3</x:v>
      </x:c>
      <x:c r="D965" s="5" t="str">
        <x:v>Recht und Steuern</x:v>
      </x:c>
      <x:c r="E965" s="5" t="str">
        <x:v>Recht</x:v>
      </x:c>
      <x:c r="F965" s="5" t="str">
        <x:v>ui-wq-recht-gewerbe</x:v>
      </x:c>
      <x:c r="G965" s="5" t="str">
        <x:v>Gewerberecht</x:v>
      </x:c>
      <x:c r="H965" s="5" t="str">
        <x:v>tr-wq-r21</x:v>
      </x:c>
      <x:c r="I965" s="5" t="str">
        <x:v>3.1.7</x:v>
      </x:c>
      <x:c r="J965" s="5" t="str">
        <x:v>Gewerberecht</x:v>
      </x:c>
      <x:c r="K965" s="5" t="str"/>
      <x:c r="L965" s="5" t="str">
        <x:v>Gewerberecht</x:v>
      </x:c>
      <x:c r="M965" s="5" t="n">
        <x:v>16</x:v>
      </x:c>
      <x:c r="N965" s="5" t="n">
        <x:v>16</x:v>
      </x:c>
      <x:c r="O965" s="5" t="str"/>
      <x:c r="P965" s="5" t="str">
        <x:v>Pilot freigegeben</x:v>
      </x:c>
      <x:c r="Q965" s="5" t="str">
        <x:v>Revision 2 unverändert übernommen</x:v>
      </x:c>
      <x:c r="R965" s="5" t="str">
        <x:v>Für welche Branchen oder Waren bestehen typischerweise Ausnahmen vom Ladenschlussrecht?</x:v>
      </x:c>
      <x:c r="S965" s="5" t="str">
        <x:v>285a4fb9d7700c66ee3cbe9fce1c3193ab6a2ee47cf0a0f6af57881d9e402adb</x:v>
      </x:c>
    </x:row>
    <x:row r="966" ht="36" customHeight="1">
      <x:c r="A966" s="5" t="str">
        <x:v>R-0566</x:v>
      </x:c>
      <x:c r="B966" s="5" t="str">
        <x:v>WQ</x:v>
      </x:c>
      <x:c r="C966" s="5" t="str">
        <x:v>3</x:v>
      </x:c>
      <x:c r="D966" s="5" t="str">
        <x:v>Recht und Steuern</x:v>
      </x:c>
      <x:c r="E966" s="5" t="str">
        <x:v>Recht</x:v>
      </x:c>
      <x:c r="F966" s="5" t="str">
        <x:v>ui-wq-recht-at</x:v>
      </x:c>
      <x:c r="G966" s="5" t="str">
        <x:v>BGB Allgemeiner Teil</x:v>
      </x:c>
      <x:c r="H966" s="5" t="str">
        <x:v>tr-wq-r22</x:v>
      </x:c>
      <x:c r="I966" s="5" t="str">
        <x:v>3.1</x:v>
      </x:c>
      <x:c r="J966" s="5" t="str">
        <x:v>Rechtliche Grundlagen &amp; Methoden</x:v>
      </x:c>
      <x:c r="K966" s="5" t="str">
        <x:v>3.1.2.5</x:v>
      </x:c>
      <x:c r="L966" s="5" t="str">
        <x:v>Rechtliche Grundlagen &amp; Methoden</x:v>
      </x:c>
      <x:c r="M966" s="5" t="n">
        <x:v>84</x:v>
      </x:c>
      <x:c r="N966" s="5" t="n">
        <x:v>1</x:v>
      </x:c>
      <x:c r="O966" s="5" t="str"/>
      <x:c r="P966" s="5" t="str">
        <x:v>Pilot freigegeben</x:v>
      </x:c>
      <x:c r="Q966" s="5" t="str">
        <x:v>Revision 2 unverändert übernommen</x:v>
      </x:c>
      <x:c r="R966" s="5" t="str">
        <x:v>Die Rechtsabteilung der Circle Harbor GmbH soll prüfen, ob wegen einer verspäteten Lieferung Ersatz von 2.000 € Mietkosten verlangt werden kann. Beschreiben Sie, wie eine solche zivilrechtliche Fallprüfung methodisch aufgebaut wird. Gehen Sie auf die Ausgangsfrage „Wer will was von wem woraus?“, Anspruchsgrundlage, Anspruchsentstehung, Erlöschen und Durchsetzbarkeit sowie den Gutachtenstil ein.</x:v>
      </x:c>
      <x:c r="S966" s="5" t="str">
        <x:v>46df8bb1ed4bef0808e48c4a79283b89afcb7efca04c09f49c208718857f03a7</x:v>
      </x:c>
    </x:row>
    <x:row r="967" ht="36" customHeight="1">
      <x:c r="A967" s="5" t="str">
        <x:v>R-0567</x:v>
      </x:c>
      <x:c r="B967" s="5" t="str">
        <x:v>WQ</x:v>
      </x:c>
      <x:c r="C967" s="5" t="str">
        <x:v>3</x:v>
      </x:c>
      <x:c r="D967" s="5" t="str">
        <x:v>Recht und Steuern</x:v>
      </x:c>
      <x:c r="E967" s="5" t="str">
        <x:v>Recht</x:v>
      </x:c>
      <x:c r="F967" s="5" t="str">
        <x:v>ui-wq-recht-at</x:v>
      </x:c>
      <x:c r="G967" s="5" t="str">
        <x:v>BGB Allgemeiner Teil</x:v>
      </x:c>
      <x:c r="H967" s="5" t="str">
        <x:v>tr-wq-r01</x:v>
      </x:c>
      <x:c r="I967" s="5" t="str">
        <x:v>3.1.1</x:v>
      </x:c>
      <x:c r="J967" s="5" t="str">
        <x:v>BGB: Personen, Rechtsgeschäfte und Vertretung</x:v>
      </x:c>
      <x:c r="K967" s="5" t="str"/>
      <x:c r="L967" s="5" t="str">
        <x:v>BGB Allgemeiner Teil</x:v>
      </x:c>
      <x:c r="M967" s="5" t="n">
        <x:v>85</x:v>
      </x:c>
      <x:c r="N967" s="5" t="n">
        <x:v>84</x:v>
      </x:c>
      <x:c r="O967" s="5" t="str"/>
      <x:c r="P967" s="5" t="str">
        <x:v>Pilot freigegeben</x:v>
      </x:c>
      <x:c r="Q967" s="5" t="str">
        <x:v>Revision 2 unverändert übernommen</x:v>
      </x:c>
      <x:c r="R967" s="5" t="str">
        <x:v>Circle Harbor teilt einem Lieferanten schriftlich mit, dass Einkaufsleiterin Lina im Namen der GmbH Lieferverträge bis 100.000 € abschließen darf. Intern wird Lina angewiesen, Verträge über 60.000 € nur nach Freigabe der Geschäftsführung abzuschließen. Ohne Freigabe bestellt sie beim Lieferanten Ware für 80.000 €. Der Lieferant kennt die interne Grenze nicht. Ist der Vertrag für Circle Harbor wirksam und welche Bedeutung hat die interne Weisungsverletzung?</x:v>
      </x:c>
      <x:c r="S967" s="5" t="str">
        <x:v>72b504b5347965127996852fda410d8398bdce32a4efa154333f5e1a545d7f38</x:v>
      </x:c>
    </x:row>
    <x:row r="968" ht="36" customHeight="1">
      <x:c r="A968" s="5" t="str">
        <x:v>R-0568</x:v>
      </x:c>
      <x:c r="B968" s="5" t="str">
        <x:v>WQ</x:v>
      </x:c>
      <x:c r="C968" s="5" t="str">
        <x:v>3</x:v>
      </x:c>
      <x:c r="D968" s="5" t="str">
        <x:v>Recht und Steuern</x:v>
      </x:c>
      <x:c r="E968" s="5" t="str">
        <x:v>Recht</x:v>
      </x:c>
      <x:c r="F968" s="5" t="str">
        <x:v>ui-wq-recht-schuld</x:v>
      </x:c>
      <x:c r="G968" s="5" t="str">
        <x:v>BGB Schuldrecht</x:v>
      </x:c>
      <x:c r="H968" s="5" t="str">
        <x:v>tr-wq-r07</x:v>
      </x:c>
      <x:c r="I968" s="5" t="str">
        <x:v>3.1.2.5</x:v>
      </x:c>
      <x:c r="J968" s="5" t="str">
        <x:v>Leistung, Verzug und Schadensersatz</x:v>
      </x:c>
      <x:c r="K968" s="5" t="str"/>
      <x:c r="L968" s="5" t="str">
        <x:v>Weitere Vertragstypen, E-Commerce &amp; Leistungsstörungen</x:v>
      </x:c>
      <x:c r="M968" s="5" t="n">
        <x:v>167</x:v>
      </x:c>
      <x:c r="N968" s="5" t="n">
        <x:v>47</x:v>
      </x:c>
      <x:c r="O968" s="5" t="str"/>
      <x:c r="P968" s="5" t="str">
        <x:v>Pilot freigegeben</x:v>
      </x:c>
      <x:c r="Q968" s="5" t="str">
        <x:v>Revision 2 unverändert übernommen</x:v>
      </x:c>
      <x:c r="R968" s="5" t="str">
        <x:v>Ein Maschinenbauer will am vereinbarten Montag eine speziell für Circle Harbor gefertigte Anlage ordnungsgemäß liefern und montieren. Für die Montage muss Circle Harbor Zugang zum Technikraum ermöglichen. Trotz vorheriger Abstimmung ist niemand erreichbar und der Raum bleibt verschlossen. Der Maschinenbauer muss die Anlage einlagern und erneut anfahren. Prüfen Sie, ob Annahmeverzug vorliegt und nennen Sie wesentliche Rechtsfolgen.</x:v>
      </x:c>
      <x:c r="S968" s="5" t="str">
        <x:v>52f6cc623db5e3f79d11c8f2218357894e7333fdb414722ed0e076e527aace36</x:v>
      </x:c>
    </x:row>
    <x:row r="969" ht="36" customHeight="1">
      <x:c r="A969" s="5" t="str">
        <x:v>R-0569</x:v>
      </x:c>
      <x:c r="B969" s="5" t="str">
        <x:v>WQ</x:v>
      </x:c>
      <x:c r="C969" s="5" t="str">
        <x:v>3</x:v>
      </x:c>
      <x:c r="D969" s="5" t="str">
        <x:v>Recht und Steuern</x:v>
      </x:c>
      <x:c r="E969" s="5" t="str">
        <x:v>Recht</x:v>
      </x:c>
      <x:c r="F969" s="5" t="str">
        <x:v>ui-wq-recht-schuld</x:v>
      </x:c>
      <x:c r="G969" s="5" t="str">
        <x:v>BGB Schuldrecht</x:v>
      </x:c>
      <x:c r="H969" s="5" t="str">
        <x:v>tr-wq-r02</x:v>
      </x:c>
      <x:c r="I969" s="5" t="str">
        <x:v>3.1.2.1</x:v>
      </x:c>
      <x:c r="J969" s="5" t="str">
        <x:v>Schuldverhältnisse, AGB, Fristen und Gerichte</x:v>
      </x:c>
      <x:c r="K969" s="5" t="str"/>
      <x:c r="L969" s="5" t="str">
        <x:v>BGB Schuldrecht</x:v>
      </x:c>
      <x:c r="M969" s="5" t="n">
        <x:v>168</x:v>
      </x:c>
      <x:c r="N969" s="5" t="n">
        <x:v>25</x:v>
      </x:c>
      <x:c r="O969" s="5" t="str"/>
      <x:c r="P969" s="5" t="str">
        <x:v>Pilot freigegeben</x:v>
      </x:c>
      <x:c r="Q969" s="5" t="str">
        <x:v>Revision 2 unverändert übernommen</x:v>
      </x:c>
      <x:c r="R969" s="5" t="str">
        <x:v>Zwei Dienstleister verpflichten sich in einem Vergleich ausdrücklich als Gesamtschuldner, an Circle Harbor 30.000 € zu zahlen. Eine abweichende interne Verteilung ist nicht vereinbart. Kann Circle Harbor die gesamten 30.000 € nur von einem Dienstleister verlangen? Was gilt, wenn dieser allein vollständig zahlt?</x:v>
      </x:c>
      <x:c r="S969" s="5" t="str">
        <x:v>c2c1668643bee5d30b115b13744ef6658e39102110c0f787422bd44b0dda3d78</x:v>
      </x:c>
    </x:row>
    <x:row r="970" ht="36" customHeight="1">
      <x:c r="A970" s="5" t="str">
        <x:v>R-0570</x:v>
      </x:c>
      <x:c r="B970" s="5" t="str">
        <x:v>WQ</x:v>
      </x:c>
      <x:c r="C970" s="5" t="str">
        <x:v>3</x:v>
      </x:c>
      <x:c r="D970" s="5" t="str">
        <x:v>Recht und Steuern</x:v>
      </x:c>
      <x:c r="E970" s="5" t="str">
        <x:v>Recht</x:v>
      </x:c>
      <x:c r="F970" s="5" t="str">
        <x:v>ui-wq-recht-schuld</x:v>
      </x:c>
      <x:c r="G970" s="5" t="str">
        <x:v>BGB Schuldrecht</x:v>
      </x:c>
      <x:c r="H970" s="5" t="str">
        <x:v>tr-wq-r02</x:v>
      </x:c>
      <x:c r="I970" s="5" t="str">
        <x:v>3.1.2.1</x:v>
      </x:c>
      <x:c r="J970" s="5" t="str">
        <x:v>Schuldverhältnisse, AGB, Fristen und Gerichte</x:v>
      </x:c>
      <x:c r="K970" s="5" t="str"/>
      <x:c r="L970" s="5" t="str">
        <x:v>BGB Schuldrecht</x:v>
      </x:c>
      <x:c r="M970" s="5" t="n">
        <x:v>169</x:v>
      </x:c>
      <x:c r="N970" s="5" t="n">
        <x:v>26</x:v>
      </x:c>
      <x:c r="O970" s="5" t="str"/>
      <x:c r="P970" s="5" t="str">
        <x:v>Pilot freigegeben</x:v>
      </x:c>
      <x:c r="Q970" s="5" t="str">
        <x:v>Revision 2 unverändert übernommen</x:v>
      </x:c>
      <x:c r="R970" s="5" t="str">
        <x:v>Circle Harbor schuldet zwei Rechteinhabern gemeinsam 20.000 €. Variante A: Im Vertrag ist ausdrücklich vereinbart, dass jeder Rechteinhaber die gesamte Zahlung fordern darf. Variante B: Beide sind nur gemeinschaftlich Gläubiger einer unteilbaren Leistung, ohne dass Gesamtgläubigerschaft vereinbart ist. Erläutern Sie den Unterschied und die Rechtsfolge einer Leistung durch Circle Harbor.</x:v>
      </x:c>
      <x:c r="S970" s="5" t="str">
        <x:v>2f7408d3d9c6245e2939eb93b9b9796a407c70f6aa4c66b6a59b3c7a1e22a172</x:v>
      </x:c>
    </x:row>
    <x:row r="971" ht="36" customHeight="1">
      <x:c r="A971" s="5" t="str">
        <x:v>R-0571</x:v>
      </x:c>
      <x:c r="B971" s="5" t="str">
        <x:v>WQ</x:v>
      </x:c>
      <x:c r="C971" s="5" t="str">
        <x:v>3</x:v>
      </x:c>
      <x:c r="D971" s="5" t="str">
        <x:v>Recht und Steuern</x:v>
      </x:c>
      <x:c r="E971" s="5" t="str">
        <x:v>Recht</x:v>
      </x:c>
      <x:c r="F971" s="5" t="str">
        <x:v>ui-wq-recht-schuld</x:v>
      </x:c>
      <x:c r="G971" s="5" t="str">
        <x:v>BGB Schuldrecht</x:v>
      </x:c>
      <x:c r="H971" s="5" t="str">
        <x:v>tr-wq-r02</x:v>
      </x:c>
      <x:c r="I971" s="5" t="str">
        <x:v>3.1.2.1</x:v>
      </x:c>
      <x:c r="J971" s="5" t="str">
        <x:v>Schuldverhältnisse, AGB, Fristen und Gerichte</x:v>
      </x:c>
      <x:c r="K971" s="5" t="str"/>
      <x:c r="L971" s="5" t="str">
        <x:v>BGB Schuldrecht</x:v>
      </x:c>
      <x:c r="M971" s="5" t="n">
        <x:v>170</x:v>
      </x:c>
      <x:c r="N971" s="5" t="n">
        <x:v>27</x:v>
      </x:c>
      <x:c r="O971" s="5" t="str"/>
      <x:c r="P971" s="5" t="str">
        <x:v>Pilot freigegeben</x:v>
      </x:c>
      <x:c r="Q971" s="5" t="str">
        <x:v>Revision 2 unverändert übernommen</x:v>
      </x:c>
      <x:c r="R971" s="5" t="str">
        <x:v>Ordnen Sie drei Circle-Harbor-Fälle ein: a) Circle Harbor kauft bei einem Schulungsanbieter ein Seminar für Mitarbeiterin Eva; der Vertrag räumt Eva ausdrücklich einen eigenen Anspruch auf Teilnahme ein. b) Circle Harbor bestellt bei einem Lieferanten ein Präsent an einen Kunden; der Kunde soll es erhalten, bekommt aber keinen eigenen Anspruch gegen den Lieferanten. c) Ein von Circle Harbor beauftragter Wartungsbetrieb verletzt eine vertragliche Schutzpflicht und dadurch wird ein Mitarbeiter geschädigt. Grenzen Sie echten und unechten Vertrag zugunsten Dritter sowie Vertrag mit Schutzwirkung für Dritte ab.</x:v>
      </x:c>
      <x:c r="S971" s="5" t="str">
        <x:v>eeea6fa8602ccd4baef602892366f5d3d603b8f704a6fb8aa7672263fa7b8e37</x:v>
      </x:c>
    </x:row>
    <x:row r="972" ht="36" customHeight="1">
      <x:c r="A972" s="5" t="str">
        <x:v>R-0572</x:v>
      </x:c>
      <x:c r="B972" s="5" t="str">
        <x:v>WQ</x:v>
      </x:c>
      <x:c r="C972" s="5" t="str">
        <x:v>3</x:v>
      </x:c>
      <x:c r="D972" s="5" t="str">
        <x:v>Recht und Steuern</x:v>
      </x:c>
      <x:c r="E972" s="5" t="str">
        <x:v>Recht</x:v>
      </x:c>
      <x:c r="F972" s="5" t="str">
        <x:v>ui-wq-recht-schuld</x:v>
      </x:c>
      <x:c r="G972" s="5" t="str">
        <x:v>BGB Schuldrecht</x:v>
      </x:c>
      <x:c r="H972" s="5" t="str">
        <x:v>tr-wq-r02</x:v>
      </x:c>
      <x:c r="I972" s="5" t="str">
        <x:v>3.1.2.1</x:v>
      </x:c>
      <x:c r="J972" s="5" t="str">
        <x:v>Schuldverhältnisse, AGB, Fristen und Gerichte</x:v>
      </x:c>
      <x:c r="K972" s="5" t="str">
        <x:v>3.1.3.2; HQ 6.2 (nur Querverweis)</x:v>
      </x:c>
      <x:c r="L972" s="5" t="str">
        <x:v>BGB Schuldrecht</x:v>
      </x:c>
      <x:c r="M972" s="5" t="n">
        <x:v>171</x:v>
      </x:c>
      <x:c r="N972" s="5" t="n">
        <x:v>28</x:v>
      </x:c>
      <x:c r="O972" s="5" t="str"/>
      <x:c r="P972" s="5" t="str">
        <x:v>Pilot freigegeben</x:v>
      </x:c>
      <x:c r="Q972" s="5" t="str">
        <x:v>Revision 2 unverändert übernommen</x:v>
      </x:c>
      <x:c r="R972" s="5" t="str">
        <x:v>Ein Lieferant tritt seine Kaufpreisforderung gegen Circle Harbor an ein Factoringunternehmen ab. a) Circle Harbor weiß von der Abtretung noch nichts und zahlt den fälligen Betrag an den bisherigen Gläubiger. Muss Circle Harbor grundsätzlich nochmals an den Factor zahlen? b) Bereits zum Zeitpunkt der Abtretung bestand gegenüber der Forderung eine Einwendung, die Circle Harbor dem Lieferanten entgegenhalten konnte. Kann diese auch gegenüber dem neuen Gläubiger geltend gemacht werden?</x:v>
      </x:c>
      <x:c r="S972" s="5" t="str">
        <x:v>32429ec414b0df5e7a96c6667da635df1d5848b8a5ad1e19952a6aea31b5f70d</x:v>
      </x:c>
    </x:row>
    <x:row r="973" ht="36" customHeight="1">
      <x:c r="A973" s="5" t="str">
        <x:v>R-0573</x:v>
      </x:c>
      <x:c r="B973" s="5" t="str">
        <x:v>WQ</x:v>
      </x:c>
      <x:c r="C973" s="5" t="str">
        <x:v>3</x:v>
      </x:c>
      <x:c r="D973" s="5" t="str">
        <x:v>Recht und Steuern</x:v>
      </x:c>
      <x:c r="E973" s="5" t="str">
        <x:v>Recht</x:v>
      </x:c>
      <x:c r="F973" s="5" t="str">
        <x:v>ui-wq-recht-schuld</x:v>
      </x:c>
      <x:c r="G973" s="5" t="str">
        <x:v>BGB Schuldrecht</x:v>
      </x:c>
      <x:c r="H973" s="5" t="str">
        <x:v>tr-wq-r02</x:v>
      </x:c>
      <x:c r="I973" s="5" t="str">
        <x:v>3.1.2.1</x:v>
      </x:c>
      <x:c r="J973" s="5" t="str">
        <x:v>Schuldverhältnisse, AGB, Fristen und Gerichte</x:v>
      </x:c>
      <x:c r="K973" s="5" t="str">
        <x:v>3.1.3.2; HQ 6.2 (nur Querverweis)</x:v>
      </x:c>
      <x:c r="L973" s="5" t="str">
        <x:v>BGB Schuldrecht</x:v>
      </x:c>
      <x:c r="M973" s="5" t="n">
        <x:v>172</x:v>
      </x:c>
      <x:c r="N973" s="5" t="n">
        <x:v>29</x:v>
      </x:c>
      <x:c r="O973" s="5" t="str"/>
      <x:c r="P973" s="5" t="str">
        <x:v>Pilot freigegeben</x:v>
      </x:c>
      <x:c r="Q973" s="5" t="str">
        <x:v>Revision 2 unverändert übernommen</x:v>
      </x:c>
      <x:c r="R973" s="5" t="str">
        <x:v>Circle Harbor verkauft regelmäßig auf Zahlungsziel und möchte seine Liquidität verbessern. Es erwägt, laufend kurzfristige Kundenforderungen an einen Factor zu übertragen. Erläutern Sie die rechtliche Grundstruktur des Factorings, nennen Sie drei mögliche betriebliche Vorteile und grenzen Sie Factoring von der Sicherungsabtretung ab.</x:v>
      </x:c>
      <x:c r="S973" s="5" t="str">
        <x:v>0c5ae798cd30694aa73ef6967628a0821be310a503a393d3a2a5bac0cb0fc525</x:v>
      </x:c>
    </x:row>
    <x:row r="974" ht="36" customHeight="1">
      <x:c r="A974" s="5" t="str">
        <x:v>R-0574</x:v>
      </x:c>
      <x:c r="B974" s="5" t="str">
        <x:v>WQ</x:v>
      </x:c>
      <x:c r="C974" s="5" t="str">
        <x:v>3</x:v>
      </x:c>
      <x:c r="D974" s="5" t="str">
        <x:v>Recht und Steuern</x:v>
      </x:c>
      <x:c r="E974" s="5" t="str">
        <x:v>Recht</x:v>
      </x:c>
      <x:c r="F974" s="5" t="str">
        <x:v>ui-wq-recht-schuld</x:v>
      </x:c>
      <x:c r="G974" s="5" t="str">
        <x:v>BGB Schuldrecht</x:v>
      </x:c>
      <x:c r="H974" s="5" t="str">
        <x:v>tr-wq-r02</x:v>
      </x:c>
      <x:c r="I974" s="5" t="str">
        <x:v>3.1.2.1</x:v>
      </x:c>
      <x:c r="J974" s="5" t="str">
        <x:v>Schuldverhältnisse, AGB, Fristen und Gerichte</x:v>
      </x:c>
      <x:c r="K974" s="5" t="str">
        <x:v>3.1.3.2; HQ 6.2 (nur Querverweis)</x:v>
      </x:c>
      <x:c r="L974" s="5" t="str">
        <x:v>BGB Schuldrecht</x:v>
      </x:c>
      <x:c r="M974" s="5" t="n">
        <x:v>173</x:v>
      </x:c>
      <x:c r="N974" s="5" t="n">
        <x:v>30</x:v>
      </x:c>
      <x:c r="O974" s="5" t="str"/>
      <x:c r="P974" s="5" t="str">
        <x:v>Pilot freigegeben</x:v>
      </x:c>
      <x:c r="Q974" s="5" t="str">
        <x:v>Revision 2 unverändert übernommen</x:v>
      </x:c>
      <x:c r="R974" s="5" t="str">
        <x:v>Die A-GmbH schuldet Circle Harbor 40.000 €. a) A-GmbH und B-GmbH vereinbaren, dass B die Schuld vollständig übernehmen und A aus der Schuld ausscheiden soll; Circle Harbor hat noch nicht zugestimmt. b) In einer anderen Variante erklärt B gegenüber Circle Harbor, zusätzlich neben A für dieselben 40.000 € einzustehen, ohne A zu entlassen. Ordnen Sie beide Gestaltungen rechtlich ein und erläutern Sie die Folgen.</x:v>
      </x:c>
      <x:c r="S974" s="5" t="str">
        <x:v>6d665a94d174fe3085978ae075ccfb641d150b8e2a08bf8bca70add490a817b9</x:v>
      </x:c>
    </x:row>
    <x:row r="975" ht="36" customHeight="1">
      <x:c r="A975" s="5" t="str">
        <x:v>R-0575</x:v>
      </x:c>
      <x:c r="B975" s="5" t="str">
        <x:v>WQ</x:v>
      </x:c>
      <x:c r="C975" s="5" t="str">
        <x:v>3</x:v>
      </x:c>
      <x:c r="D975" s="5" t="str">
        <x:v>Recht und Steuern</x:v>
      </x:c>
      <x:c r="E975" s="5" t="str">
        <x:v>Recht</x:v>
      </x:c>
      <x:c r="F975" s="5" t="str">
        <x:v>ui-wq-recht-schuld</x:v>
      </x:c>
      <x:c r="G975" s="5" t="str">
        <x:v>BGB Schuldrecht</x:v>
      </x:c>
      <x:c r="H975" s="5" t="str">
        <x:v>tr-wq-r02</x:v>
      </x:c>
      <x:c r="I975" s="5" t="str">
        <x:v>3.1.2.1</x:v>
      </x:c>
      <x:c r="J975" s="5" t="str">
        <x:v>Schuldverhältnisse, AGB, Fristen und Gerichte</x:v>
      </x:c>
      <x:c r="K975" s="5" t="str"/>
      <x:c r="L975" s="5" t="str">
        <x:v>BGB Schuldrecht</x:v>
      </x:c>
      <x:c r="M975" s="5" t="n">
        <x:v>174</x:v>
      </x:c>
      <x:c r="N975" s="5" t="n">
        <x:v>31</x:v>
      </x:c>
      <x:c r="O975" s="5" t="str"/>
      <x:c r="P975" s="5" t="str">
        <x:v>Pilot freigegeben</x:v>
      </x:c>
      <x:c r="Q975" s="5" t="str">
        <x:v>Revision 2 unverändert übernommen</x:v>
      </x:c>
      <x:c r="R975" s="5" t="str">
        <x:v>Circle Harbor schuldet einem Lieferanten 12.000 € aus einem Kaufvertrag. Gleichzeitig besitzt Circle Harbor gegen denselben Lieferanten einen fälligen und durchsetzbaren Geldanspruch über 8.000 €. Beide Forderungen sind auf Euro gerichtet. Circle Harbor erklärt gegenüber dem Lieferanten die Aufrechnung. Prüfen Sie Voraussetzungen und Rechtsfolge.</x:v>
      </x:c>
      <x:c r="S975" s="5" t="str">
        <x:v>afe3d139c1b26d33f65e29b4122c6223098043eb2e27facc39cd67bcb81bf9b6</x:v>
      </x:c>
    </x:row>
    <x:row r="976" ht="36" customHeight="1">
      <x:c r="A976" s="5" t="str">
        <x:v>R-0576</x:v>
      </x:c>
      <x:c r="B976" s="5" t="str">
        <x:v>WQ</x:v>
      </x:c>
      <x:c r="C976" s="5" t="str">
        <x:v>3</x:v>
      </x:c>
      <x:c r="D976" s="5" t="str">
        <x:v>Recht und Steuern</x:v>
      </x:c>
      <x:c r="E976" s="5" t="str">
        <x:v>Recht</x:v>
      </x:c>
      <x:c r="F976" s="5" t="str">
        <x:v>ui-wq-recht-handel</x:v>
      </x:c>
      <x:c r="G976" s="5" t="str">
        <x:v>Handelsrecht</x:v>
      </x:c>
      <x:c r="H976" s="5" t="str">
        <x:v>tr-wq-r15</x:v>
      </x:c>
      <x:c r="I976" s="5" t="str">
        <x:v>3.1.4</x:v>
      </x:c>
      <x:c r="J976" s="5" t="str">
        <x:v>Handelsgeschäfte und Lieferklauseln</x:v>
      </x:c>
      <x:c r="K976" s="5" t="str">
        <x:v>3.1.2.3; 3.1.2.5; HQ 7 (nur Querverweis)</x:v>
      </x:c>
      <x:c r="L976" s="5" t="str">
        <x:v>Handelsrecht</x:v>
      </x:c>
      <x:c r="M976" s="5" t="n">
        <x:v>74</x:v>
      </x:c>
      <x:c r="N976" s="5" t="n">
        <x:v>9</x:v>
      </x:c>
      <x:c r="O976" s="5" t="str"/>
      <x:c r="P976" s="5" t="str">
        <x:v>Pilot freigegeben</x:v>
      </x:c>
      <x:c r="Q976" s="5" t="str">
        <x:v>Revision 2 unverändert übernommen</x:v>
      </x:c>
      <x:c r="R976" s="5" t="str">
        <x:v>Circle Harbor schließt mit einem ausländischen Lieferanten einen Warenkauf und vereinbart ausdrücklich eine Incoterms®-2020-Klausel mit benanntem Ort. Erläutern Sie a) welche Bedeutung Handelsbräuche nach § 346 HGB im kaufmännischen Verkehr haben, b) was Incoterms typischerweise regeln und c) welche Punkte durch eine Incoterms-Klausel nicht automatisch geregelt werden. Warum sollten Klausel, Ort und Fassung genau bezeichnet werden?</x:v>
      </x:c>
      <x:c r="S976" s="5" t="str">
        <x:v>fae19342a4f551c304d5f3d892aaaf83aeac2a548c967f183e5d15c32774512e</x:v>
      </x:c>
    </x:row>
    <x:row r="977" ht="36" customHeight="1">
      <x:c r="A977" s="5" t="str">
        <x:v>R-0577</x:v>
      </x:c>
      <x:c r="B977" s="5" t="str">
        <x:v>WQ</x:v>
      </x:c>
      <x:c r="C977" s="5" t="str">
        <x:v>3</x:v>
      </x:c>
      <x:c r="D977" s="5" t="str">
        <x:v>Recht und Steuern</x:v>
      </x:c>
      <x:c r="E977" s="5" t="str">
        <x:v>Recht</x:v>
      </x:c>
      <x:c r="F977" s="5" t="str">
        <x:v>ui-wq-recht-handel</x:v>
      </x:c>
      <x:c r="G977" s="5" t="str">
        <x:v>Handelsrecht</x:v>
      </x:c>
      <x:c r="H977" s="5" t="str">
        <x:v>tr-wq-r13</x:v>
      </x:c>
      <x:c r="I977" s="5" t="str">
        <x:v>3.1.4.3</x:v>
      </x:c>
      <x:c r="J977" s="5" t="str">
        <x:v>Handelsvertreter, Makler und Absatzpartner</x:v>
      </x:c>
      <x:c r="K977" s="5" t="str"/>
      <x:c r="L977" s="5" t="str">
        <x:v>Handelsrecht</x:v>
      </x:c>
      <x:c r="M977" s="5" t="n">
        <x:v>75</x:v>
      </x:c>
      <x:c r="N977" s="5" t="n">
        <x:v>13</x:v>
      </x:c>
      <x:c r="O977" s="5" t="str"/>
      <x:c r="P977" s="5" t="str">
        <x:v>Pilot freigegeben</x:v>
      </x:c>
      <x:c r="Q977" s="5" t="str">
        <x:v>Revision 2 unverändert übernommen</x:v>
      </x:c>
      <x:c r="R977" s="5" t="str">
        <x:v>Circle Harbor möchte sein Vertriebssystem ausbauen. Vergleichen Sie Handelsvertreter, Vertragshändler und Franchisenehmer hinsichtlich Selbstständigkeit, Handeln im eigenen oder fremden Namen beziehungsweise auf eigene Rechnung, wirtschaftlichem Risiko und typischer Einbindung in das Vertriebssystem.</x:v>
      </x:c>
      <x:c r="S977" s="5" t="str">
        <x:v>3f7c7e4776f04915803904cf2791bc50ce6c00e75686d4025c6ebe7c5e371c61</x:v>
      </x:c>
    </x:row>
    <x:row r="978" ht="36" customHeight="1">
      <x:c r="A978" s="5" t="str">
        <x:v>R-0578</x:v>
      </x:c>
      <x:c r="B978" s="5" t="str">
        <x:v>WQ</x:v>
      </x:c>
      <x:c r="C978" s="5" t="str">
        <x:v>3</x:v>
      </x:c>
      <x:c r="D978" s="5" t="str">
        <x:v>Recht und Steuern</x:v>
      </x:c>
      <x:c r="E978" s="5" t="str">
        <x:v>Recht</x:v>
      </x:c>
      <x:c r="F978" s="5" t="str">
        <x:v>ui-wq-recht-arbeit</x:v>
      </x:c>
      <x:c r="G978" s="5" t="str">
        <x:v>Arbeitsrecht</x:v>
      </x:c>
      <x:c r="H978" s="5" t="str">
        <x:v>tr-wq-r19</x:v>
      </x:c>
      <x:c r="I978" s="5" t="str">
        <x:v>3.1.5</x:v>
      </x:c>
      <x:c r="J978" s="5" t="str">
        <x:v>Tarifverträge und arbeitsrechtliche Normen</x:v>
      </x:c>
      <x:c r="K978" s="5" t="str">
        <x:v>3.1.5.1; 3.1.5.2; 3.1.5.3</x:v>
      </x:c>
      <x:c r="L978" s="5" t="str">
        <x:v>Betriebsverfassungs-, Tarif- &amp; Arbeitsschutzrecht</x:v>
      </x:c>
      <x:c r="M978" s="5" t="n">
        <x:v>116</x:v>
      </x:c>
      <x:c r="N978" s="5" t="n">
        <x:v>4</x:v>
      </x:c>
      <x:c r="O978" s="5" t="str"/>
      <x:c r="P978" s="5" t="str">
        <x:v>Pilot freigegeben</x:v>
      </x:c>
      <x:c r="Q978" s="5" t="str">
        <x:v>Revision 2 unverändert übernommen</x:v>
      </x:c>
      <x:c r="R978" s="5" t="str">
        <x:v>Circle Harbor ist Mitglied eines Arbeitgeberverbands, der einen Tarifvertrag abgeschlossen hat. Mitarbeiterin Mira ist Mitglied der tarifschließenden Gewerkschaft und fällt in den fachlichen, räumlichen und persönlichen Geltungsbereich. Der Tarifvertrag sieht 30 Urlaubstage vor, Miras Arbeitsvertrag 32. a) Warum gilt der Tarifvertrag unmittelbar? b) Welche Urlaubsregel gilt? c) Was bedeutet Nachwirkung, wenn der Tarifvertrag ausläuft und zunächst keine neue Abmachung getroffen wird?</x:v>
      </x:c>
      <x:c r="S978" s="5" t="str">
        <x:v>b439835e9a224c9a5f9e725722055ea4c234d1567c6cf22cb324a7e904864c9c</x:v>
      </x:c>
    </x:row>
    <x:row r="979" ht="36" customHeight="1">
      <x:c r="A979" s="5" t="str">
        <x:v>ST-0001</x:v>
      </x:c>
      <x:c r="B979" s="5" t="str">
        <x:v>WQ</x:v>
      </x:c>
      <x:c r="C979" s="5" t="str">
        <x:v>3</x:v>
      </x:c>
      <x:c r="D979" s="5" t="str">
        <x:v>Recht und Steuern</x:v>
      </x:c>
      <x:c r="E979" s="5" t="str">
        <x:v>Steuern</x:v>
      </x:c>
      <x:c r="F979" s="5" t="str">
        <x:v>ui-wq-steuern-unternehmen</x:v>
      </x:c>
      <x:c r="G979" s="5" t="str">
        <x:v>Unternehmensbezogene Steuern</x:v>
      </x:c>
      <x:c r="H979" s="5" t="str">
        <x:v>tr-wq-s06</x:v>
      </x:c>
      <x:c r="I979" s="5" t="str">
        <x:v>3.2.2.3</x:v>
      </x:c>
      <x:c r="J979" s="5" t="str">
        <x:v>Gewerbesteuer</x:v>
      </x:c>
      <x:c r="K979" s="5" t="str"/>
      <x:c r="L979" s="5" t="str">
        <x:v>Gewerbesteuer</x:v>
      </x:c>
      <x:c r="M979" s="5" t="n">
        <x:v>1</x:v>
      </x:c>
      <x:c r="N979" s="5" t="n">
        <x:v>1</x:v>
      </x:c>
      <x:c r="O979" s="5" t="str"/>
      <x:c r="P979" s="5" t="str">
        <x:v>Pilot freigegeben</x:v>
      </x:c>
      <x:c r="Q979" s="5" t="str">
        <x:v>Revision 2 unverändert übernommen</x:v>
      </x:c>
      <x:c r="R979" s="5" t="str">
        <x:v>Was ist der Steuergegenstand der Gewerbesteuer?</x:v>
      </x:c>
      <x:c r="S979" s="5" t="str">
        <x:v>ad4ab96711b7df88aaacbd952da7e8c1d1a224c9a21e2e10c0cae766d3a38a4b</x:v>
      </x:c>
    </x:row>
    <x:row r="980" ht="36" customHeight="1">
      <x:c r="A980" s="5" t="str">
        <x:v>ST-0002</x:v>
      </x:c>
      <x:c r="B980" s="5" t="str">
        <x:v>WQ</x:v>
      </x:c>
      <x:c r="C980" s="5" t="str">
        <x:v>3</x:v>
      </x:c>
      <x:c r="D980" s="5" t="str">
        <x:v>Recht und Steuern</x:v>
      </x:c>
      <x:c r="E980" s="5" t="str">
        <x:v>Steuern</x:v>
      </x:c>
      <x:c r="F980" s="5" t="str">
        <x:v>ui-wq-steuern-unternehmen</x:v>
      </x:c>
      <x:c r="G980" s="5" t="str">
        <x:v>Unternehmensbezogene Steuern</x:v>
      </x:c>
      <x:c r="H980" s="5" t="str">
        <x:v>tr-wq-s06</x:v>
      </x:c>
      <x:c r="I980" s="5" t="str">
        <x:v>3.2.2.3</x:v>
      </x:c>
      <x:c r="J980" s="5" t="str">
        <x:v>Gewerbesteuer</x:v>
      </x:c>
      <x:c r="K980" s="5" t="str"/>
      <x:c r="L980" s="5" t="str">
        <x:v>Gewerbesteuer</x:v>
      </x:c>
      <x:c r="M980" s="5" t="n">
        <x:v>2</x:v>
      </x:c>
      <x:c r="N980" s="5" t="n">
        <x:v>2</x:v>
      </x:c>
      <x:c r="O980" s="5" t="str"/>
      <x:c r="P980" s="5" t="str">
        <x:v>Pilot freigegeben</x:v>
      </x:c>
      <x:c r="Q980" s="5" t="str">
        <x:v>Revision 2 unverändert übernommen</x:v>
      </x:c>
      <x:c r="R980" s="5" t="str">
        <x:v>Was ist die Besteuerungsgrundlage der Gewerbesteuer?</x:v>
      </x:c>
      <x:c r="S980" s="5" t="str">
        <x:v>2ec3b4546a8f6f97bc06f7a95a3dfb42f8faae55faac844f39d30404498e8a5a</x:v>
      </x:c>
    </x:row>
    <x:row r="981" ht="36" customHeight="1">
      <x:c r="A981" s="5" t="str">
        <x:v>ST-0003</x:v>
      </x:c>
      <x:c r="B981" s="5" t="str">
        <x:v>WQ</x:v>
      </x:c>
      <x:c r="C981" s="5" t="str">
        <x:v>3</x:v>
      </x:c>
      <x:c r="D981" s="5" t="str">
        <x:v>Recht und Steuern</x:v>
      </x:c>
      <x:c r="E981" s="5" t="str">
        <x:v>Steuern</x:v>
      </x:c>
      <x:c r="F981" s="5" t="str">
        <x:v>ui-wq-steuern-unternehmen</x:v>
      </x:c>
      <x:c r="G981" s="5" t="str">
        <x:v>Unternehmensbezogene Steuern</x:v>
      </x:c>
      <x:c r="H981" s="5" t="str">
        <x:v>tr-wq-s06</x:v>
      </x:c>
      <x:c r="I981" s="5" t="str">
        <x:v>3.2.2.3</x:v>
      </x:c>
      <x:c r="J981" s="5" t="str">
        <x:v>Gewerbesteuer</x:v>
      </x:c>
      <x:c r="K981" s="5" t="str"/>
      <x:c r="L981" s="5" t="str">
        <x:v>Gewerbesteuer</x:v>
      </x:c>
      <x:c r="M981" s="5" t="n">
        <x:v>3</x:v>
      </x:c>
      <x:c r="N981" s="5" t="n">
        <x:v>3</x:v>
      </x:c>
      <x:c r="O981" s="5" t="str"/>
      <x:c r="P981" s="5" t="str">
        <x:v>Pilot freigegeben</x:v>
      </x:c>
      <x:c r="Q981" s="5" t="str">
        <x:v>Revision 2 unverändert übernommen</x:v>
      </x:c>
      <x:c r="R981" s="5" t="str">
        <x:v>Worauf ist bei der Ermittlung des Gewerbeertrages insb. bei Personengesellschaften?</x:v>
      </x:c>
      <x:c r="S981" s="5" t="str">
        <x:v>9ba2e2602289de86e905f7d222dfe25696313497238bee7289aaadbdc60100ce</x:v>
      </x:c>
    </x:row>
    <x:row r="982" ht="36" customHeight="1">
      <x:c r="A982" s="5" t="str">
        <x:v>ST-0004</x:v>
      </x:c>
      <x:c r="B982" s="5" t="str">
        <x:v>WQ</x:v>
      </x:c>
      <x:c r="C982" s="5" t="str">
        <x:v>3</x:v>
      </x:c>
      <x:c r="D982" s="5" t="str">
        <x:v>Recht und Steuern</x:v>
      </x:c>
      <x:c r="E982" s="5" t="str">
        <x:v>Steuern</x:v>
      </x:c>
      <x:c r="F982" s="5" t="str">
        <x:v>ui-wq-steuern-unternehmen</x:v>
      </x:c>
      <x:c r="G982" s="5" t="str">
        <x:v>Unternehmensbezogene Steuern</x:v>
      </x:c>
      <x:c r="H982" s="5" t="str">
        <x:v>tr-wq-s06</x:v>
      </x:c>
      <x:c r="I982" s="5" t="str">
        <x:v>3.2.2.3</x:v>
      </x:c>
      <x:c r="J982" s="5" t="str">
        <x:v>Gewerbesteuer</x:v>
      </x:c>
      <x:c r="K982" s="5" t="str"/>
      <x:c r="L982" s="5" t="str">
        <x:v>Gewerbesteuer</x:v>
      </x:c>
      <x:c r="M982" s="5" t="n">
        <x:v>4</x:v>
      </x:c>
      <x:c r="N982" s="5" t="n">
        <x:v>4</x:v>
      </x:c>
      <x:c r="O982" s="5" t="str"/>
      <x:c r="P982" s="5" t="str">
        <x:v>Pilot freigegeben</x:v>
      </x:c>
      <x:c r="Q982" s="5" t="str">
        <x:v>Revision 2 unverändert übernommen</x:v>
      </x:c>
      <x:c r="R982" s="5" t="str">
        <x:v>Wozu dienen gewerbesteuerliche hinzurechnungen und Kürzungen?</x:v>
      </x:c>
      <x:c r="S982" s="5" t="str">
        <x:v>ee191d16ff63e7b29c18c32f31b1a8fb21b97402b631fbfdd5ae51a30beb5192</x:v>
      </x:c>
    </x:row>
    <x:row r="983" ht="36" customHeight="1">
      <x:c r="A983" s="5" t="str">
        <x:v>ST-0005</x:v>
      </x:c>
      <x:c r="B983" s="5" t="str">
        <x:v>WQ</x:v>
      </x:c>
      <x:c r="C983" s="5" t="str">
        <x:v>3</x:v>
      </x:c>
      <x:c r="D983" s="5" t="str">
        <x:v>Recht und Steuern</x:v>
      </x:c>
      <x:c r="E983" s="5" t="str">
        <x:v>Steuern</x:v>
      </x:c>
      <x:c r="F983" s="5" t="str">
        <x:v>ui-wq-steuern-unternehmen</x:v>
      </x:c>
      <x:c r="G983" s="5" t="str">
        <x:v>Unternehmensbezogene Steuern</x:v>
      </x:c>
      <x:c r="H983" s="5" t="str">
        <x:v>tr-wq-s06</x:v>
      </x:c>
      <x:c r="I983" s="5" t="str">
        <x:v>3.2.2.3</x:v>
      </x:c>
      <x:c r="J983" s="5" t="str">
        <x:v>Gewerbesteuer</x:v>
      </x:c>
      <x:c r="K983" s="5" t="str"/>
      <x:c r="L983" s="5" t="str">
        <x:v>Gewerbesteuer</x:v>
      </x:c>
      <x:c r="M983" s="5" t="n">
        <x:v>5</x:v>
      </x:c>
      <x:c r="N983" s="5" t="n">
        <x:v>5</x:v>
      </x:c>
      <x:c r="O983" s="5" t="str"/>
      <x:c r="P983" s="5" t="str">
        <x:v>Pilot freigegeben</x:v>
      </x:c>
      <x:c r="Q983" s="5" t="str">
        <x:v>Revision 2 unverändert übernommen</x:v>
      </x:c>
      <x:c r="R983" s="5" t="str">
        <x:v>Was bedeutet das Schachtelprivileg des Gewerbesteuergesetztes?</x:v>
      </x:c>
      <x:c r="S983" s="5" t="str">
        <x:v>5cd01ac26893abda9f0a174ae800d9f58902d5abfa046d94cd6e1e6343b0a0f7</x:v>
      </x:c>
    </x:row>
    <x:row r="984" ht="36" customHeight="1">
      <x:c r="A984" s="5" t="str">
        <x:v>ST-0006</x:v>
      </x:c>
      <x:c r="B984" s="5" t="str">
        <x:v>WQ</x:v>
      </x:c>
      <x:c r="C984" s="5" t="str">
        <x:v>3</x:v>
      </x:c>
      <x:c r="D984" s="5" t="str">
        <x:v>Recht und Steuern</x:v>
      </x:c>
      <x:c r="E984" s="5" t="str">
        <x:v>Steuern</x:v>
      </x:c>
      <x:c r="F984" s="5" t="str">
        <x:v>ui-wq-steuern-unternehmen</x:v>
      </x:c>
      <x:c r="G984" s="5" t="str">
        <x:v>Unternehmensbezogene Steuern</x:v>
      </x:c>
      <x:c r="H984" s="5" t="str">
        <x:v>tr-wq-s06</x:v>
      </x:c>
      <x:c r="I984" s="5" t="str">
        <x:v>3.2.2.3</x:v>
      </x:c>
      <x:c r="J984" s="5" t="str">
        <x:v>Gewerbesteuer</x:v>
      </x:c>
      <x:c r="K984" s="5" t="str"/>
      <x:c r="L984" s="5" t="str">
        <x:v>Gewerbesteuer</x:v>
      </x:c>
      <x:c r="M984" s="5" t="n">
        <x:v>6</x:v>
      </x:c>
      <x:c r="N984" s="5" t="n">
        <x:v>6</x:v>
      </x:c>
      <x:c r="O984" s="5" t="str"/>
      <x:c r="P984" s="5" t="str">
        <x:v>Pilot freigegeben</x:v>
      </x:c>
      <x:c r="Q984" s="5" t="str">
        <x:v>Revision 2 unverändert übernommen</x:v>
      </x:c>
      <x:c r="R984" s="5" t="str">
        <x:v>Wodurch unterscheiden sich der Verlustabzug nach § 10 a GewSTG und der Verlustabzug nach § 10d EStG voneinander?</x:v>
      </x:c>
      <x:c r="S984" s="5" t="str">
        <x:v>e50872fd5901c5bd8ee4771984c0105b06fa621f17231b6bda1972c237fbb40a</x:v>
      </x:c>
    </x:row>
    <x:row r="985" ht="36" customHeight="1">
      <x:c r="A985" s="5" t="str">
        <x:v>ST-0007</x:v>
      </x:c>
      <x:c r="B985" s="5" t="str">
        <x:v>WQ</x:v>
      </x:c>
      <x:c r="C985" s="5" t="str">
        <x:v>3</x:v>
      </x:c>
      <x:c r="D985" s="5" t="str">
        <x:v>Recht und Steuern</x:v>
      </x:c>
      <x:c r="E985" s="5" t="str">
        <x:v>Steuern</x:v>
      </x:c>
      <x:c r="F985" s="5" t="str">
        <x:v>ui-wq-steuern-unternehmen</x:v>
      </x:c>
      <x:c r="G985" s="5" t="str">
        <x:v>Unternehmensbezogene Steuern</x:v>
      </x:c>
      <x:c r="H985" s="5" t="str">
        <x:v>tr-wq-s06</x:v>
      </x:c>
      <x:c r="I985" s="5" t="str">
        <x:v>3.2.2.3</x:v>
      </x:c>
      <x:c r="J985" s="5" t="str">
        <x:v>Gewerbesteuer</x:v>
      </x:c>
      <x:c r="K985" s="5" t="str"/>
      <x:c r="L985" s="5" t="str">
        <x:v>Gewerbesteuer</x:v>
      </x:c>
      <x:c r="M985" s="5" t="n">
        <x:v>7</x:v>
      </x:c>
      <x:c r="N985" s="5" t="n">
        <x:v>7</x:v>
      </x:c>
      <x:c r="O985" s="5" t="str"/>
      <x:c r="P985" s="5" t="str">
        <x:v>Pilot freigegeben</x:v>
      </x:c>
      <x:c r="Q985" s="5" t="str">
        <x:v>Revision 2 unverändert übernommen</x:v>
      </x:c>
      <x:c r="R985" s="5" t="str">
        <x:v>Wie gelangen Sie bei der Veranlagung vom Gewerbeertrag bis zur Gewerbesteuerschuld?</x:v>
      </x:c>
      <x:c r="S985" s="5" t="str">
        <x:v>ab46966ef5873f23fb0151dd455ad9f4c46084fdf584fc84bdaa5154a7c5e090</x:v>
      </x:c>
    </x:row>
    <x:row r="986" ht="36" customHeight="1">
      <x:c r="A986" s="5" t="str">
        <x:v>ST-0008</x:v>
      </x:c>
      <x:c r="B986" s="5" t="str">
        <x:v>WQ</x:v>
      </x:c>
      <x:c r="C986" s="5" t="str">
        <x:v>3</x:v>
      </x:c>
      <x:c r="D986" s="5" t="str">
        <x:v>Recht und Steuern</x:v>
      </x:c>
      <x:c r="E986" s="5" t="str">
        <x:v>Steuern</x:v>
      </x:c>
      <x:c r="F986" s="5" t="str">
        <x:v>ui-wq-steuern-unternehmen</x:v>
      </x:c>
      <x:c r="G986" s="5" t="str">
        <x:v>Unternehmensbezogene Steuern</x:v>
      </x:c>
      <x:c r="H986" s="5" t="str">
        <x:v>tr-wq-s06</x:v>
      </x:c>
      <x:c r="I986" s="5" t="str">
        <x:v>3.2.2.3</x:v>
      </x:c>
      <x:c r="J986" s="5" t="str">
        <x:v>Gewerbesteuer</x:v>
      </x:c>
      <x:c r="K986" s="5" t="str"/>
      <x:c r="L986" s="5" t="str">
        <x:v>Gewerbesteuer</x:v>
      </x:c>
      <x:c r="M986" s="5" t="n">
        <x:v>8</x:v>
      </x:c>
      <x:c r="N986" s="5" t="n">
        <x:v>8</x:v>
      </x:c>
      <x:c r="O986" s="5" t="str"/>
      <x:c r="P986" s="5" t="str">
        <x:v>Pilot freigegeben</x:v>
      </x:c>
      <x:c r="Q986" s="5" t="str">
        <x:v>Revision 2 unverändert übernommen</x:v>
      </x:c>
      <x:c r="R986" s="5" t="str">
        <x:v>Was bedeutet gewerbesteuerlich die Zerlegung, wann ist diese erforderlich und wie ist dabei vorzugehen?</x:v>
      </x:c>
      <x:c r="S986" s="5" t="str">
        <x:v>eb53b0a511f9d11c52dc5e0911841ba91f6e0acf6fdc550a96f268f7d630c0db</x:v>
      </x:c>
    </x:row>
    <x:row r="987" ht="36" customHeight="1">
      <x:c r="A987" s="5" t="str">
        <x:v>ST-0009</x:v>
      </x:c>
      <x:c r="B987" s="5" t="str">
        <x:v>WQ</x:v>
      </x:c>
      <x:c r="C987" s="5" t="str">
        <x:v>3</x:v>
      </x:c>
      <x:c r="D987" s="5" t="str">
        <x:v>Recht und Steuern</x:v>
      </x:c>
      <x:c r="E987" s="5" t="str">
        <x:v>Steuern</x:v>
      </x:c>
      <x:c r="F987" s="5" t="str">
        <x:v>ui-wq-steuern-unternehmen</x:v>
      </x:c>
      <x:c r="G987" s="5" t="str">
        <x:v>Unternehmensbezogene Steuern</x:v>
      </x:c>
      <x:c r="H987" s="5" t="str">
        <x:v>tr-wq-s05</x:v>
      </x:c>
      <x:c r="I987" s="5" t="str">
        <x:v>3.2.2.2</x:v>
      </x:c>
      <x:c r="J987" s="5" t="str">
        <x:v>Körperschaftsteuer und Beteiligungen</x:v>
      </x:c>
      <x:c r="K987" s="5" t="str"/>
      <x:c r="L987" s="5" t="str">
        <x:v>Körperschaftsteuer &amp; Kapitalertragsteuer</x:v>
      </x:c>
      <x:c r="M987" s="5" t="n">
        <x:v>9</x:v>
      </x:c>
      <x:c r="N987" s="5" t="n">
        <x:v>1</x:v>
      </x:c>
      <x:c r="O987" s="5" t="str"/>
      <x:c r="P987" s="5" t="str">
        <x:v>Pilot freigegeben</x:v>
      </x:c>
      <x:c r="Q987" s="5" t="str">
        <x:v>Revision 2 unverändert übernommen</x:v>
      </x:c>
      <x:c r="R987" s="5" t="str">
        <x:v>Worin besteht der Unterschied zwischen unbeschränkter und beschränkter Körper
schaftsteuerpflicht? </x:v>
      </x:c>
      <x:c r="S987" s="5" t="str">
        <x:v>784b89a23b2f76a0dfa29d691c866a7a37473db64000ff3dcba9459f5b2cb16b</x:v>
      </x:c>
    </x:row>
    <x:row r="988" ht="36" customHeight="1">
      <x:c r="A988" s="5" t="str">
        <x:v>ST-0010</x:v>
      </x:c>
      <x:c r="B988" s="5" t="str">
        <x:v>WQ</x:v>
      </x:c>
      <x:c r="C988" s="5" t="str">
        <x:v>3</x:v>
      </x:c>
      <x:c r="D988" s="5" t="str">
        <x:v>Recht und Steuern</x:v>
      </x:c>
      <x:c r="E988" s="5" t="str">
        <x:v>Steuern</x:v>
      </x:c>
      <x:c r="F988" s="5" t="str">
        <x:v>ui-wq-steuern-unternehmen</x:v>
      </x:c>
      <x:c r="G988" s="5" t="str">
        <x:v>Unternehmensbezogene Steuern</x:v>
      </x:c>
      <x:c r="H988" s="5" t="str">
        <x:v>tr-wq-s05</x:v>
      </x:c>
      <x:c r="I988" s="5" t="str">
        <x:v>3.2.2.2</x:v>
      </x:c>
      <x:c r="J988" s="5" t="str">
        <x:v>Körperschaftsteuer und Beteiligungen</x:v>
      </x:c>
      <x:c r="K988" s="5" t="str"/>
      <x:c r="L988" s="5" t="str">
        <x:v>Körperschaftsteuer &amp; Kapitalertragsteuer</x:v>
      </x:c>
      <x:c r="M988" s="5" t="n">
        <x:v>10</x:v>
      </x:c>
      <x:c r="N988" s="5" t="n">
        <x:v>2</x:v>
      </x:c>
      <x:c r="O988" s="5" t="str"/>
      <x:c r="P988" s="5" t="str">
        <x:v>Pilot freigegeben</x:v>
      </x:c>
      <x:c r="Q988" s="5" t="str">
        <x:v>Revision 2 unverändert übernommen</x:v>
      </x:c>
      <x:c r="R988" s="5" t="str">
        <x:v>Was ist die Bemessungsgrundlage der Körperschaftsteuer?</x:v>
      </x:c>
      <x:c r="S988" s="5" t="str">
        <x:v>dc45fadd40e6064d2d302a95b292791db73137c427de2c84f5aebc4d15f398b5</x:v>
      </x:c>
    </x:row>
    <x:row r="989" ht="36" customHeight="1">
      <x:c r="A989" s="5" t="str">
        <x:v>ST-0011</x:v>
      </x:c>
      <x:c r="B989" s="5" t="str">
        <x:v>WQ</x:v>
      </x:c>
      <x:c r="C989" s="5" t="str">
        <x:v>3</x:v>
      </x:c>
      <x:c r="D989" s="5" t="str">
        <x:v>Recht und Steuern</x:v>
      </x:c>
      <x:c r="E989" s="5" t="str">
        <x:v>Steuern</x:v>
      </x:c>
      <x:c r="F989" s="5" t="str">
        <x:v>ui-wq-steuern-unternehmen</x:v>
      </x:c>
      <x:c r="G989" s="5" t="str">
        <x:v>Unternehmensbezogene Steuern</x:v>
      </x:c>
      <x:c r="H989" s="5" t="str">
        <x:v>tr-wq-s05</x:v>
      </x:c>
      <x:c r="I989" s="5" t="str">
        <x:v>3.2.2.2</x:v>
      </x:c>
      <x:c r="J989" s="5" t="str">
        <x:v>Körperschaftsteuer und Beteiligungen</x:v>
      </x:c>
      <x:c r="K989" s="5" t="str"/>
      <x:c r="L989" s="5" t="str">
        <x:v>Körperschaftsteuer &amp; Kapitalertragsteuer</x:v>
      </x:c>
      <x:c r="M989" s="5" t="n">
        <x:v>11</x:v>
      </x:c>
      <x:c r="N989" s="5" t="n">
        <x:v>3</x:v>
      </x:c>
      <x:c r="O989" s="5" t="str"/>
      <x:c r="P989" s="5" t="str">
        <x:v>Pilot freigegeben</x:v>
      </x:c>
      <x:c r="Q989" s="5" t="str">
        <x:v>Revision 2 unverändert übernommen</x:v>
      </x:c>
      <x:c r="R989" s="5" t="str">
        <x:v>Was ist eine verdeckte Gewinnausschüttung und wie wird diese steuerlich behandelt?</x:v>
      </x:c>
      <x:c r="S989" s="5" t="str">
        <x:v>3c6d1579e850e4e241db39b65707a82c860a6bbdc84d08e7da78828af101c17a</x:v>
      </x:c>
    </x:row>
    <x:row r="990" ht="36" customHeight="1">
      <x:c r="A990" s="5" t="str">
        <x:v>ST-0012</x:v>
      </x:c>
      <x:c r="B990" s="5" t="str">
        <x:v>WQ</x:v>
      </x:c>
      <x:c r="C990" s="5" t="str">
        <x:v>3</x:v>
      </x:c>
      <x:c r="D990" s="5" t="str">
        <x:v>Recht und Steuern</x:v>
      </x:c>
      <x:c r="E990" s="5" t="str">
        <x:v>Steuern</x:v>
      </x:c>
      <x:c r="F990" s="5" t="str">
        <x:v>ui-wq-steuern-unternehmen</x:v>
      </x:c>
      <x:c r="G990" s="5" t="str">
        <x:v>Unternehmensbezogene Steuern</x:v>
      </x:c>
      <x:c r="H990" s="5" t="str">
        <x:v>tr-wq-s05</x:v>
      </x:c>
      <x:c r="I990" s="5" t="str">
        <x:v>3.2.2.2</x:v>
      </x:c>
      <x:c r="J990" s="5" t="str">
        <x:v>Körperschaftsteuer und Beteiligungen</x:v>
      </x:c>
      <x:c r="K990" s="5" t="str"/>
      <x:c r="L990" s="5" t="str">
        <x:v>Körperschaftsteuer &amp; Kapitalertragsteuer</x:v>
      </x:c>
      <x:c r="M990" s="5" t="n">
        <x:v>12</x:v>
      </x:c>
      <x:c r="N990" s="5" t="n">
        <x:v>4</x:v>
      </x:c>
      <x:c r="O990" s="5" t="str"/>
      <x:c r="P990" s="5" t="str">
        <x:v>Pilot freigegeben</x:v>
      </x:c>
      <x:c r="Q990" s="5" t="str">
        <x:v>Revision 2 unverändert übernommen</x:v>
      </x:c>
      <x:c r="R990" s="5" t="str">
        <x:v>Wie ist mit einem negativen zu versteuernden Einkommen umzugehen?</x:v>
      </x:c>
      <x:c r="S990" s="5" t="str">
        <x:v>7c31d242576add1ab0c6a5f963e61872e21f465be8d5064ae1a4123b79ae7a0a</x:v>
      </x:c>
    </x:row>
    <x:row r="991" ht="36" customHeight="1">
      <x:c r="A991" s="5" t="str">
        <x:v>ST-0013</x:v>
      </x:c>
      <x:c r="B991" s="5" t="str">
        <x:v>WQ</x:v>
      </x:c>
      <x:c r="C991" s="5" t="str">
        <x:v>3</x:v>
      </x:c>
      <x:c r="D991" s="5" t="str">
        <x:v>Recht und Steuern</x:v>
      </x:c>
      <x:c r="E991" s="5" t="str">
        <x:v>Steuern</x:v>
      </x:c>
      <x:c r="F991" s="5" t="str">
        <x:v>ui-wq-steuern-unternehmen</x:v>
      </x:c>
      <x:c r="G991" s="5" t="str">
        <x:v>Unternehmensbezogene Steuern</x:v>
      </x:c>
      <x:c r="H991" s="5" t="str">
        <x:v>tr-wq-s05</x:v>
      </x:c>
      <x:c r="I991" s="5" t="str">
        <x:v>3.2.2.2</x:v>
      </x:c>
      <x:c r="J991" s="5" t="str">
        <x:v>Körperschaftsteuer und Beteiligungen</x:v>
      </x:c>
      <x:c r="K991" s="5" t="str"/>
      <x:c r="L991" s="5" t="str">
        <x:v>Körperschaftsteuer &amp; Kapitalertragsteuer</x:v>
      </x:c>
      <x:c r="M991" s="5" t="n">
        <x:v>13</x:v>
      </x:c>
      <x:c r="N991" s="5" t="n">
        <x:v>5</x:v>
      </x:c>
      <x:c r="O991" s="5" t="str"/>
      <x:c r="P991" s="5" t="str">
        <x:v>Pilot freigegeben</x:v>
      </x:c>
      <x:c r="Q991" s="5" t="str">
        <x:v>Revision 2 unverändert übernommen</x:v>
      </x:c>
      <x:c r="R991" s="5" t="str">
        <x:v>Wie sind Gewinnausschüttungen und Veräußerungsgewinne aus Beteiligungen im Be
triebsvermögen zu versteuern? </x:v>
      </x:c>
      <x:c r="S991" s="5" t="str">
        <x:v>cb37e9729871738e95c35928a9f8dc4d968c0b42f37848749e66a89f75cce02d</x:v>
      </x:c>
    </x:row>
    <x:row r="992" ht="36" customHeight="1">
      <x:c r="A992" s="5" t="str">
        <x:v>ST-0014</x:v>
      </x:c>
      <x:c r="B992" s="5" t="str">
        <x:v>WQ</x:v>
      </x:c>
      <x:c r="C992" s="5" t="str">
        <x:v>3</x:v>
      </x:c>
      <x:c r="D992" s="5" t="str">
        <x:v>Recht und Steuern</x:v>
      </x:c>
      <x:c r="E992" s="5" t="str">
        <x:v>Steuern</x:v>
      </x:c>
      <x:c r="F992" s="5" t="str">
        <x:v>ui-wq-steuern-unternehmen</x:v>
      </x:c>
      <x:c r="G992" s="5" t="str">
        <x:v>Unternehmensbezogene Steuern</x:v>
      </x:c>
      <x:c r="H992" s="5" t="str">
        <x:v>tr-wq-s02</x:v>
      </x:c>
      <x:c r="I992" s="5" t="str">
        <x:v>3.2.2.1</x:v>
      </x:c>
      <x:c r="J992" s="5" t="str">
        <x:v>Einkommensteuer – Einkunftsarten &amp; Gewinnermittlung</x:v>
      </x:c>
      <x:c r="K992" s="5" t="str">
        <x:v>3.2.2.1; 3.2.2.4</x:v>
      </x:c>
      <x:c r="L992" s="5" t="str">
        <x:v>Körperschaftsteuer &amp; Kapitalertragsteuer</x:v>
      </x:c>
      <x:c r="M992" s="5" t="n">
        <x:v>14</x:v>
      </x:c>
      <x:c r="N992" s="5" t="n">
        <x:v>1</x:v>
      </x:c>
      <x:c r="O992" s="5" t="str"/>
      <x:c r="P992" s="5" t="str">
        <x:v>Pilot freigegeben</x:v>
      </x:c>
      <x:c r="Q992" s="5" t="str">
        <x:v>Revision 2 unverändert übernommen</x:v>
      </x:c>
      <x:c r="R992" s="5" t="str">
        <x:v>Was bedeutet der Begriff Teileinkünfteverfahren?</x:v>
      </x:c>
      <x:c r="S992" s="5" t="str">
        <x:v>db8ebbfef019617dbfb4a95fa29165dc67521b76dba39f5ce1e470a674dc98c2</x:v>
      </x:c>
    </x:row>
    <x:row r="993" ht="36" customHeight="1">
      <x:c r="A993" s="5" t="str">
        <x:v>ST-0015</x:v>
      </x:c>
      <x:c r="B993" s="5" t="str">
        <x:v>WQ</x:v>
      </x:c>
      <x:c r="C993" s="5" t="str">
        <x:v>3</x:v>
      </x:c>
      <x:c r="D993" s="5" t="str">
        <x:v>Recht und Steuern</x:v>
      </x:c>
      <x:c r="E993" s="5" t="str">
        <x:v>Steuern</x:v>
      </x:c>
      <x:c r="F993" s="5" t="str">
        <x:v>ui-wq-steuern-unternehmen</x:v>
      </x:c>
      <x:c r="G993" s="5" t="str">
        <x:v>Unternehmensbezogene Steuern</x:v>
      </x:c>
      <x:c r="H993" s="5" t="str">
        <x:v>tr-wq-s07</x:v>
      </x:c>
      <x:c r="I993" s="5" t="str">
        <x:v>3.2.2.4</x:v>
      </x:c>
      <x:c r="J993" s="5" t="str">
        <x:v>Kapitalertragsteuer und Steuerabzug</x:v>
      </x:c>
      <x:c r="K993" s="5" t="str"/>
      <x:c r="L993" s="5" t="str">
        <x:v>Körperschaftsteuer &amp; Kapitalertragsteuer</x:v>
      </x:c>
      <x:c r="M993" s="5" t="n">
        <x:v>15</x:v>
      </x:c>
      <x:c r="N993" s="5" t="n">
        <x:v>1</x:v>
      </x:c>
      <x:c r="O993" s="5" t="str"/>
      <x:c r="P993" s="5" t="str">
        <x:v>Pilot freigegeben</x:v>
      </x:c>
      <x:c r="Q993" s="5" t="str">
        <x:v>Revision 2 unverändert übernommen</x:v>
      </x:c>
      <x:c r="R993" s="5" t="str">
        <x:v>Was ist die Kapitalertragsteuer?</x:v>
      </x:c>
      <x:c r="S993" s="5" t="str">
        <x:v>c3bfeb609fe3ecea88ddabcafabfb7629a20f98d6e0b60868f3824e42014ca2b</x:v>
      </x:c>
    </x:row>
    <x:row r="994" ht="36" customHeight="1">
      <x:c r="A994" s="5" t="str">
        <x:v>ST-0016</x:v>
      </x:c>
      <x:c r="B994" s="5" t="str">
        <x:v>WQ</x:v>
      </x:c>
      <x:c r="C994" s="5" t="str">
        <x:v>3</x:v>
      </x:c>
      <x:c r="D994" s="5" t="str">
        <x:v>Recht und Steuern</x:v>
      </x:c>
      <x:c r="E994" s="5" t="str">
        <x:v>Steuern</x:v>
      </x:c>
      <x:c r="F994" s="5" t="str">
        <x:v>ui-wq-steuern-grundlagen</x:v>
      </x:c>
      <x:c r="G994" s="5" t="str">
        <x:v>Grundbegriffe des Steuerrechts</x:v>
      </x:c>
      <x:c r="H994" s="5" t="str">
        <x:v>tr-wq-s01</x:v>
      </x:c>
      <x:c r="I994" s="5" t="str">
        <x:v>3.2.1</x:v>
      </x:c>
      <x:c r="J994" s="5" t="str">
        <x:v>Steuerliche Grundlagen &amp; Systematik</x:v>
      </x:c>
      <x:c r="K994" s="5" t="str"/>
      <x:c r="L994" s="5" t="str">
        <x:v>Steuerliche Grundlagen &amp; Systematik</x:v>
      </x:c>
      <x:c r="M994" s="5" t="n">
        <x:v>1</x:v>
      </x:c>
      <x:c r="N994" s="5" t="n">
        <x:v>1</x:v>
      </x:c>
      <x:c r="O994" s="5" t="str"/>
      <x:c r="P994" s="5" t="str">
        <x:v>Pilot freigegeben</x:v>
      </x:c>
      <x:c r="Q994" s="5" t="str">
        <x:v>Revision 2 unverändert übernommen</x:v>
      </x:c>
      <x:c r="R994" s="5" t="str">
        <x:v>Definieren Sie den Begriff „Steuern“ und grenzen Sie Steuern von Gebühren und Beiträgen ab.</x:v>
      </x:c>
      <x:c r="S994" s="5" t="str">
        <x:v>c567090b4f1ca22d56b601e4b2ad49195b48760581d4589b378003c1f8d5b621</x:v>
      </x:c>
    </x:row>
    <x:row r="995" ht="36" customHeight="1">
      <x:c r="A995" s="5" t="str">
        <x:v>ST-0017</x:v>
      </x:c>
      <x:c r="B995" s="5" t="str">
        <x:v>WQ</x:v>
      </x:c>
      <x:c r="C995" s="5" t="str">
        <x:v>3</x:v>
      </x:c>
      <x:c r="D995" s="5" t="str">
        <x:v>Recht und Steuern</x:v>
      </x:c>
      <x:c r="E995" s="5" t="str">
        <x:v>Steuern</x:v>
      </x:c>
      <x:c r="F995" s="5" t="str">
        <x:v>ui-wq-steuern-grundlagen</x:v>
      </x:c>
      <x:c r="G995" s="5" t="str">
        <x:v>Grundbegriffe des Steuerrechts</x:v>
      </x:c>
      <x:c r="H995" s="5" t="str">
        <x:v>tr-wq-s01</x:v>
      </x:c>
      <x:c r="I995" s="5" t="str">
        <x:v>3.2.1</x:v>
      </x:c>
      <x:c r="J995" s="5" t="str">
        <x:v>Steuerliche Grundlagen &amp; Systematik</x:v>
      </x:c>
      <x:c r="K995" s="5" t="str"/>
      <x:c r="L995" s="5" t="str">
        <x:v>Steuerliche Grundlagen &amp; Systematik</x:v>
      </x:c>
      <x:c r="M995" s="5" t="n">
        <x:v>2</x:v>
      </x:c>
      <x:c r="N995" s="5" t="n">
        <x:v>2</x:v>
      </x:c>
      <x:c r="O995" s="5" t="str"/>
      <x:c r="P995" s="5" t="str">
        <x:v>Pilot freigegeben</x:v>
      </x:c>
      <x:c r="Q995" s="5" t="str">
        <x:v>Revision 2 unverändert übernommen</x:v>
      </x:c>
      <x:c r="R995" s="5" t="str">
        <x:v>Beschreiben Sie die Begriffe Steuerpflichtiger, Steuerschuldner, Steuergläubiger und Steuerträger.</x:v>
      </x:c>
      <x:c r="S995" s="5" t="str">
        <x:v>abbebf4a9d684ac925b10fec9b2670069d9586d4e8a4275ea0b9661ba1309f40</x:v>
      </x:c>
    </x:row>
    <x:row r="996" ht="36" customHeight="1">
      <x:c r="A996" s="5" t="str">
        <x:v>ST-0018</x:v>
      </x:c>
      <x:c r="B996" s="5" t="str">
        <x:v>WQ</x:v>
      </x:c>
      <x:c r="C996" s="5" t="str">
        <x:v>3</x:v>
      </x:c>
      <x:c r="D996" s="5" t="str">
        <x:v>Recht und Steuern</x:v>
      </x:c>
      <x:c r="E996" s="5" t="str">
        <x:v>Steuern</x:v>
      </x:c>
      <x:c r="F996" s="5" t="str">
        <x:v>ui-wq-steuern-grundlagen</x:v>
      </x:c>
      <x:c r="G996" s="5" t="str">
        <x:v>Grundbegriffe des Steuerrechts</x:v>
      </x:c>
      <x:c r="H996" s="5" t="str">
        <x:v>tr-wq-s01</x:v>
      </x:c>
      <x:c r="I996" s="5" t="str">
        <x:v>3.2.1</x:v>
      </x:c>
      <x:c r="J996" s="5" t="str">
        <x:v>Steuerliche Grundlagen &amp; Systematik</x:v>
      </x:c>
      <x:c r="K996" s="5" t="str"/>
      <x:c r="L996" s="5" t="str">
        <x:v>Steuerliche Grundlagen &amp; Systematik</x:v>
      </x:c>
      <x:c r="M996" s="5" t="n">
        <x:v>3</x:v>
      </x:c>
      <x:c r="N996" s="5" t="n">
        <x:v>3</x:v>
      </x:c>
      <x:c r="O996" s="5" t="str"/>
      <x:c r="P996" s="5" t="str">
        <x:v>Pilot freigegeben</x:v>
      </x:c>
      <x:c r="Q996" s="5" t="str">
        <x:v>Revision 2 unverändert übernommen</x:v>
      </x:c>
      <x:c r="R996" s="5" t="str">
        <x:v>Entscheiden Sie, ob die folgenden Steuerarten direkte oder indirekte Steuern sind: Grunderwerbsteuer, Grundsteuer, Umsatzsteuer, Einkommensteuer, Biersteuer, Energiesteuer, Körperschaftsteuer, Versicherungsteuer, Gewerbesteuer, Tabaksteuer.</x:v>
      </x:c>
      <x:c r="S996" s="5" t="str">
        <x:v>ea27e6332bcd950f08233ee441269156f5a6a8e2f7075998790805fe05f37888</x:v>
      </x:c>
    </x:row>
    <x:row r="997" ht="36" customHeight="1">
      <x:c r="A997" s="5" t="str">
        <x:v>ST-0019</x:v>
      </x:c>
      <x:c r="B997" s="5" t="str">
        <x:v>WQ</x:v>
      </x:c>
      <x:c r="C997" s="5" t="str">
        <x:v>3</x:v>
      </x:c>
      <x:c r="D997" s="5" t="str">
        <x:v>Recht und Steuern</x:v>
      </x:c>
      <x:c r="E997" s="5" t="str">
        <x:v>Steuern</x:v>
      </x:c>
      <x:c r="F997" s="5" t="str">
        <x:v>ui-wq-steuern-grundlagen</x:v>
      </x:c>
      <x:c r="G997" s="5" t="str">
        <x:v>Grundbegriffe des Steuerrechts</x:v>
      </x:c>
      <x:c r="H997" s="5" t="str">
        <x:v>tr-wq-s01</x:v>
      </x:c>
      <x:c r="I997" s="5" t="str">
        <x:v>3.2.1</x:v>
      </x:c>
      <x:c r="J997" s="5" t="str">
        <x:v>Steuerliche Grundlagen &amp; Systematik</x:v>
      </x:c>
      <x:c r="K997" s="5" t="str"/>
      <x:c r="L997" s="5" t="str">
        <x:v>Steuerliche Grundlagen &amp; Systematik</x:v>
      </x:c>
      <x:c r="M997" s="5" t="n">
        <x:v>4</x:v>
      </x:c>
      <x:c r="N997" s="5" t="n">
        <x:v>4</x:v>
      </x:c>
      <x:c r="O997" s="5" t="str"/>
      <x:c r="P997" s="5" t="str">
        <x:v>Pilot freigegeben</x:v>
      </x:c>
      <x:c r="Q997" s="5" t="str">
        <x:v>Revision 2 unverändert übernommen</x:v>
      </x:c>
      <x:c r="R997" s="5" t="str">
        <x:v>Entscheiden Sie, ob die folgenden Steuerarten Besitzsteuern oder Verkehrsteuern sind: Körperschaftsteuer, Hundesteuer, Umsatzsteuer, Kraftfahrzeugsteuer, Versicherungsteuer, Einkommensteuer.</x:v>
      </x:c>
      <x:c r="S997" s="5" t="str">
        <x:v>9fa321976809f81e21ff979c4e7a8b7aa7f0d620131552f9928608b72747cfb5</x:v>
      </x:c>
    </x:row>
    <x:row r="998" ht="36" customHeight="1">
      <x:c r="A998" s="5" t="str">
        <x:v>ST-0020</x:v>
      </x:c>
      <x:c r="B998" s="5" t="str">
        <x:v>WQ</x:v>
      </x:c>
      <x:c r="C998" s="5" t="str">
        <x:v>3</x:v>
      </x:c>
      <x:c r="D998" s="5" t="str">
        <x:v>Recht und Steuern</x:v>
      </x:c>
      <x:c r="E998" s="5" t="str">
        <x:v>Steuern</x:v>
      </x:c>
      <x:c r="F998" s="5" t="str">
        <x:v>ui-wq-steuern-grundlagen</x:v>
      </x:c>
      <x:c r="G998" s="5" t="str">
        <x:v>Grundbegriffe des Steuerrechts</x:v>
      </x:c>
      <x:c r="H998" s="5" t="str">
        <x:v>tr-wq-s01</x:v>
      </x:c>
      <x:c r="I998" s="5" t="str">
        <x:v>3.2.1</x:v>
      </x:c>
      <x:c r="J998" s="5" t="str">
        <x:v>Steuerliche Grundlagen &amp; Systematik</x:v>
      </x:c>
      <x:c r="K998" s="5" t="str"/>
      <x:c r="L998" s="5" t="str">
        <x:v>Steuerliche Grundlagen &amp; Systematik</x:v>
      </x:c>
      <x:c r="M998" s="5" t="n">
        <x:v>5</x:v>
      </x:c>
      <x:c r="N998" s="5" t="n">
        <x:v>5</x:v>
      </x:c>
      <x:c r="O998" s="5" t="str"/>
      <x:c r="P998" s="5" t="str">
        <x:v>Pilot freigegeben</x:v>
      </x:c>
      <x:c r="Q998" s="5" t="str">
        <x:v>Revision 2 unverändert übernommen</x:v>
      </x:c>
      <x:c r="R998" s="5" t="str">
        <x:v>Wer erhält das Steueraufkommen aus der Körperschaftsteuer und der Gewerbesteuer?</x:v>
      </x:c>
      <x:c r="S998" s="5" t="str">
        <x:v>1e33557d5cd6bfcd6af7c9b6b2cbb59f78dfb54ef8930f1928bcc82716986005</x:v>
      </x:c>
    </x:row>
    <x:row r="999" ht="36" customHeight="1">
      <x:c r="A999" s="5" t="str">
        <x:v>ST-0021</x:v>
      </x:c>
      <x:c r="B999" s="5" t="str">
        <x:v>WQ</x:v>
      </x:c>
      <x:c r="C999" s="5" t="str">
        <x:v>3</x:v>
      </x:c>
      <x:c r="D999" s="5" t="str">
        <x:v>Recht und Steuern</x:v>
      </x:c>
      <x:c r="E999" s="5" t="str">
        <x:v>Steuern</x:v>
      </x:c>
      <x:c r="F999" s="5" t="str">
        <x:v>ui-wq-steuern-unternehmen</x:v>
      </x:c>
      <x:c r="G999" s="5" t="str">
        <x:v>Unternehmensbezogene Steuern</x:v>
      </x:c>
      <x:c r="H999" s="5" t="str">
        <x:v>tr-wq-s02</x:v>
      </x:c>
      <x:c r="I999" s="5" t="str">
        <x:v>3.2.2.1</x:v>
      </x:c>
      <x:c r="J999" s="5" t="str">
        <x:v>Einkommensteuer – Einkunftsarten &amp; Gewinnermittlung</x:v>
      </x:c>
      <x:c r="K999" s="5" t="str"/>
      <x:c r="L999" s="5" t="str">
        <x:v>Steuerliche Grundlagen &amp; Systematik</x:v>
      </x:c>
      <x:c r="M999" s="5" t="n">
        <x:v>16</x:v>
      </x:c>
      <x:c r="N999" s="5" t="n">
        <x:v>2</x:v>
      </x:c>
      <x:c r="O999" s="5" t="str"/>
      <x:c r="P999" s="5" t="str">
        <x:v>Pilot freigegeben</x:v>
      </x:c>
      <x:c r="Q999" s="5" t="str">
        <x:v>Revision 2 unverändert übernommen</x:v>
      </x:c>
      <x:c r="R999" s="5" t="str">
        <x:v>Erläutern Sie den Unterschied zwischen Jahresüberschuss und einkommensteuerlichem Gewinn.</x:v>
      </x:c>
      <x:c r="S999" s="5" t="str">
        <x:v>9599b30c088609c4de2861083a19456cc23ccd22afcf04cc46d8a5d569951dc4</x:v>
      </x:c>
    </x:row>
    <x:row r="1000" ht="36" customHeight="1">
      <x:c r="A1000" s="5" t="str">
        <x:v>ST-0022</x:v>
      </x:c>
      <x:c r="B1000" s="5" t="str">
        <x:v>WQ</x:v>
      </x:c>
      <x:c r="C1000" s="5" t="str">
        <x:v>3</x:v>
      </x:c>
      <x:c r="D1000" s="5" t="str">
        <x:v>Recht und Steuern</x:v>
      </x:c>
      <x:c r="E1000" s="5" t="str">
        <x:v>Steuern</x:v>
      </x:c>
      <x:c r="F1000" s="5" t="str">
        <x:v>ui-wq-steuern-grundlagen</x:v>
      </x:c>
      <x:c r="G1000" s="5" t="str">
        <x:v>Grundbegriffe des Steuerrechts</x:v>
      </x:c>
      <x:c r="H1000" s="5" t="str">
        <x:v>tr-wq-s01</x:v>
      </x:c>
      <x:c r="I1000" s="5" t="str">
        <x:v>3.2.1</x:v>
      </x:c>
      <x:c r="J1000" s="5" t="str">
        <x:v>Steuerliche Grundlagen &amp; Systematik</x:v>
      </x:c>
      <x:c r="K1000" s="5" t="str"/>
      <x:c r="L1000" s="5" t="str">
        <x:v>Steuerliche Grundlagen &amp; Systematik</x:v>
      </x:c>
      <x:c r="M1000" s="5" t="n">
        <x:v>6</x:v>
      </x:c>
      <x:c r="N1000" s="5" t="n">
        <x:v>6</x:v>
      </x:c>
      <x:c r="O1000" s="5" t="str"/>
      <x:c r="P1000" s="5" t="str">
        <x:v>Pilot freigegeben</x:v>
      </x:c>
      <x:c r="Q1000" s="5" t="str">
        <x:v>Revision 2 unverändert übernommen</x:v>
      </x:c>
      <x:c r="R1000" s="5" t="str">
        <x:v>Nennen Sie die fünf Möglichkeiten der Einteilbarkeit von Steuern.</x:v>
      </x:c>
      <x:c r="S1000" s="5" t="str">
        <x:v>5d7c3ecae727081ed2a29ac5af29fc661c0f154484cdf3a8424f7707b4b821d9</x:v>
      </x:c>
    </x:row>
    <x:row r="1001" ht="36" customHeight="1">
      <x:c r="A1001" s="5" t="str">
        <x:v>ST-0023</x:v>
      </x:c>
      <x:c r="B1001" s="5" t="str">
        <x:v>WQ</x:v>
      </x:c>
      <x:c r="C1001" s="5" t="str">
        <x:v>3</x:v>
      </x:c>
      <x:c r="D1001" s="5" t="str">
        <x:v>Recht und Steuern</x:v>
      </x:c>
      <x:c r="E1001" s="5" t="str">
        <x:v>Steuern</x:v>
      </x:c>
      <x:c r="F1001" s="5" t="str">
        <x:v>ui-wq-steuern-grundlagen</x:v>
      </x:c>
      <x:c r="G1001" s="5" t="str">
        <x:v>Grundbegriffe des Steuerrechts</x:v>
      </x:c>
      <x:c r="H1001" s="5" t="str">
        <x:v>tr-wq-s01</x:v>
      </x:c>
      <x:c r="I1001" s="5" t="str">
        <x:v>3.2.1</x:v>
      </x:c>
      <x:c r="J1001" s="5" t="str">
        <x:v>Steuerliche Grundlagen &amp; Systematik</x:v>
      </x:c>
      <x:c r="K1001" s="5" t="str"/>
      <x:c r="L1001" s="5" t="str">
        <x:v>Steuerliche Grundlagen &amp; Systematik</x:v>
      </x:c>
      <x:c r="M1001" s="5" t="n">
        <x:v>7</x:v>
      </x:c>
      <x:c r="N1001" s="5" t="n">
        <x:v>7</x:v>
      </x:c>
      <x:c r="O1001" s="5" t="str"/>
      <x:c r="P1001" s="5" t="str">
        <x:v>Pilot freigegeben</x:v>
      </x:c>
      <x:c r="Q1001" s="5" t="str">
        <x:v>Revision 2 unverändert übernommen</x:v>
      </x:c>
      <x:c r="R1001" s="5" t="str">
        <x:v>Erläutern Sie die Begriffe direkte Steuer und indirekte Steuer.</x:v>
      </x:c>
      <x:c r="S1001" s="5" t="str">
        <x:v>bc1c193d7a2597f6905e747a1cde5818b17b161eaeb742f15f547a00873f0817</x:v>
      </x:c>
    </x:row>
    <x:row r="1002" ht="36" customHeight="1">
      <x:c r="A1002" s="5" t="str">
        <x:v>ST-0024</x:v>
      </x:c>
      <x:c r="B1002" s="5" t="str">
        <x:v>WQ</x:v>
      </x:c>
      <x:c r="C1002" s="5" t="str">
        <x:v>3</x:v>
      </x:c>
      <x:c r="D1002" s="5" t="str">
        <x:v>Recht und Steuern</x:v>
      </x:c>
      <x:c r="E1002" s="5" t="str">
        <x:v>Steuern</x:v>
      </x:c>
      <x:c r="F1002" s="5" t="str">
        <x:v>ui-wq-steuern-unternehmen</x:v>
      </x:c>
      <x:c r="G1002" s="5" t="str">
        <x:v>Unternehmensbezogene Steuern</x:v>
      </x:c>
      <x:c r="H1002" s="5" t="str">
        <x:v>tr-wq-s02</x:v>
      </x:c>
      <x:c r="I1002" s="5" t="str">
        <x:v>3.2.2.1</x:v>
      </x:c>
      <x:c r="J1002" s="5" t="str">
        <x:v>Einkommensteuer – Einkunftsarten &amp; Gewinnermittlung</x:v>
      </x:c>
      <x:c r="K1002" s="5" t="str"/>
      <x:c r="L1002" s="5" t="str">
        <x:v>Einkommensteuer – Einkunftsarten &amp; Gewinnermittlung</x:v>
      </x:c>
      <x:c r="M1002" s="5" t="n">
        <x:v>17</x:v>
      </x:c>
      <x:c r="N1002" s="5" t="n">
        <x:v>3</x:v>
      </x:c>
      <x:c r="O1002" s="5" t="str"/>
      <x:c r="P1002" s="5" t="str">
        <x:v>Pilot freigegeben</x:v>
      </x:c>
      <x:c r="Q1002" s="5" t="str">
        <x:v>Revision 2 unverändert übernommen</x:v>
      </x:c>
      <x:c r="R1002" s="5" t="str">
        <x:v>Ordnen Sie die Fälle dem Umfang der Einkommensteuerpflicht zu: Wohnsitz in Deutschland; gewöhnlicher Aufenthalt in Deutschland; weder Wohnsitz noch gewöhnlicher Aufenthalt in Deutschland, aber inländische Einkünfte im Sinne des § 49 EStG.</x:v>
      </x:c>
      <x:c r="S1002" s="5" t="str">
        <x:v>872c0590507905d9e0bc038d38cc5de2cf01f42663443b75c05b58ba18a4fd61</x:v>
      </x:c>
    </x:row>
    <x:row r="1003" ht="36" customHeight="1">
      <x:c r="A1003" s="5" t="str">
        <x:v>ST-0025</x:v>
      </x:c>
      <x:c r="B1003" s="5" t="str">
        <x:v>WQ</x:v>
      </x:c>
      <x:c r="C1003" s="5" t="str">
        <x:v>3</x:v>
      </x:c>
      <x:c r="D1003" s="5" t="str">
        <x:v>Recht und Steuern</x:v>
      </x:c>
      <x:c r="E1003" s="5" t="str">
        <x:v>Steuern</x:v>
      </x:c>
      <x:c r="F1003" s="5" t="str">
        <x:v>ui-wq-steuern-unternehmen</x:v>
      </x:c>
      <x:c r="G1003" s="5" t="str">
        <x:v>Unternehmensbezogene Steuern</x:v>
      </x:c>
      <x:c r="H1003" s="5" t="str">
        <x:v>tr-wq-s02</x:v>
      </x:c>
      <x:c r="I1003" s="5" t="str">
        <x:v>3.2.2.1</x:v>
      </x:c>
      <x:c r="J1003" s="5" t="str">
        <x:v>Einkommensteuer – Einkunftsarten &amp; Gewinnermittlung</x:v>
      </x:c>
      <x:c r="K1003" s="5" t="str"/>
      <x:c r="L1003" s="5" t="str">
        <x:v>Einkommensteuer – Einkunftsarten &amp; Gewinnermittlung</x:v>
      </x:c>
      <x:c r="M1003" s="5" t="n">
        <x:v>18</x:v>
      </x:c>
      <x:c r="N1003" s="5" t="n">
        <x:v>4</x:v>
      </x:c>
      <x:c r="O1003" s="5" t="str"/>
      <x:c r="P1003" s="5" t="str">
        <x:v>Pilot freigegeben</x:v>
      </x:c>
      <x:c r="Q1003" s="5" t="str">
        <x:v>Revision 2 unverändert übernommen</x:v>
      </x:c>
      <x:c r="R1003" s="5" t="str">
        <x:v>Ordnen Sie den Umfang der Steuerpflicht der jeweiligen Besteuerung zu.</x:v>
      </x:c>
      <x:c r="S1003" s="5" t="str">
        <x:v>99e16df03ce919fa37587049fae39df09347ad5585d0953e311be093e30cdee5</x:v>
      </x:c>
    </x:row>
    <x:row r="1004" ht="36" customHeight="1">
      <x:c r="A1004" s="5" t="str">
        <x:v>ST-0026</x:v>
      </x:c>
      <x:c r="B1004" s="5" t="str">
        <x:v>WQ</x:v>
      </x:c>
      <x:c r="C1004" s="5" t="str">
        <x:v>3</x:v>
      </x:c>
      <x:c r="D1004" s="5" t="str">
        <x:v>Recht und Steuern</x:v>
      </x:c>
      <x:c r="E1004" s="5" t="str">
        <x:v>Steuern</x:v>
      </x:c>
      <x:c r="F1004" s="5" t="str">
        <x:v>ui-wq-steuern-unternehmen</x:v>
      </x:c>
      <x:c r="G1004" s="5" t="str">
        <x:v>Unternehmensbezogene Steuern</x:v>
      </x:c>
      <x:c r="H1004" s="5" t="str">
        <x:v>tr-wq-s02</x:v>
      </x:c>
      <x:c r="I1004" s="5" t="str">
        <x:v>3.2.2.1</x:v>
      </x:c>
      <x:c r="J1004" s="5" t="str">
        <x:v>Einkommensteuer – Einkunftsarten &amp; Gewinnermittlung</x:v>
      </x:c>
      <x:c r="K1004" s="5" t="str"/>
      <x:c r="L1004" s="5" t="str">
        <x:v>Einkommensteuer – Einkunftsarten &amp; Gewinnermittlung</x:v>
      </x:c>
      <x:c r="M1004" s="5" t="n">
        <x:v>19</x:v>
      </x:c>
      <x:c r="N1004" s="5" t="n">
        <x:v>5</x:v>
      </x:c>
      <x:c r="O1004" s="5" t="str"/>
      <x:c r="P1004" s="5" t="str">
        <x:v>Pilot freigegeben</x:v>
      </x:c>
      <x:c r="Q1004" s="5" t="str">
        <x:v>Revision 2 unverändert übernommen</x:v>
      </x:c>
      <x:c r="R1004" s="5" t="str">
        <x:v>Welche Ausgaben sind steuerlich abzugsfähig?</x:v>
      </x:c>
      <x:c r="S1004" s="5" t="str">
        <x:v>36ba486dd52b3be1d78eb14c89a024595fdc266b1acbb91a5df9ce0446222f60</x:v>
      </x:c>
    </x:row>
    <x:row r="1005" ht="36" customHeight="1">
      <x:c r="A1005" s="5" t="str">
        <x:v>ST-0027</x:v>
      </x:c>
      <x:c r="B1005" s="5" t="str">
        <x:v>WQ</x:v>
      </x:c>
      <x:c r="C1005" s="5" t="str">
        <x:v>3</x:v>
      </x:c>
      <x:c r="D1005" s="5" t="str">
        <x:v>Recht und Steuern</x:v>
      </x:c>
      <x:c r="E1005" s="5" t="str">
        <x:v>Steuern</x:v>
      </x:c>
      <x:c r="F1005" s="5" t="str">
        <x:v>ui-wq-steuern-unternehmen</x:v>
      </x:c>
      <x:c r="G1005" s="5" t="str">
        <x:v>Unternehmensbezogene Steuern</x:v>
      </x:c>
      <x:c r="H1005" s="5" t="str">
        <x:v>tr-wq-s02</x:v>
      </x:c>
      <x:c r="I1005" s="5" t="str">
        <x:v>3.2.2.1</x:v>
      </x:c>
      <x:c r="J1005" s="5" t="str">
        <x:v>Einkommensteuer – Einkunftsarten &amp; Gewinnermittlung</x:v>
      </x:c>
      <x:c r="K1005" s="5" t="str"/>
      <x:c r="L1005" s="5" t="str">
        <x:v>Einkommensteuer – Einkunftsarten &amp; Gewinnermittlung</x:v>
      </x:c>
      <x:c r="M1005" s="5" t="n">
        <x:v>20</x:v>
      </x:c>
      <x:c r="N1005" s="5" t="n">
        <x:v>6</x:v>
      </x:c>
      <x:c r="O1005" s="5" t="str"/>
      <x:c r="P1005" s="5" t="str">
        <x:v>Pilot freigegeben</x:v>
      </x:c>
      <x:c r="Q1005" s="5" t="str">
        <x:v>Revision 2 unverändert übernommen</x:v>
      </x:c>
      <x:c r="R1005" s="5" t="str">
        <x:v>Ordnen Sie die folgenden Zinsaufwendungen steuerlich richtig zu: 1.400 € Zinsen für eine betriebliche Maschine, 1.600 € Zinsen für eine Reparatur einer vermieteten Wohnung, 1.000 € Zinsen für die Finanzierung einer privaten Urlaubsreise.</x:v>
      </x:c>
      <x:c r="S1005" s="5" t="str">
        <x:v>7088fde2f8c629e27713a6187318c0f576a09e24e5e520c834242a7bea92153b</x:v>
      </x:c>
    </x:row>
    <x:row r="1006" ht="36" customHeight="1">
      <x:c r="A1006" s="5" t="str">
        <x:v>ST-0028</x:v>
      </x:c>
      <x:c r="B1006" s="5" t="str">
        <x:v>WQ</x:v>
      </x:c>
      <x:c r="C1006" s="5" t="str">
        <x:v>3</x:v>
      </x:c>
      <x:c r="D1006" s="5" t="str">
        <x:v>Recht und Steuern</x:v>
      </x:c>
      <x:c r="E1006" s="5" t="str">
        <x:v>Steuern</x:v>
      </x:c>
      <x:c r="F1006" s="5" t="str">
        <x:v>ui-wq-steuern-unternehmen</x:v>
      </x:c>
      <x:c r="G1006" s="5" t="str">
        <x:v>Unternehmensbezogene Steuern</x:v>
      </x:c>
      <x:c r="H1006" s="5" t="str">
        <x:v>tr-wq-s04</x:v>
      </x:c>
      <x:c r="I1006" s="5" t="str">
        <x:v>3.2.2.1</x:v>
      </x:c>
      <x:c r="J1006" s="5" t="str">
        <x:v>Mitunternehmerschaft &amp; Personengesellschaften</x:v>
      </x:c>
      <x:c r="K1006" s="5" t="str"/>
      <x:c r="L1006" s="5" t="str">
        <x:v>Einkommensteuer – Einkunftsarten &amp; Gewinnermittlung</x:v>
      </x:c>
      <x:c r="M1006" s="5" t="n">
        <x:v>21</x:v>
      </x:c>
      <x:c r="N1006" s="5" t="n">
        <x:v>1</x:v>
      </x:c>
      <x:c r="O1006" s="5" t="str"/>
      <x:c r="P1006" s="5" t="str">
        <x:v>Pilot freigegeben</x:v>
      </x:c>
      <x:c r="Q1006" s="5" t="str">
        <x:v>Revision 2 unverändert übernommen</x:v>
      </x:c>
      <x:c r="R1006" s="5" t="str">
        <x:v>Wie werden Tätigkeitsvergütungen und Mietzahlungen an Gesellschafter bei der Ermittlung des steuerlichen Gewinns einer Personengesellschaft behandelt?</x:v>
      </x:c>
      <x:c r="S1006" s="5" t="str">
        <x:v>ea3fdf67ea92f66efc9b38499d7395755eb18b63fb86ee14773b5d3f1d2963b0</x:v>
      </x:c>
    </x:row>
    <x:row r="1007" ht="36" customHeight="1">
      <x:c r="A1007" s="5" t="str">
        <x:v>ST-0029</x:v>
      </x:c>
      <x:c r="B1007" s="5" t="str">
        <x:v>WQ</x:v>
      </x:c>
      <x:c r="C1007" s="5" t="str">
        <x:v>3</x:v>
      </x:c>
      <x:c r="D1007" s="5" t="str">
        <x:v>Recht und Steuern</x:v>
      </x:c>
      <x:c r="E1007" s="5" t="str">
        <x:v>Steuern</x:v>
      </x:c>
      <x:c r="F1007" s="5" t="str">
        <x:v>ui-wq-steuern-unternehmen</x:v>
      </x:c>
      <x:c r="G1007" s="5" t="str">
        <x:v>Unternehmensbezogene Steuern</x:v>
      </x:c>
      <x:c r="H1007" s="5" t="str">
        <x:v>tr-wq-s02</x:v>
      </x:c>
      <x:c r="I1007" s="5" t="str">
        <x:v>3.2.2.1</x:v>
      </x:c>
      <x:c r="J1007" s="5" t="str">
        <x:v>Einkommensteuer – Einkunftsarten &amp; Gewinnermittlung</x:v>
      </x:c>
      <x:c r="K1007" s="5" t="str"/>
      <x:c r="L1007" s="5" t="str">
        <x:v>Einkommensteuer – Einkunftsarten &amp; Gewinnermittlung</x:v>
      </x:c>
      <x:c r="M1007" s="5" t="n">
        <x:v>22</x:v>
      </x:c>
      <x:c r="N1007" s="5" t="n">
        <x:v>7</x:v>
      </x:c>
      <x:c r="O1007" s="5" t="str"/>
      <x:c r="P1007" s="5" t="str">
        <x:v>Pilot freigegeben</x:v>
      </x:c>
      <x:c r="Q1007" s="5" t="str">
        <x:v>Revision 2 unverändert übernommen</x:v>
      </x:c>
      <x:c r="R1007" s="5" t="str">
        <x:v>Sind Kundengeschenke in unbegrenzter Höhe als Betriebsausgaben abzugsfähig? Begründen Sie.</x:v>
      </x:c>
      <x:c r="S1007" s="5" t="str">
        <x:v>34a44330bedc9b42af3ca03bce54e65391f960b2b70edb274d46ab0343227ac4</x:v>
      </x:c>
    </x:row>
    <x:row r="1008" ht="36" customHeight="1">
      <x:c r="A1008" s="5" t="str">
        <x:v>ST-0030</x:v>
      </x:c>
      <x:c r="B1008" s="5" t="str">
        <x:v>WQ</x:v>
      </x:c>
      <x:c r="C1008" s="5" t="str">
        <x:v>3</x:v>
      </x:c>
      <x:c r="D1008" s="5" t="str">
        <x:v>Recht und Steuern</x:v>
      </x:c>
      <x:c r="E1008" s="5" t="str">
        <x:v>Steuern</x:v>
      </x:c>
      <x:c r="F1008" s="5" t="str">
        <x:v>ui-wq-steuern-unternehmen</x:v>
      </x:c>
      <x:c r="G1008" s="5" t="str">
        <x:v>Unternehmensbezogene Steuern</x:v>
      </x:c>
      <x:c r="H1008" s="5" t="str">
        <x:v>tr-wq-s02</x:v>
      </x:c>
      <x:c r="I1008" s="5" t="str">
        <x:v>3.2.2.1</x:v>
      </x:c>
      <x:c r="J1008" s="5" t="str">
        <x:v>Einkommensteuer – Einkunftsarten &amp; Gewinnermittlung</x:v>
      </x:c>
      <x:c r="K1008" s="5" t="str"/>
      <x:c r="L1008" s="5" t="str">
        <x:v>Einkommensteuer – Einkunftsarten &amp; Gewinnermittlung</x:v>
      </x:c>
      <x:c r="M1008" s="5" t="n">
        <x:v>23</x:v>
      </x:c>
      <x:c r="N1008" s="5" t="n">
        <x:v>8</x:v>
      </x:c>
      <x:c r="O1008" s="5" t="str"/>
      <x:c r="P1008" s="5" t="str">
        <x:v>Pilot freigegeben</x:v>
      </x:c>
      <x:c r="Q1008" s="5" t="str">
        <x:v>Revision 2 unverändert übernommen</x:v>
      </x:c>
      <x:c r="R1008" s="5" t="str">
        <x:v>Sind Bewirtungskosten aus geschäftlichem Anlass vollständig als Betriebsausgabe abzugsfähig?</x:v>
      </x:c>
      <x:c r="S1008" s="5" t="str">
        <x:v>6a4f720b66d993eb1b4ab9596eaf5e8ce333d9e3967eb2076397e56023acb469</x:v>
      </x:c>
    </x:row>
    <x:row r="1009" ht="36" customHeight="1">
      <x:c r="A1009" s="5" t="str">
        <x:v>ST-0031</x:v>
      </x:c>
      <x:c r="B1009" s="5" t="str">
        <x:v>WQ</x:v>
      </x:c>
      <x:c r="C1009" s="5" t="str">
        <x:v>3</x:v>
      </x:c>
      <x:c r="D1009" s="5" t="str">
        <x:v>Recht und Steuern</x:v>
      </x:c>
      <x:c r="E1009" s="5" t="str">
        <x:v>Steuern</x:v>
      </x:c>
      <x:c r="F1009" s="5" t="str">
        <x:v>ui-wq-steuern-unternehmen</x:v>
      </x:c>
      <x:c r="G1009" s="5" t="str">
        <x:v>Unternehmensbezogene Steuern</x:v>
      </x:c>
      <x:c r="H1009" s="5" t="str">
        <x:v>tr-wq-s02</x:v>
      </x:c>
      <x:c r="I1009" s="5" t="str">
        <x:v>3.2.2.1</x:v>
      </x:c>
      <x:c r="J1009" s="5" t="str">
        <x:v>Einkommensteuer – Einkunftsarten &amp; Gewinnermittlung</x:v>
      </x:c>
      <x:c r="K1009" s="5" t="str"/>
      <x:c r="L1009" s="5" t="str">
        <x:v>Einkommensteuer – Einkunftsarten &amp; Gewinnermittlung</x:v>
      </x:c>
      <x:c r="M1009" s="5" t="n">
        <x:v>24</x:v>
      </x:c>
      <x:c r="N1009" s="5" t="n">
        <x:v>9</x:v>
      </x:c>
      <x:c r="O1009" s="5" t="str"/>
      <x:c r="P1009" s="5" t="str">
        <x:v>Pilot freigegeben</x:v>
      </x:c>
      <x:c r="Q1009" s="5" t="str">
        <x:v>Revision 2 unverändert übernommen</x:v>
      </x:c>
      <x:c r="R1009" s="5" t="str">
        <x:v>Sind Verpflegungsmehraufwendungen bei Geschäftsreisen in tatsächlicher Höhe als Betriebsausgabe abzugsfähig?</x:v>
      </x:c>
      <x:c r="S1009" s="5" t="str">
        <x:v>a49b94458e5343b33e0be410141729676d833b81c7f877ae6df994741a92c104</x:v>
      </x:c>
    </x:row>
    <x:row r="1010" ht="36" customHeight="1">
      <x:c r="A1010" s="5" t="str">
        <x:v>ST-0032</x:v>
      </x:c>
      <x:c r="B1010" s="5" t="str">
        <x:v>WQ</x:v>
      </x:c>
      <x:c r="C1010" s="5" t="str">
        <x:v>3</x:v>
      </x:c>
      <x:c r="D1010" s="5" t="str">
        <x:v>Recht und Steuern</x:v>
      </x:c>
      <x:c r="E1010" s="5" t="str">
        <x:v>Steuern</x:v>
      </x:c>
      <x:c r="F1010" s="5" t="str">
        <x:v>ui-wq-steuern-unternehmen</x:v>
      </x:c>
      <x:c r="G1010" s="5" t="str">
        <x:v>Unternehmensbezogene Steuern</x:v>
      </x:c>
      <x:c r="H1010" s="5" t="str">
        <x:v>tr-wq-s02</x:v>
      </x:c>
      <x:c r="I1010" s="5" t="str">
        <x:v>3.2.2.1</x:v>
      </x:c>
      <x:c r="J1010" s="5" t="str">
        <x:v>Einkommensteuer – Einkunftsarten &amp; Gewinnermittlung</x:v>
      </x:c>
      <x:c r="K1010" s="5" t="str"/>
      <x:c r="L1010" s="5" t="str">
        <x:v>Einkommensteuer – Einkunftsarten &amp; Gewinnermittlung</x:v>
      </x:c>
      <x:c r="M1010" s="5" t="n">
        <x:v>25</x:v>
      </x:c>
      <x:c r="N1010" s="5" t="n">
        <x:v>10</x:v>
      </x:c>
      <x:c r="O1010" s="5" t="str"/>
      <x:c r="P1010" s="5" t="str">
        <x:v>Pilot freigegeben</x:v>
      </x:c>
      <x:c r="Q1010" s="5" t="str">
        <x:v>Revision 2 unverändert übernommen</x:v>
      </x:c>
      <x:c r="R1010" s="5" t="str">
        <x:v>Wie wird die private Nutzung eines betrieblichen Pkw ohne Fahrtenbuch steuerlich berücksichtigt?</x:v>
      </x:c>
      <x:c r="S1010" s="5" t="str">
        <x:v>fccea3825f2c7f4437fe4bc4b16fcf61c8961aaf4c3f795b39b37f50fa98675a</x:v>
      </x:c>
    </x:row>
    <x:row r="1011" ht="36" customHeight="1">
      <x:c r="A1011" s="5" t="str">
        <x:v>ST-0033</x:v>
      </x:c>
      <x:c r="B1011" s="5" t="str">
        <x:v>WQ</x:v>
      </x:c>
      <x:c r="C1011" s="5" t="str">
        <x:v>3</x:v>
      </x:c>
      <x:c r="D1011" s="5" t="str">
        <x:v>Recht und Steuern</x:v>
      </x:c>
      <x:c r="E1011" s="5" t="str">
        <x:v>Steuern</x:v>
      </x:c>
      <x:c r="F1011" s="5" t="str">
        <x:v>ui-wq-steuern-unternehmen</x:v>
      </x:c>
      <x:c r="G1011" s="5" t="str">
        <x:v>Unternehmensbezogene Steuern</x:v>
      </x:c>
      <x:c r="H1011" s="5" t="str">
        <x:v>tr-wq-s02</x:v>
      </x:c>
      <x:c r="I1011" s="5" t="str">
        <x:v>3.2.2.1</x:v>
      </x:c>
      <x:c r="J1011" s="5" t="str">
        <x:v>Einkommensteuer – Einkunftsarten &amp; Gewinnermittlung</x:v>
      </x:c>
      <x:c r="K1011" s="5" t="str"/>
      <x:c r="L1011" s="5" t="str">
        <x:v>Einkommensteuer – Einkunftsarten &amp; Gewinnermittlung</x:v>
      </x:c>
      <x:c r="M1011" s="5" t="n">
        <x:v>26</x:v>
      </x:c>
      <x:c r="N1011" s="5" t="n">
        <x:v>11</x:v>
      </x:c>
      <x:c r="O1011" s="5" t="str"/>
      <x:c r="P1011" s="5" t="str">
        <x:v>Pilot freigegeben</x:v>
      </x:c>
      <x:c r="Q1011" s="5" t="str">
        <x:v>Revision 2 unverändert übernommen</x:v>
      </x:c>
      <x:c r="R1011" s="5" t="str">
        <x:v>Welche vier Kategorien umfasst § 18 EStG bei den Einkünften aus selbstständiger Arbeit?</x:v>
      </x:c>
      <x:c r="S1011" s="5" t="str">
        <x:v>0f20890e29eb125a4f7db2b49c5d649e041d077c60f20264225076eb9b42b7ae</x:v>
      </x:c>
    </x:row>
    <x:row r="1012" ht="36" customHeight="1">
      <x:c r="A1012" s="5" t="str">
        <x:v>ST-0034</x:v>
      </x:c>
      <x:c r="B1012" s="5" t="str">
        <x:v>WQ</x:v>
      </x:c>
      <x:c r="C1012" s="5" t="str">
        <x:v>3</x:v>
      </x:c>
      <x:c r="D1012" s="5" t="str">
        <x:v>Recht und Steuern</x:v>
      </x:c>
      <x:c r="E1012" s="5" t="str">
        <x:v>Steuern</x:v>
      </x:c>
      <x:c r="F1012" s="5" t="str">
        <x:v>ui-wq-steuern-unternehmen</x:v>
      </x:c>
      <x:c r="G1012" s="5" t="str">
        <x:v>Unternehmensbezogene Steuern</x:v>
      </x:c>
      <x:c r="H1012" s="5" t="str">
        <x:v>tr-wq-s02</x:v>
      </x:c>
      <x:c r="I1012" s="5" t="str">
        <x:v>3.2.2.1</x:v>
      </x:c>
      <x:c r="J1012" s="5" t="str">
        <x:v>Einkommensteuer – Einkunftsarten &amp; Gewinnermittlung</x:v>
      </x:c>
      <x:c r="K1012" s="5" t="str"/>
      <x:c r="L1012" s="5" t="str">
        <x:v>Einkommensteuer – Einkunftsarten &amp; Gewinnermittlung</x:v>
      </x:c>
      <x:c r="M1012" s="5" t="n">
        <x:v>27</x:v>
      </x:c>
      <x:c r="N1012" s="5" t="n">
        <x:v>12</x:v>
      </x:c>
      <x:c r="O1012" s="5" t="str"/>
      <x:c r="P1012" s="5" t="str">
        <x:v>Pilot freigegeben</x:v>
      </x:c>
      <x:c r="Q1012" s="5" t="str">
        <x:v>Revision 2 unverändert übernommen</x:v>
      </x:c>
      <x:c r="R1012" s="5" t="str">
        <x:v>Müssen Einkünfte aus selbstständiger Arbeit stets durch Betriebsvermögensvergleich ermittelt werden?</x:v>
      </x:c>
      <x:c r="S1012" s="5" t="str">
        <x:v>e8e0cfcfd2a56a47a8bae7d0b13be10250a2679155c8d1820f3a11c02b227af4</x:v>
      </x:c>
    </x:row>
    <x:row r="1013" ht="36" customHeight="1">
      <x:c r="A1013" s="5" t="str">
        <x:v>ST-0035</x:v>
      </x:c>
      <x:c r="B1013" s="5" t="str">
        <x:v>WQ</x:v>
      </x:c>
      <x:c r="C1013" s="5" t="str">
        <x:v>3</x:v>
      </x:c>
      <x:c r="D1013" s="5" t="str">
        <x:v>Recht und Steuern</x:v>
      </x:c>
      <x:c r="E1013" s="5" t="str">
        <x:v>Steuern</x:v>
      </x:c>
      <x:c r="F1013" s="5" t="str">
        <x:v>ui-wq-steuern-unternehmen</x:v>
      </x:c>
      <x:c r="G1013" s="5" t="str">
        <x:v>Unternehmensbezogene Steuern</x:v>
      </x:c>
      <x:c r="H1013" s="5" t="str">
        <x:v>tr-wq-s02</x:v>
      </x:c>
      <x:c r="I1013" s="5" t="str">
        <x:v>3.2.2.1</x:v>
      </x:c>
      <x:c r="J1013" s="5" t="str">
        <x:v>Einkommensteuer – Einkunftsarten &amp; Gewinnermittlung</x:v>
      </x:c>
      <x:c r="K1013" s="5" t="str"/>
      <x:c r="L1013" s="5" t="str">
        <x:v>Einkommensteuer – Einkunftsarten &amp; Gewinnermittlung</x:v>
      </x:c>
      <x:c r="M1013" s="5" t="n">
        <x:v>28</x:v>
      </x:c>
      <x:c r="N1013" s="5" t="n">
        <x:v>13</x:v>
      </x:c>
      <x:c r="O1013" s="5" t="str"/>
      <x:c r="P1013" s="5" t="str">
        <x:v>Pilot freigegeben</x:v>
      </x:c>
      <x:c r="Q1013" s="5" t="str">
        <x:v>Revision 2 unverändert übernommen</x:v>
      </x:c>
      <x:c r="R1013" s="5" t="str">
        <x:v>Wie unterscheidet sich die Einnahmenüberschussrechnung vom Betriebsvermögensvergleich?</x:v>
      </x:c>
      <x:c r="S1013" s="5" t="str">
        <x:v>b75b11fd920cfd54c403a14e4d1b1b7e5c65b4257485864529d460e7f9bc0612</x:v>
      </x:c>
    </x:row>
    <x:row r="1014" ht="36" customHeight="1">
      <x:c r="A1014" s="5" t="str">
        <x:v>ST-0036</x:v>
      </x:c>
      <x:c r="B1014" s="5" t="str">
        <x:v>WQ</x:v>
      </x:c>
      <x:c r="C1014" s="5" t="str">
        <x:v>3</x:v>
      </x:c>
      <x:c r="D1014" s="5" t="str">
        <x:v>Recht und Steuern</x:v>
      </x:c>
      <x:c r="E1014" s="5" t="str">
        <x:v>Steuern</x:v>
      </x:c>
      <x:c r="F1014" s="5" t="str">
        <x:v>ui-wq-steuern-unternehmen</x:v>
      </x:c>
      <x:c r="G1014" s="5" t="str">
        <x:v>Unternehmensbezogene Steuern</x:v>
      </x:c>
      <x:c r="H1014" s="5" t="str">
        <x:v>tr-wq-s02</x:v>
      </x:c>
      <x:c r="I1014" s="5" t="str">
        <x:v>3.2.2.1</x:v>
      </x:c>
      <x:c r="J1014" s="5" t="str">
        <x:v>Einkommensteuer – Einkunftsarten &amp; Gewinnermittlung</x:v>
      </x:c>
      <x:c r="K1014" s="5" t="str"/>
      <x:c r="L1014" s="5" t="str">
        <x:v>Einkommensteuer – Einkunftsarten &amp; Gewinnermittlung</x:v>
      </x:c>
      <x:c r="M1014" s="5" t="n">
        <x:v>29</x:v>
      </x:c>
      <x:c r="N1014" s="5" t="n">
        <x:v>14</x:v>
      </x:c>
      <x:c r="O1014" s="5" t="str"/>
      <x:c r="P1014" s="5" t="str">
        <x:v>Pilot freigegeben</x:v>
      </x:c>
      <x:c r="Q1014" s="5" t="str">
        <x:v>Revision 2 unverändert übernommen</x:v>
      </x:c>
      <x:c r="R1014" s="5" t="str">
        <x:v>Welche Aufwendungen zählen typischerweise zu den Werbungskosten bei Einkünften aus nichtselbstständiger Arbeit?</x:v>
      </x:c>
      <x:c r="S1014" s="5" t="str">
        <x:v>c2a61caa79116490c53d47570d061a0f26208df8b684946b48eedd669f8ccfda</x:v>
      </x:c>
    </x:row>
    <x:row r="1015" ht="36" customHeight="1">
      <x:c r="A1015" s="5" t="str">
        <x:v>ST-0037</x:v>
      </x:c>
      <x:c r="B1015" s="5" t="str">
        <x:v>WQ</x:v>
      </x:c>
      <x:c r="C1015" s="5" t="str">
        <x:v>3</x:v>
      </x:c>
      <x:c r="D1015" s="5" t="str">
        <x:v>Recht und Steuern</x:v>
      </x:c>
      <x:c r="E1015" s="5" t="str">
        <x:v>Steuern</x:v>
      </x:c>
      <x:c r="F1015" s="5" t="str">
        <x:v>ui-wq-steuern-unternehmen</x:v>
      </x:c>
      <x:c r="G1015" s="5" t="str">
        <x:v>Unternehmensbezogene Steuern</x:v>
      </x:c>
      <x:c r="H1015" s="5" t="str">
        <x:v>tr-wq-s02</x:v>
      </x:c>
      <x:c r="I1015" s="5" t="str">
        <x:v>3.2.2.1</x:v>
      </x:c>
      <x:c r="J1015" s="5" t="str">
        <x:v>Einkommensteuer – Einkunftsarten &amp; Gewinnermittlung</x:v>
      </x:c>
      <x:c r="K1015" s="5" t="str"/>
      <x:c r="L1015" s="5" t="str">
        <x:v>Einkommensteuer – Einkunftsarten &amp; Gewinnermittlung</x:v>
      </x:c>
      <x:c r="M1015" s="5" t="n">
        <x:v>30</x:v>
      </x:c>
      <x:c r="N1015" s="5" t="n">
        <x:v>15</x:v>
      </x:c>
      <x:c r="O1015" s="5" t="str"/>
      <x:c r="P1015" s="5" t="str">
        <x:v>Pilot freigegeben</x:v>
      </x:c>
      <x:c r="Q1015" s="5" t="str">
        <x:v>Revision 2 unverändert übernommen</x:v>
      </x:c>
      <x:c r="R1015" s="5" t="str">
        <x:v>Welche Einnahmen zählen zu den Einkünften aus Kapitalvermögen?</x:v>
      </x:c>
      <x:c r="S1015" s="5" t="str">
        <x:v>67e1e59c1317f46c4cc644eefc2b0d51a486fee6c739c7ac450b55c0999faded</x:v>
      </x:c>
    </x:row>
    <x:row r="1016" ht="36" customHeight="1">
      <x:c r="A1016" s="5" t="str">
        <x:v>ST-0038</x:v>
      </x:c>
      <x:c r="B1016" s="5" t="str">
        <x:v>WQ</x:v>
      </x:c>
      <x:c r="C1016" s="5" t="str">
        <x:v>3</x:v>
      </x:c>
      <x:c r="D1016" s="5" t="str">
        <x:v>Recht und Steuern</x:v>
      </x:c>
      <x:c r="E1016" s="5" t="str">
        <x:v>Steuern</x:v>
      </x:c>
      <x:c r="F1016" s="5" t="str">
        <x:v>ui-wq-steuern-unternehmen</x:v>
      </x:c>
      <x:c r="G1016" s="5" t="str">
        <x:v>Unternehmensbezogene Steuern</x:v>
      </x:c>
      <x:c r="H1016" s="5" t="str">
        <x:v>tr-wq-s07</x:v>
      </x:c>
      <x:c r="I1016" s="5" t="str">
        <x:v>3.2.2.4</x:v>
      </x:c>
      <x:c r="J1016" s="5" t="str">
        <x:v>Kapitalertragsteuer und Steuerabzug</x:v>
      </x:c>
      <x:c r="K1016" s="5" t="str">
        <x:v>3.2.2.1; 3.2.2.4</x:v>
      </x:c>
      <x:c r="L1016" s="5" t="str">
        <x:v>Einkommensteuer – Einkunftsarten &amp; Gewinnermittlung</x:v>
      </x:c>
      <x:c r="M1016" s="5" t="n">
        <x:v>31</x:v>
      </x:c>
      <x:c r="N1016" s="5" t="n">
        <x:v>2</x:v>
      </x:c>
      <x:c r="O1016" s="5" t="str"/>
      <x:c r="P1016" s="5" t="str">
        <x:v>Pilot freigegeben</x:v>
      </x:c>
      <x:c r="Q1016" s="5" t="str">
        <x:v>Revision 2 unverändert übernommen</x:v>
      </x:c>
      <x:c r="R1016" s="5" t="str">
        <x:v>Haben Steuerpflichtige ein Wahlrecht hinsichtlich der Besteuerung von Einkünften aus Kapitalvermögen?</x:v>
      </x:c>
      <x:c r="S1016" s="5" t="str">
        <x:v>0df30323478123b5309b1d13d542499db65a1446e21ad20d810a61cbd216b34e</x:v>
      </x:c>
    </x:row>
    <x:row r="1017" ht="36" customHeight="1">
      <x:c r="A1017" s="5" t="str">
        <x:v>ST-0039</x:v>
      </x:c>
      <x:c r="B1017" s="5" t="str">
        <x:v>WQ</x:v>
      </x:c>
      <x:c r="C1017" s="5" t="str">
        <x:v>3</x:v>
      </x:c>
      <x:c r="D1017" s="5" t="str">
        <x:v>Recht und Steuern</x:v>
      </x:c>
      <x:c r="E1017" s="5" t="str">
        <x:v>Steuern</x:v>
      </x:c>
      <x:c r="F1017" s="5" t="str">
        <x:v>ui-wq-steuern-unternehmen</x:v>
      </x:c>
      <x:c r="G1017" s="5" t="str">
        <x:v>Unternehmensbezogene Steuern</x:v>
      </x:c>
      <x:c r="H1017" s="5" t="str">
        <x:v>tr-wq-s07</x:v>
      </x:c>
      <x:c r="I1017" s="5" t="str">
        <x:v>3.2.2.4</x:v>
      </x:c>
      <x:c r="J1017" s="5" t="str">
        <x:v>Kapitalertragsteuer und Steuerabzug</x:v>
      </x:c>
      <x:c r="K1017" s="5" t="str">
        <x:v>3.2.2.1; 3.2.2.4</x:v>
      </x:c>
      <x:c r="L1017" s="5" t="str">
        <x:v>Einkommensteuer – Einkunftsarten &amp; Gewinnermittlung</x:v>
      </x:c>
      <x:c r="M1017" s="5" t="n">
        <x:v>32</x:v>
      </x:c>
      <x:c r="N1017" s="5" t="n">
        <x:v>3</x:v>
      </x:c>
      <x:c r="O1017" s="5" t="str"/>
      <x:c r="P1017" s="5" t="str">
        <x:v>Pilot freigegeben</x:v>
      </x:c>
      <x:c r="Q1017" s="5" t="str">
        <x:v>Revision 2 unverändert übernommen</x:v>
      </x:c>
      <x:c r="R1017" s="5" t="str">
        <x:v>Welche Bedeutung hat der Freistellungsauftrag?</x:v>
      </x:c>
      <x:c r="S1017" s="5" t="str">
        <x:v>07d278d68fef1abfd650a8b72399c1cb7b795111ad4a27f792c5a0b600c9e78d</x:v>
      </x:c>
    </x:row>
    <x:row r="1018" ht="36" customHeight="1">
      <x:c r="A1018" s="5" t="str">
        <x:v>ST-0040</x:v>
      </x:c>
      <x:c r="B1018" s="5" t="str">
        <x:v>WQ</x:v>
      </x:c>
      <x:c r="C1018" s="5" t="str">
        <x:v>3</x:v>
      </x:c>
      <x:c r="D1018" s="5" t="str">
        <x:v>Recht und Steuern</x:v>
      </x:c>
      <x:c r="E1018" s="5" t="str">
        <x:v>Steuern</x:v>
      </x:c>
      <x:c r="F1018" s="5" t="str">
        <x:v>ui-wq-steuern-unternehmen</x:v>
      </x:c>
      <x:c r="G1018" s="5" t="str">
        <x:v>Unternehmensbezogene Steuern</x:v>
      </x:c>
      <x:c r="H1018" s="5" t="str">
        <x:v>tr-wq-s02</x:v>
      </x:c>
      <x:c r="I1018" s="5" t="str">
        <x:v>3.2.2.1</x:v>
      </x:c>
      <x:c r="J1018" s="5" t="str">
        <x:v>Einkommensteuer – Einkunftsarten &amp; Gewinnermittlung</x:v>
      </x:c>
      <x:c r="K1018" s="5" t="str"/>
      <x:c r="L1018" s="5" t="str">
        <x:v>Einkommensteuer – Einkunftsarten &amp; Gewinnermittlung</x:v>
      </x:c>
      <x:c r="M1018" s="5" t="n">
        <x:v>33</x:v>
      </x:c>
      <x:c r="N1018" s="5" t="n">
        <x:v>16</x:v>
      </x:c>
      <x:c r="O1018" s="5" t="str"/>
      <x:c r="P1018" s="5" t="str">
        <x:v>Pilot freigegeben</x:v>
      </x:c>
      <x:c r="Q1018" s="5" t="str">
        <x:v>Revision 2 unverändert übernommen</x:v>
      </x:c>
      <x:c r="R1018" s="5" t="str">
        <x:v>Wie werden Dividenden behandelt, wenn sie im Betriebsvermögen eines Einzelunternehmers oder Mitunternehmers erzielt werden?</x:v>
      </x:c>
      <x:c r="S1018" s="5" t="str">
        <x:v>6988a0160e2ba690cb9dc20dca8062da4364f90ed661af032804c6c457d7dfca</x:v>
      </x:c>
    </x:row>
    <x:row r="1019" ht="36" customHeight="1">
      <x:c r="A1019" s="5" t="str">
        <x:v>ST-0041</x:v>
      </x:c>
      <x:c r="B1019" s="5" t="str">
        <x:v>WQ</x:v>
      </x:c>
      <x:c r="C1019" s="5" t="str">
        <x:v>3</x:v>
      </x:c>
      <x:c r="D1019" s="5" t="str">
        <x:v>Recht und Steuern</x:v>
      </x:c>
      <x:c r="E1019" s="5" t="str">
        <x:v>Steuern</x:v>
      </x:c>
      <x:c r="F1019" s="5" t="str">
        <x:v>ui-wq-steuern-unternehmen</x:v>
      </x:c>
      <x:c r="G1019" s="5" t="str">
        <x:v>Unternehmensbezogene Steuern</x:v>
      </x:c>
      <x:c r="H1019" s="5" t="str">
        <x:v>tr-wq-s03</x:v>
      </x:c>
      <x:c r="I1019" s="5" t="str">
        <x:v>3.2.2.1</x:v>
      </x:c>
      <x:c r="J1019" s="5" t="str">
        <x:v>Einkommensteuer – Abzüge, Tarif &amp; Veranlagung</x:v>
      </x:c>
      <x:c r="K1019" s="5" t="str"/>
      <x:c r="L1019" s="5" t="str">
        <x:v>Einkommensteuer – Abzüge, Tarif &amp; Veranlagung</x:v>
      </x:c>
      <x:c r="M1019" s="5" t="n">
        <x:v>34</x:v>
      </x:c>
      <x:c r="N1019" s="5" t="n">
        <x:v>1</x:v>
      </x:c>
      <x:c r="O1019" s="5" t="str"/>
      <x:c r="P1019" s="5" t="str">
        <x:v>Pilot freigegeben</x:v>
      </x:c>
      <x:c r="Q1019" s="5" t="str">
        <x:v>Revision 2 unverändert übernommen</x:v>
      </x:c>
      <x:c r="R1019" s="5" t="str">
        <x:v>Nennen Sie Beispiele für Altersvorsorgeaufwendungen.</x:v>
      </x:c>
      <x:c r="S1019" s="5" t="str">
        <x:v>65736c86f494a3e86a48c56f5f70d93f98aef072f1f9634e5c2494546c87c56e</x:v>
      </x:c>
    </x:row>
    <x:row r="1020" ht="36" customHeight="1">
      <x:c r="A1020" s="5" t="str">
        <x:v>ST-0042</x:v>
      </x:c>
      <x:c r="B1020" s="5" t="str">
        <x:v>WQ</x:v>
      </x:c>
      <x:c r="C1020" s="5" t="str">
        <x:v>3</x:v>
      </x:c>
      <x:c r="D1020" s="5" t="str">
        <x:v>Recht und Steuern</x:v>
      </x:c>
      <x:c r="E1020" s="5" t="str">
        <x:v>Steuern</x:v>
      </x:c>
      <x:c r="F1020" s="5" t="str">
        <x:v>ui-wq-steuern-unternehmen</x:v>
      </x:c>
      <x:c r="G1020" s="5" t="str">
        <x:v>Unternehmensbezogene Steuern</x:v>
      </x:c>
      <x:c r="H1020" s="5" t="str">
        <x:v>tr-wq-s03</x:v>
      </x:c>
      <x:c r="I1020" s="5" t="str">
        <x:v>3.2.2.1</x:v>
      </x:c>
      <x:c r="J1020" s="5" t="str">
        <x:v>Einkommensteuer – Abzüge, Tarif &amp; Veranlagung</x:v>
      </x:c>
      <x:c r="K1020" s="5" t="str"/>
      <x:c r="L1020" s="5" t="str">
        <x:v>Einkommensteuer – Abzüge, Tarif &amp; Veranlagung</x:v>
      </x:c>
      <x:c r="M1020" s="5" t="n">
        <x:v>35</x:v>
      </x:c>
      <x:c r="N1020" s="5" t="n">
        <x:v>2</x:v>
      </x:c>
      <x:c r="O1020" s="5" t="str"/>
      <x:c r="P1020" s="5" t="str">
        <x:v>Pilot freigegeben</x:v>
      </x:c>
      <x:c r="Q1020" s="5" t="str">
        <x:v>Revision 2 unverändert übernommen</x:v>
      </x:c>
      <x:c r="R1020" s="5" t="str">
        <x:v>Nennen Sie Beispiele für sonstige Vorsorgeaufwendungen.</x:v>
      </x:c>
      <x:c r="S1020" s="5" t="str">
        <x:v>0ba4449eac5a855ceac7b47447be9b6210f68223232799d81d30ca2c2b0dcf74</x:v>
      </x:c>
    </x:row>
    <x:row r="1021" ht="36" customHeight="1">
      <x:c r="A1021" s="5" t="str">
        <x:v>ST-0043</x:v>
      </x:c>
      <x:c r="B1021" s="5" t="str">
        <x:v>WQ</x:v>
      </x:c>
      <x:c r="C1021" s="5" t="str">
        <x:v>3</x:v>
      </x:c>
      <x:c r="D1021" s="5" t="str">
        <x:v>Recht und Steuern</x:v>
      </x:c>
      <x:c r="E1021" s="5" t="str">
        <x:v>Steuern</x:v>
      </x:c>
      <x:c r="F1021" s="5" t="str">
        <x:v>ui-wq-steuern-unternehmen</x:v>
      </x:c>
      <x:c r="G1021" s="5" t="str">
        <x:v>Unternehmensbezogene Steuern</x:v>
      </x:c>
      <x:c r="H1021" s="5" t="str">
        <x:v>tr-wq-s03</x:v>
      </x:c>
      <x:c r="I1021" s="5" t="str">
        <x:v>3.2.2.1</x:v>
      </x:c>
      <x:c r="J1021" s="5" t="str">
        <x:v>Einkommensteuer – Abzüge, Tarif &amp; Veranlagung</x:v>
      </x:c>
      <x:c r="K1021" s="5" t="str"/>
      <x:c r="L1021" s="5" t="str">
        <x:v>Einkommensteuer – Abzüge, Tarif &amp; Veranlagung</x:v>
      </x:c>
      <x:c r="M1021" s="5" t="n">
        <x:v>36</x:v>
      </x:c>
      <x:c r="N1021" s="5" t="n">
        <x:v>3</x:v>
      </x:c>
      <x:c r="O1021" s="5" t="str"/>
      <x:c r="P1021" s="5" t="str">
        <x:v>Pilot freigegeben</x:v>
      </x:c>
      <x:c r="Q1021" s="5" t="str">
        <x:v>Revision 2 unverändert übernommen</x:v>
      </x:c>
      <x:c r="R1021" s="5" t="str">
        <x:v>Nennen Sie Beispiele für übrige Sonderausgaben.</x:v>
      </x:c>
      <x:c r="S1021" s="5" t="str">
        <x:v>8b755968eff6a1736379598f9b279a9285a44c4e9ea62fbfe4b8973f9d62627d</x:v>
      </x:c>
    </x:row>
    <x:row r="1022" ht="36" customHeight="1">
      <x:c r="A1022" s="5" t="str">
        <x:v>ST-0044</x:v>
      </x:c>
      <x:c r="B1022" s="5" t="str">
        <x:v>WQ</x:v>
      </x:c>
      <x:c r="C1022" s="5" t="str">
        <x:v>3</x:v>
      </x:c>
      <x:c r="D1022" s="5" t="str">
        <x:v>Recht und Steuern</x:v>
      </x:c>
      <x:c r="E1022" s="5" t="str">
        <x:v>Steuern</x:v>
      </x:c>
      <x:c r="F1022" s="5" t="str">
        <x:v>ui-wq-steuern-unternehmen</x:v>
      </x:c>
      <x:c r="G1022" s="5" t="str">
        <x:v>Unternehmensbezogene Steuern</x:v>
      </x:c>
      <x:c r="H1022" s="5" t="str">
        <x:v>tr-wq-s03</x:v>
      </x:c>
      <x:c r="I1022" s="5" t="str">
        <x:v>3.2.2.1</x:v>
      </x:c>
      <x:c r="J1022" s="5" t="str">
        <x:v>Einkommensteuer – Abzüge, Tarif &amp; Veranlagung</x:v>
      </x:c>
      <x:c r="K1022" s="5" t="str"/>
      <x:c r="L1022" s="5" t="str">
        <x:v>Einkommensteuer – Abzüge, Tarif &amp; Veranlagung</x:v>
      </x:c>
      <x:c r="M1022" s="5" t="n">
        <x:v>37</x:v>
      </x:c>
      <x:c r="N1022" s="5" t="n">
        <x:v>4</x:v>
      </x:c>
      <x:c r="O1022" s="5" t="str"/>
      <x:c r="P1022" s="5" t="str">
        <x:v>Pilot freigegeben</x:v>
      </x:c>
      <x:c r="Q1022" s="5" t="str">
        <x:v>Revision 2 unverändert übernommen</x:v>
      </x:c>
      <x:c r="R1022" s="5" t="str">
        <x:v>Nennen Sie Beispiele für außergewöhnliche Belastungen allgemeiner Art.</x:v>
      </x:c>
      <x:c r="S1022" s="5" t="str">
        <x:v>8f31dab866c6467cebbf962a72868c52d1567b2e96f178d2441ac56f66366414</x:v>
      </x:c>
    </x:row>
    <x:row r="1023" ht="36" customHeight="1">
      <x:c r="A1023" s="5" t="str">
        <x:v>ST-0045</x:v>
      </x:c>
      <x:c r="B1023" s="5" t="str">
        <x:v>WQ</x:v>
      </x:c>
      <x:c r="C1023" s="5" t="str">
        <x:v>3</x:v>
      </x:c>
      <x:c r="D1023" s="5" t="str">
        <x:v>Recht und Steuern</x:v>
      </x:c>
      <x:c r="E1023" s="5" t="str">
        <x:v>Steuern</x:v>
      </x:c>
      <x:c r="F1023" s="5" t="str">
        <x:v>ui-wq-steuern-unternehmen</x:v>
      </x:c>
      <x:c r="G1023" s="5" t="str">
        <x:v>Unternehmensbezogene Steuern</x:v>
      </x:c>
      <x:c r="H1023" s="5" t="str">
        <x:v>tr-wq-s03</x:v>
      </x:c>
      <x:c r="I1023" s="5" t="str">
        <x:v>3.2.2.1</x:v>
      </x:c>
      <x:c r="J1023" s="5" t="str">
        <x:v>Einkommensteuer – Abzüge, Tarif &amp; Veranlagung</x:v>
      </x:c>
      <x:c r="K1023" s="5" t="str"/>
      <x:c r="L1023" s="5" t="str">
        <x:v>Einkommensteuer – Abzüge, Tarif &amp; Veranlagung</x:v>
      </x:c>
      <x:c r="M1023" s="5" t="n">
        <x:v>38</x:v>
      </x:c>
      <x:c r="N1023" s="5" t="n">
        <x:v>5</x:v>
      </x:c>
      <x:c r="O1023" s="5" t="str"/>
      <x:c r="P1023" s="5" t="str">
        <x:v>Pilot freigegeben</x:v>
      </x:c>
      <x:c r="Q1023" s="5" t="str">
        <x:v>Revision 2 unverändert übernommen</x:v>
      </x:c>
      <x:c r="R1023" s="5" t="str">
        <x:v>Nennen Sie Beispiele für außergewöhnliche Belastungen besonderer Art.</x:v>
      </x:c>
      <x:c r="S1023" s="5" t="str">
        <x:v>710ccd83e57cc1983df975aeda0b251597ca5e67eba6341b2cab9a12a2e7e7ba</x:v>
      </x:c>
    </x:row>
    <x:row r="1024" ht="36" customHeight="1">
      <x:c r="A1024" s="5" t="str">
        <x:v>ST-0046</x:v>
      </x:c>
      <x:c r="B1024" s="5" t="str">
        <x:v>WQ</x:v>
      </x:c>
      <x:c r="C1024" s="5" t="str">
        <x:v>3</x:v>
      </x:c>
      <x:c r="D1024" s="5" t="str">
        <x:v>Recht und Steuern</x:v>
      </x:c>
      <x:c r="E1024" s="5" t="str">
        <x:v>Steuern</x:v>
      </x:c>
      <x:c r="F1024" s="5" t="str">
        <x:v>ui-wq-steuern-unternehmen</x:v>
      </x:c>
      <x:c r="G1024" s="5" t="str">
        <x:v>Unternehmensbezogene Steuern</x:v>
      </x:c>
      <x:c r="H1024" s="5" t="str">
        <x:v>tr-wq-s03</x:v>
      </x:c>
      <x:c r="I1024" s="5" t="str">
        <x:v>3.2.2.1</x:v>
      </x:c>
      <x:c r="J1024" s="5" t="str">
        <x:v>Einkommensteuer – Abzüge, Tarif &amp; Veranlagung</x:v>
      </x:c>
      <x:c r="K1024" s="5" t="str"/>
      <x:c r="L1024" s="5" t="str">
        <x:v>Einkommensteuer – Abzüge, Tarif &amp; Veranlagung</x:v>
      </x:c>
      <x:c r="M1024" s="5" t="n">
        <x:v>39</x:v>
      </x:c>
      <x:c r="N1024" s="5" t="n">
        <x:v>6</x:v>
      </x:c>
      <x:c r="O1024" s="5" t="str"/>
      <x:c r="P1024" s="5" t="str">
        <x:v>Pilot freigegeben</x:v>
      </x:c>
      <x:c r="Q1024" s="5" t="str">
        <x:v>Revision 2 unverändert übernommen</x:v>
      </x:c>
      <x:c r="R1024" s="5" t="str">
        <x:v>Wie werden berücksichtigungsfähige außergewöhnliche Belastungen allgemeiner Art ermittelt?</x:v>
      </x:c>
      <x:c r="S1024" s="5" t="str">
        <x:v>0b5043fcad33708dd2c667c0a8c4b925593b702744bacc0166ff0a11084c21a7</x:v>
      </x:c>
    </x:row>
    <x:row r="1025" ht="36" customHeight="1">
      <x:c r="A1025" s="5" t="str">
        <x:v>ST-0047</x:v>
      </x:c>
      <x:c r="B1025" s="5" t="str">
        <x:v>WQ</x:v>
      </x:c>
      <x:c r="C1025" s="5" t="str">
        <x:v>3</x:v>
      </x:c>
      <x:c r="D1025" s="5" t="str">
        <x:v>Recht und Steuern</x:v>
      </x:c>
      <x:c r="E1025" s="5" t="str">
        <x:v>Steuern</x:v>
      </x:c>
      <x:c r="F1025" s="5" t="str">
        <x:v>ui-wq-steuern-unternehmen</x:v>
      </x:c>
      <x:c r="G1025" s="5" t="str">
        <x:v>Unternehmensbezogene Steuern</x:v>
      </x:c>
      <x:c r="H1025" s="5" t="str">
        <x:v>tr-wq-s03</x:v>
      </x:c>
      <x:c r="I1025" s="5" t="str">
        <x:v>3.2.2.1</x:v>
      </x:c>
      <x:c r="J1025" s="5" t="str">
        <x:v>Einkommensteuer – Abzüge, Tarif &amp; Veranlagung</x:v>
      </x:c>
      <x:c r="K1025" s="5" t="str"/>
      <x:c r="L1025" s="5" t="str">
        <x:v>Einkommensteuer – Abzüge, Tarif &amp; Veranlagung</x:v>
      </x:c>
      <x:c r="M1025" s="5" t="n">
        <x:v>40</x:v>
      </x:c>
      <x:c r="N1025" s="5" t="n">
        <x:v>7</x:v>
      </x:c>
      <x:c r="O1025" s="5" t="str"/>
      <x:c r="P1025" s="5" t="str">
        <x:v>Pilot freigegeben</x:v>
      </x:c>
      <x:c r="Q1025" s="5" t="str">
        <x:v>Revision 2 unverändert übernommen</x:v>
      </x:c>
      <x:c r="R1025" s="5" t="str">
        <x:v>Wie ist der Einkommensteuertarif für ledige Steuerpflichtige grundsätzlich aufgebaut?</x:v>
      </x:c>
      <x:c r="S1025" s="5" t="str">
        <x:v>982167eec588a0d40a2dbaca3ba6a1b0ba2ff51c784f94655549cd9c857ea3c8</x:v>
      </x:c>
    </x:row>
    <x:row r="1026" ht="36" customHeight="1">
      <x:c r="A1026" s="5" t="str">
        <x:v>ST-0048</x:v>
      </x:c>
      <x:c r="B1026" s="5" t="str">
        <x:v>WQ</x:v>
      </x:c>
      <x:c r="C1026" s="5" t="str">
        <x:v>3</x:v>
      </x:c>
      <x:c r="D1026" s="5" t="str">
        <x:v>Recht und Steuern</x:v>
      </x:c>
      <x:c r="E1026" s="5" t="str">
        <x:v>Steuern</x:v>
      </x:c>
      <x:c r="F1026" s="5" t="str">
        <x:v>ui-wq-steuern-unternehmen</x:v>
      </x:c>
      <x:c r="G1026" s="5" t="str">
        <x:v>Unternehmensbezogene Steuern</x:v>
      </x:c>
      <x:c r="H1026" s="5" t="str">
        <x:v>tr-wq-s03</x:v>
      </x:c>
      <x:c r="I1026" s="5" t="str">
        <x:v>3.2.2.1</x:v>
      </x:c>
      <x:c r="J1026" s="5" t="str">
        <x:v>Einkommensteuer – Abzüge, Tarif &amp; Veranlagung</x:v>
      </x:c>
      <x:c r="K1026" s="5" t="str"/>
      <x:c r="L1026" s="5" t="str">
        <x:v>Einkommensteuer – Abzüge, Tarif &amp; Veranlagung</x:v>
      </x:c>
      <x:c r="M1026" s="5" t="n">
        <x:v>41</x:v>
      </x:c>
      <x:c r="N1026" s="5" t="n">
        <x:v>8</x:v>
      </x:c>
      <x:c r="O1026" s="5" t="str"/>
      <x:c r="P1026" s="5" t="str">
        <x:v>Pilot freigegeben</x:v>
      </x:c>
      <x:c r="Q1026" s="5" t="str">
        <x:v>Revision 2 unverändert übernommen</x:v>
      </x:c>
      <x:c r="R1026" s="5" t="str">
        <x:v>Was versteht man unter der kalten Progression?</x:v>
      </x:c>
      <x:c r="S1026" s="5" t="str">
        <x:v>05e27686900ea9726ad82846f29af85ed43bbcb0b8b74ad7fa817b49d50ae413</x:v>
      </x:c>
    </x:row>
    <x:row r="1027" ht="36" customHeight="1">
      <x:c r="A1027" s="5" t="str">
        <x:v>ST-0049</x:v>
      </x:c>
      <x:c r="B1027" s="5" t="str">
        <x:v>WQ</x:v>
      </x:c>
      <x:c r="C1027" s="5" t="str">
        <x:v>3</x:v>
      </x:c>
      <x:c r="D1027" s="5" t="str">
        <x:v>Recht und Steuern</x:v>
      </x:c>
      <x:c r="E1027" s="5" t="str">
        <x:v>Steuern</x:v>
      </x:c>
      <x:c r="F1027" s="5" t="str">
        <x:v>ui-wq-steuern-unternehmen</x:v>
      </x:c>
      <x:c r="G1027" s="5" t="str">
        <x:v>Unternehmensbezogene Steuern</x:v>
      </x:c>
      <x:c r="H1027" s="5" t="str">
        <x:v>tr-wq-s03</x:v>
      </x:c>
      <x:c r="I1027" s="5" t="str">
        <x:v>3.2.2.1</x:v>
      </x:c>
      <x:c r="J1027" s="5" t="str">
        <x:v>Einkommensteuer – Abzüge, Tarif &amp; Veranlagung</x:v>
      </x:c>
      <x:c r="K1027" s="5" t="str"/>
      <x:c r="L1027" s="5" t="str">
        <x:v>Einkommensteuer – Abzüge, Tarif &amp; Veranlagung</x:v>
      </x:c>
      <x:c r="M1027" s="5" t="n">
        <x:v>42</x:v>
      </x:c>
      <x:c r="N1027" s="5" t="n">
        <x:v>9</x:v>
      </x:c>
      <x:c r="O1027" s="5" t="str"/>
      <x:c r="P1027" s="5" t="str">
        <x:v>Pilot freigegeben</x:v>
      </x:c>
      <x:c r="Q1027" s="5" t="str">
        <x:v>Revision 2 unverändert übernommen</x:v>
      </x:c>
      <x:c r="R1027" s="5" t="str">
        <x:v>Welche Veranlagungsformen stehen Ehegatten und Lebenspartnern zur Verfügung?</x:v>
      </x:c>
      <x:c r="S1027" s="5" t="str">
        <x:v>dc82f986aa80ebe28b8246d11f4d039bfcad41a7f3d2aa05c607290bb5cdbd99</x:v>
      </x:c>
    </x:row>
    <x:row r="1028" ht="36" customHeight="1">
      <x:c r="A1028" s="5" t="str">
        <x:v>ST-0050</x:v>
      </x:c>
      <x:c r="B1028" s="5" t="str">
        <x:v>WQ</x:v>
      </x:c>
      <x:c r="C1028" s="5" t="str">
        <x:v>3</x:v>
      </x:c>
      <x:c r="D1028" s="5" t="str">
        <x:v>Recht und Steuern</x:v>
      </x:c>
      <x:c r="E1028" s="5" t="str">
        <x:v>Steuern</x:v>
      </x:c>
      <x:c r="F1028" s="5" t="str">
        <x:v>ui-wq-steuern-unternehmen</x:v>
      </x:c>
      <x:c r="G1028" s="5" t="str">
        <x:v>Unternehmensbezogene Steuern</x:v>
      </x:c>
      <x:c r="H1028" s="5" t="str">
        <x:v>tr-wq-s03</x:v>
      </x:c>
      <x:c r="I1028" s="5" t="str">
        <x:v>3.2.2.1</x:v>
      </x:c>
      <x:c r="J1028" s="5" t="str">
        <x:v>Einkommensteuer – Abzüge, Tarif &amp; Veranlagung</x:v>
      </x:c>
      <x:c r="K1028" s="5" t="str"/>
      <x:c r="L1028" s="5" t="str">
        <x:v>Einkommensteuer – Abzüge, Tarif &amp; Veranlagung</x:v>
      </x:c>
      <x:c r="M1028" s="5" t="n">
        <x:v>43</x:v>
      </x:c>
      <x:c r="N1028" s="5" t="n">
        <x:v>10</x:v>
      </x:c>
      <x:c r="O1028" s="5" t="str"/>
      <x:c r="P1028" s="5" t="str">
        <x:v>Pilot freigegeben</x:v>
      </x:c>
      <x:c r="Q1028" s="5" t="str">
        <x:v>Revision 2 unverändert übernommen</x:v>
      </x:c>
      <x:c r="R1028" s="5" t="str">
        <x:v>Welche Veranlagungsform gilt für unverheiratete Personen sowie getrennt lebende Ehegatten und Lebenspartner?</x:v>
      </x:c>
      <x:c r="S1028" s="5" t="str">
        <x:v>f67d54f4e66fb59c4eeb3271a39ec88efbc414fa35a4b3a76384eae0a9d98e97</x:v>
      </x:c>
    </x:row>
    <x:row r="1029" ht="36" customHeight="1">
      <x:c r="A1029" s="5" t="str">
        <x:v>ST-0051</x:v>
      </x:c>
      <x:c r="B1029" s="5" t="str">
        <x:v>WQ</x:v>
      </x:c>
      <x:c r="C1029" s="5" t="str">
        <x:v>3</x:v>
      </x:c>
      <x:c r="D1029" s="5" t="str">
        <x:v>Recht und Steuern</x:v>
      </x:c>
      <x:c r="E1029" s="5" t="str">
        <x:v>Steuern</x:v>
      </x:c>
      <x:c r="F1029" s="5" t="str">
        <x:v>ui-wq-steuern-unternehmen</x:v>
      </x:c>
      <x:c r="G1029" s="5" t="str">
        <x:v>Unternehmensbezogene Steuern</x:v>
      </x:c>
      <x:c r="H1029" s="5" t="str">
        <x:v>tr-wq-s03</x:v>
      </x:c>
      <x:c r="I1029" s="5" t="str">
        <x:v>3.2.2.1</x:v>
      </x:c>
      <x:c r="J1029" s="5" t="str">
        <x:v>Einkommensteuer – Abzüge, Tarif &amp; Veranlagung</x:v>
      </x:c>
      <x:c r="K1029" s="5" t="str"/>
      <x:c r="L1029" s="5" t="str">
        <x:v>Einkommensteuer – Abzüge, Tarif &amp; Veranlagung</x:v>
      </x:c>
      <x:c r="M1029" s="5" t="n">
        <x:v>44</x:v>
      </x:c>
      <x:c r="N1029" s="5" t="n">
        <x:v>11</x:v>
      </x:c>
      <x:c r="O1029" s="5" t="str"/>
      <x:c r="P1029" s="5" t="str">
        <x:v>Pilot freigegeben</x:v>
      </x:c>
      <x:c r="Q1029" s="5" t="str">
        <x:v>Revision 2 unverändert übernommen</x:v>
      </x:c>
      <x:c r="R1029" s="5" t="str">
        <x:v>Bringen Sie die Begriffe in die richtige Reihenfolge der Einkommensermittlung: Summe der Einkünfte, Gesamtbetrag der Einkünfte, Einkommen, Freibetrag für Kinder, zu versteuerndes Einkommen.</x:v>
      </x:c>
      <x:c r="S1029" s="5" t="str">
        <x:v>759cbc9765628f98a8d23379ef00dc3bb6cf3e08c765bf96aec937b75112ca4a</x:v>
      </x:c>
    </x:row>
    <x:row r="1030" ht="36" customHeight="1">
      <x:c r="A1030" s="5" t="str">
        <x:v>ST-0052</x:v>
      </x:c>
      <x:c r="B1030" s="5" t="str">
        <x:v>WQ</x:v>
      </x:c>
      <x:c r="C1030" s="5" t="str">
        <x:v>3</x:v>
      </x:c>
      <x:c r="D1030" s="5" t="str">
        <x:v>Recht und Steuern</x:v>
      </x:c>
      <x:c r="E1030" s="5" t="str">
        <x:v>Steuern</x:v>
      </x:c>
      <x:c r="F1030" s="5" t="str">
        <x:v>ui-wq-steuern-unternehmen</x:v>
      </x:c>
      <x:c r="G1030" s="5" t="str">
        <x:v>Unternehmensbezogene Steuern</x:v>
      </x:c>
      <x:c r="H1030" s="5" t="str">
        <x:v>tr-wq-s05</x:v>
      </x:c>
      <x:c r="I1030" s="5" t="str">
        <x:v>3.2.2.2</x:v>
      </x:c>
      <x:c r="J1030" s="5" t="str">
        <x:v>Körperschaftsteuer und Beteiligungen</x:v>
      </x:c>
      <x:c r="K1030" s="5" t="str"/>
      <x:c r="L1030" s="5" t="str">
        <x:v>Körperschaftsteuer &amp; Kapitalertragsteuer</x:v>
      </x:c>
      <x:c r="M1030" s="5" t="n">
        <x:v>45</x:v>
      </x:c>
      <x:c r="N1030" s="5" t="n">
        <x:v>6</x:v>
      </x:c>
      <x:c r="O1030" s="5" t="str"/>
      <x:c r="P1030" s="5" t="str">
        <x:v>Pilot freigegeben</x:v>
      </x:c>
      <x:c r="Q1030" s="5" t="str">
        <x:v>Revision 2 unverändert übernommen</x:v>
      </x:c>
      <x:c r="R1030" s="5" t="str">
        <x:v>Wann ist eine Kapitalgesellschaft unbeschränkt körperschaftsteuerpflichtig?</x:v>
      </x:c>
      <x:c r="S1030" s="5" t="str">
        <x:v>54284ddf71f8b9e8b55fa7c9a6c5935978556ee1e89af73de628b7d865ebdcd5</x:v>
      </x:c>
    </x:row>
    <x:row r="1031" ht="36" customHeight="1">
      <x:c r="A1031" s="5" t="str">
        <x:v>ST-0053</x:v>
      </x:c>
      <x:c r="B1031" s="5" t="str">
        <x:v>WQ</x:v>
      </x:c>
      <x:c r="C1031" s="5" t="str">
        <x:v>3</x:v>
      </x:c>
      <x:c r="D1031" s="5" t="str">
        <x:v>Recht und Steuern</x:v>
      </x:c>
      <x:c r="E1031" s="5" t="str">
        <x:v>Steuern</x:v>
      </x:c>
      <x:c r="F1031" s="5" t="str">
        <x:v>ui-wq-steuern-unternehmen</x:v>
      </x:c>
      <x:c r="G1031" s="5" t="str">
        <x:v>Unternehmensbezogene Steuern</x:v>
      </x:c>
      <x:c r="H1031" s="5" t="str">
        <x:v>tr-wq-s05</x:v>
      </x:c>
      <x:c r="I1031" s="5" t="str">
        <x:v>3.2.2.2</x:v>
      </x:c>
      <x:c r="J1031" s="5" t="str">
        <x:v>Körperschaftsteuer und Beteiligungen</x:v>
      </x:c>
      <x:c r="K1031" s="5" t="str"/>
      <x:c r="L1031" s="5" t="str">
        <x:v>Körperschaftsteuer &amp; Kapitalertragsteuer</x:v>
      </x:c>
      <x:c r="M1031" s="5" t="n">
        <x:v>46</x:v>
      </x:c>
      <x:c r="N1031" s="5" t="n">
        <x:v>7</x:v>
      </x:c>
      <x:c r="O1031" s="5" t="str"/>
      <x:c r="P1031" s="5" t="str">
        <x:v>Pilot freigegeben</x:v>
      </x:c>
      <x:c r="Q1031" s="5" t="str">
        <x:v>Revision 2 unverändert übernommen</x:v>
      </x:c>
      <x:c r="R1031" s="5" t="str">
        <x:v>Wann liegt eine beschränkte Körperschaftsteuerpflicht vor?</x:v>
      </x:c>
      <x:c r="S1031" s="5" t="str">
        <x:v>818ff04a29ad55903e312ef0cbd3f97148c8799a3c70c3ffa2fd8157b097c6de</x:v>
      </x:c>
    </x:row>
    <x:row r="1032" ht="36" customHeight="1">
      <x:c r="A1032" s="5" t="str">
        <x:v>ST-0054</x:v>
      </x:c>
      <x:c r="B1032" s="5" t="str">
        <x:v>WQ</x:v>
      </x:c>
      <x:c r="C1032" s="5" t="str">
        <x:v>3</x:v>
      </x:c>
      <x:c r="D1032" s="5" t="str">
        <x:v>Recht und Steuern</x:v>
      </x:c>
      <x:c r="E1032" s="5" t="str">
        <x:v>Steuern</x:v>
      </x:c>
      <x:c r="F1032" s="5" t="str">
        <x:v>ui-wq-steuern-unternehmen</x:v>
      </x:c>
      <x:c r="G1032" s="5" t="str">
        <x:v>Unternehmensbezogene Steuern</x:v>
      </x:c>
      <x:c r="H1032" s="5" t="str">
        <x:v>tr-wq-s05</x:v>
      </x:c>
      <x:c r="I1032" s="5" t="str">
        <x:v>3.2.2.2</x:v>
      </x:c>
      <x:c r="J1032" s="5" t="str">
        <x:v>Körperschaftsteuer und Beteiligungen</x:v>
      </x:c>
      <x:c r="K1032" s="5" t="str"/>
      <x:c r="L1032" s="5" t="str">
        <x:v>Körperschaftsteuer &amp; Kapitalertragsteuer</x:v>
      </x:c>
      <x:c r="M1032" s="5" t="n">
        <x:v>47</x:v>
      </x:c>
      <x:c r="N1032" s="5" t="n">
        <x:v>8</x:v>
      </x:c>
      <x:c r="O1032" s="5" t="str"/>
      <x:c r="P1032" s="5" t="str">
        <x:v>Pilot freigegeben</x:v>
      </x:c>
      <x:c r="Q1032" s="5" t="str">
        <x:v>Revision 2 unverändert übernommen</x:v>
      </x:c>
      <x:c r="R1032" s="5" t="str">
        <x:v>Welche Aufwendungen sind bei der Ermittlung des zu versteuernden Einkommens einer Kapitalgesellschaft grundsätzlich nicht abzugsfähig?</x:v>
      </x:c>
      <x:c r="S1032" s="5" t="str">
        <x:v>8d277c85388530e85feb133ef260ca61db837ecbe1fde3eddf211598e7085da7</x:v>
      </x:c>
    </x:row>
    <x:row r="1033" ht="36" customHeight="1">
      <x:c r="A1033" s="5" t="str">
        <x:v>ST-0055</x:v>
      </x:c>
      <x:c r="B1033" s="5" t="str">
        <x:v>WQ</x:v>
      </x:c>
      <x:c r="C1033" s="5" t="str">
        <x:v>3</x:v>
      </x:c>
      <x:c r="D1033" s="5" t="str">
        <x:v>Recht und Steuern</x:v>
      </x:c>
      <x:c r="E1033" s="5" t="str">
        <x:v>Steuern</x:v>
      </x:c>
      <x:c r="F1033" s="5" t="str">
        <x:v>ui-wq-steuern-unternehmen</x:v>
      </x:c>
      <x:c r="G1033" s="5" t="str">
        <x:v>Unternehmensbezogene Steuern</x:v>
      </x:c>
      <x:c r="H1033" s="5" t="str">
        <x:v>tr-wq-s05</x:v>
      </x:c>
      <x:c r="I1033" s="5" t="str">
        <x:v>3.2.2.2</x:v>
      </x:c>
      <x:c r="J1033" s="5" t="str">
        <x:v>Körperschaftsteuer und Beteiligungen</x:v>
      </x:c>
      <x:c r="K1033" s="5" t="str"/>
      <x:c r="L1033" s="5" t="str">
        <x:v>Körperschaftsteuer &amp; Kapitalertragsteuer</x:v>
      </x:c>
      <x:c r="M1033" s="5" t="n">
        <x:v>48</x:v>
      </x:c>
      <x:c r="N1033" s="5" t="n">
        <x:v>9</x:v>
      </x:c>
      <x:c r="O1033" s="5" t="str"/>
      <x:c r="P1033" s="5" t="str">
        <x:v>Pilot freigegeben</x:v>
      </x:c>
      <x:c r="Q1033" s="5" t="str">
        <x:v>Revision 2 unverändert übernommen</x:v>
      </x:c>
      <x:c r="R1033" s="5" t="str">
        <x:v>Wie hoch ist der Körperschaftsteuersatz in Deutschland?</x:v>
      </x:c>
      <x:c r="S1033" s="5" t="str">
        <x:v>abdf13a37a09b191b23d9f4a5746ada08f09993dbd67aa942c177333b3a505c3</x:v>
      </x:c>
    </x:row>
    <x:row r="1034" ht="36" customHeight="1">
      <x:c r="A1034" s="5" t="str">
        <x:v>ST-0056</x:v>
      </x:c>
      <x:c r="B1034" s="5" t="str">
        <x:v>WQ</x:v>
      </x:c>
      <x:c r="C1034" s="5" t="str">
        <x:v>3</x:v>
      </x:c>
      <x:c r="D1034" s="5" t="str">
        <x:v>Recht und Steuern</x:v>
      </x:c>
      <x:c r="E1034" s="5" t="str">
        <x:v>Steuern</x:v>
      </x:c>
      <x:c r="F1034" s="5" t="str">
        <x:v>ui-wq-steuern-unternehmen</x:v>
      </x:c>
      <x:c r="G1034" s="5" t="str">
        <x:v>Unternehmensbezogene Steuern</x:v>
      </x:c>
      <x:c r="H1034" s="5" t="str">
        <x:v>tr-wq-s05</x:v>
      </x:c>
      <x:c r="I1034" s="5" t="str">
        <x:v>3.2.2.2</x:v>
      </x:c>
      <x:c r="J1034" s="5" t="str">
        <x:v>Körperschaftsteuer und Beteiligungen</x:v>
      </x:c>
      <x:c r="K1034" s="5" t="str"/>
      <x:c r="L1034" s="5" t="str">
        <x:v>Körperschaftsteuer &amp; Kapitalertragsteuer</x:v>
      </x:c>
      <x:c r="M1034" s="5" t="n">
        <x:v>49</x:v>
      </x:c>
      <x:c r="N1034" s="5" t="n">
        <x:v>10</x:v>
      </x:c>
      <x:c r="O1034" s="5" t="str"/>
      <x:c r="P1034" s="5" t="str">
        <x:v>Pilot freigegeben</x:v>
      </x:c>
      <x:c r="Q1034" s="5" t="str">
        <x:v>Revision 2 unverändert übernommen</x:v>
      </x:c>
      <x:c r="R1034" s="5" t="str">
        <x:v>Wie wird der Solidaritätszuschlag bei der Körperschaftsteuer berechnet?</x:v>
      </x:c>
      <x:c r="S1034" s="5" t="str">
        <x:v>bb9f0de677bcedbca4286e11acfc79526caaef94d98abe113d3075cd770d8162</x:v>
      </x:c>
    </x:row>
    <x:row r="1035" ht="36" customHeight="1">
      <x:c r="A1035" s="5" t="str">
        <x:v>ST-0057</x:v>
      </x:c>
      <x:c r="B1035" s="5" t="str">
        <x:v>WQ</x:v>
      </x:c>
      <x:c r="C1035" s="5" t="str">
        <x:v>3</x:v>
      </x:c>
      <x:c r="D1035" s="5" t="str">
        <x:v>Recht und Steuern</x:v>
      </x:c>
      <x:c r="E1035" s="5" t="str">
        <x:v>Steuern</x:v>
      </x:c>
      <x:c r="F1035" s="5" t="str">
        <x:v>ui-wq-steuern-unternehmen</x:v>
      </x:c>
      <x:c r="G1035" s="5" t="str">
        <x:v>Unternehmensbezogene Steuern</x:v>
      </x:c>
      <x:c r="H1035" s="5" t="str">
        <x:v>tr-wq-s04</x:v>
      </x:c>
      <x:c r="I1035" s="5" t="str">
        <x:v>3.2.2.1</x:v>
      </x:c>
      <x:c r="J1035" s="5" t="str">
        <x:v>Mitunternehmerschaft &amp; Personengesellschaften</x:v>
      </x:c>
      <x:c r="K1035" s="5" t="str"/>
      <x:c r="L1035" s="5" t="str">
        <x:v>Einkommensteuer – Einkunftsarten &amp; Gewinnermittlung</x:v>
      </x:c>
      <x:c r="M1035" s="5" t="n">
        <x:v>50</x:v>
      </x:c>
      <x:c r="N1035" s="5" t="n">
        <x:v>2</x:v>
      </x:c>
      <x:c r="O1035" s="5" t="str"/>
      <x:c r="P1035" s="5" t="str">
        <x:v>Pilot freigegeben</x:v>
      </x:c>
      <x:c r="Q1035" s="5" t="str">
        <x:v>Revision 2 unverändert übernommen</x:v>
      </x:c>
      <x:c r="R1035" s="5" t="str">
        <x:v>Wie wirken sich Verluste aus einer Mitunternehmerschaft auf die Einkünfte eines Mitunternehmers aus?</x:v>
      </x:c>
      <x:c r="S1035" s="5" t="str">
        <x:v>5f9e9afc7273efb6cf16094d3b572210a61422458fcc326593a5a1de27457b7a</x:v>
      </x:c>
    </x:row>
    <x:row r="1036" ht="36" customHeight="1">
      <x:c r="A1036" s="5" t="str">
        <x:v>ST-0058</x:v>
      </x:c>
      <x:c r="B1036" s="5" t="str">
        <x:v>WQ</x:v>
      </x:c>
      <x:c r="C1036" s="5" t="str">
        <x:v>3</x:v>
      </x:c>
      <x:c r="D1036" s="5" t="str">
        <x:v>Recht und Steuern</x:v>
      </x:c>
      <x:c r="E1036" s="5" t="str">
        <x:v>Steuern</x:v>
      </x:c>
      <x:c r="F1036" s="5" t="str">
        <x:v>ui-wq-steuern-unternehmen</x:v>
      </x:c>
      <x:c r="G1036" s="5" t="str">
        <x:v>Unternehmensbezogene Steuern</x:v>
      </x:c>
      <x:c r="H1036" s="5" t="str">
        <x:v>tr-wq-s02</x:v>
      </x:c>
      <x:c r="I1036" s="5" t="str">
        <x:v>3.2.2.1</x:v>
      </x:c>
      <x:c r="J1036" s="5" t="str">
        <x:v>Einkommensteuer – Einkunftsarten &amp; Gewinnermittlung</x:v>
      </x:c>
      <x:c r="K1036" s="5" t="str"/>
      <x:c r="L1036" s="5" t="str">
        <x:v>Einkommensteuer – Einkunftsarten &amp; Gewinnermittlung</x:v>
      </x:c>
      <x:c r="M1036" s="5" t="n">
        <x:v>51</x:v>
      </x:c>
      <x:c r="N1036" s="5" t="n">
        <x:v>17</x:v>
      </x:c>
      <x:c r="O1036" s="5" t="str"/>
      <x:c r="P1036" s="5" t="str">
        <x:v>Pilot freigegeben</x:v>
      </x:c>
      <x:c r="Q1036" s="5" t="str">
        <x:v>Revision 2 unverändert übernommen</x:v>
      </x:c>
      <x:c r="R1036" s="5" t="str">
        <x:v>Welche Werbungskosten können bei Einkünften aus nichtselbstständiger Arbeit typischerweise berücksichtigt werden?</x:v>
      </x:c>
      <x:c r="S1036" s="5" t="str">
        <x:v>fc7dee1ecc779195a4c1c24d9832d531ceaaa56afcf1fc3fa968b50e1762c4fd</x:v>
      </x:c>
    </x:row>
    <x:row r="1037" ht="36" customHeight="1">
      <x:c r="A1037" s="5" t="str">
        <x:v>ST-0059</x:v>
      </x:c>
      <x:c r="B1037" s="5" t="str">
        <x:v>WQ</x:v>
      </x:c>
      <x:c r="C1037" s="5" t="str">
        <x:v>3</x:v>
      </x:c>
      <x:c r="D1037" s="5" t="str">
        <x:v>Recht und Steuern</x:v>
      </x:c>
      <x:c r="E1037" s="5" t="str">
        <x:v>Steuern</x:v>
      </x:c>
      <x:c r="F1037" s="5" t="str">
        <x:v>ui-wq-steuern-unternehmen</x:v>
      </x:c>
      <x:c r="G1037" s="5" t="str">
        <x:v>Unternehmensbezogene Steuern</x:v>
      </x:c>
      <x:c r="H1037" s="5" t="str">
        <x:v>tr-wq-s07</x:v>
      </x:c>
      <x:c r="I1037" s="5" t="str">
        <x:v>3.2.2.4</x:v>
      </x:c>
      <x:c r="J1037" s="5" t="str">
        <x:v>Kapitalertragsteuer und Steuerabzug</x:v>
      </x:c>
      <x:c r="K1037" s="5" t="str">
        <x:v>3.2.2.1; 3.2.2.4</x:v>
      </x:c>
      <x:c r="L1037" s="5" t="str">
        <x:v>Einkommensteuer – Einkunftsarten &amp; Gewinnermittlung</x:v>
      </x:c>
      <x:c r="M1037" s="5" t="n">
        <x:v>52</x:v>
      </x:c>
      <x:c r="N1037" s="5" t="n">
        <x:v>4</x:v>
      </x:c>
      <x:c r="O1037" s="5" t="str"/>
      <x:c r="P1037" s="5" t="str">
        <x:v>Pilot freigegeben</x:v>
      </x:c>
      <x:c r="Q1037" s="5" t="str">
        <x:v>Revision 2 unverändert übernommen</x:v>
      </x:c>
      <x:c r="R1037" s="5" t="str">
        <x:v>Müssen Dividenden aus Aktien im Privatvermögen grundsätzlich in der Einkommensteuererklärung angegeben werden?</x:v>
      </x:c>
      <x:c r="S1037" s="5" t="str">
        <x:v>3e0f500e3f6a2aef746eff90aab0136c7c6393c604d5cd46929ac3558ed8e431</x:v>
      </x:c>
    </x:row>
    <x:row r="1038" ht="36" customHeight="1">
      <x:c r="A1038" s="5" t="str">
        <x:v>ST-0060</x:v>
      </x:c>
      <x:c r="B1038" s="5" t="str">
        <x:v>WQ</x:v>
      </x:c>
      <x:c r="C1038" s="5" t="str">
        <x:v>3</x:v>
      </x:c>
      <x:c r="D1038" s="5" t="str">
        <x:v>Recht und Steuern</x:v>
      </x:c>
      <x:c r="E1038" s="5" t="str">
        <x:v>Steuern</x:v>
      </x:c>
      <x:c r="F1038" s="5" t="str">
        <x:v>ui-wq-steuern-unternehmen</x:v>
      </x:c>
      <x:c r="G1038" s="5" t="str">
        <x:v>Unternehmensbezogene Steuern</x:v>
      </x:c>
      <x:c r="H1038" s="5" t="str">
        <x:v>tr-wq-s03</x:v>
      </x:c>
      <x:c r="I1038" s="5" t="str">
        <x:v>3.2.2.1</x:v>
      </x:c>
      <x:c r="J1038" s="5" t="str">
        <x:v>Einkommensteuer – Abzüge, Tarif &amp; Veranlagung</x:v>
      </x:c>
      <x:c r="K1038" s="5" t="str"/>
      <x:c r="L1038" s="5" t="str">
        <x:v>Einkommensteuer – Abzüge, Tarif &amp; Veranlagung</x:v>
      </x:c>
      <x:c r="M1038" s="5" t="n">
        <x:v>53</x:v>
      </x:c>
      <x:c r="N1038" s="5" t="n">
        <x:v>12</x:v>
      </x:c>
      <x:c r="O1038" s="5" t="str"/>
      <x:c r="P1038" s="5" t="str">
        <x:v>Pilot freigegeben</x:v>
      </x:c>
      <x:c r="Q1038" s="5" t="str">
        <x:v>Revision 2 unverändert übernommen</x:v>
      </x:c>
      <x:c r="R1038" s="5" t="str">
        <x:v>Unter welchen Voraussetzungen sind Spenden als Sonderausgaben abzugsfähig?</x:v>
      </x:c>
      <x:c r="S1038" s="5" t="str">
        <x:v>3c4b357446eba8240d20dec14baee1bf8bc7345a8c7540de23d69bbd3c72bc31</x:v>
      </x:c>
    </x:row>
    <x:row r="1039" ht="36" customHeight="1">
      <x:c r="A1039" s="5" t="str">
        <x:v>ST-0061</x:v>
      </x:c>
      <x:c r="B1039" s="5" t="str">
        <x:v>WQ</x:v>
      </x:c>
      <x:c r="C1039" s="5" t="str">
        <x:v>3</x:v>
      </x:c>
      <x:c r="D1039" s="5" t="str">
        <x:v>Recht und Steuern</x:v>
      </x:c>
      <x:c r="E1039" s="5" t="str">
        <x:v>Steuern</x:v>
      </x:c>
      <x:c r="F1039" s="5" t="str">
        <x:v>ui-wq-steuern-unternehmen</x:v>
      </x:c>
      <x:c r="G1039" s="5" t="str">
        <x:v>Unternehmensbezogene Steuern</x:v>
      </x:c>
      <x:c r="H1039" s="5" t="str">
        <x:v>tr-wq-s03</x:v>
      </x:c>
      <x:c r="I1039" s="5" t="str">
        <x:v>3.2.2.1</x:v>
      </x:c>
      <x:c r="J1039" s="5" t="str">
        <x:v>Einkommensteuer – Abzüge, Tarif &amp; Veranlagung</x:v>
      </x:c>
      <x:c r="K1039" s="5" t="str"/>
      <x:c r="L1039" s="5" t="str">
        <x:v>Einkommensteuer – Abzüge, Tarif &amp; Veranlagung</x:v>
      </x:c>
      <x:c r="M1039" s="5" t="n">
        <x:v>54</x:v>
      </x:c>
      <x:c r="N1039" s="5" t="n">
        <x:v>13</x:v>
      </x:c>
      <x:c r="O1039" s="5" t="str"/>
      <x:c r="P1039" s="5" t="str">
        <x:v>Pilot freigegeben</x:v>
      </x:c>
      <x:c r="Q1039" s="5" t="str">
        <x:v>Revision 2 unverändert übernommen</x:v>
      </x:c>
      <x:c r="R1039" s="5" t="str">
        <x:v>Wie werden Krankheitskosten bei den außergewöhnlichen Belastungen berücksichtigt?</x:v>
      </x:c>
      <x:c r="S1039" s="5" t="str">
        <x:v>f0cb8a577eee0d8c9316a826f8e154bc451c137cac72be2c2ef721c4d5efeb60</x:v>
      </x:c>
    </x:row>
    <x:row r="1040" ht="36" customHeight="1">
      <x:c r="A1040" s="5" t="str">
        <x:v>ST-0062</x:v>
      </x:c>
      <x:c r="B1040" s="5" t="str">
        <x:v>WQ</x:v>
      </x:c>
      <x:c r="C1040" s="5" t="str">
        <x:v>3</x:v>
      </x:c>
      <x:c r="D1040" s="5" t="str">
        <x:v>Recht und Steuern</x:v>
      </x:c>
      <x:c r="E1040" s="5" t="str">
        <x:v>Steuern</x:v>
      </x:c>
      <x:c r="F1040" s="5" t="str">
        <x:v>ui-wq-steuern-unternehmen</x:v>
      </x:c>
      <x:c r="G1040" s="5" t="str">
        <x:v>Unternehmensbezogene Steuern</x:v>
      </x:c>
      <x:c r="H1040" s="5" t="str">
        <x:v>tr-wq-s03</x:v>
      </x:c>
      <x:c r="I1040" s="5" t="str">
        <x:v>3.2.2.1</x:v>
      </x:c>
      <x:c r="J1040" s="5" t="str">
        <x:v>Einkommensteuer – Abzüge, Tarif &amp; Veranlagung</x:v>
      </x:c>
      <x:c r="K1040" s="5" t="str"/>
      <x:c r="L1040" s="5" t="str">
        <x:v>Einkommensteuer – Abzüge, Tarif &amp; Veranlagung</x:v>
      </x:c>
      <x:c r="M1040" s="5" t="n">
        <x:v>55</x:v>
      </x:c>
      <x:c r="N1040" s="5" t="n">
        <x:v>14</x:v>
      </x:c>
      <x:c r="O1040" s="5" t="str"/>
      <x:c r="P1040" s="5" t="str">
        <x:v>Pilot freigegeben</x:v>
      </x:c>
      <x:c r="Q1040" s="5" t="str">
        <x:v>Revision 2 unverändert übernommen</x:v>
      </x:c>
      <x:c r="R1040" s="5" t="str">
        <x:v>In welcher Reihenfolge werden bei der Einkommensteuerermittlung die wichtigsten Stufen durchlaufen?</x:v>
      </x:c>
      <x:c r="S1040" s="5" t="str">
        <x:v>01180fae5cb6feecb4f0017be15b5b8015056ed4331b6f0fd3dc236e9d1fd259</x:v>
      </x:c>
    </x:row>
    <x:row r="1041" ht="36" customHeight="1">
      <x:c r="A1041" s="5" t="str">
        <x:v>ST-0063</x:v>
      </x:c>
      <x:c r="B1041" s="5" t="str">
        <x:v>WQ</x:v>
      </x:c>
      <x:c r="C1041" s="5" t="str">
        <x:v>3</x:v>
      </x:c>
      <x:c r="D1041" s="5" t="str">
        <x:v>Recht und Steuern</x:v>
      </x:c>
      <x:c r="E1041" s="5" t="str">
        <x:v>Steuern</x:v>
      </x:c>
      <x:c r="F1041" s="5" t="str">
        <x:v>ui-wq-steuern-unternehmen</x:v>
      </x:c>
      <x:c r="G1041" s="5" t="str">
        <x:v>Unternehmensbezogene Steuern</x:v>
      </x:c>
      <x:c r="H1041" s="5" t="str">
        <x:v>tr-wq-s02</x:v>
      </x:c>
      <x:c r="I1041" s="5" t="str">
        <x:v>3.2.2.1</x:v>
      </x:c>
      <x:c r="J1041" s="5" t="str">
        <x:v>Einkommensteuer – Einkunftsarten &amp; Gewinnermittlung</x:v>
      </x:c>
      <x:c r="K1041" s="5" t="str"/>
      <x:c r="L1041" s="5" t="str">
        <x:v>Einkommensteuer – Einkunftsarten &amp; Gewinnermittlung</x:v>
      </x:c>
      <x:c r="M1041" s="5" t="n">
        <x:v>56</x:v>
      </x:c>
      <x:c r="N1041" s="5" t="n">
        <x:v>18</x:v>
      </x:c>
      <x:c r="O1041" s="5" t="str"/>
      <x:c r="P1041" s="5" t="str">
        <x:v>Pilot freigegeben</x:v>
      </x:c>
      <x:c r="Q1041" s="5" t="str">
        <x:v>Revision 2 unverändert übernommen</x:v>
      </x:c>
      <x:c r="R1041" s="5" t="str">
        <x:v>Nennen Sie fünf mögliche steuerliche Einkunftsarten, die bei einer natürlichen Person gleichzeitig vorliegen können.</x:v>
      </x:c>
      <x:c r="S1041" s="5" t="str">
        <x:v>42262ba6496de0b71fd3fb1f08ce1f99113d5020afede064baeeb27d7831059f</x:v>
      </x:c>
    </x:row>
    <x:row r="1042" ht="36" customHeight="1">
      <x:c r="A1042" s="5" t="str">
        <x:v>ST-0064</x:v>
      </x:c>
      <x:c r="B1042" s="5" t="str">
        <x:v>WQ</x:v>
      </x:c>
      <x:c r="C1042" s="5" t="str">
        <x:v>3</x:v>
      </x:c>
      <x:c r="D1042" s="5" t="str">
        <x:v>Recht und Steuern</x:v>
      </x:c>
      <x:c r="E1042" s="5" t="str">
        <x:v>Steuern</x:v>
      </x:c>
      <x:c r="F1042" s="5" t="str">
        <x:v>ui-wq-steuern-unternehmen</x:v>
      </x:c>
      <x:c r="G1042" s="5" t="str">
        <x:v>Unternehmensbezogene Steuern</x:v>
      </x:c>
      <x:c r="H1042" s="5" t="str">
        <x:v>tr-wq-s04</x:v>
      </x:c>
      <x:c r="I1042" s="5" t="str">
        <x:v>3.2.2.1</x:v>
      </x:c>
      <x:c r="J1042" s="5" t="str">
        <x:v>Mitunternehmerschaft &amp; Personengesellschaften</x:v>
      </x:c>
      <x:c r="K1042" s="5" t="str"/>
      <x:c r="L1042" s="5" t="str">
        <x:v>Einkommensteuer – Einkunftsarten &amp; Gewinnermittlung</x:v>
      </x:c>
      <x:c r="M1042" s="5" t="n">
        <x:v>57</x:v>
      </x:c>
      <x:c r="N1042" s="5" t="n">
        <x:v>3</x:v>
      </x:c>
      <x:c r="O1042" s="5" t="str"/>
      <x:c r="P1042" s="5" t="str">
        <x:v>Pilot freigegeben</x:v>
      </x:c>
      <x:c r="Q1042" s="5" t="str">
        <x:v>Revision 2 unverändert übernommen</x:v>
      </x:c>
      <x:c r="R1042" s="5" t="str">
        <x:v>Wie hoch ist Antons Verlustanteil aus der KG bei 60 % Beteiligung und 10.000 € Verlust?</x:v>
      </x:c>
      <x:c r="S1042" s="5" t="str">
        <x:v>9b31c1f16dc0aa0c396709dff2c0652d5981b60350230e36d3b52ed93222e407</x:v>
      </x:c>
    </x:row>
    <x:row r="1043" ht="36" customHeight="1">
      <x:c r="A1043" s="5" t="str">
        <x:v>ST-0065</x:v>
      </x:c>
      <x:c r="B1043" s="5" t="str">
        <x:v>WQ</x:v>
      </x:c>
      <x:c r="C1043" s="5" t="str">
        <x:v>3</x:v>
      </x:c>
      <x:c r="D1043" s="5" t="str">
        <x:v>Recht und Steuern</x:v>
      </x:c>
      <x:c r="E1043" s="5" t="str">
        <x:v>Steuern</x:v>
      </x:c>
      <x:c r="F1043" s="5" t="str">
        <x:v>ui-wq-steuern-unternehmen</x:v>
      </x:c>
      <x:c r="G1043" s="5" t="str">
        <x:v>Unternehmensbezogene Steuern</x:v>
      </x:c>
      <x:c r="H1043" s="5" t="str">
        <x:v>tr-wq-s02</x:v>
      </x:c>
      <x:c r="I1043" s="5" t="str">
        <x:v>3.2.2.1</x:v>
      </x:c>
      <x:c r="J1043" s="5" t="str">
        <x:v>Einkommensteuer – Einkunftsarten &amp; Gewinnermittlung</x:v>
      </x:c>
      <x:c r="K1043" s="5" t="str"/>
      <x:c r="L1043" s="5" t="str">
        <x:v>Einkommensteuer – Einkunftsarten &amp; Gewinnermittlung</x:v>
      </x:c>
      <x:c r="M1043" s="5" t="n">
        <x:v>58</x:v>
      </x:c>
      <x:c r="N1043" s="5" t="n">
        <x:v>19</x:v>
      </x:c>
      <x:c r="O1043" s="5" t="str"/>
      <x:c r="P1043" s="5" t="str">
        <x:v>Pilot freigegeben</x:v>
      </x:c>
      <x:c r="Q1043" s="5" t="str">
        <x:v>Revision 2 unverändert übernommen</x:v>
      </x:c>
      <x:c r="R1043" s="5" t="str">
        <x:v>Nennen Sie fünf typische Werbungskosten bei Einkünften aus nichtselbstständiger Arbeit, die steuerlich berücksichtigt werden können.</x:v>
      </x:c>
      <x:c r="S1043" s="5" t="str">
        <x:v>3266357f153f54fd584bec6f849e4e291c9ee4b36fc77c0a01eaeb081d81c5d8</x:v>
      </x:c>
    </x:row>
    <x:row r="1044" ht="36" customHeight="1">
      <x:c r="A1044" s="5" t="str">
        <x:v>ST-0066</x:v>
      </x:c>
      <x:c r="B1044" s="5" t="str">
        <x:v>WQ</x:v>
      </x:c>
      <x:c r="C1044" s="5" t="str">
        <x:v>3</x:v>
      </x:c>
      <x:c r="D1044" s="5" t="str">
        <x:v>Recht und Steuern</x:v>
      </x:c>
      <x:c r="E1044" s="5" t="str">
        <x:v>Steuern</x:v>
      </x:c>
      <x:c r="F1044" s="5" t="str">
        <x:v>ui-wq-steuern-unternehmen</x:v>
      </x:c>
      <x:c r="G1044" s="5" t="str">
        <x:v>Unternehmensbezogene Steuern</x:v>
      </x:c>
      <x:c r="H1044" s="5" t="str">
        <x:v>tr-wq-s07</x:v>
      </x:c>
      <x:c r="I1044" s="5" t="str">
        <x:v>3.2.2.4</x:v>
      </x:c>
      <x:c r="J1044" s="5" t="str">
        <x:v>Kapitalertragsteuer und Steuerabzug</x:v>
      </x:c>
      <x:c r="K1044" s="5" t="str">
        <x:v>3.2.2.1; 3.2.2.4</x:v>
      </x:c>
      <x:c r="L1044" s="5" t="str">
        <x:v>Einkommensteuer – Einkunftsarten &amp; Gewinnermittlung</x:v>
      </x:c>
      <x:c r="M1044" s="5" t="n">
        <x:v>59</x:v>
      </x:c>
      <x:c r="N1044" s="5" t="n">
        <x:v>5</x:v>
      </x:c>
      <x:c r="O1044" s="5" t="str"/>
      <x:c r="P1044" s="5" t="str">
        <x:v>Pilot freigegeben</x:v>
      </x:c>
      <x:c r="Q1044" s="5" t="str">
        <x:v>Revision 2 unverändert übernommen</x:v>
      </x:c>
      <x:c r="R1044" s="5" t="str">
        <x:v>Warum werden die Dividendeneinnahmen aus dem Privatvermögen grundsätzlich nicht in der Einkommensteuererklärung angegeben?</x:v>
      </x:c>
      <x:c r="S1044" s="5" t="str">
        <x:v>7bf238269f57db317f81544e2f9188d32a90ba27e856a798274359ec7c91e00f</x:v>
      </x:c>
    </x:row>
    <x:row r="1045" ht="36" customHeight="1">
      <x:c r="A1045" s="5" t="str">
        <x:v>ST-0067</x:v>
      </x:c>
      <x:c r="B1045" s="5" t="str">
        <x:v>WQ</x:v>
      </x:c>
      <x:c r="C1045" s="5" t="str">
        <x:v>3</x:v>
      </x:c>
      <x:c r="D1045" s="5" t="str">
        <x:v>Recht und Steuern</x:v>
      </x:c>
      <x:c r="E1045" s="5" t="str">
        <x:v>Steuern</x:v>
      </x:c>
      <x:c r="F1045" s="5" t="str">
        <x:v>ui-wq-steuern-unternehmen</x:v>
      </x:c>
      <x:c r="G1045" s="5" t="str">
        <x:v>Unternehmensbezogene Steuern</x:v>
      </x:c>
      <x:c r="H1045" s="5" t="str">
        <x:v>tr-wq-s03</x:v>
      </x:c>
      <x:c r="I1045" s="5" t="str">
        <x:v>3.2.2.1</x:v>
      </x:c>
      <x:c r="J1045" s="5" t="str">
        <x:v>Einkommensteuer – Abzüge, Tarif &amp; Veranlagung</x:v>
      </x:c>
      <x:c r="K1045" s="5" t="str"/>
      <x:c r="L1045" s="5" t="str">
        <x:v>Einkommensteuer – Abzüge, Tarif &amp; Veranlagung</x:v>
      </x:c>
      <x:c r="M1045" s="5" t="n">
        <x:v>60</x:v>
      </x:c>
      <x:c r="N1045" s="5" t="n">
        <x:v>15</x:v>
      </x:c>
      <x:c r="O1045" s="5" t="str"/>
      <x:c r="P1045" s="5" t="str">
        <x:v>Pilot freigegeben</x:v>
      </x:c>
      <x:c r="Q1045" s="5" t="str">
        <x:v>Revision 2 unverändert übernommen</x:v>
      </x:c>
      <x:c r="R1045" s="5" t="str">
        <x:v>Eine steuerpflichtige Person spendet an das SOS-Kinderdorf und erhält dafür eine ordnungsgemäße Spendenbescheinigung. Ist diese Spende als Sonderausgabe steuerlich abzugsfähig?</x:v>
      </x:c>
      <x:c r="S1045" s="5" t="str">
        <x:v>1e431ff6f7ffbf37f12f528f608c9045a0593cb57519e53abf14a89338f9c021</x:v>
      </x:c>
    </x:row>
    <x:row r="1046" ht="36" customHeight="1">
      <x:c r="A1046" s="5" t="str">
        <x:v>ST-0068</x:v>
      </x:c>
      <x:c r="B1046" s="5" t="str">
        <x:v>WQ</x:v>
      </x:c>
      <x:c r="C1046" s="5" t="str">
        <x:v>3</x:v>
      </x:c>
      <x:c r="D1046" s="5" t="str">
        <x:v>Recht und Steuern</x:v>
      </x:c>
      <x:c r="E1046" s="5" t="str">
        <x:v>Steuern</x:v>
      </x:c>
      <x:c r="F1046" s="5" t="str">
        <x:v>ui-wq-steuern-unternehmen</x:v>
      </x:c>
      <x:c r="G1046" s="5" t="str">
        <x:v>Unternehmensbezogene Steuern</x:v>
      </x:c>
      <x:c r="H1046" s="5" t="str">
        <x:v>tr-wq-s03</x:v>
      </x:c>
      <x:c r="I1046" s="5" t="str">
        <x:v>3.2.2.1</x:v>
      </x:c>
      <x:c r="J1046" s="5" t="str">
        <x:v>Einkommensteuer – Abzüge, Tarif &amp; Veranlagung</x:v>
      </x:c>
      <x:c r="K1046" s="5" t="str"/>
      <x:c r="L1046" s="5" t="str">
        <x:v>Einkommensteuer – Abzüge, Tarif &amp; Veranlagung</x:v>
      </x:c>
      <x:c r="M1046" s="5" t="n">
        <x:v>61</x:v>
      </x:c>
      <x:c r="N1046" s="5" t="n">
        <x:v>16</x:v>
      </x:c>
      <x:c r="O1046" s="5" t="str"/>
      <x:c r="P1046" s="5" t="str">
        <x:v>Pilot freigegeben</x:v>
      </x:c>
      <x:c r="Q1046" s="5" t="str">
        <x:v>Revision 2 unverändert übernommen</x:v>
      </x:c>
      <x:c r="R1046" s="5" t="str">
        <x:v>Nach der vollständigen Einkommensteuerermittlung für Herrn Anton ergibt sich ein zu versteuerndes Einkommen von 68.000 €. Wie hoch ist das zu versteuernde Einkommen?</x:v>
      </x:c>
      <x:c r="S1046" s="5" t="str">
        <x:v>83a5573f000b978b02c24674c89f6861fe94db71a333e27db692171d492e5390</x:v>
      </x:c>
    </x:row>
    <x:row r="1047" ht="36" customHeight="1">
      <x:c r="A1047" s="5" t="str">
        <x:v>ST-0069</x:v>
      </x:c>
      <x:c r="B1047" s="5" t="str">
        <x:v>WQ</x:v>
      </x:c>
      <x:c r="C1047" s="5" t="str">
        <x:v>3</x:v>
      </x:c>
      <x:c r="D1047" s="5" t="str">
        <x:v>Recht und Steuern</x:v>
      </x:c>
      <x:c r="E1047" s="5" t="str">
        <x:v>Steuern</x:v>
      </x:c>
      <x:c r="F1047" s="5" t="str">
        <x:v>ui-wq-steuern-unternehmen</x:v>
      </x:c>
      <x:c r="G1047" s="5" t="str">
        <x:v>Unternehmensbezogene Steuern</x:v>
      </x:c>
      <x:c r="H1047" s="5" t="str">
        <x:v>tr-wq-s03</x:v>
      </x:c>
      <x:c r="I1047" s="5" t="str">
        <x:v>3.2.2.1</x:v>
      </x:c>
      <x:c r="J1047" s="5" t="str">
        <x:v>Einkommensteuer – Abzüge, Tarif &amp; Veranlagung</x:v>
      </x:c>
      <x:c r="K1047" s="5" t="str"/>
      <x:c r="L1047" s="5" t="str">
        <x:v>Einkommensteuer – Abzüge, Tarif &amp; Veranlagung</x:v>
      </x:c>
      <x:c r="M1047" s="5" t="n">
        <x:v>62</x:v>
      </x:c>
      <x:c r="N1047" s="5" t="n">
        <x:v>17</x:v>
      </x:c>
      <x:c r="O1047" s="5" t="str"/>
      <x:c r="P1047" s="5" t="str">
        <x:v>Pilot freigegeben</x:v>
      </x:c>
      <x:c r="Q1047" s="5" t="str">
        <x:v>Revision 2 unverändert übernommen</x:v>
      </x:c>
      <x:c r="R1047" s="5" t="str">
        <x:v>Unterscheiden Sie die Begriffe Einkommen und zu versteuerndes Einkommen bei der Einkommensteuerermittlung.</x:v>
      </x:c>
      <x:c r="S1047" s="5" t="str">
        <x:v>5d2d5af1425629bb4f96dddf96924e8f0fe5e17300051a526c5286d19c2456fd</x:v>
      </x:c>
    </x:row>
    <x:row r="1048" ht="36" customHeight="1">
      <x:c r="A1048" s="5" t="str">
        <x:v>ST-0070</x:v>
      </x:c>
      <x:c r="B1048" s="5" t="str">
        <x:v>WQ</x:v>
      </x:c>
      <x:c r="C1048" s="5" t="str">
        <x:v>3</x:v>
      </x:c>
      <x:c r="D1048" s="5" t="str">
        <x:v>Recht und Steuern</x:v>
      </x:c>
      <x:c r="E1048" s="5" t="str">
        <x:v>Steuern</x:v>
      </x:c>
      <x:c r="F1048" s="5" t="str">
        <x:v>ui-wq-steuern-unternehmen</x:v>
      </x:c>
      <x:c r="G1048" s="5" t="str">
        <x:v>Unternehmensbezogene Steuern</x:v>
      </x:c>
      <x:c r="H1048" s="5" t="str">
        <x:v>tr-wq-s05</x:v>
      </x:c>
      <x:c r="I1048" s="5" t="str">
        <x:v>3.2.2.2</x:v>
      </x:c>
      <x:c r="J1048" s="5" t="str">
        <x:v>Körperschaftsteuer und Beteiligungen</x:v>
      </x:c>
      <x:c r="K1048" s="5" t="str"/>
      <x:c r="L1048" s="5" t="str">
        <x:v>Körperschaftsteuer &amp; Kapitalertragsteuer</x:v>
      </x:c>
      <x:c r="M1048" s="5" t="n">
        <x:v>63</x:v>
      </x:c>
      <x:c r="N1048" s="5" t="n">
        <x:v>11</x:v>
      </x:c>
      <x:c r="O1048" s="5" t="str"/>
      <x:c r="P1048" s="5" t="str">
        <x:v>Pilot freigegeben</x:v>
      </x:c>
      <x:c r="Q1048" s="5" t="str">
        <x:v>Revision 2 unverändert übernommen</x:v>
      </x:c>
      <x:c r="R1048" s="5" t="str">
        <x:v>Die Circle Harbor GmbH hat ihren Sitz in Deutschland. Ist sie beschränkt oder unbeschränkt körperschaftsteuerpflichtig?</x:v>
      </x:c>
      <x:c r="S1048" s="5" t="str">
        <x:v>bf68865ea5da27c4fe0182f3bc994d65a4ee5f048bfcd78fc55acb9aba8cdcfb</x:v>
      </x:c>
    </x:row>
    <x:row r="1049" ht="36" customHeight="1">
      <x:c r="A1049" s="5" t="str">
        <x:v>ST-0071</x:v>
      </x:c>
      <x:c r="B1049" s="5" t="str">
        <x:v>WQ</x:v>
      </x:c>
      <x:c r="C1049" s="5" t="str">
        <x:v>3</x:v>
      </x:c>
      <x:c r="D1049" s="5" t="str">
        <x:v>Recht und Steuern</x:v>
      </x:c>
      <x:c r="E1049" s="5" t="str">
        <x:v>Steuern</x:v>
      </x:c>
      <x:c r="F1049" s="5" t="str">
        <x:v>ui-wq-steuern-unternehmen</x:v>
      </x:c>
      <x:c r="G1049" s="5" t="str">
        <x:v>Unternehmensbezogene Steuern</x:v>
      </x:c>
      <x:c r="H1049" s="5" t="str">
        <x:v>tr-wq-s05</x:v>
      </x:c>
      <x:c r="I1049" s="5" t="str">
        <x:v>3.2.2.2</x:v>
      </x:c>
      <x:c r="J1049" s="5" t="str">
        <x:v>Körperschaftsteuer und Beteiligungen</x:v>
      </x:c>
      <x:c r="K1049" s="5" t="str"/>
      <x:c r="L1049" s="5" t="str">
        <x:v>Körperschaftsteuer &amp; Kapitalertragsteuer</x:v>
      </x:c>
      <x:c r="M1049" s="5" t="n">
        <x:v>64</x:v>
      </x:c>
      <x:c r="N1049" s="5" t="n">
        <x:v>12</x:v>
      </x:c>
      <x:c r="O1049" s="5" t="str"/>
      <x:c r="P1049" s="5" t="str">
        <x:v>Pilot freigegeben</x:v>
      </x:c>
      <x:c r="Q1049" s="5" t="str">
        <x:v>Revision 2 unverändert übernommen</x:v>
      </x:c>
      <x:c r="R1049" s="5" t="str">
        <x:v>Die Circle Harbor International S. A. hat weder Sitz noch Geschäftsleitung in Deutschland, erzielt aber inländische Einkünfte. Ist sie beschränkt oder unbeschränkt körperschaftsteuerpflichtig?</x:v>
      </x:c>
      <x:c r="S1049" s="5" t="str">
        <x:v>e773d337b0f0049a06a543f5bad548b9606ce7e47134e25aa3aa5a9e155ed1fd</x:v>
      </x:c>
    </x:row>
    <x:row r="1050" ht="36" customHeight="1">
      <x:c r="A1050" s="5" t="str">
        <x:v>ST-0072</x:v>
      </x:c>
      <x:c r="B1050" s="5" t="str">
        <x:v>WQ</x:v>
      </x:c>
      <x:c r="C1050" s="5" t="str">
        <x:v>3</x:v>
      </x:c>
      <x:c r="D1050" s="5" t="str">
        <x:v>Recht und Steuern</x:v>
      </x:c>
      <x:c r="E1050" s="5" t="str">
        <x:v>Steuern</x:v>
      </x:c>
      <x:c r="F1050" s="5" t="str">
        <x:v>ui-wq-steuern-unternehmen</x:v>
      </x:c>
      <x:c r="G1050" s="5" t="str">
        <x:v>Unternehmensbezogene Steuern</x:v>
      </x:c>
      <x:c r="H1050" s="5" t="str">
        <x:v>tr-wq-s05</x:v>
      </x:c>
      <x:c r="I1050" s="5" t="str">
        <x:v>3.2.2.2</x:v>
      </x:c>
      <x:c r="J1050" s="5" t="str">
        <x:v>Körperschaftsteuer und Beteiligungen</x:v>
      </x:c>
      <x:c r="K1050" s="5" t="str"/>
      <x:c r="L1050" s="5" t="str">
        <x:v>Körperschaftsteuer &amp; Kapitalertragsteuer</x:v>
      </x:c>
      <x:c r="M1050" s="5" t="n">
        <x:v>65</x:v>
      </x:c>
      <x:c r="N1050" s="5" t="n">
        <x:v>13</x:v>
      </x:c>
      <x:c r="O1050" s="5" t="str"/>
      <x:c r="P1050" s="5" t="str">
        <x:v>Pilot freigegeben</x:v>
      </x:c>
      <x:c r="Q1050" s="5" t="str">
        <x:v>Revision 2 unverändert übernommen</x:v>
      </x:c>
      <x:c r="R1050" s="5" t="str">
        <x:v>Nennen Sie drei typische Aufwendungen einer Kapitalgesellschaft, die bei der Ermittlung des zu versteuernden Einkommens nicht abzugsfähig sind.</x:v>
      </x:c>
      <x:c r="S1050" s="5" t="str">
        <x:v>38fac393aab6b78be32a915c0eea048aada63e3cd3d913432c6e0e573ed177ea</x:v>
      </x:c>
    </x:row>
    <x:row r="1051" ht="36" customHeight="1">
      <x:c r="A1051" s="5" t="str">
        <x:v>ST-0073</x:v>
      </x:c>
      <x:c r="B1051" s="5" t="str">
        <x:v>WQ</x:v>
      </x:c>
      <x:c r="C1051" s="5" t="str">
        <x:v>3</x:v>
      </x:c>
      <x:c r="D1051" s="5" t="str">
        <x:v>Recht und Steuern</x:v>
      </x:c>
      <x:c r="E1051" s="5" t="str">
        <x:v>Steuern</x:v>
      </x:c>
      <x:c r="F1051" s="5" t="str">
        <x:v>ui-wq-steuern-unternehmen</x:v>
      </x:c>
      <x:c r="G1051" s="5" t="str">
        <x:v>Unternehmensbezogene Steuern</x:v>
      </x:c>
      <x:c r="H1051" s="5" t="str">
        <x:v>tr-wq-s05</x:v>
      </x:c>
      <x:c r="I1051" s="5" t="str">
        <x:v>3.2.2.2</x:v>
      </x:c>
      <x:c r="J1051" s="5" t="str">
        <x:v>Körperschaftsteuer und Beteiligungen</x:v>
      </x:c>
      <x:c r="K1051" s="5" t="str"/>
      <x:c r="L1051" s="5" t="str">
        <x:v>Körperschaftsteuer &amp; Kapitalertragsteuer</x:v>
      </x:c>
      <x:c r="M1051" s="5" t="n">
        <x:v>66</x:v>
      </x:c>
      <x:c r="N1051" s="5" t="n">
        <x:v>14</x:v>
      </x:c>
      <x:c r="O1051" s="5" t="str"/>
      <x:c r="P1051" s="5" t="str">
        <x:v>Pilot freigegeben</x:v>
      </x:c>
      <x:c r="Q1051" s="5" t="str">
        <x:v>Revision 2 unverändert übernommen</x:v>
      </x:c>
      <x:c r="R1051" s="5" t="str">
        <x:v>Fallbezug: Die folgenden betrieblichen Angaben und Situationen beziehen sich auf die Circle Harbor GmbH.
Aus dem Vorjahr besteht ein festgestellter Verlustvortrag von 20.000 €. Welcher Betrag ist als Verlustvortrag zu berücksichtigen?</x:v>
      </x:c>
      <x:c r="S1051" s="5" t="str">
        <x:v>3e928f2da62de1a04ed44c78157451e6a714cd9c3143fa8d3201ea1c93a006d8</x:v>
      </x:c>
    </x:row>
    <x:row r="1052" ht="36" customHeight="1">
      <x:c r="A1052" s="5" t="str">
        <x:v>ST-0074</x:v>
      </x:c>
      <x:c r="B1052" s="5" t="str">
        <x:v>WQ</x:v>
      </x:c>
      <x:c r="C1052" s="5" t="str">
        <x:v>3</x:v>
      </x:c>
      <x:c r="D1052" s="5" t="str">
        <x:v>Recht und Steuern</x:v>
      </x:c>
      <x:c r="E1052" s="5" t="str">
        <x:v>Steuern</x:v>
      </x:c>
      <x:c r="F1052" s="5" t="str">
        <x:v>ui-wq-steuern-unternehmen</x:v>
      </x:c>
      <x:c r="G1052" s="5" t="str">
        <x:v>Unternehmensbezogene Steuern</x:v>
      </x:c>
      <x:c r="H1052" s="5" t="str">
        <x:v>tr-wq-s05</x:v>
      </x:c>
      <x:c r="I1052" s="5" t="str">
        <x:v>3.2.2.2</x:v>
      </x:c>
      <x:c r="J1052" s="5" t="str">
        <x:v>Körperschaftsteuer und Beteiligungen</x:v>
      </x:c>
      <x:c r="K1052" s="5" t="str"/>
      <x:c r="L1052" s="5" t="str">
        <x:v>Körperschaftsteuer &amp; Kapitalertragsteuer</x:v>
      </x:c>
      <x:c r="M1052" s="5" t="n">
        <x:v>67</x:v>
      </x:c>
      <x:c r="N1052" s="5" t="n">
        <x:v>15</x:v>
      </x:c>
      <x:c r="O1052" s="5" t="str"/>
      <x:c r="P1052" s="5" t="str">
        <x:v>Pilot freigegeben</x:v>
      </x:c>
      <x:c r="Q1052" s="5" t="str">
        <x:v>Revision 2 unverändert übernommen</x:v>
      </x:c>
      <x:c r="R1052" s="5" t="str">
        <x:v>Wie hoch ist der Körperschaftsteuersatz?</x:v>
      </x:c>
      <x:c r="S1052" s="5" t="str">
        <x:v>d4e6737dfbb654d508998382a11287d7714b463959c99ed19c8c6676a636d8bb</x:v>
      </x:c>
    </x:row>
    <x:row r="1053" ht="36" customHeight="1">
      <x:c r="A1053" s="5" t="str">
        <x:v>ST-0075</x:v>
      </x:c>
      <x:c r="B1053" s="5" t="str">
        <x:v>WQ</x:v>
      </x:c>
      <x:c r="C1053" s="5" t="str">
        <x:v>3</x:v>
      </x:c>
      <x:c r="D1053" s="5" t="str">
        <x:v>Recht und Steuern</x:v>
      </x:c>
      <x:c r="E1053" s="5" t="str">
        <x:v>Steuern</x:v>
      </x:c>
      <x:c r="F1053" s="5" t="str">
        <x:v>ui-wq-steuern-unternehmen</x:v>
      </x:c>
      <x:c r="G1053" s="5" t="str">
        <x:v>Unternehmensbezogene Steuern</x:v>
      </x:c>
      <x:c r="H1053" s="5" t="str">
        <x:v>tr-wq-s05</x:v>
      </x:c>
      <x:c r="I1053" s="5" t="str">
        <x:v>3.2.2.2</x:v>
      </x:c>
      <x:c r="J1053" s="5" t="str">
        <x:v>Körperschaftsteuer und Beteiligungen</x:v>
      </x:c>
      <x:c r="K1053" s="5" t="str"/>
      <x:c r="L1053" s="5" t="str">
        <x:v>Körperschaftsteuer &amp; Kapitalertragsteuer</x:v>
      </x:c>
      <x:c r="M1053" s="5" t="n">
        <x:v>68</x:v>
      </x:c>
      <x:c r="N1053" s="5" t="n">
        <x:v>16</x:v>
      </x:c>
      <x:c r="O1053" s="5" t="str"/>
      <x:c r="P1053" s="5" t="str">
        <x:v>Pilot freigegeben</x:v>
      </x:c>
      <x:c r="Q1053" s="5" t="str">
        <x:v>Revision 2 unverändert übernommen</x:v>
      </x:c>
      <x:c r="R1053" s="5" t="str">
        <x:v>Wie hoch ist der Solidaritätszuschlag auf die Körperschaftsteuer?</x:v>
      </x:c>
      <x:c r="S1053" s="5" t="str">
        <x:v>28e0ab3d55a5ba113836f68afd59c5db19cc5e0dcfcd4fa9f3890cf4d5471723</x:v>
      </x:c>
    </x:row>
    <x:row r="1054" ht="36" customHeight="1">
      <x:c r="A1054" s="5" t="str">
        <x:v>ST-0076</x:v>
      </x:c>
      <x:c r="B1054" s="5" t="str">
        <x:v>WQ</x:v>
      </x:c>
      <x:c r="C1054" s="5" t="str">
        <x:v>3</x:v>
      </x:c>
      <x:c r="D1054" s="5" t="str">
        <x:v>Recht und Steuern</x:v>
      </x:c>
      <x:c r="E1054" s="5" t="str">
        <x:v>Steuern</x:v>
      </x:c>
      <x:c r="F1054" s="5" t="str">
        <x:v>ui-wq-steuern-unternehmen</x:v>
      </x:c>
      <x:c r="G1054" s="5" t="str">
        <x:v>Unternehmensbezogene Steuern</x:v>
      </x:c>
      <x:c r="H1054" s="5" t="str">
        <x:v>tr-wq-s05</x:v>
      </x:c>
      <x:c r="I1054" s="5" t="str">
        <x:v>3.2.2.2</x:v>
      </x:c>
      <x:c r="J1054" s="5" t="str">
        <x:v>Körperschaftsteuer und Beteiligungen</x:v>
      </x:c>
      <x:c r="K1054" s="5" t="str"/>
      <x:c r="L1054" s="5" t="str">
        <x:v>Körperschaftsteuer &amp; Kapitalertragsteuer</x:v>
      </x:c>
      <x:c r="M1054" s="5" t="n">
        <x:v>69</x:v>
      </x:c>
      <x:c r="N1054" s="5" t="n">
        <x:v>17</x:v>
      </x:c>
      <x:c r="O1054" s="5" t="str"/>
      <x:c r="P1054" s="5" t="str">
        <x:v>Pilot freigegeben</x:v>
      </x:c>
      <x:c r="Q1054" s="5" t="str">
        <x:v>Revision 2 unverändert übernommen</x:v>
      </x:c>
      <x:c r="R1054" s="5" t="str">
        <x:v>Nach allen steuerlichen Korrekturen wurde für die Circle Harbor GmbH ein zu versteuerndes Einkommen von 769.275 € ermittelt. Wie hoch ist das zu versteuernde Einkommen?</x:v>
      </x:c>
      <x:c r="S1054" s="5" t="str">
        <x:v>10ebf9340856037d0d139249983840eb1a048286c06b793d46ebc285f5ca0d7d</x:v>
      </x:c>
    </x:row>
    <x:row r="1055" ht="36" customHeight="1">
      <x:c r="A1055" s="5" t="str">
        <x:v>ST-0077</x:v>
      </x:c>
      <x:c r="B1055" s="5" t="str">
        <x:v>WQ</x:v>
      </x:c>
      <x:c r="C1055" s="5" t="str">
        <x:v>3</x:v>
      </x:c>
      <x:c r="D1055" s="5" t="str">
        <x:v>Recht und Steuern</x:v>
      </x:c>
      <x:c r="E1055" s="5" t="str">
        <x:v>Steuern</x:v>
      </x:c>
      <x:c r="F1055" s="5" t="str">
        <x:v>ui-wq-steuern-unternehmen</x:v>
      </x:c>
      <x:c r="G1055" s="5" t="str">
        <x:v>Unternehmensbezogene Steuern</x:v>
      </x:c>
      <x:c r="H1055" s="5" t="str">
        <x:v>tr-wq-s05</x:v>
      </x:c>
      <x:c r="I1055" s="5" t="str">
        <x:v>3.2.2.2</x:v>
      </x:c>
      <x:c r="J1055" s="5" t="str">
        <x:v>Körperschaftsteuer und Beteiligungen</x:v>
      </x:c>
      <x:c r="K1055" s="5" t="str"/>
      <x:c r="L1055" s="5" t="str">
        <x:v>Körperschaftsteuer &amp; Kapitalertragsteuer</x:v>
      </x:c>
      <x:c r="M1055" s="5" t="n">
        <x:v>70</x:v>
      </x:c>
      <x:c r="N1055" s="5" t="n">
        <x:v>18</x:v>
      </x:c>
      <x:c r="O1055" s="5" t="str"/>
      <x:c r="P1055" s="5" t="str">
        <x:v>Pilot freigegeben</x:v>
      </x:c>
      <x:c r="Q1055" s="5" t="str">
        <x:v>Revision 2 unverändert übernommen</x:v>
      </x:c>
      <x:c r="R1055" s="5" t="str">
        <x:v>Wann liegt eine verdeckte Gewinnausschüttung vor?</x:v>
      </x:c>
      <x:c r="S1055" s="5" t="str">
        <x:v>0561d9a6b418c58c598f018a27cf14a3326e7684271f82b4e260f3b2345a3129</x:v>
      </x:c>
    </x:row>
    <x:row r="1056" ht="36" customHeight="1">
      <x:c r="A1056" s="5" t="str">
        <x:v>ST-0078</x:v>
      </x:c>
      <x:c r="B1056" s="5" t="str">
        <x:v>WQ</x:v>
      </x:c>
      <x:c r="C1056" s="5" t="str">
        <x:v>3</x:v>
      </x:c>
      <x:c r="D1056" s="5" t="str">
        <x:v>Recht und Steuern</x:v>
      </x:c>
      <x:c r="E1056" s="5" t="str">
        <x:v>Steuern</x:v>
      </x:c>
      <x:c r="F1056" s="5" t="str">
        <x:v>ui-wq-steuern-unternehmen</x:v>
      </x:c>
      <x:c r="G1056" s="5" t="str">
        <x:v>Unternehmensbezogene Steuern</x:v>
      </x:c>
      <x:c r="H1056" s="5" t="str">
        <x:v>tr-wq-s05</x:v>
      </x:c>
      <x:c r="I1056" s="5" t="str">
        <x:v>3.2.2.2</x:v>
      </x:c>
      <x:c r="J1056" s="5" t="str">
        <x:v>Körperschaftsteuer und Beteiligungen</x:v>
      </x:c>
      <x:c r="K1056" s="5" t="str"/>
      <x:c r="L1056" s="5" t="str">
        <x:v>Körperschaftsteuer &amp; Kapitalertragsteuer</x:v>
      </x:c>
      <x:c r="M1056" s="5" t="n">
        <x:v>71</x:v>
      </x:c>
      <x:c r="N1056" s="5" t="n">
        <x:v>19</x:v>
      </x:c>
      <x:c r="O1056" s="5" t="str"/>
      <x:c r="P1056" s="5" t="str">
        <x:v>Pilot freigegeben</x:v>
      </x:c>
      <x:c r="Q1056" s="5" t="str">
        <x:v>Revision 2 unverändert übernommen</x:v>
      </x:c>
      <x:c r="R1056" s="5" t="str">
        <x:v>Fallbezug: Die folgenden betrieblichen Angaben und Situationen beziehen sich auf die Circle Harbor GmbH.
Wie hoch ist die verdeckte Gewinnausschüttung bei einem Gehalt von 240.000 € statt angemessenen 180.000 €?</x:v>
      </x:c>
      <x:c r="S1056" s="5" t="str">
        <x:v>9d7ef0394f06010fe1d9335a1539e10d6f5356bc6f96918634386f5b05030997</x:v>
      </x:c>
    </x:row>
    <x:row r="1057" ht="36" customHeight="1">
      <x:c r="A1057" s="5" t="str">
        <x:v>ST-0079</x:v>
      </x:c>
      <x:c r="B1057" s="5" t="str">
        <x:v>WQ</x:v>
      </x:c>
      <x:c r="C1057" s="5" t="str">
        <x:v>3</x:v>
      </x:c>
      <x:c r="D1057" s="5" t="str">
        <x:v>Recht und Steuern</x:v>
      </x:c>
      <x:c r="E1057" s="5" t="str">
        <x:v>Steuern</x:v>
      </x:c>
      <x:c r="F1057" s="5" t="str">
        <x:v>ui-wq-steuern-unternehmen</x:v>
      </x:c>
      <x:c r="G1057" s="5" t="str">
        <x:v>Unternehmensbezogene Steuern</x:v>
      </x:c>
      <x:c r="H1057" s="5" t="str">
        <x:v>tr-wq-s05</x:v>
      </x:c>
      <x:c r="I1057" s="5" t="str">
        <x:v>3.2.2.2</x:v>
      </x:c>
      <x:c r="J1057" s="5" t="str">
        <x:v>Körperschaftsteuer und Beteiligungen</x:v>
      </x:c>
      <x:c r="K1057" s="5" t="str"/>
      <x:c r="L1057" s="5" t="str">
        <x:v>Körperschaftsteuer &amp; Kapitalertragsteuer</x:v>
      </x:c>
      <x:c r="M1057" s="5" t="n">
        <x:v>72</x:v>
      </x:c>
      <x:c r="N1057" s="5" t="n">
        <x:v>20</x:v>
      </x:c>
      <x:c r="O1057" s="5" t="str"/>
      <x:c r="P1057" s="5" t="str">
        <x:v>Pilot freigegeben</x:v>
      </x:c>
      <x:c r="Q1057" s="5" t="str">
        <x:v>Revision 2 unverändert übernommen</x:v>
      </x:c>
      <x:c r="R1057" s="5" t="str">
        <x:v>Fallbezug: Die folgenden betrieblichen Angaben und Situationen beziehen sich auf die Circle Harbor GmbH.
Wie hoch ist die verdeckte Gewinnausschüttung bei einem Marktwert von 476.000 € und einem berechneten Preis von 357.000 €?</x:v>
      </x:c>
      <x:c r="S1057" s="5" t="str">
        <x:v>3c3eaa8affbfa997b013d2b0e8d0ba916872061c7fb69fe77b0263844e404865</x:v>
      </x:c>
    </x:row>
    <x:row r="1058" ht="36" customHeight="1">
      <x:c r="A1058" s="5" t="str">
        <x:v>ST-0080</x:v>
      </x:c>
      <x:c r="B1058" s="5" t="str">
        <x:v>WQ</x:v>
      </x:c>
      <x:c r="C1058" s="5" t="str">
        <x:v>3</x:v>
      </x:c>
      <x:c r="D1058" s="5" t="str">
        <x:v>Recht und Steuern</x:v>
      </x:c>
      <x:c r="E1058" s="5" t="str">
        <x:v>Steuern</x:v>
      </x:c>
      <x:c r="F1058" s="5" t="str">
        <x:v>ui-wq-steuern-unternehmen</x:v>
      </x:c>
      <x:c r="G1058" s="5" t="str">
        <x:v>Unternehmensbezogene Steuern</x:v>
      </x:c>
      <x:c r="H1058" s="5" t="str">
        <x:v>tr-wq-s02</x:v>
      </x:c>
      <x:c r="I1058" s="5" t="str">
        <x:v>3.2.2.1</x:v>
      </x:c>
      <x:c r="J1058" s="5" t="str">
        <x:v>Einkommensteuer – Einkunftsarten &amp; Gewinnermittlung</x:v>
      </x:c>
      <x:c r="K1058" s="5" t="str"/>
      <x:c r="L1058" s="5" t="str">
        <x:v>Einkommensteuer – Einkunftsarten &amp; Gewinnermittlung</x:v>
      </x:c>
      <x:c r="M1058" s="5" t="n">
        <x:v>73</x:v>
      </x:c>
      <x:c r="N1058" s="5" t="n">
        <x:v>20</x:v>
      </x:c>
      <x:c r="O1058" s="5" t="str"/>
      <x:c r="P1058" s="5" t="str">
        <x:v>Pilot freigegeben</x:v>
      </x:c>
      <x:c r="Q1058" s="5" t="str">
        <x:v>Revision 2 unverändert übernommen</x:v>
      </x:c>
      <x:c r="R1058" s="5" t="str">
        <x:v>Welche Einkunftsart erzielt eine selbstständige Steuerberaterin?</x:v>
      </x:c>
      <x:c r="S1058" s="5" t="str">
        <x:v>c8e5e865636d98691f4622101bbb046ce4ad39297d25b026f8cfd9db35a83eea</x:v>
      </x:c>
    </x:row>
    <x:row r="1059" ht="36" customHeight="1">
      <x:c r="A1059" s="5" t="str">
        <x:v>ST-0081</x:v>
      </x:c>
      <x:c r="B1059" s="5" t="str">
        <x:v>WQ</x:v>
      </x:c>
      <x:c r="C1059" s="5" t="str">
        <x:v>3</x:v>
      </x:c>
      <x:c r="D1059" s="5" t="str">
        <x:v>Recht und Steuern</x:v>
      </x:c>
      <x:c r="E1059" s="5" t="str">
        <x:v>Steuern</x:v>
      </x:c>
      <x:c r="F1059" s="5" t="str">
        <x:v>ui-wq-steuern-unternehmen</x:v>
      </x:c>
      <x:c r="G1059" s="5" t="str">
        <x:v>Unternehmensbezogene Steuern</x:v>
      </x:c>
      <x:c r="H1059" s="5" t="str">
        <x:v>tr-wq-s02</x:v>
      </x:c>
      <x:c r="I1059" s="5" t="str">
        <x:v>3.2.2.1</x:v>
      </x:c>
      <x:c r="J1059" s="5" t="str">
        <x:v>Einkommensteuer – Einkunftsarten &amp; Gewinnermittlung</x:v>
      </x:c>
      <x:c r="K1059" s="5" t="str"/>
      <x:c r="L1059" s="5" t="str">
        <x:v>Einkommensteuer – Einkunftsarten &amp; Gewinnermittlung</x:v>
      </x:c>
      <x:c r="M1059" s="5" t="n">
        <x:v>74</x:v>
      </x:c>
      <x:c r="N1059" s="5" t="n">
        <x:v>21</x:v>
      </x:c>
      <x:c r="O1059" s="5" t="str"/>
      <x:c r="P1059" s="5" t="str">
        <x:v>Pilot freigegeben</x:v>
      </x:c>
      <x:c r="Q1059" s="5" t="str">
        <x:v>Revision 2 unverändert übernommen</x:v>
      </x:c>
      <x:c r="R1059" s="5" t="str">
        <x:v>Welche Einkunftsart erzielt eine Baumschule als Einzelunternehmen?</x:v>
      </x:c>
      <x:c r="S1059" s="5" t="str">
        <x:v>7c24843bef49035ab5597a1c162dd43081a8186aed5ef0c6ece31c71cdc26435</x:v>
      </x:c>
    </x:row>
    <x:row r="1060" ht="36" customHeight="1">
      <x:c r="A1060" s="5" t="str">
        <x:v>ST-0082</x:v>
      </x:c>
      <x:c r="B1060" s="5" t="str">
        <x:v>WQ</x:v>
      </x:c>
      <x:c r="C1060" s="5" t="str">
        <x:v>3</x:v>
      </x:c>
      <x:c r="D1060" s="5" t="str">
        <x:v>Recht und Steuern</x:v>
      </x:c>
      <x:c r="E1060" s="5" t="str">
        <x:v>Steuern</x:v>
      </x:c>
      <x:c r="F1060" s="5" t="str">
        <x:v>ui-wq-steuern-unternehmen</x:v>
      </x:c>
      <x:c r="G1060" s="5" t="str">
        <x:v>Unternehmensbezogene Steuern</x:v>
      </x:c>
      <x:c r="H1060" s="5" t="str">
        <x:v>tr-wq-s02</x:v>
      </x:c>
      <x:c r="I1060" s="5" t="str">
        <x:v>3.2.2.1</x:v>
      </x:c>
      <x:c r="J1060" s="5" t="str">
        <x:v>Einkommensteuer – Einkunftsarten &amp; Gewinnermittlung</x:v>
      </x:c>
      <x:c r="K1060" s="5" t="str"/>
      <x:c r="L1060" s="5" t="str">
        <x:v>Einkommensteuer – Einkunftsarten &amp; Gewinnermittlung</x:v>
      </x:c>
      <x:c r="M1060" s="5" t="n">
        <x:v>75</x:v>
      </x:c>
      <x:c r="N1060" s="5" t="n">
        <x:v>22</x:v>
      </x:c>
      <x:c r="O1060" s="5" t="str"/>
      <x:c r="P1060" s="5" t="str">
        <x:v>Pilot freigegeben</x:v>
      </x:c>
      <x:c r="Q1060" s="5" t="str">
        <x:v>Revision 2 unverändert übernommen</x:v>
      </x:c>
      <x:c r="R1060" s="5" t="str">
        <x:v>Welche Einkunftsart erzielt ein selbstständiger Handelsvertreter?</x:v>
      </x:c>
      <x:c r="S1060" s="5" t="str">
        <x:v>f97bb69917b1906c57b9698a147391bf415efb535a9ef522c4567cbc6a169946</x:v>
      </x:c>
    </x:row>
    <x:row r="1061" ht="36" customHeight="1">
      <x:c r="A1061" s="5" t="str">
        <x:v>ST-0083</x:v>
      </x:c>
      <x:c r="B1061" s="5" t="str">
        <x:v>WQ</x:v>
      </x:c>
      <x:c r="C1061" s="5" t="str">
        <x:v>3</x:v>
      </x:c>
      <x:c r="D1061" s="5" t="str">
        <x:v>Recht und Steuern</x:v>
      </x:c>
      <x:c r="E1061" s="5" t="str">
        <x:v>Steuern</x:v>
      </x:c>
      <x:c r="F1061" s="5" t="str">
        <x:v>ui-wq-steuern-unternehmen</x:v>
      </x:c>
      <x:c r="G1061" s="5" t="str">
        <x:v>Unternehmensbezogene Steuern</x:v>
      </x:c>
      <x:c r="H1061" s="5" t="str">
        <x:v>tr-wq-s02</x:v>
      </x:c>
      <x:c r="I1061" s="5" t="str">
        <x:v>3.2.2.1</x:v>
      </x:c>
      <x:c r="J1061" s="5" t="str">
        <x:v>Einkommensteuer – Einkunftsarten &amp; Gewinnermittlung</x:v>
      </x:c>
      <x:c r="K1061" s="5" t="str"/>
      <x:c r="L1061" s="5" t="str">
        <x:v>Einkommensteuer – Einkunftsarten &amp; Gewinnermittlung</x:v>
      </x:c>
      <x:c r="M1061" s="5" t="n">
        <x:v>76</x:v>
      </x:c>
      <x:c r="N1061" s="5" t="n">
        <x:v>23</x:v>
      </x:c>
      <x:c r="O1061" s="5" t="str"/>
      <x:c r="P1061" s="5" t="str">
        <x:v>Pilot freigegeben</x:v>
      </x:c>
      <x:c r="Q1061" s="5" t="str">
        <x:v>Revision 2 unverändert übernommen</x:v>
      </x:c>
      <x:c r="R1061" s="5" t="str">
        <x:v>Welche Einkunftsart erzielt eine Nachhilfelehrerin?</x:v>
      </x:c>
      <x:c r="S1061" s="5" t="str">
        <x:v>7b52a1dffe320b1dc76ecbc807ffbf327611d553cd0abaa9b30af4f7715f7a8f</x:v>
      </x:c>
    </x:row>
    <x:row r="1062" ht="36" customHeight="1">
      <x:c r="A1062" s="5" t="str">
        <x:v>ST-0084</x:v>
      </x:c>
      <x:c r="B1062" s="5" t="str">
        <x:v>WQ</x:v>
      </x:c>
      <x:c r="C1062" s="5" t="str">
        <x:v>3</x:v>
      </x:c>
      <x:c r="D1062" s="5" t="str">
        <x:v>Recht und Steuern</x:v>
      </x:c>
      <x:c r="E1062" s="5" t="str">
        <x:v>Steuern</x:v>
      </x:c>
      <x:c r="F1062" s="5" t="str">
        <x:v>ui-wq-steuern-unternehmen</x:v>
      </x:c>
      <x:c r="G1062" s="5" t="str">
        <x:v>Unternehmensbezogene Steuern</x:v>
      </x:c>
      <x:c r="H1062" s="5" t="str">
        <x:v>tr-wq-s02</x:v>
      </x:c>
      <x:c r="I1062" s="5" t="str">
        <x:v>3.2.2.1</x:v>
      </x:c>
      <x:c r="J1062" s="5" t="str">
        <x:v>Einkommensteuer – Einkunftsarten &amp; Gewinnermittlung</x:v>
      </x:c>
      <x:c r="K1062" s="5" t="str"/>
      <x:c r="L1062" s="5" t="str">
        <x:v>Einkommensteuer – Einkunftsarten &amp; Gewinnermittlung</x:v>
      </x:c>
      <x:c r="M1062" s="5" t="n">
        <x:v>77</x:v>
      </x:c>
      <x:c r="N1062" s="5" t="n">
        <x:v>24</x:v>
      </x:c>
      <x:c r="O1062" s="5" t="str"/>
      <x:c r="P1062" s="5" t="str">
        <x:v>Pilot freigegeben</x:v>
      </x:c>
      <x:c r="Q1062" s="5" t="str">
        <x:v>Revision 2 unverändert übernommen</x:v>
      </x:c>
      <x:c r="R1062" s="5" t="str">
        <x:v>Welche Einkunftsart erzielt ein landwirtschaftlicher Betrieb?</x:v>
      </x:c>
      <x:c r="S1062" s="5" t="str">
        <x:v>bb9cab302d52a24eb0771516476e14045921003327db3d420b7a19cb9e3553d4</x:v>
      </x:c>
    </x:row>
    <x:row r="1063" ht="36" customHeight="1">
      <x:c r="A1063" s="5" t="str">
        <x:v>ST-0085</x:v>
      </x:c>
      <x:c r="B1063" s="5" t="str">
        <x:v>WQ</x:v>
      </x:c>
      <x:c r="C1063" s="5" t="str">
        <x:v>3</x:v>
      </x:c>
      <x:c r="D1063" s="5" t="str">
        <x:v>Recht und Steuern</x:v>
      </x:c>
      <x:c r="E1063" s="5" t="str">
        <x:v>Steuern</x:v>
      </x:c>
      <x:c r="F1063" s="5" t="str">
        <x:v>ui-wq-steuern-unternehmen</x:v>
      </x:c>
      <x:c r="G1063" s="5" t="str">
        <x:v>Unternehmensbezogene Steuern</x:v>
      </x:c>
      <x:c r="H1063" s="5" t="str">
        <x:v>tr-wq-s02</x:v>
      </x:c>
      <x:c r="I1063" s="5" t="str">
        <x:v>3.2.2.1</x:v>
      </x:c>
      <x:c r="J1063" s="5" t="str">
        <x:v>Einkommensteuer – Einkunftsarten &amp; Gewinnermittlung</x:v>
      </x:c>
      <x:c r="K1063" s="5" t="str"/>
      <x:c r="L1063" s="5" t="str">
        <x:v>Einkommensteuer – Einkunftsarten &amp; Gewinnermittlung</x:v>
      </x:c>
      <x:c r="M1063" s="5" t="n">
        <x:v>78</x:v>
      </x:c>
      <x:c r="N1063" s="5" t="n">
        <x:v>25</x:v>
      </x:c>
      <x:c r="O1063" s="5" t="str"/>
      <x:c r="P1063" s="5" t="str">
        <x:v>Pilot freigegeben</x:v>
      </x:c>
      <x:c r="Q1063" s="5" t="str">
        <x:v>Revision 2 unverändert übernommen</x:v>
      </x:c>
      <x:c r="R1063" s="5" t="str">
        <x:v>Welche Einkunftsart erzielt eine zoologische Handlung in der Rechtsform einer KG oder OHG?</x:v>
      </x:c>
      <x:c r="S1063" s="5" t="str">
        <x:v>c4a23fcc2e1c58765509400f4d2a880956ecb8038d163a1021e1614e39ebddb5</x:v>
      </x:c>
    </x:row>
    <x:row r="1064" ht="36" customHeight="1">
      <x:c r="A1064" s="5" t="str">
        <x:v>ST-0086</x:v>
      </x:c>
      <x:c r="B1064" s="5" t="str">
        <x:v>WQ</x:v>
      </x:c>
      <x:c r="C1064" s="5" t="str">
        <x:v>3</x:v>
      </x:c>
      <x:c r="D1064" s="5" t="str">
        <x:v>Recht und Steuern</x:v>
      </x:c>
      <x:c r="E1064" s="5" t="str">
        <x:v>Steuern</x:v>
      </x:c>
      <x:c r="F1064" s="5" t="str">
        <x:v>ui-wq-steuern-unternehmen</x:v>
      </x:c>
      <x:c r="G1064" s="5" t="str">
        <x:v>Unternehmensbezogene Steuern</x:v>
      </x:c>
      <x:c r="H1064" s="5" t="str">
        <x:v>tr-wq-s02</x:v>
      </x:c>
      <x:c r="I1064" s="5" t="str">
        <x:v>3.2.2.1</x:v>
      </x:c>
      <x:c r="J1064" s="5" t="str">
        <x:v>Einkommensteuer – Einkunftsarten &amp; Gewinnermittlung</x:v>
      </x:c>
      <x:c r="K1064" s="5" t="str"/>
      <x:c r="L1064" s="5" t="str">
        <x:v>Einkommensteuer – Einkunftsarten &amp; Gewinnermittlung</x:v>
      </x:c>
      <x:c r="M1064" s="5" t="n">
        <x:v>79</x:v>
      </x:c>
      <x:c r="N1064" s="5" t="n">
        <x:v>26</x:v>
      </x:c>
      <x:c r="O1064" s="5" t="str"/>
      <x:c r="P1064" s="5" t="str">
        <x:v>Pilot freigegeben</x:v>
      </x:c>
      <x:c r="Q1064" s="5" t="str">
        <x:v>Revision 2 unverändert übernommen</x:v>
      </x:c>
      <x:c r="R1064" s="5" t="str">
        <x:v>Welche Einkunftsart erzielt eine Künstlerin bzw. Malerin?</x:v>
      </x:c>
      <x:c r="S1064" s="5" t="str">
        <x:v>a684aebcaa37a510894f5556a381146e0c1d5ba8838acf4a557e2ebc792a3bed</x:v>
      </x:c>
    </x:row>
    <x:row r="1065" ht="36" customHeight="1">
      <x:c r="A1065" s="5" t="str">
        <x:v>ST-0087</x:v>
      </x:c>
      <x:c r="B1065" s="5" t="str">
        <x:v>WQ</x:v>
      </x:c>
      <x:c r="C1065" s="5" t="str">
        <x:v>3</x:v>
      </x:c>
      <x:c r="D1065" s="5" t="str">
        <x:v>Recht und Steuern</x:v>
      </x:c>
      <x:c r="E1065" s="5" t="str">
        <x:v>Steuern</x:v>
      </x:c>
      <x:c r="F1065" s="5" t="str">
        <x:v>ui-wq-steuern-unternehmen</x:v>
      </x:c>
      <x:c r="G1065" s="5" t="str">
        <x:v>Unternehmensbezogene Steuern</x:v>
      </x:c>
      <x:c r="H1065" s="5" t="str">
        <x:v>tr-wq-s02</x:v>
      </x:c>
      <x:c r="I1065" s="5" t="str">
        <x:v>3.2.2.1</x:v>
      </x:c>
      <x:c r="J1065" s="5" t="str">
        <x:v>Einkommensteuer – Einkunftsarten &amp; Gewinnermittlung</x:v>
      </x:c>
      <x:c r="K1065" s="5" t="str"/>
      <x:c r="L1065" s="5" t="str">
        <x:v>Einkommensteuer – Einkunftsarten &amp; Gewinnermittlung</x:v>
      </x:c>
      <x:c r="M1065" s="5" t="n">
        <x:v>80</x:v>
      </x:c>
      <x:c r="N1065" s="5" t="n">
        <x:v>27</x:v>
      </x:c>
      <x:c r="O1065" s="5" t="str"/>
      <x:c r="P1065" s="5" t="str">
        <x:v>Pilot freigegeben</x:v>
      </x:c>
      <x:c r="Q1065" s="5" t="str">
        <x:v>Revision 2 unverändert übernommen</x:v>
      </x:c>
      <x:c r="R1065" s="5" t="str">
        <x:v>Welche Einkunftsart erzielt ein Beerdigungsinstitut als Einzelunternehmen?</x:v>
      </x:c>
      <x:c r="S1065" s="5" t="str">
        <x:v>a61fddcc11b92669bcb6aed39110901ac53de790b60edbf0cda67d4e1c9c9836</x:v>
      </x:c>
    </x:row>
    <x:row r="1066" ht="36" customHeight="1">
      <x:c r="A1066" s="5" t="str">
        <x:v>ST-0088</x:v>
      </x:c>
      <x:c r="B1066" s="5" t="str">
        <x:v>WQ</x:v>
      </x:c>
      <x:c r="C1066" s="5" t="str">
        <x:v>3</x:v>
      </x:c>
      <x:c r="D1066" s="5" t="str">
        <x:v>Recht und Steuern</x:v>
      </x:c>
      <x:c r="E1066" s="5" t="str">
        <x:v>Steuern</x:v>
      </x:c>
      <x:c r="F1066" s="5" t="str">
        <x:v>ui-wq-steuern-unternehmen</x:v>
      </x:c>
      <x:c r="G1066" s="5" t="str">
        <x:v>Unternehmensbezogene Steuern</x:v>
      </x:c>
      <x:c r="H1066" s="5" t="str">
        <x:v>tr-wq-s06</x:v>
      </x:c>
      <x:c r="I1066" s="5" t="str">
        <x:v>3.2.2.3</x:v>
      </x:c>
      <x:c r="J1066" s="5" t="str">
        <x:v>Gewerbesteuer</x:v>
      </x:c>
      <x:c r="K1066" s="5" t="str"/>
      <x:c r="L1066" s="5" t="str">
        <x:v>Gewerbesteuer</x:v>
      </x:c>
      <x:c r="M1066" s="5" t="n">
        <x:v>81</x:v>
      </x:c>
      <x:c r="N1066" s="5" t="n">
        <x:v>9</x:v>
      </x:c>
      <x:c r="O1066" s="5" t="str"/>
      <x:c r="P1066" s="5" t="str">
        <x:v>Pilot freigegeben</x:v>
      </x:c>
      <x:c r="Q1066" s="5" t="str">
        <x:v>Revision 2 unverändert übernommen</x:v>
      </x:c>
      <x:c r="R1066" s="5" t="str">
        <x:v>Welche Aufgabe hat Karl Süd im Gewerbesteuerfestsetzungsverfahren?</x:v>
      </x:c>
      <x:c r="S1066" s="5" t="str">
        <x:v>508dacb4f0cb320a15af6f3d6bf5ab31083321aa6d256eebbad3a412b256c7d8</x:v>
      </x:c>
    </x:row>
    <x:row r="1067" ht="36" customHeight="1">
      <x:c r="A1067" s="5" t="str">
        <x:v>ST-0089</x:v>
      </x:c>
      <x:c r="B1067" s="5" t="str">
        <x:v>WQ</x:v>
      </x:c>
      <x:c r="C1067" s="5" t="str">
        <x:v>3</x:v>
      </x:c>
      <x:c r="D1067" s="5" t="str">
        <x:v>Recht und Steuern</x:v>
      </x:c>
      <x:c r="E1067" s="5" t="str">
        <x:v>Steuern</x:v>
      </x:c>
      <x:c r="F1067" s="5" t="str">
        <x:v>ui-wq-steuern-unternehmen</x:v>
      </x:c>
      <x:c r="G1067" s="5" t="str">
        <x:v>Unternehmensbezogene Steuern</x:v>
      </x:c>
      <x:c r="H1067" s="5" t="str">
        <x:v>tr-wq-s06</x:v>
      </x:c>
      <x:c r="I1067" s="5" t="str">
        <x:v>3.2.2.3</x:v>
      </x:c>
      <x:c r="J1067" s="5" t="str">
        <x:v>Gewerbesteuer</x:v>
      </x:c>
      <x:c r="K1067" s="5" t="str"/>
      <x:c r="L1067" s="5" t="str">
        <x:v>Gewerbesteuer</x:v>
      </x:c>
      <x:c r="M1067" s="5" t="n">
        <x:v>82</x:v>
      </x:c>
      <x:c r="N1067" s="5" t="n">
        <x:v>10</x:v>
      </x:c>
      <x:c r="O1067" s="5" t="str"/>
      <x:c r="P1067" s="5" t="str">
        <x:v>Pilot freigegeben</x:v>
      </x:c>
      <x:c r="Q1067" s="5" t="str">
        <x:v>Revision 2 unverändert übernommen</x:v>
      </x:c>
      <x:c r="R1067" s="5" t="str">
        <x:v>Welche Aufgabe hat das Finanzamt im Gewerbesteuerfestsetzungsverfahren?</x:v>
      </x:c>
      <x:c r="S1067" s="5" t="str">
        <x:v>0bf107ace01c0371274e7949c372e4a9c734dfbe38eda858c6745d4449df1ea2</x:v>
      </x:c>
    </x:row>
    <x:row r="1068" ht="36" customHeight="1">
      <x:c r="A1068" s="5" t="str">
        <x:v>ST-0090</x:v>
      </x:c>
      <x:c r="B1068" s="5" t="str">
        <x:v>WQ</x:v>
      </x:c>
      <x:c r="C1068" s="5" t="str">
        <x:v>3</x:v>
      </x:c>
      <x:c r="D1068" s="5" t="str">
        <x:v>Recht und Steuern</x:v>
      </x:c>
      <x:c r="E1068" s="5" t="str">
        <x:v>Steuern</x:v>
      </x:c>
      <x:c r="F1068" s="5" t="str">
        <x:v>ui-wq-steuern-unternehmen</x:v>
      </x:c>
      <x:c r="G1068" s="5" t="str">
        <x:v>Unternehmensbezogene Steuern</x:v>
      </x:c>
      <x:c r="H1068" s="5" t="str">
        <x:v>tr-wq-s06</x:v>
      </x:c>
      <x:c r="I1068" s="5" t="str">
        <x:v>3.2.2.3</x:v>
      </x:c>
      <x:c r="J1068" s="5" t="str">
        <x:v>Gewerbesteuer</x:v>
      </x:c>
      <x:c r="K1068" s="5" t="str"/>
      <x:c r="L1068" s="5" t="str">
        <x:v>Gewerbesteuer</x:v>
      </x:c>
      <x:c r="M1068" s="5" t="n">
        <x:v>83</x:v>
      </x:c>
      <x:c r="N1068" s="5" t="n">
        <x:v>11</x:v>
      </x:c>
      <x:c r="O1068" s="5" t="str"/>
      <x:c r="P1068" s="5" t="str">
        <x:v>Pilot freigegeben</x:v>
      </x:c>
      <x:c r="Q1068" s="5" t="str">
        <x:v>Revision 2 unverändert übernommen</x:v>
      </x:c>
      <x:c r="R1068" s="5" t="str">
        <x:v>Welche Aufgabe hat die Stadt Bonn im Gewerbesteuerfestsetzungsverfahren?</x:v>
      </x:c>
      <x:c r="S1068" s="5" t="str">
        <x:v>5fe33ea0b8e93a4ccbcf3857b89704304b477f5c569a688649c100d91af7991c</x:v>
      </x:c>
    </x:row>
    <x:row r="1069" ht="36" customHeight="1">
      <x:c r="A1069" s="5" t="str">
        <x:v>ST-0091</x:v>
      </x:c>
      <x:c r="B1069" s="5" t="str">
        <x:v>WQ</x:v>
      </x:c>
      <x:c r="C1069" s="5" t="str">
        <x:v>3</x:v>
      </x:c>
      <x:c r="D1069" s="5" t="str">
        <x:v>Recht und Steuern</x:v>
      </x:c>
      <x:c r="E1069" s="5" t="str">
        <x:v>Steuern</x:v>
      </x:c>
      <x:c r="F1069" s="5" t="str">
        <x:v>ui-wq-steuern-unternehmen</x:v>
      </x:c>
      <x:c r="G1069" s="5" t="str">
        <x:v>Unternehmensbezogene Steuern</x:v>
      </x:c>
      <x:c r="H1069" s="5" t="str">
        <x:v>tr-wq-s06</x:v>
      </x:c>
      <x:c r="I1069" s="5" t="str">
        <x:v>3.2.2.3</x:v>
      </x:c>
      <x:c r="J1069" s="5" t="str">
        <x:v>Gewerbesteuer</x:v>
      </x:c>
      <x:c r="K1069" s="5" t="str"/>
      <x:c r="L1069" s="5" t="str">
        <x:v>Gewerbesteuer</x:v>
      </x:c>
      <x:c r="M1069" s="5" t="n">
        <x:v>84</x:v>
      </x:c>
      <x:c r="N1069" s="5" t="n">
        <x:v>12</x:v>
      </x:c>
      <x:c r="O1069" s="5" t="str"/>
      <x:c r="P1069" s="5" t="str">
        <x:v>Pilot freigegeben</x:v>
      </x:c>
      <x:c r="Q1069" s="5" t="str">
        <x:v>Revision 2 unverändert übernommen</x:v>
      </x:c>
      <x:c r="R1069" s="5" t="str">
        <x:v>Vervollständigen Sie den Text zur Ermittlung der Gewerbesteuer: Die Besteuerungsgrundlage ist der [1]. Zunächst ist der steuerliche Gewinn nach den Vorschriften des [2] oder des [3] zu ermitteln. Dieser ist um [4] und [5] zu korrigieren.</x:v>
      </x:c>
      <x:c r="S1069" s="5" t="str">
        <x:v>d7aceefde1bba3a4fe05b9696b0ef4b2fc8d0b355746965fe71a92ec0e233858</x:v>
      </x:c>
    </x:row>
    <x:row r="1070" ht="36" customHeight="1">
      <x:c r="A1070" s="5" t="str">
        <x:v>ST-0092</x:v>
      </x:c>
      <x:c r="B1070" s="5" t="str">
        <x:v>WQ</x:v>
      </x:c>
      <x:c r="C1070" s="5" t="str">
        <x:v>3</x:v>
      </x:c>
      <x:c r="D1070" s="5" t="str">
        <x:v>Recht und Steuern</x:v>
      </x:c>
      <x:c r="E1070" s="5" t="str">
        <x:v>Steuern</x:v>
      </x:c>
      <x:c r="F1070" s="5" t="str">
        <x:v>ui-wq-steuern-unternehmen</x:v>
      </x:c>
      <x:c r="G1070" s="5" t="str">
        <x:v>Unternehmensbezogene Steuern</x:v>
      </x:c>
      <x:c r="H1070" s="5" t="str">
        <x:v>tr-wq-s06</x:v>
      </x:c>
      <x:c r="I1070" s="5" t="str">
        <x:v>3.2.2.3</x:v>
      </x:c>
      <x:c r="J1070" s="5" t="str">
        <x:v>Gewerbesteuer</x:v>
      </x:c>
      <x:c r="K1070" s="5" t="str"/>
      <x:c r="L1070" s="5" t="str">
        <x:v>Gewerbesteuer</x:v>
      </x:c>
      <x:c r="M1070" s="5" t="n">
        <x:v>85</x:v>
      </x:c>
      <x:c r="N1070" s="5" t="n">
        <x:v>13</x:v>
      </x:c>
      <x:c r="O1070" s="5" t="str"/>
      <x:c r="P1070" s="5" t="str">
        <x:v>Pilot freigegeben</x:v>
      </x:c>
      <x:c r="Q1070" s="5" t="str">
        <x:v>Revision 2 unverändert übernommen</x:v>
      </x:c>
      <x:c r="R1070" s="5" t="str">
        <x:v>Wie hoch ist der Gewerbesteuermessbetrag bei einem Gewerbeertrag von 87.656 €?</x:v>
      </x:c>
      <x:c r="S1070" s="5" t="str">
        <x:v>942246559ddf67faa921c6af76ce61c03c01c64a711e35e1ff52e66aeb526ae3</x:v>
      </x:c>
    </x:row>
    <x:row r="1071" ht="36" customHeight="1">
      <x:c r="A1071" s="5" t="str">
        <x:v>ST-0093</x:v>
      </x:c>
      <x:c r="B1071" s="5" t="str">
        <x:v>WQ</x:v>
      </x:c>
      <x:c r="C1071" s="5" t="str">
        <x:v>3</x:v>
      </x:c>
      <x:c r="D1071" s="5" t="str">
        <x:v>Recht und Steuern</x:v>
      </x:c>
      <x:c r="E1071" s="5" t="str">
        <x:v>Steuern</x:v>
      </x:c>
      <x:c r="F1071" s="5" t="str">
        <x:v>ui-wq-steuern-unternehmen</x:v>
      </x:c>
      <x:c r="G1071" s="5" t="str">
        <x:v>Unternehmensbezogene Steuern</x:v>
      </x:c>
      <x:c r="H1071" s="5" t="str">
        <x:v>tr-wq-s06</x:v>
      </x:c>
      <x:c r="I1071" s="5" t="str">
        <x:v>3.2.2.3</x:v>
      </x:c>
      <x:c r="J1071" s="5" t="str">
        <x:v>Gewerbesteuer</x:v>
      </x:c>
      <x:c r="K1071" s="5" t="str"/>
      <x:c r="L1071" s="5" t="str">
        <x:v>Gewerbesteuer</x:v>
      </x:c>
      <x:c r="M1071" s="5" t="n">
        <x:v>86</x:v>
      </x:c>
      <x:c r="N1071" s="5" t="n">
        <x:v>14</x:v>
      </x:c>
      <x:c r="O1071" s="5" t="str"/>
      <x:c r="P1071" s="5" t="str">
        <x:v>Pilot freigegeben</x:v>
      </x:c>
      <x:c r="Q1071" s="5" t="str">
        <x:v>Revision 2 unverändert übernommen</x:v>
      </x:c>
      <x:c r="R1071" s="5" t="str">
        <x:v>Wie hoch ist die Gewerbesteuer bei einem Gewerbesteuermessbetrag von 2.208 € und einem Hebesatz von 490 %?</x:v>
      </x:c>
      <x:c r="S1071" s="5" t="str">
        <x:v>1c264d8e301e75e538d9dfb29c2f60c14a5c7e5bb479d63832ae86ce6423f547</x:v>
      </x:c>
    </x:row>
    <x:row r="1072" ht="36" customHeight="1">
      <x:c r="A1072" s="5" t="str">
        <x:v>ST-0094</x:v>
      </x:c>
      <x:c r="B1072" s="5" t="str">
        <x:v>WQ</x:v>
      </x:c>
      <x:c r="C1072" s="5" t="str">
        <x:v>3</x:v>
      </x:c>
      <x:c r="D1072" s="5" t="str">
        <x:v>Recht und Steuern</x:v>
      </x:c>
      <x:c r="E1072" s="5" t="str">
        <x:v>Steuern</x:v>
      </x:c>
      <x:c r="F1072" s="5" t="str">
        <x:v>ui-wq-steuern-unternehmen</x:v>
      </x:c>
      <x:c r="G1072" s="5" t="str">
        <x:v>Unternehmensbezogene Steuern</x:v>
      </x:c>
      <x:c r="H1072" s="5" t="str">
        <x:v>tr-wq-s06</x:v>
      </x:c>
      <x:c r="I1072" s="5" t="str">
        <x:v>3.2.2.3</x:v>
      </x:c>
      <x:c r="J1072" s="5" t="str">
        <x:v>Gewerbesteuer</x:v>
      </x:c>
      <x:c r="K1072" s="5" t="str"/>
      <x:c r="L1072" s="5" t="str">
        <x:v>Gewerbesteuer</x:v>
      </x:c>
      <x:c r="M1072" s="5" t="n">
        <x:v>87</x:v>
      </x:c>
      <x:c r="N1072" s="5" t="n">
        <x:v>15</x:v>
      </x:c>
      <x:c r="O1072" s="5" t="str"/>
      <x:c r="P1072" s="5" t="str">
        <x:v>Pilot freigegeben</x:v>
      </x:c>
      <x:c r="Q1072" s="5" t="str">
        <x:v>Revision 2 unverändert übernommen</x:v>
      </x:c>
      <x:c r="R1072" s="5" t="str">
        <x:v>Ordnen Sie die Unternehmensformen dem richtigen Freibetrag zu.</x:v>
      </x:c>
      <x:c r="S1072" s="5" t="str">
        <x:v>f95404eae57a35c582d38aa69f1ea8b07d120c5f4a9a546cf221899df58d2d81</x:v>
      </x:c>
    </x:row>
    <x:row r="1073" ht="36" customHeight="1">
      <x:c r="A1073" s="5" t="str">
        <x:v>ST-0095</x:v>
      </x:c>
      <x:c r="B1073" s="5" t="str">
        <x:v>WQ</x:v>
      </x:c>
      <x:c r="C1073" s="5" t="str">
        <x:v>3</x:v>
      </x:c>
      <x:c r="D1073" s="5" t="str">
        <x:v>Recht und Steuern</x:v>
      </x:c>
      <x:c r="E1073" s="5" t="str">
        <x:v>Steuern</x:v>
      </x:c>
      <x:c r="F1073" s="5" t="str">
        <x:v>ui-wq-steuern-unternehmen</x:v>
      </x:c>
      <x:c r="G1073" s="5" t="str">
        <x:v>Unternehmensbezogene Steuern</x:v>
      </x:c>
      <x:c r="H1073" s="5" t="str">
        <x:v>tr-wq-s06</x:v>
      </x:c>
      <x:c r="I1073" s="5" t="str">
        <x:v>3.2.2.3</x:v>
      </x:c>
      <x:c r="J1073" s="5" t="str">
        <x:v>Gewerbesteuer</x:v>
      </x:c>
      <x:c r="K1073" s="5" t="str"/>
      <x:c r="L1073" s="5" t="str">
        <x:v>Gewerbesteuer</x:v>
      </x:c>
      <x:c r="M1073" s="5" t="n">
        <x:v>88</x:v>
      </x:c>
      <x:c r="N1073" s="5" t="n">
        <x:v>16</x:v>
      </x:c>
      <x:c r="O1073" s="5" t="str"/>
      <x:c r="P1073" s="5" t="str">
        <x:v>Pilot freigegeben</x:v>
      </x:c>
      <x:c r="Q1073" s="5" t="str">
        <x:v>Revision 2 unverändert übernommen</x:v>
      </x:c>
      <x:c r="R1073" s="5" t="str">
        <x:v>Wie hoch ist der steuerliche Gewinn nach EStG, wenn der handelsrechtliche Gewinn 81.850 € und die Gewerbesteuer 10.710 € beträgt?</x:v>
      </x:c>
      <x:c r="S1073" s="5" t="str">
        <x:v>85e5c1caa1a80717db618f748944a035b7fefb6ce49f3aa0a27b20c913e40b0b</x:v>
      </x:c>
    </x:row>
    <x:row r="1074" ht="36" customHeight="1">
      <x:c r="A1074" s="5" t="str">
        <x:v>ST-0096</x:v>
      </x:c>
      <x:c r="B1074" s="5" t="str">
        <x:v>WQ</x:v>
      </x:c>
      <x:c r="C1074" s="5" t="str">
        <x:v>3</x:v>
      </x:c>
      <x:c r="D1074" s="5" t="str">
        <x:v>Recht und Steuern</x:v>
      </x:c>
      <x:c r="E1074" s="5" t="str">
        <x:v>Steuern</x:v>
      </x:c>
      <x:c r="F1074" s="5" t="str">
        <x:v>ui-wq-steuern-unternehmen</x:v>
      </x:c>
      <x:c r="G1074" s="5" t="str">
        <x:v>Unternehmensbezogene Steuern</x:v>
      </x:c>
      <x:c r="H1074" s="5" t="str">
        <x:v>tr-wq-s06</x:v>
      </x:c>
      <x:c r="I1074" s="5" t="str">
        <x:v>3.2.2.3</x:v>
      </x:c>
      <x:c r="J1074" s="5" t="str">
        <x:v>Gewerbesteuer</x:v>
      </x:c>
      <x:c r="K1074" s="5" t="str"/>
      <x:c r="L1074" s="5" t="str">
        <x:v>Gewerbesteuer</x:v>
      </x:c>
      <x:c r="M1074" s="5" t="n">
        <x:v>89</x:v>
      </x:c>
      <x:c r="N1074" s="5" t="n">
        <x:v>17</x:v>
      </x:c>
      <x:c r="O1074" s="5" t="str"/>
      <x:c r="P1074" s="5" t="str">
        <x:v>Pilot freigegeben</x:v>
      </x:c>
      <x:c r="Q1074" s="5" t="str">
        <x:v>Revision 2 unverändert übernommen</x:v>
      </x:c>
      <x:c r="R1074" s="5" t="str">
        <x:v>Wie hoch ist der maßgebliche Gewerbeertrag nach Abzug des Freibetrags?</x:v>
      </x:c>
      <x:c r="S1074" s="5" t="str">
        <x:v>ef783d8526d74ebee1c0682bbf04f8d074ccd7662fba4cc7f0929ebb0f7c63b5</x:v>
      </x:c>
    </x:row>
    <x:row r="1075" ht="36" customHeight="1">
      <x:c r="A1075" s="5" t="str">
        <x:v>ST-0097</x:v>
      </x:c>
      <x:c r="B1075" s="5" t="str">
        <x:v>WQ</x:v>
      </x:c>
      <x:c r="C1075" s="5" t="str">
        <x:v>3</x:v>
      </x:c>
      <x:c r="D1075" s="5" t="str">
        <x:v>Recht und Steuern</x:v>
      </x:c>
      <x:c r="E1075" s="5" t="str">
        <x:v>Steuern</x:v>
      </x:c>
      <x:c r="F1075" s="5" t="str">
        <x:v>ui-wq-steuern-unternehmen</x:v>
      </x:c>
      <x:c r="G1075" s="5" t="str">
        <x:v>Unternehmensbezogene Steuern</x:v>
      </x:c>
      <x:c r="H1075" s="5" t="str">
        <x:v>tr-wq-s06</x:v>
      </x:c>
      <x:c r="I1075" s="5" t="str">
        <x:v>3.2.2.3</x:v>
      </x:c>
      <x:c r="J1075" s="5" t="str">
        <x:v>Gewerbesteuer</x:v>
      </x:c>
      <x:c r="K1075" s="5" t="str"/>
      <x:c r="L1075" s="5" t="str">
        <x:v>Gewerbesteuer</x:v>
      </x:c>
      <x:c r="M1075" s="5" t="n">
        <x:v>90</x:v>
      </x:c>
      <x:c r="N1075" s="5" t="n">
        <x:v>18</x:v>
      </x:c>
      <x:c r="O1075" s="5" t="str"/>
      <x:c r="P1075" s="5" t="str">
        <x:v>Pilot freigegeben</x:v>
      </x:c>
      <x:c r="Q1075" s="5" t="str">
        <x:v>Revision 2 unverändert übernommen</x:v>
      </x:c>
      <x:c r="R1075" s="5" t="str">
        <x:v>Wie hoch ist die festgesetzte Gewerbesteuer?</x:v>
      </x:c>
      <x:c r="S1075" s="5" t="str">
        <x:v>3b63aab64adffef5dc4b8b871f1be80a6dd5ad847a753e429b3fd02eb458868d</x:v>
      </x:c>
    </x:row>
    <x:row r="1076" ht="36" customHeight="1">
      <x:c r="A1076" s="5" t="str">
        <x:v>ST-0098</x:v>
      </x:c>
      <x:c r="B1076" s="5" t="str">
        <x:v>WQ</x:v>
      </x:c>
      <x:c r="C1076" s="5" t="str">
        <x:v>3</x:v>
      </x:c>
      <x:c r="D1076" s="5" t="str">
        <x:v>Recht und Steuern</x:v>
      </x:c>
      <x:c r="E1076" s="5" t="str">
        <x:v>Steuern</x:v>
      </x:c>
      <x:c r="F1076" s="5" t="str">
        <x:v>ui-wq-steuern-unternehmen</x:v>
      </x:c>
      <x:c r="G1076" s="5" t="str">
        <x:v>Unternehmensbezogene Steuern</x:v>
      </x:c>
      <x:c r="H1076" s="5" t="str">
        <x:v>tr-wq-s06</x:v>
      </x:c>
      <x:c r="I1076" s="5" t="str">
        <x:v>3.2.2.3</x:v>
      </x:c>
      <x:c r="J1076" s="5" t="str">
        <x:v>Gewerbesteuer</x:v>
      </x:c>
      <x:c r="K1076" s="5" t="str"/>
      <x:c r="L1076" s="5" t="str">
        <x:v>Gewerbesteuer</x:v>
      </x:c>
      <x:c r="M1076" s="5" t="n">
        <x:v>91</x:v>
      </x:c>
      <x:c r="N1076" s="5" t="n">
        <x:v>19</x:v>
      </x:c>
      <x:c r="O1076" s="5" t="str"/>
      <x:c r="P1076" s="5" t="str">
        <x:v>Pilot freigegeben</x:v>
      </x:c>
      <x:c r="Q1076" s="5" t="str">
        <x:v>Revision 2 unverändert übernommen</x:v>
      </x:c>
      <x:c r="R1076" s="5" t="str">
        <x:v>Wie hoch ist die Nachzahlung je Termin am 15.08. und 15.11.?</x:v>
      </x:c>
      <x:c r="S1076" s="5" t="str">
        <x:v>b2cf2ee2fcb8093a53ee09f22aaec2b7538ef01f3b0bdd530ce9d7ed5ad1178f</x:v>
      </x:c>
    </x:row>
    <x:row r="1077" ht="36" customHeight="1">
      <x:c r="A1077" s="5" t="str">
        <x:v>ST-0099</x:v>
      </x:c>
      <x:c r="B1077" s="5" t="str">
        <x:v>WQ</x:v>
      </x:c>
      <x:c r="C1077" s="5" t="str">
        <x:v>3</x:v>
      </x:c>
      <x:c r="D1077" s="5" t="str">
        <x:v>Recht und Steuern</x:v>
      </x:c>
      <x:c r="E1077" s="5" t="str">
        <x:v>Steuern</x:v>
      </x:c>
      <x:c r="F1077" s="5" t="str">
        <x:v>ui-wq-steuern-unternehmen</x:v>
      </x:c>
      <x:c r="G1077" s="5" t="str">
        <x:v>Unternehmensbezogene Steuern</x:v>
      </x:c>
      <x:c r="H1077" s="5" t="str">
        <x:v>tr-wq-s06</x:v>
      </x:c>
      <x:c r="I1077" s="5" t="str">
        <x:v>3.2.2.3</x:v>
      </x:c>
      <x:c r="J1077" s="5" t="str">
        <x:v>Gewerbesteuer</x:v>
      </x:c>
      <x:c r="K1077" s="5" t="str"/>
      <x:c r="L1077" s="5" t="str">
        <x:v>Gewerbesteuer</x:v>
      </x:c>
      <x:c r="M1077" s="5" t="n">
        <x:v>92</x:v>
      </x:c>
      <x:c r="N1077" s="5" t="n">
        <x:v>20</x:v>
      </x:c>
      <x:c r="O1077" s="5" t="str"/>
      <x:c r="P1077" s="5" t="str">
        <x:v>Pilot freigegeben</x:v>
      </x:c>
      <x:c r="Q1077" s="5" t="str">
        <x:v>Revision 2 unverändert übernommen</x:v>
      </x:c>
      <x:c r="R1077" s="5" t="str">
        <x:v>Ordnen Sie die Aufwandsarten dem richtigen Hinzurechnungssatz zu.</x:v>
      </x:c>
      <x:c r="S1077" s="5" t="str">
        <x:v>168405d0fc663a0f7ed0c5ac4478e7490483432b747c6f3c946a086d2beacce0</x:v>
      </x:c>
    </x:row>
    <x:row r="1078" ht="36" customHeight="1">
      <x:c r="A1078" s="5" t="str">
        <x:v>ST-0100</x:v>
      </x:c>
      <x:c r="B1078" s="5" t="str">
        <x:v>WQ</x:v>
      </x:c>
      <x:c r="C1078" s="5" t="str">
        <x:v>3</x:v>
      </x:c>
      <x:c r="D1078" s="5" t="str">
        <x:v>Recht und Steuern</x:v>
      </x:c>
      <x:c r="E1078" s="5" t="str">
        <x:v>Steuern</x:v>
      </x:c>
      <x:c r="F1078" s="5" t="str">
        <x:v>ui-wq-steuern-unternehmen</x:v>
      </x:c>
      <x:c r="G1078" s="5" t="str">
        <x:v>Unternehmensbezogene Steuern</x:v>
      </x:c>
      <x:c r="H1078" s="5" t="str">
        <x:v>tr-wq-s06</x:v>
      </x:c>
      <x:c r="I1078" s="5" t="str">
        <x:v>3.2.2.3</x:v>
      </x:c>
      <x:c r="J1078" s="5" t="str">
        <x:v>Gewerbesteuer</x:v>
      </x:c>
      <x:c r="K1078" s="5" t="str"/>
      <x:c r="L1078" s="5" t="str">
        <x:v>Gewerbesteuer</x:v>
      </x:c>
      <x:c r="M1078" s="5" t="n">
        <x:v>93</x:v>
      </x:c>
      <x:c r="N1078" s="5" t="n">
        <x:v>21</x:v>
      </x:c>
      <x:c r="O1078" s="5" t="str"/>
      <x:c r="P1078" s="5" t="str">
        <x:v>Pilot freigegeben</x:v>
      </x:c>
      <x:c r="Q1078" s="5" t="str">
        <x:v>Revision 2 unverändert übernommen</x:v>
      </x:c>
      <x:c r="R1078" s="5" t="str">
        <x:v>Wie hoch ist der Freibetrag bei den gewerbesteuerlichen Hinzurechnungen?</x:v>
      </x:c>
      <x:c r="S1078" s="5" t="str">
        <x:v>5cbcd45835b5cb9a892530506ecb5c3a0ce98882f61a1f309c929b475cfdc175</x:v>
      </x:c>
    </x:row>
    <x:row r="1079" ht="36" customHeight="1">
      <x:c r="A1079" s="5" t="str">
        <x:v>ST-0101</x:v>
      </x:c>
      <x:c r="B1079" s="5" t="str">
        <x:v>WQ</x:v>
      </x:c>
      <x:c r="C1079" s="5" t="str">
        <x:v>3</x:v>
      </x:c>
      <x:c r="D1079" s="5" t="str">
        <x:v>Recht und Steuern</x:v>
      </x:c>
      <x:c r="E1079" s="5" t="str">
        <x:v>Steuern</x:v>
      </x:c>
      <x:c r="F1079" s="5" t="str">
        <x:v>ui-wq-steuern-unternehmen</x:v>
      </x:c>
      <x:c r="G1079" s="5" t="str">
        <x:v>Unternehmensbezogene Steuern</x:v>
      </x:c>
      <x:c r="H1079" s="5" t="str">
        <x:v>tr-wq-s06</x:v>
      </x:c>
      <x:c r="I1079" s="5" t="str">
        <x:v>3.2.2.3</x:v>
      </x:c>
      <x:c r="J1079" s="5" t="str">
        <x:v>Gewerbesteuer</x:v>
      </x:c>
      <x:c r="K1079" s="5" t="str"/>
      <x:c r="L1079" s="5" t="str">
        <x:v>Gewerbesteuer</x:v>
      </x:c>
      <x:c r="M1079" s="5" t="n">
        <x:v>94</x:v>
      </x:c>
      <x:c r="N1079" s="5" t="n">
        <x:v>22</x:v>
      </x:c>
      <x:c r="O1079" s="5" t="str"/>
      <x:c r="P1079" s="5" t="str">
        <x:v>Pilot freigegeben</x:v>
      </x:c>
      <x:c r="Q1079" s="5" t="str">
        <x:v>Revision 2 unverändert übernommen</x:v>
      </x:c>
      <x:c r="R1079" s="5" t="str">
        <x:v>Fallbezug: Die folgenden betrieblichen Angaben und Situationen beziehen sich auf die Circle Harbor GmbH.
Für die gewerbesteuerliche Hinzurechnung sind in einem vereinfachten Fall bereits folgende nach § 8 GewStG anzusetzende Beträge ermittelt: 30.000 € Schuldzinsen, 3.000 € Leasing und 20.000 € Miete. Wie hoch ist die Summe der Hinzurechnungen?</x:v>
      </x:c>
      <x:c r="S1079" s="5" t="str">
        <x:v>c8a1866430b17f6e4b0ebfd524b5a727fc4285b3ff7d447f05ad8477da4b3dee</x:v>
      </x:c>
    </x:row>
    <x:row r="1080" ht="36" customHeight="1">
      <x:c r="A1080" s="5" t="str">
        <x:v>ST-0102</x:v>
      </x:c>
      <x:c r="B1080" s="5" t="str">
        <x:v>WQ</x:v>
      </x:c>
      <x:c r="C1080" s="5" t="str">
        <x:v>3</x:v>
      </x:c>
      <x:c r="D1080" s="5" t="str">
        <x:v>Recht und Steuern</x:v>
      </x:c>
      <x:c r="E1080" s="5" t="str">
        <x:v>Steuern</x:v>
      </x:c>
      <x:c r="F1080" s="5" t="str">
        <x:v>ui-wq-steuern-unternehmen</x:v>
      </x:c>
      <x:c r="G1080" s="5" t="str">
        <x:v>Unternehmensbezogene Steuern</x:v>
      </x:c>
      <x:c r="H1080" s="5" t="str">
        <x:v>tr-wq-s06</x:v>
      </x:c>
      <x:c r="I1080" s="5" t="str">
        <x:v>3.2.2.3</x:v>
      </x:c>
      <x:c r="J1080" s="5" t="str">
        <x:v>Gewerbesteuer</x:v>
      </x:c>
      <x:c r="K1080" s="5" t="str"/>
      <x:c r="L1080" s="5" t="str">
        <x:v>Gewerbesteuer</x:v>
      </x:c>
      <x:c r="M1080" s="5" t="n">
        <x:v>95</x:v>
      </x:c>
      <x:c r="N1080" s="5" t="n">
        <x:v>23</x:v>
      </x:c>
      <x:c r="O1080" s="5" t="str"/>
      <x:c r="P1080" s="5" t="str">
        <x:v>Pilot freigegeben</x:v>
      </x:c>
      <x:c r="Q1080" s="5" t="str">
        <x:v>Revision 2 unverändert übernommen</x:v>
      </x:c>
      <x:c r="R1080" s="5" t="str">
        <x:v>Fallbezug: Die folgenden betrieblichen Angaben und Situationen beziehen sich auf die Circle Harbor GmbH.
Bei der Ermittlung des Gewerbeertrags wurden Kürzungen nach § 9 GewStG in Höhe von insgesamt 1.176 € festgestellt. Wie hoch ist der vom Gewerbeertrag abzuziehende Kürzungsbetrag?</x:v>
      </x:c>
      <x:c r="S1080" s="5" t="str">
        <x:v>3e67918ae4b2ab07fffa2cf6cc69d0e6fbe6a8f7b3a1679d903b933228e45b35</x:v>
      </x:c>
    </x:row>
    <x:row r="1081" ht="36" customHeight="1">
      <x:c r="A1081" s="5" t="str">
        <x:v>ST-0103</x:v>
      </x:c>
      <x:c r="B1081" s="5" t="str">
        <x:v>WQ</x:v>
      </x:c>
      <x:c r="C1081" s="5" t="str">
        <x:v>3</x:v>
      </x:c>
      <x:c r="D1081" s="5" t="str">
        <x:v>Recht und Steuern</x:v>
      </x:c>
      <x:c r="E1081" s="5" t="str">
        <x:v>Steuern</x:v>
      </x:c>
      <x:c r="F1081" s="5" t="str">
        <x:v>ui-wq-steuern-unternehmen</x:v>
      </x:c>
      <x:c r="G1081" s="5" t="str">
        <x:v>Unternehmensbezogene Steuern</x:v>
      </x:c>
      <x:c r="H1081" s="5" t="str">
        <x:v>tr-wq-s06</x:v>
      </x:c>
      <x:c r="I1081" s="5" t="str">
        <x:v>3.2.2.3</x:v>
      </x:c>
      <x:c r="J1081" s="5" t="str">
        <x:v>Gewerbesteuer</x:v>
      </x:c>
      <x:c r="K1081" s="5" t="str"/>
      <x:c r="L1081" s="5" t="str">
        <x:v>Gewerbesteuer</x:v>
      </x:c>
      <x:c r="M1081" s="5" t="n">
        <x:v>96</x:v>
      </x:c>
      <x:c r="N1081" s="5" t="n">
        <x:v>24</x:v>
      </x:c>
      <x:c r="O1081" s="5" t="str"/>
      <x:c r="P1081" s="5" t="str">
        <x:v>Pilot freigegeben</x:v>
      </x:c>
      <x:c r="Q1081" s="5" t="str">
        <x:v>Revision 2 unverändert übernommen</x:v>
      </x:c>
      <x:c r="R1081" s="5" t="str">
        <x:v>Nach Berücksichtigung von Gewinn, Hinzurechnungen, Kürzungen, Verlustvortrag und Freibetrag ergibt sich ein steuerpflichtiger Gewerbeertrag von 164.300 €. Wie hoch ist der Gewerbeertrag?</x:v>
      </x:c>
      <x:c r="S1081" s="5" t="str">
        <x:v>6673db60cc4d4db5528e3c2a886096e97409c00e3ac8fe7cb4866114805bc7ce</x:v>
      </x:c>
    </x:row>
    <x:row r="1082" ht="36" customHeight="1">
      <x:c r="A1082" s="5" t="str">
        <x:v>ST-0104</x:v>
      </x:c>
      <x:c r="B1082" s="5" t="str">
        <x:v>WQ</x:v>
      </x:c>
      <x:c r="C1082" s="5" t="str">
        <x:v>3</x:v>
      </x:c>
      <x:c r="D1082" s="5" t="str">
        <x:v>Recht und Steuern</x:v>
      </x:c>
      <x:c r="E1082" s="5" t="str">
        <x:v>Steuern</x:v>
      </x:c>
      <x:c r="F1082" s="5" t="str">
        <x:v>ui-wq-steuern-unternehmen</x:v>
      </x:c>
      <x:c r="G1082" s="5" t="str">
        <x:v>Unternehmensbezogene Steuern</x:v>
      </x:c>
      <x:c r="H1082" s="5" t="str">
        <x:v>tr-wq-s07</x:v>
      </x:c>
      <x:c r="I1082" s="5" t="str">
        <x:v>3.2.2.4</x:v>
      </x:c>
      <x:c r="J1082" s="5" t="str">
        <x:v>Kapitalertragsteuer und Steuerabzug</x:v>
      </x:c>
      <x:c r="K1082" s="5" t="str"/>
      <x:c r="L1082" s="5" t="str">
        <x:v>Körperschaftsteuer &amp; Kapitalertragsteuer</x:v>
      </x:c>
      <x:c r="M1082" s="5" t="n">
        <x:v>97</x:v>
      </x:c>
      <x:c r="N1082" s="5" t="n">
        <x:v>6</x:v>
      </x:c>
      <x:c r="O1082" s="5" t="str"/>
      <x:c r="P1082" s="5" t="str">
        <x:v>Pilot freigegeben</x:v>
      </x:c>
      <x:c r="Q1082" s="5" t="str">
        <x:v>Revision 2 unverändert übernommen</x:v>
      </x:c>
      <x:c r="R1082" s="5" t="str">
        <x:v>Wie hoch ist die Nettoausschüttung bei einer Bruttoausschüttung von 1.000 € im Privatvermögen?</x:v>
      </x:c>
      <x:c r="S1082" s="5" t="str">
        <x:v>448cb34f0da20e3d091183289a309c46de633ec3f6ae904f7f172e903230cdf5</x:v>
      </x:c>
    </x:row>
    <x:row r="1083" ht="36" customHeight="1">
      <x:c r="A1083" s="5" t="str">
        <x:v>ST-0105</x:v>
      </x:c>
      <x:c r="B1083" s="5" t="str">
        <x:v>WQ</x:v>
      </x:c>
      <x:c r="C1083" s="5" t="str">
        <x:v>3</x:v>
      </x:c>
      <x:c r="D1083" s="5" t="str">
        <x:v>Recht und Steuern</x:v>
      </x:c>
      <x:c r="E1083" s="5" t="str">
        <x:v>Steuern</x:v>
      </x:c>
      <x:c r="F1083" s="5" t="str">
        <x:v>ui-wq-steuern-unternehmen</x:v>
      </x:c>
      <x:c r="G1083" s="5" t="str">
        <x:v>Unternehmensbezogene Steuern</x:v>
      </x:c>
      <x:c r="H1083" s="5" t="str">
        <x:v>tr-wq-s02</x:v>
      </x:c>
      <x:c r="I1083" s="5" t="str">
        <x:v>3.2.2.1</x:v>
      </x:c>
      <x:c r="J1083" s="5" t="str">
        <x:v>Einkommensteuer – Einkunftsarten &amp; Gewinnermittlung</x:v>
      </x:c>
      <x:c r="K1083" s="5" t="str">
        <x:v>3.2.2.1; 3.2.2.4</x:v>
      </x:c>
      <x:c r="L1083" s="5" t="str">
        <x:v>Körperschaftsteuer &amp; Kapitalertragsteuer</x:v>
      </x:c>
      <x:c r="M1083" s="5" t="n">
        <x:v>98</x:v>
      </x:c>
      <x:c r="N1083" s="5" t="n">
        <x:v>28</x:v>
      </x:c>
      <x:c r="O1083" s="5" t="str"/>
      <x:c r="P1083" s="5" t="str">
        <x:v>Pilot freigegeben</x:v>
      </x:c>
      <x:c r="Q1083" s="5" t="str">
        <x:v>Revision 2 unverändert übernommen</x:v>
      </x:c>
      <x:c r="R1083" s="5" t="str">
        <x:v>Welche Aussagen zum Teileinkünfteverfahren sind richtig?</x:v>
      </x:c>
      <x:c r="S1083" s="5" t="str">
        <x:v>3fc2cae6f81a85212b6b68182bb275ec9bcf404afe8ebeef93e76d73d74cedb3</x:v>
      </x:c>
    </x:row>
    <x:row r="1084" ht="36" customHeight="1">
      <x:c r="A1084" s="5" t="str">
        <x:v>ST-0106</x:v>
      </x:c>
      <x:c r="B1084" s="5" t="str">
        <x:v>WQ</x:v>
      </x:c>
      <x:c r="C1084" s="5" t="str">
        <x:v>3</x:v>
      </x:c>
      <x:c r="D1084" s="5" t="str">
        <x:v>Recht und Steuern</x:v>
      </x:c>
      <x:c r="E1084" s="5" t="str">
        <x:v>Steuern</x:v>
      </x:c>
      <x:c r="F1084" s="5" t="str">
        <x:v>ui-wq-steuern-unternehmen</x:v>
      </x:c>
      <x:c r="G1084" s="5" t="str">
        <x:v>Unternehmensbezogene Steuern</x:v>
      </x:c>
      <x:c r="H1084" s="5" t="str">
        <x:v>tr-wq-s05</x:v>
      </x:c>
      <x:c r="I1084" s="5" t="str">
        <x:v>3.2.2.2</x:v>
      </x:c>
      <x:c r="J1084" s="5" t="str">
        <x:v>Körperschaftsteuer und Beteiligungen</x:v>
      </x:c>
      <x:c r="K1084" s="5" t="str"/>
      <x:c r="L1084" s="5" t="str">
        <x:v>Körperschaftsteuer &amp; Kapitalertragsteuer</x:v>
      </x:c>
      <x:c r="M1084" s="5" t="n">
        <x:v>99</x:v>
      </x:c>
      <x:c r="N1084" s="5" t="n">
        <x:v>21</x:v>
      </x:c>
      <x:c r="O1084" s="5" t="str"/>
      <x:c r="P1084" s="5" t="str">
        <x:v>Pilot freigegeben</x:v>
      </x:c>
      <x:c r="Q1084" s="5" t="str">
        <x:v>Revision 2 unverändert übernommen</x:v>
      </x:c>
      <x:c r="R1084" s="5" t="str">
        <x:v>Wie hoch ist der steuerpflichtige Betrag einer Ausschüttung von 1.000 € zwischen Kapitalgesellschaften?</x:v>
      </x:c>
      <x:c r="S1084" s="5" t="str">
        <x:v>fb2a819d96122380fd4160ad4a34f399705408d7b0dc960f6845e7caf84ee094</x:v>
      </x:c>
    </x:row>
    <x:row r="1085" ht="36" customHeight="1">
      <x:c r="A1085" s="5" t="str">
        <x:v>ST-0107</x:v>
      </x:c>
      <x:c r="B1085" s="5" t="str">
        <x:v>WQ</x:v>
      </x:c>
      <x:c r="C1085" s="5" t="str">
        <x:v>3</x:v>
      </x:c>
      <x:c r="D1085" s="5" t="str">
        <x:v>Recht und Steuern</x:v>
      </x:c>
      <x:c r="E1085" s="5" t="str">
        <x:v>Steuern</x:v>
      </x:c>
      <x:c r="F1085" s="5" t="str">
        <x:v>ui-wq-steuern-unternehmen</x:v>
      </x:c>
      <x:c r="G1085" s="5" t="str">
        <x:v>Unternehmensbezogene Steuern</x:v>
      </x:c>
      <x:c r="H1085" s="5" t="str">
        <x:v>tr-wq-s08</x:v>
      </x:c>
      <x:c r="I1085" s="5" t="str">
        <x:v>3.2.2.5</x:v>
      </x:c>
      <x:c r="J1085" s="5" t="str">
        <x:v>Umsatzsteuer – Grundlagen &amp; Vorsteuer</x:v>
      </x:c>
      <x:c r="K1085" s="5" t="str"/>
      <x:c r="L1085" s="5" t="str">
        <x:v>Umsatzsteuer – Grundlagen &amp; Vorsteuer</x:v>
      </x:c>
      <x:c r="M1085" s="5" t="n">
        <x:v>100</x:v>
      </x:c>
      <x:c r="N1085" s="5" t="n">
        <x:v>1</x:v>
      </x:c>
      <x:c r="O1085" s="5" t="str"/>
      <x:c r="P1085" s="5" t="str">
        <x:v>Pilot freigegeben</x:v>
      </x:c>
      <x:c r="Q1085" s="5" t="str">
        <x:v>Revision 2 unverändert übernommen</x:v>
      </x:c>
      <x:c r="R1085" s="5" t="str">
        <x:v>Welche Umsatzsteuer-Zahllast muss der Produzent an das Finanzamt abführen?</x:v>
      </x:c>
      <x:c r="S1085" s="5" t="str">
        <x:v>4c42b49c69f03d21052cd5ab8bcb1258b1b97e9864934aed673fe968138cc229</x:v>
      </x:c>
    </x:row>
    <x:row r="1086" ht="36" customHeight="1">
      <x:c r="A1086" s="5" t="str">
        <x:v>ST-0108</x:v>
      </x:c>
      <x:c r="B1086" s="5" t="str">
        <x:v>WQ</x:v>
      </x:c>
      <x:c r="C1086" s="5" t="str">
        <x:v>3</x:v>
      </x:c>
      <x:c r="D1086" s="5" t="str">
        <x:v>Recht und Steuern</x:v>
      </x:c>
      <x:c r="E1086" s="5" t="str">
        <x:v>Steuern</x:v>
      </x:c>
      <x:c r="F1086" s="5" t="str">
        <x:v>ui-wq-steuern-unternehmen</x:v>
      </x:c>
      <x:c r="G1086" s="5" t="str">
        <x:v>Unternehmensbezogene Steuern</x:v>
      </x:c>
      <x:c r="H1086" s="5" t="str">
        <x:v>tr-wq-s08</x:v>
      </x:c>
      <x:c r="I1086" s="5" t="str">
        <x:v>3.2.2.5</x:v>
      </x:c>
      <x:c r="J1086" s="5" t="str">
        <x:v>Umsatzsteuer – Grundlagen &amp; Vorsteuer</x:v>
      </x:c>
      <x:c r="K1086" s="5" t="str"/>
      <x:c r="L1086" s="5" t="str">
        <x:v>Umsatzsteuer – Grundlagen &amp; Vorsteuer</x:v>
      </x:c>
      <x:c r="M1086" s="5" t="n">
        <x:v>101</x:v>
      </x:c>
      <x:c r="N1086" s="5" t="n">
        <x:v>2</x:v>
      </x:c>
      <x:c r="O1086" s="5" t="str"/>
      <x:c r="P1086" s="5" t="str">
        <x:v>Pilot freigegeben</x:v>
      </x:c>
      <x:c r="Q1086" s="5" t="str">
        <x:v>Revision 2 unverändert übernommen</x:v>
      </x:c>
      <x:c r="R1086" s="5" t="str">
        <x:v>Welche Umsatzsteuer-Zahllast muss der Großhändler an das Finanzamt abführen?</x:v>
      </x:c>
      <x:c r="S1086" s="5" t="str">
        <x:v>78d1ee832f4cc2c1a15b5288b7f34ec7a68abcaca249fb452b9369223a720023</x:v>
      </x:c>
    </x:row>
    <x:row r="1087" ht="36" customHeight="1">
      <x:c r="A1087" s="5" t="str">
        <x:v>ST-0109</x:v>
      </x:c>
      <x:c r="B1087" s="5" t="str">
        <x:v>WQ</x:v>
      </x:c>
      <x:c r="C1087" s="5" t="str">
        <x:v>3</x:v>
      </x:c>
      <x:c r="D1087" s="5" t="str">
        <x:v>Recht und Steuern</x:v>
      </x:c>
      <x:c r="E1087" s="5" t="str">
        <x:v>Steuern</x:v>
      </x:c>
      <x:c r="F1087" s="5" t="str">
        <x:v>ui-wq-steuern-unternehmen</x:v>
      </x:c>
      <x:c r="G1087" s="5" t="str">
        <x:v>Unternehmensbezogene Steuern</x:v>
      </x:c>
      <x:c r="H1087" s="5" t="str">
        <x:v>tr-wq-s08</x:v>
      </x:c>
      <x:c r="I1087" s="5" t="str">
        <x:v>3.2.2.5</x:v>
      </x:c>
      <x:c r="J1087" s="5" t="str">
        <x:v>Umsatzsteuer – Grundlagen &amp; Vorsteuer</x:v>
      </x:c>
      <x:c r="K1087" s="5" t="str"/>
      <x:c r="L1087" s="5" t="str">
        <x:v>Umsatzsteuer – Grundlagen &amp; Vorsteuer</x:v>
      </x:c>
      <x:c r="M1087" s="5" t="n">
        <x:v>102</x:v>
      </x:c>
      <x:c r="N1087" s="5" t="n">
        <x:v>3</x:v>
      </x:c>
      <x:c r="O1087" s="5" t="str"/>
      <x:c r="P1087" s="5" t="str">
        <x:v>Pilot freigegeben</x:v>
      </x:c>
      <x:c r="Q1087" s="5" t="str">
        <x:v>Revision 2 unverändert übernommen</x:v>
      </x:c>
      <x:c r="R1087" s="5" t="str">
        <x:v>Welche Umsatzsteuer-Zahllast muss der Einzelhändler an das Finanzamt abführen?</x:v>
      </x:c>
      <x:c r="S1087" s="5" t="str">
        <x:v>18bf38fa07d65d9c48006ce791f01c47d056b2aef9ef877ba684fcb121a4e35c</x:v>
      </x:c>
    </x:row>
    <x:row r="1088" ht="36" customHeight="1">
      <x:c r="A1088" s="5" t="str">
        <x:v>ST-0110</x:v>
      </x:c>
      <x:c r="B1088" s="5" t="str">
        <x:v>WQ</x:v>
      </x:c>
      <x:c r="C1088" s="5" t="str">
        <x:v>3</x:v>
      </x:c>
      <x:c r="D1088" s="5" t="str">
        <x:v>Recht und Steuern</x:v>
      </x:c>
      <x:c r="E1088" s="5" t="str">
        <x:v>Steuern</x:v>
      </x:c>
      <x:c r="F1088" s="5" t="str">
        <x:v>ui-wq-steuern-unternehmen</x:v>
      </x:c>
      <x:c r="G1088" s="5" t="str">
        <x:v>Unternehmensbezogene Steuern</x:v>
      </x:c>
      <x:c r="H1088" s="5" t="str">
        <x:v>tr-wq-s08</x:v>
      </x:c>
      <x:c r="I1088" s="5" t="str">
        <x:v>3.2.2.5</x:v>
      </x:c>
      <x:c r="J1088" s="5" t="str">
        <x:v>Umsatzsteuer – Grundlagen &amp; Vorsteuer</x:v>
      </x:c>
      <x:c r="K1088" s="5" t="str"/>
      <x:c r="L1088" s="5" t="str">
        <x:v>Umsatzsteuer – Grundlagen &amp; Vorsteuer</x:v>
      </x:c>
      <x:c r="M1088" s="5" t="n">
        <x:v>103</x:v>
      </x:c>
      <x:c r="N1088" s="5" t="n">
        <x:v>4</x:v>
      </x:c>
      <x:c r="O1088" s="5" t="str"/>
      <x:c r="P1088" s="5" t="str">
        <x:v>Pilot freigegeben</x:v>
      </x:c>
      <x:c r="Q1088" s="5" t="str">
        <x:v>Revision 2 unverändert übernommen</x:v>
      </x:c>
      <x:c r="R1088" s="5" t="str">
        <x:v>Wie hoch ist die gesamte Umsatzsteuer, die an das Finanzamt abgeführt wird?</x:v>
      </x:c>
      <x:c r="S1088" s="5" t="str">
        <x:v>41028a612f3a889f0d4e3d0f741ba114b1a7a3a037e3a78843405a841d151fb0</x:v>
      </x:c>
    </x:row>
    <x:row r="1089" ht="36" customHeight="1">
      <x:c r="A1089" s="5" t="str">
        <x:v>ST-0111</x:v>
      </x:c>
      <x:c r="B1089" s="5" t="str">
        <x:v>WQ</x:v>
      </x:c>
      <x:c r="C1089" s="5" t="str">
        <x:v>3</x:v>
      </x:c>
      <x:c r="D1089" s="5" t="str">
        <x:v>Recht und Steuern</x:v>
      </x:c>
      <x:c r="E1089" s="5" t="str">
        <x:v>Steuern</x:v>
      </x:c>
      <x:c r="F1089" s="5" t="str">
        <x:v>ui-wq-steuern-unternehmen</x:v>
      </x:c>
      <x:c r="G1089" s="5" t="str">
        <x:v>Unternehmensbezogene Steuern</x:v>
      </x:c>
      <x:c r="H1089" s="5" t="str">
        <x:v>tr-wq-s08</x:v>
      </x:c>
      <x:c r="I1089" s="5" t="str">
        <x:v>3.2.2.5</x:v>
      </x:c>
      <x:c r="J1089" s="5" t="str">
        <x:v>Umsatzsteuer – Grundlagen &amp; Vorsteuer</x:v>
      </x:c>
      <x:c r="K1089" s="5" t="str"/>
      <x:c r="L1089" s="5" t="str">
        <x:v>Umsatzsteuer – Grundlagen &amp; Vorsteuer</x:v>
      </x:c>
      <x:c r="M1089" s="5" t="n">
        <x:v>104</x:v>
      </x:c>
      <x:c r="N1089" s="5" t="n">
        <x:v>5</x:v>
      </x:c>
      <x:c r="O1089" s="5" t="str"/>
      <x:c r="P1089" s="5" t="str">
        <x:v>Pilot freigegeben</x:v>
      </x:c>
      <x:c r="Q1089" s="5" t="str">
        <x:v>Revision 2 unverändert übernommen</x:v>
      </x:c>
      <x:c r="R1089" s="5" t="str">
        <x:v>Wer trägt die Umsatzsteuer wirtschaftlich im Allphasenbesteuerungssystem mit Vorsteuerabzug?</x:v>
      </x:c>
      <x:c r="S1089" s="5" t="str">
        <x:v>620bb4065d08e311237d9a0e69c65ae03ea62b61610a49b09f176169d17cbb24</x:v>
      </x:c>
    </x:row>
    <x:row r="1090" ht="36" customHeight="1">
      <x:c r="A1090" s="5" t="str">
        <x:v>ST-0112</x:v>
      </x:c>
      <x:c r="B1090" s="5" t="str">
        <x:v>WQ</x:v>
      </x:c>
      <x:c r="C1090" s="5" t="str">
        <x:v>3</x:v>
      </x:c>
      <x:c r="D1090" s="5" t="str">
        <x:v>Recht und Steuern</x:v>
      </x:c>
      <x:c r="E1090" s="5" t="str">
        <x:v>Steuern</x:v>
      </x:c>
      <x:c r="F1090" s="5" t="str">
        <x:v>ui-wq-steuern-unternehmen</x:v>
      </x:c>
      <x:c r="G1090" s="5" t="str">
        <x:v>Unternehmensbezogene Steuern</x:v>
      </x:c>
      <x:c r="H1090" s="5" t="str">
        <x:v>tr-wq-s08</x:v>
      </x:c>
      <x:c r="I1090" s="5" t="str">
        <x:v>3.2.2.5</x:v>
      </x:c>
      <x:c r="J1090" s="5" t="str">
        <x:v>Umsatzsteuer – Grundlagen &amp; Vorsteuer</x:v>
      </x:c>
      <x:c r="K1090" s="5" t="str"/>
      <x:c r="L1090" s="5" t="str">
        <x:v>Umsatzsteuer – Grundlagen &amp; Vorsteuer</x:v>
      </x:c>
      <x:c r="M1090" s="5" t="n">
        <x:v>105</x:v>
      </x:c>
      <x:c r="N1090" s="5" t="n">
        <x:v>6</x:v>
      </x:c>
      <x:c r="O1090" s="5" t="str"/>
      <x:c r="P1090" s="5" t="str">
        <x:v>Pilot freigegeben</x:v>
      </x:c>
      <x:c r="Q1090" s="5" t="str">
        <x:v>Revision 2 unverändert übernommen</x:v>
      </x:c>
      <x:c r="R1090" s="5" t="str">
        <x:v>Ordnen Sie die Begriffe den Rollen im Umsatzsteuersystem zu.</x:v>
      </x:c>
      <x:c r="S1090" s="5" t="str">
        <x:v>54f4ad95dc4d8af690e6f08b722b4360f28bf0222f2678ae0048b3b18878a0e3</x:v>
      </x:c>
    </x:row>
    <x:row r="1091" ht="36" customHeight="1">
      <x:c r="A1091" s="5" t="str">
        <x:v>ST-0113</x:v>
      </x:c>
      <x:c r="B1091" s="5" t="str">
        <x:v>WQ</x:v>
      </x:c>
      <x:c r="C1091" s="5" t="str">
        <x:v>3</x:v>
      </x:c>
      <x:c r="D1091" s="5" t="str">
        <x:v>Recht und Steuern</x:v>
      </x:c>
      <x:c r="E1091" s="5" t="str">
        <x:v>Steuern</x:v>
      </x:c>
      <x:c r="F1091" s="5" t="str">
        <x:v>ui-wq-steuern-unternehmen</x:v>
      </x:c>
      <x:c r="G1091" s="5" t="str">
        <x:v>Unternehmensbezogene Steuern</x:v>
      </x:c>
      <x:c r="H1091" s="5" t="str">
        <x:v>tr-wq-s08</x:v>
      </x:c>
      <x:c r="I1091" s="5" t="str">
        <x:v>3.2.2.5</x:v>
      </x:c>
      <x:c r="J1091" s="5" t="str">
        <x:v>Umsatzsteuer – Grundlagen &amp; Vorsteuer</x:v>
      </x:c>
      <x:c r="K1091" s="5" t="str"/>
      <x:c r="L1091" s="5" t="str">
        <x:v>Umsatzsteuer – Grundlagen &amp; Vorsteuer</x:v>
      </x:c>
      <x:c r="M1091" s="5" t="n">
        <x:v>106</x:v>
      </x:c>
      <x:c r="N1091" s="5" t="n">
        <x:v>7</x:v>
      </x:c>
      <x:c r="O1091" s="5" t="str"/>
      <x:c r="P1091" s="5" t="str">
        <x:v>Pilot freigegeben</x:v>
      </x:c>
      <x:c r="Q1091" s="5" t="str">
        <x:v>Revision 2 unverändert übernommen</x:v>
      </x:c>
      <x:c r="R1091" s="5" t="str">
        <x:v>Welche fünf Umsatzarten werden in § 1 UStG genannt?</x:v>
      </x:c>
      <x:c r="S1091" s="5" t="str">
        <x:v>3d534f3dcc2e6de3ddebdd9bd597d0b4cff848a01ef219b566eae8c82a79aa5a</x:v>
      </x:c>
    </x:row>
    <x:row r="1092" ht="36" customHeight="1">
      <x:c r="A1092" s="5" t="str">
        <x:v>ST-0114</x:v>
      </x:c>
      <x:c r="B1092" s="5" t="str">
        <x:v>WQ</x:v>
      </x:c>
      <x:c r="C1092" s="5" t="str">
        <x:v>3</x:v>
      </x:c>
      <x:c r="D1092" s="5" t="str">
        <x:v>Recht und Steuern</x:v>
      </x:c>
      <x:c r="E1092" s="5" t="str">
        <x:v>Steuern</x:v>
      </x:c>
      <x:c r="F1092" s="5" t="str">
        <x:v>ui-wq-steuern-unternehmen</x:v>
      </x:c>
      <x:c r="G1092" s="5" t="str">
        <x:v>Unternehmensbezogene Steuern</x:v>
      </x:c>
      <x:c r="H1092" s="5" t="str">
        <x:v>tr-wq-s08</x:v>
      </x:c>
      <x:c r="I1092" s="5" t="str">
        <x:v>3.2.2.5</x:v>
      </x:c>
      <x:c r="J1092" s="5" t="str">
        <x:v>Umsatzsteuer – Grundlagen &amp; Vorsteuer</x:v>
      </x:c>
      <x:c r="K1092" s="5" t="str"/>
      <x:c r="L1092" s="5" t="str">
        <x:v>Umsatzsteuer – Grundlagen &amp; Vorsteuer</x:v>
      </x:c>
      <x:c r="M1092" s="5" t="n">
        <x:v>107</x:v>
      </x:c>
      <x:c r="N1092" s="5" t="n">
        <x:v>8</x:v>
      </x:c>
      <x:c r="O1092" s="5" t="str"/>
      <x:c r="P1092" s="5" t="str">
        <x:v>Pilot freigegeben</x:v>
      </x:c>
      <x:c r="Q1092" s="5" t="str">
        <x:v>Revision 2 unverändert übernommen</x:v>
      </x:c>
      <x:c r="R1092" s="5" t="str">
        <x:v>Welche Voraussetzungen müssen erfüllt sein, damit ein Umsatz nach § 1 Abs. 1 Nr. 1 UStG steuerbar ist?</x:v>
      </x:c>
      <x:c r="S1092" s="5" t="str">
        <x:v>148e9232a963ab544a0bf4954ca4bfc3f3f220f39b471b24cab6437c32711d12</x:v>
      </x:c>
    </x:row>
    <x:row r="1093" ht="36" customHeight="1">
      <x:c r="A1093" s="5" t="str">
        <x:v>ST-0115</x:v>
      </x:c>
      <x:c r="B1093" s="5" t="str">
        <x:v>WQ</x:v>
      </x:c>
      <x:c r="C1093" s="5" t="str">
        <x:v>3</x:v>
      </x:c>
      <x:c r="D1093" s="5" t="str">
        <x:v>Recht und Steuern</x:v>
      </x:c>
      <x:c r="E1093" s="5" t="str">
        <x:v>Steuern</x:v>
      </x:c>
      <x:c r="F1093" s="5" t="str">
        <x:v>ui-wq-steuern-unternehmen</x:v>
      </x:c>
      <x:c r="G1093" s="5" t="str">
        <x:v>Unternehmensbezogene Steuern</x:v>
      </x:c>
      <x:c r="H1093" s="5" t="str">
        <x:v>tr-wq-s08</x:v>
      </x:c>
      <x:c r="I1093" s="5" t="str">
        <x:v>3.2.2.5</x:v>
      </x:c>
      <x:c r="J1093" s="5" t="str">
        <x:v>Umsatzsteuer – Grundlagen &amp; Vorsteuer</x:v>
      </x:c>
      <x:c r="K1093" s="5" t="str"/>
      <x:c r="L1093" s="5" t="str">
        <x:v>Umsatzsteuer – Grundlagen &amp; Vorsteuer</x:v>
      </x:c>
      <x:c r="M1093" s="5" t="n">
        <x:v>108</x:v>
      </x:c>
      <x:c r="N1093" s="5" t="n">
        <x:v>9</x:v>
      </x:c>
      <x:c r="O1093" s="5" t="str"/>
      <x:c r="P1093" s="5" t="str">
        <x:v>Pilot freigegeben</x:v>
      </x:c>
      <x:c r="Q1093" s="5" t="str">
        <x:v>Revision 2 unverändert übernommen</x:v>
      </x:c>
      <x:c r="R1093" s="5" t="str">
        <x:v>Was versteht man unter einem innergemeinschaftlichen Erwerb?</x:v>
      </x:c>
      <x:c r="S1093" s="5" t="str">
        <x:v>874a5061af64a8f69db993859315c7b69c99a7477aaf945b463aabe1b1c91607</x:v>
      </x:c>
    </x:row>
    <x:row r="1094" ht="36" customHeight="1">
      <x:c r="A1094" s="5" t="str">
        <x:v>ST-0116</x:v>
      </x:c>
      <x:c r="B1094" s="5" t="str">
        <x:v>WQ</x:v>
      </x:c>
      <x:c r="C1094" s="5" t="str">
        <x:v>3</x:v>
      </x:c>
      <x:c r="D1094" s="5" t="str">
        <x:v>Recht und Steuern</x:v>
      </x:c>
      <x:c r="E1094" s="5" t="str">
        <x:v>Steuern</x:v>
      </x:c>
      <x:c r="F1094" s="5" t="str">
        <x:v>ui-wq-steuern-unternehmen</x:v>
      </x:c>
      <x:c r="G1094" s="5" t="str">
        <x:v>Unternehmensbezogene Steuern</x:v>
      </x:c>
      <x:c r="H1094" s="5" t="str">
        <x:v>tr-wq-s08</x:v>
      </x:c>
      <x:c r="I1094" s="5" t="str">
        <x:v>3.2.2.5</x:v>
      </x:c>
      <x:c r="J1094" s="5" t="str">
        <x:v>Umsatzsteuer – Grundlagen &amp; Vorsteuer</x:v>
      </x:c>
      <x:c r="K1094" s="5" t="str"/>
      <x:c r="L1094" s="5" t="str">
        <x:v>Umsatzsteuer – Grundlagen &amp; Vorsteuer</x:v>
      </x:c>
      <x:c r="M1094" s="5" t="n">
        <x:v>109</x:v>
      </x:c>
      <x:c r="N1094" s="5" t="n">
        <x:v>10</x:v>
      </x:c>
      <x:c r="O1094" s="5" t="str"/>
      <x:c r="P1094" s="5" t="str">
        <x:v>Pilot freigegeben</x:v>
      </x:c>
      <x:c r="Q1094" s="5" t="str">
        <x:v>Revision 2 unverändert übernommen</x:v>
      </x:c>
      <x:c r="R1094" s="5" t="str">
        <x:v>Was versteht man unter einer Einfuhr im umsatzsteuerlichen Sinn?</x:v>
      </x:c>
      <x:c r="S1094" s="5" t="str">
        <x:v>bf68c78597ba28289f949948ee1ea4136fed02c5777b5a36fcb37d650cf71edf</x:v>
      </x:c>
    </x:row>
    <x:row r="1095" ht="36" customHeight="1">
      <x:c r="A1095" s="5" t="str">
        <x:v>ST-0117</x:v>
      </x:c>
      <x:c r="B1095" s="5" t="str">
        <x:v>WQ</x:v>
      </x:c>
      <x:c r="C1095" s="5" t="str">
        <x:v>3</x:v>
      </x:c>
      <x:c r="D1095" s="5" t="str">
        <x:v>Recht und Steuern</x:v>
      </x:c>
      <x:c r="E1095" s="5" t="str">
        <x:v>Steuern</x:v>
      </x:c>
      <x:c r="F1095" s="5" t="str">
        <x:v>ui-wq-steuern-unternehmen</x:v>
      </x:c>
      <x:c r="G1095" s="5" t="str">
        <x:v>Unternehmensbezogene Steuern</x:v>
      </x:c>
      <x:c r="H1095" s="5" t="str">
        <x:v>tr-wq-s08</x:v>
      </x:c>
      <x:c r="I1095" s="5" t="str">
        <x:v>3.2.2.5</x:v>
      </x:c>
      <x:c r="J1095" s="5" t="str">
        <x:v>Umsatzsteuer – Grundlagen &amp; Vorsteuer</x:v>
      </x:c>
      <x:c r="K1095" s="5" t="str"/>
      <x:c r="L1095" s="5" t="str">
        <x:v>Umsatzsteuer – Grundlagen &amp; Vorsteuer</x:v>
      </x:c>
      <x:c r="M1095" s="5" t="n">
        <x:v>110</x:v>
      </x:c>
      <x:c r="N1095" s="5" t="n">
        <x:v>11</x:v>
      </x:c>
      <x:c r="O1095" s="5" t="str"/>
      <x:c r="P1095" s="5" t="str">
        <x:v>Pilot freigegeben</x:v>
      </x:c>
      <x:c r="Q1095" s="5" t="str">
        <x:v>Revision 2 unverändert übernommen</x:v>
      </x:c>
      <x:c r="R1095" s="5" t="str">
        <x:v>Welche Art von Umsatz liegt vor, wenn ein Fernsehhändler aus Köln einen Flachbildschirm für 1.000 € an einen Kunden aus Bonn verkauft?</x:v>
      </x:c>
      <x:c r="S1095" s="5" t="str">
        <x:v>5bf83b78cc79fdf4196359596110ce1bfedbe6bebaa963919c7f3a239fa35bec</x:v>
      </x:c>
    </x:row>
    <x:row r="1096" ht="36" customHeight="1">
      <x:c r="A1096" s="5" t="str">
        <x:v>ST-0118</x:v>
      </x:c>
      <x:c r="B1096" s="5" t="str">
        <x:v>WQ</x:v>
      </x:c>
      <x:c r="C1096" s="5" t="str">
        <x:v>3</x:v>
      </x:c>
      <x:c r="D1096" s="5" t="str">
        <x:v>Recht und Steuern</x:v>
      </x:c>
      <x:c r="E1096" s="5" t="str">
        <x:v>Steuern</x:v>
      </x:c>
      <x:c r="F1096" s="5" t="str">
        <x:v>ui-wq-steuern-unternehmen</x:v>
      </x:c>
      <x:c r="G1096" s="5" t="str">
        <x:v>Unternehmensbezogene Steuern</x:v>
      </x:c>
      <x:c r="H1096" s="5" t="str">
        <x:v>tr-wq-s08</x:v>
      </x:c>
      <x:c r="I1096" s="5" t="str">
        <x:v>3.2.2.5</x:v>
      </x:c>
      <x:c r="J1096" s="5" t="str">
        <x:v>Umsatzsteuer – Grundlagen &amp; Vorsteuer</x:v>
      </x:c>
      <x:c r="K1096" s="5" t="str"/>
      <x:c r="L1096" s="5" t="str">
        <x:v>Umsatzsteuer – Grundlagen &amp; Vorsteuer</x:v>
      </x:c>
      <x:c r="M1096" s="5" t="n">
        <x:v>111</x:v>
      </x:c>
      <x:c r="N1096" s="5" t="n">
        <x:v>12</x:v>
      </x:c>
      <x:c r="O1096" s="5" t="str"/>
      <x:c r="P1096" s="5" t="str">
        <x:v>Pilot freigegeben</x:v>
      </x:c>
      <x:c r="Q1096" s="5" t="str">
        <x:v>Revision 2 unverändert übernommen</x:v>
      </x:c>
      <x:c r="R1096" s="5" t="str">
        <x:v>Wie ist die Entnahme eines Fernsehers für die Privatwohnung des Unternehmers umsatzsteuerlich zu behandeln?</x:v>
      </x:c>
      <x:c r="S1096" s="5" t="str">
        <x:v>0f64e0032a6afff9c9839de74a87be5aad4bd102bdf7ff6cc9617b28f2ebc422</x:v>
      </x:c>
    </x:row>
    <x:row r="1097" ht="36" customHeight="1">
      <x:c r="A1097" s="5" t="str">
        <x:v>ST-0119</x:v>
      </x:c>
      <x:c r="B1097" s="5" t="str">
        <x:v>WQ</x:v>
      </x:c>
      <x:c r="C1097" s="5" t="str">
        <x:v>3</x:v>
      </x:c>
      <x:c r="D1097" s="5" t="str">
        <x:v>Recht und Steuern</x:v>
      </x:c>
      <x:c r="E1097" s="5" t="str">
        <x:v>Steuern</x:v>
      </x:c>
      <x:c r="F1097" s="5" t="str">
        <x:v>ui-wq-steuern-unternehmen</x:v>
      </x:c>
      <x:c r="G1097" s="5" t="str">
        <x:v>Unternehmensbezogene Steuern</x:v>
      </x:c>
      <x:c r="H1097" s="5" t="str">
        <x:v>tr-wq-s08</x:v>
      </x:c>
      <x:c r="I1097" s="5" t="str">
        <x:v>3.2.2.5</x:v>
      </x:c>
      <x:c r="J1097" s="5" t="str">
        <x:v>Umsatzsteuer – Grundlagen &amp; Vorsteuer</x:v>
      </x:c>
      <x:c r="K1097" s="5" t="str"/>
      <x:c r="L1097" s="5" t="str">
        <x:v>Umsatzsteuer – Grundlagen &amp; Vorsteuer</x:v>
      </x:c>
      <x:c r="M1097" s="5" t="n">
        <x:v>112</x:v>
      </x:c>
      <x:c r="N1097" s="5" t="n">
        <x:v>13</x:v>
      </x:c>
      <x:c r="O1097" s="5" t="str"/>
      <x:c r="P1097" s="5" t="str">
        <x:v>Pilot freigegeben</x:v>
      </x:c>
      <x:c r="Q1097" s="5" t="str">
        <x:v>Revision 2 unverändert übernommen</x:v>
      </x:c>
      <x:c r="R1097" s="5" t="str">
        <x:v>Wie ist die Beratungsleistung einer Steuerberaterin für einen Mandanten umsatzsteuerlich zu beurteilen?</x:v>
      </x:c>
      <x:c r="S1097" s="5" t="str">
        <x:v>224b14d02671b092c3b4685571b27204adce10e8c67cc6693339e504c39a0032</x:v>
      </x:c>
    </x:row>
    <x:row r="1098" ht="36" customHeight="1">
      <x:c r="A1098" s="5" t="str">
        <x:v>ST-0120</x:v>
      </x:c>
      <x:c r="B1098" s="5" t="str">
        <x:v>WQ</x:v>
      </x:c>
      <x:c r="C1098" s="5" t="str">
        <x:v>3</x:v>
      </x:c>
      <x:c r="D1098" s="5" t="str">
        <x:v>Recht und Steuern</x:v>
      </x:c>
      <x:c r="E1098" s="5" t="str">
        <x:v>Steuern</x:v>
      </x:c>
      <x:c r="F1098" s="5" t="str">
        <x:v>ui-wq-steuern-unternehmen</x:v>
      </x:c>
      <x:c r="G1098" s="5" t="str">
        <x:v>Unternehmensbezogene Steuern</x:v>
      </x:c>
      <x:c r="H1098" s="5" t="str">
        <x:v>tr-wq-s08</x:v>
      </x:c>
      <x:c r="I1098" s="5" t="str">
        <x:v>3.2.2.5</x:v>
      </x:c>
      <x:c r="J1098" s="5" t="str">
        <x:v>Umsatzsteuer – Grundlagen &amp; Vorsteuer</x:v>
      </x:c>
      <x:c r="K1098" s="5" t="str"/>
      <x:c r="L1098" s="5" t="str">
        <x:v>Umsatzsteuer – Grundlagen &amp; Vorsteuer</x:v>
      </x:c>
      <x:c r="M1098" s="5" t="n">
        <x:v>113</x:v>
      </x:c>
      <x:c r="N1098" s="5" t="n">
        <x:v>14</x:v>
      </x:c>
      <x:c r="O1098" s="5" t="str"/>
      <x:c r="P1098" s="5" t="str">
        <x:v>Pilot freigegeben</x:v>
      </x:c>
      <x:c r="Q1098" s="5" t="str">
        <x:v>Revision 2 unverändert übernommen</x:v>
      </x:c>
      <x:c r="R1098" s="5" t="str">
        <x:v>Wie ist die private Nutzung eines dem Unternehmen zugeordneten Geschäftswagens umsatzsteuerlich zu behandeln?</x:v>
      </x:c>
      <x:c r="S1098" s="5" t="str">
        <x:v>82ef9cbd98f16f06a2a17dfaf8a312b1eb1aaa34f06ea64b1fb07f1d5f57eef8</x:v>
      </x:c>
    </x:row>
    <x:row r="1099" ht="36" customHeight="1">
      <x:c r="A1099" s="5" t="str">
        <x:v>ST-0121</x:v>
      </x:c>
      <x:c r="B1099" s="5" t="str">
        <x:v>WQ</x:v>
      </x:c>
      <x:c r="C1099" s="5" t="str">
        <x:v>3</x:v>
      </x:c>
      <x:c r="D1099" s="5" t="str">
        <x:v>Recht und Steuern</x:v>
      </x:c>
      <x:c r="E1099" s="5" t="str">
        <x:v>Steuern</x:v>
      </x:c>
      <x:c r="F1099" s="5" t="str">
        <x:v>ui-wq-steuern-unternehmen</x:v>
      </x:c>
      <x:c r="G1099" s="5" t="str">
        <x:v>Unternehmensbezogene Steuern</x:v>
      </x:c>
      <x:c r="H1099" s="5" t="str">
        <x:v>tr-wq-s08</x:v>
      </x:c>
      <x:c r="I1099" s="5" t="str">
        <x:v>3.2.2.5</x:v>
      </x:c>
      <x:c r="J1099" s="5" t="str">
        <x:v>Umsatzsteuer – Grundlagen &amp; Vorsteuer</x:v>
      </x:c>
      <x:c r="K1099" s="5" t="str"/>
      <x:c r="L1099" s="5" t="str">
        <x:v>Umsatzsteuer – Grundlagen &amp; Vorsteuer</x:v>
      </x:c>
      <x:c r="M1099" s="5" t="n">
        <x:v>114</x:v>
      </x:c>
      <x:c r="N1099" s="5" t="n">
        <x:v>15</x:v>
      </x:c>
      <x:c r="O1099" s="5" t="str"/>
      <x:c r="P1099" s="5" t="str">
        <x:v>Pilot freigegeben</x:v>
      </x:c>
      <x:c r="Q1099" s="5" t="str">
        <x:v>Revision 2 unverändert übernommen</x:v>
      </x:c>
      <x:c r="R1099" s="5" t="str">
        <x:v>Wie ist das Verschenken eines Rings durch einen Juwelier an einen Freund umsatzsteuerlich zu beurteilen?</x:v>
      </x:c>
      <x:c r="S1099" s="5" t="str">
        <x:v>77effc725add560d9d091baee2ec53eede8e86cbdd655ec18c8e1cb9ae1f896c</x:v>
      </x:c>
    </x:row>
    <x:row r="1100" ht="36" customHeight="1">
      <x:c r="A1100" s="5" t="str">
        <x:v>ST-0122</x:v>
      </x:c>
      <x:c r="B1100" s="5" t="str">
        <x:v>WQ</x:v>
      </x:c>
      <x:c r="C1100" s="5" t="str">
        <x:v>3</x:v>
      </x:c>
      <x:c r="D1100" s="5" t="str">
        <x:v>Recht und Steuern</x:v>
      </x:c>
      <x:c r="E1100" s="5" t="str">
        <x:v>Steuern</x:v>
      </x:c>
      <x:c r="F1100" s="5" t="str">
        <x:v>ui-wq-steuern-unternehmen</x:v>
      </x:c>
      <x:c r="G1100" s="5" t="str">
        <x:v>Unternehmensbezogene Steuern</x:v>
      </x:c>
      <x:c r="H1100" s="5" t="str">
        <x:v>tr-wq-s08</x:v>
      </x:c>
      <x:c r="I1100" s="5" t="str">
        <x:v>3.2.2.5</x:v>
      </x:c>
      <x:c r="J1100" s="5" t="str">
        <x:v>Umsatzsteuer – Grundlagen &amp; Vorsteuer</x:v>
      </x:c>
      <x:c r="K1100" s="5" t="str"/>
      <x:c r="L1100" s="5" t="str">
        <x:v>Umsatzsteuer – Grundlagen &amp; Vorsteuer</x:v>
      </x:c>
      <x:c r="M1100" s="5" t="n">
        <x:v>115</x:v>
      </x:c>
      <x:c r="N1100" s="5" t="n">
        <x:v>16</x:v>
      </x:c>
      <x:c r="O1100" s="5" t="str"/>
      <x:c r="P1100" s="5" t="str">
        <x:v>Pilot freigegeben</x:v>
      </x:c>
      <x:c r="Q1100" s="5" t="str">
        <x:v>Revision 2 unverändert übernommen</x:v>
      </x:c>
      <x:c r="R1100" s="5" t="str">
        <x:v>Wie ist der Erwerb von zehn Druckern durch einen Bonner Computerhändler bei einem niederländischen Produzenten umsatzsteuerlich zu behandeln?</x:v>
      </x:c>
      <x:c r="S1100" s="5" t="str">
        <x:v>d7016d002faa44663bf6991b4364439a08a9eb23bdbfccb1bfcb1aea84653830</x:v>
      </x:c>
    </x:row>
    <x:row r="1101" ht="36" customHeight="1">
      <x:c r="A1101" s="5" t="str">
        <x:v>ST-0123</x:v>
      </x:c>
      <x:c r="B1101" s="5" t="str">
        <x:v>WQ</x:v>
      </x:c>
      <x:c r="C1101" s="5" t="str">
        <x:v>3</x:v>
      </x:c>
      <x:c r="D1101" s="5" t="str">
        <x:v>Recht und Steuern</x:v>
      </x:c>
      <x:c r="E1101" s="5" t="str">
        <x:v>Steuern</x:v>
      </x:c>
      <x:c r="F1101" s="5" t="str">
        <x:v>ui-wq-steuern-unternehmen</x:v>
      </x:c>
      <x:c r="G1101" s="5" t="str">
        <x:v>Unternehmensbezogene Steuern</x:v>
      </x:c>
      <x:c r="H1101" s="5" t="str">
        <x:v>tr-wq-s08</x:v>
      </x:c>
      <x:c r="I1101" s="5" t="str">
        <x:v>3.2.2.5</x:v>
      </x:c>
      <x:c r="J1101" s="5" t="str">
        <x:v>Umsatzsteuer – Grundlagen &amp; Vorsteuer</x:v>
      </x:c>
      <x:c r="K1101" s="5" t="str"/>
      <x:c r="L1101" s="5" t="str">
        <x:v>Umsatzsteuer – Grundlagen &amp; Vorsteuer</x:v>
      </x:c>
      <x:c r="M1101" s="5" t="n">
        <x:v>116</x:v>
      </x:c>
      <x:c r="N1101" s="5" t="n">
        <x:v>17</x:v>
      </x:c>
      <x:c r="O1101" s="5" t="str"/>
      <x:c r="P1101" s="5" t="str">
        <x:v>Pilot freigegeben</x:v>
      </x:c>
      <x:c r="Q1101" s="5" t="str">
        <x:v>Revision 2 unverändert übernommen</x:v>
      </x:c>
      <x:c r="R1101" s="5" t="str">
        <x:v>Wie ist der Erwerb von Möbeln durch einen Bonner Händler bei einem Schweizer Produzenten umsatzsteuerlich zu behandeln?</x:v>
      </x:c>
      <x:c r="S1101" s="5" t="str">
        <x:v>a5486e1f7398404aee337022d90dfcab0249c93a8748ecf5691d46428575f8ef</x:v>
      </x:c>
    </x:row>
    <x:row r="1102" ht="36" customHeight="1">
      <x:c r="A1102" s="5" t="str">
        <x:v>ST-0124</x:v>
      </x:c>
      <x:c r="B1102" s="5" t="str">
        <x:v>WQ</x:v>
      </x:c>
      <x:c r="C1102" s="5" t="str">
        <x:v>3</x:v>
      </x:c>
      <x:c r="D1102" s="5" t="str">
        <x:v>Recht und Steuern</x:v>
      </x:c>
      <x:c r="E1102" s="5" t="str">
        <x:v>Steuern</x:v>
      </x:c>
      <x:c r="F1102" s="5" t="str">
        <x:v>ui-wq-steuern-unternehmen</x:v>
      </x:c>
      <x:c r="G1102" s="5" t="str">
        <x:v>Unternehmensbezogene Steuern</x:v>
      </x:c>
      <x:c r="H1102" s="5" t="str">
        <x:v>tr-wq-s08</x:v>
      </x:c>
      <x:c r="I1102" s="5" t="str">
        <x:v>3.2.2.5</x:v>
      </x:c>
      <x:c r="J1102" s="5" t="str">
        <x:v>Umsatzsteuer – Grundlagen &amp; Vorsteuer</x:v>
      </x:c>
      <x:c r="K1102" s="5" t="str"/>
      <x:c r="L1102" s="5" t="str">
        <x:v>Umsatzsteuer – Grundlagen &amp; Vorsteuer</x:v>
      </x:c>
      <x:c r="M1102" s="5" t="n">
        <x:v>117</x:v>
      </x:c>
      <x:c r="N1102" s="5" t="n">
        <x:v>18</x:v>
      </x:c>
      <x:c r="O1102" s="5" t="str"/>
      <x:c r="P1102" s="5" t="str">
        <x:v>Pilot freigegeben</x:v>
      </x:c>
      <x:c r="Q1102" s="5" t="str">
        <x:v>Revision 2 unverändert übernommen</x:v>
      </x:c>
      <x:c r="R1102" s="5" t="str">
        <x:v>Vervollständigen Sie die Voraussetzungen für den Vorsteuerabzug.</x:v>
      </x:c>
      <x:c r="S1102" s="5" t="str">
        <x:v>06bd00a0f5f2a8a89cb7fa829b5c18adbd00e7924793a5a85c53c3c2306ec407</x:v>
      </x:c>
    </x:row>
    <x:row r="1103" ht="36" customHeight="1">
      <x:c r="A1103" s="5" t="str">
        <x:v>ST-0125</x:v>
      </x:c>
      <x:c r="B1103" s="5" t="str">
        <x:v>WQ</x:v>
      </x:c>
      <x:c r="C1103" s="5" t="str">
        <x:v>3</x:v>
      </x:c>
      <x:c r="D1103" s="5" t="str">
        <x:v>Recht und Steuern</x:v>
      </x:c>
      <x:c r="E1103" s="5" t="str">
        <x:v>Steuern</x:v>
      </x:c>
      <x:c r="F1103" s="5" t="str">
        <x:v>ui-wq-steuern-unternehmen</x:v>
      </x:c>
      <x:c r="G1103" s="5" t="str">
        <x:v>Unternehmensbezogene Steuern</x:v>
      </x:c>
      <x:c r="H1103" s="5" t="str">
        <x:v>tr-wq-s08</x:v>
      </x:c>
      <x:c r="I1103" s="5" t="str">
        <x:v>3.2.2.5</x:v>
      </x:c>
      <x:c r="J1103" s="5" t="str">
        <x:v>Umsatzsteuer – Grundlagen &amp; Vorsteuer</x:v>
      </x:c>
      <x:c r="K1103" s="5" t="str"/>
      <x:c r="L1103" s="5" t="str">
        <x:v>Umsatzsteuer – Grundlagen &amp; Vorsteuer</x:v>
      </x:c>
      <x:c r="M1103" s="5" t="n">
        <x:v>118</x:v>
      </x:c>
      <x:c r="N1103" s="5" t="n">
        <x:v>19</x:v>
      </x:c>
      <x:c r="O1103" s="5" t="str"/>
      <x:c r="P1103" s="5" t="str">
        <x:v>Pilot freigegeben</x:v>
      </x:c>
      <x:c r="Q1103" s="5" t="str">
        <x:v>Revision 2 unverändert übernommen</x:v>
      </x:c>
      <x:c r="R1103" s="5" t="str">
        <x:v>Die Circle Harbor GmbH bezieht für ihr Unternehmen eine Lieferung von einem anderen Unternehmer. Eine ordnungsgemäße Rechnung auf die GmbH liegt vor. Ist die GmbH zum Vorsteuerabzug berechtigt?</x:v>
      </x:c>
      <x:c r="S1103" s="5" t="str">
        <x:v>6f5f15ea693bf2aaab5beb9bf6eecdd540fda60c4b8e95685b9ece19ff8ceecb</x:v>
      </x:c>
    </x:row>
    <x:row r="1104" ht="36" customHeight="1">
      <x:c r="A1104" s="5" t="str">
        <x:v>ST-0126</x:v>
      </x:c>
      <x:c r="B1104" s="5" t="str">
        <x:v>WQ</x:v>
      </x:c>
      <x:c r="C1104" s="5" t="str">
        <x:v>3</x:v>
      </x:c>
      <x:c r="D1104" s="5" t="str">
        <x:v>Recht und Steuern</x:v>
      </x:c>
      <x:c r="E1104" s="5" t="str">
        <x:v>Steuern</x:v>
      </x:c>
      <x:c r="F1104" s="5" t="str">
        <x:v>ui-wq-steuern-unternehmen</x:v>
      </x:c>
      <x:c r="G1104" s="5" t="str">
        <x:v>Unternehmensbezogene Steuern</x:v>
      </x:c>
      <x:c r="H1104" s="5" t="str">
        <x:v>tr-wq-s08</x:v>
      </x:c>
      <x:c r="I1104" s="5" t="str">
        <x:v>3.2.2.5</x:v>
      </x:c>
      <x:c r="J1104" s="5" t="str">
        <x:v>Umsatzsteuer – Grundlagen &amp; Vorsteuer</x:v>
      </x:c>
      <x:c r="K1104" s="5" t="str"/>
      <x:c r="L1104" s="5" t="str">
        <x:v>Umsatzsteuer – Grundlagen &amp; Vorsteuer</x:v>
      </x:c>
      <x:c r="M1104" s="5" t="n">
        <x:v>119</x:v>
      </x:c>
      <x:c r="N1104" s="5" t="n">
        <x:v>20</x:v>
      </x:c>
      <x:c r="O1104" s="5" t="str"/>
      <x:c r="P1104" s="5" t="str">
        <x:v>Pilot freigegeben</x:v>
      </x:c>
      <x:c r="Q1104" s="5" t="str">
        <x:v>Revision 2 unverändert übernommen</x:v>
      </x:c>
      <x:c r="R1104" s="5" t="str">
        <x:v>Eine Geschäftsführerin bezieht eine Leistung für private Zwecke beziehungsweise für steuerfreie Vermietungsumsätze. Ist sie hierfür zum Vorsteuerabzug berechtigt?</x:v>
      </x:c>
      <x:c r="S1104" s="5" t="str">
        <x:v>417cb1a8e7211f09c9c965186af348f24102a4b1bb38c72c111bef84b25c7010</x:v>
      </x:c>
    </x:row>
    <x:row r="1105" ht="36" customHeight="1">
      <x:c r="A1105" s="5" t="str">
        <x:v>ST-0127</x:v>
      </x:c>
      <x:c r="B1105" s="5" t="str">
        <x:v>WQ</x:v>
      </x:c>
      <x:c r="C1105" s="5" t="str">
        <x:v>3</x:v>
      </x:c>
      <x:c r="D1105" s="5" t="str">
        <x:v>Recht und Steuern</x:v>
      </x:c>
      <x:c r="E1105" s="5" t="str">
        <x:v>Steuern</x:v>
      </x:c>
      <x:c r="F1105" s="5" t="str">
        <x:v>ui-wq-steuern-unternehmen</x:v>
      </x:c>
      <x:c r="G1105" s="5" t="str">
        <x:v>Unternehmensbezogene Steuern</x:v>
      </x:c>
      <x:c r="H1105" s="5" t="str">
        <x:v>tr-wq-s08</x:v>
      </x:c>
      <x:c r="I1105" s="5" t="str">
        <x:v>3.2.2.5</x:v>
      </x:c>
      <x:c r="J1105" s="5" t="str">
        <x:v>Umsatzsteuer – Grundlagen &amp; Vorsteuer</x:v>
      </x:c>
      <x:c r="K1105" s="5" t="str"/>
      <x:c r="L1105" s="5" t="str">
        <x:v>Umsatzsteuer – Grundlagen &amp; Vorsteuer</x:v>
      </x:c>
      <x:c r="M1105" s="5" t="n">
        <x:v>120</x:v>
      </x:c>
      <x:c r="N1105" s="5" t="n">
        <x:v>21</x:v>
      </x:c>
      <x:c r="O1105" s="5" t="str"/>
      <x:c r="P1105" s="5" t="str">
        <x:v>Pilot freigegeben</x:v>
      </x:c>
      <x:c r="Q1105" s="5" t="str">
        <x:v>Revision 2 unverändert übernommen</x:v>
      </x:c>
      <x:c r="R1105" s="5" t="str">
        <x:v>Für die Steuerabteilung von Circle Harbor: Eine Unternehmerin hat eine Leistung für ihr Unternehmen bezogen, die Rechnung ist jedoch nicht auf die tatsächliche Leistungsempfängerin ausgestellt. Warum besteht zunächst kein Vorsteuerabzug und was ist erforderlich, damit er möglich wird?</x:v>
      </x:c>
      <x:c r="S1105" s="5" t="str">
        <x:v>6f270fe207591e7d7f61d8f43811bf131d840371b72202bb46edb41d85a1c80e</x:v>
      </x:c>
    </x:row>
    <x:row r="1106" ht="36" customHeight="1">
      <x:c r="A1106" s="5" t="str">
        <x:v>ST-0128</x:v>
      </x:c>
      <x:c r="B1106" s="5" t="str">
        <x:v>WQ</x:v>
      </x:c>
      <x:c r="C1106" s="5" t="str">
        <x:v>3</x:v>
      </x:c>
      <x:c r="D1106" s="5" t="str">
        <x:v>Recht und Steuern</x:v>
      </x:c>
      <x:c r="E1106" s="5" t="str">
        <x:v>Steuern</x:v>
      </x:c>
      <x:c r="F1106" s="5" t="str">
        <x:v>ui-wq-steuern-unternehmen</x:v>
      </x:c>
      <x:c r="G1106" s="5" t="str">
        <x:v>Unternehmensbezogene Steuern</x:v>
      </x:c>
      <x:c r="H1106" s="5" t="str">
        <x:v>tr-wq-s09</x:v>
      </x:c>
      <x:c r="I1106" s="5" t="str">
        <x:v>3.2.2.5</x:v>
      </x:c>
      <x:c r="J1106" s="5" t="str">
        <x:v>Umsatzsteuer – EU, Drittland &amp; Sonderfälle</x:v>
      </x:c>
      <x:c r="K1106" s="5" t="str"/>
      <x:c r="L1106" s="5" t="str">
        <x:v>Umsatzsteuer – EU, Drittland &amp; Sonderfälle</x:v>
      </x:c>
      <x:c r="M1106" s="5" t="n">
        <x:v>121</x:v>
      </x:c>
      <x:c r="N1106" s="5" t="n">
        <x:v>1</x:v>
      </x:c>
      <x:c r="O1106" s="5" t="str"/>
      <x:c r="P1106" s="5" t="str">
        <x:v>Pilot freigegeben</x:v>
      </x:c>
      <x:c r="Q1106" s="5" t="str">
        <x:v>Revision 2 unverändert übernommen</x:v>
      </x:c>
      <x:c r="R1106" s="5" t="str">
        <x:v>Welche Art von Umsatz liegt aus Sicht des Lieferanten Karl Süd bei der Lieferung nach Belgien vor?</x:v>
      </x:c>
      <x:c r="S1106" s="5" t="str">
        <x:v>aa9732ca7b127293608b0df0601c6a0b2b372d9e6937c16c23ddd6592fd2d75e</x:v>
      </x:c>
    </x:row>
    <x:row r="1107" ht="36" customHeight="1">
      <x:c r="A1107" s="5" t="str">
        <x:v>ST-0129</x:v>
      </x:c>
      <x:c r="B1107" s="5" t="str">
        <x:v>WQ</x:v>
      </x:c>
      <x:c r="C1107" s="5" t="str">
        <x:v>3</x:v>
      </x:c>
      <x:c r="D1107" s="5" t="str">
        <x:v>Recht und Steuern</x:v>
      </x:c>
      <x:c r="E1107" s="5" t="str">
        <x:v>Steuern</x:v>
      </x:c>
      <x:c r="F1107" s="5" t="str">
        <x:v>ui-wq-steuern-unternehmen</x:v>
      </x:c>
      <x:c r="G1107" s="5" t="str">
        <x:v>Unternehmensbezogene Steuern</x:v>
      </x:c>
      <x:c r="H1107" s="5" t="str">
        <x:v>tr-wq-s09</x:v>
      </x:c>
      <x:c r="I1107" s="5" t="str">
        <x:v>3.2.2.5</x:v>
      </x:c>
      <x:c r="J1107" s="5" t="str">
        <x:v>Umsatzsteuer – EU, Drittland &amp; Sonderfälle</x:v>
      </x:c>
      <x:c r="K1107" s="5" t="str"/>
      <x:c r="L1107" s="5" t="str">
        <x:v>Umsatzsteuer – EU, Drittland &amp; Sonderfälle</x:v>
      </x:c>
      <x:c r="M1107" s="5" t="n">
        <x:v>122</x:v>
      </x:c>
      <x:c r="N1107" s="5" t="n">
        <x:v>2</x:v>
      </x:c>
      <x:c r="O1107" s="5" t="str"/>
      <x:c r="P1107" s="5" t="str">
        <x:v>Pilot freigegeben</x:v>
      </x:c>
      <x:c r="Q1107" s="5" t="str">
        <x:v>Revision 2 unverändert übernommen</x:v>
      </x:c>
      <x:c r="R1107" s="5" t="str">
        <x:v>Ist die innergemeinschaftliche Lieferung nach Belgien steuerpflichtig?</x:v>
      </x:c>
      <x:c r="S1107" s="5" t="str">
        <x:v>abdbd280ab745820727b3c14f807aad9c83fb24606c05255abe958dfb807bf5a</x:v>
      </x:c>
    </x:row>
    <x:row r="1108" ht="36" customHeight="1">
      <x:c r="A1108" s="5" t="str">
        <x:v>ST-0130</x:v>
      </x:c>
      <x:c r="B1108" s="5" t="str">
        <x:v>WQ</x:v>
      </x:c>
      <x:c r="C1108" s="5" t="str">
        <x:v>3</x:v>
      </x:c>
      <x:c r="D1108" s="5" t="str">
        <x:v>Recht und Steuern</x:v>
      </x:c>
      <x:c r="E1108" s="5" t="str">
        <x:v>Steuern</x:v>
      </x:c>
      <x:c r="F1108" s="5" t="str">
        <x:v>ui-wq-steuern-unternehmen</x:v>
      </x:c>
      <x:c r="G1108" s="5" t="str">
        <x:v>Unternehmensbezogene Steuern</x:v>
      </x:c>
      <x:c r="H1108" s="5" t="str">
        <x:v>tr-wq-s09</x:v>
      </x:c>
      <x:c r="I1108" s="5" t="str">
        <x:v>3.2.2.5</x:v>
      </x:c>
      <x:c r="J1108" s="5" t="str">
        <x:v>Umsatzsteuer – EU, Drittland &amp; Sonderfälle</x:v>
      </x:c>
      <x:c r="K1108" s="5" t="str"/>
      <x:c r="L1108" s="5" t="str">
        <x:v>Umsatzsteuer – EU, Drittland &amp; Sonderfälle</x:v>
      </x:c>
      <x:c r="M1108" s="5" t="n">
        <x:v>123</x:v>
      </x:c>
      <x:c r="N1108" s="5" t="n">
        <x:v>3</x:v>
      </x:c>
      <x:c r="O1108" s="5" t="str"/>
      <x:c r="P1108" s="5" t="str">
        <x:v>Pilot freigegeben</x:v>
      </x:c>
      <x:c r="Q1108" s="5" t="str">
        <x:v>Revision 2 unverändert übernommen</x:v>
      </x:c>
      <x:c r="R1108" s="5" t="str">
        <x:v>Wie wirkt sich die innergemeinschaftliche Lieferung nach Belgien auf den Vorsteuerabzug des Lieferanten aus?</x:v>
      </x:c>
      <x:c r="S1108" s="5" t="str">
        <x:v>11a1a17248e02b755e7327607370023afa096734f4436a8fe3e5bfed616979a3</x:v>
      </x:c>
    </x:row>
    <x:row r="1109" ht="36" customHeight="1">
      <x:c r="A1109" s="5" t="str">
        <x:v>ST-0131</x:v>
      </x:c>
      <x:c r="B1109" s="5" t="str">
        <x:v>WQ</x:v>
      </x:c>
      <x:c r="C1109" s="5" t="str">
        <x:v>3</x:v>
      </x:c>
      <x:c r="D1109" s="5" t="str">
        <x:v>Recht und Steuern</x:v>
      </x:c>
      <x:c r="E1109" s="5" t="str">
        <x:v>Steuern</x:v>
      </x:c>
      <x:c r="F1109" s="5" t="str">
        <x:v>ui-wq-steuern-unternehmen</x:v>
      </x:c>
      <x:c r="G1109" s="5" t="str">
        <x:v>Unternehmensbezogene Steuern</x:v>
      </x:c>
      <x:c r="H1109" s="5" t="str">
        <x:v>tr-wq-s09</x:v>
      </x:c>
      <x:c r="I1109" s="5" t="str">
        <x:v>3.2.2.5</x:v>
      </x:c>
      <x:c r="J1109" s="5" t="str">
        <x:v>Umsatzsteuer – EU, Drittland &amp; Sonderfälle</x:v>
      </x:c>
      <x:c r="K1109" s="5" t="str"/>
      <x:c r="L1109" s="5" t="str">
        <x:v>Umsatzsteuer – EU, Drittland &amp; Sonderfälle</x:v>
      </x:c>
      <x:c r="M1109" s="5" t="n">
        <x:v>124</x:v>
      </x:c>
      <x:c r="N1109" s="5" t="n">
        <x:v>4</x:v>
      </x:c>
      <x:c r="O1109" s="5" t="str"/>
      <x:c r="P1109" s="5" t="str">
        <x:v>Pilot freigegeben</x:v>
      </x:c>
      <x:c r="Q1109" s="5" t="str">
        <x:v>Revision 2 unverändert übernommen</x:v>
      </x:c>
      <x:c r="R1109" s="5" t="str">
        <x:v>Wo befindet sich der Ort der Lieferung bei der innergemeinschaftlichen Lieferung nach Belgien?</x:v>
      </x:c>
      <x:c r="S1109" s="5" t="str">
        <x:v>f8ca64973f119cf26df5bd6b26c8a4c89de053b5694b5e40939f8066ffc2e655</x:v>
      </x:c>
    </x:row>
    <x:row r="1110" ht="36" customHeight="1">
      <x:c r="A1110" s="5" t="str">
        <x:v>ST-0132</x:v>
      </x:c>
      <x:c r="B1110" s="5" t="str">
        <x:v>WQ</x:v>
      </x:c>
      <x:c r="C1110" s="5" t="str">
        <x:v>3</x:v>
      </x:c>
      <x:c r="D1110" s="5" t="str">
        <x:v>Recht und Steuern</x:v>
      </x:c>
      <x:c r="E1110" s="5" t="str">
        <x:v>Steuern</x:v>
      </x:c>
      <x:c r="F1110" s="5" t="str">
        <x:v>ui-wq-steuern-unternehmen</x:v>
      </x:c>
      <x:c r="G1110" s="5" t="str">
        <x:v>Unternehmensbezogene Steuern</x:v>
      </x:c>
      <x:c r="H1110" s="5" t="str">
        <x:v>tr-wq-s09</x:v>
      </x:c>
      <x:c r="I1110" s="5" t="str">
        <x:v>3.2.2.5</x:v>
      </x:c>
      <x:c r="J1110" s="5" t="str">
        <x:v>Umsatzsteuer – EU, Drittland &amp; Sonderfälle</x:v>
      </x:c>
      <x:c r="K1110" s="5" t="str"/>
      <x:c r="L1110" s="5" t="str">
        <x:v>Umsatzsteuer – EU, Drittland &amp; Sonderfälle</x:v>
      </x:c>
      <x:c r="M1110" s="5" t="n">
        <x:v>125</x:v>
      </x:c>
      <x:c r="N1110" s="5" t="n">
        <x:v>5</x:v>
      </x:c>
      <x:c r="O1110" s="5" t="str"/>
      <x:c r="P1110" s="5" t="str">
        <x:v>Pilot freigegeben</x:v>
      </x:c>
      <x:c r="Q1110" s="5" t="str">
        <x:v>Revision 2 unverändert übernommen</x:v>
      </x:c>
      <x:c r="R1110" s="5" t="str">
        <x:v>Welche Art von Umsatz liegt aus Sicht des belgischen Abnehmers vor?</x:v>
      </x:c>
      <x:c r="S1110" s="5" t="str">
        <x:v>6d111950dc466db4c7a364ae9d217df5e4a70001a852bcdffc3e43c3922fd275</x:v>
      </x:c>
    </x:row>
    <x:row r="1111" ht="36" customHeight="1">
      <x:c r="A1111" s="5" t="str">
        <x:v>ST-0133</x:v>
      </x:c>
      <x:c r="B1111" s="5" t="str">
        <x:v>WQ</x:v>
      </x:c>
      <x:c r="C1111" s="5" t="str">
        <x:v>3</x:v>
      </x:c>
      <x:c r="D1111" s="5" t="str">
        <x:v>Recht und Steuern</x:v>
      </x:c>
      <x:c r="E1111" s="5" t="str">
        <x:v>Steuern</x:v>
      </x:c>
      <x:c r="F1111" s="5" t="str">
        <x:v>ui-wq-steuern-unternehmen</x:v>
      </x:c>
      <x:c r="G1111" s="5" t="str">
        <x:v>Unternehmensbezogene Steuern</x:v>
      </x:c>
      <x:c r="H1111" s="5" t="str">
        <x:v>tr-wq-s09</x:v>
      </x:c>
      <x:c r="I1111" s="5" t="str">
        <x:v>3.2.2.5</x:v>
      </x:c>
      <x:c r="J1111" s="5" t="str">
        <x:v>Umsatzsteuer – EU, Drittland &amp; Sonderfälle</x:v>
      </x:c>
      <x:c r="K1111" s="5" t="str"/>
      <x:c r="L1111" s="5" t="str">
        <x:v>Umsatzsteuer – EU, Drittland &amp; Sonderfälle</x:v>
      </x:c>
      <x:c r="M1111" s="5" t="n">
        <x:v>126</x:v>
      </x:c>
      <x:c r="N1111" s="5" t="n">
        <x:v>6</x:v>
      </x:c>
      <x:c r="O1111" s="5" t="str"/>
      <x:c r="P1111" s="5" t="str">
        <x:v>Pilot freigegeben</x:v>
      </x:c>
      <x:c r="Q1111" s="5" t="str">
        <x:v>Revision 2 unverändert übernommen</x:v>
      </x:c>
      <x:c r="R1111" s="5" t="str">
        <x:v>Wo liegt der Ort des innergemeinschaftlichen Erwerbs?</x:v>
      </x:c>
      <x:c r="S1111" s="5" t="str">
        <x:v>dc0b4070283027ce229695d23cf174af434a74d9f464b4d1343039cef838fbae</x:v>
      </x:c>
    </x:row>
    <x:row r="1112" ht="36" customHeight="1">
      <x:c r="A1112" s="5" t="str">
        <x:v>ST-0134</x:v>
      </x:c>
      <x:c r="B1112" s="5" t="str">
        <x:v>WQ</x:v>
      </x:c>
      <x:c r="C1112" s="5" t="str">
        <x:v>3</x:v>
      </x:c>
      <x:c r="D1112" s="5" t="str">
        <x:v>Recht und Steuern</x:v>
      </x:c>
      <x:c r="E1112" s="5" t="str">
        <x:v>Steuern</x:v>
      </x:c>
      <x:c r="F1112" s="5" t="str">
        <x:v>ui-wq-steuern-unternehmen</x:v>
      </x:c>
      <x:c r="G1112" s="5" t="str">
        <x:v>Unternehmensbezogene Steuern</x:v>
      </x:c>
      <x:c r="H1112" s="5" t="str">
        <x:v>tr-wq-s09</x:v>
      </x:c>
      <x:c r="I1112" s="5" t="str">
        <x:v>3.2.2.5</x:v>
      </x:c>
      <x:c r="J1112" s="5" t="str">
        <x:v>Umsatzsteuer – EU, Drittland &amp; Sonderfälle</x:v>
      </x:c>
      <x:c r="K1112" s="5" t="str"/>
      <x:c r="L1112" s="5" t="str">
        <x:v>Umsatzsteuer – EU, Drittland &amp; Sonderfälle</x:v>
      </x:c>
      <x:c r="M1112" s="5" t="n">
        <x:v>127</x:v>
      </x:c>
      <x:c r="N1112" s="5" t="n">
        <x:v>7</x:v>
      </x:c>
      <x:c r="O1112" s="5" t="str"/>
      <x:c r="P1112" s="5" t="str">
        <x:v>Pilot freigegeben</x:v>
      </x:c>
      <x:c r="Q1112" s="5" t="str">
        <x:v>Revision 2 unverändert übernommen</x:v>
      </x:c>
      <x:c r="R1112" s="5" t="str">
        <x:v>Welche Art von Umsatz liegt aus Sicht der Unternehmerin aus Basel bei der Lieferung nach Deutschland vor?</x:v>
      </x:c>
      <x:c r="S1112" s="5" t="str">
        <x:v>ad59b1d1f6abbf7705abc336838e4abaa2ccbb4db0fb278da7b7a07b771a2f3d</x:v>
      </x:c>
    </x:row>
    <x:row r="1113" ht="36" customHeight="1">
      <x:c r="A1113" s="5" t="str">
        <x:v>ST-0135</x:v>
      </x:c>
      <x:c r="B1113" s="5" t="str">
        <x:v>WQ</x:v>
      </x:c>
      <x:c r="C1113" s="5" t="str">
        <x:v>3</x:v>
      </x:c>
      <x:c r="D1113" s="5" t="str">
        <x:v>Recht und Steuern</x:v>
      </x:c>
      <x:c r="E1113" s="5" t="str">
        <x:v>Steuern</x:v>
      </x:c>
      <x:c r="F1113" s="5" t="str">
        <x:v>ui-wq-steuern-unternehmen</x:v>
      </x:c>
      <x:c r="G1113" s="5" t="str">
        <x:v>Unternehmensbezogene Steuern</x:v>
      </x:c>
      <x:c r="H1113" s="5" t="str">
        <x:v>tr-wq-s09</x:v>
      </x:c>
      <x:c r="I1113" s="5" t="str">
        <x:v>3.2.2.5</x:v>
      </x:c>
      <x:c r="J1113" s="5" t="str">
        <x:v>Umsatzsteuer – EU, Drittland &amp; Sonderfälle</x:v>
      </x:c>
      <x:c r="K1113" s="5" t="str"/>
      <x:c r="L1113" s="5" t="str">
        <x:v>Umsatzsteuer – EU, Drittland &amp; Sonderfälle</x:v>
      </x:c>
      <x:c r="M1113" s="5" t="n">
        <x:v>128</x:v>
      </x:c>
      <x:c r="N1113" s="5" t="n">
        <x:v>8</x:v>
      </x:c>
      <x:c r="O1113" s="5" t="str"/>
      <x:c r="P1113" s="5" t="str">
        <x:v>Pilot freigegeben</x:v>
      </x:c>
      <x:c r="Q1113" s="5" t="str">
        <x:v>Revision 2 unverändert übernommen</x:v>
      </x:c>
      <x:c r="R1113" s="5" t="str">
        <x:v>Wie ist die Ausfuhrlieferung der Unternehmerin aus Basel umsatzsteuerlich zu behandeln?</x:v>
      </x:c>
      <x:c r="S1113" s="5" t="str">
        <x:v>246c962722953a7272da9152eee754f3f8c6039c42430b0991748826aaf859f0</x:v>
      </x:c>
    </x:row>
    <x:row r="1114" ht="36" customHeight="1">
      <x:c r="A1114" s="5" t="str">
        <x:v>ST-0136</x:v>
      </x:c>
      <x:c r="B1114" s="5" t="str">
        <x:v>WQ</x:v>
      </x:c>
      <x:c r="C1114" s="5" t="str">
        <x:v>3</x:v>
      </x:c>
      <x:c r="D1114" s="5" t="str">
        <x:v>Recht und Steuern</x:v>
      </x:c>
      <x:c r="E1114" s="5" t="str">
        <x:v>Steuern</x:v>
      </x:c>
      <x:c r="F1114" s="5" t="str">
        <x:v>ui-wq-steuern-unternehmen</x:v>
      </x:c>
      <x:c r="G1114" s="5" t="str">
        <x:v>Unternehmensbezogene Steuern</x:v>
      </x:c>
      <x:c r="H1114" s="5" t="str">
        <x:v>tr-wq-s09</x:v>
      </x:c>
      <x:c r="I1114" s="5" t="str">
        <x:v>3.2.2.5</x:v>
      </x:c>
      <x:c r="J1114" s="5" t="str">
        <x:v>Umsatzsteuer – EU, Drittland &amp; Sonderfälle</x:v>
      </x:c>
      <x:c r="K1114" s="5" t="str"/>
      <x:c r="L1114" s="5" t="str">
        <x:v>Umsatzsteuer – EU, Drittland &amp; Sonderfälle</x:v>
      </x:c>
      <x:c r="M1114" s="5" t="n">
        <x:v>129</x:v>
      </x:c>
      <x:c r="N1114" s="5" t="n">
        <x:v>9</x:v>
      </x:c>
      <x:c r="O1114" s="5" t="str"/>
      <x:c r="P1114" s="5" t="str">
        <x:v>Pilot freigegeben</x:v>
      </x:c>
      <x:c r="Q1114" s="5" t="str">
        <x:v>Revision 2 unverändert übernommen</x:v>
      </x:c>
      <x:c r="R1114" s="5" t="str">
        <x:v>Welche Art von Umsatz liegt aus Sicht des Abnehmers Karl Süd bei der Lieferung aus der Schweiz vor?</x:v>
      </x:c>
      <x:c r="S1114" s="5" t="str">
        <x:v>f9462dcc5a16a47a67eb01972a10070637a6624e23ee4d6f35982a3533309538</x:v>
      </x:c>
    </x:row>
    <x:row r="1115" ht="36" customHeight="1">
      <x:c r="A1115" s="5" t="str">
        <x:v>ST-0137</x:v>
      </x:c>
      <x:c r="B1115" s="5" t="str">
        <x:v>WQ</x:v>
      </x:c>
      <x:c r="C1115" s="5" t="str">
        <x:v>3</x:v>
      </x:c>
      <x:c r="D1115" s="5" t="str">
        <x:v>Recht und Steuern</x:v>
      </x:c>
      <x:c r="E1115" s="5" t="str">
        <x:v>Steuern</x:v>
      </x:c>
      <x:c r="F1115" s="5" t="str">
        <x:v>ui-wq-steuern-unternehmen</x:v>
      </x:c>
      <x:c r="G1115" s="5" t="str">
        <x:v>Unternehmensbezogene Steuern</x:v>
      </x:c>
      <x:c r="H1115" s="5" t="str">
        <x:v>tr-wq-s09</x:v>
      </x:c>
      <x:c r="I1115" s="5" t="str">
        <x:v>3.2.2.5</x:v>
      </x:c>
      <x:c r="J1115" s="5" t="str">
        <x:v>Umsatzsteuer – EU, Drittland &amp; Sonderfälle</x:v>
      </x:c>
      <x:c r="K1115" s="5" t="str"/>
      <x:c r="L1115" s="5" t="str">
        <x:v>Umsatzsteuer – EU, Drittland &amp; Sonderfälle</x:v>
      </x:c>
      <x:c r="M1115" s="5" t="n">
        <x:v>130</x:v>
      </x:c>
      <x:c r="N1115" s="5" t="n">
        <x:v>10</x:v>
      </x:c>
      <x:c r="O1115" s="5" t="str"/>
      <x:c r="P1115" s="5" t="str">
        <x:v>Pilot freigegeben</x:v>
      </x:c>
      <x:c r="Q1115" s="5" t="str">
        <x:v>Revision 2 unverändert übernommen</x:v>
      </x:c>
      <x:c r="R1115" s="5" t="str">
        <x:v>Welcher Steuer unterliegt die Einfuhr aus der Schweiz?</x:v>
      </x:c>
      <x:c r="S1115" s="5" t="str">
        <x:v>8552531fb09a6d326b2f2bfd126310af065a47d31abed9ff977e5396c538cfd6</x:v>
      </x:c>
    </x:row>
    <x:row r="1116" ht="36" customHeight="1">
      <x:c r="A1116" s="5" t="str">
        <x:v>ST-0138</x:v>
      </x:c>
      <x:c r="B1116" s="5" t="str">
        <x:v>WQ</x:v>
      </x:c>
      <x:c r="C1116" s="5" t="str">
        <x:v>3</x:v>
      </x:c>
      <x:c r="D1116" s="5" t="str">
        <x:v>Recht und Steuern</x:v>
      </x:c>
      <x:c r="E1116" s="5" t="str">
        <x:v>Steuern</x:v>
      </x:c>
      <x:c r="F1116" s="5" t="str">
        <x:v>ui-wq-steuern-unternehmen</x:v>
      </x:c>
      <x:c r="G1116" s="5" t="str">
        <x:v>Unternehmensbezogene Steuern</x:v>
      </x:c>
      <x:c r="H1116" s="5" t="str">
        <x:v>tr-wq-s09</x:v>
      </x:c>
      <x:c r="I1116" s="5" t="str">
        <x:v>3.2.2.5</x:v>
      </x:c>
      <x:c r="J1116" s="5" t="str">
        <x:v>Umsatzsteuer – EU, Drittland &amp; Sonderfälle</x:v>
      </x:c>
      <x:c r="K1116" s="5" t="str"/>
      <x:c r="L1116" s="5" t="str">
        <x:v>Umsatzsteuer – EU, Drittland &amp; Sonderfälle</x:v>
      </x:c>
      <x:c r="M1116" s="5" t="n">
        <x:v>131</x:v>
      </x:c>
      <x:c r="N1116" s="5" t="n">
        <x:v>11</x:v>
      </x:c>
      <x:c r="O1116" s="5" t="str"/>
      <x:c r="P1116" s="5" t="str">
        <x:v>Pilot freigegeben</x:v>
      </x:c>
      <x:c r="Q1116" s="5" t="str">
        <x:v>Revision 2 unverändert übernommen</x:v>
      </x:c>
      <x:c r="R1116" s="5" t="str">
        <x:v>Wie wirkt sich die Einfuhrumsatzsteuer auf den Vorsteuerabzug von Karl Süd aus?</x:v>
      </x:c>
      <x:c r="S1116" s="5" t="str">
        <x:v>92fbc8026330ffa1a8648348e015a4d1a4bef675fc3c7d5574a13c2c43ed518b</x:v>
      </x:c>
    </x:row>
    <x:row r="1117" ht="36" customHeight="1">
      <x:c r="A1117" s="5" t="str">
        <x:v>ST-0139</x:v>
      </x:c>
      <x:c r="B1117" s="5" t="str">
        <x:v>WQ</x:v>
      </x:c>
      <x:c r="C1117" s="5" t="str">
        <x:v>3</x:v>
      </x:c>
      <x:c r="D1117" s="5" t="str">
        <x:v>Recht und Steuern</x:v>
      </x:c>
      <x:c r="E1117" s="5" t="str">
        <x:v>Steuern</x:v>
      </x:c>
      <x:c r="F1117" s="5" t="str">
        <x:v>ui-wq-steuern-unternehmen</x:v>
      </x:c>
      <x:c r="G1117" s="5" t="str">
        <x:v>Unternehmensbezogene Steuern</x:v>
      </x:c>
      <x:c r="H1117" s="5" t="str">
        <x:v>tr-wq-s09</x:v>
      </x:c>
      <x:c r="I1117" s="5" t="str">
        <x:v>3.2.2.5</x:v>
      </x:c>
      <x:c r="J1117" s="5" t="str">
        <x:v>Umsatzsteuer – EU, Drittland &amp; Sonderfälle</x:v>
      </x:c>
      <x:c r="K1117" s="5" t="str"/>
      <x:c r="L1117" s="5" t="str">
        <x:v>Umsatzsteuer – EU, Drittland &amp; Sonderfälle</x:v>
      </x:c>
      <x:c r="M1117" s="5" t="n">
        <x:v>132</x:v>
      </x:c>
      <x:c r="N1117" s="5" t="n">
        <x:v>12</x:v>
      </x:c>
      <x:c r="O1117" s="5" t="str"/>
      <x:c r="P1117" s="5" t="str">
        <x:v>Pilot freigegeben</x:v>
      </x:c>
      <x:c r="Q1117" s="5" t="str">
        <x:v>Revision 2 unverändert übernommen</x:v>
      </x:c>
      <x:c r="R1117" s="5" t="str">
        <x:v>Ein Unternehmer lässt Ware aus der Schweiz nach Deutschland einführen. Wo liegt umsatzsteuerlich der Ort der Einfuhr?</x:v>
      </x:c>
      <x:c r="S1117" s="5" t="str">
        <x:v>4233a86f89ac9b3c70b5f4114fb4f3a22b4894ae408503d7f1891cf0448b622d</x:v>
      </x:c>
    </x:row>
    <x:row r="1118" ht="36" customHeight="1">
      <x:c r="A1118" s="5" t="str">
        <x:v>ST-0140</x:v>
      </x:c>
      <x:c r="B1118" s="5" t="str">
        <x:v>WQ</x:v>
      </x:c>
      <x:c r="C1118" s="5" t="str">
        <x:v>3</x:v>
      </x:c>
      <x:c r="D1118" s="5" t="str">
        <x:v>Recht und Steuern</x:v>
      </x:c>
      <x:c r="E1118" s="5" t="str">
        <x:v>Steuern</x:v>
      </x:c>
      <x:c r="F1118" s="5" t="str">
        <x:v>ui-wq-steuern-unternehmen</x:v>
      </x:c>
      <x:c r="G1118" s="5" t="str">
        <x:v>Unternehmensbezogene Steuern</x:v>
      </x:c>
      <x:c r="H1118" s="5" t="str">
        <x:v>tr-wq-s09</x:v>
      </x:c>
      <x:c r="I1118" s="5" t="str">
        <x:v>3.2.2.5</x:v>
      </x:c>
      <x:c r="J1118" s="5" t="str">
        <x:v>Umsatzsteuer – EU, Drittland &amp; Sonderfälle</x:v>
      </x:c>
      <x:c r="K1118" s="5" t="str"/>
      <x:c r="L1118" s="5" t="str">
        <x:v>Umsatzsteuer – EU, Drittland &amp; Sonderfälle</x:v>
      </x:c>
      <x:c r="M1118" s="5" t="n">
        <x:v>133</x:v>
      </x:c>
      <x:c r="N1118" s="5" t="n">
        <x:v>13</x:v>
      </x:c>
      <x:c r="O1118" s="5" t="str"/>
      <x:c r="P1118" s="5" t="str">
        <x:v>Pilot freigegeben</x:v>
      </x:c>
      <x:c r="Q1118" s="5" t="str">
        <x:v>Revision 2 unverändert übernommen</x:v>
      </x:c>
      <x:c r="R1118" s="5" t="str">
        <x:v>Wie ist die Lieferung einer Spezialmaschine von Karl Süd an die Unternehmerin T aus der Türkei umsatzsteuerlich zu beurteilen?</x:v>
      </x:c>
      <x:c r="S1118" s="5" t="str">
        <x:v>93c47aa54558526224958a0401707429c9cc5862574f70ef5cd4fca85c165346</x:v>
      </x:c>
    </x:row>
    <x:row r="1119" ht="36" customHeight="1">
      <x:c r="A1119" s="5" t="str">
        <x:v>ST-0141</x:v>
      </x:c>
      <x:c r="B1119" s="5" t="str">
        <x:v>WQ</x:v>
      </x:c>
      <x:c r="C1119" s="5" t="str">
        <x:v>3</x:v>
      </x:c>
      <x:c r="D1119" s="5" t="str">
        <x:v>Recht und Steuern</x:v>
      </x:c>
      <x:c r="E1119" s="5" t="str">
        <x:v>Steuern</x:v>
      </x:c>
      <x:c r="F1119" s="5" t="str">
        <x:v>ui-wq-steuern-unternehmen</x:v>
      </x:c>
      <x:c r="G1119" s="5" t="str">
        <x:v>Unternehmensbezogene Steuern</x:v>
      </x:c>
      <x:c r="H1119" s="5" t="str">
        <x:v>tr-wq-s09</x:v>
      </x:c>
      <x:c r="I1119" s="5" t="str">
        <x:v>3.2.2.5</x:v>
      </x:c>
      <x:c r="J1119" s="5" t="str">
        <x:v>Umsatzsteuer – EU, Drittland &amp; Sonderfälle</x:v>
      </x:c>
      <x:c r="K1119" s="5" t="str"/>
      <x:c r="L1119" s="5" t="str">
        <x:v>Umsatzsteuer – EU, Drittland &amp; Sonderfälle</x:v>
      </x:c>
      <x:c r="M1119" s="5" t="n">
        <x:v>134</x:v>
      </x:c>
      <x:c r="N1119" s="5" t="n">
        <x:v>14</x:v>
      </x:c>
      <x:c r="O1119" s="5" t="str"/>
      <x:c r="P1119" s="5" t="str">
        <x:v>Pilot freigegeben</x:v>
      </x:c>
      <x:c r="Q1119" s="5" t="str">
        <x:v>Revision 2 unverändert übernommen</x:v>
      </x:c>
      <x:c r="R1119" s="5" t="str">
        <x:v>Wie ist der Kauf eines Fernsehgeräts in Deutschland durch einen Privatmann mit Ferienwohnung in der Schweiz umsatzsteuerlich zu behandeln?</x:v>
      </x:c>
      <x:c r="S1119" s="5" t="str">
        <x:v>51ce0a31f4ab2230eb405cd5004c3448194213b7f95605f10fb1fd115661c022</x:v>
      </x:c>
    </x:row>
    <x:row r="1120" ht="36" customHeight="1">
      <x:c r="A1120" s="5" t="str">
        <x:v>ST-0142</x:v>
      </x:c>
      <x:c r="B1120" s="5" t="str">
        <x:v>WQ</x:v>
      </x:c>
      <x:c r="C1120" s="5" t="str">
        <x:v>3</x:v>
      </x:c>
      <x:c r="D1120" s="5" t="str">
        <x:v>Recht und Steuern</x:v>
      </x:c>
      <x:c r="E1120" s="5" t="str">
        <x:v>Steuern</x:v>
      </x:c>
      <x:c r="F1120" s="5" t="str">
        <x:v>ui-wq-steuern-unternehmen</x:v>
      </x:c>
      <x:c r="G1120" s="5" t="str">
        <x:v>Unternehmensbezogene Steuern</x:v>
      </x:c>
      <x:c r="H1120" s="5" t="str">
        <x:v>tr-wq-s09</x:v>
      </x:c>
      <x:c r="I1120" s="5" t="str">
        <x:v>3.2.2.5</x:v>
      </x:c>
      <x:c r="J1120" s="5" t="str">
        <x:v>Umsatzsteuer – EU, Drittland &amp; Sonderfälle</x:v>
      </x:c>
      <x:c r="K1120" s="5" t="str"/>
      <x:c r="L1120" s="5" t="str">
        <x:v>Umsatzsteuer – EU, Drittland &amp; Sonderfälle</x:v>
      </x:c>
      <x:c r="M1120" s="5" t="n">
        <x:v>135</x:v>
      </x:c>
      <x:c r="N1120" s="5" t="n">
        <x:v>15</x:v>
      </x:c>
      <x:c r="O1120" s="5" t="str"/>
      <x:c r="P1120" s="5" t="str">
        <x:v>Pilot freigegeben</x:v>
      </x:c>
      <x:c r="Q1120" s="5" t="str">
        <x:v>Revision 2 unverändert übernommen</x:v>
      </x:c>
      <x:c r="R1120" s="5" t="str">
        <x:v>Welche Art von Umsatz liegt vor, wenn Karl Süd eine Maschine aus Frankreich nach Bonn liefern lässt?</x:v>
      </x:c>
      <x:c r="S1120" s="5" t="str">
        <x:v>09d780b8068b57cfedcb3a89e5536b0586217eac118a25eb57d63b6195a19c60</x:v>
      </x:c>
    </x:row>
    <x:row r="1121" ht="36" customHeight="1">
      <x:c r="A1121" s="5" t="str">
        <x:v>ST-0143</x:v>
      </x:c>
      <x:c r="B1121" s="5" t="str">
        <x:v>WQ</x:v>
      </x:c>
      <x:c r="C1121" s="5" t="str">
        <x:v>3</x:v>
      </x:c>
      <x:c r="D1121" s="5" t="str">
        <x:v>Recht und Steuern</x:v>
      </x:c>
      <x:c r="E1121" s="5" t="str">
        <x:v>Steuern</x:v>
      </x:c>
      <x:c r="F1121" s="5" t="str">
        <x:v>ui-wq-steuern-unternehmen</x:v>
      </x:c>
      <x:c r="G1121" s="5" t="str">
        <x:v>Unternehmensbezogene Steuern</x:v>
      </x:c>
      <x:c r="H1121" s="5" t="str">
        <x:v>tr-wq-s09</x:v>
      </x:c>
      <x:c r="I1121" s="5" t="str">
        <x:v>3.2.2.5</x:v>
      </x:c>
      <x:c r="J1121" s="5" t="str">
        <x:v>Umsatzsteuer – EU, Drittland &amp; Sonderfälle</x:v>
      </x:c>
      <x:c r="K1121" s="5" t="str"/>
      <x:c r="L1121" s="5" t="str">
        <x:v>Umsatzsteuer – EU, Drittland &amp; Sonderfälle</x:v>
      </x:c>
      <x:c r="M1121" s="5" t="n">
        <x:v>136</x:v>
      </x:c>
      <x:c r="N1121" s="5" t="n">
        <x:v>16</x:v>
      </x:c>
      <x:c r="O1121" s="5" t="str"/>
      <x:c r="P1121" s="5" t="str">
        <x:v>Pilot freigegeben</x:v>
      </x:c>
      <x:c r="Q1121" s="5" t="str">
        <x:v>Revision 2 unverändert übernommen</x:v>
      </x:c>
      <x:c r="R1121" s="5" t="str">
        <x:v>Wie hoch ist die Umsatzsteuer auf den innergemeinschaftlichen Erwerb einer Maschine für 100.000 € aus Frankreich?</x:v>
      </x:c>
      <x:c r="S1121" s="5" t="str">
        <x:v>7924585c99bb93776ed416d771bb68fb6e6194f5b602904e4c7d5c958b8c1422</x:v>
      </x:c>
    </x:row>
    <x:row r="1122" ht="36" customHeight="1">
      <x:c r="A1122" s="5" t="str">
        <x:v>ST-0144</x:v>
      </x:c>
      <x:c r="B1122" s="5" t="str">
        <x:v>WQ</x:v>
      </x:c>
      <x:c r="C1122" s="5" t="str">
        <x:v>3</x:v>
      </x:c>
      <x:c r="D1122" s="5" t="str">
        <x:v>Recht und Steuern</x:v>
      </x:c>
      <x:c r="E1122" s="5" t="str">
        <x:v>Steuern</x:v>
      </x:c>
      <x:c r="F1122" s="5" t="str">
        <x:v>ui-wq-steuern-unternehmen</x:v>
      </x:c>
      <x:c r="G1122" s="5" t="str">
        <x:v>Unternehmensbezogene Steuern</x:v>
      </x:c>
      <x:c r="H1122" s="5" t="str">
        <x:v>tr-wq-s09</x:v>
      </x:c>
      <x:c r="I1122" s="5" t="str">
        <x:v>3.2.2.5</x:v>
      </x:c>
      <x:c r="J1122" s="5" t="str">
        <x:v>Umsatzsteuer – EU, Drittland &amp; Sonderfälle</x:v>
      </x:c>
      <x:c r="K1122" s="5" t="str"/>
      <x:c r="L1122" s="5" t="str">
        <x:v>Umsatzsteuer – EU, Drittland &amp; Sonderfälle</x:v>
      </x:c>
      <x:c r="M1122" s="5" t="n">
        <x:v>137</x:v>
      </x:c>
      <x:c r="N1122" s="5" t="n">
        <x:v>17</x:v>
      </x:c>
      <x:c r="O1122" s="5" t="str"/>
      <x:c r="P1122" s="5" t="str">
        <x:v>Pilot freigegeben</x:v>
      </x:c>
      <x:c r="Q1122" s="5" t="str">
        <x:v>Revision 2 unverändert übernommen</x:v>
      </x:c>
      <x:c r="R1122" s="5" t="str">
        <x:v>Wie hoch ist die Zahllast an das Finanzamt bei einem innergemeinschaftlichen Erwerb über 100.000 €, wenn die volle Vorsteuer abzugsfähig ist?</x:v>
      </x:c>
      <x:c r="S1122" s="5" t="str">
        <x:v>2e2e56cb881685cab434514034d7a99ba1bfea41b456eae35a46472cc20f61bf</x:v>
      </x:c>
    </x:row>
    <x:row r="1123" ht="36" customHeight="1">
      <x:c r="A1123" s="5" t="str">
        <x:v>ST-0145</x:v>
      </x:c>
      <x:c r="B1123" s="5" t="str">
        <x:v>WQ</x:v>
      </x:c>
      <x:c r="C1123" s="5" t="str">
        <x:v>3</x:v>
      </x:c>
      <x:c r="D1123" s="5" t="str">
        <x:v>Recht und Steuern</x:v>
      </x:c>
      <x:c r="E1123" s="5" t="str">
        <x:v>Steuern</x:v>
      </x:c>
      <x:c r="F1123" s="5" t="str">
        <x:v>ui-wq-steuern-unternehmen</x:v>
      </x:c>
      <x:c r="G1123" s="5" t="str">
        <x:v>Unternehmensbezogene Steuern</x:v>
      </x:c>
      <x:c r="H1123" s="5" t="str">
        <x:v>tr-wq-s09</x:v>
      </x:c>
      <x:c r="I1123" s="5" t="str">
        <x:v>3.2.2.5</x:v>
      </x:c>
      <x:c r="J1123" s="5" t="str">
        <x:v>Umsatzsteuer – EU, Drittland &amp; Sonderfälle</x:v>
      </x:c>
      <x:c r="K1123" s="5" t="str"/>
      <x:c r="L1123" s="5" t="str">
        <x:v>Umsatzsteuer – EU, Drittland &amp; Sonderfälle</x:v>
      </x:c>
      <x:c r="M1123" s="5" t="n">
        <x:v>138</x:v>
      </x:c>
      <x:c r="N1123" s="5" t="n">
        <x:v>18</x:v>
      </x:c>
      <x:c r="O1123" s="5" t="str"/>
      <x:c r="P1123" s="5" t="str">
        <x:v>Pilot freigegeben</x:v>
      </x:c>
      <x:c r="Q1123" s="5" t="str">
        <x:v>Revision 2 unverändert übernommen</x:v>
      </x:c>
      <x:c r="R1123" s="5" t="str">
        <x:v>Bis wann muss die Umsatzsteuervoranmeldung für den innergemeinschaftlichen Erwerb im März 2002 eingereicht werden?</x:v>
      </x:c>
      <x:c r="S1123" s="5" t="str">
        <x:v>a088692e5f8241e62459dc33ddadf8c5709b7b9248eea0a1aa18f746ed340026</x:v>
      </x:c>
    </x:row>
    <x:row r="1124" ht="36" customHeight="1">
      <x:c r="A1124" s="5" t="str">
        <x:v>ST-0146</x:v>
      </x:c>
      <x:c r="B1124" s="5" t="str">
        <x:v>WQ</x:v>
      </x:c>
      <x:c r="C1124" s="5" t="str">
        <x:v>3</x:v>
      </x:c>
      <x:c r="D1124" s="5" t="str">
        <x:v>Recht und Steuern</x:v>
      </x:c>
      <x:c r="E1124" s="5" t="str">
        <x:v>Steuern</x:v>
      </x:c>
      <x:c r="F1124" s="5" t="str">
        <x:v>ui-wq-steuern-unternehmen</x:v>
      </x:c>
      <x:c r="G1124" s="5" t="str">
        <x:v>Unternehmensbezogene Steuern</x:v>
      </x:c>
      <x:c r="H1124" s="5" t="str">
        <x:v>tr-wq-s09</x:v>
      </x:c>
      <x:c r="I1124" s="5" t="str">
        <x:v>3.2.2.5</x:v>
      </x:c>
      <x:c r="J1124" s="5" t="str">
        <x:v>Umsatzsteuer – EU, Drittland &amp; Sonderfälle</x:v>
      </x:c>
      <x:c r="K1124" s="5" t="str"/>
      <x:c r="L1124" s="5" t="str">
        <x:v>Umsatzsteuer – EU, Drittland &amp; Sonderfälle</x:v>
      </x:c>
      <x:c r="M1124" s="5" t="n">
        <x:v>139</x:v>
      </x:c>
      <x:c r="N1124" s="5" t="n">
        <x:v>19</x:v>
      </x:c>
      <x:c r="O1124" s="5" t="str"/>
      <x:c r="P1124" s="5" t="str">
        <x:v>Pilot freigegeben</x:v>
      </x:c>
      <x:c r="Q1124" s="5" t="str">
        <x:v>Revision 2 unverändert übernommen</x:v>
      </x:c>
      <x:c r="R1124" s="5" t="str">
        <x:v>Wie ist der Erwerb eines Bürostuhls auf einer Fachmesse in Paris durch Unternehmer A unter Verwendung seiner USt-Identifikationsnummer zu beurteilen?</x:v>
      </x:c>
      <x:c r="S1124" s="5" t="str">
        <x:v>a7ea005722b835f30ad873db096efc98069b5a9609c5aeed79d0708e1126b667</x:v>
      </x:c>
    </x:row>
    <x:row r="1125" ht="36" customHeight="1">
      <x:c r="A1125" s="5" t="str">
        <x:v>ST-0147</x:v>
      </x:c>
      <x:c r="B1125" s="5" t="str">
        <x:v>WQ</x:v>
      </x:c>
      <x:c r="C1125" s="5" t="str">
        <x:v>3</x:v>
      </x:c>
      <x:c r="D1125" s="5" t="str">
        <x:v>Recht und Steuern</x:v>
      </x:c>
      <x:c r="E1125" s="5" t="str">
        <x:v>Steuern</x:v>
      </x:c>
      <x:c r="F1125" s="5" t="str">
        <x:v>ui-wq-steuern-unternehmen</x:v>
      </x:c>
      <x:c r="G1125" s="5" t="str">
        <x:v>Unternehmensbezogene Steuern</x:v>
      </x:c>
      <x:c r="H1125" s="5" t="str">
        <x:v>tr-wq-s09</x:v>
      </x:c>
      <x:c r="I1125" s="5" t="str">
        <x:v>3.2.2.5</x:v>
      </x:c>
      <x:c r="J1125" s="5" t="str">
        <x:v>Umsatzsteuer – EU, Drittland &amp; Sonderfälle</x:v>
      </x:c>
      <x:c r="K1125" s="5" t="str"/>
      <x:c r="L1125" s="5" t="str">
        <x:v>Umsatzsteuer – EU, Drittland &amp; Sonderfälle</x:v>
      </x:c>
      <x:c r="M1125" s="5" t="n">
        <x:v>140</x:v>
      </x:c>
      <x:c r="N1125" s="5" t="n">
        <x:v>20</x:v>
      </x:c>
      <x:c r="O1125" s="5" t="str"/>
      <x:c r="P1125" s="5" t="str">
        <x:v>Pilot freigegeben</x:v>
      </x:c>
      <x:c r="Q1125" s="5" t="str">
        <x:v>Revision 2 unverändert übernommen</x:v>
      </x:c>
      <x:c r="R1125" s="5" t="str">
        <x:v>Wie hoch ist die Umsatzsteuer auf den innergemeinschaftlichen Erwerb eines Bürostuhls für 1.000 €?</x:v>
      </x:c>
      <x:c r="S1125" s="5" t="str">
        <x:v>beac1a7fe771b00773fd0b73f1762aae4b439631191acaf068fda310b0cb2aeb</x:v>
      </x:c>
    </x:row>
    <x:row r="1126" ht="36" customHeight="1">
      <x:c r="A1126" s="5" t="str">
        <x:v>ST-0148</x:v>
      </x:c>
      <x:c r="B1126" s="5" t="str">
        <x:v>WQ</x:v>
      </x:c>
      <x:c r="C1126" s="5" t="str">
        <x:v>3</x:v>
      </x:c>
      <x:c r="D1126" s="5" t="str">
        <x:v>Recht und Steuern</x:v>
      </x:c>
      <x:c r="E1126" s="5" t="str">
        <x:v>Steuern</x:v>
      </x:c>
      <x:c r="F1126" s="5" t="str">
        <x:v>ui-wq-steuern-unternehmen</x:v>
      </x:c>
      <x:c r="G1126" s="5" t="str">
        <x:v>Unternehmensbezogene Steuern</x:v>
      </x:c>
      <x:c r="H1126" s="5" t="str">
        <x:v>tr-wq-s09</x:v>
      </x:c>
      <x:c r="I1126" s="5" t="str">
        <x:v>3.2.2.5</x:v>
      </x:c>
      <x:c r="J1126" s="5" t="str">
        <x:v>Umsatzsteuer – EU, Drittland &amp; Sonderfälle</x:v>
      </x:c>
      <x:c r="K1126" s="5" t="str"/>
      <x:c r="L1126" s="5" t="str">
        <x:v>Umsatzsteuer – EU, Drittland &amp; Sonderfälle</x:v>
      </x:c>
      <x:c r="M1126" s="5" t="n">
        <x:v>141</x:v>
      </x:c>
      <x:c r="N1126" s="5" t="n">
        <x:v>21</x:v>
      </x:c>
      <x:c r="O1126" s="5" t="str"/>
      <x:c r="P1126" s="5" t="str">
        <x:v>Pilot freigegeben</x:v>
      </x:c>
      <x:c r="Q1126" s="5" t="str">
        <x:v>Revision 2 unverändert übernommen</x:v>
      </x:c>
      <x:c r="R1126" s="5" t="str">
        <x:v>Ist die Umsatzsteuer aus dem innergemeinschaftlichen Erwerb eines Bürostuhls für Unternehmer A als Vorsteuer abzugsfähig?</x:v>
      </x:c>
      <x:c r="S1126" s="5" t="str">
        <x:v>2586210c7f4a84c4070e9bbe051411807cead889b140241fb9eb319638f4016d</x:v>
      </x:c>
    </x:row>
    <x:row r="1127" ht="36" customHeight="1">
      <x:c r="A1127" s="5" t="str">
        <x:v>ST-0149</x:v>
      </x:c>
      <x:c r="B1127" s="5" t="str">
        <x:v>WQ</x:v>
      </x:c>
      <x:c r="C1127" s="5" t="str">
        <x:v>3</x:v>
      </x:c>
      <x:c r="D1127" s="5" t="str">
        <x:v>Recht und Steuern</x:v>
      </x:c>
      <x:c r="E1127" s="5" t="str">
        <x:v>Steuern</x:v>
      </x:c>
      <x:c r="F1127" s="5" t="str">
        <x:v>ui-wq-steuern-unternehmen</x:v>
      </x:c>
      <x:c r="G1127" s="5" t="str">
        <x:v>Unternehmensbezogene Steuern</x:v>
      </x:c>
      <x:c r="H1127" s="5" t="str">
        <x:v>tr-wq-s09</x:v>
      </x:c>
      <x:c r="I1127" s="5" t="str">
        <x:v>3.2.2.5</x:v>
      </x:c>
      <x:c r="J1127" s="5" t="str">
        <x:v>Umsatzsteuer – EU, Drittland &amp; Sonderfälle</x:v>
      </x:c>
      <x:c r="K1127" s="5" t="str"/>
      <x:c r="L1127" s="5" t="str">
        <x:v>Umsatzsteuer – EU, Drittland &amp; Sonderfälle</x:v>
      </x:c>
      <x:c r="M1127" s="5" t="n">
        <x:v>142</x:v>
      </x:c>
      <x:c r="N1127" s="5" t="n">
        <x:v>22</x:v>
      </x:c>
      <x:c r="O1127" s="5" t="str"/>
      <x:c r="P1127" s="5" t="str">
        <x:v>Pilot freigegeben</x:v>
      </x:c>
      <x:c r="Q1127" s="5" t="str">
        <x:v>Revision 2 unverändert übernommen</x:v>
      </x:c>
      <x:c r="R1127" s="5" t="str">
        <x:v>Wie ist der Erwerb eines Bürostuhls in Paris durch A zu beurteilen, wenn keine USt-Identifikationsnummer verwendet wird und der Stuhl privat genutzt wird?</x:v>
      </x:c>
      <x:c r="S1127" s="5" t="str">
        <x:v>5854c878057c56c725bae4cead9e5850bd019c74311b537496bbbfeff8975f6b</x:v>
      </x:c>
    </x:row>
    <x:row r="1128" ht="36" customHeight="1">
      <x:c r="A1128" s="5" t="str">
        <x:v>ST-0150</x:v>
      </x:c>
      <x:c r="B1128" s="5" t="str">
        <x:v>WQ</x:v>
      </x:c>
      <x:c r="C1128" s="5" t="str">
        <x:v>3</x:v>
      </x:c>
      <x:c r="D1128" s="5" t="str">
        <x:v>Recht und Steuern</x:v>
      </x:c>
      <x:c r="E1128" s="5" t="str">
        <x:v>Steuern</x:v>
      </x:c>
      <x:c r="F1128" s="5" t="str">
        <x:v>ui-wq-steuern-unternehmen</x:v>
      </x:c>
      <x:c r="G1128" s="5" t="str">
        <x:v>Unternehmensbezogene Steuern</x:v>
      </x:c>
      <x:c r="H1128" s="5" t="str">
        <x:v>tr-wq-s09</x:v>
      </x:c>
      <x:c r="I1128" s="5" t="str">
        <x:v>3.2.2.5</x:v>
      </x:c>
      <x:c r="J1128" s="5" t="str">
        <x:v>Umsatzsteuer – EU, Drittland &amp; Sonderfälle</x:v>
      </x:c>
      <x:c r="K1128" s="5" t="str"/>
      <x:c r="L1128" s="5" t="str">
        <x:v>Umsatzsteuer – EU, Drittland &amp; Sonderfälle</x:v>
      </x:c>
      <x:c r="M1128" s="5" t="n">
        <x:v>143</x:v>
      </x:c>
      <x:c r="N1128" s="5" t="n">
        <x:v>23</x:v>
      </x:c>
      <x:c r="O1128" s="5" t="str"/>
      <x:c r="P1128" s="5" t="str">
        <x:v>Pilot freigegeben</x:v>
      </x:c>
      <x:c r="Q1128" s="5" t="str">
        <x:v>Revision 2 unverändert übernommen</x:v>
      </x:c>
      <x:c r="R1128" s="5" t="str">
        <x:v>Wie ist die Verbringung einer Baumaschine aus dem belgischen Betriebsteil nach Düsseldorf umsatzsteuerlich zu beurteilen?</x:v>
      </x:c>
      <x:c r="S1128" s="5" t="str">
        <x:v>0f4c3f5c347f431e5a2fdb5d676877d2304bb3b3fc77bc050baf6e036d6187af</x:v>
      </x:c>
    </x:row>
    <x:row r="1129" ht="36" customHeight="1">
      <x:c r="A1129" s="5" t="str">
        <x:v>ST-0151</x:v>
      </x:c>
      <x:c r="B1129" s="5" t="str">
        <x:v>WQ</x:v>
      </x:c>
      <x:c r="C1129" s="5" t="str">
        <x:v>3</x:v>
      </x:c>
      <x:c r="D1129" s="5" t="str">
        <x:v>Recht und Steuern</x:v>
      </x:c>
      <x:c r="E1129" s="5" t="str">
        <x:v>Steuern</x:v>
      </x:c>
      <x:c r="F1129" s="5" t="str">
        <x:v>ui-wq-steuern-unternehmen</x:v>
      </x:c>
      <x:c r="G1129" s="5" t="str">
        <x:v>Unternehmensbezogene Steuern</x:v>
      </x:c>
      <x:c r="H1129" s="5" t="str">
        <x:v>tr-wq-s09</x:v>
      </x:c>
      <x:c r="I1129" s="5" t="str">
        <x:v>3.2.2.5</x:v>
      </x:c>
      <x:c r="J1129" s="5" t="str">
        <x:v>Umsatzsteuer – EU, Drittland &amp; Sonderfälle</x:v>
      </x:c>
      <x:c r="K1129" s="5" t="str"/>
      <x:c r="L1129" s="5" t="str">
        <x:v>Umsatzsteuer – EU, Drittland &amp; Sonderfälle</x:v>
      </x:c>
      <x:c r="M1129" s="5" t="n">
        <x:v>144</x:v>
      </x:c>
      <x:c r="N1129" s="5" t="n">
        <x:v>24</x:v>
      </x:c>
      <x:c r="O1129" s="5" t="str"/>
      <x:c r="P1129" s="5" t="str">
        <x:v>Pilot freigegeben</x:v>
      </x:c>
      <x:c r="Q1129" s="5" t="str">
        <x:v>Revision 2 unverändert übernommen</x:v>
      </x:c>
      <x:c r="R1129" s="5" t="str">
        <x:v>Ist die Verbringung einer Baumaschine aus Belgien nach Deutschland steuerpflichtig?</x:v>
      </x:c>
      <x:c r="S1129" s="5" t="str">
        <x:v>7e878b550f5c36324ce207723edca9166dd9b36305585254a2909635ab394292</x:v>
      </x:c>
    </x:row>
    <x:row r="1130" ht="36" customHeight="1">
      <x:c r="A1130" s="5" t="str">
        <x:v>ST-0152</x:v>
      </x:c>
      <x:c r="B1130" s="5" t="str">
        <x:v>WQ</x:v>
      </x:c>
      <x:c r="C1130" s="5" t="str">
        <x:v>3</x:v>
      </x:c>
      <x:c r="D1130" s="5" t="str">
        <x:v>Recht und Steuern</x:v>
      </x:c>
      <x:c r="E1130" s="5" t="str">
        <x:v>Steuern</x:v>
      </x:c>
      <x:c r="F1130" s="5" t="str">
        <x:v>ui-wq-steuern-unternehmen</x:v>
      </x:c>
      <x:c r="G1130" s="5" t="str">
        <x:v>Unternehmensbezogene Steuern</x:v>
      </x:c>
      <x:c r="H1130" s="5" t="str">
        <x:v>tr-wq-s09</x:v>
      </x:c>
      <x:c r="I1130" s="5" t="str">
        <x:v>3.2.2.5</x:v>
      </x:c>
      <x:c r="J1130" s="5" t="str">
        <x:v>Umsatzsteuer – EU, Drittland &amp; Sonderfälle</x:v>
      </x:c>
      <x:c r="K1130" s="5" t="str"/>
      <x:c r="L1130" s="5" t="str">
        <x:v>Umsatzsteuer – EU, Drittland &amp; Sonderfälle</x:v>
      </x:c>
      <x:c r="M1130" s="5" t="n">
        <x:v>145</x:v>
      </x:c>
      <x:c r="N1130" s="5" t="n">
        <x:v>25</x:v>
      </x:c>
      <x:c r="O1130" s="5" t="str"/>
      <x:c r="P1130" s="5" t="str">
        <x:v>Pilot freigegeben</x:v>
      </x:c>
      <x:c r="Q1130" s="5" t="str">
        <x:v>Revision 2 unverändert übernommen</x:v>
      </x:c>
      <x:c r="R1130" s="5" t="str">
        <x:v>Wie ist die Lieferung einer Espressomaschine durch einen italienischen Hersteller an einen deutschen Rentner umsatzsteuerlich zu beurteilen?</x:v>
      </x:c>
      <x:c r="S1130" s="5" t="str">
        <x:v>cfebc5faf306de1d1279723d972ef677f9502d3ac4ecfc1b9cba4cd6195ca63d</x:v>
      </x:c>
    </x:row>
    <x:row r="1131" ht="36" customHeight="1">
      <x:c r="A1131" s="5" t="str">
        <x:v>ST-0153</x:v>
      </x:c>
      <x:c r="B1131" s="5" t="str">
        <x:v>WQ</x:v>
      </x:c>
      <x:c r="C1131" s="5" t="str">
        <x:v>3</x:v>
      </x:c>
      <x:c r="D1131" s="5" t="str">
        <x:v>Recht und Steuern</x:v>
      </x:c>
      <x:c r="E1131" s="5" t="str">
        <x:v>Steuern</x:v>
      </x:c>
      <x:c r="F1131" s="5" t="str">
        <x:v>ui-wq-steuern-unternehmen</x:v>
      </x:c>
      <x:c r="G1131" s="5" t="str">
        <x:v>Unternehmensbezogene Steuern</x:v>
      </x:c>
      <x:c r="H1131" s="5" t="str">
        <x:v>tr-wq-s09</x:v>
      </x:c>
      <x:c r="I1131" s="5" t="str">
        <x:v>3.2.2.5</x:v>
      </x:c>
      <x:c r="J1131" s="5" t="str">
        <x:v>Umsatzsteuer – EU, Drittland &amp; Sonderfälle</x:v>
      </x:c>
      <x:c r="K1131" s="5" t="str"/>
      <x:c r="L1131" s="5" t="str">
        <x:v>Umsatzsteuer – EU, Drittland &amp; Sonderfälle</x:v>
      </x:c>
      <x:c r="M1131" s="5" t="n">
        <x:v>146</x:v>
      </x:c>
      <x:c r="N1131" s="5" t="n">
        <x:v>26</x:v>
      </x:c>
      <x:c r="O1131" s="5" t="str"/>
      <x:c r="P1131" s="5" t="str">
        <x:v>Pilot freigegeben</x:v>
      </x:c>
      <x:c r="Q1131" s="5" t="str">
        <x:v>Revision 2 unverändert übernommen</x:v>
      </x:c>
      <x:c r="R1131" s="5" t="str">
        <x:v>Wie ist die Verbringung einer Maschine von Madrid nach Köln durch denselben Unternehmer umsatzsteuerlich zu behandeln?</x:v>
      </x:c>
      <x:c r="S1131" s="5" t="str">
        <x:v>4e6c1ce9850ff21d341055978e7c030202566e9ad9f39b23e36d0b8f1c64072b</x:v>
      </x:c>
    </x:row>
    <x:row r="1132" ht="36" customHeight="1">
      <x:c r="A1132" s="5" t="str">
        <x:v>ST-0154</x:v>
      </x:c>
      <x:c r="B1132" s="5" t="str">
        <x:v>WQ</x:v>
      </x:c>
      <x:c r="C1132" s="5" t="str">
        <x:v>3</x:v>
      </x:c>
      <x:c r="D1132" s="5" t="str">
        <x:v>Recht und Steuern</x:v>
      </x:c>
      <x:c r="E1132" s="5" t="str">
        <x:v>Steuern</x:v>
      </x:c>
      <x:c r="F1132" s="5" t="str">
        <x:v>ui-wq-steuern-unternehmen</x:v>
      </x:c>
      <x:c r="G1132" s="5" t="str">
        <x:v>Unternehmensbezogene Steuern</x:v>
      </x:c>
      <x:c r="H1132" s="5" t="str">
        <x:v>tr-wq-s09</x:v>
      </x:c>
      <x:c r="I1132" s="5" t="str">
        <x:v>3.2.2.5</x:v>
      </x:c>
      <x:c r="J1132" s="5" t="str">
        <x:v>Umsatzsteuer – EU, Drittland &amp; Sonderfälle</x:v>
      </x:c>
      <x:c r="K1132" s="5" t="str"/>
      <x:c r="L1132" s="5" t="str">
        <x:v>Umsatzsteuer – EU, Drittland &amp; Sonderfälle</x:v>
      </x:c>
      <x:c r="M1132" s="5" t="n">
        <x:v>147</x:v>
      </x:c>
      <x:c r="N1132" s="5" t="n">
        <x:v>27</x:v>
      </x:c>
      <x:c r="O1132" s="5" t="str"/>
      <x:c r="P1132" s="5" t="str">
        <x:v>Pilot freigegeben</x:v>
      </x:c>
      <x:c r="Q1132" s="5" t="str">
        <x:v>Revision 2 unverändert übernommen</x:v>
      </x:c>
      <x:c r="R1132" s="5" t="str">
        <x:v>Welche Aussage zur Erwerbsteuer bei der Verbringung einer Maschine von Madrid nach Köln ist richtig?</x:v>
      </x:c>
      <x:c r="S1132" s="5" t="str">
        <x:v>293300dfef8e79006f30f982b9ff672e9f55fceaada5f2f3a6274334507525a8</x:v>
      </x:c>
    </x:row>
    <x:row r="1133" ht="36" customHeight="1">
      <x:c r="A1133" s="5" t="str">
        <x:v>ST-0155</x:v>
      </x:c>
      <x:c r="B1133" s="5" t="str">
        <x:v>WQ</x:v>
      </x:c>
      <x:c r="C1133" s="5" t="str">
        <x:v>3</x:v>
      </x:c>
      <x:c r="D1133" s="5" t="str">
        <x:v>Recht und Steuern</x:v>
      </x:c>
      <x:c r="E1133" s="5" t="str">
        <x:v>Steuern</x:v>
      </x:c>
      <x:c r="F1133" s="5" t="str">
        <x:v>ui-wq-steuern-unternehmen</x:v>
      </x:c>
      <x:c r="G1133" s="5" t="str">
        <x:v>Unternehmensbezogene Steuern</x:v>
      </x:c>
      <x:c r="H1133" s="5" t="str">
        <x:v>tr-wq-s08</x:v>
      </x:c>
      <x:c r="I1133" s="5" t="str">
        <x:v>3.2.2.5</x:v>
      </x:c>
      <x:c r="J1133" s="5" t="str">
        <x:v>Umsatzsteuer – Grundlagen &amp; Vorsteuer</x:v>
      </x:c>
      <x:c r="K1133" s="5" t="str"/>
      <x:c r="L1133" s="5" t="str">
        <x:v>Umsatzsteuer – Grundlagen &amp; Vorsteuer</x:v>
      </x:c>
      <x:c r="M1133" s="5" t="n">
        <x:v>148</x:v>
      </x:c>
      <x:c r="N1133" s="5" t="n">
        <x:v>22</x:v>
      </x:c>
      <x:c r="O1133" s="5" t="str"/>
      <x:c r="P1133" s="5" t="str">
        <x:v>Pilot freigegeben</x:v>
      </x:c>
      <x:c r="Q1133" s="5" t="str">
        <x:v>Revision 2 unverändert übernommen</x:v>
      </x:c>
      <x:c r="R1133" s="5" t="str">
        <x:v>Ordnen Sie die folgenden Umsätze der richtigen Bemessungsgrundlage zu.</x:v>
      </x:c>
      <x:c r="S1133" s="5" t="str">
        <x:v>3fbd5c2e01e0684aef538c84b6f2f3574b2030c6b70ed0f1c57e23e3dafb758c</x:v>
      </x:c>
    </x:row>
    <x:row r="1134" ht="36" customHeight="1">
      <x:c r="A1134" s="5" t="str">
        <x:v>ST-0156</x:v>
      </x:c>
      <x:c r="B1134" s="5" t="str">
        <x:v>WQ</x:v>
      </x:c>
      <x:c r="C1134" s="5" t="str">
        <x:v>3</x:v>
      </x:c>
      <x:c r="D1134" s="5" t="str">
        <x:v>Recht und Steuern</x:v>
      </x:c>
      <x:c r="E1134" s="5" t="str">
        <x:v>Steuern</x:v>
      </x:c>
      <x:c r="F1134" s="5" t="str">
        <x:v>ui-wq-steuern-unternehmen</x:v>
      </x:c>
      <x:c r="G1134" s="5" t="str">
        <x:v>Unternehmensbezogene Steuern</x:v>
      </x:c>
      <x:c r="H1134" s="5" t="str">
        <x:v>tr-wq-s08</x:v>
      </x:c>
      <x:c r="I1134" s="5" t="str">
        <x:v>3.2.2.5</x:v>
      </x:c>
      <x:c r="J1134" s="5" t="str">
        <x:v>Umsatzsteuer – Grundlagen &amp; Vorsteuer</x:v>
      </x:c>
      <x:c r="K1134" s="5" t="str"/>
      <x:c r="L1134" s="5" t="str">
        <x:v>Umsatzsteuer – Grundlagen &amp; Vorsteuer</x:v>
      </x:c>
      <x:c r="M1134" s="5" t="n">
        <x:v>149</x:v>
      </x:c>
      <x:c r="N1134" s="5" t="n">
        <x:v>23</x:v>
      </x:c>
      <x:c r="O1134" s="5" t="str"/>
      <x:c r="P1134" s="5" t="str">
        <x:v>Pilot freigegeben</x:v>
      </x:c>
      <x:c r="Q1134" s="5" t="str">
        <x:v>Revision 2 unverändert übernommen</x:v>
      </x:c>
      <x:c r="R1134" s="5" t="str">
        <x:v>Ist die Rechnung über die Maschine in Höhe von 25.000 € zutreffend?</x:v>
      </x:c>
      <x:c r="S1134" s="5" t="str">
        <x:v>1c5213251ee5550edd0a96edfdfc70997d742937c4f283decfff78f893ab0d2d</x:v>
      </x:c>
    </x:row>
    <x:row r="1135" ht="36" customHeight="1">
      <x:c r="A1135" s="5" t="str">
        <x:v>ST-0157</x:v>
      </x:c>
      <x:c r="B1135" s="5" t="str">
        <x:v>WQ</x:v>
      </x:c>
      <x:c r="C1135" s="5" t="str">
        <x:v>3</x:v>
      </x:c>
      <x:c r="D1135" s="5" t="str">
        <x:v>Recht und Steuern</x:v>
      </x:c>
      <x:c r="E1135" s="5" t="str">
        <x:v>Steuern</x:v>
      </x:c>
      <x:c r="F1135" s="5" t="str">
        <x:v>ui-wq-steuern-unternehmen</x:v>
      </x:c>
      <x:c r="G1135" s="5" t="str">
        <x:v>Unternehmensbezogene Steuern</x:v>
      </x:c>
      <x:c r="H1135" s="5" t="str">
        <x:v>tr-wq-s08</x:v>
      </x:c>
      <x:c r="I1135" s="5" t="str">
        <x:v>3.2.2.5</x:v>
      </x:c>
      <x:c r="J1135" s="5" t="str">
        <x:v>Umsatzsteuer – Grundlagen &amp; Vorsteuer</x:v>
      </x:c>
      <x:c r="K1135" s="5" t="str"/>
      <x:c r="L1135" s="5" t="str">
        <x:v>Umsatzsteuer – Grundlagen &amp; Vorsteuer</x:v>
      </x:c>
      <x:c r="M1135" s="5" t="n">
        <x:v>150</x:v>
      </x:c>
      <x:c r="N1135" s="5" t="n">
        <x:v>24</x:v>
      </x:c>
      <x:c r="O1135" s="5" t="str"/>
      <x:c r="P1135" s="5" t="str">
        <x:v>Pilot freigegeben</x:v>
      </x:c>
      <x:c r="Q1135" s="5" t="str">
        <x:v>Revision 2 unverändert übernommen</x:v>
      </x:c>
      <x:c r="R1135" s="5" t="str">
        <x:v>Wie hoch ist die korrekte Umsatzsteuer auf die Maschinenlieferung einschließlich Nebenkosten?</x:v>
      </x:c>
      <x:c r="S1135" s="5" t="str">
        <x:v>3274ac257dc43540f41af6997051549a901925baf3e6912172017edf02a4da38</x:v>
      </x:c>
    </x:row>
    <x:row r="1136" ht="36" customHeight="1">
      <x:c r="A1136" s="5" t="str">
        <x:v>ST-0158</x:v>
      </x:c>
      <x:c r="B1136" s="5" t="str">
        <x:v>WQ</x:v>
      </x:c>
      <x:c r="C1136" s="5" t="str">
        <x:v>3</x:v>
      </x:c>
      <x:c r="D1136" s="5" t="str">
        <x:v>Recht und Steuern</x:v>
      </x:c>
      <x:c r="E1136" s="5" t="str">
        <x:v>Steuern</x:v>
      </x:c>
      <x:c r="F1136" s="5" t="str">
        <x:v>ui-wq-steuern-unternehmen</x:v>
      </x:c>
      <x:c r="G1136" s="5" t="str">
        <x:v>Unternehmensbezogene Steuern</x:v>
      </x:c>
      <x:c r="H1136" s="5" t="str">
        <x:v>tr-wq-s08</x:v>
      </x:c>
      <x:c r="I1136" s="5" t="str">
        <x:v>3.2.2.5</x:v>
      </x:c>
      <x:c r="J1136" s="5" t="str">
        <x:v>Umsatzsteuer – Grundlagen &amp; Vorsteuer</x:v>
      </x:c>
      <x:c r="K1136" s="5" t="str"/>
      <x:c r="L1136" s="5" t="str">
        <x:v>Umsatzsteuer – Grundlagen &amp; Vorsteuer</x:v>
      </x:c>
      <x:c r="M1136" s="5" t="n">
        <x:v>151</x:v>
      </x:c>
      <x:c r="N1136" s="5" t="n">
        <x:v>25</x:v>
      </x:c>
      <x:c r="O1136" s="5" t="str"/>
      <x:c r="P1136" s="5" t="str">
        <x:v>Pilot freigegeben</x:v>
      </x:c>
      <x:c r="Q1136" s="5" t="str">
        <x:v>Revision 2 unverändert übernommen</x:v>
      </x:c>
      <x:c r="R1136" s="5" t="str">
        <x:v>Wie hoch ist der korrekte Rechnungsendbetrag einschließlich Umsatzsteuer?</x:v>
      </x:c>
      <x:c r="S1136" s="5" t="str">
        <x:v>300b63724faaf50f45ca7e1597e75d7b56458b7171cbf7498894a11bb70bf758</x:v>
      </x:c>
    </x:row>
    <x:row r="1137" ht="36" customHeight="1">
      <x:c r="A1137" s="5" t="str">
        <x:v>ST-0159</x:v>
      </x:c>
      <x:c r="B1137" s="5" t="str">
        <x:v>WQ</x:v>
      </x:c>
      <x:c r="C1137" s="5" t="str">
        <x:v>3</x:v>
      </x:c>
      <x:c r="D1137" s="5" t="str">
        <x:v>Recht und Steuern</x:v>
      </x:c>
      <x:c r="E1137" s="5" t="str">
        <x:v>Steuern</x:v>
      </x:c>
      <x:c r="F1137" s="5" t="str">
        <x:v>ui-wq-steuern-unternehmen</x:v>
      </x:c>
      <x:c r="G1137" s="5" t="str">
        <x:v>Unternehmensbezogene Steuern</x:v>
      </x:c>
      <x:c r="H1137" s="5" t="str">
        <x:v>tr-wq-s08</x:v>
      </x:c>
      <x:c r="I1137" s="5" t="str">
        <x:v>3.2.2.5</x:v>
      </x:c>
      <x:c r="J1137" s="5" t="str">
        <x:v>Umsatzsteuer – Grundlagen &amp; Vorsteuer</x:v>
      </x:c>
      <x:c r="K1137" s="5" t="str"/>
      <x:c r="L1137" s="5" t="str">
        <x:v>Umsatzsteuer – Grundlagen &amp; Vorsteuer</x:v>
      </x:c>
      <x:c r="M1137" s="5" t="n">
        <x:v>152</x:v>
      </x:c>
      <x:c r="N1137" s="5" t="n">
        <x:v>26</x:v>
      </x:c>
      <x:c r="O1137" s="5" t="str"/>
      <x:c r="P1137" s="5" t="str">
        <x:v>Pilot freigegeben</x:v>
      </x:c>
      <x:c r="Q1137" s="5" t="str">
        <x:v>Revision 2 unverändert übernommen</x:v>
      </x:c>
      <x:c r="R1137" s="5" t="str">
        <x:v>Ist Karl Süd bei der Vermietung des Bürogebäudes zum Vorsteuerabzug aus den Herstellungskosten berechtigt?</x:v>
      </x:c>
      <x:c r="S1137" s="5" t="str">
        <x:v>34695cbe61ca827cec383680e6b0723611d0d739b247e9e92f20d18627de90ba</x:v>
      </x:c>
    </x:row>
    <x:row r="1138" ht="36" customHeight="1">
      <x:c r="A1138" s="5" t="str">
        <x:v>ST-0160</x:v>
      </x:c>
      <x:c r="B1138" s="5" t="str">
        <x:v>WQ</x:v>
      </x:c>
      <x:c r="C1138" s="5" t="str">
        <x:v>3</x:v>
      </x:c>
      <x:c r="D1138" s="5" t="str">
        <x:v>Recht und Steuern</x:v>
      </x:c>
      <x:c r="E1138" s="5" t="str">
        <x:v>Steuern</x:v>
      </x:c>
      <x:c r="F1138" s="5" t="str">
        <x:v>ui-wq-steuern-unternehmen</x:v>
      </x:c>
      <x:c r="G1138" s="5" t="str">
        <x:v>Unternehmensbezogene Steuern</x:v>
      </x:c>
      <x:c r="H1138" s="5" t="str">
        <x:v>tr-wq-s08</x:v>
      </x:c>
      <x:c r="I1138" s="5" t="str">
        <x:v>3.2.2.5</x:v>
      </x:c>
      <x:c r="J1138" s="5" t="str">
        <x:v>Umsatzsteuer – Grundlagen &amp; Vorsteuer</x:v>
      </x:c>
      <x:c r="K1138" s="5" t="str"/>
      <x:c r="L1138" s="5" t="str">
        <x:v>Umsatzsteuer – Grundlagen &amp; Vorsteuer</x:v>
      </x:c>
      <x:c r="M1138" s="5" t="n">
        <x:v>153</x:v>
      </x:c>
      <x:c r="N1138" s="5" t="n">
        <x:v>27</x:v>
      </x:c>
      <x:c r="O1138" s="5" t="str"/>
      <x:c r="P1138" s="5" t="str">
        <x:v>Pilot freigegeben</x:v>
      </x:c>
      <x:c r="Q1138" s="5" t="str">
        <x:v>Revision 2 unverändert übernommen</x:v>
      </x:c>
      <x:c r="R1138" s="5" t="str">
        <x:v>Wie hoch ist die Vorsteuer aus den Herstellungskosten des Bürogebäudes?</x:v>
      </x:c>
      <x:c r="S1138" s="5" t="str">
        <x:v>f07b27b2a31fc045a26cfd35c358c324df80f89d99186bd2c2d054219ce3e188</x:v>
      </x:c>
    </x:row>
    <x:row r="1139" ht="36" customHeight="1">
      <x:c r="A1139" s="5" t="str">
        <x:v>ST-0161</x:v>
      </x:c>
      <x:c r="B1139" s="5" t="str">
        <x:v>WQ</x:v>
      </x:c>
      <x:c r="C1139" s="5" t="str">
        <x:v>3</x:v>
      </x:c>
      <x:c r="D1139" s="5" t="str">
        <x:v>Recht und Steuern</x:v>
      </x:c>
      <x:c r="E1139" s="5" t="str">
        <x:v>Steuern</x:v>
      </x:c>
      <x:c r="F1139" s="5" t="str">
        <x:v>ui-wq-steuern-unternehmen</x:v>
      </x:c>
      <x:c r="G1139" s="5" t="str">
        <x:v>Unternehmensbezogene Steuern</x:v>
      </x:c>
      <x:c r="H1139" s="5" t="str">
        <x:v>tr-wq-s08</x:v>
      </x:c>
      <x:c r="I1139" s="5" t="str">
        <x:v>3.2.2.5</x:v>
      </x:c>
      <x:c r="J1139" s="5" t="str">
        <x:v>Umsatzsteuer – Grundlagen &amp; Vorsteuer</x:v>
      </x:c>
      <x:c r="K1139" s="5" t="str"/>
      <x:c r="L1139" s="5" t="str">
        <x:v>Umsatzsteuer – Grundlagen &amp; Vorsteuer</x:v>
      </x:c>
      <x:c r="M1139" s="5" t="n">
        <x:v>154</x:v>
      </x:c>
      <x:c r="N1139" s="5" t="n">
        <x:v>28</x:v>
      </x:c>
      <x:c r="O1139" s="5" t="str"/>
      <x:c r="P1139" s="5" t="str">
        <x:v>Pilot freigegeben</x:v>
      </x:c>
      <x:c r="Q1139" s="5" t="str">
        <x:v>Revision 2 unverändert übernommen</x:v>
      </x:c>
      <x:c r="R1139" s="5" t="str">
        <x:v>Wie hoch ist die monatliche Umsatzsteuer aus den Vermietungsumsätzen von 15.000 € netto?</x:v>
      </x:c>
      <x:c r="S1139" s="5" t="str">
        <x:v>860e5a349f7a94f670e7e1e2ad33a8c18aacd062c223732fce945e56db1e81f5</x:v>
      </x:c>
    </x:row>
    <x:row r="1140" ht="36" customHeight="1">
      <x:c r="A1140" s="5" t="str">
        <x:v>ST-0162</x:v>
      </x:c>
      <x:c r="B1140" s="5" t="str">
        <x:v>WQ</x:v>
      </x:c>
      <x:c r="C1140" s="5" t="str">
        <x:v>3</x:v>
      </x:c>
      <x:c r="D1140" s="5" t="str">
        <x:v>Recht und Steuern</x:v>
      </x:c>
      <x:c r="E1140" s="5" t="str">
        <x:v>Steuern</x:v>
      </x:c>
      <x:c r="F1140" s="5" t="str">
        <x:v>ui-wq-steuern-unternehmen</x:v>
      </x:c>
      <x:c r="G1140" s="5" t="str">
        <x:v>Unternehmensbezogene Steuern</x:v>
      </x:c>
      <x:c r="H1140" s="5" t="str">
        <x:v>tr-wq-s08</x:v>
      </x:c>
      <x:c r="I1140" s="5" t="str">
        <x:v>3.2.2.5</x:v>
      </x:c>
      <x:c r="J1140" s="5" t="str">
        <x:v>Umsatzsteuer – Grundlagen &amp; Vorsteuer</x:v>
      </x:c>
      <x:c r="K1140" s="5" t="str"/>
      <x:c r="L1140" s="5" t="str">
        <x:v>Umsatzsteuer – Grundlagen &amp; Vorsteuer</x:v>
      </x:c>
      <x:c r="M1140" s="5" t="n">
        <x:v>155</x:v>
      </x:c>
      <x:c r="N1140" s="5" t="n">
        <x:v>29</x:v>
      </x:c>
      <x:c r="O1140" s="5" t="str"/>
      <x:c r="P1140" s="5" t="str">
        <x:v>Pilot freigegeben</x:v>
      </x:c>
      <x:c r="Q1140" s="5" t="str">
        <x:v>Revision 2 unverändert übernommen</x:v>
      </x:c>
      <x:c r="R1140" s="5" t="str">
        <x:v>Wie hoch ist die jährliche Umsatzsteuerbelastung aus den Vermietungsumsätzen?</x:v>
      </x:c>
      <x:c r="S1140" s="5" t="str">
        <x:v>0ca7e0b16689008802676f9f2e066eb526a89c04a6745ee7d88c3460afdd9938</x:v>
      </x:c>
    </x:row>
    <x:row r="1141" ht="36" customHeight="1">
      <x:c r="A1141" s="5" t="str">
        <x:v>ST-0163</x:v>
      </x:c>
      <x:c r="B1141" s="5" t="str">
        <x:v>WQ</x:v>
      </x:c>
      <x:c r="C1141" s="5" t="str">
        <x:v>3</x:v>
      </x:c>
      <x:c r="D1141" s="5" t="str">
        <x:v>Recht und Steuern</x:v>
      </x:c>
      <x:c r="E1141" s="5" t="str">
        <x:v>Steuern</x:v>
      </x:c>
      <x:c r="F1141" s="5" t="str">
        <x:v>ui-wq-steuern-unternehmen</x:v>
      </x:c>
      <x:c r="G1141" s="5" t="str">
        <x:v>Unternehmensbezogene Steuern</x:v>
      </x:c>
      <x:c r="H1141" s="5" t="str">
        <x:v>tr-wq-s08</x:v>
      </x:c>
      <x:c r="I1141" s="5" t="str">
        <x:v>3.2.2.5</x:v>
      </x:c>
      <x:c r="J1141" s="5" t="str">
        <x:v>Umsatzsteuer – Grundlagen &amp; Vorsteuer</x:v>
      </x:c>
      <x:c r="K1141" s="5" t="str"/>
      <x:c r="L1141" s="5" t="str">
        <x:v>Umsatzsteuer – Grundlagen &amp; Vorsteuer</x:v>
      </x:c>
      <x:c r="M1141" s="5" t="n">
        <x:v>156</x:v>
      </x:c>
      <x:c r="N1141" s="5" t="n">
        <x:v>30</x:v>
      </x:c>
      <x:c r="O1141" s="5" t="str"/>
      <x:c r="P1141" s="5" t="str">
        <x:v>Pilot freigegeben</x:v>
      </x:c>
      <x:c r="Q1141" s="5" t="str">
        <x:v>Revision 2 unverändert übernommen</x:v>
      </x:c>
      <x:c r="R1141" s="5" t="str">
        <x:v>Warum ist bei der Vermietung eines Wohngebäudes an Unternehmer U kein Verzicht auf die Steuerbefreiung möglich?</x:v>
      </x:c>
      <x:c r="S1141" s="5" t="str">
        <x:v>d648efb34820938e5bfc75283a67caf2bc56fa96af66577f392afa8a021b9908</x:v>
      </x:c>
    </x:row>
    <x:row r="1142" ht="36" customHeight="1">
      <x:c r="A1142" s="5" t="str">
        <x:v>ST-0164</x:v>
      </x:c>
      <x:c r="B1142" s="5" t="str">
        <x:v>WQ</x:v>
      </x:c>
      <x:c r="C1142" s="5" t="str">
        <x:v>3</x:v>
      </x:c>
      <x:c r="D1142" s="5" t="str">
        <x:v>Recht und Steuern</x:v>
      </x:c>
      <x:c r="E1142" s="5" t="str">
        <x:v>Steuern</x:v>
      </x:c>
      <x:c r="F1142" s="5" t="str">
        <x:v>ui-wq-steuern-unternehmen</x:v>
      </x:c>
      <x:c r="G1142" s="5" t="str">
        <x:v>Unternehmensbezogene Steuern</x:v>
      </x:c>
      <x:c r="H1142" s="5" t="str">
        <x:v>tr-wq-s09</x:v>
      </x:c>
      <x:c r="I1142" s="5" t="str">
        <x:v>3.2.2.5</x:v>
      </x:c>
      <x:c r="J1142" s="5" t="str">
        <x:v>Umsatzsteuer – EU, Drittland &amp; Sonderfälle</x:v>
      </x:c>
      <x:c r="K1142" s="5" t="str"/>
      <x:c r="L1142" s="5" t="str">
        <x:v>Umsatzsteuer – EU, Drittland &amp; Sonderfälle</x:v>
      </x:c>
      <x:c r="M1142" s="5" t="n">
        <x:v>157</x:v>
      </x:c>
      <x:c r="N1142" s="5" t="n">
        <x:v>28</x:v>
      </x:c>
      <x:c r="O1142" s="5" t="str"/>
      <x:c r="P1142" s="5" t="str">
        <x:v>Pilot freigegeben</x:v>
      </x:c>
      <x:c r="Q1142" s="5" t="str">
        <x:v>Revision 2 unverändert übernommen</x:v>
      </x:c>
      <x:c r="R1142" s="5" t="str">
        <x:v>Wie ist der Erwerb einer Spezialmaschine aus den Niederlanden durch die Circle Harbor GmbH umsatzsteuerlich zu behandeln?</x:v>
      </x:c>
      <x:c r="S1142" s="5" t="str">
        <x:v>edd501f91c2e3b40399bfb3bd967dd260487754fc069e3f85fcc59ff79b60856</x:v>
      </x:c>
    </x:row>
    <x:row r="1143" ht="36" customHeight="1">
      <x:c r="A1143" s="5" t="str">
        <x:v>ST-0165</x:v>
      </x:c>
      <x:c r="B1143" s="5" t="str">
        <x:v>WQ</x:v>
      </x:c>
      <x:c r="C1143" s="5" t="str">
        <x:v>3</x:v>
      </x:c>
      <x:c r="D1143" s="5" t="str">
        <x:v>Recht und Steuern</x:v>
      </x:c>
      <x:c r="E1143" s="5" t="str">
        <x:v>Steuern</x:v>
      </x:c>
      <x:c r="F1143" s="5" t="str">
        <x:v>ui-wq-steuern-unternehmen</x:v>
      </x:c>
      <x:c r="G1143" s="5" t="str">
        <x:v>Unternehmensbezogene Steuern</x:v>
      </x:c>
      <x:c r="H1143" s="5" t="str">
        <x:v>tr-wq-s09</x:v>
      </x:c>
      <x:c r="I1143" s="5" t="str">
        <x:v>3.2.2.5</x:v>
      </x:c>
      <x:c r="J1143" s="5" t="str">
        <x:v>Umsatzsteuer – EU, Drittland &amp; Sonderfälle</x:v>
      </x:c>
      <x:c r="K1143" s="5" t="str"/>
      <x:c r="L1143" s="5" t="str">
        <x:v>Umsatzsteuer – EU, Drittland &amp; Sonderfälle</x:v>
      </x:c>
      <x:c r="M1143" s="5" t="n">
        <x:v>158</x:v>
      </x:c>
      <x:c r="N1143" s="5" t="n">
        <x:v>29</x:v>
      </x:c>
      <x:c r="O1143" s="5" t="str"/>
      <x:c r="P1143" s="5" t="str">
        <x:v>Pilot freigegeben</x:v>
      </x:c>
      <x:c r="Q1143" s="5" t="str">
        <x:v>Revision 2 unverändert übernommen</x:v>
      </x:c>
      <x:c r="R1143" s="5" t="str">
        <x:v>Wie hoch ist die Umsatzsteuer auf den innergemeinschaftlichen Erwerb einer Maschine für 10.000 €?</x:v>
      </x:c>
      <x:c r="S1143" s="5" t="str">
        <x:v>80676ec2f52bbbd5311ecaa85bc46d15a18fe6e4dc60ac47e4b69a76851fbede</x:v>
      </x:c>
    </x:row>
    <x:row r="1144" ht="36" customHeight="1">
      <x:c r="A1144" s="5" t="str">
        <x:v>ST-0166</x:v>
      </x:c>
      <x:c r="B1144" s="5" t="str">
        <x:v>WQ</x:v>
      </x:c>
      <x:c r="C1144" s="5" t="str">
        <x:v>3</x:v>
      </x:c>
      <x:c r="D1144" s="5" t="str">
        <x:v>Recht und Steuern</x:v>
      </x:c>
      <x:c r="E1144" s="5" t="str">
        <x:v>Steuern</x:v>
      </x:c>
      <x:c r="F1144" s="5" t="str">
        <x:v>ui-wq-steuern-unternehmen</x:v>
      </x:c>
      <x:c r="G1144" s="5" t="str">
        <x:v>Unternehmensbezogene Steuern</x:v>
      </x:c>
      <x:c r="H1144" s="5" t="str">
        <x:v>tr-wq-s09</x:v>
      </x:c>
      <x:c r="I1144" s="5" t="str">
        <x:v>3.2.2.5</x:v>
      </x:c>
      <x:c r="J1144" s="5" t="str">
        <x:v>Umsatzsteuer – EU, Drittland &amp; Sonderfälle</x:v>
      </x:c>
      <x:c r="K1144" s="5" t="str"/>
      <x:c r="L1144" s="5" t="str">
        <x:v>Umsatzsteuer – EU, Drittland &amp; Sonderfälle</x:v>
      </x:c>
      <x:c r="M1144" s="5" t="n">
        <x:v>159</x:v>
      </x:c>
      <x:c r="N1144" s="5" t="n">
        <x:v>30</x:v>
      </x:c>
      <x:c r="O1144" s="5" t="str"/>
      <x:c r="P1144" s="5" t="str">
        <x:v>Pilot freigegeben</x:v>
      </x:c>
      <x:c r="Q1144" s="5" t="str">
        <x:v>Revision 2 unverändert übernommen</x:v>
      </x:c>
      <x:c r="R1144" s="5" t="str">
        <x:v>Ist beim innergemeinschaftlichen Erwerb einer Maschine ein Vorsteuerabzug möglich?</x:v>
      </x:c>
      <x:c r="S1144" s="5" t="str">
        <x:v>aa4f45e4a05db5b834add24a7356069c6d64a8350ed64336ec2d930c09d9b511</x:v>
      </x:c>
    </x:row>
    <x:row r="1145" ht="36" customHeight="1">
      <x:c r="A1145" s="5" t="str">
        <x:v>ST-0167</x:v>
      </x:c>
      <x:c r="B1145" s="5" t="str">
        <x:v>WQ</x:v>
      </x:c>
      <x:c r="C1145" s="5" t="str">
        <x:v>3</x:v>
      </x:c>
      <x:c r="D1145" s="5" t="str">
        <x:v>Recht und Steuern</x:v>
      </x:c>
      <x:c r="E1145" s="5" t="str">
        <x:v>Steuern</x:v>
      </x:c>
      <x:c r="F1145" s="5" t="str">
        <x:v>ui-wq-steuern-unternehmen</x:v>
      </x:c>
      <x:c r="G1145" s="5" t="str">
        <x:v>Unternehmensbezogene Steuern</x:v>
      </x:c>
      <x:c r="H1145" s="5" t="str">
        <x:v>tr-wq-s09</x:v>
      </x:c>
      <x:c r="I1145" s="5" t="str">
        <x:v>3.2.2.5</x:v>
      </x:c>
      <x:c r="J1145" s="5" t="str">
        <x:v>Umsatzsteuer – EU, Drittland &amp; Sonderfälle</x:v>
      </x:c>
      <x:c r="K1145" s="5" t="str"/>
      <x:c r="L1145" s="5" t="str">
        <x:v>Umsatzsteuer – EU, Drittland &amp; Sonderfälle</x:v>
      </x:c>
      <x:c r="M1145" s="5" t="n">
        <x:v>160</x:v>
      </x:c>
      <x:c r="N1145" s="5" t="n">
        <x:v>31</x:v>
      </x:c>
      <x:c r="O1145" s="5" t="str"/>
      <x:c r="P1145" s="5" t="str">
        <x:v>Pilot freigegeben</x:v>
      </x:c>
      <x:c r="Q1145" s="5" t="str">
        <x:v>Revision 2 unverändert übernommen</x:v>
      </x:c>
      <x:c r="R1145" s="5" t="str">
        <x:v>Wie ist die Lieferung einer Großküche von Bonn in die Türkei umsatzsteuerlich zu beurteilen?</x:v>
      </x:c>
      <x:c r="S1145" s="5" t="str">
        <x:v>1b22ee28f75b12d00595c9b532218ce77dbf31181250a2047baccc93d8b4e28c</x:v>
      </x:c>
    </x:row>
    <x:row r="1146" ht="36" customHeight="1">
      <x:c r="A1146" s="5" t="str">
        <x:v>ST-0168</x:v>
      </x:c>
      <x:c r="B1146" s="5" t="str">
        <x:v>WQ</x:v>
      </x:c>
      <x:c r="C1146" s="5" t="str">
        <x:v>3</x:v>
      </x:c>
      <x:c r="D1146" s="5" t="str">
        <x:v>Recht und Steuern</x:v>
      </x:c>
      <x:c r="E1146" s="5" t="str">
        <x:v>Steuern</x:v>
      </x:c>
      <x:c r="F1146" s="5" t="str">
        <x:v>ui-wq-steuern-unternehmen</x:v>
      </x:c>
      <x:c r="G1146" s="5" t="str">
        <x:v>Unternehmensbezogene Steuern</x:v>
      </x:c>
      <x:c r="H1146" s="5" t="str">
        <x:v>tr-wq-s09</x:v>
      </x:c>
      <x:c r="I1146" s="5" t="str">
        <x:v>3.2.2.5</x:v>
      </x:c>
      <x:c r="J1146" s="5" t="str">
        <x:v>Umsatzsteuer – EU, Drittland &amp; Sonderfälle</x:v>
      </x:c>
      <x:c r="K1146" s="5" t="str"/>
      <x:c r="L1146" s="5" t="str">
        <x:v>Umsatzsteuer – EU, Drittland &amp; Sonderfälle</x:v>
      </x:c>
      <x:c r="M1146" s="5" t="n">
        <x:v>161</x:v>
      </x:c>
      <x:c r="N1146" s="5" t="n">
        <x:v>32</x:v>
      </x:c>
      <x:c r="O1146" s="5" t="str"/>
      <x:c r="P1146" s="5" t="str">
        <x:v>Pilot freigegeben</x:v>
      </x:c>
      <x:c r="Q1146" s="5" t="str">
        <x:v>Revision 2 unverändert übernommen</x:v>
      </x:c>
      <x:c r="R1146" s="5" t="str">
        <x:v>Warum ist der Verkauf einer Vorrichtung an einen Kunden aus Litauen in Deutschland steuerpflichtig?</x:v>
      </x:c>
      <x:c r="S1146" s="5" t="str">
        <x:v>7e957853e28c18306a3b0dbc9f1b53d3bda85767dc880fb15c938cfc12e9481a</x:v>
      </x:c>
    </x:row>
    <x:row r="1147" ht="36" customHeight="1">
      <x:c r="A1147" s="5" t="str">
        <x:v>ST-0169</x:v>
      </x:c>
      <x:c r="B1147" s="5" t="str">
        <x:v>WQ</x:v>
      </x:c>
      <x:c r="C1147" s="5" t="str">
        <x:v>3</x:v>
      </x:c>
      <x:c r="D1147" s="5" t="str">
        <x:v>Recht und Steuern</x:v>
      </x:c>
      <x:c r="E1147" s="5" t="str">
        <x:v>Steuern</x:v>
      </x:c>
      <x:c r="F1147" s="5" t="str">
        <x:v>ui-wq-steuern-unternehmen</x:v>
      </x:c>
      <x:c r="G1147" s="5" t="str">
        <x:v>Unternehmensbezogene Steuern</x:v>
      </x:c>
      <x:c r="H1147" s="5" t="str">
        <x:v>tr-wq-s11</x:v>
      </x:c>
      <x:c r="I1147" s="5" t="str">
        <x:v>3.2.2.7</x:v>
      </x:c>
      <x:c r="J1147" s="5" t="str">
        <x:v>Grunderwerbsteuer</x:v>
      </x:c>
      <x:c r="K1147" s="5" t="str"/>
      <x:c r="L1147" s="5" t="str">
        <x:v>Grunderwerb- &amp; Grundsteuer</x:v>
      </x:c>
      <x:c r="M1147" s="5" t="n">
        <x:v>162</x:v>
      </x:c>
      <x:c r="N1147" s="5" t="n">
        <x:v>1</x:v>
      </x:c>
      <x:c r="O1147" s="5" t="str"/>
      <x:c r="P1147" s="5" t="str">
        <x:v>Pilot freigegeben</x:v>
      </x:c>
      <x:c r="Q1147" s="5" t="str">
        <x:v>Revision 2 unverändert übernommen</x:v>
      </x:c>
      <x:c r="R1147" s="5" t="str">
        <x:v>Wie hoch ist die Grunderwerbsteuer beim Kauf eines Grundstücks für 800.000 € bei Übernahme einer Grundschuld von 200.000 € und einem Steuersatz von 5 %?</x:v>
      </x:c>
      <x:c r="S1147" s="5" t="str">
        <x:v>49dcf4357caf021570b844eb5b4231a035699f2b8c1e3dccc612a956323f71f3</x:v>
      </x:c>
    </x:row>
    <x:row r="1148" ht="36" customHeight="1">
      <x:c r="A1148" s="5" t="str">
        <x:v>ST-0170</x:v>
      </x:c>
      <x:c r="B1148" s="5" t="str">
        <x:v>WQ</x:v>
      </x:c>
      <x:c r="C1148" s="5" t="str">
        <x:v>3</x:v>
      </x:c>
      <x:c r="D1148" s="5" t="str">
        <x:v>Recht und Steuern</x:v>
      </x:c>
      <x:c r="E1148" s="5" t="str">
        <x:v>Steuern</x:v>
      </x:c>
      <x:c r="F1148" s="5" t="str">
        <x:v>ui-wq-steuern-unternehmen</x:v>
      </x:c>
      <x:c r="G1148" s="5" t="str">
        <x:v>Unternehmensbezogene Steuern</x:v>
      </x:c>
      <x:c r="H1148" s="5" t="str">
        <x:v>tr-wq-s11</x:v>
      </x:c>
      <x:c r="I1148" s="5" t="str">
        <x:v>3.2.2.7</x:v>
      </x:c>
      <x:c r="J1148" s="5" t="str">
        <x:v>Grunderwerbsteuer</x:v>
      </x:c>
      <x:c r="K1148" s="5" t="str"/>
      <x:c r="L1148" s="5" t="str">
        <x:v>Grunderwerb- &amp; Grundsteuer</x:v>
      </x:c>
      <x:c r="M1148" s="5" t="n">
        <x:v>163</x:v>
      </x:c>
      <x:c r="N1148" s="5" t="n">
        <x:v>2</x:v>
      </x:c>
      <x:c r="O1148" s="5" t="str"/>
      <x:c r="P1148" s="5" t="str">
        <x:v>Pilot freigegeben</x:v>
      </x:c>
      <x:c r="Q1148" s="5" t="str">
        <x:v>Revision 2 unverändert übernommen</x:v>
      </x:c>
      <x:c r="R1148" s="5" t="str">
        <x:v>Ist der Erwerb eines Grundstücks von der Mutter grunderwerbsteuerpflichtig?</x:v>
      </x:c>
      <x:c r="S1148" s="5" t="str">
        <x:v>cf8272534f892f605db8e982b6ef6e65fdc00195cbe28d535d6d7615073da8b9</x:v>
      </x:c>
    </x:row>
    <x:row r="1149" ht="36" customHeight="1">
      <x:c r="A1149" s="5" t="str">
        <x:v>ST-0171</x:v>
      </x:c>
      <x:c r="B1149" s="5" t="str">
        <x:v>WQ</x:v>
      </x:c>
      <x:c r="C1149" s="5" t="str">
        <x:v>3</x:v>
      </x:c>
      <x:c r="D1149" s="5" t="str">
        <x:v>Recht und Steuern</x:v>
      </x:c>
      <x:c r="E1149" s="5" t="str">
        <x:v>Steuern</x:v>
      </x:c>
      <x:c r="F1149" s="5" t="str">
        <x:v>ui-wq-steuern-unternehmen</x:v>
      </x:c>
      <x:c r="G1149" s="5" t="str">
        <x:v>Unternehmensbezogene Steuern</x:v>
      </x:c>
      <x:c r="H1149" s="5" t="str">
        <x:v>tr-wq-s11</x:v>
      </x:c>
      <x:c r="I1149" s="5" t="str">
        <x:v>3.2.2.7</x:v>
      </x:c>
      <x:c r="J1149" s="5" t="str">
        <x:v>Grunderwerbsteuer</x:v>
      </x:c>
      <x:c r="K1149" s="5" t="str"/>
      <x:c r="L1149" s="5" t="str">
        <x:v>Grunderwerb- &amp; Grundsteuer</x:v>
      </x:c>
      <x:c r="M1149" s="5" t="n">
        <x:v>164</x:v>
      </x:c>
      <x:c r="N1149" s="5" t="n">
        <x:v>3</x:v>
      </x:c>
      <x:c r="O1149" s="5" t="str"/>
      <x:c r="P1149" s="5" t="str">
        <x:v>Pilot freigegeben</x:v>
      </x:c>
      <x:c r="Q1149" s="5" t="str">
        <x:v>Revision 2 unverändert übernommen</x:v>
      </x:c>
      <x:c r="R1149" s="5" t="str">
        <x:v>Ist der Erwerb eines Grundstücks von der Ehefrau grunderwerbsteuerpflichtig?</x:v>
      </x:c>
      <x:c r="S1149" s="5" t="str">
        <x:v>342f788a23880b4a4fc793755030478dd5799cd628ee384b0b17c847ef317bb9</x:v>
      </x:c>
    </x:row>
    <x:row r="1150" ht="36" customHeight="1">
      <x:c r="A1150" s="5" t="str">
        <x:v>ST-0172</x:v>
      </x:c>
      <x:c r="B1150" s="5" t="str">
        <x:v>WQ</x:v>
      </x:c>
      <x:c r="C1150" s="5" t="str">
        <x:v>3</x:v>
      </x:c>
      <x:c r="D1150" s="5" t="str">
        <x:v>Recht und Steuern</x:v>
      </x:c>
      <x:c r="E1150" s="5" t="str">
        <x:v>Steuern</x:v>
      </x:c>
      <x:c r="F1150" s="5" t="str">
        <x:v>ui-wq-steuern-unternehmen</x:v>
      </x:c>
      <x:c r="G1150" s="5" t="str">
        <x:v>Unternehmensbezogene Steuern</x:v>
      </x:c>
      <x:c r="H1150" s="5" t="str">
        <x:v>tr-wq-s10</x:v>
      </x:c>
      <x:c r="I1150" s="5" t="str">
        <x:v>3.2.2.6</x:v>
      </x:c>
      <x:c r="J1150" s="5" t="str">
        <x:v>Grundsteuer</x:v>
      </x:c>
      <x:c r="K1150" s="5" t="str"/>
      <x:c r="L1150" s="5" t="str">
        <x:v>Grunderwerb- &amp; Grundsteuer</x:v>
      </x:c>
      <x:c r="M1150" s="5" t="n">
        <x:v>165</x:v>
      </x:c>
      <x:c r="N1150" s="5" t="n">
        <x:v>1</x:v>
      </x:c>
      <x:c r="O1150" s="5" t="str"/>
      <x:c r="P1150" s="5" t="str">
        <x:v>Pilot freigegeben</x:v>
      </x:c>
      <x:c r="Q1150" s="5" t="str">
        <x:v>Revision 2 unverändert übernommen</x:v>
      </x:c>
      <x:c r="R1150" s="5" t="str">
        <x:v>Kreuzen Sie die richtigen Aussagen zur Grundsteuer ab 2025 an.</x:v>
      </x:c>
      <x:c r="S1150" s="5" t="str">
        <x:v>df07832ff3c4446f8220ddd3f7994f953f75d5b98cb5e90ec9fabdc221a71e13</x:v>
      </x:c>
    </x:row>
    <x:row r="1151" ht="36" customHeight="1">
      <x:c r="A1151" s="5" t="str">
        <x:v>ST-0173</x:v>
      </x:c>
      <x:c r="B1151" s="5" t="str">
        <x:v>WQ</x:v>
      </x:c>
      <x:c r="C1151" s="5" t="str">
        <x:v>3</x:v>
      </x:c>
      <x:c r="D1151" s="5" t="str">
        <x:v>Recht und Steuern</x:v>
      </x:c>
      <x:c r="E1151" s="5" t="str">
        <x:v>Steuern</x:v>
      </x:c>
      <x:c r="F1151" s="5" t="str">
        <x:v>ui-wq-steuern-unternehmen</x:v>
      </x:c>
      <x:c r="G1151" s="5" t="str">
        <x:v>Unternehmensbezogene Steuern</x:v>
      </x:c>
      <x:c r="H1151" s="5" t="str">
        <x:v>tr-wq-s12</x:v>
      </x:c>
      <x:c r="I1151" s="5" t="str">
        <x:v>3.2.2.8</x:v>
      </x:c>
      <x:c r="J1151" s="5" t="str">
        <x:v>Erbschaft- &amp; Schenkungsteuer</x:v>
      </x:c>
      <x:c r="K1151" s="5" t="str"/>
      <x:c r="L1151" s="5" t="str">
        <x:v>Erbschaft- &amp; Schenkungsteuer</x:v>
      </x:c>
      <x:c r="M1151" s="5" t="n">
        <x:v>166</x:v>
      </x:c>
      <x:c r="N1151" s="5" t="n">
        <x:v>1</x:v>
      </x:c>
      <x:c r="O1151" s="5" t="str"/>
      <x:c r="P1151" s="5" t="str">
        <x:v>Pilot freigegeben</x:v>
      </x:c>
      <x:c r="Q1151" s="5" t="str">
        <x:v>Revision 2 unverändert übernommen</x:v>
      </x:c>
      <x:c r="R1151" s="5" t="str">
        <x:v>K1 und K2 haben ihren Wohnsitz in Deutschland und erwerben Vermögen aus dem Nachlass von Anton. Wie sind K1 und K2 hinsichtlich der Erbschaftsteuerpflicht zu behandeln und welchen Vermögensumfang erfasst diese Steuerpflicht?</x:v>
      </x:c>
      <x:c r="S1151" s="5" t="str">
        <x:v>c2faed52ea0d5a447c0cab8e889678b30c3f3df077c5100319fd1b03cc5c9ad3</x:v>
      </x:c>
    </x:row>
    <x:row r="1152" ht="36" customHeight="1">
      <x:c r="A1152" s="5" t="str">
        <x:v>ST-0174</x:v>
      </x:c>
      <x:c r="B1152" s="5" t="str">
        <x:v>WQ</x:v>
      </x:c>
      <x:c r="C1152" s="5" t="str">
        <x:v>3</x:v>
      </x:c>
      <x:c r="D1152" s="5" t="str">
        <x:v>Recht und Steuern</x:v>
      </x:c>
      <x:c r="E1152" s="5" t="str">
        <x:v>Steuern</x:v>
      </x:c>
      <x:c r="F1152" s="5" t="str">
        <x:v>ui-wq-steuern-unternehmen</x:v>
      </x:c>
      <x:c r="G1152" s="5" t="str">
        <x:v>Unternehmensbezogene Steuern</x:v>
      </x:c>
      <x:c r="H1152" s="5" t="str">
        <x:v>tr-wq-s12</x:v>
      </x:c>
      <x:c r="I1152" s="5" t="str">
        <x:v>3.2.2.8</x:v>
      </x:c>
      <x:c r="J1152" s="5" t="str">
        <x:v>Erbschaft- &amp; Schenkungsteuer</x:v>
      </x:c>
      <x:c r="K1152" s="5" t="str"/>
      <x:c r="L1152" s="5" t="str">
        <x:v>Erbschaft- &amp; Schenkungsteuer</x:v>
      </x:c>
      <x:c r="M1152" s="5" t="n">
        <x:v>167</x:v>
      </x:c>
      <x:c r="N1152" s="5" t="n">
        <x:v>2</x:v>
      </x:c>
      <x:c r="O1152" s="5" t="str"/>
      <x:c r="P1152" s="5" t="str">
        <x:v>Pilot freigegeben</x:v>
      </x:c>
      <x:c r="Q1152" s="5" t="str">
        <x:v>Revision 2 unverändert übernommen</x:v>
      </x:c>
      <x:c r="R1152" s="5" t="str">
        <x:v>Was bedeutet Erwerb durch Erbanfall?</x:v>
      </x:c>
      <x:c r="S1152" s="5" t="str">
        <x:v>d001c7ba71cac9f08fa2c59ff6a1373d06410e7f7f68b1eabb37d843fc008233</x:v>
      </x:c>
    </x:row>
    <x:row r="1153" ht="36" customHeight="1">
      <x:c r="A1153" s="5" t="str">
        <x:v>ST-0175</x:v>
      </x:c>
      <x:c r="B1153" s="5" t="str">
        <x:v>WQ</x:v>
      </x:c>
      <x:c r="C1153" s="5" t="str">
        <x:v>3</x:v>
      </x:c>
      <x:c r="D1153" s="5" t="str">
        <x:v>Recht und Steuern</x:v>
      </x:c>
      <x:c r="E1153" s="5" t="str">
        <x:v>Steuern</x:v>
      </x:c>
      <x:c r="F1153" s="5" t="str">
        <x:v>ui-wq-steuern-unternehmen</x:v>
      </x:c>
      <x:c r="G1153" s="5" t="str">
        <x:v>Unternehmensbezogene Steuern</x:v>
      </x:c>
      <x:c r="H1153" s="5" t="str">
        <x:v>tr-wq-s12</x:v>
      </x:c>
      <x:c r="I1153" s="5" t="str">
        <x:v>3.2.2.8</x:v>
      </x:c>
      <x:c r="J1153" s="5" t="str">
        <x:v>Erbschaft- &amp; Schenkungsteuer</x:v>
      </x:c>
      <x:c r="K1153" s="5" t="str"/>
      <x:c r="L1153" s="5" t="str">
        <x:v>Erbschaft- &amp; Schenkungsteuer</x:v>
      </x:c>
      <x:c r="M1153" s="5" t="n">
        <x:v>168</x:v>
      </x:c>
      <x:c r="N1153" s="5" t="n">
        <x:v>3</x:v>
      </x:c>
      <x:c r="O1153" s="5" t="str"/>
      <x:c r="P1153" s="5" t="str">
        <x:v>Pilot freigegeben</x:v>
      </x:c>
      <x:c r="Q1153" s="5" t="str">
        <x:v>Revision 2 unverändert übernommen</x:v>
      </x:c>
      <x:c r="R1153" s="5" t="str">
        <x:v>Was bedeutet Erwerb durch Vermächtnis?</x:v>
      </x:c>
      <x:c r="S1153" s="5" t="str">
        <x:v>8d07929c5caf39dc8253ca379f39fb5350b2b9e1c90f28fbbd446d1433ce28e8</x:v>
      </x:c>
    </x:row>
    <x:row r="1154" ht="36" customHeight="1">
      <x:c r="A1154" s="5" t="str">
        <x:v>ST-0176</x:v>
      </x:c>
      <x:c r="B1154" s="5" t="str">
        <x:v>WQ</x:v>
      </x:c>
      <x:c r="C1154" s="5" t="str">
        <x:v>3</x:v>
      </x:c>
      <x:c r="D1154" s="5" t="str">
        <x:v>Recht und Steuern</x:v>
      </x:c>
      <x:c r="E1154" s="5" t="str">
        <x:v>Steuern</x:v>
      </x:c>
      <x:c r="F1154" s="5" t="str">
        <x:v>ui-wq-steuern-unternehmen</x:v>
      </x:c>
      <x:c r="G1154" s="5" t="str">
        <x:v>Unternehmensbezogene Steuern</x:v>
      </x:c>
      <x:c r="H1154" s="5" t="str">
        <x:v>tr-wq-s12</x:v>
      </x:c>
      <x:c r="I1154" s="5" t="str">
        <x:v>3.2.2.8</x:v>
      </x:c>
      <x:c r="J1154" s="5" t="str">
        <x:v>Erbschaft- &amp; Schenkungsteuer</x:v>
      </x:c>
      <x:c r="K1154" s="5" t="str"/>
      <x:c r="L1154" s="5" t="str">
        <x:v>Erbschaft- &amp; Schenkungsteuer</x:v>
      </x:c>
      <x:c r="M1154" s="5" t="n">
        <x:v>169</x:v>
      </x:c>
      <x:c r="N1154" s="5" t="n">
        <x:v>4</x:v>
      </x:c>
      <x:c r="O1154" s="5" t="str"/>
      <x:c r="P1154" s="5" t="str">
        <x:v>Pilot freigegeben</x:v>
      </x:c>
      <x:c r="Q1154" s="5" t="str">
        <x:v>Revision 2 unverändert übernommen</x:v>
      </x:c>
      <x:c r="R1154" s="5" t="str">
        <x:v>Was bedeutet Erwerb aufgrund eines geltend gemachten Pflichtteilsanspruchs?</x:v>
      </x:c>
      <x:c r="S1154" s="5" t="str">
        <x:v>6cd8f91933113d2b20a40ce61756592a20085d0d7a9499297d25b815f0aefb6f</x:v>
      </x:c>
    </x:row>
    <x:row r="1155" ht="36" customHeight="1">
      <x:c r="A1155" s="5" t="str">
        <x:v>ST-0177</x:v>
      </x:c>
      <x:c r="B1155" s="5" t="str">
        <x:v>WQ</x:v>
      </x:c>
      <x:c r="C1155" s="5" t="str">
        <x:v>3</x:v>
      </x:c>
      <x:c r="D1155" s="5" t="str">
        <x:v>Recht und Steuern</x:v>
      </x:c>
      <x:c r="E1155" s="5" t="str">
        <x:v>Steuern</x:v>
      </x:c>
      <x:c r="F1155" s="5" t="str">
        <x:v>ui-wq-steuern-unternehmen</x:v>
      </x:c>
      <x:c r="G1155" s="5" t="str">
        <x:v>Unternehmensbezogene Steuern</x:v>
      </x:c>
      <x:c r="H1155" s="5" t="str">
        <x:v>tr-wq-s12</x:v>
      </x:c>
      <x:c r="I1155" s="5" t="str">
        <x:v>3.2.2.8</x:v>
      </x:c>
      <x:c r="J1155" s="5" t="str">
        <x:v>Erbschaft- &amp; Schenkungsteuer</x:v>
      </x:c>
      <x:c r="K1155" s="5" t="str"/>
      <x:c r="L1155" s="5" t="str">
        <x:v>Erbschaft- &amp; Schenkungsteuer</x:v>
      </x:c>
      <x:c r="M1155" s="5" t="n">
        <x:v>170</x:v>
      </x:c>
      <x:c r="N1155" s="5" t="n">
        <x:v>5</x:v>
      </x:c>
      <x:c r="O1155" s="5" t="str"/>
      <x:c r="P1155" s="5" t="str">
        <x:v>Pilot freigegeben</x:v>
      </x:c>
      <x:c r="Q1155" s="5" t="str">
        <x:v>Revision 2 unverändert übernommen</x:v>
      </x:c>
      <x:c r="R1155" s="5" t="str">
        <x:v>Tragen Sie die Komponenten ein, von denen die Höhe der Erbschaftsteuer abhängig ist.</x:v>
      </x:c>
      <x:c r="S1155" s="5" t="str">
        <x:v>82c8e163bde5ec0cb26d476eb8ce5e114e8f7447b75b61eb5b6cdbe8bbc73828</x:v>
      </x:c>
    </x:row>
    <x:row r="1156" ht="36" customHeight="1">
      <x:c r="A1156" s="5" t="str">
        <x:v>ST-0178</x:v>
      </x:c>
      <x:c r="B1156" s="5" t="str">
        <x:v>WQ</x:v>
      </x:c>
      <x:c r="C1156" s="5" t="str">
        <x:v>3</x:v>
      </x:c>
      <x:c r="D1156" s="5" t="str">
        <x:v>Recht und Steuern</x:v>
      </x:c>
      <x:c r="E1156" s="5" t="str">
        <x:v>Steuern</x:v>
      </x:c>
      <x:c r="F1156" s="5" t="str">
        <x:v>ui-wq-steuern-unternehmen</x:v>
      </x:c>
      <x:c r="G1156" s="5" t="str">
        <x:v>Unternehmensbezogene Steuern</x:v>
      </x:c>
      <x:c r="H1156" s="5" t="str">
        <x:v>tr-wq-s12</x:v>
      </x:c>
      <x:c r="I1156" s="5" t="str">
        <x:v>3.2.2.8</x:v>
      </x:c>
      <x:c r="J1156" s="5" t="str">
        <x:v>Erbschaft- &amp; Schenkungsteuer</x:v>
      </x:c>
      <x:c r="K1156" s="5" t="str"/>
      <x:c r="L1156" s="5" t="str">
        <x:v>Erbschaft- &amp; Schenkungsteuer</x:v>
      </x:c>
      <x:c r="M1156" s="5" t="n">
        <x:v>171</x:v>
      </x:c>
      <x:c r="N1156" s="5" t="n">
        <x:v>6</x:v>
      </x:c>
      <x:c r="O1156" s="5" t="str"/>
      <x:c r="P1156" s="5" t="str">
        <x:v>Pilot freigegeben</x:v>
      </x:c>
      <x:c r="Q1156" s="5" t="str">
        <x:v>Revision 2 unverändert übernommen</x:v>
      </x:c>
      <x:c r="R1156" s="5" t="str">
        <x:v>Wie hoch ist die Schenkungsteuer, wenn eine Tante ihrer Nichte 600.000 € schenkt?</x:v>
      </x:c>
      <x:c r="S1156" s="5" t="str">
        <x:v>9002182834dd52b04a0e20522a94cfb922633ce8be4a42b20a355104e8871793</x:v>
      </x:c>
    </x:row>
    <x:row r="1157" ht="36" customHeight="1">
      <x:c r="A1157" s="5" t="str">
        <x:v>ST-0179</x:v>
      </x:c>
      <x:c r="B1157" s="5" t="str">
        <x:v>WQ</x:v>
      </x:c>
      <x:c r="C1157" s="5" t="str">
        <x:v>3</x:v>
      </x:c>
      <x:c r="D1157" s="5" t="str">
        <x:v>Recht und Steuern</x:v>
      </x:c>
      <x:c r="E1157" s="5" t="str">
        <x:v>Steuern</x:v>
      </x:c>
      <x:c r="F1157" s="5" t="str">
        <x:v>ui-wq-steuern-unternehmen</x:v>
      </x:c>
      <x:c r="G1157" s="5" t="str">
        <x:v>Unternehmensbezogene Steuern</x:v>
      </x:c>
      <x:c r="H1157" s="5" t="str">
        <x:v>tr-wq-s12</x:v>
      </x:c>
      <x:c r="I1157" s="5" t="str">
        <x:v>3.2.2.8</x:v>
      </x:c>
      <x:c r="J1157" s="5" t="str">
        <x:v>Erbschaft- &amp; Schenkungsteuer</x:v>
      </x:c>
      <x:c r="K1157" s="5" t="str"/>
      <x:c r="L1157" s="5" t="str">
        <x:v>Erbschaft- &amp; Schenkungsteuer</x:v>
      </x:c>
      <x:c r="M1157" s="5" t="n">
        <x:v>172</x:v>
      </x:c>
      <x:c r="N1157" s="5" t="n">
        <x:v>7</x:v>
      </x:c>
      <x:c r="O1157" s="5" t="str"/>
      <x:c r="P1157" s="5" t="str">
        <x:v>Pilot freigegeben</x:v>
      </x:c>
      <x:c r="Q1157" s="5" t="str">
        <x:v>Revision 2 unverändert übernommen</x:v>
      </x:c>
      <x:c r="R1157" s="5" t="str">
        <x:v>Innerhalb welcher Frist erneuern sich die Freibeträge bei der Erbschaft- und Schenkungsteuer?</x:v>
      </x:c>
      <x:c r="S1157" s="5" t="str">
        <x:v>c961a7360b21a0bf6e7a1df2ca26eeea1aacc2f43eb438dc6d4ed3d630a4e723</x:v>
      </x:c>
    </x:row>
    <x:row r="1158" ht="36" customHeight="1">
      <x:c r="A1158" s="5" t="str">
        <x:v>ST-0180</x:v>
      </x:c>
      <x:c r="B1158" s="5" t="str">
        <x:v>WQ</x:v>
      </x:c>
      <x:c r="C1158" s="5" t="str">
        <x:v>3</x:v>
      </x:c>
      <x:c r="D1158" s="5" t="str">
        <x:v>Recht und Steuern</x:v>
      </x:c>
      <x:c r="E1158" s="5" t="str">
        <x:v>Steuern</x:v>
      </x:c>
      <x:c r="F1158" s="5" t="str">
        <x:v>ui-wq-steuern-ao</x:v>
      </x:c>
      <x:c r="G1158" s="5" t="str">
        <x:v>Abgabenordnung</x:v>
      </x:c>
      <x:c r="H1158" s="5" t="str">
        <x:v>tr-wq-s13</x:v>
      </x:c>
      <x:c r="I1158" s="5" t="str">
        <x:v>3.2.3</x:v>
      </x:c>
      <x:c r="J1158" s="5" t="str">
        <x:v>Abgabenordnung &amp; Besteuerungsverfahren</x:v>
      </x:c>
      <x:c r="K1158" s="5" t="str"/>
      <x:c r="L1158" s="5" t="str">
        <x:v>Abgabenordnung &amp; Besteuerungsverfahren</x:v>
      </x:c>
      <x:c r="M1158" s="5" t="n">
        <x:v>1</x:v>
      </x:c>
      <x:c r="N1158" s="5" t="n">
        <x:v>1</x:v>
      </x:c>
      <x:c r="O1158" s="5" t="str"/>
      <x:c r="P1158" s="5" t="str">
        <x:v>Pilot freigegeben</x:v>
      </x:c>
      <x:c r="Q1158" s="5" t="str">
        <x:v>Revision 2 unverändert übernommen</x:v>
      </x:c>
      <x:c r="R1158" s="5" t="str">
        <x:v>Wie ist die Abgabenordnung gegliedert?</x:v>
      </x:c>
      <x:c r="S1158" s="5" t="str">
        <x:v>faa3a389c2c651d6a51af90be786f757d76de8120c82d9537f6c253cd1cb7190</x:v>
      </x:c>
    </x:row>
    <x:row r="1159" ht="36" customHeight="1">
      <x:c r="A1159" s="5" t="str">
        <x:v>ST-0181</x:v>
      </x:c>
      <x:c r="B1159" s="5" t="str">
        <x:v>WQ</x:v>
      </x:c>
      <x:c r="C1159" s="5" t="str">
        <x:v>3</x:v>
      </x:c>
      <x:c r="D1159" s="5" t="str">
        <x:v>Recht und Steuern</x:v>
      </x:c>
      <x:c r="E1159" s="5" t="str">
        <x:v>Steuern</x:v>
      </x:c>
      <x:c r="F1159" s="5" t="str">
        <x:v>ui-wq-steuern-ao</x:v>
      </x:c>
      <x:c r="G1159" s="5" t="str">
        <x:v>Abgabenordnung</x:v>
      </x:c>
      <x:c r="H1159" s="5" t="str">
        <x:v>tr-wq-s13</x:v>
      </x:c>
      <x:c r="I1159" s="5" t="str">
        <x:v>3.2.3</x:v>
      </x:c>
      <x:c r="J1159" s="5" t="str">
        <x:v>Abgabenordnung &amp; Besteuerungsverfahren</x:v>
      </x:c>
      <x:c r="K1159" s="5" t="str"/>
      <x:c r="L1159" s="5" t="str">
        <x:v>Abgabenordnung &amp; Besteuerungsverfahren</x:v>
      </x:c>
      <x:c r="M1159" s="5" t="n">
        <x:v>2</x:v>
      </x:c>
      <x:c r="N1159" s="5" t="n">
        <x:v>2</x:v>
      </x:c>
      <x:c r="O1159" s="5" t="str"/>
      <x:c r="P1159" s="5" t="str">
        <x:v>Pilot freigegeben</x:v>
      </x:c>
      <x:c r="Q1159" s="5" t="str">
        <x:v>Revision 2 unverändert übernommen</x:v>
      </x:c>
      <x:c r="R1159" s="5" t="str">
        <x:v>Welche Form muss ein Steuerbescheid haben?</x:v>
      </x:c>
      <x:c r="S1159" s="5" t="str">
        <x:v>f28dc5080b053d5026d91f40dcaea694687df9abe09f49421489fded18975c50</x:v>
      </x:c>
    </x:row>
    <x:row r="1160" ht="36" customHeight="1">
      <x:c r="A1160" s="5" t="str">
        <x:v>ST-0182</x:v>
      </x:c>
      <x:c r="B1160" s="5" t="str">
        <x:v>WQ</x:v>
      </x:c>
      <x:c r="C1160" s="5" t="str">
        <x:v>3</x:v>
      </x:c>
      <x:c r="D1160" s="5" t="str">
        <x:v>Recht und Steuern</x:v>
      </x:c>
      <x:c r="E1160" s="5" t="str">
        <x:v>Steuern</x:v>
      </x:c>
      <x:c r="F1160" s="5" t="str">
        <x:v>ui-wq-steuern-ao</x:v>
      </x:c>
      <x:c r="G1160" s="5" t="str">
        <x:v>Abgabenordnung</x:v>
      </x:c>
      <x:c r="H1160" s="5" t="str">
        <x:v>tr-wq-s13</x:v>
      </x:c>
      <x:c r="I1160" s="5" t="str">
        <x:v>3.2.3</x:v>
      </x:c>
      <x:c r="J1160" s="5" t="str">
        <x:v>Abgabenordnung &amp; Besteuerungsverfahren</x:v>
      </x:c>
      <x:c r="K1160" s="5" t="str"/>
      <x:c r="L1160" s="5" t="str">
        <x:v>Abgabenordnung &amp; Besteuerungsverfahren</x:v>
      </x:c>
      <x:c r="M1160" s="5" t="n">
        <x:v>3</x:v>
      </x:c>
      <x:c r="N1160" s="5" t="n">
        <x:v>3</x:v>
      </x:c>
      <x:c r="O1160" s="5" t="str"/>
      <x:c r="P1160" s="5" t="str">
        <x:v>Pilot freigegeben</x:v>
      </x:c>
      <x:c r="Q1160" s="5" t="str">
        <x:v>Revision 2 unverändert übernommen</x:v>
      </x:c>
      <x:c r="R1160" s="5" t="str">
        <x:v>Handelt es sich bei den folgenden Fällen um einen Verwaltungsakt?</x:v>
      </x:c>
      <x:c r="S1160" s="5" t="str">
        <x:v>7aea206dc00bb7c03f09e7fef8ff2dff523fb1b9f9557627cdff528f356770bb</x:v>
      </x:c>
    </x:row>
    <x:row r="1161" ht="36" customHeight="1">
      <x:c r="A1161" s="5" t="str">
        <x:v>ST-0183</x:v>
      </x:c>
      <x:c r="B1161" s="5" t="str">
        <x:v>WQ</x:v>
      </x:c>
      <x:c r="C1161" s="5" t="str">
        <x:v>3</x:v>
      </x:c>
      <x:c r="D1161" s="5" t="str">
        <x:v>Recht und Steuern</x:v>
      </x:c>
      <x:c r="E1161" s="5" t="str">
        <x:v>Steuern</x:v>
      </x:c>
      <x:c r="F1161" s="5" t="str">
        <x:v>ui-wq-steuern-ao</x:v>
      </x:c>
      <x:c r="G1161" s="5" t="str">
        <x:v>Abgabenordnung</x:v>
      </x:c>
      <x:c r="H1161" s="5" t="str">
        <x:v>tr-wq-s13</x:v>
      </x:c>
      <x:c r="I1161" s="5" t="str">
        <x:v>3.2.3</x:v>
      </x:c>
      <x:c r="J1161" s="5" t="str">
        <x:v>Abgabenordnung &amp; Besteuerungsverfahren</x:v>
      </x:c>
      <x:c r="K1161" s="5" t="str"/>
      <x:c r="L1161" s="5" t="str">
        <x:v>Abgabenordnung &amp; Besteuerungsverfahren</x:v>
      </x:c>
      <x:c r="M1161" s="5" t="n">
        <x:v>4</x:v>
      </x:c>
      <x:c r="N1161" s="5" t="n">
        <x:v>4</x:v>
      </x:c>
      <x:c r="O1161" s="5" t="str"/>
      <x:c r="P1161" s="5" t="str">
        <x:v>Pilot freigegeben</x:v>
      </x:c>
      <x:c r="Q1161" s="5" t="str">
        <x:v>Revision 2 unverändert übernommen</x:v>
      </x:c>
      <x:c r="R1161" s="5" t="str">
        <x:v>Bringen Sie die Ablaufstufen des Besteuerungsverfahrens in die richtige Reihenfolge und ordnen Sie die Verfahrensarten zu.</x:v>
      </x:c>
      <x:c r="S1161" s="5" t="str">
        <x:v>53bb149eabc061e47947d227d7842ad1c708e4f02d1a3cac92f53422c02965a8</x:v>
      </x:c>
    </x:row>
    <x:row r="1162" ht="36" customHeight="1">
      <x:c r="A1162" s="5" t="str">
        <x:v>ST-0184</x:v>
      </x:c>
      <x:c r="B1162" s="5" t="str">
        <x:v>WQ</x:v>
      </x:c>
      <x:c r="C1162" s="5" t="str">
        <x:v>3</x:v>
      </x:c>
      <x:c r="D1162" s="5" t="str">
        <x:v>Recht und Steuern</x:v>
      </x:c>
      <x:c r="E1162" s="5" t="str">
        <x:v>Steuern</x:v>
      </x:c>
      <x:c r="F1162" s="5" t="str">
        <x:v>ui-wq-steuern-ao</x:v>
      </x:c>
      <x:c r="G1162" s="5" t="str">
        <x:v>Abgabenordnung</x:v>
      </x:c>
      <x:c r="H1162" s="5" t="str">
        <x:v>tr-wq-s13</x:v>
      </x:c>
      <x:c r="I1162" s="5" t="str">
        <x:v>3.2.3</x:v>
      </x:c>
      <x:c r="J1162" s="5" t="str">
        <x:v>Abgabenordnung &amp; Besteuerungsverfahren</x:v>
      </x:c>
      <x:c r="K1162" s="5" t="str"/>
      <x:c r="L1162" s="5" t="str">
        <x:v>Abgabenordnung &amp; Besteuerungsverfahren</x:v>
      </x:c>
      <x:c r="M1162" s="5" t="n">
        <x:v>5</x:v>
      </x:c>
      <x:c r="N1162" s="5" t="n">
        <x:v>5</x:v>
      </x:c>
      <x:c r="O1162" s="5" t="str"/>
      <x:c r="P1162" s="5" t="str">
        <x:v>Pilot freigegeben</x:v>
      </x:c>
      <x:c r="Q1162" s="5" t="str">
        <x:v>Revision 2 unverändert übernommen</x:v>
      </x:c>
      <x:c r="R1162" s="5" t="str">
        <x:v>Ein Einkommensteuerbescheid wird am 11.05.2026 im Inland zur Post gegeben. Wann gilt er bei Anwendung der gesetzlichen Bekanntgabefiktion grundsätzlich als bekannt gegeben und wann endet die einmonatige Einspruchsfrist?</x:v>
      </x:c>
      <x:c r="S1162" s="5" t="str">
        <x:v>f9a309490369f4339ec9e88353b54c54332f60cc868e56187b7123db50c454ee</x:v>
      </x:c>
    </x:row>
    <x:row r="1163" ht="36" customHeight="1">
      <x:c r="A1163" s="5" t="str">
        <x:v>ST-0185</x:v>
      </x:c>
      <x:c r="B1163" s="5" t="str">
        <x:v>WQ</x:v>
      </x:c>
      <x:c r="C1163" s="5" t="str">
        <x:v>3</x:v>
      </x:c>
      <x:c r="D1163" s="5" t="str">
        <x:v>Recht und Steuern</x:v>
      </x:c>
      <x:c r="E1163" s="5" t="str">
        <x:v>Steuern</x:v>
      </x:c>
      <x:c r="F1163" s="5" t="str">
        <x:v>ui-wq-steuern-ao</x:v>
      </x:c>
      <x:c r="G1163" s="5" t="str">
        <x:v>Abgabenordnung</x:v>
      </x:c>
      <x:c r="H1163" s="5" t="str">
        <x:v>tr-wq-s13</x:v>
      </x:c>
      <x:c r="I1163" s="5" t="str">
        <x:v>3.2.3</x:v>
      </x:c>
      <x:c r="J1163" s="5" t="str">
        <x:v>Abgabenordnung &amp; Besteuerungsverfahren</x:v>
      </x:c>
      <x:c r="K1163" s="5" t="str"/>
      <x:c r="L1163" s="5" t="str">
        <x:v>Abgabenordnung &amp; Besteuerungsverfahren</x:v>
      </x:c>
      <x:c r="M1163" s="5" t="n">
        <x:v>6</x:v>
      </x:c>
      <x:c r="N1163" s="5" t="n">
        <x:v>6</x:v>
      </x:c>
      <x:c r="O1163" s="5" t="str"/>
      <x:c r="P1163" s="5" t="str">
        <x:v>Pilot freigegeben</x:v>
      </x:c>
      <x:c r="Q1163" s="5" t="str">
        <x:v>Revision 2 unverändert übernommen</x:v>
      </x:c>
      <x:c r="R1163" s="5" t="str">
        <x:v>Kann durch die Einlegung eines Einspruchs die Vollziehung eines Steuerbescheides automatisch ausgesetzt werden?</x:v>
      </x:c>
      <x:c r="S1163" s="5" t="str">
        <x:v>e37d05c3e17f4d08c2a3547b22f1a9bd05ab98cb2e1567d577d754763512af8e</x:v>
      </x:c>
    </x:row>
    <x:row r="1164" ht="36" customHeight="1">
      <x:c r="A1164" s="5" t="str">
        <x:v>ST-0186</x:v>
      </x:c>
      <x:c r="B1164" s="5" t="str">
        <x:v>WQ</x:v>
      </x:c>
      <x:c r="C1164" s="5" t="str">
        <x:v>3</x:v>
      </x:c>
      <x:c r="D1164" s="5" t="str">
        <x:v>Recht und Steuern</x:v>
      </x:c>
      <x:c r="E1164" s="5" t="str">
        <x:v>Steuern</x:v>
      </x:c>
      <x:c r="F1164" s="5" t="str">
        <x:v>ui-wq-steuern-ao</x:v>
      </x:c>
      <x:c r="G1164" s="5" t="str">
        <x:v>Abgabenordnung</x:v>
      </x:c>
      <x:c r="H1164" s="5" t="str">
        <x:v>tr-wq-s13</x:v>
      </x:c>
      <x:c r="I1164" s="5" t="str">
        <x:v>3.2.3</x:v>
      </x:c>
      <x:c r="J1164" s="5" t="str">
        <x:v>Abgabenordnung &amp; Besteuerungsverfahren</x:v>
      </x:c>
      <x:c r="K1164" s="5" t="str"/>
      <x:c r="L1164" s="5" t="str">
        <x:v>Abgabenordnung &amp; Besteuerungsverfahren</x:v>
      </x:c>
      <x:c r="M1164" s="5" t="n">
        <x:v>7</x:v>
      </x:c>
      <x:c r="N1164" s="5" t="n">
        <x:v>7</x:v>
      </x:c>
      <x:c r="O1164" s="5" t="str"/>
      <x:c r="P1164" s="5" t="str">
        <x:v>Pilot freigegeben</x:v>
      </x:c>
      <x:c r="Q1164" s="5" t="str">
        <x:v>Revision 2 unverändert übernommen</x:v>
      </x:c>
      <x:c r="R1164" s="5" t="str">
        <x:v>Welche Rechtsmittel stehen nach einem fehlerhaften Steuerbescheid zur Verfügung?</x:v>
      </x:c>
      <x:c r="S1164" s="5" t="str">
        <x:v>f2a03a824164a5c11efc8e5a41c6ac9b801172c1a25007df3c7f9cfec89f4f80</x:v>
      </x:c>
    </x:row>
    <x:row r="1165" ht="36" customHeight="1">
      <x:c r="A1165" s="5" t="str">
        <x:v>ST-0187</x:v>
      </x:c>
      <x:c r="B1165" s="5" t="str">
        <x:v>WQ</x:v>
      </x:c>
      <x:c r="C1165" s="5" t="str">
        <x:v>3</x:v>
      </x:c>
      <x:c r="D1165" s="5" t="str">
        <x:v>Recht und Steuern</x:v>
      </x:c>
      <x:c r="E1165" s="5" t="str">
        <x:v>Steuern</x:v>
      </x:c>
      <x:c r="F1165" s="5" t="str">
        <x:v>ui-wq-steuern-ao</x:v>
      </x:c>
      <x:c r="G1165" s="5" t="str">
        <x:v>Abgabenordnung</x:v>
      </x:c>
      <x:c r="H1165" s="5" t="str">
        <x:v>tr-wq-s13</x:v>
      </x:c>
      <x:c r="I1165" s="5" t="str">
        <x:v>3.2.3</x:v>
      </x:c>
      <x:c r="J1165" s="5" t="str">
        <x:v>Abgabenordnung &amp; Besteuerungsverfahren</x:v>
      </x:c>
      <x:c r="K1165" s="5" t="str"/>
      <x:c r="L1165" s="5" t="str">
        <x:v>Abgabenordnung &amp; Besteuerungsverfahren</x:v>
      </x:c>
      <x:c r="M1165" s="5" t="n">
        <x:v>8</x:v>
      </x:c>
      <x:c r="N1165" s="5" t="n">
        <x:v>8</x:v>
      </x:c>
      <x:c r="O1165" s="5" t="str"/>
      <x:c r="P1165" s="5" t="str">
        <x:v>Pilot freigegeben</x:v>
      </x:c>
      <x:c r="Q1165" s="5" t="str">
        <x:v>Revision 2 unverändert übernommen</x:v>
      </x:c>
      <x:c r="R1165" s="5" t="str">
        <x:v>Darf das Finanzamt die Angaben eines Gewerbetreibenden nachträglich im Betrieb überprüfen?</x:v>
      </x:c>
      <x:c r="S1165" s="5" t="str">
        <x:v>d4e07d94718e06897bccc98f3f6247679fdb3650221d1735caebe74ab032aaa7</x:v>
      </x:c>
    </x:row>
    <x:row r="1166" ht="36" customHeight="1">
      <x:c r="A1166" s="5" t="str">
        <x:v>ST-0188</x:v>
      </x:c>
      <x:c r="B1166" s="5" t="str">
        <x:v>WQ</x:v>
      </x:c>
      <x:c r="C1166" s="5" t="str">
        <x:v>3</x:v>
      </x:c>
      <x:c r="D1166" s="5" t="str">
        <x:v>Recht und Steuern</x:v>
      </x:c>
      <x:c r="E1166" s="5" t="str">
        <x:v>Steuern</x:v>
      </x:c>
      <x:c r="F1166" s="5" t="str">
        <x:v>ui-wq-steuern-ao</x:v>
      </x:c>
      <x:c r="G1166" s="5" t="str">
        <x:v>Abgabenordnung</x:v>
      </x:c>
      <x:c r="H1166" s="5" t="str">
        <x:v>tr-wq-s13</x:v>
      </x:c>
      <x:c r="I1166" s="5" t="str">
        <x:v>3.2.3</x:v>
      </x:c>
      <x:c r="J1166" s="5" t="str">
        <x:v>Abgabenordnung &amp; Besteuerungsverfahren</x:v>
      </x:c>
      <x:c r="K1166" s="5" t="str"/>
      <x:c r="L1166" s="5" t="str">
        <x:v>Abgabenordnung &amp; Besteuerungsverfahren</x:v>
      </x:c>
      <x:c r="M1166" s="5" t="n">
        <x:v>9</x:v>
      </x:c>
      <x:c r="N1166" s="5" t="n">
        <x:v>9</x:v>
      </x:c>
      <x:c r="O1166" s="5" t="str"/>
      <x:c r="P1166" s="5" t="str">
        <x:v>Pilot freigegeben</x:v>
      </x:c>
      <x:c r="Q1166" s="5" t="str">
        <x:v>Revision 2 unverändert übernommen</x:v>
      </x:c>
      <x:c r="R1166" s="5" t="str">
        <x:v>Welche Unterlagen müssen Unternehmer zusammen mit ESt- und USt-Erklärungen einreichen?</x:v>
      </x:c>
      <x:c r="S1166" s="5" t="str">
        <x:v>31c95192b1dc0fb9264ac8a9f6f445000f1c9e3b6e9e5e40f2fa386966aee835</x:v>
      </x:c>
    </x:row>
    <x:row r="1167" ht="36" customHeight="1">
      <x:c r="A1167" s="5" t="str">
        <x:v>ST-0189</x:v>
      </x:c>
      <x:c r="B1167" s="5" t="str">
        <x:v>WQ</x:v>
      </x:c>
      <x:c r="C1167" s="5" t="str">
        <x:v>3</x:v>
      </x:c>
      <x:c r="D1167" s="5" t="str">
        <x:v>Recht und Steuern</x:v>
      </x:c>
      <x:c r="E1167" s="5" t="str">
        <x:v>Steuern</x:v>
      </x:c>
      <x:c r="F1167" s="5" t="str">
        <x:v>ui-wq-steuern-ao</x:v>
      </x:c>
      <x:c r="G1167" s="5" t="str">
        <x:v>Abgabenordnung</x:v>
      </x:c>
      <x:c r="H1167" s="5" t="str">
        <x:v>tr-wq-s13</x:v>
      </x:c>
      <x:c r="I1167" s="5" t="str">
        <x:v>3.2.3</x:v>
      </x:c>
      <x:c r="J1167" s="5" t="str">
        <x:v>Abgabenordnung &amp; Besteuerungsverfahren</x:v>
      </x:c>
      <x:c r="K1167" s="5" t="str"/>
      <x:c r="L1167" s="5" t="str">
        <x:v>Abgabenordnung &amp; Besteuerungsverfahren</x:v>
      </x:c>
      <x:c r="M1167" s="5" t="n">
        <x:v>10</x:v>
      </x:c>
      <x:c r="N1167" s="5" t="n">
        <x:v>10</x:v>
      </x:c>
      <x:c r="O1167" s="5" t="str"/>
      <x:c r="P1167" s="5" t="str">
        <x:v>Pilot freigegeben</x:v>
      </x:c>
      <x:c r="Q1167" s="5" t="str">
        <x:v>Revision 2 unverändert übernommen</x:v>
      </x:c>
      <x:c r="R1167" s="5" t="str">
        <x:v>Bringen Sie die Fristen in die richtige Reihenfolge und nennen Sie die Dauer.</x:v>
      </x:c>
      <x:c r="S1167" s="5" t="str">
        <x:v>c3572297da973946f5f45d1117e98daba1aef677246ade9369f50322cbeab3ac</x:v>
      </x:c>
    </x:row>
    <x:row r="1168" ht="36" customHeight="1">
      <x:c r="A1168" s="5" t="str">
        <x:v>ST-0190</x:v>
      </x:c>
      <x:c r="B1168" s="5" t="str">
        <x:v>WQ</x:v>
      </x:c>
      <x:c r="C1168" s="5" t="str">
        <x:v>3</x:v>
      </x:c>
      <x:c r="D1168" s="5" t="str">
        <x:v>Recht und Steuern</x:v>
      </x:c>
      <x:c r="E1168" s="5" t="str">
        <x:v>Steuern</x:v>
      </x:c>
      <x:c r="F1168" s="5" t="str">
        <x:v>ui-wq-steuern-ao</x:v>
      </x:c>
      <x:c r="G1168" s="5" t="str">
        <x:v>Abgabenordnung</x:v>
      </x:c>
      <x:c r="H1168" s="5" t="str">
        <x:v>tr-wq-s13</x:v>
      </x:c>
      <x:c r="I1168" s="5" t="str">
        <x:v>3.2.3</x:v>
      </x:c>
      <x:c r="J1168" s="5" t="str">
        <x:v>Abgabenordnung &amp; Besteuerungsverfahren</x:v>
      </x:c>
      <x:c r="K1168" s="5" t="str"/>
      <x:c r="L1168" s="5" t="str">
        <x:v>Abgabenordnung &amp; Besteuerungsverfahren</x:v>
      </x:c>
      <x:c r="M1168" s="5" t="n">
        <x:v>11</x:v>
      </x:c>
      <x:c r="N1168" s="5" t="n">
        <x:v>11</x:v>
      </x:c>
      <x:c r="O1168" s="5" t="str"/>
      <x:c r="P1168" s="5" t="str">
        <x:v>Pilot freigegeben</x:v>
      </x:c>
      <x:c r="Q1168" s="5" t="str">
        <x:v>Revision 2 unverändert übernommen</x:v>
      </x:c>
      <x:c r="R1168" s="5" t="str">
        <x:v>Welcher Frist ist der Begriff „Wiedereinsetzungsfrist“ zuzuordnen?</x:v>
      </x:c>
      <x:c r="S1168" s="5" t="str">
        <x:v>b3df13ba4330428e5a34bf479139ff3ed806efffb41c95978645cf7f8193fe0c</x:v>
      </x:c>
    </x:row>
    <x:row r="1169" ht="36" customHeight="1">
      <x:c r="A1169" s="5" t="str">
        <x:v>ST-0191</x:v>
      </x:c>
      <x:c r="B1169" s="5" t="str">
        <x:v>WQ</x:v>
      </x:c>
      <x:c r="C1169" s="5" t="str">
        <x:v>3</x:v>
      </x:c>
      <x:c r="D1169" s="5" t="str">
        <x:v>Recht und Steuern</x:v>
      </x:c>
      <x:c r="E1169" s="5" t="str">
        <x:v>Steuern</x:v>
      </x:c>
      <x:c r="F1169" s="5" t="str">
        <x:v>ui-wq-steuern-ao</x:v>
      </x:c>
      <x:c r="G1169" s="5" t="str">
        <x:v>Abgabenordnung</x:v>
      </x:c>
      <x:c r="H1169" s="5" t="str">
        <x:v>tr-wq-s13</x:v>
      </x:c>
      <x:c r="I1169" s="5" t="str">
        <x:v>3.2.3</x:v>
      </x:c>
      <x:c r="J1169" s="5" t="str">
        <x:v>Abgabenordnung &amp; Besteuerungsverfahren</x:v>
      </x:c>
      <x:c r="K1169" s="5" t="str"/>
      <x:c r="L1169" s="5" t="str">
        <x:v>Abgabenordnung &amp; Besteuerungsverfahren</x:v>
      </x:c>
      <x:c r="M1169" s="5" t="n">
        <x:v>12</x:v>
      </x:c>
      <x:c r="N1169" s="5" t="n">
        <x:v>12</x:v>
      </x:c>
      <x:c r="O1169" s="5" t="str"/>
      <x:c r="P1169" s="5" t="str">
        <x:v>Pilot freigegeben</x:v>
      </x:c>
      <x:c r="Q1169" s="5" t="str">
        <x:v>Revision 2 unverändert übernommen</x:v>
      </x:c>
      <x:c r="R1169" s="5" t="str">
        <x:v>Bis wann hätte Steuerbürger A seine Einkommensteuererklärung 00 abgeben müssen?</x:v>
      </x:c>
      <x:c r="S1169" s="5" t="str">
        <x:v>d6413fbf84562b5eb16e1151ff16ffa8744a69a0592d6a7384b4f9d6be08a96e</x:v>
      </x:c>
    </x:row>
    <x:row r="1170" ht="36" customHeight="1">
      <x:c r="A1170" s="5" t="str">
        <x:v>ST-0192</x:v>
      </x:c>
      <x:c r="B1170" s="5" t="str">
        <x:v>WQ</x:v>
      </x:c>
      <x:c r="C1170" s="5" t="str">
        <x:v>3</x:v>
      </x:c>
      <x:c r="D1170" s="5" t="str">
        <x:v>Recht und Steuern</x:v>
      </x:c>
      <x:c r="E1170" s="5" t="str">
        <x:v>Steuern</x:v>
      </x:c>
      <x:c r="F1170" s="5" t="str">
        <x:v>ui-wq-steuern-ao</x:v>
      </x:c>
      <x:c r="G1170" s="5" t="str">
        <x:v>Abgabenordnung</x:v>
      </x:c>
      <x:c r="H1170" s="5" t="str">
        <x:v>tr-wq-s13</x:v>
      </x:c>
      <x:c r="I1170" s="5" t="str">
        <x:v>3.2.3</x:v>
      </x:c>
      <x:c r="J1170" s="5" t="str">
        <x:v>Abgabenordnung &amp; Besteuerungsverfahren</x:v>
      </x:c>
      <x:c r="K1170" s="5" t="str"/>
      <x:c r="L1170" s="5" t="str">
        <x:v>Abgabenordnung &amp; Besteuerungsverfahren</x:v>
      </x:c>
      <x:c r="M1170" s="5" t="n">
        <x:v>13</x:v>
      </x:c>
      <x:c r="N1170" s="5" t="n">
        <x:v>13</x:v>
      </x:c>
      <x:c r="O1170" s="5" t="str"/>
      <x:c r="P1170" s="5" t="str">
        <x:v>Pilot freigegeben</x:v>
      </x:c>
      <x:c r="Q1170" s="5" t="str">
        <x:v>Revision 2 unverändert übernommen</x:v>
      </x:c>
      <x:c r="R1170" s="5" t="str">
        <x:v>Welche Folgen kann eine verspätete Abgabe der Steuererklärung haben?</x:v>
      </x:c>
      <x:c r="S1170" s="5" t="str">
        <x:v>835e5b73c53538be7e9bc133c278f0927ec20a0aed7db8d5ac9ceb1ae2223abf</x:v>
      </x:c>
    </x:row>
    <x:row r="1171" ht="36" customHeight="1">
      <x:c r="A1171" s="5" t="str">
        <x:v>ST-0193</x:v>
      </x:c>
      <x:c r="B1171" s="5" t="str">
        <x:v>WQ</x:v>
      </x:c>
      <x:c r="C1171" s="5" t="str">
        <x:v>3</x:v>
      </x:c>
      <x:c r="D1171" s="5" t="str">
        <x:v>Recht und Steuern</x:v>
      </x:c>
      <x:c r="E1171" s="5" t="str">
        <x:v>Steuern</x:v>
      </x:c>
      <x:c r="F1171" s="5" t="str">
        <x:v>ui-wq-steuern-ao</x:v>
      </x:c>
      <x:c r="G1171" s="5" t="str">
        <x:v>Abgabenordnung</x:v>
      </x:c>
      <x:c r="H1171" s="5" t="str">
        <x:v>tr-wq-s13</x:v>
      </x:c>
      <x:c r="I1171" s="5" t="str">
        <x:v>3.2.3</x:v>
      </x:c>
      <x:c r="J1171" s="5" t="str">
        <x:v>Abgabenordnung &amp; Besteuerungsverfahren</x:v>
      </x:c>
      <x:c r="K1171" s="5" t="str"/>
      <x:c r="L1171" s="5" t="str">
        <x:v>Abgabenordnung &amp; Besteuerungsverfahren</x:v>
      </x:c>
      <x:c r="M1171" s="5" t="n">
        <x:v>14</x:v>
      </x:c>
      <x:c r="N1171" s="5" t="n">
        <x:v>14</x:v>
      </x:c>
      <x:c r="O1171" s="5" t="str"/>
      <x:c r="P1171" s="5" t="str">
        <x:v>Pilot freigegeben</x:v>
      </x:c>
      <x:c r="Q1171" s="5" t="str">
        <x:v>Revision 2 unverändert übernommen</x:v>
      </x:c>
      <x:c r="R1171" s="5" t="str">
        <x:v>Ein Einkommensteuerbescheid wird am 18.05.2026 im Inland zur Post gegeben. Wann gilt er nach § 122 Abs. 2 Nr. 1 AO grundsätzlich als bekannt gegeben, wenn er nicht später zugeht?</x:v>
      </x:c>
      <x:c r="S1171" s="5" t="str">
        <x:v>85eed89826a26b11f930c581e7d3a362ae87eec253319a02c2d1955a8043a0b3</x:v>
      </x:c>
    </x:row>
    <x:row r="1172" ht="36" customHeight="1">
      <x:c r="A1172" s="5" t="str">
        <x:v>ST-0194</x:v>
      </x:c>
      <x:c r="B1172" s="5" t="str">
        <x:v>WQ</x:v>
      </x:c>
      <x:c r="C1172" s="5" t="str">
        <x:v>3</x:v>
      </x:c>
      <x:c r="D1172" s="5" t="str">
        <x:v>Recht und Steuern</x:v>
      </x:c>
      <x:c r="E1172" s="5" t="str">
        <x:v>Steuern</x:v>
      </x:c>
      <x:c r="F1172" s="5" t="str">
        <x:v>ui-wq-steuern-unternehmen</x:v>
      </x:c>
      <x:c r="G1172" s="5" t="str">
        <x:v>Unternehmensbezogene Steuern</x:v>
      </x:c>
      <x:c r="H1172" s="5" t="str">
        <x:v>tr-wq-s04</x:v>
      </x:c>
      <x:c r="I1172" s="5" t="str">
        <x:v>3.2.2.1</x:v>
      </x:c>
      <x:c r="J1172" s="5" t="str">
        <x:v>Mitunternehmerschaft &amp; Personengesellschaften</x:v>
      </x:c>
      <x:c r="K1172" s="5" t="str"/>
      <x:c r="L1172" s="5" t="str">
        <x:v>Einkommensteuer – Einkunftsarten &amp; Gewinnermittlung</x:v>
      </x:c>
      <x:c r="M1172" s="5" t="n">
        <x:v>173</x:v>
      </x:c>
      <x:c r="N1172" s="5" t="n">
        <x:v>4</x:v>
      </x:c>
      <x:c r="O1172" s="5" t="str"/>
      <x:c r="P1172" s="5" t="str">
        <x:v>Pilot freigegeben</x:v>
      </x:c>
      <x:c r="Q1172" s="5" t="str">
        <x:v>Revision 2 unverändert übernommen</x:v>
      </x:c>
      <x:c r="R1172" s="5" t="str">
        <x:v>Was ist eine Mitunternehmerschaft?</x:v>
      </x:c>
      <x:c r="S1172" s="5" t="str">
        <x:v>77a6d03dcfbeb4430726366486015d8e119db9224d37a74718d07045340d44d8</x:v>
      </x:c>
    </x:row>
    <x:row r="1173" ht="36" customHeight="1">
      <x:c r="A1173" s="5" t="str">
        <x:v>ST-0195</x:v>
      </x:c>
      <x:c r="B1173" s="5" t="str">
        <x:v>WQ</x:v>
      </x:c>
      <x:c r="C1173" s="5" t="str">
        <x:v>3</x:v>
      </x:c>
      <x:c r="D1173" s="5" t="str">
        <x:v>Recht und Steuern</x:v>
      </x:c>
      <x:c r="E1173" s="5" t="str">
        <x:v>Steuern</x:v>
      </x:c>
      <x:c r="F1173" s="5" t="str">
        <x:v>ui-wq-steuern-unternehmen</x:v>
      </x:c>
      <x:c r="G1173" s="5" t="str">
        <x:v>Unternehmensbezogene Steuern</x:v>
      </x:c>
      <x:c r="H1173" s="5" t="str">
        <x:v>tr-wq-s04</x:v>
      </x:c>
      <x:c r="I1173" s="5" t="str">
        <x:v>3.2.2.1</x:v>
      </x:c>
      <x:c r="J1173" s="5" t="str">
        <x:v>Mitunternehmerschaft &amp; Personengesellschaften</x:v>
      </x:c>
      <x:c r="K1173" s="5" t="str"/>
      <x:c r="L1173" s="5" t="str">
        <x:v>Einkommensteuer – Einkunftsarten &amp; Gewinnermittlung</x:v>
      </x:c>
      <x:c r="M1173" s="5" t="n">
        <x:v>174</x:v>
      </x:c>
      <x:c r="N1173" s="5" t="n">
        <x:v>5</x:v>
      </x:c>
      <x:c r="O1173" s="5" t="str"/>
      <x:c r="P1173" s="5" t="str">
        <x:v>Pilot freigegeben</x:v>
      </x:c>
      <x:c r="Q1173" s="5" t="str">
        <x:v>Revision 2 unverändert übernommen</x:v>
      </x:c>
      <x:c r="R1173" s="5" t="str">
        <x:v>Für die Steuerabteilung von Circle Harbor: Benny Frandsen und die Tysk GmbH sind zu gleichen Teilen Gesellschafter der Circle Harbor Fleet Mobility OHG. Die Circle Harbor Fleet Mobility OHG erzielt einen Gewinn von 300.000 €. Der Gewinn wird zunächst in der oHG belassen, um deren Kapitalbasis zu stärken. Wer hat welche Einkünfte?</x:v>
      </x:c>
      <x:c r="S1173" s="5" t="str">
        <x:v>81c2103595e3767f0e56758d3468258ca0e9234d8b2658dd1b41124f126a65f2</x:v>
      </x:c>
    </x:row>
    <x:row r="1174" ht="36" customHeight="1">
      <x:c r="A1174" s="5" t="str">
        <x:v>ST-0196</x:v>
      </x:c>
      <x:c r="B1174" s="5" t="str">
        <x:v>WQ</x:v>
      </x:c>
      <x:c r="C1174" s="5" t="str">
        <x:v>3</x:v>
      </x:c>
      <x:c r="D1174" s="5" t="str">
        <x:v>Recht und Steuern</x:v>
      </x:c>
      <x:c r="E1174" s="5" t="str">
        <x:v>Steuern</x:v>
      </x:c>
      <x:c r="F1174" s="5" t="str">
        <x:v>ui-wq-steuern-unternehmen</x:v>
      </x:c>
      <x:c r="G1174" s="5" t="str">
        <x:v>Unternehmensbezogene Steuern</x:v>
      </x:c>
      <x:c r="H1174" s="5" t="str">
        <x:v>tr-wq-s04</x:v>
      </x:c>
      <x:c r="I1174" s="5" t="str">
        <x:v>3.2.2.1</x:v>
      </x:c>
      <x:c r="J1174" s="5" t="str">
        <x:v>Mitunternehmerschaft &amp; Personengesellschaften</x:v>
      </x:c>
      <x:c r="K1174" s="5" t="str"/>
      <x:c r="L1174" s="5" t="str">
        <x:v>Einkommensteuer – Einkunftsarten &amp; Gewinnermittlung</x:v>
      </x:c>
      <x:c r="M1174" s="5" t="n">
        <x:v>175</x:v>
      </x:c>
      <x:c r="N1174" s="5" t="n">
        <x:v>6</x:v>
      </x:c>
      <x:c r="O1174" s="5" t="str"/>
      <x:c r="P1174" s="5" t="str">
        <x:v>Pilot freigegeben</x:v>
      </x:c>
      <x:c r="Q1174" s="5" t="str">
        <x:v>Revision 2 unverändert übernommen</x:v>
      </x:c>
      <x:c r="R1174" s="5" t="str">
        <x:v>Die Ärzte Kjeld Jensen und Egon Olsen gründen eine Gemeinschaftspraxis, an der sie zu gleichen Teilen beteiligt sind. Im ersten Jahr erzielen sie einen Gewinn von 50.000 €, den sie zur Kapitalstärkung in der Gemeinschaftspraxis belassen und nicht entnehmen. Wer hat welche Einkünfte?</x:v>
      </x:c>
      <x:c r="S1174" s="5" t="str">
        <x:v>40b2e72a6d663229bddf64ad34599abd2890edd47b77c5aea73094d62ca744ca</x:v>
      </x:c>
    </x:row>
    <x:row r="1175" ht="36" customHeight="1">
      <x:c r="A1175" s="5" t="str">
        <x:v>ST-0197</x:v>
      </x:c>
      <x:c r="B1175" s="5" t="str">
        <x:v>WQ</x:v>
      </x:c>
      <x:c r="C1175" s="5" t="str">
        <x:v>3</x:v>
      </x:c>
      <x:c r="D1175" s="5" t="str">
        <x:v>Recht und Steuern</x:v>
      </x:c>
      <x:c r="E1175" s="5" t="str">
        <x:v>Steuern</x:v>
      </x:c>
      <x:c r="F1175" s="5" t="str">
        <x:v>ui-wq-steuern-unternehmen</x:v>
      </x:c>
      <x:c r="G1175" s="5" t="str">
        <x:v>Unternehmensbezogene Steuern</x:v>
      </x:c>
      <x:c r="H1175" s="5" t="str">
        <x:v>tr-wq-s04</x:v>
      </x:c>
      <x:c r="I1175" s="5" t="str">
        <x:v>3.2.2.1</x:v>
      </x:c>
      <x:c r="J1175" s="5" t="str">
        <x:v>Mitunternehmerschaft &amp; Personengesellschaften</x:v>
      </x:c>
      <x:c r="K1175" s="5" t="str"/>
      <x:c r="L1175" s="5" t="str">
        <x:v>Einkommensteuer – Einkunftsarten &amp; Gewinnermittlung</x:v>
      </x:c>
      <x:c r="M1175" s="5" t="n">
        <x:v>176</x:v>
      </x:c>
      <x:c r="N1175" s="5" t="n">
        <x:v>7</x:v>
      </x:c>
      <x:c r="O1175" s="5" t="str"/>
      <x:c r="P1175" s="5" t="str">
        <x:v>Pilot freigegeben</x:v>
      </x:c>
      <x:c r="Q1175" s="5" t="str">
        <x:v>Revision 2 unverändert übernommen</x:v>
      </x:c>
      <x:c r="R1175" s="5" t="str">
        <x:v>Børge Jensen ist Kommanditist der Circle Harbor Infrastruktur KG. Besondere Vereinbarungen zu seinen Gesellschafterrechten bestehen im Gesellschaftsvertrag nicht. Ist Børge Jensen als Mitunternehmer anzusehen? Begründen Sie und bestimmen Sie seine Einkunftsart.</x:v>
      </x:c>
      <x:c r="S1175" s="5" t="str">
        <x:v>359b880b9caa50e963be851ee3933fa984acfd8b1670fdb123eabf463bc5b06f</x:v>
      </x:c>
    </x:row>
    <x:row r="1176" ht="36" customHeight="1">
      <x:c r="A1176" s="5" t="str">
        <x:v>ST-0198</x:v>
      </x:c>
      <x:c r="B1176" s="5" t="str">
        <x:v>WQ</x:v>
      </x:c>
      <x:c r="C1176" s="5" t="str">
        <x:v>3</x:v>
      </x:c>
      <x:c r="D1176" s="5" t="str">
        <x:v>Recht und Steuern</x:v>
      </x:c>
      <x:c r="E1176" s="5" t="str">
        <x:v>Steuern</x:v>
      </x:c>
      <x:c r="F1176" s="5" t="str">
        <x:v>ui-wq-steuern-unternehmen</x:v>
      </x:c>
      <x:c r="G1176" s="5" t="str">
        <x:v>Unternehmensbezogene Steuern</x:v>
      </x:c>
      <x:c r="H1176" s="5" t="str">
        <x:v>tr-wq-s02</x:v>
      </x:c>
      <x:c r="I1176" s="5" t="str">
        <x:v>3.2.2.1</x:v>
      </x:c>
      <x:c r="J1176" s="5" t="str">
        <x:v>Einkommensteuer – Einkunftsarten &amp; Gewinnermittlung</x:v>
      </x:c>
      <x:c r="K1176" s="5" t="str">
        <x:v>3.2.2.4; 3.1.4</x:v>
      </x:c>
      <x:c r="L1176" s="5" t="str">
        <x:v>Einkommensteuer – Einkunftsarten &amp; Gewinnermittlung</x:v>
      </x:c>
      <x:c r="M1176" s="5" t="n">
        <x:v>177</x:v>
      </x:c>
      <x:c r="N1176" s="5" t="n">
        <x:v>29</x:v>
      </x:c>
      <x:c r="O1176" s="5" t="str"/>
      <x:c r="P1176" s="5" t="str">
        <x:v>Pilot freigegeben</x:v>
      </x:c>
      <x:c r="Q1176" s="5" t="str">
        <x:v>Revision 2 unverändert übernommen</x:v>
      </x:c>
      <x:c r="R1176" s="5" t="str">
        <x:v>Haldor Hallandsen ist typisch stiller Gesellschafter am Unternehmen des Kaufmanns Bernd Bang-Johannsen (§ 230 HGB). Welche Einkünfte bezieht Haldor Hallandsen aus seiner stillen Beteiligung?</x:v>
      </x:c>
      <x:c r="S1176" s="5" t="str">
        <x:v>2416e738ec024ef38f4b7c373e79638175e2b81013a6eeb8172ceff85d486f8a</x:v>
      </x:c>
    </x:row>
    <x:row r="1177" ht="36" customHeight="1">
      <x:c r="A1177" s="5" t="str">
        <x:v>ST-0199</x:v>
      </x:c>
      <x:c r="B1177" s="5" t="str">
        <x:v>WQ</x:v>
      </x:c>
      <x:c r="C1177" s="5" t="str">
        <x:v>3</x:v>
      </x:c>
      <x:c r="D1177" s="5" t="str">
        <x:v>Recht und Steuern</x:v>
      </x:c>
      <x:c r="E1177" s="5" t="str">
        <x:v>Steuern</x:v>
      </x:c>
      <x:c r="F1177" s="5" t="str">
        <x:v>ui-wq-steuern-unternehmen</x:v>
      </x:c>
      <x:c r="G1177" s="5" t="str">
        <x:v>Unternehmensbezogene Steuern</x:v>
      </x:c>
      <x:c r="H1177" s="5" t="str">
        <x:v>tr-wq-s04</x:v>
      </x:c>
      <x:c r="I1177" s="5" t="str">
        <x:v>3.2.2.1</x:v>
      </x:c>
      <x:c r="J1177" s="5" t="str">
        <x:v>Mitunternehmerschaft &amp; Personengesellschaften</x:v>
      </x:c>
      <x:c r="K1177" s="5" t="str"/>
      <x:c r="L1177" s="5" t="str">
        <x:v>Einkommensteuer – Einkunftsarten &amp; Gewinnermittlung</x:v>
      </x:c>
      <x:c r="M1177" s="5" t="n">
        <x:v>178</x:v>
      </x:c>
      <x:c r="N1177" s="5" t="n">
        <x:v>8</x:v>
      </x:c>
      <x:c r="O1177" s="5" t="str"/>
      <x:c r="P1177" s="5" t="str">
        <x:v>Pilot freigegeben</x:v>
      </x:c>
      <x:c r="Q1177" s="5" t="str">
        <x:v>Revision 2 unverändert übernommen</x:v>
      </x:c>
      <x:c r="R1177" s="5" t="str">
        <x:v>Egon Olsen und Jasper Jensen sind an der Circle Harbor Mobility OHG zu jeweils 50 % beteiligt. Der Bilanzgewinn der Circle Harbor Mobility OHG beträgt 100.000 €. Dabei ist ein Geschäftsführergehalt an Egon Olsen in Höhe von 60.000 € als Aufwand berücksichtigt. Welche Einkünfte liegen vor?</x:v>
      </x:c>
      <x:c r="S1177" s="5" t="str">
        <x:v>123eec6302e07263565a578e2ec9c50340c17eb5211eb02be4ccb96ec2dc5792</x:v>
      </x:c>
    </x:row>
    <x:row r="1178" ht="36" customHeight="1">
      <x:c r="A1178" s="5" t="str">
        <x:v>ST-0200</x:v>
      </x:c>
      <x:c r="B1178" s="5" t="str">
        <x:v>WQ</x:v>
      </x:c>
      <x:c r="C1178" s="5" t="str">
        <x:v>3</x:v>
      </x:c>
      <x:c r="D1178" s="5" t="str">
        <x:v>Recht und Steuern</x:v>
      </x:c>
      <x:c r="E1178" s="5" t="str">
        <x:v>Steuern</x:v>
      </x:c>
      <x:c r="F1178" s="5" t="str">
        <x:v>ui-wq-steuern-unternehmen</x:v>
      </x:c>
      <x:c r="G1178" s="5" t="str">
        <x:v>Unternehmensbezogene Steuern</x:v>
      </x:c>
      <x:c r="H1178" s="5" t="str">
        <x:v>tr-wq-s04</x:v>
      </x:c>
      <x:c r="I1178" s="5" t="str">
        <x:v>3.2.2.1</x:v>
      </x:c>
      <x:c r="J1178" s="5" t="str">
        <x:v>Mitunternehmerschaft &amp; Personengesellschaften</x:v>
      </x:c>
      <x:c r="K1178" s="5" t="str"/>
      <x:c r="L1178" s="5" t="str">
        <x:v>Einkommensteuer – Einkunftsarten &amp; Gewinnermittlung</x:v>
      </x:c>
      <x:c r="M1178" s="5" t="n">
        <x:v>179</x:v>
      </x:c>
      <x:c r="N1178" s="5" t="n">
        <x:v>9</x:v>
      </x:c>
      <x:c r="O1178" s="5" t="str"/>
      <x:c r="P1178" s="5" t="str">
        <x:v>Pilot freigegeben</x:v>
      </x:c>
      <x:c r="Q1178" s="5" t="str">
        <x:v>Revision 2 unverändert übernommen</x:v>
      </x:c>
      <x:c r="R1178" s="5" t="str">
        <x:v>Was ist das Sonderbetriebsvermögen?</x:v>
      </x:c>
      <x:c r="S1178" s="5" t="str">
        <x:v>3d40fca5a169c9caaaaef99aca47d36e851a390d54d167edf0904e1a7834570c</x:v>
      </x:c>
    </x:row>
    <x:row r="1179" ht="36" customHeight="1">
      <x:c r="A1179" s="5" t="str">
        <x:v>ST-0201</x:v>
      </x:c>
      <x:c r="B1179" s="5" t="str">
        <x:v>WQ</x:v>
      </x:c>
      <x:c r="C1179" s="5" t="str">
        <x:v>3</x:v>
      </x:c>
      <x:c r="D1179" s="5" t="str">
        <x:v>Recht und Steuern</x:v>
      </x:c>
      <x:c r="E1179" s="5" t="str">
        <x:v>Steuern</x:v>
      </x:c>
      <x:c r="F1179" s="5" t="str">
        <x:v>ui-wq-steuern-grundlagen</x:v>
      </x:c>
      <x:c r="G1179" s="5" t="str">
        <x:v>Grundbegriffe des Steuerrechts</x:v>
      </x:c>
      <x:c r="H1179" s="5" t="str">
        <x:v>tr-wq-s01</x:v>
      </x:c>
      <x:c r="I1179" s="5" t="str">
        <x:v>3.2.1</x:v>
      </x:c>
      <x:c r="J1179" s="5" t="str">
        <x:v>Steuerliche Grundlagen &amp; Systematik</x:v>
      </x:c>
      <x:c r="K1179" s="5" t="str"/>
      <x:c r="L1179" s="5" t="str">
        <x:v>Steuerliche Grundlagen &amp; Systematik</x:v>
      </x:c>
      <x:c r="M1179" s="5" t="n">
        <x:v>8</x:v>
      </x:c>
      <x:c r="N1179" s="5" t="n">
        <x:v>8</x:v>
      </x:c>
      <x:c r="O1179" s="5" t="str"/>
      <x:c r="P1179" s="5" t="str">
        <x:v>Pilot freigegeben</x:v>
      </x:c>
      <x:c r="Q1179" s="5" t="str">
        <x:v>Revision 2 unverändert übernommen</x:v>
      </x:c>
      <x:c r="R1179" s="5" t="str">
        <x:v>Unterscheiden Sie formelles und materielles Steuerrecht und nennen Sie jeweils eine typische Rechtsgrundlage.</x:v>
      </x:c>
      <x:c r="S1179" s="5" t="str">
        <x:v>66d1d45193aecdff7fa0e822b561ec297b3437da63d732cc7bc91019679ef9e7</x:v>
      </x:c>
    </x:row>
    <x:row r="1180" ht="36" customHeight="1">
      <x:c r="A1180" s="5" t="str">
        <x:v>ST-0202</x:v>
      </x:c>
      <x:c r="B1180" s="5" t="str">
        <x:v>WQ</x:v>
      </x:c>
      <x:c r="C1180" s="5" t="str">
        <x:v>3</x:v>
      </x:c>
      <x:c r="D1180" s="5" t="str">
        <x:v>Recht und Steuern</x:v>
      </x:c>
      <x:c r="E1180" s="5" t="str">
        <x:v>Steuern</x:v>
      </x:c>
      <x:c r="F1180" s="5" t="str">
        <x:v>ui-wq-steuern-grundlagen</x:v>
      </x:c>
      <x:c r="G1180" s="5" t="str">
        <x:v>Grundbegriffe des Steuerrechts</x:v>
      </x:c>
      <x:c r="H1180" s="5" t="str">
        <x:v>tr-wq-s01</x:v>
      </x:c>
      <x:c r="I1180" s="5" t="str">
        <x:v>3.2.1</x:v>
      </x:c>
      <x:c r="J1180" s="5" t="str">
        <x:v>Steuerliche Grundlagen &amp; Systematik</x:v>
      </x:c>
      <x:c r="K1180" s="5" t="str"/>
      <x:c r="L1180" s="5" t="str">
        <x:v>Steuerliche Grundlagen &amp; Systematik</x:v>
      </x:c>
      <x:c r="M1180" s="5" t="n">
        <x:v>9</x:v>
      </x:c>
      <x:c r="N1180" s="5" t="n">
        <x:v>9</x:v>
      </x:c>
      <x:c r="O1180" s="5" t="str"/>
      <x:c r="P1180" s="5" t="str">
        <x:v>Pilot freigegeben</x:v>
      </x:c>
      <x:c r="Q1180" s="5" t="str">
        <x:v>Revision 2 unverändert übernommen</x:v>
      </x:c>
      <x:c r="R1180" s="5" t="str">
        <x:v>Welche Rechtsquellen des Steuerrechts gibt es und welche Bindungswirkung haben Verwaltungsanweisungen?</x:v>
      </x:c>
      <x:c r="S1180" s="5" t="str">
        <x:v>04f78db0689b9a5fb2b674a38a8dceeab1160aca7ac0cb4fd7f5721b775bcc83</x:v>
      </x:c>
    </x:row>
    <x:row r="1181" ht="36" customHeight="1">
      <x:c r="A1181" s="5" t="str">
        <x:v>ST-0203</x:v>
      </x:c>
      <x:c r="B1181" s="5" t="str">
        <x:v>WQ</x:v>
      </x:c>
      <x:c r="C1181" s="5" t="str">
        <x:v>3</x:v>
      </x:c>
      <x:c r="D1181" s="5" t="str">
        <x:v>Recht und Steuern</x:v>
      </x:c>
      <x:c r="E1181" s="5" t="str">
        <x:v>Steuern</x:v>
      </x:c>
      <x:c r="F1181" s="5" t="str">
        <x:v>ui-wq-steuern-grundlagen</x:v>
      </x:c>
      <x:c r="G1181" s="5" t="str">
        <x:v>Grundbegriffe des Steuerrechts</x:v>
      </x:c>
      <x:c r="H1181" s="5" t="str">
        <x:v>tr-wq-s01</x:v>
      </x:c>
      <x:c r="I1181" s="5" t="str">
        <x:v>3.2.1</x:v>
      </x:c>
      <x:c r="J1181" s="5" t="str">
        <x:v>Steuerliche Grundlagen &amp; Systematik</x:v>
      </x:c>
      <x:c r="K1181" s="5" t="str"/>
      <x:c r="L1181" s="5" t="str">
        <x:v>Steuerliche Grundlagen &amp; Systematik</x:v>
      </x:c>
      <x:c r="M1181" s="5" t="n">
        <x:v>10</x:v>
      </x:c>
      <x:c r="N1181" s="5" t="n">
        <x:v>10</x:v>
      </x:c>
      <x:c r="O1181" s="5" t="str"/>
      <x:c r="P1181" s="5" t="str">
        <x:v>Pilot freigegeben</x:v>
      </x:c>
      <x:c r="Q1181" s="5" t="str">
        <x:v>Revision 2 unverändert übernommen</x:v>
      </x:c>
      <x:c r="R1181" s="5" t="str">
        <x:v>Grenzen Sie Freibetrag, Freigrenze und Pauschbetrag voneinander ab.</x:v>
      </x:c>
      <x:c r="S1181" s="5" t="str">
        <x:v>7842e22a08a1de3f7112e0f844b2d187386d7b520cb82fbbbf1dd90544371909</x:v>
      </x:c>
    </x:row>
    <x:row r="1182" ht="36" customHeight="1">
      <x:c r="A1182" s="5" t="str">
        <x:v>ST-0204</x:v>
      </x:c>
      <x:c r="B1182" s="5" t="str">
        <x:v>WQ</x:v>
      </x:c>
      <x:c r="C1182" s="5" t="str">
        <x:v>3</x:v>
      </x:c>
      <x:c r="D1182" s="5" t="str">
        <x:v>Recht und Steuern</x:v>
      </x:c>
      <x:c r="E1182" s="5" t="str">
        <x:v>Steuern</x:v>
      </x:c>
      <x:c r="F1182" s="5" t="str">
        <x:v>ui-wq-steuern-ao</x:v>
      </x:c>
      <x:c r="G1182" s="5" t="str">
        <x:v>Abgabenordnung</x:v>
      </x:c>
      <x:c r="H1182" s="5" t="str">
        <x:v>tr-wq-s13</x:v>
      </x:c>
      <x:c r="I1182" s="5" t="str">
        <x:v>3.2.3</x:v>
      </x:c>
      <x:c r="J1182" s="5" t="str">
        <x:v>Abgabenordnung &amp; Besteuerungsverfahren</x:v>
      </x:c>
      <x:c r="K1182" s="5" t="str"/>
      <x:c r="L1182" s="5" t="str">
        <x:v>Steuerliche Grundlagen &amp; Systematik</x:v>
      </x:c>
      <x:c r="M1182" s="5" t="n">
        <x:v>15</x:v>
      </x:c>
      <x:c r="N1182" s="5" t="n">
        <x:v>15</x:v>
      </x:c>
      <x:c r="O1182" s="5" t="str"/>
      <x:c r="P1182" s="5" t="str">
        <x:v>Pilot freigegeben</x:v>
      </x:c>
      <x:c r="Q1182" s="5" t="str">
        <x:v>Revision 2 unverändert übernommen</x:v>
      </x:c>
      <x:c r="R1182" s="5" t="str">
        <x:v>Unterscheiden Sie die Buchführungspflicht nach § 140 AO und § 141 AO.</x:v>
      </x:c>
      <x:c r="S1182" s="5" t="str">
        <x:v>bbfb150f81b31b47223f099a5939a1f633046d02db16a68ef11964c523cf561f</x:v>
      </x:c>
    </x:row>
    <x:row r="1183" ht="36" customHeight="1">
      <x:c r="A1183" s="5" t="str">
        <x:v>ST-0205</x:v>
      </x:c>
      <x:c r="B1183" s="5" t="str">
        <x:v>WQ</x:v>
      </x:c>
      <x:c r="C1183" s="5" t="str">
        <x:v>3</x:v>
      </x:c>
      <x:c r="D1183" s="5" t="str">
        <x:v>Recht und Steuern</x:v>
      </x:c>
      <x:c r="E1183" s="5" t="str">
        <x:v>Steuern</x:v>
      </x:c>
      <x:c r="F1183" s="5" t="str">
        <x:v>ui-wq-steuern-unternehmen</x:v>
      </x:c>
      <x:c r="G1183" s="5" t="str">
        <x:v>Unternehmensbezogene Steuern</x:v>
      </x:c>
      <x:c r="H1183" s="5" t="str">
        <x:v>tr-wq-s03</x:v>
      </x:c>
      <x:c r="I1183" s="5" t="str">
        <x:v>3.2.2.1</x:v>
      </x:c>
      <x:c r="J1183" s="5" t="str">
        <x:v>Einkommensteuer – Abzüge, Tarif &amp; Veranlagung</x:v>
      </x:c>
      <x:c r="K1183" s="5" t="str"/>
      <x:c r="L1183" s="5" t="str">
        <x:v>Einkommensteuer – Abzüge, Tarif &amp; Veranlagung</x:v>
      </x:c>
      <x:c r="M1183" s="5" t="n">
        <x:v>180</x:v>
      </x:c>
      <x:c r="N1183" s="5" t="n">
        <x:v>18</x:v>
      </x:c>
      <x:c r="O1183" s="5" t="str"/>
      <x:c r="P1183" s="5" t="str">
        <x:v>Pilot freigegeben</x:v>
      </x:c>
      <x:c r="Q1183" s="5" t="str">
        <x:v>Revision 2 unverändert übernommen</x:v>
      </x:c>
      <x:c r="R1183" s="5" t="str">
        <x:v>Welche Erhebungsformen der Einkommensteuer gibt es und wann sind Einkommensteuer-Vorauszahlungen fällig?</x:v>
      </x:c>
      <x:c r="S1183" s="5" t="str">
        <x:v>48da1375ec1093c34b4112db250ecfa19feffd2f061f4e2a6f5cd86b2cf80e21</x:v>
      </x:c>
    </x:row>
    <x:row r="1184" ht="36" customHeight="1">
      <x:c r="A1184" s="5" t="str">
        <x:v>ST-0206</x:v>
      </x:c>
      <x:c r="B1184" s="5" t="str">
        <x:v>WQ</x:v>
      </x:c>
      <x:c r="C1184" s="5" t="str">
        <x:v>3</x:v>
      </x:c>
      <x:c r="D1184" s="5" t="str">
        <x:v>Recht und Steuern</x:v>
      </x:c>
      <x:c r="E1184" s="5" t="str">
        <x:v>Steuern</x:v>
      </x:c>
      <x:c r="F1184" s="5" t="str">
        <x:v>ui-wq-steuern-unternehmen</x:v>
      </x:c>
      <x:c r="G1184" s="5" t="str">
        <x:v>Unternehmensbezogene Steuern</x:v>
      </x:c>
      <x:c r="H1184" s="5" t="str">
        <x:v>tr-wq-s05</x:v>
      </x:c>
      <x:c r="I1184" s="5" t="str">
        <x:v>3.2.2.2</x:v>
      </x:c>
      <x:c r="J1184" s="5" t="str">
        <x:v>Körperschaftsteuer und Beteiligungen</x:v>
      </x:c>
      <x:c r="K1184" s="5" t="str"/>
      <x:c r="L1184" s="5" t="str">
        <x:v>Körperschaftsteuer &amp; Kapitalertragsteuer</x:v>
      </x:c>
      <x:c r="M1184" s="5" t="n">
        <x:v>181</x:v>
      </x:c>
      <x:c r="N1184" s="5" t="n">
        <x:v>22</x:v>
      </x:c>
      <x:c r="O1184" s="5" t="str"/>
      <x:c r="P1184" s="5" t="str">
        <x:v>Pilot freigegeben</x:v>
      </x:c>
      <x:c r="Q1184" s="5" t="str">
        <x:v>Revision 2 unverändert übernommen</x:v>
      </x:c>
      <x:c r="R1184" s="5" t="str">
        <x:v>Welche Bedeutung haben die Steuerbefreiungen nach § 5 KStG?</x:v>
      </x:c>
      <x:c r="S1184" s="5" t="str">
        <x:v>00e75fd786ae10c6b5bc126358190d8acbf80503f4314d63af499fe68155bc9d</x:v>
      </x:c>
    </x:row>
    <x:row r="1185" ht="36" customHeight="1">
      <x:c r="A1185" s="5" t="str">
        <x:v>ST-0207</x:v>
      </x:c>
      <x:c r="B1185" s="5" t="str">
        <x:v>WQ</x:v>
      </x:c>
      <x:c r="C1185" s="5" t="str">
        <x:v>3</x:v>
      </x:c>
      <x:c r="D1185" s="5" t="str">
        <x:v>Recht und Steuern</x:v>
      </x:c>
      <x:c r="E1185" s="5" t="str">
        <x:v>Steuern</x:v>
      </x:c>
      <x:c r="F1185" s="5" t="str">
        <x:v>ui-wq-steuern-unternehmen</x:v>
      </x:c>
      <x:c r="G1185" s="5" t="str">
        <x:v>Unternehmensbezogene Steuern</x:v>
      </x:c>
      <x:c r="H1185" s="5" t="str">
        <x:v>tr-wq-s05</x:v>
      </x:c>
      <x:c r="I1185" s="5" t="str">
        <x:v>3.2.2.2</x:v>
      </x:c>
      <x:c r="J1185" s="5" t="str">
        <x:v>Körperschaftsteuer und Beteiligungen</x:v>
      </x:c>
      <x:c r="K1185" s="5" t="str"/>
      <x:c r="L1185" s="5" t="str">
        <x:v>Körperschaftsteuer &amp; Kapitalertragsteuer</x:v>
      </x:c>
      <x:c r="M1185" s="5" t="n">
        <x:v>182</x:v>
      </x:c>
      <x:c r="N1185" s="5" t="n">
        <x:v>23</x:v>
      </x:c>
      <x:c r="O1185" s="5" t="str"/>
      <x:c r="P1185" s="5" t="str">
        <x:v>Pilot freigegeben</x:v>
      </x:c>
      <x:c r="Q1185" s="5" t="str">
        <x:v>Revision 2 unverändert übernommen</x:v>
      </x:c>
      <x:c r="R1185" s="5" t="str">
        <x:v>Wie laufen Veranlagung und Entrichtung der Körperschaftsteuer grundsätzlich ab?</x:v>
      </x:c>
      <x:c r="S1185" s="5" t="str">
        <x:v>b482f310553d97db423b5bfa16b1ff4b226bba4ddc25cabdebe0bd4755d0b62d</x:v>
      </x:c>
    </x:row>
    <x:row r="1186" ht="36" customHeight="1">
      <x:c r="A1186" s="5" t="str">
        <x:v>ST-0208</x:v>
      </x:c>
      <x:c r="B1186" s="5" t="str">
        <x:v>WQ</x:v>
      </x:c>
      <x:c r="C1186" s="5" t="str">
        <x:v>3</x:v>
      </x:c>
      <x:c r="D1186" s="5" t="str">
        <x:v>Recht und Steuern</x:v>
      </x:c>
      <x:c r="E1186" s="5" t="str">
        <x:v>Steuern</x:v>
      </x:c>
      <x:c r="F1186" s="5" t="str">
        <x:v>ui-wq-steuern-unternehmen</x:v>
      </x:c>
      <x:c r="G1186" s="5" t="str">
        <x:v>Unternehmensbezogene Steuern</x:v>
      </x:c>
      <x:c r="H1186" s="5" t="str">
        <x:v>tr-wq-s06</x:v>
      </x:c>
      <x:c r="I1186" s="5" t="str">
        <x:v>3.2.2.3</x:v>
      </x:c>
      <x:c r="J1186" s="5" t="str">
        <x:v>Gewerbesteuer</x:v>
      </x:c>
      <x:c r="K1186" s="5" t="str"/>
      <x:c r="L1186" s="5" t="str">
        <x:v>Gewerbesteuer</x:v>
      </x:c>
      <x:c r="M1186" s="5" t="n">
        <x:v>183</x:v>
      </x:c>
      <x:c r="N1186" s="5" t="n">
        <x:v>25</x:v>
      </x:c>
      <x:c r="O1186" s="5" t="str"/>
      <x:c r="P1186" s="5" t="str">
        <x:v>Pilot freigegeben</x:v>
      </x:c>
      <x:c r="Q1186" s="5" t="str">
        <x:v>Revision 2 unverändert übernommen</x:v>
      </x:c>
      <x:c r="R1186" s="5" t="str">
        <x:v>Wer ist Steuerschuldner der Gewerbesteuer und wann sind die Vorauszahlungen fällig?</x:v>
      </x:c>
      <x:c r="S1186" s="5" t="str">
        <x:v>1ef9ab28cb29756a2919bd1006633ff2671ae62b63cbc247e5a4d2f80131b347</x:v>
      </x:c>
    </x:row>
    <x:row r="1187" ht="36" customHeight="1">
      <x:c r="A1187" s="5" t="str">
        <x:v>ST-0209</x:v>
      </x:c>
      <x:c r="B1187" s="5" t="str">
        <x:v>WQ</x:v>
      </x:c>
      <x:c r="C1187" s="5" t="str">
        <x:v>3</x:v>
      </x:c>
      <x:c r="D1187" s="5" t="str">
        <x:v>Recht und Steuern</x:v>
      </x:c>
      <x:c r="E1187" s="5" t="str">
        <x:v>Steuern</x:v>
      </x:c>
      <x:c r="F1187" s="5" t="str">
        <x:v>ui-wq-steuern-unternehmen</x:v>
      </x:c>
      <x:c r="G1187" s="5" t="str">
        <x:v>Unternehmensbezogene Steuern</x:v>
      </x:c>
      <x:c r="H1187" s="5" t="str">
        <x:v>tr-wq-s06</x:v>
      </x:c>
      <x:c r="I1187" s="5" t="str">
        <x:v>3.2.2.3</x:v>
      </x:c>
      <x:c r="J1187" s="5" t="str">
        <x:v>Gewerbesteuer</x:v>
      </x:c>
      <x:c r="K1187" s="5" t="str"/>
      <x:c r="L1187" s="5" t="str">
        <x:v>Gewerbesteuer</x:v>
      </x:c>
      <x:c r="M1187" s="5" t="n">
        <x:v>184</x:v>
      </x:c>
      <x:c r="N1187" s="5" t="n">
        <x:v>26</x:v>
      </x:c>
      <x:c r="O1187" s="5" t="str"/>
      <x:c r="P1187" s="5" t="str">
        <x:v>Pilot freigegeben</x:v>
      </x:c>
      <x:c r="Q1187" s="5" t="str">
        <x:v>Revision 2 unverändert übernommen</x:v>
      </x:c>
      <x:c r="R1187" s="5" t="str">
        <x:v>Welche Funktion haben die Steuerbefreiungen nach § 3 GewStG?</x:v>
      </x:c>
      <x:c r="S1187" s="5" t="str">
        <x:v>8d39406991f0155b944e9e059d8ed327d4d9977a43a05a20c61f2318e6543ce7</x:v>
      </x:c>
    </x:row>
    <x:row r="1188" ht="36" customHeight="1">
      <x:c r="A1188" s="5" t="str">
        <x:v>ST-0210</x:v>
      </x:c>
      <x:c r="B1188" s="5" t="str">
        <x:v>WQ</x:v>
      </x:c>
      <x:c r="C1188" s="5" t="str">
        <x:v>3</x:v>
      </x:c>
      <x:c r="D1188" s="5" t="str">
        <x:v>Recht und Steuern</x:v>
      </x:c>
      <x:c r="E1188" s="5" t="str">
        <x:v>Steuern</x:v>
      </x:c>
      <x:c r="F1188" s="5" t="str">
        <x:v>ui-wq-steuern-unternehmen</x:v>
      </x:c>
      <x:c r="G1188" s="5" t="str">
        <x:v>Unternehmensbezogene Steuern</x:v>
      </x:c>
      <x:c r="H1188" s="5" t="str">
        <x:v>tr-wq-s08</x:v>
      </x:c>
      <x:c r="I1188" s="5" t="str">
        <x:v>3.2.2.5</x:v>
      </x:c>
      <x:c r="J1188" s="5" t="str">
        <x:v>Umsatzsteuer – Grundlagen &amp; Vorsteuer</x:v>
      </x:c>
      <x:c r="K1188" s="5" t="str"/>
      <x:c r="L1188" s="5" t="str">
        <x:v>Umsatzsteuer – Grundlagen &amp; Vorsteuer</x:v>
      </x:c>
      <x:c r="M1188" s="5" t="n">
        <x:v>185</x:v>
      </x:c>
      <x:c r="N1188" s="5" t="n">
        <x:v>31</x:v>
      </x:c>
      <x:c r="O1188" s="5" t="str"/>
      <x:c r="P1188" s="5" t="str">
        <x:v>Pilot freigegeben</x:v>
      </x:c>
      <x:c r="Q1188" s="5" t="str">
        <x:v>Revision 2 unverändert übernommen</x:v>
      </x:c>
      <x:c r="R1188" s="5" t="str">
        <x:v>Nennen Sie wichtige steuerfreie Umsätze nach § 4 UStG und erklären Sie, was bei der Option zur Steuerpflicht zu beachten ist.</x:v>
      </x:c>
      <x:c r="S1188" s="5" t="str">
        <x:v>a85e27208914b73c748066a857789eed26ae835b0cde96a0e23bfbde45e67ca4</x:v>
      </x:c>
    </x:row>
    <x:row r="1189" ht="36" customHeight="1">
      <x:c r="A1189" s="5" t="str">
        <x:v>ST-0211</x:v>
      </x:c>
      <x:c r="B1189" s="5" t="str">
        <x:v>WQ</x:v>
      </x:c>
      <x:c r="C1189" s="5" t="str">
        <x:v>3</x:v>
      </x:c>
      <x:c r="D1189" s="5" t="str">
        <x:v>Recht und Steuern</x:v>
      </x:c>
      <x:c r="E1189" s="5" t="str">
        <x:v>Steuern</x:v>
      </x:c>
      <x:c r="F1189" s="5" t="str">
        <x:v>ui-wq-steuern-unternehmen</x:v>
      </x:c>
      <x:c r="G1189" s="5" t="str">
        <x:v>Unternehmensbezogene Steuern</x:v>
      </x:c>
      <x:c r="H1189" s="5" t="str">
        <x:v>tr-wq-s08</x:v>
      </x:c>
      <x:c r="I1189" s="5" t="str">
        <x:v>3.2.2.5</x:v>
      </x:c>
      <x:c r="J1189" s="5" t="str">
        <x:v>Umsatzsteuer – Grundlagen &amp; Vorsteuer</x:v>
      </x:c>
      <x:c r="K1189" s="5" t="str"/>
      <x:c r="L1189" s="5" t="str">
        <x:v>Umsatzsteuer – Grundlagen &amp; Vorsteuer</x:v>
      </x:c>
      <x:c r="M1189" s="5" t="n">
        <x:v>186</x:v>
      </x:c>
      <x:c r="N1189" s="5" t="n">
        <x:v>32</x:v>
      </x:c>
      <x:c r="O1189" s="5" t="str"/>
      <x:c r="P1189" s="5" t="str">
        <x:v>Pilot freigegeben</x:v>
      </x:c>
      <x:c r="Q1189" s="5" t="str">
        <x:v>Revision 2 unverändert übernommen</x:v>
      </x:c>
      <x:c r="R1189" s="5" t="str">
        <x:v>Unterscheiden Sie Sollversteuerung und Istversteuerung bei der Umsatzsteuer.</x:v>
      </x:c>
      <x:c r="S1189" s="5" t="str">
        <x:v>dd4307b8ad6548876fbfd90e080b816324e2dead0cb7181b3286922ed72bca0f</x:v>
      </x:c>
    </x:row>
    <x:row r="1190" ht="36" customHeight="1">
      <x:c r="A1190" s="5" t="str">
        <x:v>ST-0212</x:v>
      </x:c>
      <x:c r="B1190" s="5" t="str">
        <x:v>WQ</x:v>
      </x:c>
      <x:c r="C1190" s="5" t="str">
        <x:v>3</x:v>
      </x:c>
      <x:c r="D1190" s="5" t="str">
        <x:v>Recht und Steuern</x:v>
      </x:c>
      <x:c r="E1190" s="5" t="str">
        <x:v>Steuern</x:v>
      </x:c>
      <x:c r="F1190" s="5" t="str">
        <x:v>ui-wq-steuern-unternehmen</x:v>
      </x:c>
      <x:c r="G1190" s="5" t="str">
        <x:v>Unternehmensbezogene Steuern</x:v>
      </x:c>
      <x:c r="H1190" s="5" t="str">
        <x:v>tr-wq-s08</x:v>
      </x:c>
      <x:c r="I1190" s="5" t="str">
        <x:v>3.2.2.5</x:v>
      </x:c>
      <x:c r="J1190" s="5" t="str">
        <x:v>Umsatzsteuer – Grundlagen &amp; Vorsteuer</x:v>
      </x:c>
      <x:c r="K1190" s="5" t="str"/>
      <x:c r="L1190" s="5" t="str">
        <x:v>Umsatzsteuer – Grundlagen &amp; Vorsteuer</x:v>
      </x:c>
      <x:c r="M1190" s="5" t="n">
        <x:v>187</x:v>
      </x:c>
      <x:c r="N1190" s="5" t="n">
        <x:v>33</x:v>
      </x:c>
      <x:c r="O1190" s="5" t="str"/>
      <x:c r="P1190" s="5" t="str">
        <x:v>Pilot freigegeben</x:v>
      </x:c>
      <x:c r="Q1190" s="5" t="str">
        <x:v>Revision 2 unverändert übernommen</x:v>
      </x:c>
      <x:c r="R1190" s="5" t="str">
        <x:v>Was bedeutet das Reverse-Charge-Verfahren nach § 13b UStG?</x:v>
      </x:c>
      <x:c r="S1190" s="5" t="str">
        <x:v>a49dffa6dc64f9c6ae31fc354f4b568aba2f1dead3412cf72493aed8380b2c47</x:v>
      </x:c>
    </x:row>
    <x:row r="1191" ht="36" customHeight="1">
      <x:c r="A1191" s="5" t="str">
        <x:v>ST-0213</x:v>
      </x:c>
      <x:c r="B1191" s="5" t="str">
        <x:v>WQ</x:v>
      </x:c>
      <x:c r="C1191" s="5" t="str">
        <x:v>3</x:v>
      </x:c>
      <x:c r="D1191" s="5" t="str">
        <x:v>Recht und Steuern</x:v>
      </x:c>
      <x:c r="E1191" s="5" t="str">
        <x:v>Steuern</x:v>
      </x:c>
      <x:c r="F1191" s="5" t="str">
        <x:v>ui-wq-steuern-unternehmen</x:v>
      </x:c>
      <x:c r="G1191" s="5" t="str">
        <x:v>Unternehmensbezogene Steuern</x:v>
      </x:c>
      <x:c r="H1191" s="5" t="str">
        <x:v>tr-wq-s08</x:v>
      </x:c>
      <x:c r="I1191" s="5" t="str">
        <x:v>3.2.2.5</x:v>
      </x:c>
      <x:c r="J1191" s="5" t="str">
        <x:v>Umsatzsteuer – Grundlagen &amp; Vorsteuer</x:v>
      </x:c>
      <x:c r="K1191" s="5" t="str"/>
      <x:c r="L1191" s="5" t="str">
        <x:v>Umsatzsteuer – Grundlagen &amp; Vorsteuer</x:v>
      </x:c>
      <x:c r="M1191" s="5" t="n">
        <x:v>188</x:v>
      </x:c>
      <x:c r="N1191" s="5" t="n">
        <x:v>34</x:v>
      </x:c>
      <x:c r="O1191" s="5" t="str"/>
      <x:c r="P1191" s="5" t="str">
        <x:v>Pilot freigegeben</x:v>
      </x:c>
      <x:c r="Q1191" s="5" t="str">
        <x:v>Revision 2 unverändert übernommen</x:v>
      </x:c>
      <x:c r="R1191" s="5" t="str">
        <x:v>Wie funktionieren Umsatzsteuer-Voranmeldung, Vorauszahlung und Jahreserklärung grundsätzlich?</x:v>
      </x:c>
      <x:c r="S1191" s="5" t="str">
        <x:v>ffbe203b17538aee73897fee625484b74f09229909b63bc8a25c5b7308db99cd</x:v>
      </x:c>
    </x:row>
    <x:row r="1192" ht="36" customHeight="1">
      <x:c r="A1192" s="5" t="str">
        <x:v>ST-0214</x:v>
      </x:c>
      <x:c r="B1192" s="5" t="str">
        <x:v>WQ</x:v>
      </x:c>
      <x:c r="C1192" s="5" t="str">
        <x:v>3</x:v>
      </x:c>
      <x:c r="D1192" s="5" t="str">
        <x:v>Recht und Steuern</x:v>
      </x:c>
      <x:c r="E1192" s="5" t="str">
        <x:v>Steuern</x:v>
      </x:c>
      <x:c r="F1192" s="5" t="str">
        <x:v>ui-wq-steuern-unternehmen</x:v>
      </x:c>
      <x:c r="G1192" s="5" t="str">
        <x:v>Unternehmensbezogene Steuern</x:v>
      </x:c>
      <x:c r="H1192" s="5" t="str">
        <x:v>tr-wq-s09</x:v>
      </x:c>
      <x:c r="I1192" s="5" t="str">
        <x:v>3.2.2.5</x:v>
      </x:c>
      <x:c r="J1192" s="5" t="str">
        <x:v>Umsatzsteuer – EU, Drittland &amp; Sonderfälle</x:v>
      </x:c>
      <x:c r="K1192" s="5" t="str"/>
      <x:c r="L1192" s="5" t="str">
        <x:v>Umsatzsteuer – EU, Drittland &amp; Sonderfälle</x:v>
      </x:c>
      <x:c r="M1192" s="5" t="n">
        <x:v>189</x:v>
      </x:c>
      <x:c r="N1192" s="5" t="n">
        <x:v>33</x:v>
      </x:c>
      <x:c r="O1192" s="5" t="str"/>
      <x:c r="P1192" s="5" t="str">
        <x:v>Pilot freigegeben</x:v>
      </x:c>
      <x:c r="Q1192" s="5" t="str">
        <x:v>Revision 2 unverändert übernommen</x:v>
      </x:c>
      <x:c r="R1192" s="5" t="str">
        <x:v>Was ist der Grundgedanke der Kleinunternehmerregelung nach § 19 UStG?</x:v>
      </x:c>
      <x:c r="S1192" s="5" t="str">
        <x:v>ccd80f5d51cbb5fca3d3e02c93ea4a23e0ff85e72a107f7f5dafe9dc0eadea1e</x:v>
      </x:c>
    </x:row>
    <x:row r="1193" ht="36" customHeight="1">
      <x:c r="A1193" s="5" t="str">
        <x:v>ST-0215</x:v>
      </x:c>
      <x:c r="B1193" s="5" t="str">
        <x:v>WQ</x:v>
      </x:c>
      <x:c r="C1193" s="5" t="str">
        <x:v>3</x:v>
      </x:c>
      <x:c r="D1193" s="5" t="str">
        <x:v>Recht und Steuern</x:v>
      </x:c>
      <x:c r="E1193" s="5" t="str">
        <x:v>Steuern</x:v>
      </x:c>
      <x:c r="F1193" s="5" t="str">
        <x:v>ui-wq-steuern-unternehmen</x:v>
      </x:c>
      <x:c r="G1193" s="5" t="str">
        <x:v>Unternehmensbezogene Steuern</x:v>
      </x:c>
      <x:c r="H1193" s="5" t="str">
        <x:v>tr-wq-s11</x:v>
      </x:c>
      <x:c r="I1193" s="5" t="str">
        <x:v>3.2.2.7</x:v>
      </x:c>
      <x:c r="J1193" s="5" t="str">
        <x:v>Grunderwerbsteuer</x:v>
      </x:c>
      <x:c r="K1193" s="5" t="str"/>
      <x:c r="L1193" s="5" t="str">
        <x:v>Grunderwerb- &amp; Grundsteuer</x:v>
      </x:c>
      <x:c r="M1193" s="5" t="n">
        <x:v>190</x:v>
      </x:c>
      <x:c r="N1193" s="5" t="n">
        <x:v>4</x:v>
      </x:c>
      <x:c r="O1193" s="5" t="str"/>
      <x:c r="P1193" s="5" t="str">
        <x:v>Pilot freigegeben</x:v>
      </x:c>
      <x:c r="Q1193" s="5" t="str">
        <x:v>Revision 2 unverändert übernommen</x:v>
      </x:c>
      <x:c r="R1193" s="5" t="str">
        <x:v>Wer muss einen grunderwerbsteuerpflichtigen Vorgang anzeigen, wer schuldet die Steuer und wann wird sie fällig?</x:v>
      </x:c>
      <x:c r="S1193" s="5" t="str">
        <x:v>0aa18502c3e3ff2fcf12b395e0b35606975506bdcfdaa0345ab0d234f8f9a97a</x:v>
      </x:c>
    </x:row>
    <x:row r="1194" ht="36" customHeight="1">
      <x:c r="A1194" s="5" t="str">
        <x:v>ST-0216</x:v>
      </x:c>
      <x:c r="B1194" s="5" t="str">
        <x:v>WQ</x:v>
      </x:c>
      <x:c r="C1194" s="5" t="str">
        <x:v>3</x:v>
      </x:c>
      <x:c r="D1194" s="5" t="str">
        <x:v>Recht und Steuern</x:v>
      </x:c>
      <x:c r="E1194" s="5" t="str">
        <x:v>Steuern</x:v>
      </x:c>
      <x:c r="F1194" s="5" t="str">
        <x:v>ui-wq-steuern-unternehmen</x:v>
      </x:c>
      <x:c r="G1194" s="5" t="str">
        <x:v>Unternehmensbezogene Steuern</x:v>
      </x:c>
      <x:c r="H1194" s="5" t="str">
        <x:v>tr-wq-s11</x:v>
      </x:c>
      <x:c r="I1194" s="5" t="str">
        <x:v>3.2.2.7</x:v>
      </x:c>
      <x:c r="J1194" s="5" t="str">
        <x:v>Grunderwerbsteuer</x:v>
      </x:c>
      <x:c r="K1194" s="5" t="str"/>
      <x:c r="L1194" s="5" t="str">
        <x:v>Grunderwerb- &amp; Grundsteuer</x:v>
      </x:c>
      <x:c r="M1194" s="5" t="n">
        <x:v>191</x:v>
      </x:c>
      <x:c r="N1194" s="5" t="n">
        <x:v>5</x:v>
      </x:c>
      <x:c r="O1194" s="5" t="str"/>
      <x:c r="P1194" s="5" t="str">
        <x:v>Pilot freigegeben</x:v>
      </x:c>
      <x:c r="Q1194" s="5" t="str">
        <x:v>Revision 2 unverändert übernommen</x:v>
      </x:c>
      <x:c r="R1194" s="5" t="str">
        <x:v>Welche Bedeutung hat die Unbedenklichkeitsbescheinigung bei der Grunderwerbsteuer?</x:v>
      </x:c>
      <x:c r="S1194" s="5" t="str">
        <x:v>09db445ad89fbffc22eb364f128cf051da53637b580f7ccc150dfa4fca87f698</x:v>
      </x:c>
    </x:row>
    <x:row r="1195" ht="36" customHeight="1">
      <x:c r="A1195" s="5" t="str">
        <x:v>ST-0217</x:v>
      </x:c>
      <x:c r="B1195" s="5" t="str">
        <x:v>WQ</x:v>
      </x:c>
      <x:c r="C1195" s="5" t="str">
        <x:v>3</x:v>
      </x:c>
      <x:c r="D1195" s="5" t="str">
        <x:v>Recht und Steuern</x:v>
      </x:c>
      <x:c r="E1195" s="5" t="str">
        <x:v>Steuern</x:v>
      </x:c>
      <x:c r="F1195" s="5" t="str">
        <x:v>ui-wq-steuern-unternehmen</x:v>
      </x:c>
      <x:c r="G1195" s="5" t="str">
        <x:v>Unternehmensbezogene Steuern</x:v>
      </x:c>
      <x:c r="H1195" s="5" t="str">
        <x:v>tr-wq-s10</x:v>
      </x:c>
      <x:c r="I1195" s="5" t="str">
        <x:v>3.2.2.6</x:v>
      </x:c>
      <x:c r="J1195" s="5" t="str">
        <x:v>Grundsteuer</x:v>
      </x:c>
      <x:c r="K1195" s="5" t="str"/>
      <x:c r="L1195" s="5" t="str">
        <x:v>Grunderwerb- &amp; Grundsteuer</x:v>
      </x:c>
      <x:c r="M1195" s="5" t="n">
        <x:v>192</x:v>
      </x:c>
      <x:c r="N1195" s="5" t="n">
        <x:v>2</x:v>
      </x:c>
      <x:c r="O1195" s="5" t="str"/>
      <x:c r="P1195" s="5" t="str">
        <x:v>Pilot freigegeben</x:v>
      </x:c>
      <x:c r="Q1195" s="5" t="str">
        <x:v>Revision 2 unverändert übernommen</x:v>
      </x:c>
      <x:c r="R1195" s="5" t="str">
        <x:v>Erläutern Sie das dreistufige Verfahren zur Berechnung der Grundsteuer seit 2025.</x:v>
      </x:c>
      <x:c r="S1195" s="5" t="str">
        <x:v>b2c4020c7f7823627a165041daa98c95058440077c1c6885408a33f332621451</x:v>
      </x:c>
    </x:row>
    <x:row r="1196" ht="36" customHeight="1">
      <x:c r="A1196" s="5" t="str">
        <x:v>ST-0218</x:v>
      </x:c>
      <x:c r="B1196" s="5" t="str">
        <x:v>WQ</x:v>
      </x:c>
      <x:c r="C1196" s="5" t="str">
        <x:v>3</x:v>
      </x:c>
      <x:c r="D1196" s="5" t="str">
        <x:v>Recht und Steuern</x:v>
      </x:c>
      <x:c r="E1196" s="5" t="str">
        <x:v>Steuern</x:v>
      </x:c>
      <x:c r="F1196" s="5" t="str">
        <x:v>ui-wq-steuern-unternehmen</x:v>
      </x:c>
      <x:c r="G1196" s="5" t="str">
        <x:v>Unternehmensbezogene Steuern</x:v>
      </x:c>
      <x:c r="H1196" s="5" t="str">
        <x:v>tr-wq-s10</x:v>
      </x:c>
      <x:c r="I1196" s="5" t="str">
        <x:v>3.2.2.6</x:v>
      </x:c>
      <x:c r="J1196" s="5" t="str">
        <x:v>Grundsteuer</x:v>
      </x:c>
      <x:c r="K1196" s="5" t="str"/>
      <x:c r="L1196" s="5" t="str">
        <x:v>Grunderwerb- &amp; Grundsteuer</x:v>
      </x:c>
      <x:c r="M1196" s="5" t="n">
        <x:v>193</x:v>
      </x:c>
      <x:c r="N1196" s="5" t="n">
        <x:v>3</x:v>
      </x:c>
      <x:c r="O1196" s="5" t="str"/>
      <x:c r="P1196" s="5" t="str">
        <x:v>Pilot freigegeben</x:v>
      </x:c>
      <x:c r="Q1196" s="5" t="str">
        <x:v>Revision 2 unverändert übernommen</x:v>
      </x:c>
      <x:c r="R1196" s="5" t="str">
        <x:v>Wer schuldet die Grundsteuer und wann wird sie grundsätzlich fällig?</x:v>
      </x:c>
      <x:c r="S1196" s="5" t="str">
        <x:v>d27453ac9a1f26ed44f89b77be330a30cbd8838ef367de330dbbc03680292dd0</x:v>
      </x:c>
    </x:row>
    <x:row r="1197" ht="36" customHeight="1">
      <x:c r="A1197" s="5" t="str">
        <x:v>ST-0219</x:v>
      </x:c>
      <x:c r="B1197" s="5" t="str">
        <x:v>WQ</x:v>
      </x:c>
      <x:c r="C1197" s="5" t="str">
        <x:v>3</x:v>
      </x:c>
      <x:c r="D1197" s="5" t="str">
        <x:v>Recht und Steuern</x:v>
      </x:c>
      <x:c r="E1197" s="5" t="str">
        <x:v>Steuern</x:v>
      </x:c>
      <x:c r="F1197" s="5" t="str">
        <x:v>ui-wq-steuern-unternehmen</x:v>
      </x:c>
      <x:c r="G1197" s="5" t="str">
        <x:v>Unternehmensbezogene Steuern</x:v>
      </x:c>
      <x:c r="H1197" s="5" t="str">
        <x:v>tr-wq-s12</x:v>
      </x:c>
      <x:c r="I1197" s="5" t="str">
        <x:v>3.2.2.8</x:v>
      </x:c>
      <x:c r="J1197" s="5" t="str">
        <x:v>Erbschaft- &amp; Schenkungsteuer</x:v>
      </x:c>
      <x:c r="K1197" s="5" t="str"/>
      <x:c r="L1197" s="5" t="str">
        <x:v>Erbschaft- &amp; Schenkungsteuer</x:v>
      </x:c>
      <x:c r="M1197" s="5" t="n">
        <x:v>194</x:v>
      </x:c>
      <x:c r="N1197" s="5" t="n">
        <x:v>8</x:v>
      </x:c>
      <x:c r="O1197" s="5" t="str"/>
      <x:c r="P1197" s="5" t="str">
        <x:v>Pilot freigegeben</x:v>
      </x:c>
      <x:c r="Q1197" s="5" t="str">
        <x:v>Revision 2 unverändert übernommen</x:v>
      </x:c>
      <x:c r="R1197" s="5" t="str">
        <x:v>Unter welchen Voraussetzungen kann ein Familienheim erbschaft- oder schenkungsteuerfrei übertragen werden?</x:v>
      </x:c>
      <x:c r="S1197" s="5" t="str">
        <x:v>5aa2381b2e27771fcdce75ec8012fbbcc9140e5f6f7af3f4d2c98977e0fce7fc</x:v>
      </x:c>
    </x:row>
    <x:row r="1198" ht="36" customHeight="1">
      <x:c r="A1198" s="5" t="str">
        <x:v>ST-0220</x:v>
      </x:c>
      <x:c r="B1198" s="5" t="str">
        <x:v>WQ</x:v>
      </x:c>
      <x:c r="C1198" s="5" t="str">
        <x:v>3</x:v>
      </x:c>
      <x:c r="D1198" s="5" t="str">
        <x:v>Recht und Steuern</x:v>
      </x:c>
      <x:c r="E1198" s="5" t="str">
        <x:v>Steuern</x:v>
      </x:c>
      <x:c r="F1198" s="5" t="str">
        <x:v>ui-wq-steuern-unternehmen</x:v>
      </x:c>
      <x:c r="G1198" s="5" t="str">
        <x:v>Unternehmensbezogene Steuern</x:v>
      </x:c>
      <x:c r="H1198" s="5" t="str">
        <x:v>tr-wq-s12</x:v>
      </x:c>
      <x:c r="I1198" s="5" t="str">
        <x:v>3.2.2.8</x:v>
      </x:c>
      <x:c r="J1198" s="5" t="str">
        <x:v>Erbschaft- &amp; Schenkungsteuer</x:v>
      </x:c>
      <x:c r="K1198" s="5" t="str"/>
      <x:c r="L1198" s="5" t="str">
        <x:v>Erbschaft- &amp; Schenkungsteuer</x:v>
      </x:c>
      <x:c r="M1198" s="5" t="n">
        <x:v>195</x:v>
      </x:c>
      <x:c r="N1198" s="5" t="n">
        <x:v>9</x:v>
      </x:c>
      <x:c r="O1198" s="5" t="str"/>
      <x:c r="P1198" s="5" t="str">
        <x:v>Pilot freigegeben</x:v>
      </x:c>
      <x:c r="Q1198" s="5" t="str">
        <x:v>Revision 2 unverändert übernommen</x:v>
      </x:c>
      <x:c r="R1198" s="5" t="str">
        <x:v>Unterscheiden Sie Regelverschonung und Optionsverschonung für begünstigtes Betriebsvermögen.</x:v>
      </x:c>
      <x:c r="S1198" s="5" t="str">
        <x:v>f9640ebccee73ee7e3f8bdb090d9df38f36aa7b6d5348b64bb579745438b0500</x:v>
      </x:c>
    </x:row>
    <x:row r="1199" ht="36" customHeight="1">
      <x:c r="A1199" s="5" t="str">
        <x:v>ST-0221</x:v>
      </x:c>
      <x:c r="B1199" s="5" t="str">
        <x:v>WQ</x:v>
      </x:c>
      <x:c r="C1199" s="5" t="str">
        <x:v>3</x:v>
      </x:c>
      <x:c r="D1199" s="5" t="str">
        <x:v>Recht und Steuern</x:v>
      </x:c>
      <x:c r="E1199" s="5" t="str">
        <x:v>Steuern</x:v>
      </x:c>
      <x:c r="F1199" s="5" t="str">
        <x:v>ui-wq-steuern-unternehmen</x:v>
      </x:c>
      <x:c r="G1199" s="5" t="str">
        <x:v>Unternehmensbezogene Steuern</x:v>
      </x:c>
      <x:c r="H1199" s="5" t="str">
        <x:v>tr-wq-s12</x:v>
      </x:c>
      <x:c r="I1199" s="5" t="str">
        <x:v>3.2.2.8</x:v>
      </x:c>
      <x:c r="J1199" s="5" t="str">
        <x:v>Erbschaft- &amp; Schenkungsteuer</x:v>
      </x:c>
      <x:c r="K1199" s="5" t="str"/>
      <x:c r="L1199" s="5" t="str">
        <x:v>Erbschaft- &amp; Schenkungsteuer</x:v>
      </x:c>
      <x:c r="M1199" s="5" t="n">
        <x:v>196</x:v>
      </x:c>
      <x:c r="N1199" s="5" t="n">
        <x:v>10</x:v>
      </x:c>
      <x:c r="O1199" s="5" t="str"/>
      <x:c r="P1199" s="5" t="str">
        <x:v>Pilot freigegeben</x:v>
      </x:c>
      <x:c r="Q1199" s="5" t="str">
        <x:v>Revision 2 unverändert übernommen</x:v>
      </x:c>
      <x:c r="R1199" s="5" t="str">
        <x:v>Wann entsteht die Erbschaft- beziehungsweise Schenkungsteuer und wer schuldet sie?</x:v>
      </x:c>
      <x:c r="S1199" s="5" t="str">
        <x:v>2e1961975f9ba5c8fd0048f776382eb1a3fc0fd20f429d2bac6280a7ff73f960</x:v>
      </x:c>
    </x:row>
    <x:row r="1200" ht="36" customHeight="1">
      <x:c r="A1200" s="5" t="str">
        <x:v>ST-0222</x:v>
      </x:c>
      <x:c r="B1200" s="5" t="str">
        <x:v>WQ</x:v>
      </x:c>
      <x:c r="C1200" s="5" t="str">
        <x:v>3</x:v>
      </x:c>
      <x:c r="D1200" s="5" t="str">
        <x:v>Recht und Steuern</x:v>
      </x:c>
      <x:c r="E1200" s="5" t="str">
        <x:v>Steuern</x:v>
      </x:c>
      <x:c r="F1200" s="5" t="str">
        <x:v>ui-wq-steuern-ao</x:v>
      </x:c>
      <x:c r="G1200" s="5" t="str">
        <x:v>Abgabenordnung</x:v>
      </x:c>
      <x:c r="H1200" s="5" t="str">
        <x:v>tr-wq-s13</x:v>
      </x:c>
      <x:c r="I1200" s="5" t="str">
        <x:v>3.2.3</x:v>
      </x:c>
      <x:c r="J1200" s="5" t="str">
        <x:v>Abgabenordnung &amp; Besteuerungsverfahren</x:v>
      </x:c>
      <x:c r="K1200" s="5" t="str"/>
      <x:c r="L1200" s="5" t="str">
        <x:v>Abgabenordnung &amp; Besteuerungsverfahren</x:v>
      </x:c>
      <x:c r="M1200" s="5" t="n">
        <x:v>16</x:v>
      </x:c>
      <x:c r="N1200" s="5" t="n">
        <x:v>16</x:v>
      </x:c>
      <x:c r="O1200" s="5" t="str"/>
      <x:c r="P1200" s="5" t="str">
        <x:v>Pilot freigegeben</x:v>
      </x:c>
      <x:c r="Q1200" s="5" t="str">
        <x:v>Revision 2 unverändert übernommen</x:v>
      </x:c>
      <x:c r="R1200" s="5" t="str">
        <x:v>Unterscheiden Sie Steuererhebungs- und Vollstreckungsverfahren und nennen Sie zentrale Voraussetzungen.</x:v>
      </x:c>
      <x:c r="S1200" s="5" t="str">
        <x:v>a9397a741da2085ce86cf30c284ec5da6cf601389eb3bd2b15adee717690229a</x:v>
      </x:c>
    </x:row>
    <x:row r="1201" ht="36" customHeight="1">
      <x:c r="A1201" s="5" t="str">
        <x:v>ST-0223</x:v>
      </x:c>
      <x:c r="B1201" s="5" t="str">
        <x:v>WQ</x:v>
      </x:c>
      <x:c r="C1201" s="5" t="str">
        <x:v>3</x:v>
      </x:c>
      <x:c r="D1201" s="5" t="str">
        <x:v>Recht und Steuern</x:v>
      </x:c>
      <x:c r="E1201" s="5" t="str">
        <x:v>Steuern</x:v>
      </x:c>
      <x:c r="F1201" s="5" t="str">
        <x:v>ui-wq-steuern-grundlagen</x:v>
      </x:c>
      <x:c r="G1201" s="5" t="str">
        <x:v>Grundbegriffe des Steuerrechts</x:v>
      </x:c>
      <x:c r="H1201" s="5" t="str">
        <x:v>tr-wq-s01</x:v>
      </x:c>
      <x:c r="I1201" s="5" t="str">
        <x:v>3.2.1</x:v>
      </x:c>
      <x:c r="J1201" s="5" t="str">
        <x:v>Steuerliche Grundlagen &amp; Systematik</x:v>
      </x:c>
      <x:c r="K1201" s="5" t="str"/>
      <x:c r="L1201" s="5" t="str">
        <x:v>Steuerliche Grundlagen &amp; Systematik</x:v>
      </x:c>
      <x:c r="M1201" s="5" t="n">
        <x:v>11</x:v>
      </x:c>
      <x:c r="N1201" s="5" t="n">
        <x:v>11</x:v>
      </x:c>
      <x:c r="O1201" s="5" t="str"/>
      <x:c r="P1201" s="5" t="str">
        <x:v>Pilot freigegeben</x:v>
      </x:c>
      <x:c r="Q1201" s="5" t="str">
        <x:v>Revision 2 unverändert übernommen</x:v>
      </x:c>
      <x:c r="R1201" s="5" t="str">
        <x:v>Ordnen Sie die folgenden Steuerarten nach ihrer typischen Einwirkung auf das Vermögen ein: Einkommensteuer, Grundsteuer, Umsatzsteuer und Grunderwerbsteuer. Unterscheiden Sie dabei Zufluss-/Ertrags-, Bestands- und Verwendungsbezug.</x:v>
      </x:c>
      <x:c r="S1201" s="5" t="str">
        <x:v>fba4ace779f581502ea422ec0ef2769b703cb5455a0a3e300b06ec53957e6a30</x:v>
      </x:c>
    </x:row>
    <x:row r="1202" ht="36" customHeight="1">
      <x:c r="A1202" s="5" t="str">
        <x:v>ST-0224</x:v>
      </x:c>
      <x:c r="B1202" s="5" t="str">
        <x:v>WQ</x:v>
      </x:c>
      <x:c r="C1202" s="5" t="str">
        <x:v>3</x:v>
      </x:c>
      <x:c r="D1202" s="5" t="str">
        <x:v>Recht und Steuern</x:v>
      </x:c>
      <x:c r="E1202" s="5" t="str">
        <x:v>Steuern</x:v>
      </x:c>
      <x:c r="F1202" s="5" t="str">
        <x:v>ui-wq-steuern-grundlagen</x:v>
      </x:c>
      <x:c r="G1202" s="5" t="str">
        <x:v>Grundbegriffe des Steuerrechts</x:v>
      </x:c>
      <x:c r="H1202" s="5" t="str">
        <x:v>tr-wq-s01</x:v>
      </x:c>
      <x:c r="I1202" s="5" t="str">
        <x:v>3.2.1</x:v>
      </x:c>
      <x:c r="J1202" s="5" t="str">
        <x:v>Steuerliche Grundlagen &amp; Systematik</x:v>
      </x:c>
      <x:c r="K1202" s="5" t="str"/>
      <x:c r="L1202" s="5" t="str">
        <x:v>Steuerliche Grundlagen &amp; Systematik</x:v>
      </x:c>
      <x:c r="M1202" s="5" t="n">
        <x:v>12</x:v>
      </x:c>
      <x:c r="N1202" s="5" t="n">
        <x:v>12</x:v>
      </x:c>
      <x:c r="O1202" s="5" t="str"/>
      <x:c r="P1202" s="5" t="str">
        <x:v>Pilot freigegeben</x:v>
      </x:c>
      <x:c r="Q1202" s="5" t="str">
        <x:v>Revision 2 unverändert übernommen</x:v>
      </x:c>
      <x:c r="R1202" s="5" t="str">
        <x:v>Was unterscheidet eine Sonderabgabe von Steuer, Gebühr und Beitrag?</x:v>
      </x:c>
      <x:c r="S1202" s="5" t="str">
        <x:v>7a41f0401d678e32bb0e0986ad50aad365d17835c6bd013e9ec7623db23a66ce</x:v>
      </x:c>
    </x:row>
    <x:row r="1203" ht="36" customHeight="1">
      <x:c r="A1203" s="5" t="str">
        <x:v>ST-0225</x:v>
      </x:c>
      <x:c r="B1203" s="5" t="str">
        <x:v>WQ</x:v>
      </x:c>
      <x:c r="C1203" s="5" t="str">
        <x:v>3</x:v>
      </x:c>
      <x:c r="D1203" s="5" t="str">
        <x:v>Recht und Steuern</x:v>
      </x:c>
      <x:c r="E1203" s="5" t="str">
        <x:v>Steuern</x:v>
      </x:c>
      <x:c r="F1203" s="5" t="str">
        <x:v>ui-wq-steuern-unternehmen</x:v>
      </x:c>
      <x:c r="G1203" s="5" t="str">
        <x:v>Unternehmensbezogene Steuern</x:v>
      </x:c>
      <x:c r="H1203" s="5" t="str">
        <x:v>tr-wq-s02</x:v>
      </x:c>
      <x:c r="I1203" s="5" t="str">
        <x:v>3.2.2.1</x:v>
      </x:c>
      <x:c r="J1203" s="5" t="str">
        <x:v>Einkommensteuer – Einkunftsarten &amp; Gewinnermittlung</x:v>
      </x:c>
      <x:c r="K1203" s="5" t="str"/>
      <x:c r="L1203" s="5" t="str">
        <x:v>Einkommensteuer – Einkunftsarten &amp; Gewinnermittlung</x:v>
      </x:c>
      <x:c r="M1203" s="5" t="n">
        <x:v>197</x:v>
      </x:c>
      <x:c r="N1203" s="5" t="n">
        <x:v>30</x:v>
      </x:c>
      <x:c r="O1203" s="5" t="str"/>
      <x:c r="P1203" s="5" t="str">
        <x:v>Pilot freigegeben</x:v>
      </x:c>
      <x:c r="Q1203" s="5" t="str">
        <x:v>Revision 2 unverändert übernommen</x:v>
      </x:c>
      <x:c r="R1203" s="5" t="str">
        <x:v>Erläutern Sie das objektive und das subjektive Nettoprinzip der Einkommensteuer. Ordnen Sie Betriebsausgaben, Werbungskosten, Sonderausgaben und außergewöhnliche Belastungen dem jeweils passenden Bereich zu.</x:v>
      </x:c>
      <x:c r="S1203" s="5" t="str">
        <x:v>c12b52913e6328e3dd0b7d2d6ce2f48ef079fb15a97bfd686516d20e418644d1</x:v>
      </x:c>
    </x:row>
    <x:row r="1204" ht="36" customHeight="1">
      <x:c r="A1204" s="5" t="str">
        <x:v>ST-0226</x:v>
      </x:c>
      <x:c r="B1204" s="5" t="str">
        <x:v>WQ</x:v>
      </x:c>
      <x:c r="C1204" s="5" t="str">
        <x:v>3</x:v>
      </x:c>
      <x:c r="D1204" s="5" t="str">
        <x:v>Recht und Steuern</x:v>
      </x:c>
      <x:c r="E1204" s="5" t="str">
        <x:v>Steuern</x:v>
      </x:c>
      <x:c r="F1204" s="5" t="str">
        <x:v>ui-wq-steuern-unternehmen</x:v>
      </x:c>
      <x:c r="G1204" s="5" t="str">
        <x:v>Unternehmensbezogene Steuern</x:v>
      </x:c>
      <x:c r="H1204" s="5" t="str">
        <x:v>tr-wq-s03</x:v>
      </x:c>
      <x:c r="I1204" s="5" t="str">
        <x:v>3.2.2.1</x:v>
      </x:c>
      <x:c r="J1204" s="5" t="str">
        <x:v>Einkommensteuer – Abzüge, Tarif &amp; Veranlagung</x:v>
      </x:c>
      <x:c r="K1204" s="5" t="str"/>
      <x:c r="L1204" s="5" t="str">
        <x:v>Einkommensteuer – Einkommensberechnung &amp; Tarif</x:v>
      </x:c>
      <x:c r="M1204" s="5" t="n">
        <x:v>198</x:v>
      </x:c>
      <x:c r="N1204" s="5" t="n">
        <x:v>19</x:v>
      </x:c>
      <x:c r="O1204" s="5" t="str"/>
      <x:c r="P1204" s="5" t="str">
        <x:v>Pilot freigegeben</x:v>
      </x:c>
      <x:c r="Q1204" s="5" t="str">
        <x:v>Revision 2 unverändert übernommen</x:v>
      </x:c>
      <x:c r="R1204" s="5" t="str">
        <x:v>Was bedeutet das Jahressteuerprinzip bei der Einkommensteuer und welche Bedeutung haben Veranlagungszeitraum, Ermittlungszeitraum und ein abweichendes Wirtschaftsjahr?</x:v>
      </x:c>
      <x:c r="S1204" s="5" t="str">
        <x:v>90ab211854db5a98f3778f2e725aaa99c66292be200c7707ecb25e09b959eb40</x:v>
      </x:c>
    </x:row>
    <x:row r="1205" ht="36" customHeight="1">
      <x:c r="A1205" s="5" t="str">
        <x:v>ST-0227</x:v>
      </x:c>
      <x:c r="B1205" s="5" t="str">
        <x:v>WQ</x:v>
      </x:c>
      <x:c r="C1205" s="5" t="str">
        <x:v>3</x:v>
      </x:c>
      <x:c r="D1205" s="5" t="str">
        <x:v>Recht und Steuern</x:v>
      </x:c>
      <x:c r="E1205" s="5" t="str">
        <x:v>Steuern</x:v>
      </x:c>
      <x:c r="F1205" s="5" t="str">
        <x:v>ui-wq-steuern-unternehmen</x:v>
      </x:c>
      <x:c r="G1205" s="5" t="str">
        <x:v>Unternehmensbezogene Steuern</x:v>
      </x:c>
      <x:c r="H1205" s="5" t="str">
        <x:v>tr-wq-s03</x:v>
      </x:c>
      <x:c r="I1205" s="5" t="str">
        <x:v>3.2.2.1</x:v>
      </x:c>
      <x:c r="J1205" s="5" t="str">
        <x:v>Einkommensteuer – Abzüge, Tarif &amp; Veranlagung</x:v>
      </x:c>
      <x:c r="K1205" s="5" t="str"/>
      <x:c r="L1205" s="5" t="str">
        <x:v>Einkommensteuer – Einkommensberechnung &amp; Tarif</x:v>
      </x:c>
      <x:c r="M1205" s="5" t="n">
        <x:v>199</x:v>
      </x:c>
      <x:c r="N1205" s="5" t="n">
        <x:v>20</x:v>
      </x:c>
      <x:c r="O1205" s="5" t="str"/>
      <x:c r="P1205" s="5" t="str">
        <x:v>Pilot freigegeben</x:v>
      </x:c>
      <x:c r="Q1205" s="5" t="str">
        <x:v>Revision 2 unverändert übernommen</x:v>
      </x:c>
      <x:c r="R1205" s="5" t="str">
        <x:v>Eine in Deutschland unbeschränkt steuerpflichtige Führungskraft der Circle Harbor GmbH erzielt zusätzlich ausländische Einkünfte, auf die im Quellenstaat eine der deutschen Einkommensteuer entsprechende Steuer festgesetzt und gezahlt wurde. Es besteht für den Fall kein anwendbares Doppelbesteuerungsabkommen. Welchen Grundmechanismus sieht § 34c EStG zur Vermeidung einer Doppelbelastung vor?</x:v>
      </x:c>
      <x:c r="S1205" s="5" t="str">
        <x:v>729318dc79bac8ea7c49c2ff961ebbbeb78bb3b437860721aeb3f3c8cc8ec45d</x:v>
      </x:c>
    </x:row>
    <x:row r="1206" ht="36" customHeight="1">
      <x:c r="A1206" s="5" t="str">
        <x:v>ST-0228</x:v>
      </x:c>
      <x:c r="B1206" s="5" t="str">
        <x:v>WQ</x:v>
      </x:c>
      <x:c r="C1206" s="5" t="str">
        <x:v>3</x:v>
      </x:c>
      <x:c r="D1206" s="5" t="str">
        <x:v>Recht und Steuern</x:v>
      </x:c>
      <x:c r="E1206" s="5" t="str">
        <x:v>Steuern</x:v>
      </x:c>
      <x:c r="F1206" s="5" t="str">
        <x:v>ui-wq-steuern-unternehmen</x:v>
      </x:c>
      <x:c r="G1206" s="5" t="str">
        <x:v>Unternehmensbezogene Steuern</x:v>
      </x:c>
      <x:c r="H1206" s="5" t="str">
        <x:v>tr-wq-s03</x:v>
      </x:c>
      <x:c r="I1206" s="5" t="str">
        <x:v>3.2.2.1</x:v>
      </x:c>
      <x:c r="J1206" s="5" t="str">
        <x:v>Einkommensteuer – Abzüge, Tarif &amp; Veranlagung</x:v>
      </x:c>
      <x:c r="K1206" s="5" t="str"/>
      <x:c r="L1206" s="5" t="str">
        <x:v>Einkommensteuer – Einkommensberechnung &amp; Tarif</x:v>
      </x:c>
      <x:c r="M1206" s="5" t="n">
        <x:v>200</x:v>
      </x:c>
      <x:c r="N1206" s="5" t="n">
        <x:v>21</x:v>
      </x:c>
      <x:c r="O1206" s="5" t="str"/>
      <x:c r="P1206" s="5" t="str">
        <x:v>Pilot freigegeben</x:v>
      </x:c>
      <x:c r="Q1206" s="5" t="str">
        <x:v>Revision 2 unverändert übernommen</x:v>
      </x:c>
      <x:c r="R1206" s="5" t="str">
        <x:v>Eine ledige Mitarbeiterin der Circle Harbor GmbH spendet 4.000 € an eine nach § 34g EStG begünstigte politische Partei. Wie hoch ist die Steuerermäßigung nach § 34g höchstens und wie wird sie grundsätzlich berechnet?</x:v>
      </x:c>
      <x:c r="S1206" s="5" t="str">
        <x:v>932cb60d80d3a80217a1578f75295fe6617cf7e8d9303593f1c749ce2012433a</x:v>
      </x:c>
    </x:row>
    <x:row r="1207" ht="36" customHeight="1">
      <x:c r="A1207" s="5" t="str">
        <x:v>ST-0229</x:v>
      </x:c>
      <x:c r="B1207" s="5" t="str">
        <x:v>WQ</x:v>
      </x:c>
      <x:c r="C1207" s="5" t="str">
        <x:v>3</x:v>
      </x:c>
      <x:c r="D1207" s="5" t="str">
        <x:v>Recht und Steuern</x:v>
      </x:c>
      <x:c r="E1207" s="5" t="str">
        <x:v>Steuern</x:v>
      </x:c>
      <x:c r="F1207" s="5" t="str">
        <x:v>ui-wq-steuern-unternehmen</x:v>
      </x:c>
      <x:c r="G1207" s="5" t="str">
        <x:v>Unternehmensbezogene Steuern</x:v>
      </x:c>
      <x:c r="H1207" s="5" t="str">
        <x:v>tr-wq-s03</x:v>
      </x:c>
      <x:c r="I1207" s="5" t="str">
        <x:v>3.2.2.1</x:v>
      </x:c>
      <x:c r="J1207" s="5" t="str">
        <x:v>Einkommensteuer – Abzüge, Tarif &amp; Veranlagung</x:v>
      </x:c>
      <x:c r="K1207" s="5" t="str"/>
      <x:c r="L1207" s="5" t="str">
        <x:v>Einkommensteuer – Einkommensberechnung &amp; Tarif</x:v>
      </x:c>
      <x:c r="M1207" s="5" t="n">
        <x:v>201</x:v>
      </x:c>
      <x:c r="N1207" s="5" t="n">
        <x:v>22</x:v>
      </x:c>
      <x:c r="O1207" s="5" t="str"/>
      <x:c r="P1207" s="5" t="str">
        <x:v>Pilot freigegeben</x:v>
      </x:c>
      <x:c r="Q1207" s="5" t="str">
        <x:v>Revision 2 unverändert übernommen</x:v>
      </x:c>
      <x:c r="R1207" s="5" t="str">
        <x:v>Eine Mitarbeiterin der Circle Harbor GmbH zahlt im Privatbereich 3.000 € begünstigte Arbeitskosten für Handwerkerleistungen und 6.000 € für begünstigte haushaltsnahe Dienstleistungen. Rechnung und unbare Zahlung liegen vor. Wie hoch sind die maximalen Steuerermäßigungen nach § 35a EStG aus diesen beiden Positionen?</x:v>
      </x:c>
      <x:c r="S1207" s="5" t="str">
        <x:v>ba95c4b43a4173badcae77c25f85c557e52844eba76430ba1901c543a77b7d1f</x:v>
      </x:c>
    </x:row>
    <x:row r="1208" ht="36" customHeight="1">
      <x:c r="A1208" s="5" t="str">
        <x:v>ST-0230</x:v>
      </x:c>
      <x:c r="B1208" s="5" t="str">
        <x:v>WQ</x:v>
      </x:c>
      <x:c r="C1208" s="5" t="str">
        <x:v>3</x:v>
      </x:c>
      <x:c r="D1208" s="5" t="str">
        <x:v>Recht und Steuern</x:v>
      </x:c>
      <x:c r="E1208" s="5" t="str">
        <x:v>Steuern</x:v>
      </x:c>
      <x:c r="F1208" s="5" t="str">
        <x:v>ui-wq-steuern-unternehmen</x:v>
      </x:c>
      <x:c r="G1208" s="5" t="str">
        <x:v>Unternehmensbezogene Steuern</x:v>
      </x:c>
      <x:c r="H1208" s="5" t="str">
        <x:v>tr-wq-s03</x:v>
      </x:c>
      <x:c r="I1208" s="5" t="str">
        <x:v>3.2.2.1</x:v>
      </x:c>
      <x:c r="J1208" s="5" t="str">
        <x:v>Einkommensteuer – Abzüge, Tarif &amp; Veranlagung</x:v>
      </x:c>
      <x:c r="K1208" s="5" t="str"/>
      <x:c r="L1208" s="5" t="str">
        <x:v>Einkommensteuer – Einkommensberechnung &amp; Tarif</x:v>
      </x:c>
      <x:c r="M1208" s="5" t="n">
        <x:v>202</x:v>
      </x:c>
      <x:c r="N1208" s="5" t="n">
        <x:v>23</x:v>
      </x:c>
      <x:c r="O1208" s="5" t="str"/>
      <x:c r="P1208" s="5" t="str">
        <x:v>Pilot freigegeben</x:v>
      </x:c>
      <x:c r="Q1208" s="5" t="str">
        <x:v>Revision 2 unverändert übernommen</x:v>
      </x:c>
      <x:c r="R1208" s="5" t="str">
        <x:v>Warum darf eine Steuerermäßigung nach § 35a EStG nicht mit Werbungskosten, Betriebsausgaben, Sonderausgaben oder außergewöhnlichen Belastungen verwechselt werden?</x:v>
      </x:c>
      <x:c r="S1208" s="5" t="str">
        <x:v>27e00fe61178ef3791c93e642ce3b5adea78ee7e8d230f9b610d8db3091b8b20</x:v>
      </x:c>
    </x:row>
    <x:row r="1209" ht="36" customHeight="1">
      <x:c r="A1209" s="5" t="str">
        <x:v>ST-0231</x:v>
      </x:c>
      <x:c r="B1209" s="5" t="str">
        <x:v>WQ</x:v>
      </x:c>
      <x:c r="C1209" s="5" t="str">
        <x:v>3</x:v>
      </x:c>
      <x:c r="D1209" s="5" t="str">
        <x:v>Recht und Steuern</x:v>
      </x:c>
      <x:c r="E1209" s="5" t="str">
        <x:v>Steuern</x:v>
      </x:c>
      <x:c r="F1209" s="5" t="str">
        <x:v>ui-wq-steuern-unternehmen</x:v>
      </x:c>
      <x:c r="G1209" s="5" t="str">
        <x:v>Unternehmensbezogene Steuern</x:v>
      </x:c>
      <x:c r="H1209" s="5" t="str">
        <x:v>tr-wq-s05</x:v>
      </x:c>
      <x:c r="I1209" s="5" t="str">
        <x:v>3.2.2.2</x:v>
      </x:c>
      <x:c r="J1209" s="5" t="str">
        <x:v>Körperschaftsteuer und Beteiligungen</x:v>
      </x:c>
      <x:c r="K1209" s="5" t="str"/>
      <x:c r="L1209" s="5" t="str">
        <x:v>Körperschaftsteuer &amp; Kapitalertragsteuer</x:v>
      </x:c>
      <x:c r="M1209" s="5" t="n">
        <x:v>203</x:v>
      </x:c>
      <x:c r="N1209" s="5" t="n">
        <x:v>24</x:v>
      </x:c>
      <x:c r="O1209" s="5" t="str"/>
      <x:c r="P1209" s="5" t="str">
        <x:v>Pilot freigegeben</x:v>
      </x:c>
      <x:c r="Q1209" s="5" t="str">
        <x:v>Revision 2 unverändert übernommen</x:v>
      </x:c>
      <x:c r="R1209" s="5" t="str">
        <x:v>Ein Gesellschafter der Circle Harbor GmbH überträgt der GmbH eine betrieblich nutzbare Maschine mit einem fremdüblichen Wert von 80.000 € für lediglich 20.000 €. Die verbilligte Übertragung ist allein durch das Gesellschaftsverhältnis veranlasst. Welcher körperschaftsteuerliche Begriff ist zu prüfen und welche Grundwirkung hat § 8 Abs. 3 KStG auf das Einkommen der GmbH?</x:v>
      </x:c>
      <x:c r="S1209" s="5" t="str">
        <x:v>15ffe60c186fe9fba9b4fd2e98183ae16e245c4704f0c211532a225d63cf81b0</x:v>
      </x:c>
    </x:row>
    <x:row r="1210" ht="36" customHeight="1">
      <x:c r="A1210" s="5" t="str">
        <x:v>ST-0232</x:v>
      </x:c>
      <x:c r="B1210" s="5" t="str">
        <x:v>WQ</x:v>
      </x:c>
      <x:c r="C1210" s="5" t="str">
        <x:v>3</x:v>
      </x:c>
      <x:c r="D1210" s="5" t="str">
        <x:v>Recht und Steuern</x:v>
      </x:c>
      <x:c r="E1210" s="5" t="str">
        <x:v>Steuern</x:v>
      </x:c>
      <x:c r="F1210" s="5" t="str">
        <x:v>ui-wq-steuern-unternehmen</x:v>
      </x:c>
      <x:c r="G1210" s="5" t="str">
        <x:v>Unternehmensbezogene Steuern</x:v>
      </x:c>
      <x:c r="H1210" s="5" t="str">
        <x:v>tr-wq-s05</x:v>
      </x:c>
      <x:c r="I1210" s="5" t="str">
        <x:v>3.2.2.2</x:v>
      </x:c>
      <x:c r="J1210" s="5" t="str">
        <x:v>Körperschaftsteuer und Beteiligungen</x:v>
      </x:c>
      <x:c r="K1210" s="5" t="str"/>
      <x:c r="L1210" s="5" t="str">
        <x:v>Körperschaftsteuer &amp; Kapitalertragsteuer</x:v>
      </x:c>
      <x:c r="M1210" s="5" t="n">
        <x:v>204</x:v>
      </x:c>
      <x:c r="N1210" s="5" t="n">
        <x:v>25</x:v>
      </x:c>
      <x:c r="O1210" s="5" t="str"/>
      <x:c r="P1210" s="5" t="str">
        <x:v>Pilot freigegeben</x:v>
      </x:c>
      <x:c r="Q1210" s="5" t="str">
        <x:v>Revision 2 unverändert übernommen</x:v>
      </x:c>
      <x:c r="R1210" s="5" t="str">
        <x:v>Grenzen Sie verdeckte Gewinnausschüttung und verdeckte Einlage anhand der Richtung des Vermögensvorteils und ihrer Grundwirkung auf das körperschaftsteuerliche Einkommen ab.</x:v>
      </x:c>
      <x:c r="S1210" s="5" t="str">
        <x:v>83732c692d07dde82c7127094835f26d839920a659ba548c1db00097d5b61b13</x:v>
      </x:c>
    </x:row>
    <x:row r="1211" ht="36" customHeight="1">
      <x:c r="A1211" s="5" t="str">
        <x:v>ST-0233</x:v>
      </x:c>
      <x:c r="B1211" s="5" t="str">
        <x:v>WQ</x:v>
      </x:c>
      <x:c r="C1211" s="5" t="str">
        <x:v>3</x:v>
      </x:c>
      <x:c r="D1211" s="5" t="str">
        <x:v>Recht und Steuern</x:v>
      </x:c>
      <x:c r="E1211" s="5" t="str">
        <x:v>Steuern</x:v>
      </x:c>
      <x:c r="F1211" s="5" t="str">
        <x:v>ui-wq-steuern-unternehmen</x:v>
      </x:c>
      <x:c r="G1211" s="5" t="str">
        <x:v>Unternehmensbezogene Steuern</x:v>
      </x:c>
      <x:c r="H1211" s="5" t="str">
        <x:v>tr-wq-s04</x:v>
      </x:c>
      <x:c r="I1211" s="5" t="str">
        <x:v>3.2.2.1</x:v>
      </x:c>
      <x:c r="J1211" s="5" t="str">
        <x:v>Mitunternehmerschaft &amp; Personengesellschaften</x:v>
      </x:c>
      <x:c r="K1211" s="5" t="str">
        <x:v>3.2.2.2</x:v>
      </x:c>
      <x:c r="L1211" s="5" t="str">
        <x:v>Mitunternehmerschaft &amp; Personengesellschaften</x:v>
      </x:c>
      <x:c r="M1211" s="5" t="n">
        <x:v>205</x:v>
      </x:c>
      <x:c r="N1211" s="5" t="n">
        <x:v>10</x:v>
      </x:c>
      <x:c r="O1211" s="5" t="str"/>
      <x:c r="P1211" s="5" t="str">
        <x:v>Pilot freigegeben</x:v>
      </x:c>
      <x:c r="Q1211" s="5" t="str">
        <x:v>Revision 2 unverändert übernommen</x:v>
      </x:c>
      <x:c r="R1211" s="5" t="str">
        <x:v>Die Circle Harbor GmbH ist zu 50 % Mitunternehmerin einer gewerblichen KG. Der steuerliche Gesamthandsgewinn der KG beträgt 200.000 € und wird hälftig verteilt. Für Circle Harbor ergibt sich zusätzlich aus einer Ergänzungsbilanz ein Mehrgewinn von 10.000 €. Außerdem erhält Circle Harbor 30.000 € Vergütung für die Überlassung eines betrieblich genutzten Wirtschaftsguts an die KG. Ermitteln Sie den Circle Harbor steuerlich zuzurechnenden Mitunternehmergewinn und erläutern Sie die zweistufige Gewinnermittlung.</x:v>
      </x:c>
      <x:c r="S1211" s="5" t="str">
        <x:v>74f5d37971ac9dcc80e4a00d7357dab3313814c0b7039f7ab7e43837bc64394e</x:v>
      </x:c>
    </x:row>
    <x:row r="1212" ht="36" customHeight="1">
      <x:c r="A1212" s="5" t="str">
        <x:v>UF-0001</x:v>
      </x:c>
      <x:c r="B1212" s="5" t="str">
        <x:v>WQ</x:v>
      </x:c>
      <x:c r="C1212" s="5" t="str">
        <x:v>4</x:v>
      </x:c>
      <x:c r="D1212" s="5" t="str">
        <x:v>Unternehmensführung</x:v>
      </x:c>
      <x:c r="E1212" s="5" t="str">
        <x:v>Unternehmensführung</x:v>
      </x:c>
      <x:c r="F1212" s="5" t="str">
        <x:v>ui-wq-0010</x:v>
      </x:c>
      <x:c r="G1212" s="5" t="str">
        <x:v>Betriebsorganisation</x:v>
      </x:c>
      <x:c r="H1212" s="5" t="str">
        <x:v>dg-wq-0065</x:v>
      </x:c>
      <x:c r="I1212" s="5" t="str">
        <x:v>4.1.1</x:v>
      </x:c>
      <x:c r="J1212" s="5" t="str">
        <x:v>Unternehmensleitbild, Unternehmensphilosophie, Unternehmenskultur und Corporate Identity</x:v>
      </x:c>
      <x:c r="K1212" s="5" t="str"/>
      <x:c r="L1212" s="5" t="str">
        <x:v>Leitbild, Unternehmenspolitik &amp; Planung</x:v>
      </x:c>
      <x:c r="M1212" s="5" t="n">
        <x:v>1</x:v>
      </x:c>
      <x:c r="N1212" s="5" t="n">
        <x:v>1</x:v>
      </x:c>
      <x:c r="O1212" s="5" t="str"/>
      <x:c r="P1212" s="5" t="str">
        <x:v>Zuordnungsvorschlag; Fachfreigabe ausstehend</x:v>
      </x:c>
      <x:c r="Q1212" s="5" t="str">
        <x:v>Bestehendes Lernthema fachlich unter passendem Rahmenplan-Unterbereich behalten</x:v>
      </x:c>
      <x:c r="R1212" s="5" t="str">
        <x:v>Was wird in einem Unternehmensleitbild dargestellt?</x:v>
      </x:c>
      <x:c r="S1212" s="5" t="str">
        <x:v>d656b371160d43a7bed29cce07c0adeaa3882161c9c6bf5a7465f0a822e578a9</x:v>
      </x:c>
    </x:row>
    <x:row r="1213" ht="36" customHeight="1">
      <x:c r="A1213" s="5" t="str">
        <x:v>UF-0002</x:v>
      </x:c>
      <x:c r="B1213" s="5" t="str">
        <x:v>WQ</x:v>
      </x:c>
      <x:c r="C1213" s="5" t="str">
        <x:v>4</x:v>
      </x:c>
      <x:c r="D1213" s="5" t="str">
        <x:v>Unternehmensführung</x:v>
      </x:c>
      <x:c r="E1213" s="5" t="str">
        <x:v>Unternehmensführung</x:v>
      </x:c>
      <x:c r="F1213" s="5" t="str">
        <x:v>ui-wq-0010</x:v>
      </x:c>
      <x:c r="G1213" s="5" t="str">
        <x:v>Betriebsorganisation</x:v>
      </x:c>
      <x:c r="H1213" s="5" t="str">
        <x:v>dg-wq-0065</x:v>
      </x:c>
      <x:c r="I1213" s="5" t="str">
        <x:v>4.1.1</x:v>
      </x:c>
      <x:c r="J1213" s="5" t="str">
        <x:v>Unternehmensleitbild, Unternehmensphilosophie, Unternehmenskultur und Corporate Identity</x:v>
      </x:c>
      <x:c r="K1213" s="5" t="str"/>
      <x:c r="L1213" s="5" t="str">
        <x:v>Leitbild, Unternehmenspolitik &amp; Planung</x:v>
      </x:c>
      <x:c r="M1213" s="5" t="n">
        <x:v>2</x:v>
      </x:c>
      <x:c r="N1213" s="5" t="n">
        <x:v>2</x:v>
      </x:c>
      <x:c r="O1213" s="5" t="str"/>
      <x:c r="P1213" s="5" t="str">
        <x:v>Zuordnungsvorschlag; Fachfreigabe ausstehend</x:v>
      </x:c>
      <x:c r="Q1213" s="5" t="str">
        <x:v>Bestehendes Lernthema fachlich unter passendem Rahmenplan-Unterbereich behalten</x:v>
      </x:c>
      <x:c r="R1213" s="5" t="str">
        <x:v>Welche zwei Bestandteile stehen im Mittelpunkt eines Unternehmensleitbildes?</x:v>
      </x:c>
      <x:c r="S1213" s="5" t="str">
        <x:v>39cdf67c7a59a28e3f8ec8dc87e759ebe7e4a8d8774f5caba3b0b39185d1de9a</x:v>
      </x:c>
    </x:row>
    <x:row r="1214" ht="36" customHeight="1">
      <x:c r="A1214" s="5" t="str">
        <x:v>UF-0003</x:v>
      </x:c>
      <x:c r="B1214" s="5" t="str">
        <x:v>WQ</x:v>
      </x:c>
      <x:c r="C1214" s="5" t="str">
        <x:v>4</x:v>
      </x:c>
      <x:c r="D1214" s="5" t="str">
        <x:v>Unternehmensführung</x:v>
      </x:c>
      <x:c r="E1214" s="5" t="str">
        <x:v>Unternehmensführung</x:v>
      </x:c>
      <x:c r="F1214" s="5" t="str">
        <x:v>ui-wq-0010</x:v>
      </x:c>
      <x:c r="G1214" s="5" t="str">
        <x:v>Betriebsorganisation</x:v>
      </x:c>
      <x:c r="H1214" s="5" t="str">
        <x:v>dg-wq-0065</x:v>
      </x:c>
      <x:c r="I1214" s="5" t="str">
        <x:v>4.1.1</x:v>
      </x:c>
      <x:c r="J1214" s="5" t="str">
        <x:v>Unternehmensleitbild, Unternehmensphilosophie, Unternehmenskultur und Corporate Identity</x:v>
      </x:c>
      <x:c r="K1214" s="5" t="str"/>
      <x:c r="L1214" s="5" t="str">
        <x:v>Leitbild, Unternehmenspolitik &amp; Planung</x:v>
      </x:c>
      <x:c r="M1214" s="5" t="n">
        <x:v>3</x:v>
      </x:c>
      <x:c r="N1214" s="5" t="n">
        <x:v>3</x:v>
      </x:c>
      <x:c r="O1214" s="5" t="str"/>
      <x:c r="P1214" s="5" t="str">
        <x:v>Zuordnungsvorschlag; Fachfreigabe ausstehend</x:v>
      </x:c>
      <x:c r="Q1214" s="5" t="str">
        <x:v>Bestehendes Lernthema fachlich unter passendem Rahmenplan-Unterbereich behalten</x:v>
      </x:c>
      <x:c r="R1214" s="5" t="str">
        <x:v>Definieren Sie die Begriffe Vision und Mission.</x:v>
      </x:c>
      <x:c r="S1214" s="5" t="str">
        <x:v>3d87e4a987ce3ead95982e485da2bf947545644e079139439acbba6f0b48d660</x:v>
      </x:c>
    </x:row>
    <x:row r="1215" ht="36" customHeight="1">
      <x:c r="A1215" s="5" t="str">
        <x:v>UF-0004</x:v>
      </x:c>
      <x:c r="B1215" s="5" t="str">
        <x:v>WQ</x:v>
      </x:c>
      <x:c r="C1215" s="5" t="str">
        <x:v>4</x:v>
      </x:c>
      <x:c r="D1215" s="5" t="str">
        <x:v>Unternehmensführung</x:v>
      </x:c>
      <x:c r="E1215" s="5" t="str">
        <x:v>Unternehmensführung</x:v>
      </x:c>
      <x:c r="F1215" s="5" t="str">
        <x:v>ui-wq-0010</x:v>
      </x:c>
      <x:c r="G1215" s="5" t="str">
        <x:v>Betriebsorganisation</x:v>
      </x:c>
      <x:c r="H1215" s="5" t="str">
        <x:v>dg-wq-0065</x:v>
      </x:c>
      <x:c r="I1215" s="5" t="str">
        <x:v>4.1.1</x:v>
      </x:c>
      <x:c r="J1215" s="5" t="str">
        <x:v>Unternehmensleitbild, Unternehmensphilosophie, Unternehmenskultur und Corporate Identity</x:v>
      </x:c>
      <x:c r="K1215" s="5" t="str"/>
      <x:c r="L1215" s="5" t="str">
        <x:v>Leitbild, Unternehmenspolitik &amp; Planung</x:v>
      </x:c>
      <x:c r="M1215" s="5" t="n">
        <x:v>4</x:v>
      </x:c>
      <x:c r="N1215" s="5" t="n">
        <x:v>4</x:v>
      </x:c>
      <x:c r="O1215" s="5" t="str"/>
      <x:c r="P1215" s="5" t="str">
        <x:v>Zuordnungsvorschlag; Fachfreigabe ausstehend</x:v>
      </x:c>
      <x:c r="Q1215" s="5" t="str">
        <x:v>Bestehendes Lernthema fachlich unter passendem Rahmenplan-Unterbereich behalten</x:v>
      </x:c>
      <x:c r="R1215" s="5" t="str">
        <x:v>Die Circle Harbor GmbH möchte in andere EU-Staaten expandieren. Nennen Sie mindestens vier Gesichtspunkte, die bei diesem Vorhaben berücksichtigt werden müssen.</x:v>
      </x:c>
      <x:c r="S1215" s="5" t="str">
        <x:v>101c5795f9aaacb3ae00ddc3694a80b6e280bfbfeb42d2c42d05e3aff0e4122c</x:v>
      </x:c>
    </x:row>
    <x:row r="1216" ht="36" customHeight="1">
      <x:c r="A1216" s="5" t="str">
        <x:v>UF-0005</x:v>
      </x:c>
      <x:c r="B1216" s="5" t="str">
        <x:v>WQ</x:v>
      </x:c>
      <x:c r="C1216" s="5" t="str">
        <x:v>4</x:v>
      </x:c>
      <x:c r="D1216" s="5" t="str">
        <x:v>Unternehmensführung</x:v>
      </x:c>
      <x:c r="E1216" s="5" t="str">
        <x:v>Unternehmensführung</x:v>
      </x:c>
      <x:c r="F1216" s="5" t="str">
        <x:v>ui-wq-0010</x:v>
      </x:c>
      <x:c r="G1216" s="5" t="str">
        <x:v>Betriebsorganisation</x:v>
      </x:c>
      <x:c r="H1216" s="5" t="str">
        <x:v>dg-wq-0065</x:v>
      </x:c>
      <x:c r="I1216" s="5" t="str">
        <x:v>4.1.1</x:v>
      </x:c>
      <x:c r="J1216" s="5" t="str">
        <x:v>Unternehmensleitbild, Unternehmensphilosophie, Unternehmenskultur und Corporate Identity</x:v>
      </x:c>
      <x:c r="K1216" s="5" t="str"/>
      <x:c r="L1216" s="5" t="str">
        <x:v>Leitbild, Unternehmenspolitik &amp; Planung</x:v>
      </x:c>
      <x:c r="M1216" s="5" t="n">
        <x:v>5</x:v>
      </x:c>
      <x:c r="N1216" s="5" t="n">
        <x:v>5</x:v>
      </x:c>
      <x:c r="O1216" s="5" t="str"/>
      <x:c r="P1216" s="5" t="str">
        <x:v>Zuordnungsvorschlag; Fachfreigabe ausstehend</x:v>
      </x:c>
      <x:c r="Q1216" s="5" t="str">
        <x:v>Bestehendes Lernthema fachlich unter passendem Rahmenplan-Unterbereich behalten</x:v>
      </x:c>
      <x:c r="R1216" s="5" t="str">
        <x:v>Die Circle Harbor GmbH plant die Expansion in weitere EU-Staaten. Nennen Sie zwei andere Unternehmensziele, die mit diesem Expansionsziel in Konkurrenz stehen können, und erläutern Sie jeweils kurz, worin der Zielkonflikt besteht.</x:v>
      </x:c>
      <x:c r="S1216" s="5" t="str">
        <x:v>4aea22fde422b0d37f9759ece96770ed30cdf8db00f286e88cf76031bbf5360a</x:v>
      </x:c>
    </x:row>
    <x:row r="1217" ht="36" customHeight="1">
      <x:c r="A1217" s="5" t="str">
        <x:v>UF-0006</x:v>
      </x:c>
      <x:c r="B1217" s="5" t="str">
        <x:v>WQ</x:v>
      </x:c>
      <x:c r="C1217" s="5" t="str">
        <x:v>4</x:v>
      </x:c>
      <x:c r="D1217" s="5" t="str">
        <x:v>Unternehmensführung</x:v>
      </x:c>
      <x:c r="E1217" s="5" t="str">
        <x:v>Unternehmensführung</x:v>
      </x:c>
      <x:c r="F1217" s="5" t="str">
        <x:v>ui-wq-0010</x:v>
      </x:c>
      <x:c r="G1217" s="5" t="str">
        <x:v>Betriebsorganisation</x:v>
      </x:c>
      <x:c r="H1217" s="5" t="str">
        <x:v>dg-wq-0065</x:v>
      </x:c>
      <x:c r="I1217" s="5" t="str">
        <x:v>4.1.1</x:v>
      </x:c>
      <x:c r="J1217" s="5" t="str">
        <x:v>Unternehmensleitbild, Unternehmensphilosophie, Unternehmenskultur und Corporate Identity</x:v>
      </x:c>
      <x:c r="K1217" s="5" t="str"/>
      <x:c r="L1217" s="5" t="str">
        <x:v>Leitbild, Unternehmenspolitik &amp; Planung</x:v>
      </x:c>
      <x:c r="M1217" s="5" t="n">
        <x:v>6</x:v>
      </x:c>
      <x:c r="N1217" s="5" t="n">
        <x:v>6</x:v>
      </x:c>
      <x:c r="O1217" s="5" t="str"/>
      <x:c r="P1217" s="5" t="str">
        <x:v>Zuordnungsvorschlag; Fachfreigabe ausstehend</x:v>
      </x:c>
      <x:c r="Q1217" s="5" t="str">
        <x:v>Bestehendes Lernthema fachlich unter passendem Rahmenplan-Unterbereich behalten</x:v>
      </x:c>
      <x:c r="R1217" s="5" t="str">
        <x:v>Warum ist die Formulierung und Befristung von Unternehmenszielen wichtig?</x:v>
      </x:c>
      <x:c r="S1217" s="5" t="str">
        <x:v>e68412aff67fddc08590f0fc2ea9d025ce3c12831f3313bc8c6d2fbdfd5e79dc</x:v>
      </x:c>
    </x:row>
    <x:row r="1218" ht="36" customHeight="1">
      <x:c r="A1218" s="5" t="str">
        <x:v>UF-0007</x:v>
      </x:c>
      <x:c r="B1218" s="5" t="str">
        <x:v>WQ</x:v>
      </x:c>
      <x:c r="C1218" s="5" t="str">
        <x:v>4</x:v>
      </x:c>
      <x:c r="D1218" s="5" t="str">
        <x:v>Unternehmensführung</x:v>
      </x:c>
      <x:c r="E1218" s="5" t="str">
        <x:v>Unternehmensführung</x:v>
      </x:c>
      <x:c r="F1218" s="5" t="str">
        <x:v>ui-wq-0010</x:v>
      </x:c>
      <x:c r="G1218" s="5" t="str">
        <x:v>Betriebsorganisation</x:v>
      </x:c>
      <x:c r="H1218" s="5" t="str">
        <x:v>dg-wq-0065</x:v>
      </x:c>
      <x:c r="I1218" s="5" t="str">
        <x:v>4.1.1</x:v>
      </x:c>
      <x:c r="J1218" s="5" t="str">
        <x:v>Unternehmensleitbild, Unternehmensphilosophie, Unternehmenskultur und Corporate Identity</x:v>
      </x:c>
      <x:c r="K1218" s="5" t="str"/>
      <x:c r="L1218" s="5" t="str">
        <x:v>Leitbild, Unternehmenspolitik &amp; Planung</x:v>
      </x:c>
      <x:c r="M1218" s="5" t="n">
        <x:v>7</x:v>
      </x:c>
      <x:c r="N1218" s="5" t="n">
        <x:v>7</x:v>
      </x:c>
      <x:c r="O1218" s="5" t="str"/>
      <x:c r="P1218" s="5" t="str">
        <x:v>Zuordnungsvorschlag; Fachfreigabe ausstehend</x:v>
      </x:c>
      <x:c r="Q1218" s="5" t="str">
        <x:v>Bestehendes Lernthema fachlich unter passendem Rahmenplan-Unterbereich behalten</x:v>
      </x:c>
      <x:c r="R1218" s="5" t="str">
        <x:v>Nennen Sie mindestens vier unterschiedliche Interessengruppen (Stakeholdergruppen) eines Unternehmens.</x:v>
      </x:c>
      <x:c r="S1218" s="5" t="str">
        <x:v>77fe5495c3e8fee31b5d6eef5bd982aed38c6f9e860d7c6603c3c33ca64a3e87</x:v>
      </x:c>
    </x:row>
    <x:row r="1219" ht="36" customHeight="1">
      <x:c r="A1219" s="5" t="str">
        <x:v>UF-0008</x:v>
      </x:c>
      <x:c r="B1219" s="5" t="str">
        <x:v>WQ</x:v>
      </x:c>
      <x:c r="C1219" s="5" t="str">
        <x:v>4</x:v>
      </x:c>
      <x:c r="D1219" s="5" t="str">
        <x:v>Unternehmensführung</x:v>
      </x:c>
      <x:c r="E1219" s="5" t="str">
        <x:v>Unternehmensführung</x:v>
      </x:c>
      <x:c r="F1219" s="5" t="str">
        <x:v>ui-wq-0010</x:v>
      </x:c>
      <x:c r="G1219" s="5" t="str">
        <x:v>Betriebsorganisation</x:v>
      </x:c>
      <x:c r="H1219" s="5" t="str">
        <x:v>dg-wq-0065</x:v>
      </x:c>
      <x:c r="I1219" s="5" t="str">
        <x:v>4.1.1</x:v>
      </x:c>
      <x:c r="J1219" s="5" t="str">
        <x:v>Unternehmensleitbild, Unternehmensphilosophie, Unternehmenskultur und Corporate Identity</x:v>
      </x:c>
      <x:c r="K1219" s="5" t="str"/>
      <x:c r="L1219" s="5" t="str">
        <x:v>Leitbild, Unternehmenspolitik &amp; Planung</x:v>
      </x:c>
      <x:c r="M1219" s="5" t="n">
        <x:v>8</x:v>
      </x:c>
      <x:c r="N1219" s="5" t="n">
        <x:v>8</x:v>
      </x:c>
      <x:c r="O1219" s="5" t="str"/>
      <x:c r="P1219" s="5" t="str">
        <x:v>Zuordnungsvorschlag; Fachfreigabe ausstehend</x:v>
      </x:c>
      <x:c r="Q1219" s="5" t="str">
        <x:v>Bestehendes Lernthema fachlich unter passendem Rahmenplan-Unterbereich behalten</x:v>
      </x:c>
      <x:c r="R1219" s="5" t="str">
        <x:v>Stellen Sie ein Beispiel für einen Zielkonflikt zwischen zwei Interessengruppen dar.</x:v>
      </x:c>
      <x:c r="S1219" s="5" t="str">
        <x:v>2703bc554b0e8844cf27fa789a8adf99d32729f04dbdd4ed3975386042e691d0</x:v>
      </x:c>
    </x:row>
    <x:row r="1220" ht="36" customHeight="1">
      <x:c r="A1220" s="5" t="str">
        <x:v>UF-0009</x:v>
      </x:c>
      <x:c r="B1220" s="5" t="str">
        <x:v>WQ</x:v>
      </x:c>
      <x:c r="C1220" s="5" t="str">
        <x:v>4</x:v>
      </x:c>
      <x:c r="D1220" s="5" t="str">
        <x:v>Unternehmensführung</x:v>
      </x:c>
      <x:c r="E1220" s="5" t="str">
        <x:v>Unternehmensführung</x:v>
      </x:c>
      <x:c r="F1220" s="5" t="str">
        <x:v>ui-wq-0011</x:v>
      </x:c>
      <x:c r="G1220" s="5" t="str">
        <x:v>Personalführung</x:v>
      </x:c>
      <x:c r="H1220" s="5" t="str">
        <x:v>dg-wq-0066</x:v>
      </x:c>
      <x:c r="I1220" s="5" t="str">
        <x:v>4.2.3</x:v>
      </x:c>
      <x:c r="J1220" s="5" t="str">
        <x:v>Führungsstile</x:v>
      </x:c>
      <x:c r="K1220" s="5" t="str"/>
      <x:c r="L1220" s="5" t="str">
        <x:v>Führungsgrundlagen, Motivation &amp; Führungsstile</x:v>
      </x:c>
      <x:c r="M1220" s="5" t="n">
        <x:v>1</x:v>
      </x:c>
      <x:c r="N1220" s="5" t="n">
        <x:v>1</x:v>
      </x:c>
      <x:c r="O1220" s="5" t="str"/>
      <x:c r="P1220" s="5" t="str">
        <x:v>Zuordnungsvorschlag; Fachfreigabe ausstehend</x:v>
      </x:c>
      <x:c r="Q1220" s="5" t="str">
        <x:v>Bestehendes Lernthema fachlich unter passendem Rahmenplan-Unterbereich behalten</x:v>
      </x:c>
      <x:c r="R1220" s="5" t="str">
        <x:v>Ordnen Sie die Aussagen den Führungsgrundsätzen der kooperativen Führung zu.</x:v>
      </x:c>
      <x:c r="S1220" s="5" t="str">
        <x:v>d59212e5dfba1e316f28f618677c6957e2fe50c7fc026d8c2dc9b499ad0a37a8</x:v>
      </x:c>
    </x:row>
    <x:row r="1221" ht="36" customHeight="1">
      <x:c r="A1221" s="5" t="str">
        <x:v>UF-0010</x:v>
      </x:c>
      <x:c r="B1221" s="5" t="str">
        <x:v>WQ</x:v>
      </x:c>
      <x:c r="C1221" s="5" t="str">
        <x:v>4</x:v>
      </x:c>
      <x:c r="D1221" s="5" t="str">
        <x:v>Unternehmensführung</x:v>
      </x:c>
      <x:c r="E1221" s="5" t="str">
        <x:v>Unternehmensführung</x:v>
      </x:c>
      <x:c r="F1221" s="5" t="str">
        <x:v>ui-wq-0011</x:v>
      </x:c>
      <x:c r="G1221" s="5" t="str">
        <x:v>Personalführung</x:v>
      </x:c>
      <x:c r="H1221" s="5" t="str">
        <x:v>dg-wq-0066</x:v>
      </x:c>
      <x:c r="I1221" s="5" t="str">
        <x:v>4.2.3</x:v>
      </x:c>
      <x:c r="J1221" s="5" t="str">
        <x:v>Führungsstile</x:v>
      </x:c>
      <x:c r="K1221" s="5" t="str"/>
      <x:c r="L1221" s="5" t="str">
        <x:v>Führungsgrundlagen, Motivation &amp; Führungsstile</x:v>
      </x:c>
      <x:c r="M1221" s="5" t="n">
        <x:v>2</x:v>
      </x:c>
      <x:c r="N1221" s="5" t="n">
        <x:v>2</x:v>
      </x:c>
      <x:c r="O1221" s="5" t="str"/>
      <x:c r="P1221" s="5" t="str">
        <x:v>Zuordnungsvorschlag; Fachfreigabe ausstehend</x:v>
      </x:c>
      <x:c r="Q1221" s="5" t="str">
        <x:v>Bestehendes Lernthema fachlich unter passendem Rahmenplan-Unterbereich behalten</x:v>
      </x:c>
      <x:c r="R1221" s="5" t="str">
        <x:v>Formulieren Sie für die Zielsetzung der kooperativen Führung zwei Fragestellungen aus Sicht der Aufwärtsbewertung von Führungskräften.</x:v>
      </x:c>
      <x:c r="S1221" s="5" t="str">
        <x:v>4a159348b45f912d3721f78d72e2c72d0624386037a003dc0ff3d26e14606e0b</x:v>
      </x:c>
    </x:row>
    <x:row r="1222" ht="36" customHeight="1">
      <x:c r="A1222" s="5" t="str">
        <x:v>UF-0011</x:v>
      </x:c>
      <x:c r="B1222" s="5" t="str">
        <x:v>WQ</x:v>
      </x:c>
      <x:c r="C1222" s="5" t="str">
        <x:v>4</x:v>
      </x:c>
      <x:c r="D1222" s="5" t="str">
        <x:v>Unternehmensführung</x:v>
      </x:c>
      <x:c r="E1222" s="5" t="str">
        <x:v>Unternehmensführung</x:v>
      </x:c>
      <x:c r="F1222" s="5" t="str">
        <x:v>ui-wq-0011</x:v>
      </x:c>
      <x:c r="G1222" s="5" t="str">
        <x:v>Personalführung</x:v>
      </x:c>
      <x:c r="H1222" s="5" t="str">
        <x:v>dg-wq-0066</x:v>
      </x:c>
      <x:c r="I1222" s="5" t="str">
        <x:v>4.2.3</x:v>
      </x:c>
      <x:c r="J1222" s="5" t="str">
        <x:v>Führungsstile</x:v>
      </x:c>
      <x:c r="K1222" s="5" t="str"/>
      <x:c r="L1222" s="5" t="str">
        <x:v>Führungsgrundlagen, Motivation &amp; Führungsstile</x:v>
      </x:c>
      <x:c r="M1222" s="5" t="n">
        <x:v>3</x:v>
      </x:c>
      <x:c r="N1222" s="5" t="n">
        <x:v>3</x:v>
      </x:c>
      <x:c r="O1222" s="5" t="str"/>
      <x:c r="P1222" s="5" t="str">
        <x:v>Zuordnungsvorschlag; Fachfreigabe ausstehend</x:v>
      </x:c>
      <x:c r="Q1222" s="5" t="str">
        <x:v>Bestehendes Lernthema fachlich unter passendem Rahmenplan-Unterbereich behalten</x:v>
      </x:c>
      <x:c r="R1222" s="5" t="str">
        <x:v>Formulieren Sie für die Verantwortung der kooperativen Führung zwei Fragestellungen aus Sicht der Aufwärtsbewertung von Führungskräften.</x:v>
      </x:c>
      <x:c r="S1222" s="5" t="str">
        <x:v>c47f74fbb029b3fe9243c850e35a07e42415170fbab4a4e54c387d906eb41b12</x:v>
      </x:c>
    </x:row>
    <x:row r="1223" ht="36" customHeight="1">
      <x:c r="A1223" s="5" t="str">
        <x:v>UF-0012</x:v>
      </x:c>
      <x:c r="B1223" s="5" t="str">
        <x:v>WQ</x:v>
      </x:c>
      <x:c r="C1223" s="5" t="str">
        <x:v>4</x:v>
      </x:c>
      <x:c r="D1223" s="5" t="str">
        <x:v>Unternehmensführung</x:v>
      </x:c>
      <x:c r="E1223" s="5" t="str">
        <x:v>Unternehmensführung</x:v>
      </x:c>
      <x:c r="F1223" s="5" t="str">
        <x:v>ui-wq-0011</x:v>
      </x:c>
      <x:c r="G1223" s="5" t="str">
        <x:v>Personalführung</x:v>
      </x:c>
      <x:c r="H1223" s="5" t="str">
        <x:v>dg-wq-0066</x:v>
      </x:c>
      <x:c r="I1223" s="5" t="str">
        <x:v>4.2.3</x:v>
      </x:c>
      <x:c r="J1223" s="5" t="str">
        <x:v>Führungsstile</x:v>
      </x:c>
      <x:c r="K1223" s="5" t="str"/>
      <x:c r="L1223" s="5" t="str">
        <x:v>Führungsgrundlagen, Motivation &amp; Führungsstile</x:v>
      </x:c>
      <x:c r="M1223" s="5" t="n">
        <x:v>4</x:v>
      </x:c>
      <x:c r="N1223" s="5" t="n">
        <x:v>4</x:v>
      </x:c>
      <x:c r="O1223" s="5" t="str"/>
      <x:c r="P1223" s="5" t="str">
        <x:v>Zuordnungsvorschlag; Fachfreigabe ausstehend</x:v>
      </x:c>
      <x:c r="Q1223" s="5" t="str">
        <x:v>Bestehendes Lernthema fachlich unter passendem Rahmenplan-Unterbereich behalten</x:v>
      </x:c>
      <x:c r="R1223" s="5" t="str">
        <x:v>Formulieren Sie für den Mitarbeitereinsatz der kooperativen Führung zwei Fragestellungen aus Sicht der Aufwärtsbewertung von Führungskräften.</x:v>
      </x:c>
      <x:c r="S1223" s="5" t="str">
        <x:v>d2890814399ffc2426f72ab5abee940f99819fc2c447434cf36501de0871ab16</x:v>
      </x:c>
    </x:row>
    <x:row r="1224" ht="36" customHeight="1">
      <x:c r="A1224" s="5" t="str">
        <x:v>UF-0013</x:v>
      </x:c>
      <x:c r="B1224" s="5" t="str">
        <x:v>WQ</x:v>
      </x:c>
      <x:c r="C1224" s="5" t="str">
        <x:v>4</x:v>
      </x:c>
      <x:c r="D1224" s="5" t="str">
        <x:v>Unternehmensführung</x:v>
      </x:c>
      <x:c r="E1224" s="5" t="str">
        <x:v>Unternehmensführung</x:v>
      </x:c>
      <x:c r="F1224" s="5" t="str">
        <x:v>ui-wq-0011</x:v>
      </x:c>
      <x:c r="G1224" s="5" t="str">
        <x:v>Personalführung</x:v>
      </x:c>
      <x:c r="H1224" s="5" t="str">
        <x:v>dg-wq-0066</x:v>
      </x:c>
      <x:c r="I1224" s="5" t="str">
        <x:v>4.2.3</x:v>
      </x:c>
      <x:c r="J1224" s="5" t="str">
        <x:v>Führungsstile</x:v>
      </x:c>
      <x:c r="K1224" s="5" t="str"/>
      <x:c r="L1224" s="5" t="str">
        <x:v>Führungsgrundlagen, Motivation &amp; Führungsstile</x:v>
      </x:c>
      <x:c r="M1224" s="5" t="n">
        <x:v>5</x:v>
      </x:c>
      <x:c r="N1224" s="5" t="n">
        <x:v>5</x:v>
      </x:c>
      <x:c r="O1224" s="5" t="str"/>
      <x:c r="P1224" s="5" t="str">
        <x:v>Zuordnungsvorschlag; Fachfreigabe ausstehend</x:v>
      </x:c>
      <x:c r="Q1224" s="5" t="str">
        <x:v>Bestehendes Lernthema fachlich unter passendem Rahmenplan-Unterbereich behalten</x:v>
      </x:c>
      <x:c r="R1224" s="5" t="str">
        <x:v>Formulieren Sie für die Motivation der kooperativen Führung zwei Fragestellungen aus Sicht der Aufwärtsbewertung von Führungskräften.</x:v>
      </x:c>
      <x:c r="S1224" s="5" t="str">
        <x:v>cc3e2bf76dba009ec5d8449a14fc327faee56c3bdb3713d7920f2f2343319508</x:v>
      </x:c>
    </x:row>
    <x:row r="1225" ht="36" customHeight="1">
      <x:c r="A1225" s="5" t="str">
        <x:v>UF-0014</x:v>
      </x:c>
      <x:c r="B1225" s="5" t="str">
        <x:v>WQ</x:v>
      </x:c>
      <x:c r="C1225" s="5" t="str">
        <x:v>4</x:v>
      </x:c>
      <x:c r="D1225" s="5" t="str">
        <x:v>Unternehmensführung</x:v>
      </x:c>
      <x:c r="E1225" s="5" t="str">
        <x:v>Unternehmensführung</x:v>
      </x:c>
      <x:c r="F1225" s="5" t="str">
        <x:v>ui-wq-0010</x:v>
      </x:c>
      <x:c r="G1225" s="5" t="str">
        <x:v>Betriebsorganisation</x:v>
      </x:c>
      <x:c r="H1225" s="5" t="str">
        <x:v>dg-wq-0065</x:v>
      </x:c>
      <x:c r="I1225" s="5" t="str">
        <x:v>4.1.1</x:v>
      </x:c>
      <x:c r="J1225" s="5" t="str">
        <x:v>Unternehmensleitbild, Unternehmensphilosophie, Unternehmenskultur und Corporate Identity</x:v>
      </x:c>
      <x:c r="K1225" s="5" t="str"/>
      <x:c r="L1225" s="5" t="str">
        <x:v>Leitbild, Unternehmenspolitik &amp; Planung</x:v>
      </x:c>
      <x:c r="M1225" s="5" t="n">
        <x:v>9</x:v>
      </x:c>
      <x:c r="N1225" s="5" t="n">
        <x:v>9</x:v>
      </x:c>
      <x:c r="O1225" s="5" t="str"/>
      <x:c r="P1225" s="5" t="str">
        <x:v>Zuordnungsvorschlag; Fachfreigabe ausstehend</x:v>
      </x:c>
      <x:c r="Q1225" s="5" t="str">
        <x:v>Bestehendes Lernthema fachlich unter passendem Rahmenplan-Unterbereich behalten</x:v>
      </x:c>
      <x:c r="R1225" s="5" t="str">
        <x:v>Begründen Sie mit mindestens zwei fachlich plausiblen Argumenten, warum eine Investition in die Corporate Identity für ein Unternehmen sinnvoll sein kann.</x:v>
      </x:c>
      <x:c r="S1225" s="5" t="str">
        <x:v>10c46e39ada8acc29cb3e313326b534373a03e3c92ef74678836d7eee632e295</x:v>
      </x:c>
    </x:row>
    <x:row r="1226" ht="36" customHeight="1">
      <x:c r="A1226" s="5" t="str">
        <x:v>UF-0015</x:v>
      </x:c>
      <x:c r="B1226" s="5" t="str">
        <x:v>WQ</x:v>
      </x:c>
      <x:c r="C1226" s="5" t="str">
        <x:v>4</x:v>
      </x:c>
      <x:c r="D1226" s="5" t="str">
        <x:v>Unternehmensführung</x:v>
      </x:c>
      <x:c r="E1226" s="5" t="str">
        <x:v>Unternehmensführung</x:v>
      </x:c>
      <x:c r="F1226" s="5" t="str">
        <x:v>ui-wq-0010</x:v>
      </x:c>
      <x:c r="G1226" s="5" t="str">
        <x:v>Betriebsorganisation</x:v>
      </x:c>
      <x:c r="H1226" s="5" t="str">
        <x:v>dg-wq-0065</x:v>
      </x:c>
      <x:c r="I1226" s="5" t="str">
        <x:v>4.1.1</x:v>
      </x:c>
      <x:c r="J1226" s="5" t="str">
        <x:v>Unternehmensleitbild, Unternehmensphilosophie, Unternehmenskultur und Corporate Identity</x:v>
      </x:c>
      <x:c r="K1226" s="5" t="str"/>
      <x:c r="L1226" s="5" t="str">
        <x:v>Leitbild, Unternehmenspolitik &amp; Planung</x:v>
      </x:c>
      <x:c r="M1226" s="5" t="n">
        <x:v>10</x:v>
      </x:c>
      <x:c r="N1226" s="5" t="n">
        <x:v>10</x:v>
      </x:c>
      <x:c r="O1226" s="5" t="str"/>
      <x:c r="P1226" s="5" t="str">
        <x:v>Zuordnungsvorschlag; Fachfreigabe ausstehend</x:v>
      </x:c>
      <x:c r="Q1226" s="5" t="str">
        <x:v>Bestehendes Lernthema fachlich unter passendem Rahmenplan-Unterbereich behalten</x:v>
      </x:c>
      <x:c r="R1226" s="5" t="str">
        <x:v>Beschreiben Sie zu jeder der folgenden Veränderungen der Corporate Identity jeweils eine mögliche konkrete Auswirkung auf die Beschäftigten: 1. Außenwerbung wird neu gestaltet, 2. Website des Unternehmens wird neu gestaltet, 3. Layout der Geschäftsdrucksachen wird geändert.</x:v>
      </x:c>
      <x:c r="S1226" s="5" t="str">
        <x:v>f5117e3780a1374b26af3944ca423824f810c571614d73f4c787c6b5e8283c4c</x:v>
      </x:c>
    </x:row>
    <x:row r="1227" ht="36" customHeight="1">
      <x:c r="A1227" s="5" t="str">
        <x:v>UF-0016</x:v>
      </x:c>
      <x:c r="B1227" s="5" t="str">
        <x:v>WQ</x:v>
      </x:c>
      <x:c r="C1227" s="5" t="str">
        <x:v>4</x:v>
      </x:c>
      <x:c r="D1227" s="5" t="str">
        <x:v>Unternehmensführung</x:v>
      </x:c>
      <x:c r="E1227" s="5" t="str">
        <x:v>Unternehmensführung</x:v>
      </x:c>
      <x:c r="F1227" s="5" t="str">
        <x:v>ui-wq-0010</x:v>
      </x:c>
      <x:c r="G1227" s="5" t="str">
        <x:v>Betriebsorganisation</x:v>
      </x:c>
      <x:c r="H1227" s="5" t="str">
        <x:v>dg-wq-0065</x:v>
      </x:c>
      <x:c r="I1227" s="5" t="str">
        <x:v>4.1.1</x:v>
      </x:c>
      <x:c r="J1227" s="5" t="str">
        <x:v>Unternehmensleitbild, Unternehmensphilosophie, Unternehmenskultur und Corporate Identity</x:v>
      </x:c>
      <x:c r="K1227" s="5" t="str"/>
      <x:c r="L1227" s="5" t="str">
        <x:v>Leitbild, Unternehmenspolitik &amp; Planung</x:v>
      </x:c>
      <x:c r="M1227" s="5" t="n">
        <x:v>11</x:v>
      </x:c>
      <x:c r="N1227" s="5" t="n">
        <x:v>11</x:v>
      </x:c>
      <x:c r="O1227" s="5" t="str"/>
      <x:c r="P1227" s="5" t="str">
        <x:v>Zuordnungsvorschlag; Fachfreigabe ausstehend</x:v>
      </x:c>
      <x:c r="Q1227" s="5" t="str">
        <x:v>Bestehendes Lernthema fachlich unter passendem Rahmenplan-Unterbereich behalten</x:v>
      </x:c>
      <x:c r="R1227" s="5" t="str">
        <x:v>Nennen Sie für die Bereiche Compliance, Soziales und Ökologie jeweils ein konkretes Bewertungskriterium und geben Sie jeweils ein passendes Beispiel dafür an, woran dieses Kriterium gemessen oder beurteilt werden kann.</x:v>
      </x:c>
      <x:c r="S1227" s="5" t="str">
        <x:v>b5799093586396526df3cffb25cd92b0128ae43c6225538132a4be92200423d7</x:v>
      </x:c>
    </x:row>
    <x:row r="1228" ht="36" customHeight="1">
      <x:c r="A1228" s="5" t="str">
        <x:v>UF-0017</x:v>
      </x:c>
      <x:c r="B1228" s="5" t="str">
        <x:v>WQ</x:v>
      </x:c>
      <x:c r="C1228" s="5" t="str">
        <x:v>4</x:v>
      </x:c>
      <x:c r="D1228" s="5" t="str">
        <x:v>Unternehmensführung</x:v>
      </x:c>
      <x:c r="E1228" s="5" t="str">
        <x:v>Unternehmensführung</x:v>
      </x:c>
      <x:c r="F1228" s="5" t="str">
        <x:v>ui-wq-0010</x:v>
      </x:c>
      <x:c r="G1228" s="5" t="str">
        <x:v>Betriebsorganisation</x:v>
      </x:c>
      <x:c r="H1228" s="5" t="str">
        <x:v>dg-wq-0065</x:v>
      </x:c>
      <x:c r="I1228" s="5" t="str">
        <x:v>4.1.1</x:v>
      </x:c>
      <x:c r="J1228" s="5" t="str">
        <x:v>Unternehmensleitbild, Unternehmensphilosophie, Unternehmenskultur und Corporate Identity</x:v>
      </x:c>
      <x:c r="K1228" s="5" t="str"/>
      <x:c r="L1228" s="5" t="str">
        <x:v>Leitbild, Unternehmenspolitik &amp; Planung</x:v>
      </x:c>
      <x:c r="M1228" s="5" t="n">
        <x:v>12</x:v>
      </x:c>
      <x:c r="N1228" s="5" t="n">
        <x:v>12</x:v>
      </x:c>
      <x:c r="O1228" s="5" t="str"/>
      <x:c r="P1228" s="5" t="str">
        <x:v>Zuordnungsvorschlag; Fachfreigabe ausstehend</x:v>
      </x:c>
      <x:c r="Q1228" s="5" t="str">
        <x:v>Bestehendes Lernthema fachlich unter passendem Rahmenplan-Unterbereich behalten</x:v>
      </x:c>
      <x:c r="R1228" s="5" t="str">
        <x:v>Nennen Sie mindestens vier Gesichtspunkte, die bei der strategischen Planung berücksichtigt werden müssen.</x:v>
      </x:c>
      <x:c r="S1228" s="5" t="str">
        <x:v>a804e99548e414c9af61483dd397c2b1e7066125a7efd54ddb2e168cac0c2932</x:v>
      </x:c>
    </x:row>
    <x:row r="1229" ht="36" customHeight="1">
      <x:c r="A1229" s="5" t="str">
        <x:v>UF-0018</x:v>
      </x:c>
      <x:c r="B1229" s="5" t="str">
        <x:v>WQ</x:v>
      </x:c>
      <x:c r="C1229" s="5" t="str">
        <x:v>4</x:v>
      </x:c>
      <x:c r="D1229" s="5" t="str">
        <x:v>Unternehmensführung</x:v>
      </x:c>
      <x:c r="E1229" s="5" t="str">
        <x:v>Unternehmensführung</x:v>
      </x:c>
      <x:c r="F1229" s="5" t="str">
        <x:v>ui-wq-0010</x:v>
      </x:c>
      <x:c r="G1229" s="5" t="str">
        <x:v>Betriebsorganisation</x:v>
      </x:c>
      <x:c r="H1229" s="5" t="str">
        <x:v>dg-wq-0065</x:v>
      </x:c>
      <x:c r="I1229" s="5" t="str">
        <x:v>4.1.1</x:v>
      </x:c>
      <x:c r="J1229" s="5" t="str">
        <x:v>Unternehmensleitbild, Unternehmensphilosophie, Unternehmenskultur und Corporate Identity</x:v>
      </x:c>
      <x:c r="K1229" s="5" t="str"/>
      <x:c r="L1229" s="5" t="str">
        <x:v>Leitbild, Unternehmenspolitik &amp; Planung</x:v>
      </x:c>
      <x:c r="M1229" s="5" t="n">
        <x:v>13</x:v>
      </x:c>
      <x:c r="N1229" s="5" t="n">
        <x:v>13</x:v>
      </x:c>
      <x:c r="O1229" s="5" t="str"/>
      <x:c r="P1229" s="5" t="str">
        <x:v>Zuordnungsvorschlag; Fachfreigabe ausstehend</x:v>
      </x:c>
      <x:c r="Q1229" s="5" t="str">
        <x:v>Bestehendes Lernthema fachlich unter passendem Rahmenplan-Unterbereich behalten</x:v>
      </x:c>
      <x:c r="R1229" s="5" t="str">
        <x:v>Warum gewinnt man durch Planung keine hundertprozentige Sicherheit? Nennen Sie mindestens zwei Gründe.</x:v>
      </x:c>
      <x:c r="S1229" s="5" t="str">
        <x:v>779efae0c9094798fa20a44f8c3fbbbc9276368d37d51fa9abc4a24b2cf47862</x:v>
      </x:c>
    </x:row>
    <x:row r="1230" ht="36" customHeight="1">
      <x:c r="A1230" s="5" t="str">
        <x:v>UF-0019</x:v>
      </x:c>
      <x:c r="B1230" s="5" t="str">
        <x:v>WQ</x:v>
      </x:c>
      <x:c r="C1230" s="5" t="str">
        <x:v>4</x:v>
      </x:c>
      <x:c r="D1230" s="5" t="str">
        <x:v>Unternehmensführung</x:v>
      </x:c>
      <x:c r="E1230" s="5" t="str">
        <x:v>Unternehmensführung</x:v>
      </x:c>
      <x:c r="F1230" s="5" t="str">
        <x:v>ui-wq-0010</x:v>
      </x:c>
      <x:c r="G1230" s="5" t="str">
        <x:v>Betriebsorganisation</x:v>
      </x:c>
      <x:c r="H1230" s="5" t="str">
        <x:v>dg-wq-0065</x:v>
      </x:c>
      <x:c r="I1230" s="5" t="str">
        <x:v>4.1.1</x:v>
      </x:c>
      <x:c r="J1230" s="5" t="str">
        <x:v>Unternehmensleitbild, Unternehmensphilosophie, Unternehmenskultur und Corporate Identity</x:v>
      </x:c>
      <x:c r="K1230" s="5" t="str"/>
      <x:c r="L1230" s="5" t="str">
        <x:v>Leitbild, Unternehmenspolitik &amp; Planung</x:v>
      </x:c>
      <x:c r="M1230" s="5" t="n">
        <x:v>14</x:v>
      </x:c>
      <x:c r="N1230" s="5" t="n">
        <x:v>14</x:v>
      </x:c>
      <x:c r="O1230" s="5" t="str"/>
      <x:c r="P1230" s="5" t="str">
        <x:v>Zuordnungsvorschlag; Fachfreigabe ausstehend</x:v>
      </x:c>
      <x:c r="Q1230" s="5" t="str">
        <x:v>Bestehendes Lernthema fachlich unter passendem Rahmenplan-Unterbereich behalten</x:v>
      </x:c>
      <x:c r="R1230" s="5" t="str">
        <x:v>Nennen Sie zwei Beispiele für Planung zur Zukunftssicherung eines Unternehmens.</x:v>
      </x:c>
      <x:c r="S1230" s="5" t="str">
        <x:v>7929ab416ca36ae013dc3909b0da339fcabe452f8ab7e87adeee7cffd2fdafd8</x:v>
      </x:c>
    </x:row>
    <x:row r="1231" ht="36" customHeight="1">
      <x:c r="A1231" s="5" t="str">
        <x:v>UF-0020</x:v>
      </x:c>
      <x:c r="B1231" s="5" t="str">
        <x:v>WQ</x:v>
      </x:c>
      <x:c r="C1231" s="5" t="str">
        <x:v>4</x:v>
      </x:c>
      <x:c r="D1231" s="5" t="str">
        <x:v>Unternehmensführung</x:v>
      </x:c>
      <x:c r="E1231" s="5" t="str">
        <x:v>Unternehmensführung</x:v>
      </x:c>
      <x:c r="F1231" s="5" t="str">
        <x:v>ui-wq-0010</x:v>
      </x:c>
      <x:c r="G1231" s="5" t="str">
        <x:v>Betriebsorganisation</x:v>
      </x:c>
      <x:c r="H1231" s="5" t="str">
        <x:v>dg-wq-0065</x:v>
      </x:c>
      <x:c r="I1231" s="5" t="str">
        <x:v>4.1.1</x:v>
      </x:c>
      <x:c r="J1231" s="5" t="str">
        <x:v>Unternehmensleitbild, Unternehmensphilosophie, Unternehmenskultur und Corporate Identity</x:v>
      </x:c>
      <x:c r="K1231" s="5" t="str"/>
      <x:c r="L1231" s="5" t="str">
        <x:v>Leitbild, Unternehmenspolitik &amp; Planung</x:v>
      </x:c>
      <x:c r="M1231" s="5" t="n">
        <x:v>15</x:v>
      </x:c>
      <x:c r="N1231" s="5" t="n">
        <x:v>15</x:v>
      </x:c>
      <x:c r="O1231" s="5" t="str"/>
      <x:c r="P1231" s="5" t="str">
        <x:v>Zuordnungsvorschlag; Fachfreigabe ausstehend</x:v>
      </x:c>
      <x:c r="Q1231" s="5" t="str">
        <x:v>Bestehendes Lernthema fachlich unter passendem Rahmenplan-Unterbereich behalten</x:v>
      </x:c>
      <x:c r="R1231" s="5" t="str">
        <x:v>Ordnen Sie die Phasen des Produktlebenszyklus in die richtige Reihenfolge.</x:v>
      </x:c>
      <x:c r="S1231" s="5" t="str">
        <x:v>9796871291a6bef1431b7f857b5b67bc06d1b98b78b2a04e422de3bd700d9cd8</x:v>
      </x:c>
    </x:row>
    <x:row r="1232" ht="36" customHeight="1">
      <x:c r="A1232" s="5" t="str">
        <x:v>UF-0021</x:v>
      </x:c>
      <x:c r="B1232" s="5" t="str">
        <x:v>WQ</x:v>
      </x:c>
      <x:c r="C1232" s="5" t="str">
        <x:v>4</x:v>
      </x:c>
      <x:c r="D1232" s="5" t="str">
        <x:v>Unternehmensführung</x:v>
      </x:c>
      <x:c r="E1232" s="5" t="str">
        <x:v>Unternehmensführung</x:v>
      </x:c>
      <x:c r="F1232" s="5" t="str">
        <x:v>ui-wq-0010</x:v>
      </x:c>
      <x:c r="G1232" s="5" t="str">
        <x:v>Betriebsorganisation</x:v>
      </x:c>
      <x:c r="H1232" s="5" t="str">
        <x:v>dg-wq-0065</x:v>
      </x:c>
      <x:c r="I1232" s="5" t="str">
        <x:v>4.1.1</x:v>
      </x:c>
      <x:c r="J1232" s="5" t="str">
        <x:v>Unternehmensleitbild, Unternehmensphilosophie, Unternehmenskultur und Corporate Identity</x:v>
      </x:c>
      <x:c r="K1232" s="5" t="str"/>
      <x:c r="L1232" s="5" t="str">
        <x:v>Leitbild, Unternehmenspolitik &amp; Planung</x:v>
      </x:c>
      <x:c r="M1232" s="5" t="n">
        <x:v>16</x:v>
      </x:c>
      <x:c r="N1232" s="5" t="n">
        <x:v>16</x:v>
      </x:c>
      <x:c r="O1232" s="5" t="str"/>
      <x:c r="P1232" s="5" t="str">
        <x:v>Zuordnungsvorschlag; Fachfreigabe ausstehend</x:v>
      </x:c>
      <x:c r="Q1232" s="5" t="str">
        <x:v>Bestehendes Lernthema fachlich unter passendem Rahmenplan-Unterbereich behalten</x:v>
      </x:c>
      <x:c r="R1232" s="5" t="str">
        <x:v>Welche Phase des Produktlebenszyklus weist in der Regel den höchsten Gewinn auf?</x:v>
      </x:c>
      <x:c r="S1232" s="5" t="str">
        <x:v>197a2a5dce3a95df36a44128c5434cb6e7ee2ea6f5b152aa14f63eed66fc97e9</x:v>
      </x:c>
    </x:row>
    <x:row r="1233" ht="36" customHeight="1">
      <x:c r="A1233" s="5" t="str">
        <x:v>UF-0022</x:v>
      </x:c>
      <x:c r="B1233" s="5" t="str">
        <x:v>WQ</x:v>
      </x:c>
      <x:c r="C1233" s="5" t="str">
        <x:v>4</x:v>
      </x:c>
      <x:c r="D1233" s="5" t="str">
        <x:v>Unternehmensführung</x:v>
      </x:c>
      <x:c r="E1233" s="5" t="str">
        <x:v>Unternehmensführung</x:v>
      </x:c>
      <x:c r="F1233" s="5" t="str">
        <x:v>ui-wq-0010</x:v>
      </x:c>
      <x:c r="G1233" s="5" t="str">
        <x:v>Betriebsorganisation</x:v>
      </x:c>
      <x:c r="H1233" s="5" t="str">
        <x:v>dg-wq-0065</x:v>
      </x:c>
      <x:c r="I1233" s="5" t="str">
        <x:v>4.1.1</x:v>
      </x:c>
      <x:c r="J1233" s="5" t="str">
        <x:v>Unternehmensleitbild, Unternehmensphilosophie, Unternehmenskultur und Corporate Identity</x:v>
      </x:c>
      <x:c r="K1233" s="5" t="str"/>
      <x:c r="L1233" s="5" t="str">
        <x:v>Leitbild, Unternehmenspolitik &amp; Planung</x:v>
      </x:c>
      <x:c r="M1233" s="5" t="n">
        <x:v>17</x:v>
      </x:c>
      <x:c r="N1233" s="5" t="n">
        <x:v>17</x:v>
      </x:c>
      <x:c r="O1233" s="5" t="str"/>
      <x:c r="P1233" s="5" t="str">
        <x:v>Zuordnungsvorschlag; Fachfreigabe ausstehend</x:v>
      </x:c>
      <x:c r="Q1233" s="5" t="str">
        <x:v>Bestehendes Lernthema fachlich unter passendem Rahmenplan-Unterbereich behalten</x:v>
      </x:c>
      <x:c r="R1233" s="5" t="str">
        <x:v>Entscheiden Sie, welche Aussagen zu strategischen und operativen Zielen zutreffen.</x:v>
      </x:c>
      <x:c r="S1233" s="5" t="str">
        <x:v>d4012da43fd2cae32870f01b1957f20b3c44774f686bf851d60798c0d93df19c</x:v>
      </x:c>
    </x:row>
    <x:row r="1234" ht="36" customHeight="1">
      <x:c r="A1234" s="5" t="str">
        <x:v>UF-0023</x:v>
      </x:c>
      <x:c r="B1234" s="5" t="str">
        <x:v>WQ</x:v>
      </x:c>
      <x:c r="C1234" s="5" t="str">
        <x:v>4</x:v>
      </x:c>
      <x:c r="D1234" s="5" t="str">
        <x:v>Unternehmensführung</x:v>
      </x:c>
      <x:c r="E1234" s="5" t="str">
        <x:v>Unternehmensführung</x:v>
      </x:c>
      <x:c r="F1234" s="5" t="str">
        <x:v>ui-wq-0010</x:v>
      </x:c>
      <x:c r="G1234" s="5" t="str">
        <x:v>Betriebsorganisation</x:v>
      </x:c>
      <x:c r="H1234" s="5" t="str">
        <x:v>dg-wq-0065</x:v>
      </x:c>
      <x:c r="I1234" s="5" t="str">
        <x:v>4.1.1</x:v>
      </x:c>
      <x:c r="J1234" s="5" t="str">
        <x:v>Unternehmensleitbild, Unternehmensphilosophie, Unternehmenskultur und Corporate Identity</x:v>
      </x:c>
      <x:c r="K1234" s="5" t="str"/>
      <x:c r="L1234" s="5" t="str">
        <x:v>Leitbild, Unternehmenspolitik &amp; Planung</x:v>
      </x:c>
      <x:c r="M1234" s="5" t="n">
        <x:v>18</x:v>
      </x:c>
      <x:c r="N1234" s="5" t="n">
        <x:v>18</x:v>
      </x:c>
      <x:c r="O1234" s="5" t="str"/>
      <x:c r="P1234" s="5" t="str">
        <x:v>Zuordnungsvorschlag; Fachfreigabe ausstehend</x:v>
      </x:c>
      <x:c r="Q1234" s="5" t="str">
        <x:v>Bestehendes Lernthema fachlich unter passendem Rahmenplan-Unterbereich behalten</x:v>
      </x:c>
      <x:c r="R1234" s="5" t="str">
        <x:v>Welche Informationen werden für die operative Planung des kommenden Halbjahres benötigt? Nennen Sie mindestens drei Beispiele.</x:v>
      </x:c>
      <x:c r="S1234" s="5" t="str">
        <x:v>a5cfb5ba54ca4273c64094832ad8b834a0a276825d0357626fb94632931a5a0c</x:v>
      </x:c>
    </x:row>
    <x:row r="1235" ht="36" customHeight="1">
      <x:c r="A1235" s="5" t="str">
        <x:v>UF-0024</x:v>
      </x:c>
      <x:c r="B1235" s="5" t="str">
        <x:v>WQ</x:v>
      </x:c>
      <x:c r="C1235" s="5" t="str">
        <x:v>4</x:v>
      </x:c>
      <x:c r="D1235" s="5" t="str">
        <x:v>Unternehmensführung</x:v>
      </x:c>
      <x:c r="E1235" s="5" t="str">
        <x:v>Unternehmensführung</x:v>
      </x:c>
      <x:c r="F1235" s="5" t="str">
        <x:v>ui-wq-0010</x:v>
      </x:c>
      <x:c r="G1235" s="5" t="str">
        <x:v>Betriebsorganisation</x:v>
      </x:c>
      <x:c r="H1235" s="5" t="str">
        <x:v>dg-wq-0065</x:v>
      </x:c>
      <x:c r="I1235" s="5" t="str">
        <x:v>4.1.1</x:v>
      </x:c>
      <x:c r="J1235" s="5" t="str">
        <x:v>Unternehmensleitbild, Unternehmensphilosophie, Unternehmenskultur und Corporate Identity</x:v>
      </x:c>
      <x:c r="K1235" s="5" t="str"/>
      <x:c r="L1235" s="5" t="str">
        <x:v>Leitbild, Unternehmenspolitik &amp; Planung</x:v>
      </x:c>
      <x:c r="M1235" s="5" t="n">
        <x:v>19</x:v>
      </x:c>
      <x:c r="N1235" s="5" t="n">
        <x:v>19</x:v>
      </x:c>
      <x:c r="O1235" s="5" t="str"/>
      <x:c r="P1235" s="5" t="str">
        <x:v>Zuordnungsvorschlag; Fachfreigabe ausstehend</x:v>
      </x:c>
      <x:c r="Q1235" s="5" t="str">
        <x:v>Bestehendes Lernthema fachlich unter passendem Rahmenplan-Unterbereich behalten</x:v>
      </x:c>
      <x:c r="R1235" s="5" t="str">
        <x:v>Welche Art der Marktforschung sollte der stellvertretende Abteilungsleiter Produktpalette zuerst einsetzen? Begründen Sie Ihre Entscheidung.</x:v>
      </x:c>
      <x:c r="S1235" s="5" t="str">
        <x:v>0900c346821b25c3e6df58a53ef736b8180fb342e17afd728069834e0c4f8fdf</x:v>
      </x:c>
    </x:row>
    <x:row r="1236" ht="36" customHeight="1">
      <x:c r="A1236" s="5" t="str">
        <x:v>UF-0025</x:v>
      </x:c>
      <x:c r="B1236" s="5" t="str">
        <x:v>WQ</x:v>
      </x:c>
      <x:c r="C1236" s="5" t="str">
        <x:v>4</x:v>
      </x:c>
      <x:c r="D1236" s="5" t="str">
        <x:v>Unternehmensführung</x:v>
      </x:c>
      <x:c r="E1236" s="5" t="str">
        <x:v>Unternehmensführung</x:v>
      </x:c>
      <x:c r="F1236" s="5" t="str">
        <x:v>ui-wq-0010</x:v>
      </x:c>
      <x:c r="G1236" s="5" t="str">
        <x:v>Betriebsorganisation</x:v>
      </x:c>
      <x:c r="H1236" s="5" t="str">
        <x:v>dg-wq-0065</x:v>
      </x:c>
      <x:c r="I1236" s="5" t="str">
        <x:v>4.1.1</x:v>
      </x:c>
      <x:c r="J1236" s="5" t="str">
        <x:v>Unternehmensleitbild, Unternehmensphilosophie, Unternehmenskultur und Corporate Identity</x:v>
      </x:c>
      <x:c r="K1236" s="5" t="str"/>
      <x:c r="L1236" s="5" t="str">
        <x:v>Leitbild, Unternehmenspolitik &amp; Planung</x:v>
      </x:c>
      <x:c r="M1236" s="5" t="n">
        <x:v>20</x:v>
      </x:c>
      <x:c r="N1236" s="5" t="n">
        <x:v>20</x:v>
      </x:c>
      <x:c r="O1236" s="5" t="str"/>
      <x:c r="P1236" s="5" t="str">
        <x:v>Zuordnungsvorschlag; Fachfreigabe ausstehend</x:v>
      </x:c>
      <x:c r="Q1236" s="5" t="str">
        <x:v>Bestehendes Lernthema fachlich unter passendem Rahmenplan-Unterbereich behalten</x:v>
      </x:c>
      <x:c r="R1236" s="5" t="str">
        <x:v>Beschreiben Sie die SWOT-Analyse und nennen Sie zwei mögliche Anwendungsfälle.</x:v>
      </x:c>
      <x:c r="S1236" s="5" t="str">
        <x:v>bf3562b505054f6afdfdefa1e1c5bc8c14d1af3a9de43dd6da1069cc2651a096</x:v>
      </x:c>
    </x:row>
    <x:row r="1237" ht="36" customHeight="1">
      <x:c r="A1237" s="5" t="str">
        <x:v>UF-0026</x:v>
      </x:c>
      <x:c r="B1237" s="5" t="str">
        <x:v>WQ</x:v>
      </x:c>
      <x:c r="C1237" s="5" t="str">
        <x:v>4</x:v>
      </x:c>
      <x:c r="D1237" s="5" t="str">
        <x:v>Unternehmensführung</x:v>
      </x:c>
      <x:c r="E1237" s="5" t="str">
        <x:v>Unternehmensführung</x:v>
      </x:c>
      <x:c r="F1237" s="5" t="str">
        <x:v>ui-wq-0010</x:v>
      </x:c>
      <x:c r="G1237" s="5" t="str">
        <x:v>Betriebsorganisation</x:v>
      </x:c>
      <x:c r="H1237" s="5" t="str">
        <x:v>dg-wq-0065</x:v>
      </x:c>
      <x:c r="I1237" s="5" t="str">
        <x:v>4.1.1</x:v>
      </x:c>
      <x:c r="J1237" s="5" t="str">
        <x:v>Unternehmensleitbild, Unternehmensphilosophie, Unternehmenskultur und Corporate Identity</x:v>
      </x:c>
      <x:c r="K1237" s="5" t="str"/>
      <x:c r="L1237" s="5" t="str">
        <x:v>Leitbild, Unternehmenspolitik &amp; Planung</x:v>
      </x:c>
      <x:c r="M1237" s="5" t="n">
        <x:v>21</x:v>
      </x:c>
      <x:c r="N1237" s="5" t="n">
        <x:v>21</x:v>
      </x:c>
      <x:c r="O1237" s="5" t="str"/>
      <x:c r="P1237" s="5" t="str">
        <x:v>Zuordnungsvorschlag; Fachfreigabe ausstehend</x:v>
      </x:c>
      <x:c r="Q1237" s="5" t="str">
        <x:v>Bestehendes Lernthema fachlich unter passendem Rahmenplan-Unterbereich behalten</x:v>
      </x:c>
      <x:c r="R1237" s="5" t="str">
        <x:v>Beschreiben Sie die Funktion von Lastenheft und Pflichtenheft.</x:v>
      </x:c>
      <x:c r="S1237" s="5" t="str">
        <x:v>361033431a783439393636016665dd5e3dd4857f39f81d481c419b561c4ac61b</x:v>
      </x:c>
    </x:row>
    <x:row r="1238" ht="36" customHeight="1">
      <x:c r="A1238" s="5" t="str">
        <x:v>UF-0027</x:v>
      </x:c>
      <x:c r="B1238" s="5" t="str">
        <x:v>WQ</x:v>
      </x:c>
      <x:c r="C1238" s="5" t="str">
        <x:v>4</x:v>
      </x:c>
      <x:c r="D1238" s="5" t="str">
        <x:v>Unternehmensführung</x:v>
      </x:c>
      <x:c r="E1238" s="5" t="str">
        <x:v>Unternehmensführung</x:v>
      </x:c>
      <x:c r="F1238" s="5" t="str">
        <x:v>ui-wq-0010</x:v>
      </x:c>
      <x:c r="G1238" s="5" t="str">
        <x:v>Betriebsorganisation</x:v>
      </x:c>
      <x:c r="H1238" s="5" t="str">
        <x:v>dg-wq-0065</x:v>
      </x:c>
      <x:c r="I1238" s="5" t="str">
        <x:v>4.1.1</x:v>
      </x:c>
      <x:c r="J1238" s="5" t="str">
        <x:v>Unternehmensleitbild, Unternehmensphilosophie, Unternehmenskultur und Corporate Identity</x:v>
      </x:c>
      <x:c r="K1238" s="5" t="str"/>
      <x:c r="L1238" s="5" t="str">
        <x:v>Leitbild, Unternehmenspolitik &amp; Planung</x:v>
      </x:c>
      <x:c r="M1238" s="5" t="n">
        <x:v>22</x:v>
      </x:c>
      <x:c r="N1238" s="5" t="n">
        <x:v>22</x:v>
      </x:c>
      <x:c r="O1238" s="5" t="str"/>
      <x:c r="P1238" s="5" t="str">
        <x:v>Zuordnungsvorschlag; Fachfreigabe ausstehend</x:v>
      </x:c>
      <x:c r="Q1238" s="5" t="str">
        <x:v>Bestehendes Lernthema fachlich unter passendem Rahmenplan-Unterbereich behalten</x:v>
      </x:c>
      <x:c r="R1238" s="5" t="str">
        <x:v>Nennen Sie mindestens drei Aufgaben, die im Zuge einer Expansion operativ geplant werden müssen.</x:v>
      </x:c>
      <x:c r="S1238" s="5" t="str">
        <x:v>a7b3534f815d18ea8a53ba1a05e48e5b77083ceb2f8cc2ad19715cd81f98dcad</x:v>
      </x:c>
    </x:row>
    <x:row r="1239" ht="36" customHeight="1">
      <x:c r="A1239" s="5" t="str">
        <x:v>UF-0028</x:v>
      </x:c>
      <x:c r="B1239" s="5" t="str">
        <x:v>WQ</x:v>
      </x:c>
      <x:c r="C1239" s="5" t="str">
        <x:v>4</x:v>
      </x:c>
      <x:c r="D1239" s="5" t="str">
        <x:v>Unternehmensführung</x:v>
      </x:c>
      <x:c r="E1239" s="5" t="str">
        <x:v>Unternehmensführung</x:v>
      </x:c>
      <x:c r="F1239" s="5" t="str">
        <x:v>ui-wq-0010</x:v>
      </x:c>
      <x:c r="G1239" s="5" t="str">
        <x:v>Betriebsorganisation</x:v>
      </x:c>
      <x:c r="H1239" s="5" t="str">
        <x:v>dg-wq-0067</x:v>
      </x:c>
      <x:c r="I1239" s="5" t="str">
        <x:v>4.1.3</x:v>
      </x:c>
      <x:c r="J1239" s="5" t="str">
        <x:v>Aufbauorganisation</x:v>
      </x:c>
      <x:c r="K1239" s="5" t="str"/>
      <x:c r="L1239" s="5" t="str">
        <x:v>Integrierte Managementsysteme &amp; KVP</x:v>
      </x:c>
      <x:c r="M1239" s="5" t="n">
        <x:v>23</x:v>
      </x:c>
      <x:c r="N1239" s="5" t="n">
        <x:v>1</x:v>
      </x:c>
      <x:c r="O1239" s="5" t="str"/>
      <x:c r="P1239" s="5" t="str">
        <x:v>Zuordnungsvorschlag; Fachfreigabe ausstehend</x:v>
      </x:c>
      <x:c r="Q1239" s="5" t="str">
        <x:v>Bestehendes Lernthema fachlich unter passendem Rahmenplan-Unterbereich behalten</x:v>
      </x:c>
      <x:c r="R1239" s="5" t="str">
        <x:v>Nennen Sie mindestens fünf Aufgaben, mit denen sich ein KVP-Team befassen könnte.</x:v>
      </x:c>
      <x:c r="S1239" s="5" t="str">
        <x:v>d8983fc522e9a13fc8d025acc615cfc94e34e3495b7484ec2792c23ca314fa1a</x:v>
      </x:c>
    </x:row>
    <x:row r="1240" ht="36" customHeight="1">
      <x:c r="A1240" s="5" t="str">
        <x:v>UF-0029</x:v>
      </x:c>
      <x:c r="B1240" s="5" t="str">
        <x:v>WQ</x:v>
      </x:c>
      <x:c r="C1240" s="5" t="str">
        <x:v>4</x:v>
      </x:c>
      <x:c r="D1240" s="5" t="str">
        <x:v>Unternehmensführung</x:v>
      </x:c>
      <x:c r="E1240" s="5" t="str">
        <x:v>Unternehmensführung</x:v>
      </x:c>
      <x:c r="F1240" s="5" t="str">
        <x:v>ui-wq-0010</x:v>
      </x:c>
      <x:c r="G1240" s="5" t="str">
        <x:v>Betriebsorganisation</x:v>
      </x:c>
      <x:c r="H1240" s="5" t="str">
        <x:v>dg-wq-0067</x:v>
      </x:c>
      <x:c r="I1240" s="5" t="str">
        <x:v>4.1.3</x:v>
      </x:c>
      <x:c r="J1240" s="5" t="str">
        <x:v>Aufbauorganisation</x:v>
      </x:c>
      <x:c r="K1240" s="5" t="str"/>
      <x:c r="L1240" s="5" t="str">
        <x:v>Integrierte Managementsysteme &amp; KVP</x:v>
      </x:c>
      <x:c r="M1240" s="5" t="n">
        <x:v>24</x:v>
      </x:c>
      <x:c r="N1240" s="5" t="n">
        <x:v>2</x:v>
      </x:c>
      <x:c r="O1240" s="5" t="str"/>
      <x:c r="P1240" s="5" t="str">
        <x:v>Zuordnungsvorschlag; Fachfreigabe ausstehend</x:v>
      </x:c>
      <x:c r="Q1240" s="5" t="str">
        <x:v>Bestehendes Lernthema fachlich unter passendem Rahmenplan-Unterbereich behalten</x:v>
      </x:c>
      <x:c r="R1240" s="5" t="str">
        <x:v>Nennen Sie mindestens vier Fragen, die bei der Einführung eines KVP geklärt werden sollten.</x:v>
      </x:c>
      <x:c r="S1240" s="5" t="str">
        <x:v>89013feec302ebea2765bccf1c6936e8b09c27abaa3c17f5a17195124b68adb8</x:v>
      </x:c>
    </x:row>
    <x:row r="1241" ht="36" customHeight="1">
      <x:c r="A1241" s="5" t="str">
        <x:v>UF-0030</x:v>
      </x:c>
      <x:c r="B1241" s="5" t="str">
        <x:v>WQ</x:v>
      </x:c>
      <x:c r="C1241" s="5" t="str">
        <x:v>4</x:v>
      </x:c>
      <x:c r="D1241" s="5" t="str">
        <x:v>Unternehmensführung</x:v>
      </x:c>
      <x:c r="E1241" s="5" t="str">
        <x:v>Unternehmensführung</x:v>
      </x:c>
      <x:c r="F1241" s="5" t="str">
        <x:v>ui-wq-0010</x:v>
      </x:c>
      <x:c r="G1241" s="5" t="str">
        <x:v>Betriebsorganisation</x:v>
      </x:c>
      <x:c r="H1241" s="5" t="str">
        <x:v>dg-wq-0067</x:v>
      </x:c>
      <x:c r="I1241" s="5" t="str">
        <x:v>4.1.3</x:v>
      </x:c>
      <x:c r="J1241" s="5" t="str">
        <x:v>Aufbauorganisation</x:v>
      </x:c>
      <x:c r="K1241" s="5" t="str"/>
      <x:c r="L1241" s="5" t="str">
        <x:v>Integrierte Managementsysteme &amp; KVP</x:v>
      </x:c>
      <x:c r="M1241" s="5" t="n">
        <x:v>25</x:v>
      </x:c>
      <x:c r="N1241" s="5" t="n">
        <x:v>3</x:v>
      </x:c>
      <x:c r="O1241" s="5" t="str"/>
      <x:c r="P1241" s="5" t="str">
        <x:v>Zuordnungsvorschlag; Fachfreigabe ausstehend</x:v>
      </x:c>
      <x:c r="Q1241" s="5" t="str">
        <x:v>Bestehendes Lernthema fachlich unter passendem Rahmenplan-Unterbereich behalten</x:v>
      </x:c>
      <x:c r="R1241" s="5" t="str">
        <x:v>Nennen und erläutern Sie mindestens drei Gründe, warum eine Zertifizierung des Qualitätsmanagementsystems für die Circle Harbor GmbH sinnvoll sein kann.</x:v>
      </x:c>
      <x:c r="S1241" s="5" t="str">
        <x:v>61d680de54c076cb15cc1ca8a5cdcaeed862b4b8aadd78d9856a3d487921625c</x:v>
      </x:c>
    </x:row>
    <x:row r="1242" ht="36" customHeight="1">
      <x:c r="A1242" s="5" t="str">
        <x:v>UF-0031</x:v>
      </x:c>
      <x:c r="B1242" s="5" t="str">
        <x:v>WQ</x:v>
      </x:c>
      <x:c r="C1242" s="5" t="str">
        <x:v>4</x:v>
      </x:c>
      <x:c r="D1242" s="5" t="str">
        <x:v>Unternehmensführung</x:v>
      </x:c>
      <x:c r="E1242" s="5" t="str">
        <x:v>Unternehmensführung</x:v>
      </x:c>
      <x:c r="F1242" s="5" t="str">
        <x:v>ui-wq-0010</x:v>
      </x:c>
      <x:c r="G1242" s="5" t="str">
        <x:v>Betriebsorganisation</x:v>
      </x:c>
      <x:c r="H1242" s="5" t="str">
        <x:v>dg-wq-0067</x:v>
      </x:c>
      <x:c r="I1242" s="5" t="str">
        <x:v>4.1.3</x:v>
      </x:c>
      <x:c r="J1242" s="5" t="str">
        <x:v>Aufbauorganisation</x:v>
      </x:c>
      <x:c r="K1242" s="5" t="str"/>
      <x:c r="L1242" s="5" t="str">
        <x:v>Integrierte Managementsysteme &amp; KVP</x:v>
      </x:c>
      <x:c r="M1242" s="5" t="n">
        <x:v>26</x:v>
      </x:c>
      <x:c r="N1242" s="5" t="n">
        <x:v>4</x:v>
      </x:c>
      <x:c r="O1242" s="5" t="str"/>
      <x:c r="P1242" s="5" t="str">
        <x:v>Zuordnungsvorschlag; Fachfreigabe ausstehend</x:v>
      </x:c>
      <x:c r="Q1242" s="5" t="str">
        <x:v>Bestehendes Lernthema fachlich unter passendem Rahmenplan-Unterbereich behalten</x:v>
      </x:c>
      <x:c r="R1242" s="5" t="str">
        <x:v>Nennen Sie mindestens drei staatliche Ziele, die mit Vorgaben zum Energiemanagement verfolgt werden.</x:v>
      </x:c>
      <x:c r="S1242" s="5" t="str">
        <x:v>c6269a0a9ffc18f2c810b92454728375c719422e73e1b777fcfb60c7abd3f7c0</x:v>
      </x:c>
    </x:row>
    <x:row r="1243" ht="36" customHeight="1">
      <x:c r="A1243" s="5" t="str">
        <x:v>UF-0032</x:v>
      </x:c>
      <x:c r="B1243" s="5" t="str">
        <x:v>WQ</x:v>
      </x:c>
      <x:c r="C1243" s="5" t="str">
        <x:v>4</x:v>
      </x:c>
      <x:c r="D1243" s="5" t="str">
        <x:v>Unternehmensführung</x:v>
      </x:c>
      <x:c r="E1243" s="5" t="str">
        <x:v>Unternehmensführung</x:v>
      </x:c>
      <x:c r="F1243" s="5" t="str">
        <x:v>ui-wq-0010</x:v>
      </x:c>
      <x:c r="G1243" s="5" t="str">
        <x:v>Betriebsorganisation</x:v>
      </x:c>
      <x:c r="H1243" s="5" t="str">
        <x:v>dg-wq-0067</x:v>
      </x:c>
      <x:c r="I1243" s="5" t="str">
        <x:v>4.1.3</x:v>
      </x:c>
      <x:c r="J1243" s="5" t="str">
        <x:v>Aufbauorganisation</x:v>
      </x:c>
      <x:c r="K1243" s="5" t="str"/>
      <x:c r="L1243" s="5" t="str">
        <x:v>Integrierte Managementsysteme &amp; KVP</x:v>
      </x:c>
      <x:c r="M1243" s="5" t="n">
        <x:v>27</x:v>
      </x:c>
      <x:c r="N1243" s="5" t="n">
        <x:v>5</x:v>
      </x:c>
      <x:c r="O1243" s="5" t="str"/>
      <x:c r="P1243" s="5" t="str">
        <x:v>Zuordnungsvorschlag; Fachfreigabe ausstehend</x:v>
      </x:c>
      <x:c r="Q1243" s="5" t="str">
        <x:v>Bestehendes Lernthema fachlich unter passendem Rahmenplan-Unterbereich behalten</x:v>
      </x:c>
      <x:c r="R1243" s="5" t="str">
        <x:v>Skizzieren Sie mindestens zwei Strategien, mit denen Unternehmen auf staatliche Vorgaben zum Energiemanagement reagieren können.</x:v>
      </x:c>
      <x:c r="S1243" s="5" t="str">
        <x:v>ff121127ef31f730a95057386cc62583e413260ee2d4011ce4ea9cd7daf07cd7</x:v>
      </x:c>
    </x:row>
    <x:row r="1244" ht="36" customHeight="1">
      <x:c r="A1244" s="5" t="str">
        <x:v>UF-0033</x:v>
      </x:c>
      <x:c r="B1244" s="5" t="str">
        <x:v>WQ</x:v>
      </x:c>
      <x:c r="C1244" s="5" t="str">
        <x:v>4</x:v>
      </x:c>
      <x:c r="D1244" s="5" t="str">
        <x:v>Unternehmensführung</x:v>
      </x:c>
      <x:c r="E1244" s="5" t="str">
        <x:v>Unternehmensführung</x:v>
      </x:c>
      <x:c r="F1244" s="5" t="str">
        <x:v>ui-wq-0010</x:v>
      </x:c>
      <x:c r="G1244" s="5" t="str">
        <x:v>Betriebsorganisation</x:v>
      </x:c>
      <x:c r="H1244" s="5" t="str">
        <x:v>dg-wq-0067</x:v>
      </x:c>
      <x:c r="I1244" s="5" t="str">
        <x:v>4.1.3</x:v>
      </x:c>
      <x:c r="J1244" s="5" t="str">
        <x:v>Aufbauorganisation</x:v>
      </x:c>
      <x:c r="K1244" s="5" t="str"/>
      <x:c r="L1244" s="5" t="str">
        <x:v>Integrierte Managementsysteme &amp; KVP</x:v>
      </x:c>
      <x:c r="M1244" s="5" t="n">
        <x:v>28</x:v>
      </x:c>
      <x:c r="N1244" s="5" t="n">
        <x:v>6</x:v>
      </x:c>
      <x:c r="O1244" s="5" t="str"/>
      <x:c r="P1244" s="5" t="str">
        <x:v>Zuordnungsvorschlag; Fachfreigabe ausstehend</x:v>
      </x:c>
      <x:c r="Q1244" s="5" t="str">
        <x:v>Bestehendes Lernthema fachlich unter passendem Rahmenplan-Unterbereich behalten</x:v>
      </x:c>
      <x:c r="R1244" s="5" t="str">
        <x:v>Beschreiben Sie den Ablauf zur Einführung eines Energiemanagementsystems von der Zielsetzung bis zur Zertifizierung.</x:v>
      </x:c>
      <x:c r="S1244" s="5" t="str">
        <x:v>7b5405098afbc7f8b3d6b92e4ebd2f1673ff3d2276ba203e0500ca8cee17dc7e</x:v>
      </x:c>
    </x:row>
    <x:row r="1245" ht="36" customHeight="1">
      <x:c r="A1245" s="5" t="str">
        <x:v>UF-0034</x:v>
      </x:c>
      <x:c r="B1245" s="5" t="str">
        <x:v>WQ</x:v>
      </x:c>
      <x:c r="C1245" s="5" t="str">
        <x:v>4</x:v>
      </x:c>
      <x:c r="D1245" s="5" t="str">
        <x:v>Unternehmensführung</x:v>
      </x:c>
      <x:c r="E1245" s="5" t="str">
        <x:v>Unternehmensführung</x:v>
      </x:c>
      <x:c r="F1245" s="5" t="str">
        <x:v>ui-wq-0010</x:v>
      </x:c>
      <x:c r="G1245" s="5" t="str">
        <x:v>Betriebsorganisation</x:v>
      </x:c>
      <x:c r="H1245" s="5" t="str">
        <x:v>dg-wq-0067</x:v>
      </x:c>
      <x:c r="I1245" s="5" t="str">
        <x:v>4.1.3</x:v>
      </x:c>
      <x:c r="J1245" s="5" t="str">
        <x:v>Aufbauorganisation</x:v>
      </x:c>
      <x:c r="K1245" s="5" t="str"/>
      <x:c r="L1245" s="5" t="str">
        <x:v>Integrierte Managementsysteme &amp; KVP</x:v>
      </x:c>
      <x:c r="M1245" s="5" t="n">
        <x:v>29</x:v>
      </x:c>
      <x:c r="N1245" s="5" t="n">
        <x:v>7</x:v>
      </x:c>
      <x:c r="O1245" s="5" t="str"/>
      <x:c r="P1245" s="5" t="str">
        <x:v>Zuordnungsvorschlag; Fachfreigabe ausstehend</x:v>
      </x:c>
      <x:c r="Q1245" s="5" t="str">
        <x:v>Bestehendes Lernthema fachlich unter passendem Rahmenplan-Unterbereich behalten</x:v>
      </x:c>
      <x:c r="R1245" s="5" t="str">
        <x:v>Nennen Sie mindestens drei umweltrelevante Aspekte, die bei der Auswahl neuer Notebooks beachtet werden sollten.</x:v>
      </x:c>
      <x:c r="S1245" s="5" t="str">
        <x:v>64fe3f5b78b02aa769f18632be1e36947af638e7894efcebafb1cb9f2bd6642d</x:v>
      </x:c>
    </x:row>
    <x:row r="1246" ht="36" customHeight="1">
      <x:c r="A1246" s="5" t="str">
        <x:v>UF-0035</x:v>
      </x:c>
      <x:c r="B1246" s="5" t="str">
        <x:v>WQ</x:v>
      </x:c>
      <x:c r="C1246" s="5" t="str">
        <x:v>4</x:v>
      </x:c>
      <x:c r="D1246" s="5" t="str">
        <x:v>Unternehmensführung</x:v>
      </x:c>
      <x:c r="E1246" s="5" t="str">
        <x:v>Unternehmensführung</x:v>
      </x:c>
      <x:c r="F1246" s="5" t="str">
        <x:v>ui-wq-0010</x:v>
      </x:c>
      <x:c r="G1246" s="5" t="str">
        <x:v>Betriebsorganisation</x:v>
      </x:c>
      <x:c r="H1246" s="5" t="str">
        <x:v>dg-wq-0067</x:v>
      </x:c>
      <x:c r="I1246" s="5" t="str">
        <x:v>4.1.3</x:v>
      </x:c>
      <x:c r="J1246" s="5" t="str">
        <x:v>Aufbauorganisation</x:v>
      </x:c>
      <x:c r="K1246" s="5" t="str"/>
      <x:c r="L1246" s="5" t="str">
        <x:v>Integrierte Managementsysteme &amp; KVP</x:v>
      </x:c>
      <x:c r="M1246" s="5" t="n">
        <x:v>30</x:v>
      </x:c>
      <x:c r="N1246" s="5" t="n">
        <x:v>8</x:v>
      </x:c>
      <x:c r="O1246" s="5" t="str"/>
      <x:c r="P1246" s="5" t="str">
        <x:v>Zuordnungsvorschlag; Fachfreigabe ausstehend</x:v>
      </x:c>
      <x:c r="Q1246" s="5" t="str">
        <x:v>Bestehendes Lernthema fachlich unter passendem Rahmenplan-Unterbereich behalten</x:v>
      </x:c>
      <x:c r="R1246" s="5" t="str">
        <x:v>Beschreiben Sie mindestens zwei Ziele des Arbeitssicherheitsmanagements.</x:v>
      </x:c>
      <x:c r="S1246" s="5" t="str">
        <x:v>d7240818e9f25514a17bfd65581a568a9a256f8b6f770dad65ad1aaeaf8082c9</x:v>
      </x:c>
    </x:row>
    <x:row r="1247" ht="36" customHeight="1">
      <x:c r="A1247" s="5" t="str">
        <x:v>UF-0036</x:v>
      </x:c>
      <x:c r="B1247" s="5" t="str">
        <x:v>WQ</x:v>
      </x:c>
      <x:c r="C1247" s="5" t="str">
        <x:v>4</x:v>
      </x:c>
      <x:c r="D1247" s="5" t="str">
        <x:v>Unternehmensführung</x:v>
      </x:c>
      <x:c r="E1247" s="5" t="str">
        <x:v>Unternehmensführung</x:v>
      </x:c>
      <x:c r="F1247" s="5" t="str">
        <x:v>ui-wq-0010</x:v>
      </x:c>
      <x:c r="G1247" s="5" t="str">
        <x:v>Betriebsorganisation</x:v>
      </x:c>
      <x:c r="H1247" s="5" t="str">
        <x:v>dg-wq-0067</x:v>
      </x:c>
      <x:c r="I1247" s="5" t="str">
        <x:v>4.1.3</x:v>
      </x:c>
      <x:c r="J1247" s="5" t="str">
        <x:v>Aufbauorganisation</x:v>
      </x:c>
      <x:c r="K1247" s="5" t="str"/>
      <x:c r="L1247" s="5" t="str">
        <x:v>Integrierte Managementsysteme &amp; KVP</x:v>
      </x:c>
      <x:c r="M1247" s="5" t="n">
        <x:v>31</x:v>
      </x:c>
      <x:c r="N1247" s="5" t="n">
        <x:v>9</x:v>
      </x:c>
      <x:c r="O1247" s="5" t="str"/>
      <x:c r="P1247" s="5" t="str">
        <x:v>Zuordnungsvorschlag; Fachfreigabe ausstehend</x:v>
      </x:c>
      <x:c r="Q1247" s="5" t="str">
        <x:v>Bestehendes Lernthema fachlich unter passendem Rahmenplan-Unterbereich behalten</x:v>
      </x:c>
      <x:c r="R1247" s="5" t="str">
        <x:v>Beschreiben Sie mindestens zwei Ziele des Qualitätsmanagements.</x:v>
      </x:c>
      <x:c r="S1247" s="5" t="str">
        <x:v>a34e5b967df2dca439e66f4b167e0dbecb17f57845b9e199efb606566bae51b1</x:v>
      </x:c>
    </x:row>
    <x:row r="1248" ht="36" customHeight="1">
      <x:c r="A1248" s="5" t="str">
        <x:v>UF-0037</x:v>
      </x:c>
      <x:c r="B1248" s="5" t="str">
        <x:v>WQ</x:v>
      </x:c>
      <x:c r="C1248" s="5" t="str">
        <x:v>4</x:v>
      </x:c>
      <x:c r="D1248" s="5" t="str">
        <x:v>Unternehmensführung</x:v>
      </x:c>
      <x:c r="E1248" s="5" t="str">
        <x:v>Unternehmensführung</x:v>
      </x:c>
      <x:c r="F1248" s="5" t="str">
        <x:v>ui-wq-0010</x:v>
      </x:c>
      <x:c r="G1248" s="5" t="str">
        <x:v>Betriebsorganisation</x:v>
      </x:c>
      <x:c r="H1248" s="5" t="str">
        <x:v>dg-wq-0067</x:v>
      </x:c>
      <x:c r="I1248" s="5" t="str">
        <x:v>4.1.3</x:v>
      </x:c>
      <x:c r="J1248" s="5" t="str">
        <x:v>Aufbauorganisation</x:v>
      </x:c>
      <x:c r="K1248" s="5" t="str"/>
      <x:c r="L1248" s="5" t="str">
        <x:v>Integrierte Managementsysteme &amp; KVP</x:v>
      </x:c>
      <x:c r="M1248" s="5" t="n">
        <x:v>32</x:v>
      </x:c>
      <x:c r="N1248" s="5" t="n">
        <x:v>10</x:v>
      </x:c>
      <x:c r="O1248" s="5" t="str"/>
      <x:c r="P1248" s="5" t="str">
        <x:v>Zuordnungsvorschlag; Fachfreigabe ausstehend</x:v>
      </x:c>
      <x:c r="Q1248" s="5" t="str">
        <x:v>Bestehendes Lernthema fachlich unter passendem Rahmenplan-Unterbereich behalten</x:v>
      </x:c>
      <x:c r="R1248" s="5" t="str">
        <x:v>Nennen Sie mindestens vier Grenzen oder Kosten von Managementsystemen.</x:v>
      </x:c>
      <x:c r="S1248" s="5" t="str">
        <x:v>a1b674396f618c3ed7121fa0b3fab5be3b38541642aaab9362a0e0ce38913577</x:v>
      </x:c>
    </x:row>
    <x:row r="1249" ht="36" customHeight="1">
      <x:c r="A1249" s="5" t="str">
        <x:v>UF-0038</x:v>
      </x:c>
      <x:c r="B1249" s="5" t="str">
        <x:v>WQ</x:v>
      </x:c>
      <x:c r="C1249" s="5" t="str">
        <x:v>4</x:v>
      </x:c>
      <x:c r="D1249" s="5" t="str">
        <x:v>Unternehmensführung</x:v>
      </x:c>
      <x:c r="E1249" s="5" t="str">
        <x:v>Unternehmensführung</x:v>
      </x:c>
      <x:c r="F1249" s="5" t="str">
        <x:v>ui-wq-0010</x:v>
      </x:c>
      <x:c r="G1249" s="5" t="str">
        <x:v>Betriebsorganisation</x:v>
      </x:c>
      <x:c r="H1249" s="5" t="str">
        <x:v>dg-wq-0067</x:v>
      </x:c>
      <x:c r="I1249" s="5" t="str">
        <x:v>4.1.3</x:v>
      </x:c>
      <x:c r="J1249" s="5" t="str">
        <x:v>Aufbauorganisation</x:v>
      </x:c>
      <x:c r="K1249" s="5" t="str"/>
      <x:c r="L1249" s="5" t="str">
        <x:v>Aufbau- &amp; Ablauforganisation</x:v>
      </x:c>
      <x:c r="M1249" s="5" t="n">
        <x:v>33</x:v>
      </x:c>
      <x:c r="N1249" s="5" t="n">
        <x:v>11</x:v>
      </x:c>
      <x:c r="O1249" s="5" t="str"/>
      <x:c r="P1249" s="5" t="str">
        <x:v>Zuordnungsvorschlag; Fachfreigabe ausstehend</x:v>
      </x:c>
      <x:c r="Q1249" s="5" t="str">
        <x:v>Bestehendes Lernthema fachlich unter passendem Rahmenplan-Unterbereich behalten</x:v>
      </x:c>
      <x:c r="R1249" s="5" t="str">
        <x:v>Die Circle Harbor GmbH ist laut Organigramm als Sparten- oder Divisionalorganisation aufgebaut. Nennen Sie mindestens drei Vorteile dieser Organisationsform.</x:v>
      </x:c>
      <x:c r="S1249" s="5" t="str">
        <x:v>3f518acb79bdc9c706c9bbda9e61c9206b8d42f2ce39ef415c9763843161ce86</x:v>
      </x:c>
    </x:row>
    <x:row r="1250" ht="36" customHeight="1">
      <x:c r="A1250" s="5" t="str">
        <x:v>UF-0039</x:v>
      </x:c>
      <x:c r="B1250" s="5" t="str">
        <x:v>WQ</x:v>
      </x:c>
      <x:c r="C1250" s="5" t="str">
        <x:v>4</x:v>
      </x:c>
      <x:c r="D1250" s="5" t="str">
        <x:v>Unternehmensführung</x:v>
      </x:c>
      <x:c r="E1250" s="5" t="str">
        <x:v>Unternehmensführung</x:v>
      </x:c>
      <x:c r="F1250" s="5" t="str">
        <x:v>ui-wq-0010</x:v>
      </x:c>
      <x:c r="G1250" s="5" t="str">
        <x:v>Betriebsorganisation</x:v>
      </x:c>
      <x:c r="H1250" s="5" t="str">
        <x:v>dg-wq-0067</x:v>
      </x:c>
      <x:c r="I1250" s="5" t="str">
        <x:v>4.1.3</x:v>
      </x:c>
      <x:c r="J1250" s="5" t="str">
        <x:v>Aufbauorganisation</x:v>
      </x:c>
      <x:c r="K1250" s="5" t="str"/>
      <x:c r="L1250" s="5" t="str">
        <x:v>Aufbau- &amp; Ablauforganisation</x:v>
      </x:c>
      <x:c r="M1250" s="5" t="n">
        <x:v>34</x:v>
      </x:c>
      <x:c r="N1250" s="5" t="n">
        <x:v>12</x:v>
      </x:c>
      <x:c r="O1250" s="5" t="str"/>
      <x:c r="P1250" s="5" t="str">
        <x:v>Zuordnungsvorschlag; Fachfreigabe ausstehend</x:v>
      </x:c>
      <x:c r="Q1250" s="5" t="str">
        <x:v>Bestehendes Lernthema fachlich unter passendem Rahmenplan-Unterbereich behalten</x:v>
      </x:c>
      <x:c r="R1250" s="5" t="str">
        <x:v>Fallbezug: Die folgenden betrieblichen Angaben und Situationen beziehen sich auf die Circle Harbor GmbH.
Begründen Sie, warum die Spartenorganisation für nachhaltiges Wachstum in der EU gut geeignet ist. Nennen Sie mindestens drei Gründe.</x:v>
      </x:c>
      <x:c r="S1250" s="5" t="str">
        <x:v>db372cb355a23db7612d014d6e899aeb8de10a69e852c81a18433b4275848951</x:v>
      </x:c>
    </x:row>
    <x:row r="1251" ht="36" customHeight="1">
      <x:c r="A1251" s="5" t="str">
        <x:v>UF-0040</x:v>
      </x:c>
      <x:c r="B1251" s="5" t="str">
        <x:v>WQ</x:v>
      </x:c>
      <x:c r="C1251" s="5" t="str">
        <x:v>4</x:v>
      </x:c>
      <x:c r="D1251" s="5" t="str">
        <x:v>Unternehmensführung</x:v>
      </x:c>
      <x:c r="E1251" s="5" t="str">
        <x:v>Unternehmensführung</x:v>
      </x:c>
      <x:c r="F1251" s="5" t="str">
        <x:v>ui-wq-0010</x:v>
      </x:c>
      <x:c r="G1251" s="5" t="str">
        <x:v>Betriebsorganisation</x:v>
      </x:c>
      <x:c r="H1251" s="5" t="str">
        <x:v>dg-wq-0067</x:v>
      </x:c>
      <x:c r="I1251" s="5" t="str">
        <x:v>4.1.3</x:v>
      </x:c>
      <x:c r="J1251" s="5" t="str">
        <x:v>Aufbauorganisation</x:v>
      </x:c>
      <x:c r="K1251" s="5" t="str"/>
      <x:c r="L1251" s="5" t="str">
        <x:v>Aufbau- &amp; Ablauforganisation</x:v>
      </x:c>
      <x:c r="M1251" s="5" t="n">
        <x:v>35</x:v>
      </x:c>
      <x:c r="N1251" s="5" t="n">
        <x:v>13</x:v>
      </x:c>
      <x:c r="O1251" s="5" t="str"/>
      <x:c r="P1251" s="5" t="str">
        <x:v>Zuordnungsvorschlag; Fachfreigabe ausstehend</x:v>
      </x:c>
      <x:c r="Q1251" s="5" t="str">
        <x:v>Bestehendes Lernthema fachlich unter passendem Rahmenplan-Unterbereich behalten</x:v>
      </x:c>
      <x:c r="R1251" s="5" t="str">
        <x:v>Vervollständigen Sie den Lückentext zur Zentralisation und Dezentralisation.</x:v>
      </x:c>
      <x:c r="S1251" s="5" t="str">
        <x:v>0647383689341b6941fd23c237d11e02804d81ce1ba72a60b10407e81e3d7b92</x:v>
      </x:c>
    </x:row>
    <x:row r="1252" ht="36" customHeight="1">
      <x:c r="A1252" s="5" t="str">
        <x:v>UF-0041</x:v>
      </x:c>
      <x:c r="B1252" s="5" t="str">
        <x:v>WQ</x:v>
      </x:c>
      <x:c r="C1252" s="5" t="str">
        <x:v>4</x:v>
      </x:c>
      <x:c r="D1252" s="5" t="str">
        <x:v>Unternehmensführung</x:v>
      </x:c>
      <x:c r="E1252" s="5" t="str">
        <x:v>Unternehmensführung</x:v>
      </x:c>
      <x:c r="F1252" s="5" t="str">
        <x:v>ui-wq-0010</x:v>
      </x:c>
      <x:c r="G1252" s="5" t="str">
        <x:v>Betriebsorganisation</x:v>
      </x:c>
      <x:c r="H1252" s="5" t="str">
        <x:v>dg-wq-0067</x:v>
      </x:c>
      <x:c r="I1252" s="5" t="str">
        <x:v>4.1.3</x:v>
      </x:c>
      <x:c r="J1252" s="5" t="str">
        <x:v>Aufbauorganisation</x:v>
      </x:c>
      <x:c r="K1252" s="5" t="str"/>
      <x:c r="L1252" s="5" t="str">
        <x:v>Aufbau- &amp; Ablauforganisation</x:v>
      </x:c>
      <x:c r="M1252" s="5" t="n">
        <x:v>36</x:v>
      </x:c>
      <x:c r="N1252" s="5" t="n">
        <x:v>14</x:v>
      </x:c>
      <x:c r="O1252" s="5" t="str"/>
      <x:c r="P1252" s="5" t="str">
        <x:v>Zuordnungsvorschlag; Fachfreigabe ausstehend</x:v>
      </x:c>
      <x:c r="Q1252" s="5" t="str">
        <x:v>Bestehendes Lernthema fachlich unter passendem Rahmenplan-Unterbereich behalten</x:v>
      </x:c>
      <x:c r="R1252" s="5" t="str">
        <x:v>Ergänzen Sie die vier Kompetenzen einer Instanz.</x:v>
      </x:c>
      <x:c r="S1252" s="5" t="str">
        <x:v>31c46a00396fde1efad0151f71ffcbea3347f53e38242993c86641617bb4768d</x:v>
      </x:c>
    </x:row>
    <x:row r="1253" ht="36" customHeight="1">
      <x:c r="A1253" s="5" t="str">
        <x:v>UF-0042</x:v>
      </x:c>
      <x:c r="B1253" s="5" t="str">
        <x:v>WQ</x:v>
      </x:c>
      <x:c r="C1253" s="5" t="str">
        <x:v>4</x:v>
      </x:c>
      <x:c r="D1253" s="5" t="str">
        <x:v>Unternehmensführung</x:v>
      </x:c>
      <x:c r="E1253" s="5" t="str">
        <x:v>Unternehmensführung</x:v>
      </x:c>
      <x:c r="F1253" s="5" t="str">
        <x:v>ui-wq-0010</x:v>
      </x:c>
      <x:c r="G1253" s="5" t="str">
        <x:v>Betriebsorganisation</x:v>
      </x:c>
      <x:c r="H1253" s="5" t="str">
        <x:v>dg-wq-0067</x:v>
      </x:c>
      <x:c r="I1253" s="5" t="str">
        <x:v>4.1.3</x:v>
      </x:c>
      <x:c r="J1253" s="5" t="str">
        <x:v>Aufbauorganisation</x:v>
      </x:c>
      <x:c r="K1253" s="5" t="str"/>
      <x:c r="L1253" s="5" t="str">
        <x:v>Aufbau- &amp; Ablauforganisation</x:v>
      </x:c>
      <x:c r="M1253" s="5" t="n">
        <x:v>37</x:v>
      </x:c>
      <x:c r="N1253" s="5" t="n">
        <x:v>15</x:v>
      </x:c>
      <x:c r="O1253" s="5" t="str"/>
      <x:c r="P1253" s="5" t="str">
        <x:v>Zuordnungsvorschlag; Fachfreigabe ausstehend</x:v>
      </x:c>
      <x:c r="Q1253" s="5" t="str">
        <x:v>Bestehendes Lernthema fachlich unter passendem Rahmenplan-Unterbereich behalten</x:v>
      </x:c>
      <x:c r="R1253" s="5" t="str">
        <x:v>Beschreiben Sie eine sinnvolle organisatorische Einordnung für ein langfristig wichtiges, bereichsübergreifendes Projekt X und nennen Sie mögliche untergeordnete Projektfunktionen.</x:v>
      </x:c>
      <x:c r="S1253" s="5" t="str">
        <x:v>4715ca1937b79a8b340e88eeb7e5921d18dc2cc29fc1164812910d347ac9f489</x:v>
      </x:c>
    </x:row>
    <x:row r="1254" ht="36" customHeight="1">
      <x:c r="A1254" s="5" t="str">
        <x:v>UF-0043</x:v>
      </x:c>
      <x:c r="B1254" s="5" t="str">
        <x:v>WQ</x:v>
      </x:c>
      <x:c r="C1254" s="5" t="str">
        <x:v>4</x:v>
      </x:c>
      <x:c r="D1254" s="5" t="str">
        <x:v>Unternehmensführung</x:v>
      </x:c>
      <x:c r="E1254" s="5" t="str">
        <x:v>Unternehmensführung</x:v>
      </x:c>
      <x:c r="F1254" s="5" t="str">
        <x:v>ui-wq-0010</x:v>
      </x:c>
      <x:c r="G1254" s="5" t="str">
        <x:v>Betriebsorganisation</x:v>
      </x:c>
      <x:c r="H1254" s="5" t="str">
        <x:v>dg-wq-0067</x:v>
      </x:c>
      <x:c r="I1254" s="5" t="str">
        <x:v>4.1.3</x:v>
      </x:c>
      <x:c r="J1254" s="5" t="str">
        <x:v>Aufbauorganisation</x:v>
      </x:c>
      <x:c r="K1254" s="5" t="str"/>
      <x:c r="L1254" s="5" t="str">
        <x:v>Aufbau- &amp; Ablauforganisation</x:v>
      </x:c>
      <x:c r="M1254" s="5" t="n">
        <x:v>38</x:v>
      </x:c>
      <x:c r="N1254" s="5" t="n">
        <x:v>16</x:v>
      </x:c>
      <x:c r="O1254" s="5" t="str"/>
      <x:c r="P1254" s="5" t="str">
        <x:v>Zuordnungsvorschlag; Fachfreigabe ausstehend</x:v>
      </x:c>
      <x:c r="Q1254" s="5" t="str">
        <x:v>Bestehendes Lernthema fachlich unter passendem Rahmenplan-Unterbereich behalten</x:v>
      </x:c>
      <x:c r="R1254" s="5" t="str">
        <x:v>Beschreiben Sie das Stabliniensystem und nennen Sie vier typische Merkmale beziehungsweise Funktionen der Stabsstellen.</x:v>
      </x:c>
      <x:c r="S1254" s="5" t="str">
        <x:v>1a2b1f5da387c3b5155636aea90604730a7364bcbcdf7e28f627dceab0db6740</x:v>
      </x:c>
    </x:row>
    <x:row r="1255" ht="36" customHeight="1">
      <x:c r="A1255" s="5" t="str">
        <x:v>UF-0044</x:v>
      </x:c>
      <x:c r="B1255" s="5" t="str">
        <x:v>WQ</x:v>
      </x:c>
      <x:c r="C1255" s="5" t="str">
        <x:v>4</x:v>
      </x:c>
      <x:c r="D1255" s="5" t="str">
        <x:v>Unternehmensführung</x:v>
      </x:c>
      <x:c r="E1255" s="5" t="str">
        <x:v>Unternehmensführung</x:v>
      </x:c>
      <x:c r="F1255" s="5" t="str">
        <x:v>ui-wq-0010</x:v>
      </x:c>
      <x:c r="G1255" s="5" t="str">
        <x:v>Betriebsorganisation</x:v>
      </x:c>
      <x:c r="H1255" s="5" t="str">
        <x:v>dg-wq-0067</x:v>
      </x:c>
      <x:c r="I1255" s="5" t="str">
        <x:v>4.1.3</x:v>
      </x:c>
      <x:c r="J1255" s="5" t="str">
        <x:v>Aufbauorganisation</x:v>
      </x:c>
      <x:c r="K1255" s="5" t="str"/>
      <x:c r="L1255" s="5" t="str">
        <x:v>Aufbau- &amp; Ablauforganisation</x:v>
      </x:c>
      <x:c r="M1255" s="5" t="n">
        <x:v>39</x:v>
      </x:c>
      <x:c r="N1255" s="5" t="n">
        <x:v>17</x:v>
      </x:c>
      <x:c r="O1255" s="5" t="str"/>
      <x:c r="P1255" s="5" t="str">
        <x:v>Zuordnungsvorschlag; Fachfreigabe ausstehend</x:v>
      </x:c>
      <x:c r="Q1255" s="5" t="str">
        <x:v>Bestehendes Lernthema fachlich unter passendem Rahmenplan-Unterbereich behalten</x:v>
      </x:c>
      <x:c r="R1255" s="5" t="str">
        <x:v>Beschreiben Sie, auf welchen Hierarchieebenen Stabsstellen eingerichtet werden können und welche Funktion sie gegenüber der jeweiligen Instanz erfüllen.</x:v>
      </x:c>
      <x:c r="S1255" s="5" t="str">
        <x:v>6be3c409639eade6ebda3d62f912bc58db558bbf3d1cedc1715d62018b5140f3</x:v>
      </x:c>
    </x:row>
    <x:row r="1256" ht="36" customHeight="1">
      <x:c r="A1256" s="5" t="str">
        <x:v>UF-0045</x:v>
      </x:c>
      <x:c r="B1256" s="5" t="str">
        <x:v>WQ</x:v>
      </x:c>
      <x:c r="C1256" s="5" t="str">
        <x:v>4</x:v>
      </x:c>
      <x:c r="D1256" s="5" t="str">
        <x:v>Unternehmensführung</x:v>
      </x:c>
      <x:c r="E1256" s="5" t="str">
        <x:v>Unternehmensführung</x:v>
      </x:c>
      <x:c r="F1256" s="5" t="str">
        <x:v>ui-wq-0010</x:v>
      </x:c>
      <x:c r="G1256" s="5" t="str">
        <x:v>Betriebsorganisation</x:v>
      </x:c>
      <x:c r="H1256" s="5" t="str">
        <x:v>dg-wq-0067</x:v>
      </x:c>
      <x:c r="I1256" s="5" t="str">
        <x:v>4.1.3</x:v>
      </x:c>
      <x:c r="J1256" s="5" t="str">
        <x:v>Aufbauorganisation</x:v>
      </x:c>
      <x:c r="K1256" s="5" t="str"/>
      <x:c r="L1256" s="5" t="str">
        <x:v>Aufbau- &amp; Ablauforganisation</x:v>
      </x:c>
      <x:c r="M1256" s="5" t="n">
        <x:v>40</x:v>
      </x:c>
      <x:c r="N1256" s="5" t="n">
        <x:v>18</x:v>
      </x:c>
      <x:c r="O1256" s="5" t="str"/>
      <x:c r="P1256" s="5" t="str">
        <x:v>Zuordnungsvorschlag; Fachfreigabe ausstehend</x:v>
      </x:c>
      <x:c r="Q1256" s="5" t="str">
        <x:v>Bestehendes Lernthema fachlich unter passendem Rahmenplan-Unterbereich behalten</x:v>
      </x:c>
      <x:c r="R1256" s="5" t="str">
        <x:v>Nennen Sie mindestens zwei Unterschiede zwischen einer Instanz und einer Stabsstelle.</x:v>
      </x:c>
      <x:c r="S1256" s="5" t="str">
        <x:v>ad5ab84776c15c8f025e48beb922438005c35f88de16557a5374fac799f74f16</x:v>
      </x:c>
    </x:row>
    <x:row r="1257" ht="36" customHeight="1">
      <x:c r="A1257" s="5" t="str">
        <x:v>UF-0046</x:v>
      </x:c>
      <x:c r="B1257" s="5" t="str">
        <x:v>WQ</x:v>
      </x:c>
      <x:c r="C1257" s="5" t="str">
        <x:v>4</x:v>
      </x:c>
      <x:c r="D1257" s="5" t="str">
        <x:v>Unternehmensführung</x:v>
      </x:c>
      <x:c r="E1257" s="5" t="str">
        <x:v>Unternehmensführung</x:v>
      </x:c>
      <x:c r="F1257" s="5" t="str">
        <x:v>ui-wq-0010</x:v>
      </x:c>
      <x:c r="G1257" s="5" t="str">
        <x:v>Betriebsorganisation</x:v>
      </x:c>
      <x:c r="H1257" s="5" t="str">
        <x:v>dg-wq-0067</x:v>
      </x:c>
      <x:c r="I1257" s="5" t="str">
        <x:v>4.1.3</x:v>
      </x:c>
      <x:c r="J1257" s="5" t="str">
        <x:v>Aufbauorganisation</x:v>
      </x:c>
      <x:c r="K1257" s="5" t="str"/>
      <x:c r="L1257" s="5" t="str">
        <x:v>Aufbau- &amp; Ablauforganisation</x:v>
      </x:c>
      <x:c r="M1257" s="5" t="n">
        <x:v>41</x:v>
      </x:c>
      <x:c r="N1257" s="5" t="n">
        <x:v>19</x:v>
      </x:c>
      <x:c r="O1257" s="5" t="str"/>
      <x:c r="P1257" s="5" t="str">
        <x:v>Zuordnungsvorschlag; Fachfreigabe ausstehend</x:v>
      </x:c>
      <x:c r="Q1257" s="5" t="str">
        <x:v>Bestehendes Lernthema fachlich unter passendem Rahmenplan-Unterbereich behalten</x:v>
      </x:c>
      <x:c r="R1257" s="5" t="str">
        <x:v>Ordnen Sie für die folgenden Vorgänge die jeweils genannte Kompetenz einer passenden Stelle zu: 1. Vertragsabschluss – Entscheidung und Vorbereitung, 2. Marktanalyse – Bearbeitung/Gesamtfunktion und Kontrolle, 3. Disposition der Fahrten – Entscheidung und Kontrolle, 4. Lieferung an den Auftraggeber – Ausführung.</x:v>
      </x:c>
      <x:c r="S1257" s="5" t="str">
        <x:v>fa278b1754d3b171c8598e6d635967adc0d70b1a2829011a4aed8cb4718b261e</x:v>
      </x:c>
    </x:row>
    <x:row r="1258" ht="36" customHeight="1">
      <x:c r="A1258" s="5" t="str">
        <x:v>UF-0047</x:v>
      </x:c>
      <x:c r="B1258" s="5" t="str">
        <x:v>WQ</x:v>
      </x:c>
      <x:c r="C1258" s="5" t="str">
        <x:v>4</x:v>
      </x:c>
      <x:c r="D1258" s="5" t="str">
        <x:v>Unternehmensführung</x:v>
      </x:c>
      <x:c r="E1258" s="5" t="str">
        <x:v>Unternehmensführung</x:v>
      </x:c>
      <x:c r="F1258" s="5" t="str">
        <x:v>ui-wq-0010</x:v>
      </x:c>
      <x:c r="G1258" s="5" t="str">
        <x:v>Betriebsorganisation</x:v>
      </x:c>
      <x:c r="H1258" s="5" t="str">
        <x:v>dg-wq-0067</x:v>
      </x:c>
      <x:c r="I1258" s="5" t="str">
        <x:v>4.1.3</x:v>
      </x:c>
      <x:c r="J1258" s="5" t="str">
        <x:v>Aufbauorganisation</x:v>
      </x:c>
      <x:c r="K1258" s="5" t="str"/>
      <x:c r="L1258" s="5" t="str">
        <x:v>Aufbau- &amp; Ablauforganisation</x:v>
      </x:c>
      <x:c r="M1258" s="5" t="n">
        <x:v>42</x:v>
      </x:c>
      <x:c r="N1258" s="5" t="n">
        <x:v>20</x:v>
      </x:c>
      <x:c r="O1258" s="5" t="str"/>
      <x:c r="P1258" s="5" t="str">
        <x:v>Zuordnungsvorschlag; Fachfreigabe ausstehend</x:v>
      </x:c>
      <x:c r="Q1258" s="5" t="str">
        <x:v>Bestehendes Lernthema fachlich unter passendem Rahmenplan-Unterbereich behalten</x:v>
      </x:c>
      <x:c r="R1258" s="5" t="str">
        <x:v>Nennen Sie mindestens sechs mögliche Gliederungspunkte einer Stellenbeschreibung und erklären Sie den Unterschied zur Funktionsbeschreibung.</x:v>
      </x:c>
      <x:c r="S1258" s="5" t="str">
        <x:v>43f8e390b2c177a73b5eab23355e9648eaa869b610f19db406e348ce230207b2</x:v>
      </x:c>
    </x:row>
    <x:row r="1259" ht="36" customHeight="1">
      <x:c r="A1259" s="5" t="str">
        <x:v>UF-0048</x:v>
      </x:c>
      <x:c r="B1259" s="5" t="str">
        <x:v>WQ</x:v>
      </x:c>
      <x:c r="C1259" s="5" t="str">
        <x:v>4</x:v>
      </x:c>
      <x:c r="D1259" s="5" t="str">
        <x:v>Unternehmensführung</x:v>
      </x:c>
      <x:c r="E1259" s="5" t="str">
        <x:v>Unternehmensführung</x:v>
      </x:c>
      <x:c r="F1259" s="5" t="str">
        <x:v>ui-wq-0010</x:v>
      </x:c>
      <x:c r="G1259" s="5" t="str">
        <x:v>Betriebsorganisation</x:v>
      </x:c>
      <x:c r="H1259" s="5" t="str">
        <x:v>dg-wq-0067</x:v>
      </x:c>
      <x:c r="I1259" s="5" t="str">
        <x:v>4.1.3</x:v>
      </x:c>
      <x:c r="J1259" s="5" t="str">
        <x:v>Aufbauorganisation</x:v>
      </x:c>
      <x:c r="K1259" s="5" t="str"/>
      <x:c r="L1259" s="5" t="str">
        <x:v>Aufbau- &amp; Ablauforganisation</x:v>
      </x:c>
      <x:c r="M1259" s="5" t="n">
        <x:v>43</x:v>
      </x:c>
      <x:c r="N1259" s="5" t="n">
        <x:v>21</x:v>
      </x:c>
      <x:c r="O1259" s="5" t="str"/>
      <x:c r="P1259" s="5" t="str">
        <x:v>Zuordnungsvorschlag; Fachfreigabe ausstehend</x:v>
      </x:c>
      <x:c r="Q1259" s="5" t="str">
        <x:v>Bestehendes Lernthema fachlich unter passendem Rahmenplan-Unterbereich behalten</x:v>
      </x:c>
      <x:c r="R1259" s="5" t="str">
        <x:v>Nennen Sie mindestens zwei Probleme beim Einsatz von Stellenbeschreibungen und schlagen Sie jeweils eine Lösung vor.</x:v>
      </x:c>
      <x:c r="S1259" s="5" t="str">
        <x:v>81896a33edfe8b5b6f9e9d33094355ec5b4c5bd6dbf4e9a2b8ac8a2055475a62</x:v>
      </x:c>
    </x:row>
    <x:row r="1260" ht="36" customHeight="1">
      <x:c r="A1260" s="5" t="str">
        <x:v>UF-0049</x:v>
      </x:c>
      <x:c r="B1260" s="5" t="str">
        <x:v>WQ</x:v>
      </x:c>
      <x:c r="C1260" s="5" t="str">
        <x:v>4</x:v>
      </x:c>
      <x:c r="D1260" s="5" t="str">
        <x:v>Unternehmensführung</x:v>
      </x:c>
      <x:c r="E1260" s="5" t="str">
        <x:v>Unternehmensführung</x:v>
      </x:c>
      <x:c r="F1260" s="5" t="str">
        <x:v>ui-wq-0010</x:v>
      </x:c>
      <x:c r="G1260" s="5" t="str">
        <x:v>Betriebsorganisation</x:v>
      </x:c>
      <x:c r="H1260" s="5" t="str">
        <x:v>dg-wq-0067</x:v>
      </x:c>
      <x:c r="I1260" s="5" t="str">
        <x:v>4.1.3</x:v>
      </x:c>
      <x:c r="J1260" s="5" t="str">
        <x:v>Aufbauorganisation</x:v>
      </x:c>
      <x:c r="K1260" s="5" t="str"/>
      <x:c r="L1260" s="5" t="str">
        <x:v>Aufbau- &amp; Ablauforganisation</x:v>
      </x:c>
      <x:c r="M1260" s="5" t="n">
        <x:v>44</x:v>
      </x:c>
      <x:c r="N1260" s="5" t="n">
        <x:v>22</x:v>
      </x:c>
      <x:c r="O1260" s="5" t="str"/>
      <x:c r="P1260" s="5" t="str">
        <x:v>Zuordnungsvorschlag; Fachfreigabe ausstehend</x:v>
      </x:c>
      <x:c r="Q1260" s="5" t="str">
        <x:v>Bestehendes Lernthema fachlich unter passendem Rahmenplan-Unterbereich behalten</x:v>
      </x:c>
      <x:c r="R1260" s="5" t="str">
        <x:v>Entscheiden Sie, welche Aussagen über Stellenbeschreibungen richtig oder falsch sind.</x:v>
      </x:c>
      <x:c r="S1260" s="5" t="str">
        <x:v>59112e6a8ad8a359cb3a638511cb1004d20e3f1073eff5e1a6361deb27c4a156</x:v>
      </x:c>
    </x:row>
    <x:row r="1261" ht="36" customHeight="1">
      <x:c r="A1261" s="5" t="str">
        <x:v>UF-0050</x:v>
      </x:c>
      <x:c r="B1261" s="5" t="str">
        <x:v>WQ</x:v>
      </x:c>
      <x:c r="C1261" s="5" t="str">
        <x:v>4</x:v>
      </x:c>
      <x:c r="D1261" s="5" t="str">
        <x:v>Unternehmensführung</x:v>
      </x:c>
      <x:c r="E1261" s="5" t="str">
        <x:v>Unternehmensführung</x:v>
      </x:c>
      <x:c r="F1261" s="5" t="str">
        <x:v>ui-wq-0010</x:v>
      </x:c>
      <x:c r="G1261" s="5" t="str">
        <x:v>Betriebsorganisation</x:v>
      </x:c>
      <x:c r="H1261" s="5" t="str">
        <x:v>dg-wq-0067</x:v>
      </x:c>
      <x:c r="I1261" s="5" t="str">
        <x:v>4.1.3</x:v>
      </x:c>
      <x:c r="J1261" s="5" t="str">
        <x:v>Aufbauorganisation</x:v>
      </x:c>
      <x:c r="K1261" s="5" t="str"/>
      <x:c r="L1261" s="5" t="str">
        <x:v>Aufbau- &amp; Ablauforganisation</x:v>
      </x:c>
      <x:c r="M1261" s="5" t="n">
        <x:v>45</x:v>
      </x:c>
      <x:c r="N1261" s="5" t="n">
        <x:v>23</x:v>
      </x:c>
      <x:c r="O1261" s="5" t="str"/>
      <x:c r="P1261" s="5" t="str">
        <x:v>Zuordnungsvorschlag; Fachfreigabe ausstehend</x:v>
      </x:c>
      <x:c r="Q1261" s="5" t="str">
        <x:v>Bestehendes Lernthema fachlich unter passendem Rahmenplan-Unterbereich behalten</x:v>
      </x:c>
      <x:c r="R1261" s="5" t="str">
        <x:v>Fallbezug: Die folgenden betrieblichen Angaben und Situationen beziehen sich auf die Circle Harbor GmbH.
Erstellen Sie eine Stellenbeschreibung für die Leitung der IT-Abteilung mit konkreten Anforderungen in den Bereichen Fachkompetenz, Sozialkompetenz, Methodenkompetenz, Hauptaufgaben, Nebenaufgaben, Sonderaufgaben und Befugnisse.</x:v>
      </x:c>
      <x:c r="S1261" s="5" t="str">
        <x:v>d3ffc4fd3abe3d66b86602e0a5a23047527cb9b0ff6146b98336e01a5d8765fb</x:v>
      </x:c>
    </x:row>
    <x:row r="1262" ht="36" customHeight="1">
      <x:c r="A1262" s="5" t="str">
        <x:v>UF-0051</x:v>
      </x:c>
      <x:c r="B1262" s="5" t="str">
        <x:v>WQ</x:v>
      </x:c>
      <x:c r="C1262" s="5" t="str">
        <x:v>4</x:v>
      </x:c>
      <x:c r="D1262" s="5" t="str">
        <x:v>Unternehmensführung</x:v>
      </x:c>
      <x:c r="E1262" s="5" t="str">
        <x:v>Unternehmensführung</x:v>
      </x:c>
      <x:c r="F1262" s="5" t="str">
        <x:v>ui-wq-0010</x:v>
      </x:c>
      <x:c r="G1262" s="5" t="str">
        <x:v>Betriebsorganisation</x:v>
      </x:c>
      <x:c r="H1262" s="5" t="str">
        <x:v>dg-wq-0067</x:v>
      </x:c>
      <x:c r="I1262" s="5" t="str">
        <x:v>4.1.3</x:v>
      </x:c>
      <x:c r="J1262" s="5" t="str">
        <x:v>Aufbauorganisation</x:v>
      </x:c>
      <x:c r="K1262" s="5" t="str"/>
      <x:c r="L1262" s="5" t="str">
        <x:v>Aufbau- &amp; Ablauforganisation</x:v>
      </x:c>
      <x:c r="M1262" s="5" t="n">
        <x:v>46</x:v>
      </x:c>
      <x:c r="N1262" s="5" t="n">
        <x:v>24</x:v>
      </x:c>
      <x:c r="O1262" s="5" t="str"/>
      <x:c r="P1262" s="5" t="str">
        <x:v>Zuordnungsvorschlag; Fachfreigabe ausstehend</x:v>
      </x:c>
      <x:c r="Q1262" s="5" t="str">
        <x:v>Bestehendes Lernthema fachlich unter passendem Rahmenplan-Unterbereich behalten</x:v>
      </x:c>
      <x:c r="R1262" s="5" t="str">
        <x:v>Nennen Sie mindestens zwei Vorteile und zwei Nachteile der Mehrfachunterstellung durch Disziplinarvorgesetzte und Fachvorgesetzte.</x:v>
      </x:c>
      <x:c r="S1262" s="5" t="str">
        <x:v>9333080cf4b75adc44c8358001e2c569f4aeb47dc40912742fb686437b841420</x:v>
      </x:c>
    </x:row>
    <x:row r="1263" ht="36" customHeight="1">
      <x:c r="A1263" s="5" t="str">
        <x:v>UF-0052</x:v>
      </x:c>
      <x:c r="B1263" s="5" t="str">
        <x:v>WQ</x:v>
      </x:c>
      <x:c r="C1263" s="5" t="str">
        <x:v>4</x:v>
      </x:c>
      <x:c r="D1263" s="5" t="str">
        <x:v>Unternehmensführung</x:v>
      </x:c>
      <x:c r="E1263" s="5" t="str">
        <x:v>Unternehmensführung</x:v>
      </x:c>
      <x:c r="F1263" s="5" t="str">
        <x:v>ui-wq-0010</x:v>
      </x:c>
      <x:c r="G1263" s="5" t="str">
        <x:v>Betriebsorganisation</x:v>
      </x:c>
      <x:c r="H1263" s="5" t="str">
        <x:v>dg-wq-0067</x:v>
      </x:c>
      <x:c r="I1263" s="5" t="str">
        <x:v>4.1.3</x:v>
      </x:c>
      <x:c r="J1263" s="5" t="str">
        <x:v>Aufbauorganisation</x:v>
      </x:c>
      <x:c r="K1263" s="5" t="str"/>
      <x:c r="L1263" s="5" t="str">
        <x:v>Aufbau- &amp; Ablauforganisation</x:v>
      </x:c>
      <x:c r="M1263" s="5" t="n">
        <x:v>47</x:v>
      </x:c>
      <x:c r="N1263" s="5" t="n">
        <x:v>25</x:v>
      </x:c>
      <x:c r="O1263" s="5" t="str"/>
      <x:c r="P1263" s="5" t="str">
        <x:v>Zuordnungsvorschlag; Fachfreigabe ausstehend</x:v>
      </x:c>
      <x:c r="Q1263" s="5" t="str">
        <x:v>Bestehendes Lernthema fachlich unter passendem Rahmenplan-Unterbereich behalten</x:v>
      </x:c>
      <x:c r="R1263" s="5" t="str">
        <x:v>Für die Geschäftsleitung von Circle Harbor: Beschreiben Sie mindestens drei Ziele, die ein Unternehmen mit teilautonomen Arbeitsgruppen verfolgt.</x:v>
      </x:c>
      <x:c r="S1263" s="5" t="str">
        <x:v>caa039e1fd0268ecac5fcd3a4c2ed5ba6f1d4d9d30a924c248132dced134722c</x:v>
      </x:c>
    </x:row>
    <x:row r="1264" ht="36" customHeight="1">
      <x:c r="A1264" s="5" t="str">
        <x:v>UF-0053</x:v>
      </x:c>
      <x:c r="B1264" s="5" t="str">
        <x:v>WQ</x:v>
      </x:c>
      <x:c r="C1264" s="5" t="str">
        <x:v>4</x:v>
      </x:c>
      <x:c r="D1264" s="5" t="str">
        <x:v>Unternehmensführung</x:v>
      </x:c>
      <x:c r="E1264" s="5" t="str">
        <x:v>Unternehmensführung</x:v>
      </x:c>
      <x:c r="F1264" s="5" t="str">
        <x:v>ui-wq-0010</x:v>
      </x:c>
      <x:c r="G1264" s="5" t="str">
        <x:v>Betriebsorganisation</x:v>
      </x:c>
      <x:c r="H1264" s="5" t="str">
        <x:v>dg-wq-0067</x:v>
      </x:c>
      <x:c r="I1264" s="5" t="str">
        <x:v>4.1.3</x:v>
      </x:c>
      <x:c r="J1264" s="5" t="str">
        <x:v>Aufbauorganisation</x:v>
      </x:c>
      <x:c r="K1264" s="5" t="str"/>
      <x:c r="L1264" s="5" t="str">
        <x:v>Aufbau- &amp; Ablauforganisation</x:v>
      </x:c>
      <x:c r="M1264" s="5" t="n">
        <x:v>48</x:v>
      </x:c>
      <x:c r="N1264" s="5" t="n">
        <x:v>26</x:v>
      </x:c>
      <x:c r="O1264" s="5" t="str"/>
      <x:c r="P1264" s="5" t="str">
        <x:v>Zuordnungsvorschlag; Fachfreigabe ausstehend</x:v>
      </x:c>
      <x:c r="Q1264" s="5" t="str">
        <x:v>Bestehendes Lernthema fachlich unter passendem Rahmenplan-Unterbereich behalten</x:v>
      </x:c>
      <x:c r="R1264" s="5" t="str">
        <x:v>Beschreiben Sie die Ziele eines Controllings als Stabsstelle und nennen Sie mindestens zwei weitere mögliche Stabsstellenaufgaben.</x:v>
      </x:c>
      <x:c r="S1264" s="5" t="str">
        <x:v>dce26e0604885771a450f42a700254fbab1b488309b0be6cd0f38d182d854a81</x:v>
      </x:c>
    </x:row>
    <x:row r="1265" ht="36" customHeight="1">
      <x:c r="A1265" s="5" t="str">
        <x:v>UF-0054</x:v>
      </x:c>
      <x:c r="B1265" s="5" t="str">
        <x:v>WQ</x:v>
      </x:c>
      <x:c r="C1265" s="5" t="str">
        <x:v>4</x:v>
      </x:c>
      <x:c r="D1265" s="5" t="str">
        <x:v>Unternehmensführung</x:v>
      </x:c>
      <x:c r="E1265" s="5" t="str">
        <x:v>Unternehmensführung</x:v>
      </x:c>
      <x:c r="F1265" s="5" t="str">
        <x:v>ui-wq-0010</x:v>
      </x:c>
      <x:c r="G1265" s="5" t="str">
        <x:v>Betriebsorganisation</x:v>
      </x:c>
      <x:c r="H1265" s="5" t="str">
        <x:v>dg-wq-0067</x:v>
      </x:c>
      <x:c r="I1265" s="5" t="str">
        <x:v>4.1.3</x:v>
      </x:c>
      <x:c r="J1265" s="5" t="str">
        <x:v>Aufbauorganisation</x:v>
      </x:c>
      <x:c r="K1265" s="5" t="str"/>
      <x:c r="L1265" s="5" t="str">
        <x:v>Aufbau- &amp; Ablauforganisation</x:v>
      </x:c>
      <x:c r="M1265" s="5" t="n">
        <x:v>49</x:v>
      </x:c>
      <x:c r="N1265" s="5" t="n">
        <x:v>27</x:v>
      </x:c>
      <x:c r="O1265" s="5" t="str"/>
      <x:c r="P1265" s="5" t="str">
        <x:v>Zuordnungsvorschlag; Fachfreigabe ausstehend</x:v>
      </x:c>
      <x:c r="Q1265" s="5" t="str">
        <x:v>Bestehendes Lernthema fachlich unter passendem Rahmenplan-Unterbereich behalten</x:v>
      </x:c>
      <x:c r="R1265" s="5" t="str">
        <x:v>Erläutern Sie zwei typische Nachteile einer Spartenorganisation und nennen Sie jeweils eine Gegenmaßnahme.</x:v>
      </x:c>
      <x:c r="S1265" s="5" t="str">
        <x:v>d3b675fdfb159cf003864db443242cc4714e78060869cca59f3924a4708643cd</x:v>
      </x:c>
    </x:row>
    <x:row r="1266" ht="36" customHeight="1">
      <x:c r="A1266" s="5" t="str">
        <x:v>UF-0055</x:v>
      </x:c>
      <x:c r="B1266" s="5" t="str">
        <x:v>WQ</x:v>
      </x:c>
      <x:c r="C1266" s="5" t="str">
        <x:v>4</x:v>
      </x:c>
      <x:c r="D1266" s="5" t="str">
        <x:v>Unternehmensführung</x:v>
      </x:c>
      <x:c r="E1266" s="5" t="str">
        <x:v>Unternehmensführung</x:v>
      </x:c>
      <x:c r="F1266" s="5" t="str">
        <x:v>ui-wq-0010</x:v>
      </x:c>
      <x:c r="G1266" s="5" t="str">
        <x:v>Betriebsorganisation</x:v>
      </x:c>
      <x:c r="H1266" s="5" t="str">
        <x:v>dg-wq-0068</x:v>
      </x:c>
      <x:c r="I1266" s="5" t="str">
        <x:v>4.1.4</x:v>
      </x:c>
      <x:c r="J1266" s="5" t="str">
        <x:v>Ablauforganisation</x:v>
      </x:c>
      <x:c r="K1266" s="5" t="str"/>
      <x:c r="L1266" s="5" t="str">
        <x:v>Aufbau- &amp; Ablauforganisation</x:v>
      </x:c>
      <x:c r="M1266" s="5" t="n">
        <x:v>50</x:v>
      </x:c>
      <x:c r="N1266" s="5" t="n">
        <x:v>1</x:v>
      </x:c>
      <x:c r="O1266" s="5" t="str"/>
      <x:c r="P1266" s="5" t="str">
        <x:v>Zuordnungsvorschlag; Fachfreigabe ausstehend</x:v>
      </x:c>
      <x:c r="Q1266" s="5" t="str">
        <x:v>Frageinhalt präzisiert bzw. teilt bisheriges Sammelthema</x:v>
      </x:c>
      <x:c r="R1266" s="5" t="str">
        <x:v>Vervollständigen Sie den Lückentext zu den Zielen der Ablauforganisation.</x:v>
      </x:c>
      <x:c r="S1266" s="5" t="str">
        <x:v>32c48e62cf57ff043f558a6cf1838c5f87a9a416585f59d031b0675b45d77b9a</x:v>
      </x:c>
    </x:row>
    <x:row r="1267" ht="36" customHeight="1">
      <x:c r="A1267" s="5" t="str">
        <x:v>UF-0056</x:v>
      </x:c>
      <x:c r="B1267" s="5" t="str">
        <x:v>WQ</x:v>
      </x:c>
      <x:c r="C1267" s="5" t="str">
        <x:v>4</x:v>
      </x:c>
      <x:c r="D1267" s="5" t="str">
        <x:v>Unternehmensführung</x:v>
      </x:c>
      <x:c r="E1267" s="5" t="str">
        <x:v>Unternehmensführung</x:v>
      </x:c>
      <x:c r="F1267" s="5" t="str">
        <x:v>ui-wq-0011</x:v>
      </x:c>
      <x:c r="G1267" s="5" t="str">
        <x:v>Personalführung</x:v>
      </x:c>
      <x:c r="H1267" s="5" t="str">
        <x:v>dg-wq-0066</x:v>
      </x:c>
      <x:c r="I1267" s="5" t="str">
        <x:v>4.2.3</x:v>
      </x:c>
      <x:c r="J1267" s="5" t="str">
        <x:v>Führungsstile</x:v>
      </x:c>
      <x:c r="K1267" s="5" t="str"/>
      <x:c r="L1267" s="5" t="str">
        <x:v>Führungsgrundlagen, Motivation &amp; Führungsstile</x:v>
      </x:c>
      <x:c r="M1267" s="5" t="n">
        <x:v>6</x:v>
      </x:c>
      <x:c r="N1267" s="5" t="n">
        <x:v>6</x:v>
      </x:c>
      <x:c r="O1267" s="5" t="str"/>
      <x:c r="P1267" s="5" t="str">
        <x:v>Zuordnungsvorschlag; Fachfreigabe ausstehend</x:v>
      </x:c>
      <x:c r="Q1267" s="5" t="str">
        <x:v>Bestehendes Lernthema fachlich unter passendem Rahmenplan-Unterbereich behalten</x:v>
      </x:c>
      <x:c r="R1267" s="5" t="str">
        <x:v>Beschreiben Sie mindestens zwei Kriterien für die Entscheidung, ob eine Mitarbeiterbesprechung notwendig ist, und mindestens drei Maßnahmen zur Vor- und Nachbereitung.</x:v>
      </x:c>
      <x:c r="S1267" s="5" t="str">
        <x:v>0dbff9b47bfd631ce63b3792c92e6fab9d9c929cb461251e15ceb4a49da52eae</x:v>
      </x:c>
    </x:row>
    <x:row r="1268" ht="36" customHeight="1">
      <x:c r="A1268" s="5" t="str">
        <x:v>UF-0057</x:v>
      </x:c>
      <x:c r="B1268" s="5" t="str">
        <x:v>WQ</x:v>
      </x:c>
      <x:c r="C1268" s="5" t="str">
        <x:v>4</x:v>
      </x:c>
      <x:c r="D1268" s="5" t="str">
        <x:v>Unternehmensführung</x:v>
      </x:c>
      <x:c r="E1268" s="5" t="str">
        <x:v>Unternehmensführung</x:v>
      </x:c>
      <x:c r="F1268" s="5" t="str">
        <x:v>ui-wq-0010</x:v>
      </x:c>
      <x:c r="G1268" s="5" t="str">
        <x:v>Betriebsorganisation</x:v>
      </x:c>
      <x:c r="H1268" s="5" t="str">
        <x:v>dg-wq-0067</x:v>
      </x:c>
      <x:c r="I1268" s="5" t="str">
        <x:v>4.1.3</x:v>
      </x:c>
      <x:c r="J1268" s="5" t="str">
        <x:v>Aufbauorganisation</x:v>
      </x:c>
      <x:c r="K1268" s="5" t="str"/>
      <x:c r="L1268" s="5" t="str">
        <x:v>Aufbau- &amp; Ablauforganisation</x:v>
      </x:c>
      <x:c r="M1268" s="5" t="n">
        <x:v>51</x:v>
      </x:c>
      <x:c r="N1268" s="5" t="n">
        <x:v>28</x:v>
      </x:c>
      <x:c r="O1268" s="5" t="str"/>
      <x:c r="P1268" s="5" t="str">
        <x:v>Zuordnungsvorschlag; Fachfreigabe ausstehend</x:v>
      </x:c>
      <x:c r="Q1268" s="5" t="str">
        <x:v>Bestehendes Lernthema fachlich unter passendem Rahmenplan-Unterbereich behalten</x:v>
      </x:c>
      <x:c r="R1268" s="5" t="str">
        <x:v>Nennen Sie mindestens vier Eigenschaften, mit denen sich ein Projekt von anderen Vorhaben unterscheidet.</x:v>
      </x:c>
      <x:c r="S1268" s="5" t="str">
        <x:v>3d3b9bdc1547b44be0669a6ef71fbbb72579b74c5fc74552bbb4d27f26fde12a</x:v>
      </x:c>
    </x:row>
    <x:row r="1269" ht="36" customHeight="1">
      <x:c r="A1269" s="5" t="str">
        <x:v>UF-0058</x:v>
      </x:c>
      <x:c r="B1269" s="5" t="str">
        <x:v>WQ</x:v>
      </x:c>
      <x:c r="C1269" s="5" t="str">
        <x:v>4</x:v>
      </x:c>
      <x:c r="D1269" s="5" t="str">
        <x:v>Unternehmensführung</x:v>
      </x:c>
      <x:c r="E1269" s="5" t="str">
        <x:v>Unternehmensführung</x:v>
      </x:c>
      <x:c r="F1269" s="5" t="str">
        <x:v>ui-wq-0010</x:v>
      </x:c>
      <x:c r="G1269" s="5" t="str">
        <x:v>Betriebsorganisation</x:v>
      </x:c>
      <x:c r="H1269" s="5" t="str">
        <x:v>dg-wq-0067</x:v>
      </x:c>
      <x:c r="I1269" s="5" t="str">
        <x:v>4.1.3</x:v>
      </x:c>
      <x:c r="J1269" s="5" t="str">
        <x:v>Aufbauorganisation</x:v>
      </x:c>
      <x:c r="K1269" s="5" t="str"/>
      <x:c r="L1269" s="5" t="str">
        <x:v>Aufbau- &amp; Ablauforganisation</x:v>
      </x:c>
      <x:c r="M1269" s="5" t="n">
        <x:v>52</x:v>
      </x:c>
      <x:c r="N1269" s="5" t="n">
        <x:v>29</x:v>
      </x:c>
      <x:c r="O1269" s="5" t="str"/>
      <x:c r="P1269" s="5" t="str">
        <x:v>Zuordnungsvorschlag; Fachfreigabe ausstehend</x:v>
      </x:c>
      <x:c r="Q1269" s="5" t="str">
        <x:v>Bestehendes Lernthema fachlich unter passendem Rahmenplan-Unterbereich behalten</x:v>
      </x:c>
      <x:c r="R1269" s="5" t="str">
        <x:v>Beschreiben Sie den Arbeitsablauf zur Veröffentlichung eines Artikels mit den zuständigen Stellen in der richtigen Reihenfolge.</x:v>
      </x:c>
      <x:c r="S1269" s="5" t="str">
        <x:v>4fc7ddab10ceca63a6b006a6d07491bec31a917c0a4d8ae672df6bd116708312</x:v>
      </x:c>
    </x:row>
    <x:row r="1270" ht="36" customHeight="1">
      <x:c r="A1270" s="5" t="str">
        <x:v>UF-0059</x:v>
      </x:c>
      <x:c r="B1270" s="5" t="str">
        <x:v>WQ</x:v>
      </x:c>
      <x:c r="C1270" s="5" t="str">
        <x:v>4</x:v>
      </x:c>
      <x:c r="D1270" s="5" t="str">
        <x:v>Unternehmensführung</x:v>
      </x:c>
      <x:c r="E1270" s="5" t="str">
        <x:v>Unternehmensführung</x:v>
      </x:c>
      <x:c r="F1270" s="5" t="str">
        <x:v>ui-wq-0010</x:v>
      </x:c>
      <x:c r="G1270" s="5" t="str">
        <x:v>Betriebsorganisation</x:v>
      </x:c>
      <x:c r="H1270" s="5" t="str">
        <x:v>dg-wq-0068</x:v>
      </x:c>
      <x:c r="I1270" s="5" t="str">
        <x:v>4.1.4.2#3</x:v>
      </x:c>
      <x:c r="J1270" s="5" t="str">
        <x:v>Netzplantechnik</x:v>
      </x:c>
      <x:c r="K1270" s="5" t="str"/>
      <x:c r="L1270" s="5" t="str">
        <x:v>Aufbau- &amp; Ablauforganisation</x:v>
      </x:c>
      <x:c r="M1270" s="5" t="n">
        <x:v>53</x:v>
      </x:c>
      <x:c r="N1270" s="5" t="n">
        <x:v>2</x:v>
      </x:c>
      <x:c r="O1270" s="5" t="str"/>
      <x:c r="P1270" s="5" t="str">
        <x:v>Zuordnungsvorschlag; Fachfreigabe ausstehend</x:v>
      </x:c>
      <x:c r="Q1270" s="5" t="str">
        <x:v>Frageinhalt präzisiert bzw. teilt bisheriges Sammelthema</x:v>
      </x:c>
      <x:c r="R1270" s="5" t="str">
        <x:v>Beschreiben Sie die frühesten und spätesten Anfangs- und Endzeitpunkte in der Netzplantechnik.</x:v>
      </x:c>
      <x:c r="S1270" s="5" t="str">
        <x:v>c4576d9bd5767016a4a22e289f678a38d7e8bf0af7fc6d91bb3982095c3f2390</x:v>
      </x:c>
    </x:row>
    <x:row r="1271" ht="36" customHeight="1">
      <x:c r="A1271" s="5" t="str">
        <x:v>UF-0060</x:v>
      </x:c>
      <x:c r="B1271" s="5" t="str">
        <x:v>WQ</x:v>
      </x:c>
      <x:c r="C1271" s="5" t="str">
        <x:v>4</x:v>
      </x:c>
      <x:c r="D1271" s="5" t="str">
        <x:v>Unternehmensführung</x:v>
      </x:c>
      <x:c r="E1271" s="5" t="str">
        <x:v>Unternehmensführung</x:v>
      </x:c>
      <x:c r="F1271" s="5" t="str">
        <x:v>ui-wq-0010</x:v>
      </x:c>
      <x:c r="G1271" s="5" t="str">
        <x:v>Betriebsorganisation</x:v>
      </x:c>
      <x:c r="H1271" s="5" t="str">
        <x:v>dg-wq-0067</x:v>
      </x:c>
      <x:c r="I1271" s="5" t="str">
        <x:v>4.1.3</x:v>
      </x:c>
      <x:c r="J1271" s="5" t="str">
        <x:v>Aufbauorganisation</x:v>
      </x:c>
      <x:c r="K1271" s="5" t="str"/>
      <x:c r="L1271" s="5" t="str">
        <x:v>Aufbau- &amp; Ablauforganisation</x:v>
      </x:c>
      <x:c r="M1271" s="5" t="n">
        <x:v>54</x:v>
      </x:c>
      <x:c r="N1271" s="5" t="n">
        <x:v>30</x:v>
      </x:c>
      <x:c r="O1271" s="5" t="str"/>
      <x:c r="P1271" s="5" t="str">
        <x:v>Zuordnungsvorschlag; Fachfreigabe ausstehend</x:v>
      </x:c>
      <x:c r="Q1271" s="5" t="str">
        <x:v>Bestehendes Lernthema fachlich unter passendem Rahmenplan-Unterbereich behalten</x:v>
      </x:c>
      <x:c r="R1271" s="5" t="str">
        <x:v>Fallbezug: Die folgenden betrieblichen Angaben und Situationen beziehen sich auf die Circle Harbor GmbH.
Gegeben sind folgende Gesamtpufferzeiten: A = 0, B = 2, C = 0, D = 2, E = 2, F = 0, G = 4, H = 2. Nennen Sie die kritischen Vorgänge und den daraus erkennbaren kritischen Pfad.</x:v>
      </x:c>
      <x:c r="S1271" s="5" t="str">
        <x:v>60d3e25777810324324de9897ce4c09abd10496fc385ce3dbd6d780a4f906e49</x:v>
      </x:c>
    </x:row>
    <x:row r="1272" ht="36" customHeight="1">
      <x:c r="A1272" s="5" t="str">
        <x:v>UF-0061</x:v>
      </x:c>
      <x:c r="B1272" s="5" t="str">
        <x:v>WQ</x:v>
      </x:c>
      <x:c r="C1272" s="5" t="str">
        <x:v>4</x:v>
      </x:c>
      <x:c r="D1272" s="5" t="str">
        <x:v>Unternehmensführung</x:v>
      </x:c>
      <x:c r="E1272" s="5" t="str">
        <x:v>Unternehmensführung</x:v>
      </x:c>
      <x:c r="F1272" s="5" t="str">
        <x:v>ui-wq-0010</x:v>
      </x:c>
      <x:c r="G1272" s="5" t="str">
        <x:v>Betriebsorganisation</x:v>
      </x:c>
      <x:c r="H1272" s="5" t="str">
        <x:v>dg-wq-0067</x:v>
      </x:c>
      <x:c r="I1272" s="5" t="str">
        <x:v>4.1.3</x:v>
      </x:c>
      <x:c r="J1272" s="5" t="str">
        <x:v>Aufbauorganisation</x:v>
      </x:c>
      <x:c r="K1272" s="5" t="str"/>
      <x:c r="L1272" s="5" t="str">
        <x:v>Aufbau- &amp; Ablauforganisation</x:v>
      </x:c>
      <x:c r="M1272" s="5" t="n">
        <x:v>55</x:v>
      </x:c>
      <x:c r="N1272" s="5" t="n">
        <x:v>31</x:v>
      </x:c>
      <x:c r="O1272" s="5" t="str"/>
      <x:c r="P1272" s="5" t="str">
        <x:v>Zuordnungsvorschlag; Fachfreigabe ausstehend</x:v>
      </x:c>
      <x:c r="Q1272" s="5" t="str">
        <x:v>Bestehendes Lernthema fachlich unter passendem Rahmenplan-Unterbereich behalten</x:v>
      </x:c>
      <x:c r="R1272" s="5" t="str">
        <x:v>Fallbezug: Die folgenden betrieblichen Angaben und Situationen beziehen sich auf die Circle Harbor GmbH.
Gegeben sind folgende Gesamtpufferzeiten: Vorgang B = 2 Tage, Vorgang F = 0 Tage und Vorgang G = 4 Tage. Beschreiben Sie jeweils die Auswirkung auf den Projektendtermin, wenn sich B, F beziehungsweise G um zwei Tage verlängert.</x:v>
      </x:c>
      <x:c r="S1272" s="5" t="str">
        <x:v>2bde02c7e5745dac9bf03ca5e9927b02189f683ebcd7a8c426755f996e9cbf03</x:v>
      </x:c>
    </x:row>
    <x:row r="1273" ht="36" customHeight="1">
      <x:c r="A1273" s="5" t="str">
        <x:v>UF-0062</x:v>
      </x:c>
      <x:c r="B1273" s="5" t="str">
        <x:v>WQ</x:v>
      </x:c>
      <x:c r="C1273" s="5" t="str">
        <x:v>4</x:v>
      </x:c>
      <x:c r="D1273" s="5" t="str">
        <x:v>Unternehmensführung</x:v>
      </x:c>
      <x:c r="E1273" s="5" t="str">
        <x:v>Unternehmensführung</x:v>
      </x:c>
      <x:c r="F1273" s="5" t="str">
        <x:v>ui-wq-0010</x:v>
      </x:c>
      <x:c r="G1273" s="5" t="str">
        <x:v>Betriebsorganisation</x:v>
      </x:c>
      <x:c r="H1273" s="5" t="str">
        <x:v>dg-wq-0068</x:v>
      </x:c>
      <x:c r="I1273" s="5" t="str">
        <x:v>4.1.4</x:v>
      </x:c>
      <x:c r="J1273" s="5" t="str">
        <x:v>Ablauforganisation</x:v>
      </x:c>
      <x:c r="K1273" s="5" t="str"/>
      <x:c r="L1273" s="5" t="str">
        <x:v>Aufbau- &amp; Ablauforganisation</x:v>
      </x:c>
      <x:c r="M1273" s="5" t="n">
        <x:v>56</x:v>
      </x:c>
      <x:c r="N1273" s="5" t="n">
        <x:v>3</x:v>
      </x:c>
      <x:c r="O1273" s="5" t="str"/>
      <x:c r="P1273" s="5" t="str">
        <x:v>Zuordnungsvorschlag; Fachfreigabe ausstehend</x:v>
      </x:c>
      <x:c r="Q1273" s="5" t="str">
        <x:v>Frageinhalt präzisiert bzw. teilt bisheriges Sammelthema</x:v>
      </x:c>
      <x:c r="R1273" s="5" t="str">
        <x:v>Nennen Sie mindestens sechs Prioritätsregeln, nach denen Aufträge in der Ablauforganisation bearbeitet werden können.</x:v>
      </x:c>
      <x:c r="S1273" s="5" t="str">
        <x:v>3a207d15810b8bc97850a265f6908373391f20f484eb2492896a9c7a51f1ffd7</x:v>
      </x:c>
    </x:row>
    <x:row r="1274" ht="36" customHeight="1">
      <x:c r="A1274" s="5" t="str">
        <x:v>UF-0063</x:v>
      </x:c>
      <x:c r="B1274" s="5" t="str">
        <x:v>WQ</x:v>
      </x:c>
      <x:c r="C1274" s="5" t="str">
        <x:v>4</x:v>
      </x:c>
      <x:c r="D1274" s="5" t="str">
        <x:v>Unternehmensführung</x:v>
      </x:c>
      <x:c r="E1274" s="5" t="str">
        <x:v>Unternehmensführung</x:v>
      </x:c>
      <x:c r="F1274" s="5" t="str">
        <x:v>ui-wq-0010</x:v>
      </x:c>
      <x:c r="G1274" s="5" t="str">
        <x:v>Betriebsorganisation</x:v>
      </x:c>
      <x:c r="H1274" s="5" t="str">
        <x:v>dg-wq-0067</x:v>
      </x:c>
      <x:c r="I1274" s="5" t="str">
        <x:v>4.1.3</x:v>
      </x:c>
      <x:c r="J1274" s="5" t="str">
        <x:v>Aufbauorganisation</x:v>
      </x:c>
      <x:c r="K1274" s="5" t="str"/>
      <x:c r="L1274" s="5" t="str">
        <x:v>Aufbau- &amp; Ablauforganisation</x:v>
      </x:c>
      <x:c r="M1274" s="5" t="n">
        <x:v>57</x:v>
      </x:c>
      <x:c r="N1274" s="5" t="n">
        <x:v>32</x:v>
      </x:c>
      <x:c r="O1274" s="5" t="str"/>
      <x:c r="P1274" s="5" t="str">
        <x:v>Zuordnungsvorschlag; Fachfreigabe ausstehend</x:v>
      </x:c>
      <x:c r="Q1274" s="5" t="str">
        <x:v>Bestehendes Lernthema fachlich unter passendem Rahmenplan-Unterbereich behalten</x:v>
      </x:c>
      <x:c r="R1274" s="5" t="str">
        <x:v>Leiten Sie aus den Grundsätzen des Lean Managements mindestens vier neue Anforderungen an Beschäftigte ab.</x:v>
      </x:c>
      <x:c r="S1274" s="5" t="str">
        <x:v>e63c043bf0095500905a1a76e0145429467fc5fe1fbcc036f895773e772a994a</x:v>
      </x:c>
    </x:row>
    <x:row r="1275" ht="36" customHeight="1">
      <x:c r="A1275" s="5" t="str">
        <x:v>UF-0064</x:v>
      </x:c>
      <x:c r="B1275" s="5" t="str">
        <x:v>WQ</x:v>
      </x:c>
      <x:c r="C1275" s="5" t="str">
        <x:v>4</x:v>
      </x:c>
      <x:c r="D1275" s="5" t="str">
        <x:v>Unternehmensführung</x:v>
      </x:c>
      <x:c r="E1275" s="5" t="str">
        <x:v>Unternehmensführung</x:v>
      </x:c>
      <x:c r="F1275" s="5" t="str">
        <x:v>ui-wq-0010</x:v>
      </x:c>
      <x:c r="G1275" s="5" t="str">
        <x:v>Betriebsorganisation</x:v>
      </x:c>
      <x:c r="H1275" s="5" t="str">
        <x:v>dg-wq-0069</x:v>
      </x:c>
      <x:c r="I1275" s="5" t="str">
        <x:v>4.1.5</x:v>
      </x:c>
      <x:c r="J1275" s="5" t="str">
        <x:v>Analysemethoden</x:v>
      </x:c>
      <x:c r="K1275" s="5" t="str"/>
      <x:c r="L1275" s="5" t="str">
        <x:v>Analysemethoden &amp; Betriebsstatistik</x:v>
      </x:c>
      <x:c r="M1275" s="5" t="n">
        <x:v>58</x:v>
      </x:c>
      <x:c r="N1275" s="5" t="n">
        <x:v>1</x:v>
      </x:c>
      <x:c r="O1275" s="5" t="str"/>
      <x:c r="P1275" s="5" t="str">
        <x:v>Zuordnungsvorschlag; Fachfreigabe ausstehend</x:v>
      </x:c>
      <x:c r="Q1275" s="5" t="str">
        <x:v>Bestehendes Lernthema fachlich unter passendem Rahmenplan-Unterbereich behalten</x:v>
      </x:c>
      <x:c r="R1275" s="5" t="str">
        <x:v>Beschreiben Sie das Prinzip geschlossener Fragen und nennen Sie mindestens drei Formen.</x:v>
      </x:c>
      <x:c r="S1275" s="5" t="str">
        <x:v>eca486a2d12982da41135ab6ac1a321ed300c0e3eb057d73e925d5681169333f</x:v>
      </x:c>
    </x:row>
    <x:row r="1276" ht="36" customHeight="1">
      <x:c r="A1276" s="5" t="str">
        <x:v>UF-0065</x:v>
      </x:c>
      <x:c r="B1276" s="5" t="str">
        <x:v>WQ</x:v>
      </x:c>
      <x:c r="C1276" s="5" t="str">
        <x:v>4</x:v>
      </x:c>
      <x:c r="D1276" s="5" t="str">
        <x:v>Unternehmensführung</x:v>
      </x:c>
      <x:c r="E1276" s="5" t="str">
        <x:v>Unternehmensführung</x:v>
      </x:c>
      <x:c r="F1276" s="5" t="str">
        <x:v>ui-wq-0010</x:v>
      </x:c>
      <x:c r="G1276" s="5" t="str">
        <x:v>Betriebsorganisation</x:v>
      </x:c>
      <x:c r="H1276" s="5" t="str">
        <x:v>dg-wq-0069</x:v>
      </x:c>
      <x:c r="I1276" s="5" t="str">
        <x:v>4.1.5</x:v>
      </x:c>
      <x:c r="J1276" s="5" t="str">
        <x:v>Analysemethoden</x:v>
      </x:c>
      <x:c r="K1276" s="5" t="str"/>
      <x:c r="L1276" s="5" t="str">
        <x:v>Analysemethoden &amp; Betriebsstatistik</x:v>
      </x:c>
      <x:c r="M1276" s="5" t="n">
        <x:v>59</x:v>
      </x:c>
      <x:c r="N1276" s="5" t="n">
        <x:v>2</x:v>
      </x:c>
      <x:c r="O1276" s="5" t="str"/>
      <x:c r="P1276" s="5" t="str">
        <x:v>Zuordnungsvorschlag; Fachfreigabe ausstehend</x:v>
      </x:c>
      <x:c r="Q1276" s="5" t="str">
        <x:v>Bestehendes Lernthema fachlich unter passendem Rahmenplan-Unterbereich behalten</x:v>
      </x:c>
      <x:c r="R1276" s="5" t="str">
        <x:v>Erläutern Sie, wann geschlossene Fragen und wann offene Fragen in einer Kundenbefragung sinnvoll sind.</x:v>
      </x:c>
      <x:c r="S1276" s="5" t="str">
        <x:v>4684713b30a87046260136113078cbdc48df130b5fe9ae6da5a12e487170ec61</x:v>
      </x:c>
    </x:row>
    <x:row r="1277" ht="36" customHeight="1">
      <x:c r="A1277" s="5" t="str">
        <x:v>UF-0066</x:v>
      </x:c>
      <x:c r="B1277" s="5" t="str">
        <x:v>WQ</x:v>
      </x:c>
      <x:c r="C1277" s="5" t="str">
        <x:v>4</x:v>
      </x:c>
      <x:c r="D1277" s="5" t="str">
        <x:v>Unternehmensführung</x:v>
      </x:c>
      <x:c r="E1277" s="5" t="str">
        <x:v>Unternehmensführung</x:v>
      </x:c>
      <x:c r="F1277" s="5" t="str">
        <x:v>ui-wq-0010</x:v>
      </x:c>
      <x:c r="G1277" s="5" t="str">
        <x:v>Betriebsorganisation</x:v>
      </x:c>
      <x:c r="H1277" s="5" t="str">
        <x:v>dg-wq-0069</x:v>
      </x:c>
      <x:c r="I1277" s="5" t="str">
        <x:v>4.1.5.1</x:v>
      </x:c>
      <x:c r="J1277" s="5" t="str">
        <x:v>Methoden zur Messung der Kundenzufriedenheit und Auswertung der Ergebnisse</x:v>
      </x:c>
      <x:c r="K1277" s="5" t="str"/>
      <x:c r="L1277" s="5" t="str">
        <x:v>Analysemethoden &amp; Betriebsstatistik</x:v>
      </x:c>
      <x:c r="M1277" s="5" t="n">
        <x:v>60</x:v>
      </x:c>
      <x:c r="N1277" s="5" t="n">
        <x:v>3</x:v>
      </x:c>
      <x:c r="O1277" s="5" t="str"/>
      <x:c r="P1277" s="5" t="str">
        <x:v>Zuordnungsvorschlag; Fachfreigabe ausstehend</x:v>
      </x:c>
      <x:c r="Q1277" s="5" t="str">
        <x:v>Bestehendes Lernthema fachlich unter passendem Rahmenplan-Unterbereich behalten</x:v>
      </x:c>
      <x:c r="R1277" s="5" t="str">
        <x:v>Formulieren Sie vier unterschiedliche Beispiele für geschlossene Fragen zur Kundenzufriedenheit eines Logistikunternehmens.</x:v>
      </x:c>
      <x:c r="S1277" s="5" t="str">
        <x:v>25b6697fb7d0bc0593efc502d26e9dbd2ba7a6a298a6ab4c6a528dff307208ce</x:v>
      </x:c>
    </x:row>
    <x:row r="1278" ht="36" customHeight="1">
      <x:c r="A1278" s="5" t="str">
        <x:v>UF-0067</x:v>
      </x:c>
      <x:c r="B1278" s="5" t="str">
        <x:v>WQ</x:v>
      </x:c>
      <x:c r="C1278" s="5" t="str">
        <x:v>4</x:v>
      </x:c>
      <x:c r="D1278" s="5" t="str">
        <x:v>Unternehmensführung</x:v>
      </x:c>
      <x:c r="E1278" s="5" t="str">
        <x:v>Unternehmensführung</x:v>
      </x:c>
      <x:c r="F1278" s="5" t="str">
        <x:v>ui-wq-0010</x:v>
      </x:c>
      <x:c r="G1278" s="5" t="str">
        <x:v>Betriebsorganisation</x:v>
      </x:c>
      <x:c r="H1278" s="5" t="str">
        <x:v>dg-wq-0069</x:v>
      </x:c>
      <x:c r="I1278" s="5" t="str">
        <x:v>4.1.5.2</x:v>
      </x:c>
      <x:c r="J1278" s="5" t="str">
        <x:v>Wertanalyse</x:v>
      </x:c>
      <x:c r="K1278" s="5" t="str"/>
      <x:c r="L1278" s="5" t="str">
        <x:v>Analysemethoden &amp; Betriebsstatistik</x:v>
      </x:c>
      <x:c r="M1278" s="5" t="n">
        <x:v>61</x:v>
      </x:c>
      <x:c r="N1278" s="5" t="n">
        <x:v>4</x:v>
      </x:c>
      <x:c r="O1278" s="5" t="str"/>
      <x:c r="P1278" s="5" t="str">
        <x:v>Zuordnungsvorschlag; Fachfreigabe ausstehend</x:v>
      </x:c>
      <x:c r="Q1278" s="5" t="str">
        <x:v>Bestehendes Lernthema fachlich unter passendem Rahmenplan-Unterbereich behalten</x:v>
      </x:c>
      <x:c r="R1278" s="5" t="str">
        <x:v>Nennen Sie zwei Vorgehensweisen, mit denen Gewichtungsfaktoren für eine Nutzwertanalyse ermittelt werden können.</x:v>
      </x:c>
      <x:c r="S1278" s="5" t="str">
        <x:v>74257d25c7ebf8a5c8f61e3019ff81725ccca2faa7387d1c9f74a9c44727d86e</x:v>
      </x:c>
    </x:row>
    <x:row r="1279" ht="36" customHeight="1">
      <x:c r="A1279" s="5" t="str">
        <x:v>UF-0068</x:v>
      </x:c>
      <x:c r="B1279" s="5" t="str">
        <x:v>WQ</x:v>
      </x:c>
      <x:c r="C1279" s="5" t="str">
        <x:v>4</x:v>
      </x:c>
      <x:c r="D1279" s="5" t="str">
        <x:v>Unternehmensführung</x:v>
      </x:c>
      <x:c r="E1279" s="5" t="str">
        <x:v>Unternehmensführung</x:v>
      </x:c>
      <x:c r="F1279" s="5" t="str">
        <x:v>ui-wq-0010</x:v>
      </x:c>
      <x:c r="G1279" s="5" t="str">
        <x:v>Betriebsorganisation</x:v>
      </x:c>
      <x:c r="H1279" s="5" t="str">
        <x:v>dg-wq-0069</x:v>
      </x:c>
      <x:c r="I1279" s="5" t="str">
        <x:v>4.1.5.2</x:v>
      </x:c>
      <x:c r="J1279" s="5" t="str">
        <x:v>Wertanalyse</x:v>
      </x:c>
      <x:c r="K1279" s="5" t="str"/>
      <x:c r="L1279" s="5" t="str">
        <x:v>Analysemethoden &amp; Betriebsstatistik</x:v>
      </x:c>
      <x:c r="M1279" s="5" t="n">
        <x:v>62</x:v>
      </x:c>
      <x:c r="N1279" s="5" t="n">
        <x:v>5</x:v>
      </x:c>
      <x:c r="O1279" s="5" t="str"/>
      <x:c r="P1279" s="5" t="str">
        <x:v>Zuordnungsvorschlag; Fachfreigabe ausstehend</x:v>
      </x:c>
      <x:c r="Q1279" s="5" t="str">
        <x:v>Bestehendes Lernthema fachlich unter passendem Rahmenplan-Unterbereich behalten</x:v>
      </x:c>
      <x:c r="R1279" s="5" t="str">
        <x:v>Beschreiben Sie die weitere Vorgehensweise bei einer Nutzwertanalyse, wenn Gewichtungsfaktoren und Bewertungspunkte bereits vorliegen.</x:v>
      </x:c>
      <x:c r="S1279" s="5" t="str">
        <x:v>34a3a82787f7bb10a48b64fcbdad5d2591df31afde2d0df5561715d95f8dee63</x:v>
      </x:c>
    </x:row>
    <x:row r="1280" ht="36" customHeight="1">
      <x:c r="A1280" s="5" t="str">
        <x:v>UF-0069</x:v>
      </x:c>
      <x:c r="B1280" s="5" t="str">
        <x:v>WQ</x:v>
      </x:c>
      <x:c r="C1280" s="5" t="str">
        <x:v>4</x:v>
      </x:c>
      <x:c r="D1280" s="5" t="str">
        <x:v>Unternehmensführung</x:v>
      </x:c>
      <x:c r="E1280" s="5" t="str">
        <x:v>Unternehmensführung</x:v>
      </x:c>
      <x:c r="F1280" s="5" t="str">
        <x:v>ui-wq-0010</x:v>
      </x:c>
      <x:c r="G1280" s="5" t="str">
        <x:v>Betriebsorganisation</x:v>
      </x:c>
      <x:c r="H1280" s="5" t="str">
        <x:v>dg-wq-0069</x:v>
      </x:c>
      <x:c r="I1280" s="5" t="str">
        <x:v>4.1.5.2</x:v>
      </x:c>
      <x:c r="J1280" s="5" t="str">
        <x:v>Wertanalyse</x:v>
      </x:c>
      <x:c r="K1280" s="5" t="str"/>
      <x:c r="L1280" s="5" t="str">
        <x:v>Analysemethoden &amp; Betriebsstatistik</x:v>
      </x:c>
      <x:c r="M1280" s="5" t="n">
        <x:v>63</x:v>
      </x:c>
      <x:c r="N1280" s="5" t="n">
        <x:v>6</x:v>
      </x:c>
      <x:c r="O1280" s="5" t="str"/>
      <x:c r="P1280" s="5" t="str">
        <x:v>Zuordnungsvorschlag; Fachfreigabe ausstehend</x:v>
      </x:c>
      <x:c r="Q1280" s="5" t="str">
        <x:v>Bestehendes Lernthema fachlich unter passendem Rahmenplan-Unterbereich behalten</x:v>
      </x:c>
      <x:c r="R1280" s="5" t="str">
        <x:v>Nennen Sie mindestens zwei Risiken der Nutzwertanalyse.</x:v>
      </x:c>
      <x:c r="S1280" s="5" t="str">
        <x:v>d1e22277441441f79dab1dca2588751844a0e9223e309369d4c776199b51048a</x:v>
      </x:c>
    </x:row>
    <x:row r="1281" ht="36" customHeight="1">
      <x:c r="A1281" s="5" t="str">
        <x:v>UF-0070</x:v>
      </x:c>
      <x:c r="B1281" s="5" t="str">
        <x:v>WQ</x:v>
      </x:c>
      <x:c r="C1281" s="5" t="str">
        <x:v>4</x:v>
      </x:c>
      <x:c r="D1281" s="5" t="str">
        <x:v>Unternehmensführung</x:v>
      </x:c>
      <x:c r="E1281" s="5" t="str">
        <x:v>Unternehmensführung</x:v>
      </x:c>
      <x:c r="F1281" s="5" t="str">
        <x:v>ui-wq-0010</x:v>
      </x:c>
      <x:c r="G1281" s="5" t="str">
        <x:v>Betriebsorganisation</x:v>
      </x:c>
      <x:c r="H1281" s="5" t="str">
        <x:v>dg-wq-0069</x:v>
      </x:c>
      <x:c r="I1281" s="5" t="str">
        <x:v>4.1.5</x:v>
      </x:c>
      <x:c r="J1281" s="5" t="str">
        <x:v>Analysemethoden</x:v>
      </x:c>
      <x:c r="K1281" s="5" t="str"/>
      <x:c r="L1281" s="5" t="str">
        <x:v>Analysemethoden &amp; Betriebsstatistik</x:v>
      </x:c>
      <x:c r="M1281" s="5" t="n">
        <x:v>64</x:v>
      </x:c>
      <x:c r="N1281" s="5" t="n">
        <x:v>7</x:v>
      </x:c>
      <x:c r="O1281" s="5" t="str"/>
      <x:c r="P1281" s="5" t="str">
        <x:v>Zuordnungsvorschlag; Fachfreigabe ausstehend</x:v>
      </x:c>
      <x:c r="Q1281" s="5" t="str">
        <x:v>Bestehendes Lernthema fachlich unter passendem Rahmenplan-Unterbereich behalten</x:v>
      </x:c>
      <x:c r="R1281" s="5" t="str">
        <x:v>Welches Analyseinstrument eignet sich zur Untersuchung wiederkehrender Etikettierungsprobleme und wie gehen Sie dabei vor?</x:v>
      </x:c>
      <x:c r="S1281" s="5" t="str">
        <x:v>59c5e12500654fed99e57403cd54886b393ae849fa3fd83ba38bb691210eedce</x:v>
      </x:c>
    </x:row>
    <x:row r="1282" ht="36" customHeight="1">
      <x:c r="A1282" s="5" t="str">
        <x:v>UF-0071</x:v>
      </x:c>
      <x:c r="B1282" s="5" t="str">
        <x:v>WQ</x:v>
      </x:c>
      <x:c r="C1282" s="5" t="str">
        <x:v>4</x:v>
      </x:c>
      <x:c r="D1282" s="5" t="str">
        <x:v>Unternehmensführung</x:v>
      </x:c>
      <x:c r="E1282" s="5" t="str">
        <x:v>Unternehmensführung</x:v>
      </x:c>
      <x:c r="F1282" s="5" t="str">
        <x:v>ui-wq-0010</x:v>
      </x:c>
      <x:c r="G1282" s="5" t="str">
        <x:v>Betriebsorganisation</x:v>
      </x:c>
      <x:c r="H1282" s="5" t="str">
        <x:v>dg-wq-0069</x:v>
      </x:c>
      <x:c r="I1282" s="5" t="str">
        <x:v>4.1.5</x:v>
      </x:c>
      <x:c r="J1282" s="5" t="str">
        <x:v>Analysemethoden</x:v>
      </x:c>
      <x:c r="K1282" s="5" t="str"/>
      <x:c r="L1282" s="5" t="str">
        <x:v>Analysemethoden &amp; Betriebsstatistik</x:v>
      </x:c>
      <x:c r="M1282" s="5" t="n">
        <x:v>65</x:v>
      </x:c>
      <x:c r="N1282" s="5" t="n">
        <x:v>8</x:v>
      </x:c>
      <x:c r="O1282" s="5" t="str"/>
      <x:c r="P1282" s="5" t="str">
        <x:v>Zuordnungsvorschlag; Fachfreigabe ausstehend</x:v>
      </x:c>
      <x:c r="Q1282" s="5" t="str">
        <x:v>Bestehendes Lernthema fachlich unter passendem Rahmenplan-Unterbereich behalten</x:v>
      </x:c>
      <x:c r="R1282" s="5" t="str">
        <x:v>Bringen Sie die Arbeitsschritte zum Aufstellen eines Ursache-Wirkungs-Diagramms in die richtige Reihenfolge.</x:v>
      </x:c>
      <x:c r="S1282" s="5" t="str">
        <x:v>f0fd15c39f8c21d2f2cf073af153bbf046fa4c0d0199a7bfe51a6612eb93c87c</x:v>
      </x:c>
    </x:row>
    <x:row r="1283" ht="36" customHeight="1">
      <x:c r="A1283" s="5" t="str">
        <x:v>UF-0072</x:v>
      </x:c>
      <x:c r="B1283" s="5" t="str">
        <x:v>WQ</x:v>
      </x:c>
      <x:c r="C1283" s="5" t="str">
        <x:v>4</x:v>
      </x:c>
      <x:c r="D1283" s="5" t="str">
        <x:v>Unternehmensführung</x:v>
      </x:c>
      <x:c r="E1283" s="5" t="str">
        <x:v>Unternehmensführung</x:v>
      </x:c>
      <x:c r="F1283" s="5" t="str">
        <x:v>ui-wq-0010</x:v>
      </x:c>
      <x:c r="G1283" s="5" t="str">
        <x:v>Betriebsorganisation</x:v>
      </x:c>
      <x:c r="H1283" s="5" t="str">
        <x:v>dg-wq-0069</x:v>
      </x:c>
      <x:c r="I1283" s="5" t="str">
        <x:v>4.1.5</x:v>
      </x:c>
      <x:c r="J1283" s="5" t="str">
        <x:v>Analysemethoden</x:v>
      </x:c>
      <x:c r="K1283" s="5" t="str"/>
      <x:c r="L1283" s="5" t="str">
        <x:v>Analysemethoden &amp; Betriebsstatistik</x:v>
      </x:c>
      <x:c r="M1283" s="5" t="n">
        <x:v>66</x:v>
      </x:c>
      <x:c r="N1283" s="5" t="n">
        <x:v>9</x:v>
      </x:c>
      <x:c r="O1283" s="5" t="str"/>
      <x:c r="P1283" s="5" t="str">
        <x:v>Zuordnungsvorschlag; Fachfreigabe ausstehend</x:v>
      </x:c>
      <x:c r="Q1283" s="5" t="str">
        <x:v>Bestehendes Lernthema fachlich unter passendem Rahmenplan-Unterbereich behalten</x:v>
      </x:c>
      <x:c r="R1283" s="5" t="str">
        <x:v>Nennen Sie mindestens vier Vorteile einer Online-Befragung gegenüber einer Befragung mit Papierformularen.</x:v>
      </x:c>
      <x:c r="S1283" s="5" t="str">
        <x:v>e17deb3822ade993aa49e71a1431edf8717909923a8beef94e707e599d77e118</x:v>
      </x:c>
    </x:row>
    <x:row r="1284" ht="36" customHeight="1">
      <x:c r="A1284" s="5" t="str">
        <x:v>UF-0073</x:v>
      </x:c>
      <x:c r="B1284" s="5" t="str">
        <x:v>WQ</x:v>
      </x:c>
      <x:c r="C1284" s="5" t="str">
        <x:v>4</x:v>
      </x:c>
      <x:c r="D1284" s="5" t="str">
        <x:v>Unternehmensführung</x:v>
      </x:c>
      <x:c r="E1284" s="5" t="str">
        <x:v>Unternehmensführung</x:v>
      </x:c>
      <x:c r="F1284" s="5" t="str">
        <x:v>ui-wq-0010</x:v>
      </x:c>
      <x:c r="G1284" s="5" t="str">
        <x:v>Betriebsorganisation</x:v>
      </x:c>
      <x:c r="H1284" s="5" t="str">
        <x:v>dg-wq-0069</x:v>
      </x:c>
      <x:c r="I1284" s="5" t="str">
        <x:v>4.1.5</x:v>
      </x:c>
      <x:c r="J1284" s="5" t="str">
        <x:v>Analysemethoden</x:v>
      </x:c>
      <x:c r="K1284" s="5" t="str"/>
      <x:c r="L1284" s="5" t="str">
        <x:v>Analysemethoden &amp; Betriebsstatistik</x:v>
      </x:c>
      <x:c r="M1284" s="5" t="n">
        <x:v>67</x:v>
      </x:c>
      <x:c r="N1284" s="5" t="n">
        <x:v>10</x:v>
      </x:c>
      <x:c r="O1284" s="5" t="str"/>
      <x:c r="P1284" s="5" t="str">
        <x:v>Zuordnungsvorschlag; Fachfreigabe ausstehend</x:v>
      </x:c>
      <x:c r="Q1284" s="5" t="str">
        <x:v>Bestehendes Lernthema fachlich unter passendem Rahmenplan-Unterbereich behalten</x:v>
      </x:c>
      <x:c r="R1284" s="5" t="str">
        <x:v>Beschreiben Sie mindestens einen Anreiz, mit dem die Rücklaufquote einer Online-Kundenbefragung erhöht werden kann.</x:v>
      </x:c>
      <x:c r="S1284" s="5" t="str">
        <x:v>178e1d1c6a812d05c4947a05f1ec2a5bd04c4baf56c9a5cc1370f4bafe0597af</x:v>
      </x:c>
    </x:row>
    <x:row r="1285" ht="36" customHeight="1">
      <x:c r="A1285" s="5" t="str">
        <x:v>UF-0074</x:v>
      </x:c>
      <x:c r="B1285" s="5" t="str">
        <x:v>WQ</x:v>
      </x:c>
      <x:c r="C1285" s="5" t="str">
        <x:v>4</x:v>
      </x:c>
      <x:c r="D1285" s="5" t="str">
        <x:v>Unternehmensführung</x:v>
      </x:c>
      <x:c r="E1285" s="5" t="str">
        <x:v>Unternehmensführung</x:v>
      </x:c>
      <x:c r="F1285" s="5" t="str">
        <x:v>ui-wq-0010</x:v>
      </x:c>
      <x:c r="G1285" s="5" t="str">
        <x:v>Betriebsorganisation</x:v>
      </x:c>
      <x:c r="H1285" s="5" t="str">
        <x:v>dg-wq-0069</x:v>
      </x:c>
      <x:c r="I1285" s="5" t="str">
        <x:v>4.1.5.1</x:v>
      </x:c>
      <x:c r="J1285" s="5" t="str">
        <x:v>Methoden zur Messung der Kundenzufriedenheit und Auswertung der Ergebnisse</x:v>
      </x:c>
      <x:c r="K1285" s="5" t="str"/>
      <x:c r="L1285" s="5" t="str">
        <x:v>Analysemethoden &amp; Betriebsstatistik</x:v>
      </x:c>
      <x:c r="M1285" s="5" t="n">
        <x:v>68</x:v>
      </x:c>
      <x:c r="N1285" s="5" t="n">
        <x:v>11</x:v>
      </x:c>
      <x:c r="O1285" s="5" t="str"/>
      <x:c r="P1285" s="5" t="str">
        <x:v>Zuordnungsvorschlag; Fachfreigabe ausstehend</x:v>
      </x:c>
      <x:c r="Q1285" s="5" t="str">
        <x:v>Bestehendes Lernthema fachlich unter passendem Rahmenplan-Unterbereich behalten</x:v>
      </x:c>
      <x:c r="R1285" s="5" t="str">
        <x:v>Beschreiben Sie das Paretoprinzip und die ABC-Analyse und gehen Sie auf Grenzen dieser Methoden ein.</x:v>
      </x:c>
      <x:c r="S1285" s="5" t="str">
        <x:v>821e4963466c3a4bb8531f7c3b2b507d3fd60c45c97e4d49b211281c7f3c0be3</x:v>
      </x:c>
    </x:row>
    <x:row r="1286" ht="36" customHeight="1">
      <x:c r="A1286" s="5" t="str">
        <x:v>UF-0075</x:v>
      </x:c>
      <x:c r="B1286" s="5" t="str">
        <x:v>WQ</x:v>
      </x:c>
      <x:c r="C1286" s="5" t="str">
        <x:v>4</x:v>
      </x:c>
      <x:c r="D1286" s="5" t="str">
        <x:v>Unternehmensführung</x:v>
      </x:c>
      <x:c r="E1286" s="5" t="str">
        <x:v>Unternehmensführung</x:v>
      </x:c>
      <x:c r="F1286" s="5" t="str">
        <x:v>ui-wq-0010</x:v>
      </x:c>
      <x:c r="G1286" s="5" t="str">
        <x:v>Betriebsorganisation</x:v>
      </x:c>
      <x:c r="H1286" s="5" t="str">
        <x:v>dg-wq-0069</x:v>
      </x:c>
      <x:c r="I1286" s="5" t="str">
        <x:v>4.1.5</x:v>
      </x:c>
      <x:c r="J1286" s="5" t="str">
        <x:v>Analysemethoden</x:v>
      </x:c>
      <x:c r="K1286" s="5" t="str"/>
      <x:c r="L1286" s="5" t="str">
        <x:v>Analysemethoden &amp; Betriebsstatistik</x:v>
      </x:c>
      <x:c r="M1286" s="5" t="n">
        <x:v>69</x:v>
      </x:c>
      <x:c r="N1286" s="5" t="n">
        <x:v>12</x:v>
      </x:c>
      <x:c r="O1286" s="5" t="str"/>
      <x:c r="P1286" s="5" t="str">
        <x:v>Zuordnungsvorschlag; Fachfreigabe ausstehend</x:v>
      </x:c>
      <x:c r="Q1286" s="5" t="str">
        <x:v>Bestehendes Lernthema fachlich unter passendem Rahmenplan-Unterbereich behalten</x:v>
      </x:c>
      <x:c r="R1286" s="5" t="str">
        <x:v>Nennen Sie mindestens drei Anwendungsbereiche, in denen eine ABC-Analyse vorbereitet werden kann.</x:v>
      </x:c>
      <x:c r="S1286" s="5" t="str">
        <x:v>1cbf5c16eb3d53b15f6a3f985b086e9056660c942344d0baa776e686cff64fab</x:v>
      </x:c>
    </x:row>
    <x:row r="1287" ht="36" customHeight="1">
      <x:c r="A1287" s="5" t="str">
        <x:v>UF-0076</x:v>
      </x:c>
      <x:c r="B1287" s="5" t="str">
        <x:v>WQ</x:v>
      </x:c>
      <x:c r="C1287" s="5" t="str">
        <x:v>4</x:v>
      </x:c>
      <x:c r="D1287" s="5" t="str">
        <x:v>Unternehmensführung</x:v>
      </x:c>
      <x:c r="E1287" s="5" t="str">
        <x:v>Unternehmensführung</x:v>
      </x:c>
      <x:c r="F1287" s="5" t="str">
        <x:v>ui-wq-0010</x:v>
      </x:c>
      <x:c r="G1287" s="5" t="str">
        <x:v>Betriebsorganisation</x:v>
      </x:c>
      <x:c r="H1287" s="5" t="str">
        <x:v>dg-wq-0069</x:v>
      </x:c>
      <x:c r="I1287" s="5" t="str">
        <x:v>4.1.5</x:v>
      </x:c>
      <x:c r="J1287" s="5" t="str">
        <x:v>Analysemethoden</x:v>
      </x:c>
      <x:c r="K1287" s="5" t="str"/>
      <x:c r="L1287" s="5" t="str">
        <x:v>Analysemethoden &amp; Betriebsstatistik</x:v>
      </x:c>
      <x:c r="M1287" s="5" t="n">
        <x:v>70</x:v>
      </x:c>
      <x:c r="N1287" s="5" t="n">
        <x:v>13</x:v>
      </x:c>
      <x:c r="O1287" s="5" t="str"/>
      <x:c r="P1287" s="5" t="str">
        <x:v>Zuordnungsvorschlag; Fachfreigabe ausstehend</x:v>
      </x:c>
      <x:c r="Q1287" s="5" t="str">
        <x:v>Bestehendes Lernthema fachlich unter passendem Rahmenplan-Unterbereich behalten</x:v>
      </x:c>
      <x:c r="R1287" s="5" t="str">
        <x:v>Fallbezug: Die folgenden betrieblichen Angaben und Situationen beziehen sich auf die Circle Harbor GmbH.
Für eine ABC-Analyse liegen folgende Kundenwerte vor (Mengenanteil / Wertanteil): A 9 % / 29 %, G 8 % / 26 %, H 2 % / 24 %, B 14 % / 8 %, F 16 % / 6 %, E 18 % / 4 %, C 22 % / 2 %, D 11 % / 1 %. Sortieren Sie nach Wertanteil, bilden Sie die kumulierten Wertanteile und ordnen Sie die Kunden den Klassen A (bis etwa 80 % kumulierter Wertanteil), B (bis etwa 95 %) und C (Rest) zu.</x:v>
      </x:c>
      <x:c r="S1287" s="5" t="str">
        <x:v>f160da78bb3243979a143a614cdaafbacd4e6ba63f4ab857058ca01e6ed93bcd</x:v>
      </x:c>
    </x:row>
    <x:row r="1288" ht="36" customHeight="1">
      <x:c r="A1288" s="5" t="str">
        <x:v>UF-0077</x:v>
      </x:c>
      <x:c r="B1288" s="5" t="str">
        <x:v>WQ</x:v>
      </x:c>
      <x:c r="C1288" s="5" t="str">
        <x:v>4</x:v>
      </x:c>
      <x:c r="D1288" s="5" t="str">
        <x:v>Unternehmensführung</x:v>
      </x:c>
      <x:c r="E1288" s="5" t="str">
        <x:v>Unternehmensführung</x:v>
      </x:c>
      <x:c r="F1288" s="5" t="str">
        <x:v>ui-wq-0010</x:v>
      </x:c>
      <x:c r="G1288" s="5" t="str">
        <x:v>Betriebsorganisation</x:v>
      </x:c>
      <x:c r="H1288" s="5" t="str">
        <x:v>dg-wq-0069</x:v>
      </x:c>
      <x:c r="I1288" s="5" t="str">
        <x:v>4.1.5</x:v>
      </x:c>
      <x:c r="J1288" s="5" t="str">
        <x:v>Analysemethoden</x:v>
      </x:c>
      <x:c r="K1288" s="5" t="str"/>
      <x:c r="L1288" s="5" t="str">
        <x:v>Analysemethoden &amp; Betriebsstatistik</x:v>
      </x:c>
      <x:c r="M1288" s="5" t="n">
        <x:v>71</x:v>
      </x:c>
      <x:c r="N1288" s="5" t="n">
        <x:v>14</x:v>
      </x:c>
      <x:c r="O1288" s="5" t="str"/>
      <x:c r="P1288" s="5" t="str">
        <x:v>Zuordnungsvorschlag; Fachfreigabe ausstehend</x:v>
      </x:c>
      <x:c r="Q1288" s="5" t="str">
        <x:v>Bestehendes Lernthema fachlich unter passendem Rahmenplan-Unterbereich behalten</x:v>
      </x:c>
      <x:c r="R1288" s="5" t="str">
        <x:v>Beschreiben Sie den Weg von der Anforderung des Vorstands bis zur ersten Vorlage von Kennzahlen im Personalbereich.</x:v>
      </x:c>
      <x:c r="S1288" s="5" t="str">
        <x:v>10bf8de8b913e1090ac9fd66d896da53252f97246823fcdd35a374b7238969b5</x:v>
      </x:c>
    </x:row>
    <x:row r="1289" ht="36" customHeight="1">
      <x:c r="A1289" s="5" t="str">
        <x:v>UF-0078</x:v>
      </x:c>
      <x:c r="B1289" s="5" t="str">
        <x:v>WQ</x:v>
      </x:c>
      <x:c r="C1289" s="5" t="str">
        <x:v>4</x:v>
      </x:c>
      <x:c r="D1289" s="5" t="str">
        <x:v>Unternehmensführung</x:v>
      </x:c>
      <x:c r="E1289" s="5" t="str">
        <x:v>Unternehmensführung</x:v>
      </x:c>
      <x:c r="F1289" s="5" t="str">
        <x:v>ui-wq-0010</x:v>
      </x:c>
      <x:c r="G1289" s="5" t="str">
        <x:v>Betriebsorganisation</x:v>
      </x:c>
      <x:c r="H1289" s="5" t="str">
        <x:v>dg-wq-0069</x:v>
      </x:c>
      <x:c r="I1289" s="5" t="str">
        <x:v>4.1.5</x:v>
      </x:c>
      <x:c r="J1289" s="5" t="str">
        <x:v>Analysemethoden</x:v>
      </x:c>
      <x:c r="K1289" s="5" t="str"/>
      <x:c r="L1289" s="5" t="str">
        <x:v>Analysemethoden &amp; Betriebsstatistik</x:v>
      </x:c>
      <x:c r="M1289" s="5" t="n">
        <x:v>72</x:v>
      </x:c>
      <x:c r="N1289" s="5" t="n">
        <x:v>15</x:v>
      </x:c>
      <x:c r="O1289" s="5" t="str"/>
      <x:c r="P1289" s="5" t="str">
        <x:v>Zuordnungsvorschlag; Fachfreigabe ausstehend</x:v>
      </x:c>
      <x:c r="Q1289" s="5" t="str">
        <x:v>Bestehendes Lernthema fachlich unter passendem Rahmenplan-Unterbereich behalten</x:v>
      </x:c>
      <x:c r="R1289" s="5" t="str">
        <x:v>Geben Sie die Formeln für Krankenstand, Fehlzeitenquote, Personalkosten pro Vollarbeitskraft, Arbeitskosten pro Stunde und Unfallquote an.</x:v>
      </x:c>
      <x:c r="S1289" s="5" t="str">
        <x:v>604660e843c25407cc59a4530502f7f03bb3defd9e4f461cefa8ee1b9f51a398</x:v>
      </x:c>
    </x:row>
    <x:row r="1290" ht="36" customHeight="1">
      <x:c r="A1290" s="5" t="str">
        <x:v>UF-0079</x:v>
      </x:c>
      <x:c r="B1290" s="5" t="str">
        <x:v>WQ</x:v>
      </x:c>
      <x:c r="C1290" s="5" t="str">
        <x:v>4</x:v>
      </x:c>
      <x:c r="D1290" s="5" t="str">
        <x:v>Unternehmensführung</x:v>
      </x:c>
      <x:c r="E1290" s="5" t="str">
        <x:v>Unternehmensführung</x:v>
      </x:c>
      <x:c r="F1290" s="5" t="str">
        <x:v>ui-wq-0010</x:v>
      </x:c>
      <x:c r="G1290" s="5" t="str">
        <x:v>Betriebsorganisation</x:v>
      </x:c>
      <x:c r="H1290" s="5" t="str">
        <x:v>dg-wq-0065</x:v>
      </x:c>
      <x:c r="I1290" s="5" t="str">
        <x:v>4.1.1</x:v>
      </x:c>
      <x:c r="J1290" s="5" t="str">
        <x:v>Unternehmensleitbild, Unternehmensphilosophie, Unternehmenskultur und Corporate Identity</x:v>
      </x:c>
      <x:c r="K1290" s="5" t="str"/>
      <x:c r="L1290" s="5" t="str">
        <x:v>Leitbild, Unternehmenspolitik &amp; Planung</x:v>
      </x:c>
      <x:c r="M1290" s="5" t="n">
        <x:v>73</x:v>
      </x:c>
      <x:c r="N1290" s="5" t="n">
        <x:v>23</x:v>
      </x:c>
      <x:c r="O1290" s="5" t="str"/>
      <x:c r="P1290" s="5" t="str">
        <x:v>Zuordnungsvorschlag; Fachfreigabe ausstehend</x:v>
      </x:c>
      <x:c r="Q1290" s="5" t="str">
        <x:v>Bestehendes Lernthema fachlich unter passendem Rahmenplan-Unterbereich behalten</x:v>
      </x:c>
      <x:c r="R1290" s="5" t="str">
        <x:v>Beschreiben Sie die allgemeine Vorgehensweise beim Benchmarking in einem Vorgehensmodell mit sechs bis sieben Schritten.</x:v>
      </x:c>
      <x:c r="S1290" s="5" t="str">
        <x:v>209aa9096c4eced8efa453b6a0763ec3e29b5d982848745d0524badb74b5d258</x:v>
      </x:c>
    </x:row>
    <x:row r="1291" ht="36" customHeight="1">
      <x:c r="A1291" s="5" t="str">
        <x:v>UF-0080</x:v>
      </x:c>
      <x:c r="B1291" s="5" t="str">
        <x:v>WQ</x:v>
      </x:c>
      <x:c r="C1291" s="5" t="str">
        <x:v>4</x:v>
      </x:c>
      <x:c r="D1291" s="5" t="str">
        <x:v>Unternehmensführung</x:v>
      </x:c>
      <x:c r="E1291" s="5" t="str">
        <x:v>Unternehmensführung</x:v>
      </x:c>
      <x:c r="F1291" s="5" t="str">
        <x:v>ui-wq-0010</x:v>
      </x:c>
      <x:c r="G1291" s="5" t="str">
        <x:v>Betriebsorganisation</x:v>
      </x:c>
      <x:c r="H1291" s="5" t="str">
        <x:v>dg-wq-0069</x:v>
      </x:c>
      <x:c r="I1291" s="5" t="str">
        <x:v>4.1.5.1</x:v>
      </x:c>
      <x:c r="J1291" s="5" t="str">
        <x:v>Methoden zur Messung der Kundenzufriedenheit und Auswertung der Ergebnisse</x:v>
      </x:c>
      <x:c r="K1291" s="5" t="str"/>
      <x:c r="L1291" s="5" t="str">
        <x:v>Analysemethoden &amp; Betriebsstatistik</x:v>
      </x:c>
      <x:c r="M1291" s="5" t="n">
        <x:v>74</x:v>
      </x:c>
      <x:c r="N1291" s="5" t="n">
        <x:v>16</x:v>
      </x:c>
      <x:c r="O1291" s="5" t="str"/>
      <x:c r="P1291" s="5" t="str">
        <x:v>Zuordnungsvorschlag; Fachfreigabe ausstehend</x:v>
      </x:c>
      <x:c r="Q1291" s="5" t="str">
        <x:v>Bestehendes Lernthema fachlich unter passendem Rahmenplan-Unterbereich behalten</x:v>
      </x:c>
      <x:c r="R1291" s="5" t="str">
        <x:v>Beschreiben Sie, auf welche Weise Daten und Kennzahlen zur Kundenzufriedenheit berechnet und ausgewertet werden sollten.</x:v>
      </x:c>
      <x:c r="S1291" s="5" t="str">
        <x:v>c7f07e6e8a6df28598da37b599e741a0862cbab5617302c9f4174b3a3c902871</x:v>
      </x:c>
    </x:row>
    <x:row r="1292" ht="36" customHeight="1">
      <x:c r="A1292" s="5" t="str">
        <x:v>UF-0081</x:v>
      </x:c>
      <x:c r="B1292" s="5" t="str">
        <x:v>WQ</x:v>
      </x:c>
      <x:c r="C1292" s="5" t="str">
        <x:v>4</x:v>
      </x:c>
      <x:c r="D1292" s="5" t="str">
        <x:v>Unternehmensführung</x:v>
      </x:c>
      <x:c r="E1292" s="5" t="str">
        <x:v>Unternehmensführung</x:v>
      </x:c>
      <x:c r="F1292" s="5" t="str">
        <x:v>ui-wq-0010</x:v>
      </x:c>
      <x:c r="G1292" s="5" t="str">
        <x:v>Betriebsorganisation</x:v>
      </x:c>
      <x:c r="H1292" s="5" t="str">
        <x:v>dg-wq-0065</x:v>
      </x:c>
      <x:c r="I1292" s="5" t="str">
        <x:v>4.1.1</x:v>
      </x:c>
      <x:c r="J1292" s="5" t="str">
        <x:v>Unternehmensleitbild, Unternehmensphilosophie, Unternehmenskultur und Corporate Identity</x:v>
      </x:c>
      <x:c r="K1292" s="5" t="str"/>
      <x:c r="L1292" s="5" t="str">
        <x:v>Leitbild, Unternehmenspolitik &amp; Planung</x:v>
      </x:c>
      <x:c r="M1292" s="5" t="n">
        <x:v>75</x:v>
      </x:c>
      <x:c r="N1292" s="5" t="n">
        <x:v>24</x:v>
      </x:c>
      <x:c r="O1292" s="5" t="str"/>
      <x:c r="P1292" s="5" t="str">
        <x:v>Zuordnungsvorschlag; Fachfreigabe ausstehend</x:v>
      </x:c>
      <x:c r="Q1292" s="5" t="str">
        <x:v>Bestehendes Lernthema fachlich unter passendem Rahmenplan-Unterbereich behalten</x:v>
      </x:c>
      <x:c r="R1292" s="5" t="str">
        <x:v>Begründen Sie mit mindestens zwei Argumenten, warum die Marktattraktivität bei einer strategischen Entscheidung über den Eintritt in einen neuen Markt eine wichtige Rolle spielt.</x:v>
      </x:c>
      <x:c r="S1292" s="5" t="str">
        <x:v>769032ec38b9e9b3dfddd78767e91f22c406b85da121bb6b488f1a3f54d118b4</x:v>
      </x:c>
    </x:row>
    <x:row r="1293" ht="36" customHeight="1">
      <x:c r="A1293" s="5" t="str">
        <x:v>UF-0082</x:v>
      </x:c>
      <x:c r="B1293" s="5" t="str">
        <x:v>WQ</x:v>
      </x:c>
      <x:c r="C1293" s="5" t="str">
        <x:v>4</x:v>
      </x:c>
      <x:c r="D1293" s="5" t="str">
        <x:v>Unternehmensführung</x:v>
      </x:c>
      <x:c r="E1293" s="5" t="str">
        <x:v>Unternehmensführung</x:v>
      </x:c>
      <x:c r="F1293" s="5" t="str">
        <x:v>ui-wq-0010</x:v>
      </x:c>
      <x:c r="G1293" s="5" t="str">
        <x:v>Betriebsorganisation</x:v>
      </x:c>
      <x:c r="H1293" s="5" t="str">
        <x:v>dg-wq-0065</x:v>
      </x:c>
      <x:c r="I1293" s="5" t="str">
        <x:v>4.1.1</x:v>
      </x:c>
      <x:c r="J1293" s="5" t="str">
        <x:v>Unternehmensleitbild, Unternehmensphilosophie, Unternehmenskultur und Corporate Identity</x:v>
      </x:c>
      <x:c r="K1293" s="5" t="str"/>
      <x:c r="L1293" s="5" t="str">
        <x:v>Leitbild, Unternehmenspolitik &amp; Planung</x:v>
      </x:c>
      <x:c r="M1293" s="5" t="n">
        <x:v>76</x:v>
      </x:c>
      <x:c r="N1293" s="5" t="n">
        <x:v>25</x:v>
      </x:c>
      <x:c r="O1293" s="5" t="str"/>
      <x:c r="P1293" s="5" t="str">
        <x:v>Zuordnungsvorschlag; Fachfreigabe ausstehend</x:v>
      </x:c>
      <x:c r="Q1293" s="5" t="str">
        <x:v>Bestehendes Lernthema fachlich unter passendem Rahmenplan-Unterbereich behalten</x:v>
      </x:c>
      <x:c r="R1293" s="5" t="str">
        <x:v>Fallbezug: Die folgenden betrieblichen Angaben und Situationen beziehen sich auf die Circle Harbor GmbH.
Die Marktattraktivität wird berechnet mit: Veränderung des Marktvolumens im laufenden Jahr / Veränderung des Marktvolumens im Vorjahr · 100. Gegeben sind folgende Marktvolumina: Jahr 1: 60 Mio. €, Jahr 2: 100 Mio. €, Jahr 3: 150 Mio. €, Jahr 4: 190 Mio. €. Berechnen Sie die Marktattraktivität für Jahr 3 und Jahr 4 und beurteilen Sie die Entwicklung.</x:v>
      </x:c>
      <x:c r="S1293" s="5" t="str">
        <x:v>ce80af94e7db5550f87ff66ac3ecbf905f25e9cdd29731385e37a003be4a37a7</x:v>
      </x:c>
    </x:row>
    <x:row r="1294" ht="36" customHeight="1">
      <x:c r="A1294" s="5" t="str">
        <x:v>UF-0083</x:v>
      </x:c>
      <x:c r="B1294" s="5" t="str">
        <x:v>WQ</x:v>
      </x:c>
      <x:c r="C1294" s="5" t="str">
        <x:v>4</x:v>
      </x:c>
      <x:c r="D1294" s="5" t="str">
        <x:v>Unternehmensführung</x:v>
      </x:c>
      <x:c r="E1294" s="5" t="str">
        <x:v>Unternehmensführung</x:v>
      </x:c>
      <x:c r="F1294" s="5" t="str">
        <x:v>ui-wq-0012</x:v>
      </x:c>
      <x:c r="G1294" s="5" t="str">
        <x:v>Personalentwicklung</x:v>
      </x:c>
      <x:c r="H1294" s="5" t="str">
        <x:v>dg-wq-0070</x:v>
      </x:c>
      <x:c r="I1294" s="5" t="str">
        <x:v>4.3.1</x:v>
      </x:c>
      <x:c r="J1294" s="5" t="str">
        <x:v>Arten</x:v>
      </x:c>
      <x:c r="K1294" s="5" t="str"/>
      <x:c r="L1294" s="5" t="str">
        <x:v>Arten der Personalentwicklung</x:v>
      </x:c>
      <x:c r="M1294" s="5" t="n">
        <x:v>1</x:v>
      </x:c>
      <x:c r="N1294" s="5" t="n">
        <x:v>1</x:v>
      </x:c>
      <x:c r="O1294" s="5" t="str"/>
      <x:c r="P1294" s="5" t="str">
        <x:v>Zuordnungsvorschlag; Fachfreigabe ausstehend</x:v>
      </x:c>
      <x:c r="Q1294" s="5" t="str">
        <x:v>Bestehendes Lernthema fachlich unter passendem Rahmenplan-Unterbereich behalten</x:v>
      </x:c>
      <x:c r="R1294" s="5" t="str">
        <x:v>Formulieren Sie mindestens zwei strategische Ziele der Personalentwicklung im Bereich Führung. Ausgangslage: Die Circle Harbor GmbH möchte ihre Führung langfristig am Führungsleitbild ausrichten und die Führungskräfteentwicklung für die kommenden Jahre planen.</x:v>
      </x:c>
      <x:c r="S1294" s="5" t="str">
        <x:v>501de8d83c104c52b022270d6966c9388b359ff79e47947a030454cae1f32b19</x:v>
      </x:c>
    </x:row>
    <x:row r="1295" ht="36" customHeight="1">
      <x:c r="A1295" s="5" t="str">
        <x:v>UF-0084</x:v>
      </x:c>
      <x:c r="B1295" s="5" t="str">
        <x:v>WQ</x:v>
      </x:c>
      <x:c r="C1295" s="5" t="str">
        <x:v>4</x:v>
      </x:c>
      <x:c r="D1295" s="5" t="str">
        <x:v>Unternehmensführung</x:v>
      </x:c>
      <x:c r="E1295" s="5" t="str">
        <x:v>Unternehmensführung</x:v>
      </x:c>
      <x:c r="F1295" s="5" t="str">
        <x:v>ui-wq-0012</x:v>
      </x:c>
      <x:c r="G1295" s="5" t="str">
        <x:v>Personalentwicklung</x:v>
      </x:c>
      <x:c r="H1295" s="5" t="str">
        <x:v>dg-wq-0070</x:v>
      </x:c>
      <x:c r="I1295" s="5" t="str">
        <x:v>4.3.1</x:v>
      </x:c>
      <x:c r="J1295" s="5" t="str">
        <x:v>Arten</x:v>
      </x:c>
      <x:c r="K1295" s="5" t="str"/>
      <x:c r="L1295" s="5" t="str">
        <x:v>Arten der Personalentwicklung</x:v>
      </x:c>
      <x:c r="M1295" s="5" t="n">
        <x:v>2</x:v>
      </x:c>
      <x:c r="N1295" s="5" t="n">
        <x:v>2</x:v>
      </x:c>
      <x:c r="O1295" s="5" t="str"/>
      <x:c r="P1295" s="5" t="str">
        <x:v>Zuordnungsvorschlag; Fachfreigabe ausstehend</x:v>
      </x:c>
      <x:c r="Q1295" s="5" t="str">
        <x:v>Bestehendes Lernthema fachlich unter passendem Rahmenplan-Unterbereich behalten</x:v>
      </x:c>
      <x:c r="R1295" s="5" t="str">
        <x:v>Formulieren Sie mindestens zwei strategische Ziele der Personalentwicklung im Bereich Qualifikation der Beschäftigten. Ausgangslage: Die Circle Harbor GmbH möchte die fachliche und sprachliche Qualifikation ihrer Beschäftigten langfristig verbessern.</x:v>
      </x:c>
      <x:c r="S1295" s="5" t="str">
        <x:v>d8d5f089df1a022b9bc986ed0ed60f303d71ada4ec143ebebebebea2c2e461ed</x:v>
      </x:c>
    </x:row>
    <x:row r="1296" ht="36" customHeight="1">
      <x:c r="A1296" s="5" t="str">
        <x:v>UF-0085</x:v>
      </x:c>
      <x:c r="B1296" s="5" t="str">
        <x:v>WQ</x:v>
      </x:c>
      <x:c r="C1296" s="5" t="str">
        <x:v>4</x:v>
      </x:c>
      <x:c r="D1296" s="5" t="str">
        <x:v>Unternehmensführung</x:v>
      </x:c>
      <x:c r="E1296" s="5" t="str">
        <x:v>Unternehmensführung</x:v>
      </x:c>
      <x:c r="F1296" s="5" t="str">
        <x:v>ui-wq-0012</x:v>
      </x:c>
      <x:c r="G1296" s="5" t="str">
        <x:v>Personalentwicklung</x:v>
      </x:c>
      <x:c r="H1296" s="5" t="str">
        <x:v>dg-wq-0070</x:v>
      </x:c>
      <x:c r="I1296" s="5" t="str">
        <x:v>4.3.1.1</x:v>
      </x:c>
      <x:c r="J1296" s="5" t="str">
        <x:v>Ausbildung</x:v>
      </x:c>
      <x:c r="K1296" s="5" t="str"/>
      <x:c r="L1296" s="5" t="str">
        <x:v>Arten der Personalentwicklung</x:v>
      </x:c>
      <x:c r="M1296" s="5" t="n">
        <x:v>3</x:v>
      </x:c>
      <x:c r="N1296" s="5" t="n">
        <x:v>3</x:v>
      </x:c>
      <x:c r="O1296" s="5" t="str"/>
      <x:c r="P1296" s="5" t="str">
        <x:v>Zuordnungsvorschlag; Fachfreigabe ausstehend</x:v>
      </x:c>
      <x:c r="Q1296" s="5" t="str">
        <x:v>Bestehendes Lernthema fachlich unter passendem Rahmenplan-Unterbereich behalten</x:v>
      </x:c>
      <x:c r="R1296" s="5" t="str">
        <x:v>Formulieren Sie mindestens zwei strategische Ziele der Personalentwicklung im Bereich Ausbildung und Nachwuchsarbeit. Ausgangslage: Die Circle Harbor GmbH möchte ihre Ausbildungsaktivitäten langfristig stärken und Auszubildende nach der Ausbildung möglichst weiterbeschäftigen.</x:v>
      </x:c>
      <x:c r="S1296" s="5" t="str">
        <x:v>f83a39af9c47f7f475912e740044a6c64c4bad5b17d848757343add9a375ce41</x:v>
      </x:c>
    </x:row>
    <x:row r="1297" ht="36" customHeight="1">
      <x:c r="A1297" s="5" t="str">
        <x:v>UF-0086</x:v>
      </x:c>
      <x:c r="B1297" s="5" t="str">
        <x:v>WQ</x:v>
      </x:c>
      <x:c r="C1297" s="5" t="str">
        <x:v>4</x:v>
      </x:c>
      <x:c r="D1297" s="5" t="str">
        <x:v>Unternehmensführung</x:v>
      </x:c>
      <x:c r="E1297" s="5" t="str">
        <x:v>Unternehmensführung</x:v>
      </x:c>
      <x:c r="F1297" s="5" t="str">
        <x:v>ui-wq-0010</x:v>
      </x:c>
      <x:c r="G1297" s="5" t="str">
        <x:v>Betriebsorganisation</x:v>
      </x:c>
      <x:c r="H1297" s="5" t="str">
        <x:v>dg-wq-0065</x:v>
      </x:c>
      <x:c r="I1297" s="5" t="str">
        <x:v>4.1.1</x:v>
      </x:c>
      <x:c r="J1297" s="5" t="str">
        <x:v>Unternehmensleitbild, Unternehmensphilosophie, Unternehmenskultur und Corporate Identity</x:v>
      </x:c>
      <x:c r="K1297" s="5" t="str"/>
      <x:c r="L1297" s="5" t="str">
        <x:v>Leitbild, Unternehmenspolitik &amp; Planung</x:v>
      </x:c>
      <x:c r="M1297" s="5" t="n">
        <x:v>77</x:v>
      </x:c>
      <x:c r="N1297" s="5" t="n">
        <x:v>26</x:v>
      </x:c>
      <x:c r="O1297" s="5" t="str"/>
      <x:c r="P1297" s="5" t="str">
        <x:v>Zuordnungsvorschlag; Fachfreigabe ausstehend</x:v>
      </x:c>
      <x:c r="Q1297" s="5" t="str">
        <x:v>Bestehendes Lernthema fachlich unter passendem Rahmenplan-Unterbereich behalten</x:v>
      </x:c>
      <x:c r="R1297" s="5" t="str">
        <x:v>Beschreiben Sie den Aufbau einer Top-down-Zielhierarchie mit mehreren Ebenen. Ausgangslage: Ein Unternehmensleitbild enthält langfristige Unternehmensziele, die nach dem Top-down-Prinzip auf die darunterliegenden Ebenen heruntergebrochen werden.</x:v>
      </x:c>
      <x:c r="S1297" s="5" t="str">
        <x:v>06a9948a0c4654ff3644e909ca35cca48f351bd81b251a012330dc3647c68007</x:v>
      </x:c>
    </x:row>
    <x:row r="1298" ht="36" customHeight="1">
      <x:c r="A1298" s="5" t="str">
        <x:v>UF-0087</x:v>
      </x:c>
      <x:c r="B1298" s="5" t="str">
        <x:v>WQ</x:v>
      </x:c>
      <x:c r="C1298" s="5" t="str">
        <x:v>4</x:v>
      </x:c>
      <x:c r="D1298" s="5" t="str">
        <x:v>Unternehmensführung</x:v>
      </x:c>
      <x:c r="E1298" s="5" t="str">
        <x:v>Unternehmensführung</x:v>
      </x:c>
      <x:c r="F1298" s="5" t="str">
        <x:v>ui-wq-0010</x:v>
      </x:c>
      <x:c r="G1298" s="5" t="str">
        <x:v>Betriebsorganisation</x:v>
      </x:c>
      <x:c r="H1298" s="5" t="str">
        <x:v>dg-wq-0065</x:v>
      </x:c>
      <x:c r="I1298" s="5" t="str">
        <x:v>4.1.1</x:v>
      </x:c>
      <x:c r="J1298" s="5" t="str">
        <x:v>Unternehmensleitbild, Unternehmensphilosophie, Unternehmenskultur und Corporate Identity</x:v>
      </x:c>
      <x:c r="K1298" s="5" t="str"/>
      <x:c r="L1298" s="5" t="str">
        <x:v>Leitbild, Unternehmenspolitik &amp; Planung</x:v>
      </x:c>
      <x:c r="M1298" s="5" t="n">
        <x:v>78</x:v>
      </x:c>
      <x:c r="N1298" s="5" t="n">
        <x:v>27</x:v>
      </x:c>
      <x:c r="O1298" s="5" t="str"/>
      <x:c r="P1298" s="5" t="str">
        <x:v>Zuordnungsvorschlag; Fachfreigabe ausstehend</x:v>
      </x:c>
      <x:c r="Q1298" s="5" t="str">
        <x:v>Bestehendes Lernthema fachlich unter passendem Rahmenplan-Unterbereich behalten</x:v>
      </x:c>
      <x:c r="R1298" s="5" t="str">
        <x:v>Erläutern Sie den Ablauf des Gegenstromverfahrens in der Unternehmensplanung. Ausgangslage: Die Circle Harbor GmbH möchte in einigen Bereichen nicht rein nach dem Top-down-Prinzip planen, sondern Top-down-Planung und Bottom-up-Planung miteinander verbinden.</x:v>
      </x:c>
      <x:c r="S1298" s="5" t="str">
        <x:v>d0c1ba1ee82429f1dcabc2209a4a606042151f31803436eae66a677ec1ae20c1</x:v>
      </x:c>
    </x:row>
    <x:row r="1299" ht="36" customHeight="1">
      <x:c r="A1299" s="5" t="str">
        <x:v>UF-0088</x:v>
      </x:c>
      <x:c r="B1299" s="5" t="str">
        <x:v>WQ</x:v>
      </x:c>
      <x:c r="C1299" s="5" t="str">
        <x:v>4</x:v>
      </x:c>
      <x:c r="D1299" s="5" t="str">
        <x:v>Unternehmensführung</x:v>
      </x:c>
      <x:c r="E1299" s="5" t="str">
        <x:v>Unternehmensführung</x:v>
      </x:c>
      <x:c r="F1299" s="5" t="str">
        <x:v>ui-wq-0011</x:v>
      </x:c>
      <x:c r="G1299" s="5" t="str">
        <x:v>Personalführung</x:v>
      </x:c>
      <x:c r="H1299" s="5" t="str">
        <x:v>dg-wq-0066</x:v>
      </x:c>
      <x:c r="I1299" s="5" t="str">
        <x:v>4.2.3</x:v>
      </x:c>
      <x:c r="J1299" s="5" t="str">
        <x:v>Führungsstile</x:v>
      </x:c>
      <x:c r="K1299" s="5" t="str"/>
      <x:c r="L1299" s="5" t="str">
        <x:v>Führungsgrundlagen, Motivation &amp; Führungsstile</x:v>
      </x:c>
      <x:c r="M1299" s="5" t="n">
        <x:v>7</x:v>
      </x:c>
      <x:c r="N1299" s="5" t="n">
        <x:v>7</x:v>
      </x:c>
      <x:c r="O1299" s="5" t="str"/>
      <x:c r="P1299" s="5" t="str">
        <x:v>Zuordnungsvorschlag; Fachfreigabe ausstehend</x:v>
      </x:c>
      <x:c r="Q1299" s="5" t="str">
        <x:v>Bestehendes Lernthema fachlich unter passendem Rahmenplan-Unterbereich behalten</x:v>
      </x:c>
      <x:c r="R1299" s="5" t="str">
        <x:v>Beschreiben Sie mindestens fünf Anforderungen an ein gelungenes Mitarbeitergespräch zur Zielvereinbarung.</x:v>
      </x:c>
      <x:c r="S1299" s="5" t="str">
        <x:v>61323562a4430c8e8f7f3a83fca18fc8ef5cd7af73fb6a3743f09822651f3c3e</x:v>
      </x:c>
    </x:row>
    <x:row r="1300" ht="36" customHeight="1">
      <x:c r="A1300" s="5" t="str">
        <x:v>UF-0089</x:v>
      </x:c>
      <x:c r="B1300" s="5" t="str">
        <x:v>WQ</x:v>
      </x:c>
      <x:c r="C1300" s="5" t="str">
        <x:v>4</x:v>
      </x:c>
      <x:c r="D1300" s="5" t="str">
        <x:v>Unternehmensführung</x:v>
      </x:c>
      <x:c r="E1300" s="5" t="str">
        <x:v>Unternehmensführung</x:v>
      </x:c>
      <x:c r="F1300" s="5" t="str">
        <x:v>ui-wq-0011</x:v>
      </x:c>
      <x:c r="G1300" s="5" t="str">
        <x:v>Personalführung</x:v>
      </x:c>
      <x:c r="H1300" s="5" t="str">
        <x:v>dg-wq-0071</x:v>
      </x:c>
      <x:c r="I1300" s="5" t="str">
        <x:v>4.2.4</x:v>
      </x:c>
      <x:c r="J1300" s="5" t="str">
        <x:v>Führen von Gruppen</x:v>
      </x:c>
      <x:c r="K1300" s="5" t="str"/>
      <x:c r="L1300" s="5" t="str">
        <x:v>Gruppenführung &amp; Gruppenverhalten</x:v>
      </x:c>
      <x:c r="M1300" s="5" t="n">
        <x:v>8</x:v>
      </x:c>
      <x:c r="N1300" s="5" t="n">
        <x:v>1</x:v>
      </x:c>
      <x:c r="O1300" s="5" t="str"/>
      <x:c r="P1300" s="5" t="str">
        <x:v>Zuordnungsvorschlag; Fachfreigabe ausstehend</x:v>
      </x:c>
      <x:c r="Q1300" s="5" t="str">
        <x:v>Bestehendes Lernthema fachlich unter passendem Rahmenplan-Unterbereich behalten</x:v>
      </x:c>
      <x:c r="R1300" s="5" t="str">
        <x:v>Die Circle Harbor GmbH vertritt in ihrem Unternehmensleitbild die Grundsätze kooperativer Führung. Trotzdem kann es in einzelnen Abteilungen zu Mobbing kommen. Nennen Sie mindestens drei mögliche Ursachen für Mobbing und mindestens drei Maßnahmen gegen Mobbing.</x:v>
      </x:c>
      <x:c r="S1300" s="5" t="str">
        <x:v>c93a6dc18f19382a0682d9e202f797e215d56b5d386ecdc5ba8f38452d128db9</x:v>
      </x:c>
    </x:row>
    <x:row r="1301" ht="36" customHeight="1">
      <x:c r="A1301" s="5" t="str">
        <x:v>UF-0090</x:v>
      </x:c>
      <x:c r="B1301" s="5" t="str">
        <x:v>WQ</x:v>
      </x:c>
      <x:c r="C1301" s="5" t="str">
        <x:v>4</x:v>
      </x:c>
      <x:c r="D1301" s="5" t="str">
        <x:v>Unternehmensführung</x:v>
      </x:c>
      <x:c r="E1301" s="5" t="str">
        <x:v>Unternehmensführung</x:v>
      </x:c>
      <x:c r="F1301" s="5" t="str">
        <x:v>ui-wq-0011</x:v>
      </x:c>
      <x:c r="G1301" s="5" t="str">
        <x:v>Personalführung</x:v>
      </x:c>
      <x:c r="H1301" s="5" t="str">
        <x:v>dg-wq-0066</x:v>
      </x:c>
      <x:c r="I1301" s="5" t="str">
        <x:v>4.2.3</x:v>
      </x:c>
      <x:c r="J1301" s="5" t="str">
        <x:v>Führungsstile</x:v>
      </x:c>
      <x:c r="K1301" s="5" t="str"/>
      <x:c r="L1301" s="5" t="str">
        <x:v>Führungsgrundlagen, Motivation &amp; Führungsstile</x:v>
      </x:c>
      <x:c r="M1301" s="5" t="n">
        <x:v>9</x:v>
      </x:c>
      <x:c r="N1301" s="5" t="n">
        <x:v>8</x:v>
      </x:c>
      <x:c r="O1301" s="5" t="str"/>
      <x:c r="P1301" s="5" t="str">
        <x:v>Zuordnungsvorschlag; Fachfreigabe ausstehend</x:v>
      </x:c>
      <x:c r="Q1301" s="5" t="str">
        <x:v>Bestehendes Lernthema fachlich unter passendem Rahmenplan-Unterbereich behalten</x:v>
      </x:c>
      <x:c r="R1301" s="5" t="str">
        <x:v>Nennen Sie für Fachkompetenz, Methodenkompetenz und Sozialkompetenz einer Führungskraft jeweils mindestens zwei konkrete Anforderungen.</x:v>
      </x:c>
      <x:c r="S1301" s="5" t="str">
        <x:v>3454c29d46b8860d340db70bb66e5e87c804bfd517661aeb33ddd3179672ce47</x:v>
      </x:c>
    </x:row>
    <x:row r="1302" ht="36" customHeight="1">
      <x:c r="A1302" s="5" t="str">
        <x:v>UF-0091</x:v>
      </x:c>
      <x:c r="B1302" s="5" t="str">
        <x:v>WQ</x:v>
      </x:c>
      <x:c r="C1302" s="5" t="str">
        <x:v>4</x:v>
      </x:c>
      <x:c r="D1302" s="5" t="str">
        <x:v>Unternehmensführung</x:v>
      </x:c>
      <x:c r="E1302" s="5" t="str">
        <x:v>Unternehmensführung</x:v>
      </x:c>
      <x:c r="F1302" s="5" t="str">
        <x:v>ui-wq-0011</x:v>
      </x:c>
      <x:c r="G1302" s="5" t="str">
        <x:v>Personalführung</x:v>
      </x:c>
      <x:c r="H1302" s="5" t="str">
        <x:v>dg-wq-0066</x:v>
      </x:c>
      <x:c r="I1302" s="5" t="str">
        <x:v>4.2.3</x:v>
      </x:c>
      <x:c r="J1302" s="5" t="str">
        <x:v>Führungsstile</x:v>
      </x:c>
      <x:c r="K1302" s="5" t="str"/>
      <x:c r="L1302" s="5" t="str">
        <x:v>Führungsgrundlagen, Motivation &amp; Führungsstile</x:v>
      </x:c>
      <x:c r="M1302" s="5" t="n">
        <x:v>10</x:v>
      </x:c>
      <x:c r="N1302" s="5" t="n">
        <x:v>9</x:v>
      </x:c>
      <x:c r="O1302" s="5" t="str"/>
      <x:c r="P1302" s="5" t="str">
        <x:v>Zuordnungsvorschlag; Fachfreigabe ausstehend</x:v>
      </x:c>
      <x:c r="Q1302" s="5" t="str">
        <x:v>Bestehendes Lernthema fachlich unter passendem Rahmenplan-Unterbereich behalten</x:v>
      </x:c>
      <x:c r="R1302" s="5" t="str">
        <x:v>Formulieren Sie aus den folgenden Informationen ein Ziel nach der SMART-Formel: Die Anzahl strategisch wichtiger Geschäftskunden soll erhöht werden. Als strategisch wichtig gelten Geschäftskunden mit mehr als 100.000 € Jahresumsatz und guter Prognose. Das Ziel wurde mit den Interessengruppen abgestimmt, Anreize wurden gesetzt und durch Veränderungen am Markt können neue Kunden gewonnen werden. Das Ziel soll innerhalb von zwölf Monaten erreicht werden.</x:v>
      </x:c>
      <x:c r="S1302" s="5" t="str">
        <x:v>0305593ac7448c416c00c2a81b455e555e7ac2a06c08149224fa6e8e588ff95a</x:v>
      </x:c>
    </x:row>
    <x:row r="1303" ht="36" customHeight="1">
      <x:c r="A1303" s="5" t="str">
        <x:v>UF-0092</x:v>
      </x:c>
      <x:c r="B1303" s="5" t="str">
        <x:v>WQ</x:v>
      </x:c>
      <x:c r="C1303" s="5" t="str">
        <x:v>4</x:v>
      </x:c>
      <x:c r="D1303" s="5" t="str">
        <x:v>Unternehmensführung</x:v>
      </x:c>
      <x:c r="E1303" s="5" t="str">
        <x:v>Unternehmensführung</x:v>
      </x:c>
      <x:c r="F1303" s="5" t="str">
        <x:v>ui-wq-0011</x:v>
      </x:c>
      <x:c r="G1303" s="5" t="str">
        <x:v>Personalführung</x:v>
      </x:c>
      <x:c r="H1303" s="5" t="str">
        <x:v>dg-wq-0066</x:v>
      </x:c>
      <x:c r="I1303" s="5" t="str">
        <x:v>4.2.3</x:v>
      </x:c>
      <x:c r="J1303" s="5" t="str">
        <x:v>Führungsstile</x:v>
      </x:c>
      <x:c r="K1303" s="5" t="str"/>
      <x:c r="L1303" s="5" t="str">
        <x:v>Führungsgrundlagen, Motivation &amp; Führungsstile</x:v>
      </x:c>
      <x:c r="M1303" s="5" t="n">
        <x:v>11</x:v>
      </x:c>
      <x:c r="N1303" s="5" t="n">
        <x:v>10</x:v>
      </x:c>
      <x:c r="O1303" s="5" t="str"/>
      <x:c r="P1303" s="5" t="str">
        <x:v>Zuordnungsvorschlag; Fachfreigabe ausstehend</x:v>
      </x:c>
      <x:c r="Q1303" s="5" t="str">
        <x:v>Bestehendes Lernthema fachlich unter passendem Rahmenplan-Unterbereich behalten</x:v>
      </x:c>
      <x:c r="R1303" s="5" t="str">
        <x:v>Nennen Sie zu den Bereichen Kommunikation, Arbeitsumgebung, Work-Life-Balance, Leistungsbewertung und Anreize jeweils eine Maßnahme zur Förderung der Motivation von Beschäftigten.</x:v>
      </x:c>
      <x:c r="S1303" s="5" t="str">
        <x:v>8c7f7eb1b1b7e93a461bd678e052c4caf57f33c13aeedba57b93425f23e78f5b</x:v>
      </x:c>
    </x:row>
    <x:row r="1304" ht="36" customHeight="1">
      <x:c r="A1304" s="5" t="str">
        <x:v>UF-0093</x:v>
      </x:c>
      <x:c r="B1304" s="5" t="str">
        <x:v>WQ</x:v>
      </x:c>
      <x:c r="C1304" s="5" t="str">
        <x:v>4</x:v>
      </x:c>
      <x:c r="D1304" s="5" t="str">
        <x:v>Unternehmensführung</x:v>
      </x:c>
      <x:c r="E1304" s="5" t="str">
        <x:v>Unternehmensführung</x:v>
      </x:c>
      <x:c r="F1304" s="5" t="str">
        <x:v>ui-wq-0010</x:v>
      </x:c>
      <x:c r="G1304" s="5" t="str">
        <x:v>Betriebsorganisation</x:v>
      </x:c>
      <x:c r="H1304" s="5" t="str">
        <x:v>dg-wq-0067</x:v>
      </x:c>
      <x:c r="I1304" s="5" t="str">
        <x:v>4.1.3</x:v>
      </x:c>
      <x:c r="J1304" s="5" t="str">
        <x:v>Aufbauorganisation</x:v>
      </x:c>
      <x:c r="K1304" s="5" t="str"/>
      <x:c r="L1304" s="5" t="str">
        <x:v>Integrierte Managementsysteme &amp; KVP</x:v>
      </x:c>
      <x:c r="M1304" s="5" t="n">
        <x:v>79</x:v>
      </x:c>
      <x:c r="N1304" s="5" t="n">
        <x:v>33</x:v>
      </x:c>
      <x:c r="O1304" s="5" t="str"/>
      <x:c r="P1304" s="5" t="str">
        <x:v>Zuordnungsvorschlag; Fachfreigabe ausstehend</x:v>
      </x:c>
      <x:c r="Q1304" s="5" t="str">
        <x:v>Bestehendes Lernthema fachlich unter passendem Rahmenplan-Unterbereich behalten</x:v>
      </x:c>
      <x:c r="R1304" s="5" t="str">
        <x:v>Die Circle Harbor GmbH möchte ein zertifiziertes Umweltmanagementsystem einführen. Nennen Sie mindestens drei Ziele, die der Vorstand mit der Einführung verfolgen kann, und mindestens zwei Möglichkeiten, wie Beschäftigte im Sinne des Bottom-up-Prinzips am Zielsetzungsprozess beteiligt werden können.</x:v>
      </x:c>
      <x:c r="S1304" s="5" t="str">
        <x:v>8655192703253a247713d8f41e2913475a602f2b8de2090481eaf0ec5572b019</x:v>
      </x:c>
    </x:row>
    <x:row r="1305" ht="36" customHeight="1">
      <x:c r="A1305" s="5" t="str">
        <x:v>UF-0094</x:v>
      </x:c>
      <x:c r="B1305" s="5" t="str">
        <x:v>WQ</x:v>
      </x:c>
      <x:c r="C1305" s="5" t="str">
        <x:v>4</x:v>
      </x:c>
      <x:c r="D1305" s="5" t="str">
        <x:v>Unternehmensführung</x:v>
      </x:c>
      <x:c r="E1305" s="5" t="str">
        <x:v>Unternehmensführung</x:v>
      </x:c>
      <x:c r="F1305" s="5" t="str">
        <x:v>ui-wq-0011</x:v>
      </x:c>
      <x:c r="G1305" s="5" t="str">
        <x:v>Personalführung</x:v>
      </x:c>
      <x:c r="H1305" s="5" t="str">
        <x:v>dg-wq-0066</x:v>
      </x:c>
      <x:c r="I1305" s="5" t="str">
        <x:v>4.2.3</x:v>
      </x:c>
      <x:c r="J1305" s="5" t="str">
        <x:v>Führungsstile</x:v>
      </x:c>
      <x:c r="K1305" s="5" t="str"/>
      <x:c r="L1305" s="5" t="str">
        <x:v>Führungsgrundlagen, Motivation &amp; Führungsstile</x:v>
      </x:c>
      <x:c r="M1305" s="5" t="n">
        <x:v>12</x:v>
      </x:c>
      <x:c r="N1305" s="5" t="n">
        <x:v>11</x:v>
      </x:c>
      <x:c r="O1305" s="5" t="str"/>
      <x:c r="P1305" s="5" t="str">
        <x:v>Zuordnungsvorschlag; Fachfreigabe ausstehend</x:v>
      </x:c>
      <x:c r="Q1305" s="5" t="str">
        <x:v>Bestehendes Lernthema fachlich unter passendem Rahmenplan-Unterbereich behalten</x:v>
      </x:c>
      <x:c r="R1305" s="5" t="str">
        <x:v>Nennen Sie vier Methoden, die zur Lösung eines Problems im Kundenkontakt eingesetzt werden können, und beschreiben Sie kurz deren Einsatz. Ausgangslage: Beschäftigte sollen auf eine schwierige Kundensituation vorbereitet werden, bei der sie die Position des Unternehmens verständlich vertreten und angemessen auf Kundeneinwände reagieren müssen.</x:v>
      </x:c>
      <x:c r="S1305" s="5" t="str">
        <x:v>232e6c29307fb08bb46111793de26a9a886f2e69e707df4a25a4ffece32a1d86</x:v>
      </x:c>
    </x:row>
    <x:row r="1306" ht="36" customHeight="1">
      <x:c r="A1306" s="5" t="str">
        <x:v>UF-0095</x:v>
      </x:c>
      <x:c r="B1306" s="5" t="str">
        <x:v>WQ</x:v>
      </x:c>
      <x:c r="C1306" s="5" t="str">
        <x:v>4</x:v>
      </x:c>
      <x:c r="D1306" s="5" t="str">
        <x:v>Unternehmensführung</x:v>
      </x:c>
      <x:c r="E1306" s="5" t="str">
        <x:v>Unternehmensführung</x:v>
      </x:c>
      <x:c r="F1306" s="5" t="str">
        <x:v>ui-wq-0011</x:v>
      </x:c>
      <x:c r="G1306" s="5" t="str">
        <x:v>Personalführung</x:v>
      </x:c>
      <x:c r="H1306" s="5" t="str">
        <x:v>dg-wq-0071</x:v>
      </x:c>
      <x:c r="I1306" s="5" t="str">
        <x:v>4.2.4</x:v>
      </x:c>
      <x:c r="J1306" s="5" t="str">
        <x:v>Führen von Gruppen</x:v>
      </x:c>
      <x:c r="K1306" s="5" t="str"/>
      <x:c r="L1306" s="5" t="str">
        <x:v>Gruppenführung &amp; Gruppenverhalten</x:v>
      </x:c>
      <x:c r="M1306" s="5" t="n">
        <x:v>13</x:v>
      </x:c>
      <x:c r="N1306" s="5" t="n">
        <x:v>2</x:v>
      </x:c>
      <x:c r="O1306" s="5" t="str"/>
      <x:c r="P1306" s="5" t="str">
        <x:v>Zuordnungsvorschlag; Fachfreigabe ausstehend</x:v>
      </x:c>
      <x:c r="Q1306" s="5" t="str">
        <x:v>Bestehendes Lernthema fachlich unter passendem Rahmenplan-Unterbereich behalten</x:v>
      </x:c>
      <x:c r="R1306" s="5" t="str">
        <x:v>Beschreiben Sie mindestens vier Maßnahmen, mit denen Informationsverluste bei Workshops, Rollenspielen, Unterweisungen oder Besprechungen vermieden werden können.</x:v>
      </x:c>
      <x:c r="S1306" s="5" t="str">
        <x:v>684b8ed14fcfb222b691febde210cc9b25d48ba4a0319add0a4657e0d7c750ea</x:v>
      </x:c>
    </x:row>
    <x:row r="1307" ht="36" customHeight="1">
      <x:c r="A1307" s="5" t="str">
        <x:v>UF-0096</x:v>
      </x:c>
      <x:c r="B1307" s="5" t="str">
        <x:v>WQ</x:v>
      </x:c>
      <x:c r="C1307" s="5" t="str">
        <x:v>4</x:v>
      </x:c>
      <x:c r="D1307" s="5" t="str">
        <x:v>Unternehmensführung</x:v>
      </x:c>
      <x:c r="E1307" s="5" t="str">
        <x:v>Unternehmensführung</x:v>
      </x:c>
      <x:c r="F1307" s="5" t="str">
        <x:v>ui-wq-0011</x:v>
      </x:c>
      <x:c r="G1307" s="5" t="str">
        <x:v>Personalführung</x:v>
      </x:c>
      <x:c r="H1307" s="5" t="str">
        <x:v>dg-wq-0066</x:v>
      </x:c>
      <x:c r="I1307" s="5" t="str">
        <x:v>4.2.3</x:v>
      </x:c>
      <x:c r="J1307" s="5" t="str">
        <x:v>Führungsstile</x:v>
      </x:c>
      <x:c r="K1307" s="5" t="str"/>
      <x:c r="L1307" s="5" t="str">
        <x:v>Führungsgrundlagen, Motivation &amp; Führungsstile</x:v>
      </x:c>
      <x:c r="M1307" s="5" t="n">
        <x:v>14</x:v>
      </x:c>
      <x:c r="N1307" s="5" t="n">
        <x:v>12</x:v>
      </x:c>
      <x:c r="O1307" s="5" t="str"/>
      <x:c r="P1307" s="5" t="str">
        <x:v>Zuordnungsvorschlag; Fachfreigabe ausstehend</x:v>
      </x:c>
      <x:c r="Q1307" s="5" t="str">
        <x:v>Bestehendes Lernthema fachlich unter passendem Rahmenplan-Unterbereich behalten</x:v>
      </x:c>
      <x:c r="R1307" s="5" t="str">
        <x:v>Nennen und begründen Sie mindestens drei Vorteile, die ein möglichst einheitlicher Führungsstil für ein Unternehmen haben kann.</x:v>
      </x:c>
      <x:c r="S1307" s="5" t="str">
        <x:v>b43a5fd22c755b95ff9efa3fbb95b7cd822ea3f01b546bf48106f0301a1bdc93</x:v>
      </x:c>
    </x:row>
    <x:row r="1308" ht="36" customHeight="1">
      <x:c r="A1308" s="5" t="str">
        <x:v>UF-0097</x:v>
      </x:c>
      <x:c r="B1308" s="5" t="str">
        <x:v>WQ</x:v>
      </x:c>
      <x:c r="C1308" s="5" t="str">
        <x:v>4</x:v>
      </x:c>
      <x:c r="D1308" s="5" t="str">
        <x:v>Unternehmensführung</x:v>
      </x:c>
      <x:c r="E1308" s="5" t="str">
        <x:v>Unternehmensführung</x:v>
      </x:c>
      <x:c r="F1308" s="5" t="str">
        <x:v>ui-wq-0011</x:v>
      </x:c>
      <x:c r="G1308" s="5" t="str">
        <x:v>Personalführung</x:v>
      </x:c>
      <x:c r="H1308" s="5" t="str">
        <x:v>dg-wq-0066</x:v>
      </x:c>
      <x:c r="I1308" s="5" t="str">
        <x:v>4.2.3</x:v>
      </x:c>
      <x:c r="J1308" s="5" t="str">
        <x:v>Führungsstile</x:v>
      </x:c>
      <x:c r="K1308" s="5" t="str"/>
      <x:c r="L1308" s="5" t="str">
        <x:v>Führungsgrundlagen, Motivation &amp; Führungsstile</x:v>
      </x:c>
      <x:c r="M1308" s="5" t="n">
        <x:v>15</x:v>
      </x:c>
      <x:c r="N1308" s="5" t="n">
        <x:v>13</x:v>
      </x:c>
      <x:c r="O1308" s="5" t="str"/>
      <x:c r="P1308" s="5" t="str">
        <x:v>Zuordnungsvorschlag; Fachfreigabe ausstehend</x:v>
      </x:c>
      <x:c r="Q1308" s="5" t="str">
        <x:v>Bestehendes Lernthema fachlich unter passendem Rahmenplan-Unterbereich behalten</x:v>
      </x:c>
      <x:c r="R1308" s="5" t="str">
        <x:v>Ordnen Sie die beiden Situationen dem passenden Führungsstil zu und begründen Sie kurz: Situation A: Die Führungskraft besucht die Beschäftigten, erklärt die Zusammenhänge eines Kundengesprächs, erarbeitet gemeinsam mit dem Team eine Informationsübersicht, lässt die Informationsquellen offen und setzt nur einen Abgabetermin. Situation B: Die Führungskraft bestellt die Beschäftigten ins Büro, teilt genau mit, welche Informationen benötigt werden, bestimmt die Informationsquellen im Detail, setzt Termine und kontrolliert den Arbeitsfortschritt sehr genau.</x:v>
      </x:c>
      <x:c r="S1308" s="5" t="str">
        <x:v>65143fb2f85f5fe9c49bb305490e53bcbdb3cbeabe3fb0b1d2a123295ad63425</x:v>
      </x:c>
    </x:row>
    <x:row r="1309" ht="36" customHeight="1">
      <x:c r="A1309" s="5" t="str">
        <x:v>UF-0098</x:v>
      </x:c>
      <x:c r="B1309" s="5" t="str">
        <x:v>WQ</x:v>
      </x:c>
      <x:c r="C1309" s="5" t="str">
        <x:v>4</x:v>
      </x:c>
      <x:c r="D1309" s="5" t="str">
        <x:v>Unternehmensführung</x:v>
      </x:c>
      <x:c r="E1309" s="5" t="str">
        <x:v>Unternehmensführung</x:v>
      </x:c>
      <x:c r="F1309" s="5" t="str">
        <x:v>ui-wq-0011</x:v>
      </x:c>
      <x:c r="G1309" s="5" t="str">
        <x:v>Personalführung</x:v>
      </x:c>
      <x:c r="H1309" s="5" t="str">
        <x:v>dg-wq-0066</x:v>
      </x:c>
      <x:c r="I1309" s="5" t="str">
        <x:v>4.2.3</x:v>
      </x:c>
      <x:c r="J1309" s="5" t="str">
        <x:v>Führungsstile</x:v>
      </x:c>
      <x:c r="K1309" s="5" t="str"/>
      <x:c r="L1309" s="5" t="str">
        <x:v>Führungsgrundlagen, Motivation &amp; Führungsstile</x:v>
      </x:c>
      <x:c r="M1309" s="5" t="n">
        <x:v>16</x:v>
      </x:c>
      <x:c r="N1309" s="5" t="n">
        <x:v>14</x:v>
      </x:c>
      <x:c r="O1309" s="5" t="str"/>
      <x:c r="P1309" s="5" t="str">
        <x:v>Zuordnungsvorschlag; Fachfreigabe ausstehend</x:v>
      </x:c>
      <x:c r="Q1309" s="5" t="str">
        <x:v>Bestehendes Lernthema fachlich unter passendem Rahmenplan-Unterbereich behalten</x:v>
      </x:c>
      <x:c r="R1309" s="5" t="str">
        <x:v>Vergleichen Sie den autoritären und den kooperativen Führungsstil anhand der Kriterien Zielsetzung, Entscheidungsfindung, Durchsetzung und Kontrolle. Nennen Sie außerdem mindestens drei Anforderungen an kooperative Führungskräfte.</x:v>
      </x:c>
      <x:c r="S1309" s="5" t="str">
        <x:v>8cd20882abd16b368cb4f296759d8ca2d4fb1a83a026346ae5cdc8999b147487</x:v>
      </x:c>
    </x:row>
    <x:row r="1310" ht="36" customHeight="1">
      <x:c r="A1310" s="5" t="str">
        <x:v>UF-0099</x:v>
      </x:c>
      <x:c r="B1310" s="5" t="str">
        <x:v>WQ</x:v>
      </x:c>
      <x:c r="C1310" s="5" t="str">
        <x:v>4</x:v>
      </x:c>
      <x:c r="D1310" s="5" t="str">
        <x:v>Unternehmensführung</x:v>
      </x:c>
      <x:c r="E1310" s="5" t="str">
        <x:v>Unternehmensführung</x:v>
      </x:c>
      <x:c r="F1310" s="5" t="str">
        <x:v>ui-wq-0010</x:v>
      </x:c>
      <x:c r="G1310" s="5" t="str">
        <x:v>Betriebsorganisation</x:v>
      </x:c>
      <x:c r="H1310" s="5" t="str">
        <x:v>dg-wq-0067</x:v>
      </x:c>
      <x:c r="I1310" s="5" t="str">
        <x:v>4.1.3.1</x:v>
      </x:c>
      <x:c r="J1310" s="5" t="str">
        <x:v>Bildung von Organisationseinheiten</x:v>
      </x:c>
      <x:c r="K1310" s="5" t="str"/>
      <x:c r="L1310" s="5" t="str">
        <x:v>Aufbau- &amp; Ablauforganisation</x:v>
      </x:c>
      <x:c r="M1310" s="5" t="n">
        <x:v>80</x:v>
      </x:c>
      <x:c r="N1310" s="5" t="n">
        <x:v>34</x:v>
      </x:c>
      <x:c r="O1310" s="5" t="str"/>
      <x:c r="P1310" s="5" t="str">
        <x:v>Zuordnungsvorschlag; Fachfreigabe ausstehend</x:v>
      </x:c>
      <x:c r="Q1310" s="5" t="str">
        <x:v>Bestehendes Lernthema fachlich unter passendem Rahmenplan-Unterbereich behalten</x:v>
      </x:c>
      <x:c r="R1310" s="5" t="str">
        <x:v>Ordnen Sie zwei Organisationsprofile dem autoritären bzw. kooperativen Führungsstil zu und begründen Sie kurz. Profil A: hohe Formalisierung und Zentralisierung, individuelle Willensbildung, bilaterale Beziehungen. Profil B: geringere Formalisierung und Zentralisierung, kollegiale Willensbildung, multilaterale Beziehungen.</x:v>
      </x:c>
      <x:c r="S1310" s="5" t="str">
        <x:v>3e58f974055387d8a72a4f91e8c06ede6bcedea238fcc02cf15925a9cbc0463a</x:v>
      </x:c>
    </x:row>
    <x:row r="1311" ht="36" customHeight="1">
      <x:c r="A1311" s="5" t="str">
        <x:v>UF-0100</x:v>
      </x:c>
      <x:c r="B1311" s="5" t="str">
        <x:v>WQ</x:v>
      </x:c>
      <x:c r="C1311" s="5" t="str">
        <x:v>4</x:v>
      </x:c>
      <x:c r="D1311" s="5" t="str">
        <x:v>Unternehmensführung</x:v>
      </x:c>
      <x:c r="E1311" s="5" t="str">
        <x:v>Unternehmensführung</x:v>
      </x:c>
      <x:c r="F1311" s="5" t="str">
        <x:v>ui-wq-0011</x:v>
      </x:c>
      <x:c r="G1311" s="5" t="str">
        <x:v>Personalführung</x:v>
      </x:c>
      <x:c r="H1311" s="5" t="str">
        <x:v>dg-wq-0066</x:v>
      </x:c>
      <x:c r="I1311" s="5" t="str">
        <x:v>4.2.3</x:v>
      </x:c>
      <x:c r="J1311" s="5" t="str">
        <x:v>Führungsstile</x:v>
      </x:c>
      <x:c r="K1311" s="5" t="str"/>
      <x:c r="L1311" s="5" t="str">
        <x:v>Führungsgrundlagen, Motivation &amp; Führungsstile</x:v>
      </x:c>
      <x:c r="M1311" s="5" t="n">
        <x:v>17</x:v>
      </x:c>
      <x:c r="N1311" s="5" t="n">
        <x:v>15</x:v>
      </x:c>
      <x:c r="O1311" s="5" t="str"/>
      <x:c r="P1311" s="5" t="str">
        <x:v>Zuordnungsvorschlag; Fachfreigabe ausstehend</x:v>
      </x:c>
      <x:c r="Q1311" s="5" t="str">
        <x:v>Bestehendes Lernthema fachlich unter passendem Rahmenplan-Unterbereich behalten</x:v>
      </x:c>
      <x:c r="R1311" s="5" t="str">
        <x:v>Nennen Sie mindestens zwei Vorteile und zwei Nachteile des kooperativen Führungsstils. Ausgangslage: In einer Abteilung der Küchengerätefertigung wird ein neues Qualitätswerkzeug eingeführt. Die Abteilungsleitung hält dafür einen vorwiegend kooperativen Führungsstil für geeignet.</x:v>
      </x:c>
      <x:c r="S1311" s="5" t="str">
        <x:v>3d5d57b237d9246bcf21a7ed92d4a0cfcf10c8797dda3a8e198c995e0cf0e291</x:v>
      </x:c>
    </x:row>
    <x:row r="1312" ht="36" customHeight="1">
      <x:c r="A1312" s="5" t="str">
        <x:v>UF-0101</x:v>
      </x:c>
      <x:c r="B1312" s="5" t="str">
        <x:v>WQ</x:v>
      </x:c>
      <x:c r="C1312" s="5" t="str">
        <x:v>4</x:v>
      </x:c>
      <x:c r="D1312" s="5" t="str">
        <x:v>Unternehmensführung</x:v>
      </x:c>
      <x:c r="E1312" s="5" t="str">
        <x:v>Unternehmensführung</x:v>
      </x:c>
      <x:c r="F1312" s="5" t="str">
        <x:v>ui-wq-0011</x:v>
      </x:c>
      <x:c r="G1312" s="5" t="str">
        <x:v>Personalführung</x:v>
      </x:c>
      <x:c r="H1312" s="5" t="str">
        <x:v>dg-wq-0066</x:v>
      </x:c>
      <x:c r="I1312" s="5" t="str">
        <x:v>4.2.3</x:v>
      </x:c>
      <x:c r="J1312" s="5" t="str">
        <x:v>Führungsstile</x:v>
      </x:c>
      <x:c r="K1312" s="5" t="str"/>
      <x:c r="L1312" s="5" t="str">
        <x:v>Führungsgrundlagen, Motivation &amp; Führungsstile</x:v>
      </x:c>
      <x:c r="M1312" s="5" t="n">
        <x:v>18</x:v>
      </x:c>
      <x:c r="N1312" s="5" t="n">
        <x:v>16</x:v>
      </x:c>
      <x:c r="O1312" s="5" t="str"/>
      <x:c r="P1312" s="5" t="str">
        <x:v>Zuordnungsvorschlag; Fachfreigabe ausstehend</x:v>
      </x:c>
      <x:c r="Q1312" s="5" t="str">
        <x:v>Bestehendes Lernthema fachlich unter passendem Rahmenplan-Unterbereich behalten</x:v>
      </x:c>
      <x:c r="R1312" s="5" t="str">
        <x:v>Fallbezug: Die folgenden betrieblichen Angaben und Situationen beziehen sich auf die Circle Harbor GmbH.
Begründen Sie mindestens drei Gesichtspunkte, warum unterstützende Führung für Führungskräfte und Teammitglieder vorteilhaft sein kann. Ausgangslage: Führungskräfte sehen sich als Unterstützer ihres Teams, schaffen eine gute Arbeitsumgebung, hören aktiv zu, nehmen Anliegen ernst, berücksichtigen individuelle Unterschiede und fördern persönliches sowie berufliches Wachstum.</x:v>
      </x:c>
      <x:c r="S1312" s="5" t="str">
        <x:v>8ae9705432acd5fd90fc67cbf7a96f5074880e7add922e888f79414f85404d53</x:v>
      </x:c>
    </x:row>
    <x:row r="1313" ht="36" customHeight="1">
      <x:c r="A1313" s="5" t="str">
        <x:v>UF-0102</x:v>
      </x:c>
      <x:c r="B1313" s="5" t="str">
        <x:v>WQ</x:v>
      </x:c>
      <x:c r="C1313" s="5" t="str">
        <x:v>4</x:v>
      </x:c>
      <x:c r="D1313" s="5" t="str">
        <x:v>Unternehmensführung</x:v>
      </x:c>
      <x:c r="E1313" s="5" t="str">
        <x:v>Unternehmensführung</x:v>
      </x:c>
      <x:c r="F1313" s="5" t="str">
        <x:v>ui-wq-0011</x:v>
      </x:c>
      <x:c r="G1313" s="5" t="str">
        <x:v>Personalführung</x:v>
      </x:c>
      <x:c r="H1313" s="5" t="str">
        <x:v>dg-wq-0066</x:v>
      </x:c>
      <x:c r="I1313" s="5" t="str">
        <x:v>4.2.3</x:v>
      </x:c>
      <x:c r="J1313" s="5" t="str">
        <x:v>Führungsstile</x:v>
      </x:c>
      <x:c r="K1313" s="5" t="str"/>
      <x:c r="L1313" s="5" t="str">
        <x:v>Führungsgrundlagen, Motivation &amp; Führungsstile</x:v>
      </x:c>
      <x:c r="M1313" s="5" t="n">
        <x:v>19</x:v>
      </x:c>
      <x:c r="N1313" s="5" t="n">
        <x:v>17</x:v>
      </x:c>
      <x:c r="O1313" s="5" t="str"/>
      <x:c r="P1313" s="5" t="str">
        <x:v>Zuordnungsvorschlag; Fachfreigabe ausstehend</x:v>
      </x:c>
      <x:c r="Q1313" s="5" t="str">
        <x:v>Bestehendes Lernthema fachlich unter passendem Rahmenplan-Unterbereich behalten</x:v>
      </x:c>
      <x:c r="R1313" s="5" t="str">
        <x:v>Nennen Sie mindestens zwei Situationen, in denen Führungskräfte trotz grundsätzlich kooperativem Führungsleitbild eher autoritär handeln müssen.</x:v>
      </x:c>
      <x:c r="S1313" s="5" t="str">
        <x:v>d267b80348138c3d06fd6a3bdbd45365f8eca0bb2d210f422458905af8386478</x:v>
      </x:c>
    </x:row>
    <x:row r="1314" ht="36" customHeight="1">
      <x:c r="A1314" s="5" t="str">
        <x:v>UF-0103</x:v>
      </x:c>
      <x:c r="B1314" s="5" t="str">
        <x:v>WQ</x:v>
      </x:c>
      <x:c r="C1314" s="5" t="str">
        <x:v>4</x:v>
      </x:c>
      <x:c r="D1314" s="5" t="str">
        <x:v>Unternehmensführung</x:v>
      </x:c>
      <x:c r="E1314" s="5" t="str">
        <x:v>Unternehmensführung</x:v>
      </x:c>
      <x:c r="F1314" s="5" t="str">
        <x:v>ui-wq-0011</x:v>
      </x:c>
      <x:c r="G1314" s="5" t="str">
        <x:v>Personalführung</x:v>
      </x:c>
      <x:c r="H1314" s="5" t="str">
        <x:v>dg-wq-0066</x:v>
      </x:c>
      <x:c r="I1314" s="5" t="str">
        <x:v>4.2.3</x:v>
      </x:c>
      <x:c r="J1314" s="5" t="str">
        <x:v>Führungsstile</x:v>
      </x:c>
      <x:c r="K1314" s="5" t="str"/>
      <x:c r="L1314" s="5" t="str">
        <x:v>Führungsgrundlagen, Motivation &amp; Führungsstile</x:v>
      </x:c>
      <x:c r="M1314" s="5" t="n">
        <x:v>20</x:v>
      </x:c>
      <x:c r="N1314" s="5" t="n">
        <x:v>18</x:v>
      </x:c>
      <x:c r="O1314" s="5" t="str"/>
      <x:c r="P1314" s="5" t="str">
        <x:v>Zuordnungsvorschlag; Fachfreigabe ausstehend</x:v>
      </x:c>
      <x:c r="Q1314" s="5" t="str">
        <x:v>Bestehendes Lernthema fachlich unter passendem Rahmenplan-Unterbereich behalten</x:v>
      </x:c>
      <x:c r="R1314" s="5" t="str">
        <x:v>Beschreiben Sie mindestens zwei Eigenschaften eines Teammitglieds, an das Aufgaben delegiert werden können. Ausgangslage: Eine Teamleitung mit kooperativem Führungsstil möchte Aufgaben delegieren, um Selbstständigkeit und Eigenverantwortung zu fördern.</x:v>
      </x:c>
      <x:c r="S1314" s="5" t="str">
        <x:v>3c6b712d9eb74f0f0a90c7f3d455953f98286d49c1e3f90ee4413c83d39de966</x:v>
      </x:c>
    </x:row>
    <x:row r="1315" ht="36" customHeight="1">
      <x:c r="A1315" s="5" t="str">
        <x:v>UF-0104</x:v>
      </x:c>
      <x:c r="B1315" s="5" t="str">
        <x:v>WQ</x:v>
      </x:c>
      <x:c r="C1315" s="5" t="str">
        <x:v>4</x:v>
      </x:c>
      <x:c r="D1315" s="5" t="str">
        <x:v>Unternehmensführung</x:v>
      </x:c>
      <x:c r="E1315" s="5" t="str">
        <x:v>Unternehmensführung</x:v>
      </x:c>
      <x:c r="F1315" s="5" t="str">
        <x:v>ui-wq-0011</x:v>
      </x:c>
      <x:c r="G1315" s="5" t="str">
        <x:v>Personalführung</x:v>
      </x:c>
      <x:c r="H1315" s="5" t="str">
        <x:v>dg-wq-0071</x:v>
      </x:c>
      <x:c r="I1315" s="5" t="str">
        <x:v>4.2.4</x:v>
      </x:c>
      <x:c r="J1315" s="5" t="str">
        <x:v>Führen von Gruppen</x:v>
      </x:c>
      <x:c r="K1315" s="5" t="str"/>
      <x:c r="L1315" s="5" t="str">
        <x:v>Gruppenführung &amp; Gruppenverhalten</x:v>
      </x:c>
      <x:c r="M1315" s="5" t="n">
        <x:v>21</x:v>
      </x:c>
      <x:c r="N1315" s="5" t="n">
        <x:v>3</x:v>
      </x:c>
      <x:c r="O1315" s="5" t="str"/>
      <x:c r="P1315" s="5" t="str">
        <x:v>Zuordnungsvorschlag; Fachfreigabe ausstehend</x:v>
      </x:c>
      <x:c r="Q1315" s="5" t="str">
        <x:v>Bestehendes Lernthema fachlich unter passendem Rahmenplan-Unterbereich behalten</x:v>
      </x:c>
      <x:c r="R1315" s="5" t="str">
        <x:v>Nennen Sie jeweils mindestens zwei Beispiele für formelle und informelle Gruppen in einem Unternehmen.</x:v>
      </x:c>
      <x:c r="S1315" s="5" t="str">
        <x:v>5c8132430fc9c2654652911062c1f02812486f8fcf9a724718dd98a80d676eb1</x:v>
      </x:c>
    </x:row>
    <x:row r="1316" ht="36" customHeight="1">
      <x:c r="A1316" s="5" t="str">
        <x:v>UF-0105</x:v>
      </x:c>
      <x:c r="B1316" s="5" t="str">
        <x:v>WQ</x:v>
      </x:c>
      <x:c r="C1316" s="5" t="str">
        <x:v>4</x:v>
      </x:c>
      <x:c r="D1316" s="5" t="str">
        <x:v>Unternehmensführung</x:v>
      </x:c>
      <x:c r="E1316" s="5" t="str">
        <x:v>Unternehmensführung</x:v>
      </x:c>
      <x:c r="F1316" s="5" t="str">
        <x:v>ui-wq-0011</x:v>
      </x:c>
      <x:c r="G1316" s="5" t="str">
        <x:v>Personalführung</x:v>
      </x:c>
      <x:c r="H1316" s="5" t="str">
        <x:v>dg-wq-0071</x:v>
      </x:c>
      <x:c r="I1316" s="5" t="str">
        <x:v>4.2.4</x:v>
      </x:c>
      <x:c r="J1316" s="5" t="str">
        <x:v>Führen von Gruppen</x:v>
      </x:c>
      <x:c r="K1316" s="5" t="str"/>
      <x:c r="L1316" s="5" t="str">
        <x:v>Gruppenführung &amp; Gruppenverhalten</x:v>
      </x:c>
      <x:c r="M1316" s="5" t="n">
        <x:v>22</x:v>
      </x:c>
      <x:c r="N1316" s="5" t="n">
        <x:v>4</x:v>
      </x:c>
      <x:c r="O1316" s="5" t="str"/>
      <x:c r="P1316" s="5" t="str">
        <x:v>Zuordnungsvorschlag; Fachfreigabe ausstehend</x:v>
      </x:c>
      <x:c r="Q1316" s="5" t="str">
        <x:v>Bestehendes Lernthema fachlich unter passendem Rahmenplan-Unterbereich behalten</x:v>
      </x:c>
      <x:c r="R1316" s="5" t="str">
        <x:v>Unterscheiden Sie formelle und informelle Gruppen anhand von Entstehung, organisatorischer Einordnung, Zielsetzung und Auflösung.</x:v>
      </x:c>
      <x:c r="S1316" s="5" t="str">
        <x:v>50ce877e1adf8b1b1f3a41da5c128672a782d98b7727522f035124699bdc598f</x:v>
      </x:c>
    </x:row>
    <x:row r="1317" ht="36" customHeight="1">
      <x:c r="A1317" s="5" t="str">
        <x:v>UF-0106</x:v>
      </x:c>
      <x:c r="B1317" s="5" t="str">
        <x:v>WQ</x:v>
      </x:c>
      <x:c r="C1317" s="5" t="str">
        <x:v>4</x:v>
      </x:c>
      <x:c r="D1317" s="5" t="str">
        <x:v>Unternehmensführung</x:v>
      </x:c>
      <x:c r="E1317" s="5" t="str">
        <x:v>Unternehmensführung</x:v>
      </x:c>
      <x:c r="F1317" s="5" t="str">
        <x:v>ui-wq-0011</x:v>
      </x:c>
      <x:c r="G1317" s="5" t="str">
        <x:v>Personalführung</x:v>
      </x:c>
      <x:c r="H1317" s="5" t="str">
        <x:v>dg-wq-0071</x:v>
      </x:c>
      <x:c r="I1317" s="5" t="str">
        <x:v>4.2.4</x:v>
      </x:c>
      <x:c r="J1317" s="5" t="str">
        <x:v>Führen von Gruppen</x:v>
      </x:c>
      <x:c r="K1317" s="5" t="str"/>
      <x:c r="L1317" s="5" t="str">
        <x:v>Gruppenführung &amp; Gruppenverhalten</x:v>
      </x:c>
      <x:c r="M1317" s="5" t="n">
        <x:v>23</x:v>
      </x:c>
      <x:c r="N1317" s="5" t="n">
        <x:v>5</x:v>
      </x:c>
      <x:c r="O1317" s="5" t="str"/>
      <x:c r="P1317" s="5" t="str">
        <x:v>Zuordnungsvorschlag; Fachfreigabe ausstehend</x:v>
      </x:c>
      <x:c r="Q1317" s="5" t="str">
        <x:v>Bestehendes Lernthema fachlich unter passendem Rahmenplan-Unterbereich behalten</x:v>
      </x:c>
      <x:c r="R1317" s="5" t="str">
        <x:v>Nennen Sie mindestens vier Einflussfaktoren auf die Gruppenkohäsion.</x:v>
      </x:c>
      <x:c r="S1317" s="5" t="str">
        <x:v>132ee73ce28ae23382fea131a8f4f5a9afa8b5fb942350e16a0a40d9f7b6d7e1</x:v>
      </x:c>
    </x:row>
    <x:row r="1318" ht="36" customHeight="1">
      <x:c r="A1318" s="5" t="str">
        <x:v>UF-0107</x:v>
      </x:c>
      <x:c r="B1318" s="5" t="str">
        <x:v>WQ</x:v>
      </x:c>
      <x:c r="C1318" s="5" t="str">
        <x:v>4</x:v>
      </x:c>
      <x:c r="D1318" s="5" t="str">
        <x:v>Unternehmensführung</x:v>
      </x:c>
      <x:c r="E1318" s="5" t="str">
        <x:v>Unternehmensführung</x:v>
      </x:c>
      <x:c r="F1318" s="5" t="str">
        <x:v>ui-wq-0011</x:v>
      </x:c>
      <x:c r="G1318" s="5" t="str">
        <x:v>Personalführung</x:v>
      </x:c>
      <x:c r="H1318" s="5" t="str">
        <x:v>dg-wq-0071</x:v>
      </x:c>
      <x:c r="I1318" s="5" t="str">
        <x:v>4.2.4</x:v>
      </x:c>
      <x:c r="J1318" s="5" t="str">
        <x:v>Führen von Gruppen</x:v>
      </x:c>
      <x:c r="K1318" s="5" t="str"/>
      <x:c r="L1318" s="5" t="str">
        <x:v>Gruppenführung &amp; Gruppenverhalten</x:v>
      </x:c>
      <x:c r="M1318" s="5" t="n">
        <x:v>24</x:v>
      </x:c>
      <x:c r="N1318" s="5" t="n">
        <x:v>6</x:v>
      </x:c>
      <x:c r="O1318" s="5" t="str"/>
      <x:c r="P1318" s="5" t="str">
        <x:v>Zuordnungsvorschlag; Fachfreigabe ausstehend</x:v>
      </x:c>
      <x:c r="Q1318" s="5" t="str">
        <x:v>Bestehendes Lernthema fachlich unter passendem Rahmenplan-Unterbereich behalten</x:v>
      </x:c>
      <x:c r="R1318" s="5" t="str">
        <x:v>Nennen Sie mindestens drei typische Kommunikationsprobleme bei Gruppenbesprechungen und beschreiben Sie zu jedem Problem eine geeignete Gegenmaßnahme.</x:v>
      </x:c>
      <x:c r="S1318" s="5" t="str">
        <x:v>f847eb698e8b5f34d274a0ef7282d52a48401eaefc1956e66c0ccf547e5bbb7a</x:v>
      </x:c>
    </x:row>
    <x:row r="1319" ht="36" customHeight="1">
      <x:c r="A1319" s="5" t="str">
        <x:v>UF-0108</x:v>
      </x:c>
      <x:c r="B1319" s="5" t="str">
        <x:v>WQ</x:v>
      </x:c>
      <x:c r="C1319" s="5" t="str">
        <x:v>4</x:v>
      </x:c>
      <x:c r="D1319" s="5" t="str">
        <x:v>Unternehmensführung</x:v>
      </x:c>
      <x:c r="E1319" s="5" t="str">
        <x:v>Unternehmensführung</x:v>
      </x:c>
      <x:c r="F1319" s="5" t="str">
        <x:v>ui-wq-0011</x:v>
      </x:c>
      <x:c r="G1319" s="5" t="str">
        <x:v>Personalführung</x:v>
      </x:c>
      <x:c r="H1319" s="5" t="str">
        <x:v>dg-wq-0071</x:v>
      </x:c>
      <x:c r="I1319" s="5" t="str">
        <x:v>4.2.4</x:v>
      </x:c>
      <x:c r="J1319" s="5" t="str">
        <x:v>Führen von Gruppen</x:v>
      </x:c>
      <x:c r="K1319" s="5" t="str"/>
      <x:c r="L1319" s="5" t="str">
        <x:v>Gruppenführung &amp; Gruppenverhalten</x:v>
      </x:c>
      <x:c r="M1319" s="5" t="n">
        <x:v>25</x:v>
      </x:c>
      <x:c r="N1319" s="5" t="n">
        <x:v>7</x:v>
      </x:c>
      <x:c r="O1319" s="5" t="str"/>
      <x:c r="P1319" s="5" t="str">
        <x:v>Zuordnungsvorschlag; Fachfreigabe ausstehend</x:v>
      </x:c>
      <x:c r="Q1319" s="5" t="str">
        <x:v>Bestehendes Lernthema fachlich unter passendem Rahmenplan-Unterbereich behalten</x:v>
      </x:c>
      <x:c r="R1319" s="5" t="str">
        <x:v>Beschreiben Sie mindestens sechs organisatorische oder technische Maßnahmen, mit denen eine Projektleitung kooperative Führung im Homeoffice sicherstellen kann.</x:v>
      </x:c>
      <x:c r="S1319" s="5" t="str">
        <x:v>33624f8b64830cc579ba251d53d4eb05272f1d188c2e3ddcc8ab17018b980e5f</x:v>
      </x:c>
    </x:row>
    <x:row r="1320" ht="36" customHeight="1">
      <x:c r="A1320" s="5" t="str">
        <x:v>UF-0109</x:v>
      </x:c>
      <x:c r="B1320" s="5" t="str">
        <x:v>WQ</x:v>
      </x:c>
      <x:c r="C1320" s="5" t="str">
        <x:v>4</x:v>
      </x:c>
      <x:c r="D1320" s="5" t="str">
        <x:v>Unternehmensführung</x:v>
      </x:c>
      <x:c r="E1320" s="5" t="str">
        <x:v>Unternehmensführung</x:v>
      </x:c>
      <x:c r="F1320" s="5" t="str">
        <x:v>ui-wq-0011</x:v>
      </x:c>
      <x:c r="G1320" s="5" t="str">
        <x:v>Personalführung</x:v>
      </x:c>
      <x:c r="H1320" s="5" t="str">
        <x:v>dg-wq-0071</x:v>
      </x:c>
      <x:c r="I1320" s="5" t="str">
        <x:v>4.2.4</x:v>
      </x:c>
      <x:c r="J1320" s="5" t="str">
        <x:v>Führen von Gruppen</x:v>
      </x:c>
      <x:c r="K1320" s="5" t="str"/>
      <x:c r="L1320" s="5" t="str">
        <x:v>Gruppenführung &amp; Gruppenverhalten</x:v>
      </x:c>
      <x:c r="M1320" s="5" t="n">
        <x:v>26</x:v>
      </x:c>
      <x:c r="N1320" s="5" t="n">
        <x:v>8</x:v>
      </x:c>
      <x:c r="O1320" s="5" t="str"/>
      <x:c r="P1320" s="5" t="str">
        <x:v>Zuordnungsvorschlag; Fachfreigabe ausstehend</x:v>
      </x:c>
      <x:c r="Q1320" s="5" t="str">
        <x:v>Bestehendes Lernthema fachlich unter passendem Rahmenplan-Unterbereich behalten</x:v>
      </x:c>
      <x:c r="R1320" s="5" t="str">
        <x:v>Nennen Sie mindestens zwei Chancen und zwei Risiken der eigenverantwortlichen Arbeit von Teams. Ausgangslage: In einigen Sparten und Funktionsbereichen der Circle Harbor GmbH soll mit Konzepten des Lean Managements begonnen werden. Dabei erhalten Teams mehr Verantwortung für ihre eigenen Arbeitsabläufe.</x:v>
      </x:c>
      <x:c r="S1320" s="5" t="str">
        <x:v>f3edbc58bf6f0dd0a8851c2338160bfa001db7356cb2214b47f4df43adb3e676</x:v>
      </x:c>
    </x:row>
    <x:row r="1321" ht="36" customHeight="1">
      <x:c r="A1321" s="5" t="str">
        <x:v>UF-0110</x:v>
      </x:c>
      <x:c r="B1321" s="5" t="str">
        <x:v>WQ</x:v>
      </x:c>
      <x:c r="C1321" s="5" t="str">
        <x:v>4</x:v>
      </x:c>
      <x:c r="D1321" s="5" t="str">
        <x:v>Unternehmensführung</x:v>
      </x:c>
      <x:c r="E1321" s="5" t="str">
        <x:v>Unternehmensführung</x:v>
      </x:c>
      <x:c r="F1321" s="5" t="str">
        <x:v>ui-wq-0011</x:v>
      </x:c>
      <x:c r="G1321" s="5" t="str">
        <x:v>Personalführung</x:v>
      </x:c>
      <x:c r="H1321" s="5" t="str">
        <x:v>dg-wq-0072</x:v>
      </x:c>
      <x:c r="I1321" s="5" t="str">
        <x:v>4.2.5</x:v>
      </x:c>
      <x:c r="J1321" s="5" t="str">
        <x:v>Personalplanung</x:v>
      </x:c>
      <x:c r="K1321" s="5" t="str"/>
      <x:c r="L1321" s="5" t="str">
        <x:v>Personalplanung &amp; -beschaffung</x:v>
      </x:c>
      <x:c r="M1321" s="5" t="n">
        <x:v>27</x:v>
      </x:c>
      <x:c r="N1321" s="5" t="n">
        <x:v>1</x:v>
      </x:c>
      <x:c r="O1321" s="5" t="str"/>
      <x:c r="P1321" s="5" t="str">
        <x:v>Zuordnungsvorschlag; Fachfreigabe ausstehend</x:v>
      </x:c>
      <x:c r="Q1321" s="5" t="str">
        <x:v>Bestehendes Lernthema fachlich unter passendem Rahmenplan-Unterbereich behalten</x:v>
      </x:c>
      <x:c r="R1321" s="5" t="str">
        <x:v>Beschreiben Sie mindestens zwei soziodemografische Veränderungen durch den demografischen Wandel und mindestens zwei mögliche Gegenmaßnahmen der Personalplanung.</x:v>
      </x:c>
      <x:c r="S1321" s="5" t="str">
        <x:v>d60e5776ad39e771f200d39cbfcc2c606fe8a21fd12c85bd48e5815a7c4dde1e</x:v>
      </x:c>
    </x:row>
    <x:row r="1322" ht="36" customHeight="1">
      <x:c r="A1322" s="5" t="str">
        <x:v>UF-0111</x:v>
      </x:c>
      <x:c r="B1322" s="5" t="str">
        <x:v>WQ</x:v>
      </x:c>
      <x:c r="C1322" s="5" t="str">
        <x:v>4</x:v>
      </x:c>
      <x:c r="D1322" s="5" t="str">
        <x:v>Unternehmensführung</x:v>
      </x:c>
      <x:c r="E1322" s="5" t="str">
        <x:v>Unternehmensführung</x:v>
      </x:c>
      <x:c r="F1322" s="5" t="str">
        <x:v>ui-wq-0010</x:v>
      </x:c>
      <x:c r="G1322" s="5" t="str">
        <x:v>Betriebsorganisation</x:v>
      </x:c>
      <x:c r="H1322" s="5" t="str">
        <x:v>dg-wq-0067</x:v>
      </x:c>
      <x:c r="I1322" s="5" t="str">
        <x:v>4.1.3</x:v>
      </x:c>
      <x:c r="J1322" s="5" t="str">
        <x:v>Aufbauorganisation</x:v>
      </x:c>
      <x:c r="K1322" s="5" t="str"/>
      <x:c r="L1322" s="5" t="str">
        <x:v>Aufbau- &amp; Ablauforganisation</x:v>
      </x:c>
      <x:c r="M1322" s="5" t="n">
        <x:v>81</x:v>
      </x:c>
      <x:c r="N1322" s="5" t="n">
        <x:v>35</x:v>
      </x:c>
      <x:c r="O1322" s="5" t="str"/>
      <x:c r="P1322" s="5" t="str">
        <x:v>Zuordnungsvorschlag; Fachfreigabe ausstehend</x:v>
      </x:c>
      <x:c r="Q1322" s="5" t="str">
        <x:v>Bestehendes Lernthema fachlich unter passendem Rahmenplan-Unterbereich behalten</x:v>
      </x:c>
      <x:c r="R1322" s="5" t="str">
        <x:v>Beschreiben Sie mindestens drei Methoden zur Erfassung des Istzustands betrieblicher Arbeitsprozesse.</x:v>
      </x:c>
      <x:c r="S1322" s="5" t="str">
        <x:v>4f7ac72946342f608ddb3c6cc413573c94017aaa2e11c2832cdeac153ae9a6dc</x:v>
      </x:c>
    </x:row>
    <x:row r="1323" ht="36" customHeight="1">
      <x:c r="A1323" s="5" t="str">
        <x:v>UF-0112</x:v>
      </x:c>
      <x:c r="B1323" s="5" t="str">
        <x:v>WQ</x:v>
      </x:c>
      <x:c r="C1323" s="5" t="str">
        <x:v>4</x:v>
      </x:c>
      <x:c r="D1323" s="5" t="str">
        <x:v>Unternehmensführung</x:v>
      </x:c>
      <x:c r="E1323" s="5" t="str">
        <x:v>Unternehmensführung</x:v>
      </x:c>
      <x:c r="F1323" s="5" t="str">
        <x:v>ui-wq-0011</x:v>
      </x:c>
      <x:c r="G1323" s="5" t="str">
        <x:v>Personalführung</x:v>
      </x:c>
      <x:c r="H1323" s="5" t="str">
        <x:v>dg-wq-0072</x:v>
      </x:c>
      <x:c r="I1323" s="5" t="str">
        <x:v>4.2.5</x:v>
      </x:c>
      <x:c r="J1323" s="5" t="str">
        <x:v>Personalplanung</x:v>
      </x:c>
      <x:c r="K1323" s="5" t="str"/>
      <x:c r="L1323" s="5" t="str">
        <x:v>Personalplanung &amp; -beschaffung</x:v>
      </x:c>
      <x:c r="M1323" s="5" t="n">
        <x:v>28</x:v>
      </x:c>
      <x:c r="N1323" s="5" t="n">
        <x:v>2</x:v>
      </x:c>
      <x:c r="O1323" s="5" t="str"/>
      <x:c r="P1323" s="5" t="str">
        <x:v>Zuordnungsvorschlag; Fachfreigabe ausstehend</x:v>
      </x:c>
      <x:c r="Q1323" s="5" t="str">
        <x:v>Bestehendes Lernthema fachlich unter passendem Rahmenplan-Unterbereich behalten</x:v>
      </x:c>
      <x:c r="R1323" s="5" t="str">
        <x:v>Nennen Sie fünf wichtige Aufgaben beziehungsweise Teilgebiete der Personalplanung.</x:v>
      </x:c>
      <x:c r="S1323" s="5" t="str">
        <x:v>c728c7c90f1ef284bed9a9498e6f49882cc6d9fd7cd811b8ece445040f00ebf4</x:v>
      </x:c>
    </x:row>
    <x:row r="1324" ht="36" customHeight="1">
      <x:c r="A1324" s="5" t="str">
        <x:v>UF-0113</x:v>
      </x:c>
      <x:c r="B1324" s="5" t="str">
        <x:v>WQ</x:v>
      </x:c>
      <x:c r="C1324" s="5" t="str">
        <x:v>4</x:v>
      </x:c>
      <x:c r="D1324" s="5" t="str">
        <x:v>Unternehmensführung</x:v>
      </x:c>
      <x:c r="E1324" s="5" t="str">
        <x:v>Unternehmensführung</x:v>
      </x:c>
      <x:c r="F1324" s="5" t="str">
        <x:v>ui-wq-0011</x:v>
      </x:c>
      <x:c r="G1324" s="5" t="str">
        <x:v>Personalführung</x:v>
      </x:c>
      <x:c r="H1324" s="5" t="str">
        <x:v>dg-wq-0072</x:v>
      </x:c>
      <x:c r="I1324" s="5" t="str">
        <x:v>4.2.5</x:v>
      </x:c>
      <x:c r="J1324" s="5" t="str">
        <x:v>Personalplanung</x:v>
      </x:c>
      <x:c r="K1324" s="5" t="str"/>
      <x:c r="L1324" s="5" t="str">
        <x:v>Personalplanung &amp; -beschaffung</x:v>
      </x:c>
      <x:c r="M1324" s="5" t="n">
        <x:v>29</x:v>
      </x:c>
      <x:c r="N1324" s="5" t="n">
        <x:v>3</x:v>
      </x:c>
      <x:c r="O1324" s="5" t="str"/>
      <x:c r="P1324" s="5" t="str">
        <x:v>Zuordnungsvorschlag; Fachfreigabe ausstehend</x:v>
      </x:c>
      <x:c r="Q1324" s="5" t="str">
        <x:v>Bestehendes Lernthema fachlich unter passendem Rahmenplan-Unterbereich behalten</x:v>
      </x:c>
      <x:c r="R1324" s="5" t="str">
        <x:v>Fallbezug: Die folgenden betrieblichen Angaben und Situationen beziehen sich auf die Circle Harbor GmbH.
Berechnen Sie den Bruttopersonalbedarf und den Nettopersonalbedarf. Daten: Es sollen 2.400 Stück hergestellt werden. Die Bearbeitungszeit beträgt 90 Minuten je Stück. Der Auftrag muss nach 25 Arbeitstagen abgeschlossen werden. Die tägliche Arbeitszeit beträgt 8 Stunden. Wegen Fehlzeiten kann nur mit 90 % der Arbeitszeit gerechnet werden. Aktuell stehen 17 Vollbeschäftigte zur Verfügung. Vor Beginn des Auftrags geht 1 Vollbeschäftigter in Ruhestand und 2 Auszubildende werden in Vollzeit übernommen.</x:v>
      </x:c>
      <x:c r="S1324" s="5" t="str">
        <x:v>b631319cc73e08154269995311d1ea1283eaab0cc5e542bf6c24685fd4618f22</x:v>
      </x:c>
    </x:row>
    <x:row r="1325" ht="36" customHeight="1">
      <x:c r="A1325" s="5" t="str">
        <x:v>UF-0114</x:v>
      </x:c>
      <x:c r="B1325" s="5" t="str">
        <x:v>WQ</x:v>
      </x:c>
      <x:c r="C1325" s="5" t="str">
        <x:v>4</x:v>
      </x:c>
      <x:c r="D1325" s="5" t="str">
        <x:v>Unternehmensführung</x:v>
      </x:c>
      <x:c r="E1325" s="5" t="str">
        <x:v>Unternehmensführung</x:v>
      </x:c>
      <x:c r="F1325" s="5" t="str">
        <x:v>ui-wq-0011</x:v>
      </x:c>
      <x:c r="G1325" s="5" t="str">
        <x:v>Personalführung</x:v>
      </x:c>
      <x:c r="H1325" s="5" t="str">
        <x:v>dg-wq-0072</x:v>
      </x:c>
      <x:c r="I1325" s="5" t="str">
        <x:v>4.2.5</x:v>
      </x:c>
      <x:c r="J1325" s="5" t="str">
        <x:v>Personalplanung</x:v>
      </x:c>
      <x:c r="K1325" s="5" t="str"/>
      <x:c r="L1325" s="5" t="str">
        <x:v>Personalplanung &amp; -beschaffung</x:v>
      </x:c>
      <x:c r="M1325" s="5" t="n">
        <x:v>30</x:v>
      </x:c>
      <x:c r="N1325" s="5" t="n">
        <x:v>4</x:v>
      </x:c>
      <x:c r="O1325" s="5" t="str"/>
      <x:c r="P1325" s="5" t="str">
        <x:v>Zuordnungsvorschlag; Fachfreigabe ausstehend</x:v>
      </x:c>
      <x:c r="Q1325" s="5" t="str">
        <x:v>Bestehendes Lernthema fachlich unter passendem Rahmenplan-Unterbereich behalten</x:v>
      </x:c>
      <x:c r="R1325" s="5" t="str">
        <x:v>Ordnen Sie die Einflussfaktoren der Personalplanung als interne oder externe Faktoren ein.</x:v>
      </x:c>
      <x:c r="S1325" s="5" t="str">
        <x:v>59ef9c7c30fbc7fd087da7e4f22636ebf5e824962a679928aa89753f1b181365</x:v>
      </x:c>
    </x:row>
    <x:row r="1326" ht="36" customHeight="1">
      <x:c r="A1326" s="5" t="str">
        <x:v>UF-0115</x:v>
      </x:c>
      <x:c r="B1326" s="5" t="str">
        <x:v>WQ</x:v>
      </x:c>
      <x:c r="C1326" s="5" t="str">
        <x:v>4</x:v>
      </x:c>
      <x:c r="D1326" s="5" t="str">
        <x:v>Unternehmensführung</x:v>
      </x:c>
      <x:c r="E1326" s="5" t="str">
        <x:v>Unternehmensführung</x:v>
      </x:c>
      <x:c r="F1326" s="5" t="str">
        <x:v>ui-wq-0011</x:v>
      </x:c>
      <x:c r="G1326" s="5" t="str">
        <x:v>Personalführung</x:v>
      </x:c>
      <x:c r="H1326" s="5" t="str">
        <x:v>dg-wq-0072</x:v>
      </x:c>
      <x:c r="I1326" s="5" t="str">
        <x:v>4.2.5</x:v>
      </x:c>
      <x:c r="J1326" s="5" t="str">
        <x:v>Personalplanung</x:v>
      </x:c>
      <x:c r="K1326" s="5" t="str"/>
      <x:c r="L1326" s="5" t="str">
        <x:v>Personalplanung &amp; -beschaffung</x:v>
      </x:c>
      <x:c r="M1326" s="5" t="n">
        <x:v>31</x:v>
      </x:c>
      <x:c r="N1326" s="5" t="n">
        <x:v>5</x:v>
      </x:c>
      <x:c r="O1326" s="5" t="str"/>
      <x:c r="P1326" s="5" t="str">
        <x:v>Zuordnungsvorschlag; Fachfreigabe ausstehend</x:v>
      </x:c>
      <x:c r="Q1326" s="5" t="str">
        <x:v>Bestehendes Lernthema fachlich unter passendem Rahmenplan-Unterbereich behalten</x:v>
      </x:c>
      <x:c r="R1326" s="5" t="str">
        <x:v>Fallbezug: Die folgenden betrieblichen Angaben und Situationen beziehen sich auf die Circle Harbor GmbH.
Berechnen Sie den durchschnittlichen Krankenstand in der Fertigung. Gegeben: Ein Jahr wird mit 360 Kalendertagen angesetzt. Es gibt 104 Wochenendtage und 10 Feiertage. Die Regelarbeitszeit beträgt 8 Stunden pro Werktag. Beschäftigte A arbeitet 100 % der Regelarbeitszeit, hat 32 Urlaubstage und 10 Ausfalltage. Beschäftigte B arbeitet 100 %, hat 30 Urlaubstage und 12 Ausfalltage. Beschäftigte C arbeitet 75 %, hat 30 Urlaubstage und 10 Ausfalltage. Beschäftigte D arbeitet 50 %, hat 28 Urlaubstage und 10 Ausfalltage. Beschäftigte E arbeitet 50 %, hat 26 Urlaubstage und 6 Ausfalltage. Berechnen Sie Sollarbeitstage, Sollarbeitsstunden, Ausfallstunden und den Anteil der Ausfallstunden in Prozent.</x:v>
      </x:c>
      <x:c r="S1326" s="5" t="str">
        <x:v>7fc255926576771197e82fdcec492c6828eee3b9b1512bb6c0441a297d2adfea</x:v>
      </x:c>
    </x:row>
    <x:row r="1327" ht="36" customHeight="1">
      <x:c r="A1327" s="5" t="str">
        <x:v>UF-0116</x:v>
      </x:c>
      <x:c r="B1327" s="5" t="str">
        <x:v>WQ</x:v>
      </x:c>
      <x:c r="C1327" s="5" t="str">
        <x:v>4</x:v>
      </x:c>
      <x:c r="D1327" s="5" t="str">
        <x:v>Unternehmensführung</x:v>
      </x:c>
      <x:c r="E1327" s="5" t="str">
        <x:v>Unternehmensführung</x:v>
      </x:c>
      <x:c r="F1327" s="5" t="str">
        <x:v>ui-wq-0011</x:v>
      </x:c>
      <x:c r="G1327" s="5" t="str">
        <x:v>Personalführung</x:v>
      </x:c>
      <x:c r="H1327" s="5" t="str">
        <x:v>dg-wq-0073</x:v>
      </x:c>
      <x:c r="I1327" s="5" t="str">
        <x:v>4.2.6</x:v>
      </x:c>
      <x:c r="J1327" s="5" t="str">
        <x:v>Personalbeschaffung</x:v>
      </x:c>
      <x:c r="K1327" s="5" t="str"/>
      <x:c r="L1327" s="5" t="str">
        <x:v>Personalplanung &amp; -beschaffung</x:v>
      </x:c>
      <x:c r="M1327" s="5" t="n">
        <x:v>32</x:v>
      </x:c>
      <x:c r="N1327" s="5" t="n">
        <x:v>1</x:v>
      </x:c>
      <x:c r="O1327" s="5" t="str"/>
      <x:c r="P1327" s="5" t="str">
        <x:v>Zuordnungsvorschlag; Fachfreigabe ausstehend</x:v>
      </x:c>
      <x:c r="Q1327" s="5" t="str">
        <x:v>Frageinhalt präzisiert bzw. teilt bisheriges Sammelthema</x:v>
      </x:c>
      <x:c r="R1327" s="5" t="str">
        <x:v>Fallbezug: Die folgenden betrieblichen Angaben und Situationen beziehen sich auf die Circle Harbor GmbH.
Berechnen Sie den Personalbeschaffungsbedarf für das nächste Jahr. Gegeben sind folgende Beschäftigtenzahlen und Fluktuationsraten: Produktion 550 Beschäftigte und 6 % Fluktuation, Verwaltung 120 Beschäftigte und 15 % Fluktuation, Logistik 80 Beschäftigte und 5 % Fluktuation, Vertrieb 75 Beschäftigte und 8 % Fluktuation, Entwicklung 120 Beschäftigte und 10 % Fluktuation.</x:v>
      </x:c>
      <x:c r="S1327" s="5" t="str">
        <x:v>4683a07ef7df1387aa1b958abd01cafca0d06128ad5f764893061bb25bf345a7</x:v>
      </x:c>
    </x:row>
    <x:row r="1328" ht="36" customHeight="1">
      <x:c r="A1328" s="5" t="str">
        <x:v>UF-0117</x:v>
      </x:c>
      <x:c r="B1328" s="5" t="str">
        <x:v>WQ</x:v>
      </x:c>
      <x:c r="C1328" s="5" t="str">
        <x:v>4</x:v>
      </x:c>
      <x:c r="D1328" s="5" t="str">
        <x:v>Unternehmensführung</x:v>
      </x:c>
      <x:c r="E1328" s="5" t="str">
        <x:v>Unternehmensführung</x:v>
      </x:c>
      <x:c r="F1328" s="5" t="str">
        <x:v>ui-wq-0011</x:v>
      </x:c>
      <x:c r="G1328" s="5" t="str">
        <x:v>Personalführung</x:v>
      </x:c>
      <x:c r="H1328" s="5" t="str">
        <x:v>dg-wq-0072</x:v>
      </x:c>
      <x:c r="I1328" s="5" t="str">
        <x:v>4.2.5</x:v>
      </x:c>
      <x:c r="J1328" s="5" t="str">
        <x:v>Personalplanung</x:v>
      </x:c>
      <x:c r="K1328" s="5" t="str"/>
      <x:c r="L1328" s="5" t="str">
        <x:v>Personalplanung &amp; -beschaffung</x:v>
      </x:c>
      <x:c r="M1328" s="5" t="n">
        <x:v>33</x:v>
      </x:c>
      <x:c r="N1328" s="5" t="n">
        <x:v>6</x:v>
      </x:c>
      <x:c r="O1328" s="5" t="str"/>
      <x:c r="P1328" s="5" t="str">
        <x:v>Zuordnungsvorschlag; Fachfreigabe ausstehend</x:v>
      </x:c>
      <x:c r="Q1328" s="5" t="str">
        <x:v>Bestehendes Lernthema fachlich unter passendem Rahmenplan-Unterbereich behalten</x:v>
      </x:c>
      <x:c r="R1328" s="5" t="str">
        <x:v>Nennen Sie mindestens vier Kennzahlen, die für die Personalbedarfsplanung relevant sind.</x:v>
      </x:c>
      <x:c r="S1328" s="5" t="str">
        <x:v>c663e7637cccdb55b3230b20645836a57ff6edec9a88daea5c5d5878701ab631</x:v>
      </x:c>
    </x:row>
    <x:row r="1329" ht="36" customHeight="1">
      <x:c r="A1329" s="5" t="str">
        <x:v>UF-0118</x:v>
      </x:c>
      <x:c r="B1329" s="5" t="str">
        <x:v>WQ</x:v>
      </x:c>
      <x:c r="C1329" s="5" t="str">
        <x:v>4</x:v>
      </x:c>
      <x:c r="D1329" s="5" t="str">
        <x:v>Unternehmensführung</x:v>
      </x:c>
      <x:c r="E1329" s="5" t="str">
        <x:v>Unternehmensführung</x:v>
      </x:c>
      <x:c r="F1329" s="5" t="str">
        <x:v>ui-wq-0011</x:v>
      </x:c>
      <x:c r="G1329" s="5" t="str">
        <x:v>Personalführung</x:v>
      </x:c>
      <x:c r="H1329" s="5" t="str">
        <x:v>dg-wq-0072</x:v>
      </x:c>
      <x:c r="I1329" s="5" t="str">
        <x:v>4.2.5</x:v>
      </x:c>
      <x:c r="J1329" s="5" t="str">
        <x:v>Personalplanung</x:v>
      </x:c>
      <x:c r="K1329" s="5" t="str"/>
      <x:c r="L1329" s="5" t="str">
        <x:v>Personalplanung &amp; -beschaffung</x:v>
      </x:c>
      <x:c r="M1329" s="5" t="n">
        <x:v>34</x:v>
      </x:c>
      <x:c r="N1329" s="5" t="n">
        <x:v>7</x:v>
      </x:c>
      <x:c r="O1329" s="5" t="str"/>
      <x:c r="P1329" s="5" t="str">
        <x:v>Zuordnungsvorschlag; Fachfreigabe ausstehend</x:v>
      </x:c>
      <x:c r="Q1329" s="5" t="str">
        <x:v>Bestehendes Lernthema fachlich unter passendem Rahmenplan-Unterbereich behalten</x:v>
      </x:c>
      <x:c r="R1329" s="5" t="str">
        <x:v>Erläutern Sie mindestens zwei Möglichkeiten, wie die Personalabteilung das Internet zur Rekrutierung von Fachpersonal nutzen kann.</x:v>
      </x:c>
      <x:c r="S1329" s="5" t="str">
        <x:v>d41d59d23e545dcab9efebe28320ab851fabdeb2e11cf6a59e6022ebb5a6754a</x:v>
      </x:c>
    </x:row>
    <x:row r="1330" ht="36" customHeight="1">
      <x:c r="A1330" s="5" t="str">
        <x:v>UF-0119</x:v>
      </x:c>
      <x:c r="B1330" s="5" t="str">
        <x:v>WQ</x:v>
      </x:c>
      <x:c r="C1330" s="5" t="str">
        <x:v>4</x:v>
      </x:c>
      <x:c r="D1330" s="5" t="str">
        <x:v>Unternehmensführung</x:v>
      </x:c>
      <x:c r="E1330" s="5" t="str">
        <x:v>Unternehmensführung</x:v>
      </x:c>
      <x:c r="F1330" s="5" t="str">
        <x:v>ui-wq-0011</x:v>
      </x:c>
      <x:c r="G1330" s="5" t="str">
        <x:v>Personalführung</x:v>
      </x:c>
      <x:c r="H1330" s="5" t="str">
        <x:v>dg-wq-0072</x:v>
      </x:c>
      <x:c r="I1330" s="5" t="str">
        <x:v>4.2.5</x:v>
      </x:c>
      <x:c r="J1330" s="5" t="str">
        <x:v>Personalplanung</x:v>
      </x:c>
      <x:c r="K1330" s="5" t="str"/>
      <x:c r="L1330" s="5" t="str">
        <x:v>Personalplanung &amp; -beschaffung</x:v>
      </x:c>
      <x:c r="M1330" s="5" t="n">
        <x:v>35</x:v>
      </x:c>
      <x:c r="N1330" s="5" t="n">
        <x:v>8</x:v>
      </x:c>
      <x:c r="O1330" s="5" t="str"/>
      <x:c r="P1330" s="5" t="str">
        <x:v>Zuordnungsvorschlag; Fachfreigabe ausstehend</x:v>
      </x:c>
      <x:c r="Q1330" s="5" t="str">
        <x:v>Bestehendes Lernthema fachlich unter passendem Rahmenplan-Unterbereich behalten</x:v>
      </x:c>
      <x:c r="R1330" s="5" t="str">
        <x:v>Fallbezug: Die folgenden betrieblichen Angaben und Situationen beziehen sich auf die Circle Harbor GmbH.
In einem Bereich entsteht für zwölf Monate ein Personalmehrbedarf von vier Vollbeschäftigten. Vergleichen Sie die Möglichkeiten Leiharbeit beziehungsweise Zeitarbeit und befristete Einstellung. Nennen Sie jeweils mindestens zwei Vorteile und zwei Nachteile.</x:v>
      </x:c>
      <x:c r="S1330" s="5" t="str">
        <x:v>93fa5b8513bb79727dee0ebd74f56b2a411a439807a8bbc4e5673f6e7a6bd7ad</x:v>
      </x:c>
    </x:row>
    <x:row r="1331" ht="36" customHeight="1">
      <x:c r="A1331" s="5" t="str">
        <x:v>UF-0120</x:v>
      </x:c>
      <x:c r="B1331" s="5" t="str">
        <x:v>WQ</x:v>
      </x:c>
      <x:c r="C1331" s="5" t="str">
        <x:v>4</x:v>
      </x:c>
      <x:c r="D1331" s="5" t="str">
        <x:v>Unternehmensführung</x:v>
      </x:c>
      <x:c r="E1331" s="5" t="str">
        <x:v>Unternehmensführung</x:v>
      </x:c>
      <x:c r="F1331" s="5" t="str">
        <x:v>ui-wq-0011</x:v>
      </x:c>
      <x:c r="G1331" s="5" t="str">
        <x:v>Personalführung</x:v>
      </x:c>
      <x:c r="H1331" s="5" t="str">
        <x:v>dg-wq-0072</x:v>
      </x:c>
      <x:c r="I1331" s="5" t="str">
        <x:v>4.2.5</x:v>
      </x:c>
      <x:c r="J1331" s="5" t="str">
        <x:v>Personalplanung</x:v>
      </x:c>
      <x:c r="K1331" s="5" t="str"/>
      <x:c r="L1331" s="5" t="str">
        <x:v>Personalplanung &amp; -beschaffung</x:v>
      </x:c>
      <x:c r="M1331" s="5" t="n">
        <x:v>36</x:v>
      </x:c>
      <x:c r="N1331" s="5" t="n">
        <x:v>9</x:v>
      </x:c>
      <x:c r="O1331" s="5" t="str"/>
      <x:c r="P1331" s="5" t="str">
        <x:v>Zuordnungsvorschlag; Fachfreigabe ausstehend</x:v>
      </x:c>
      <x:c r="Q1331" s="5" t="str">
        <x:v>Bestehendes Lernthema fachlich unter passendem Rahmenplan-Unterbereich behalten</x:v>
      </x:c>
      <x:c r="R1331" s="5" t="str">
        <x:v>Nennen Sie die typischen sieben Phasen eines Vorstellungsgesprächs.</x:v>
      </x:c>
      <x:c r="S1331" s="5" t="str">
        <x:v>aa9695bae860063ca13305cf2aff3d09c2cf3daa5fd118042d6561a108ae97e0</x:v>
      </x:c>
    </x:row>
    <x:row r="1332" ht="36" customHeight="1">
      <x:c r="A1332" s="5" t="str">
        <x:v>UF-0121</x:v>
      </x:c>
      <x:c r="B1332" s="5" t="str">
        <x:v>WQ</x:v>
      </x:c>
      <x:c r="C1332" s="5" t="str">
        <x:v>4</x:v>
      </x:c>
      <x:c r="D1332" s="5" t="str">
        <x:v>Unternehmensführung</x:v>
      </x:c>
      <x:c r="E1332" s="5" t="str">
        <x:v>Unternehmensführung</x:v>
      </x:c>
      <x:c r="F1332" s="5" t="str">
        <x:v>ui-wq-0011</x:v>
      </x:c>
      <x:c r="G1332" s="5" t="str">
        <x:v>Personalführung</x:v>
      </x:c>
      <x:c r="H1332" s="5" t="str">
        <x:v>dg-wq-0073</x:v>
      </x:c>
      <x:c r="I1332" s="5" t="str">
        <x:v>4.2.6</x:v>
      </x:c>
      <x:c r="J1332" s="5" t="str">
        <x:v>Personalbeschaffung</x:v>
      </x:c>
      <x:c r="K1332" s="5" t="str"/>
      <x:c r="L1332" s="5" t="str">
        <x:v>Personalplanung &amp; -beschaffung</x:v>
      </x:c>
      <x:c r="M1332" s="5" t="n">
        <x:v>37</x:v>
      </x:c>
      <x:c r="N1332" s="5" t="n">
        <x:v>2</x:v>
      </x:c>
      <x:c r="O1332" s="5" t="str"/>
      <x:c r="P1332" s="5" t="str">
        <x:v>Zuordnungsvorschlag; Fachfreigabe ausstehend</x:v>
      </x:c>
      <x:c r="Q1332" s="5" t="str">
        <x:v>Frageinhalt präzisiert bzw. teilt bisheriges Sammelthema</x:v>
      </x:c>
      <x:c r="R1332" s="5" t="str">
        <x:v>Nennen Sie mindestens drei Schwerpunkte, nach denen Lebensläufe im Rahmen der Stellenausschreibung und Personalauswahl analysiert werden können.</x:v>
      </x:c>
      <x:c r="S1332" s="5" t="str">
        <x:v>69a04d4cbec1fe7aa6208ddf968768883ec121315bc0f3adbf31447f07331ac2</x:v>
      </x:c>
    </x:row>
    <x:row r="1333" ht="36" customHeight="1">
      <x:c r="A1333" s="5" t="str">
        <x:v>UF-0122</x:v>
      </x:c>
      <x:c r="B1333" s="5" t="str">
        <x:v>WQ</x:v>
      </x:c>
      <x:c r="C1333" s="5" t="str">
        <x:v>4</x:v>
      </x:c>
      <x:c r="D1333" s="5" t="str">
        <x:v>Unternehmensführung</x:v>
      </x:c>
      <x:c r="E1333" s="5" t="str">
        <x:v>Unternehmensführung</x:v>
      </x:c>
      <x:c r="F1333" s="5" t="str">
        <x:v>ui-wq-0011</x:v>
      </x:c>
      <x:c r="G1333" s="5" t="str">
        <x:v>Personalführung</x:v>
      </x:c>
      <x:c r="H1333" s="5" t="str">
        <x:v>dg-wq-0073</x:v>
      </x:c>
      <x:c r="I1333" s="5" t="str">
        <x:v>4.2.6</x:v>
      </x:c>
      <x:c r="J1333" s="5" t="str">
        <x:v>Personalbeschaffung</x:v>
      </x:c>
      <x:c r="K1333" s="5" t="str"/>
      <x:c r="L1333" s="5" t="str">
        <x:v>Personalplanung &amp; -beschaffung</x:v>
      </x:c>
      <x:c r="M1333" s="5" t="n">
        <x:v>38</x:v>
      </x:c>
      <x:c r="N1333" s="5" t="n">
        <x:v>3</x:v>
      </x:c>
      <x:c r="O1333" s="5" t="str"/>
      <x:c r="P1333" s="5" t="str">
        <x:v>Zuordnungsvorschlag; Fachfreigabe ausstehend</x:v>
      </x:c>
      <x:c r="Q1333" s="5" t="str">
        <x:v>Frageinhalt präzisiert bzw. teilt bisheriges Sammelthema</x:v>
      </x:c>
      <x:c r="R1333" s="5" t="str">
        <x:v>Für die Geschäftsleitung von Circle Harbor: Nennen Sie mindestens zwei Vorteile und zwei Nachteile, wenn ein Unternehmen die Personalbeschaffung teilweise oder vollständig an einen externen Personaldienstleister vergibt.</x:v>
      </x:c>
      <x:c r="S1333" s="5" t="str">
        <x:v>b1ec59adcd66a014c24bd9550b483c7672007014347ce0868173179339693d50</x:v>
      </x:c>
    </x:row>
    <x:row r="1334" ht="36" customHeight="1">
      <x:c r="A1334" s="5" t="str">
        <x:v>UF-0123</x:v>
      </x:c>
      <x:c r="B1334" s="5" t="str">
        <x:v>WQ</x:v>
      </x:c>
      <x:c r="C1334" s="5" t="str">
        <x:v>4</x:v>
      </x:c>
      <x:c r="D1334" s="5" t="str">
        <x:v>Unternehmensführung</x:v>
      </x:c>
      <x:c r="E1334" s="5" t="str">
        <x:v>Unternehmensführung</x:v>
      </x:c>
      <x:c r="F1334" s="5" t="str">
        <x:v>ui-wq-0011</x:v>
      </x:c>
      <x:c r="G1334" s="5" t="str">
        <x:v>Personalführung</x:v>
      </x:c>
      <x:c r="H1334" s="5" t="str">
        <x:v>dg-wq-0072</x:v>
      </x:c>
      <x:c r="I1334" s="5" t="str">
        <x:v>4.2.5</x:v>
      </x:c>
      <x:c r="J1334" s="5" t="str">
        <x:v>Personalplanung</x:v>
      </x:c>
      <x:c r="K1334" s="5" t="str"/>
      <x:c r="L1334" s="5" t="str">
        <x:v>Personalplanung &amp; -beschaffung</x:v>
      </x:c>
      <x:c r="M1334" s="5" t="n">
        <x:v>39</x:v>
      </x:c>
      <x:c r="N1334" s="5" t="n">
        <x:v>10</x:v>
      </x:c>
      <x:c r="O1334" s="5" t="str"/>
      <x:c r="P1334" s="5" t="str">
        <x:v>Zuordnungsvorschlag; Fachfreigabe ausstehend</x:v>
      </x:c>
      <x:c r="Q1334" s="5" t="str">
        <x:v>Bestehendes Lernthema fachlich unter passendem Rahmenplan-Unterbereich behalten</x:v>
      </x:c>
      <x:c r="R1334" s="5" t="str">
        <x:v>Circle Harbor sucht per Chiffre-Anzeige in der lokalen Tagespresse Personal für den Vertrieb. In der Anzeige steht nur, dass es sich um ein mittelständisches Unternehmen mit 150 Beschäftigten handelt. Nennen Sie mindestens vier Informationen, die zusätzlich in der Anzeige enthalten sein sollten, und beschreiben Sie mindestens zwei digitale Möglichkeiten der Personalgewinnung.</x:v>
      </x:c>
      <x:c r="S1334" s="5" t="str">
        <x:v>9894d35bbe80517915c0bace856913f028ab8bf013c0612bd700b6826b310877</x:v>
      </x:c>
    </x:row>
    <x:row r="1335" ht="36" customHeight="1">
      <x:c r="A1335" s="5" t="str">
        <x:v>UF-0124</x:v>
      </x:c>
      <x:c r="B1335" s="5" t="str">
        <x:v>WQ</x:v>
      </x:c>
      <x:c r="C1335" s="5" t="str">
        <x:v>4</x:v>
      </x:c>
      <x:c r="D1335" s="5" t="str">
        <x:v>Unternehmensführung</x:v>
      </x:c>
      <x:c r="E1335" s="5" t="str">
        <x:v>Unternehmensführung</x:v>
      </x:c>
      <x:c r="F1335" s="5" t="str">
        <x:v>ui-wq-0011</x:v>
      </x:c>
      <x:c r="G1335" s="5" t="str">
        <x:v>Personalführung</x:v>
      </x:c>
      <x:c r="H1335" s="5" t="str">
        <x:v>dg-wq-0073</x:v>
      </x:c>
      <x:c r="I1335" s="5" t="str">
        <x:v>4.2.6</x:v>
      </x:c>
      <x:c r="J1335" s="5" t="str">
        <x:v>Personalbeschaffung</x:v>
      </x:c>
      <x:c r="K1335" s="5" t="str"/>
      <x:c r="L1335" s="5" t="str">
        <x:v>Personalplanung &amp; -beschaffung</x:v>
      </x:c>
      <x:c r="M1335" s="5" t="n">
        <x:v>40</x:v>
      </x:c>
      <x:c r="N1335" s="5" t="n">
        <x:v>4</x:v>
      </x:c>
      <x:c r="O1335" s="5" t="str"/>
      <x:c r="P1335" s="5" t="str">
        <x:v>Zuordnungsvorschlag; Fachfreigabe ausstehend</x:v>
      </x:c>
      <x:c r="Q1335" s="5" t="str">
        <x:v>Frageinhalt präzisiert bzw. teilt bisheriges Sammelthema</x:v>
      </x:c>
      <x:c r="R1335" s="5" t="str">
        <x:v>Beschreiben Sie die logische Reihenfolge der Analyse von Bewerbungsunterlagen für die Vorauswahl und nennen Sie mindestens drei mögliche Kriterien oder Testarten. Ausgangslage: Für eine Meisterstelle sind zehn Bewerbungen eingegangen. Drei Personen sollen anschließend in einem Assessment bewertet werden.</x:v>
      </x:c>
      <x:c r="S1335" s="5" t="str">
        <x:v>623ee7b39c671c75bc6c7320baf389883d5f71a4514b8799f0a312859f692c59</x:v>
      </x:c>
    </x:row>
    <x:row r="1336" ht="36" customHeight="1">
      <x:c r="A1336" s="5" t="str">
        <x:v>UF-0125</x:v>
      </x:c>
      <x:c r="B1336" s="5" t="str">
        <x:v>WQ</x:v>
      </x:c>
      <x:c r="C1336" s="5" t="str">
        <x:v>4</x:v>
      </x:c>
      <x:c r="D1336" s="5" t="str">
        <x:v>Unternehmensführung</x:v>
      </x:c>
      <x:c r="E1336" s="5" t="str">
        <x:v>Unternehmensführung</x:v>
      </x:c>
      <x:c r="F1336" s="5" t="str">
        <x:v>ui-wq-0011</x:v>
      </x:c>
      <x:c r="G1336" s="5" t="str">
        <x:v>Personalführung</x:v>
      </x:c>
      <x:c r="H1336" s="5" t="str">
        <x:v>dg-wq-0074</x:v>
      </x:c>
      <x:c r="I1336" s="5" t="str">
        <x:v>4.2.7</x:v>
      </x:c>
      <x:c r="J1336" s="5" t="str">
        <x:v>Personalanpassungsmaßnahmen</x:v>
      </x:c>
      <x:c r="K1336" s="5" t="str"/>
      <x:c r="L1336" s="5" t="str">
        <x:v>Personalanpassung, Entgelt &amp; Personalkosten</x:v>
      </x:c>
      <x:c r="M1336" s="5" t="n">
        <x:v>41</x:v>
      </x:c>
      <x:c r="N1336" s="5" t="n">
        <x:v>1</x:v>
      </x:c>
      <x:c r="O1336" s="5" t="str"/>
      <x:c r="P1336" s="5" t="str">
        <x:v>Zuordnungsvorschlag; Fachfreigabe ausstehend</x:v>
      </x:c>
      <x:c r="Q1336" s="5" t="str">
        <x:v>Bestehendes Lernthema fachlich unter passendem Rahmenplan-Unterbereich behalten</x:v>
      </x:c>
      <x:c r="R1336" s="5" t="str">
        <x:v>Nennen Sie mindestens drei externe und drei interne Ursachen, die Personalanpassungsmaßnahmen erforderlich machen können.</x:v>
      </x:c>
      <x:c r="S1336" s="5" t="str">
        <x:v>5ee76fac56c7088523679a6f938b341bdb3c0de0420205ad320c85137251e32e</x:v>
      </x:c>
    </x:row>
    <x:row r="1337" ht="36" customHeight="1">
      <x:c r="A1337" s="5" t="str">
        <x:v>UF-0126</x:v>
      </x:c>
      <x:c r="B1337" s="5" t="str">
        <x:v>WQ</x:v>
      </x:c>
      <x:c r="C1337" s="5" t="str">
        <x:v>4</x:v>
      </x:c>
      <x:c r="D1337" s="5" t="str">
        <x:v>Unternehmensführung</x:v>
      </x:c>
      <x:c r="E1337" s="5" t="str">
        <x:v>Unternehmensführung</x:v>
      </x:c>
      <x:c r="F1337" s="5" t="str">
        <x:v>ui-wq-0011</x:v>
      </x:c>
      <x:c r="G1337" s="5" t="str">
        <x:v>Personalführung</x:v>
      </x:c>
      <x:c r="H1337" s="5" t="str">
        <x:v>dg-wq-0074</x:v>
      </x:c>
      <x:c r="I1337" s="5" t="str">
        <x:v>4.2.7</x:v>
      </x:c>
      <x:c r="J1337" s="5" t="str">
        <x:v>Personalanpassungsmaßnahmen</x:v>
      </x:c>
      <x:c r="K1337" s="5" t="str"/>
      <x:c r="L1337" s="5" t="str">
        <x:v>Personalanpassung, Entgelt &amp; Personalkosten</x:v>
      </x:c>
      <x:c r="M1337" s="5" t="n">
        <x:v>42</x:v>
      </x:c>
      <x:c r="N1337" s="5" t="n">
        <x:v>2</x:v>
      </x:c>
      <x:c r="O1337" s="5" t="str"/>
      <x:c r="P1337" s="5" t="str">
        <x:v>Zuordnungsvorschlag; Fachfreigabe ausstehend</x:v>
      </x:c>
      <x:c r="Q1337" s="5" t="str">
        <x:v>Bestehendes Lernthema fachlich unter passendem Rahmenplan-Unterbereich behalten</x:v>
      </x:c>
      <x:c r="R1337" s="5" t="str">
        <x:v>Die Circle Harbor GmbH befindet sich vorübergehend in einer Phase mit sinkenden Absatzzahlen. In etwa zwölf Monaten soll eine neu entwickelte Serie eingeführt werden. Die Bereiche Produktion und Lagerwirtschaft sind besonders betroffen. Schlagen Sie für die Produktion mindestens zwei Maßnahmen ohne Reduzierung des Personalbestands vor und für die Lagerwirtschaft mindestens zwei Maßnahmen mit Reduzierung des Personalbestands. Begründen Sie Ihre Vorschläge.</x:v>
      </x:c>
      <x:c r="S1337" s="5" t="str">
        <x:v>f90f138eceddbf318e3111122115061e841069d812a3f57fc3ca1547e2df6a6e</x:v>
      </x:c>
    </x:row>
    <x:row r="1338" ht="36" customHeight="1">
      <x:c r="A1338" s="5" t="str">
        <x:v>UF-0127</x:v>
      </x:c>
      <x:c r="B1338" s="5" t="str">
        <x:v>WQ</x:v>
      </x:c>
      <x:c r="C1338" s="5" t="str">
        <x:v>4</x:v>
      </x:c>
      <x:c r="D1338" s="5" t="str">
        <x:v>Unternehmensführung</x:v>
      </x:c>
      <x:c r="E1338" s="5" t="str">
        <x:v>Unternehmensführung</x:v>
      </x:c>
      <x:c r="F1338" s="5" t="str">
        <x:v>ui-wq-0011</x:v>
      </x:c>
      <x:c r="G1338" s="5" t="str">
        <x:v>Personalführung</x:v>
      </x:c>
      <x:c r="H1338" s="5" t="str">
        <x:v>dg-wq-0074</x:v>
      </x:c>
      <x:c r="I1338" s="5" t="str">
        <x:v>4.2.7</x:v>
      </x:c>
      <x:c r="J1338" s="5" t="str">
        <x:v>Personalanpassungsmaßnahmen</x:v>
      </x:c>
      <x:c r="K1338" s="5" t="str"/>
      <x:c r="L1338" s="5" t="str">
        <x:v>Personalanpassung, Entgelt &amp; Personalkosten</x:v>
      </x:c>
      <x:c r="M1338" s="5" t="n">
        <x:v>43</x:v>
      </x:c>
      <x:c r="N1338" s="5" t="n">
        <x:v>3</x:v>
      </x:c>
      <x:c r="O1338" s="5" t="str"/>
      <x:c r="P1338" s="5" t="str">
        <x:v>Zuordnungsvorschlag; Fachfreigabe ausstehend</x:v>
      </x:c>
      <x:c r="Q1338" s="5" t="str">
        <x:v>Bestehendes Lernthema fachlich unter passendem Rahmenplan-Unterbereich behalten</x:v>
      </x:c>
      <x:c r="R1338" s="5" t="str">
        <x:v>Erläutern Sie am Beispiel einer technischen Führungskraft den Begriff Outplacement und nennen Sie mindestens vier mögliche Maßnahmen, die ein Outplacement umfassen kann.</x:v>
      </x:c>
      <x:c r="S1338" s="5" t="str">
        <x:v>e4b5b0e60f145ca42268cc9c3a6d4fbfe35762ad40f5dfdf0166d46f37cc8d2e</x:v>
      </x:c>
    </x:row>
    <x:row r="1339" ht="36" customHeight="1">
      <x:c r="A1339" s="5" t="str">
        <x:v>UF-0128</x:v>
      </x:c>
      <x:c r="B1339" s="5" t="str">
        <x:v>WQ</x:v>
      </x:c>
      <x:c r="C1339" s="5" t="str">
        <x:v>4</x:v>
      </x:c>
      <x:c r="D1339" s="5" t="str">
        <x:v>Unternehmensführung</x:v>
      </x:c>
      <x:c r="E1339" s="5" t="str">
        <x:v>Unternehmensführung</x:v>
      </x:c>
      <x:c r="F1339" s="5" t="str">
        <x:v>ui-wq-0011</x:v>
      </x:c>
      <x:c r="G1339" s="5" t="str">
        <x:v>Personalführung</x:v>
      </x:c>
      <x:c r="H1339" s="5" t="str">
        <x:v>dg-wq-0074</x:v>
      </x:c>
      <x:c r="I1339" s="5" t="str">
        <x:v>4.2.7</x:v>
      </x:c>
      <x:c r="J1339" s="5" t="str">
        <x:v>Personalanpassungsmaßnahmen</x:v>
      </x:c>
      <x:c r="K1339" s="5" t="str"/>
      <x:c r="L1339" s="5" t="str">
        <x:v>Personalanpassung, Entgelt &amp; Personalkosten</x:v>
      </x:c>
      <x:c r="M1339" s="5" t="n">
        <x:v>44</x:v>
      </x:c>
      <x:c r="N1339" s="5" t="n">
        <x:v>4</x:v>
      </x:c>
      <x:c r="O1339" s="5" t="str"/>
      <x:c r="P1339" s="5" t="str">
        <x:v>Zuordnungsvorschlag; Fachfreigabe ausstehend</x:v>
      </x:c>
      <x:c r="Q1339" s="5" t="str">
        <x:v>Bestehendes Lernthema fachlich unter passendem Rahmenplan-Unterbereich behalten</x:v>
      </x:c>
      <x:c r="R1339" s="5" t="str">
        <x:v>Ordnen Sie die folgenden Maßnahmen dem passiven oder aktiven Personalabbau zu.</x:v>
      </x:c>
      <x:c r="S1339" s="5" t="str">
        <x:v>0782879e42fcfd1879ecec16523e2de68f1b22b1fd1a820dd195c2af8dcb6306</x:v>
      </x:c>
    </x:row>
    <x:row r="1340" ht="36" customHeight="1">
      <x:c r="A1340" s="5" t="str">
        <x:v>UF-0129</x:v>
      </x:c>
      <x:c r="B1340" s="5" t="str">
        <x:v>WQ</x:v>
      </x:c>
      <x:c r="C1340" s="5" t="str">
        <x:v>4</x:v>
      </x:c>
      <x:c r="D1340" s="5" t="str">
        <x:v>Unternehmensführung</x:v>
      </x:c>
      <x:c r="E1340" s="5" t="str">
        <x:v>Unternehmensführung</x:v>
      </x:c>
      <x:c r="F1340" s="5" t="str">
        <x:v>ui-wq-0011</x:v>
      </x:c>
      <x:c r="G1340" s="5" t="str">
        <x:v>Personalführung</x:v>
      </x:c>
      <x:c r="H1340" s="5" t="str">
        <x:v>dg-wq-0074</x:v>
      </x:c>
      <x:c r="I1340" s="5" t="str">
        <x:v>4.2.7</x:v>
      </x:c>
      <x:c r="J1340" s="5" t="str">
        <x:v>Personalanpassungsmaßnahmen</x:v>
      </x:c>
      <x:c r="K1340" s="5" t="str"/>
      <x:c r="L1340" s="5" t="str">
        <x:v>Personalanpassung, Entgelt &amp; Personalkosten</x:v>
      </x:c>
      <x:c r="M1340" s="5" t="n">
        <x:v>45</x:v>
      </x:c>
      <x:c r="N1340" s="5" t="n">
        <x:v>5</x:v>
      </x:c>
      <x:c r="O1340" s="5" t="str"/>
      <x:c r="P1340" s="5" t="str">
        <x:v>Zuordnungsvorschlag; Fachfreigabe ausstehend</x:v>
      </x:c>
      <x:c r="Q1340" s="5" t="str">
        <x:v>Bestehendes Lernthema fachlich unter passendem Rahmenplan-Unterbereich behalten</x:v>
      </x:c>
      <x:c r="R1340" s="5" t="str">
        <x:v>Nennen Sie mindestens vier rechtliche Rahmenbedingungen, die bei Personalanpassungsmaßnahmen beachtet werden müssen.</x:v>
      </x:c>
      <x:c r="S1340" s="5" t="str">
        <x:v>9e9392ec3a562b6c4caffd3c067d9ed859bda25dc63eb549d42f0a0ca51b4045</x:v>
      </x:c>
    </x:row>
    <x:row r="1341" ht="36" customHeight="1">
      <x:c r="A1341" s="5" t="str">
        <x:v>UF-0130</x:v>
      </x:c>
      <x:c r="B1341" s="5" t="str">
        <x:v>WQ</x:v>
      </x:c>
      <x:c r="C1341" s="5" t="str">
        <x:v>4</x:v>
      </x:c>
      <x:c r="D1341" s="5" t="str">
        <x:v>Unternehmensführung</x:v>
      </x:c>
      <x:c r="E1341" s="5" t="str">
        <x:v>Unternehmensführung</x:v>
      </x:c>
      <x:c r="F1341" s="5" t="str">
        <x:v>ui-wq-0011</x:v>
      </x:c>
      <x:c r="G1341" s="5" t="str">
        <x:v>Personalführung</x:v>
      </x:c>
      <x:c r="H1341" s="5" t="str">
        <x:v>dg-wq-0075</x:v>
      </x:c>
      <x:c r="I1341" s="5" t="str">
        <x:v>4.2.8</x:v>
      </x:c>
      <x:c r="J1341" s="5" t="str">
        <x:v>Entgeltformen</x:v>
      </x:c>
      <x:c r="K1341" s="5" t="str"/>
      <x:c r="L1341" s="5" t="str">
        <x:v>Personalanpassung, Entgelt &amp; Personalkosten</x:v>
      </x:c>
      <x:c r="M1341" s="5" t="n">
        <x:v>46</x:v>
      </x:c>
      <x:c r="N1341" s="5" t="n">
        <x:v>1</x:v>
      </x:c>
      <x:c r="O1341" s="5" t="str"/>
      <x:c r="P1341" s="5" t="str">
        <x:v>Zuordnungsvorschlag; Fachfreigabe ausstehend</x:v>
      </x:c>
      <x:c r="Q1341" s="5" t="str">
        <x:v>Frageinhalt präzisiert bzw. teilt bisheriges Sammelthema</x:v>
      </x:c>
      <x:c r="R1341" s="5" t="str">
        <x:v>Erklären Sie die Aspekte Anforderungsgerechtigkeit, Leistungsgerechtigkeit und soziale Gerechtigkeit bei der Entgeltgestaltung.</x:v>
      </x:c>
      <x:c r="S1341" s="5" t="str">
        <x:v>e51a455e5b7942856f8038c1f6462813fc68d0dcf37992d945878f1eb410414a</x:v>
      </x:c>
    </x:row>
    <x:row r="1342" ht="36" customHeight="1">
      <x:c r="A1342" s="5" t="str">
        <x:v>UF-0131</x:v>
      </x:c>
      <x:c r="B1342" s="5" t="str">
        <x:v>WQ</x:v>
      </x:c>
      <x:c r="C1342" s="5" t="str">
        <x:v>4</x:v>
      </x:c>
      <x:c r="D1342" s="5" t="str">
        <x:v>Unternehmensführung</x:v>
      </x:c>
      <x:c r="E1342" s="5" t="str">
        <x:v>Unternehmensführung</x:v>
      </x:c>
      <x:c r="F1342" s="5" t="str">
        <x:v>ui-wq-0011</x:v>
      </x:c>
      <x:c r="G1342" s="5" t="str">
        <x:v>Personalführung</x:v>
      </x:c>
      <x:c r="H1342" s="5" t="str">
        <x:v>dg-wq-0075</x:v>
      </x:c>
      <x:c r="I1342" s="5" t="str">
        <x:v>4.2.8</x:v>
      </x:c>
      <x:c r="J1342" s="5" t="str">
        <x:v>Entgeltformen</x:v>
      </x:c>
      <x:c r="K1342" s="5" t="str"/>
      <x:c r="L1342" s="5" t="str">
        <x:v>Personalanpassung, Entgelt &amp; Personalkosten</x:v>
      </x:c>
      <x:c r="M1342" s="5" t="n">
        <x:v>47</x:v>
      </x:c>
      <x:c r="N1342" s="5" t="n">
        <x:v>2</x:v>
      </x:c>
      <x:c r="O1342" s="5" t="str"/>
      <x:c r="P1342" s="5" t="str">
        <x:v>Zuordnungsvorschlag; Fachfreigabe ausstehend</x:v>
      </x:c>
      <x:c r="Q1342" s="5" t="str">
        <x:v>Frageinhalt präzisiert bzw. teilt bisheriges Sammelthema</x:v>
      </x:c>
      <x:c r="R1342" s="5" t="str">
        <x:v>Ordnen Sie die Maßnahmen der passenden Form der Entgeltgerechtigkeit zu: Anforderungsgerechtigkeit, soziale Gerechtigkeit oder Leistungsgerechtigkeit.</x:v>
      </x:c>
      <x:c r="S1342" s="5" t="str">
        <x:v>2bd78b911f6544ebfdf3abe6d53f5d3021323cd8b96e3ea16bf876a4b31b4359</x:v>
      </x:c>
    </x:row>
    <x:row r="1343" ht="36" customHeight="1">
      <x:c r="A1343" s="5" t="str">
        <x:v>UF-0132</x:v>
      </x:c>
      <x:c r="B1343" s="5" t="str">
        <x:v>WQ</x:v>
      </x:c>
      <x:c r="C1343" s="5" t="str">
        <x:v>4</x:v>
      </x:c>
      <x:c r="D1343" s="5" t="str">
        <x:v>Unternehmensführung</x:v>
      </x:c>
      <x:c r="E1343" s="5" t="str">
        <x:v>Unternehmensführung</x:v>
      </x:c>
      <x:c r="F1343" s="5" t="str">
        <x:v>ui-wq-0011</x:v>
      </x:c>
      <x:c r="G1343" s="5" t="str">
        <x:v>Personalführung</x:v>
      </x:c>
      <x:c r="H1343" s="5" t="str">
        <x:v>dg-wq-0074</x:v>
      </x:c>
      <x:c r="I1343" s="5" t="str">
        <x:v>4.2.7</x:v>
      </x:c>
      <x:c r="J1343" s="5" t="str">
        <x:v>Personalanpassungsmaßnahmen</x:v>
      </x:c>
      <x:c r="K1343" s="5" t="str"/>
      <x:c r="L1343" s="5" t="str">
        <x:v>Personalanpassung, Entgelt &amp; Personalkosten</x:v>
      </x:c>
      <x:c r="M1343" s="5" t="n">
        <x:v>48</x:v>
      </x:c>
      <x:c r="N1343" s="5" t="n">
        <x:v>6</x:v>
      </x:c>
      <x:c r="O1343" s="5" t="str"/>
      <x:c r="P1343" s="5" t="str">
        <x:v>Zuordnungsvorschlag; Fachfreigabe ausstehend</x:v>
      </x:c>
      <x:c r="Q1343" s="5" t="str">
        <x:v>Bestehendes Lernthema fachlich unter passendem Rahmenplan-Unterbereich behalten</x:v>
      </x:c>
      <x:c r="R1343" s="5" t="str">
        <x:v>Nennen Sie mindestens zwei Beispiele für direkte und zwei Beispiele für indirekte Personalkosten.</x:v>
      </x:c>
      <x:c r="S1343" s="5" t="str">
        <x:v>733d26e9e1090a07e7b4b3b1b90d39e5ccd06f58c2f87f8d5267e109772f6f9f</x:v>
      </x:c>
    </x:row>
    <x:row r="1344" ht="36" customHeight="1">
      <x:c r="A1344" s="5" t="str">
        <x:v>UF-0133</x:v>
      </x:c>
      <x:c r="B1344" s="5" t="str">
        <x:v>WQ</x:v>
      </x:c>
      <x:c r="C1344" s="5" t="str">
        <x:v>4</x:v>
      </x:c>
      <x:c r="D1344" s="5" t="str">
        <x:v>Unternehmensführung</x:v>
      </x:c>
      <x:c r="E1344" s="5" t="str">
        <x:v>Unternehmensführung</x:v>
      </x:c>
      <x:c r="F1344" s="5" t="str">
        <x:v>ui-wq-0011</x:v>
      </x:c>
      <x:c r="G1344" s="5" t="str">
        <x:v>Personalführung</x:v>
      </x:c>
      <x:c r="H1344" s="5" t="str">
        <x:v>dg-wq-0074</x:v>
      </x:c>
      <x:c r="I1344" s="5" t="str">
        <x:v>4.2.7</x:v>
      </x:c>
      <x:c r="J1344" s="5" t="str">
        <x:v>Personalanpassungsmaßnahmen</x:v>
      </x:c>
      <x:c r="K1344" s="5" t="str"/>
      <x:c r="L1344" s="5" t="str">
        <x:v>Personalanpassung, Entgelt &amp; Personalkosten</x:v>
      </x:c>
      <x:c r="M1344" s="5" t="n">
        <x:v>49</x:v>
      </x:c>
      <x:c r="N1344" s="5" t="n">
        <x:v>7</x:v>
      </x:c>
      <x:c r="O1344" s="5" t="str"/>
      <x:c r="P1344" s="5" t="str">
        <x:v>Zuordnungsvorschlag; Fachfreigabe ausstehend</x:v>
      </x:c>
      <x:c r="Q1344" s="5" t="str">
        <x:v>Bestehendes Lernthema fachlich unter passendem Rahmenplan-Unterbereich behalten</x:v>
      </x:c>
      <x:c r="R1344" s="5" t="str">
        <x:v>Nennen Sie mindestens vier Voraussetzungen, damit ein Cafeteria-Modell für betriebliche Sozialleistungen von den Beschäftigten akzeptiert wird.</x:v>
      </x:c>
      <x:c r="S1344" s="5" t="str">
        <x:v>b0f60b8dddf6b44a365db695a09fb626d3ec4a3a841e32642d4f96fe8c132df5</x:v>
      </x:c>
    </x:row>
    <x:row r="1345" ht="36" customHeight="1">
      <x:c r="A1345" s="5" t="str">
        <x:v>UF-0134</x:v>
      </x:c>
      <x:c r="B1345" s="5" t="str">
        <x:v>WQ</x:v>
      </x:c>
      <x:c r="C1345" s="5" t="str">
        <x:v>4</x:v>
      </x:c>
      <x:c r="D1345" s="5" t="str">
        <x:v>Unternehmensführung</x:v>
      </x:c>
      <x:c r="E1345" s="5" t="str">
        <x:v>Unternehmensführung</x:v>
      </x:c>
      <x:c r="F1345" s="5" t="str">
        <x:v>ui-wq-0011</x:v>
      </x:c>
      <x:c r="G1345" s="5" t="str">
        <x:v>Personalführung</x:v>
      </x:c>
      <x:c r="H1345" s="5" t="str">
        <x:v>dg-wq-0075</x:v>
      </x:c>
      <x:c r="I1345" s="5" t="str">
        <x:v>4.2.8</x:v>
      </x:c>
      <x:c r="J1345" s="5" t="str">
        <x:v>Entgeltformen</x:v>
      </x:c>
      <x:c r="K1345" s="5" t="str"/>
      <x:c r="L1345" s="5" t="str">
        <x:v>Personalanpassung, Entgelt &amp; Personalkosten</x:v>
      </x:c>
      <x:c r="M1345" s="5" t="n">
        <x:v>50</x:v>
      </x:c>
      <x:c r="N1345" s="5" t="n">
        <x:v>3</x:v>
      </x:c>
      <x:c r="O1345" s="5" t="str"/>
      <x:c r="P1345" s="5" t="str">
        <x:v>Zuordnungsvorschlag; Fachfreigabe ausstehend</x:v>
      </x:c>
      <x:c r="Q1345" s="5" t="str">
        <x:v>Frageinhalt präzisiert bzw. teilt bisheriges Sammelthema</x:v>
      </x:c>
      <x:c r="R1345" s="5" t="str">
        <x:v>Fallbezug: Die folgenden betrieblichen Angaben und Situationen beziehen sich auf die Circle Harbor GmbH.
Berechnen Sie die Personalkosten und den zu planenden Umsatz. Gegeben: Bereichsleitung 1 Person mit 3.000 € Monatsgehalt und 13 Monatsgehältern, stellvertretende Bereichsleitung 1 Person mit 2.500 € Monatsgehalt und 13 Monatsgehältern, Vollbeschäftigte 20 Personen mit je 2.000 € Monatsgehalt und 13 Monatsgehältern. Planbare Zusatzkosten betragen 30 % der Bruttolohnkosten, der Arbeitgeberanteil zur Sozialversicherung beträgt 20 % der Bruttolohnkosten. Die Personalkosten sollen 15 % des Umsatzes nicht überschreiten.</x:v>
      </x:c>
      <x:c r="S1345" s="5" t="str">
        <x:v>4eb31195de8151a16bb7580824b4482c0cee5693191f6c431b98740dd14314ea</x:v>
      </x:c>
    </x:row>
    <x:row r="1346" ht="36" customHeight="1">
      <x:c r="A1346" s="5" t="str">
        <x:v>UF-0135</x:v>
      </x:c>
      <x:c r="B1346" s="5" t="str">
        <x:v>WQ</x:v>
      </x:c>
      <x:c r="C1346" s="5" t="str">
        <x:v>4</x:v>
      </x:c>
      <x:c r="D1346" s="5" t="str">
        <x:v>Unternehmensführung</x:v>
      </x:c>
      <x:c r="E1346" s="5" t="str">
        <x:v>Unternehmensführung</x:v>
      </x:c>
      <x:c r="F1346" s="5" t="str">
        <x:v>ui-wq-0011</x:v>
      </x:c>
      <x:c r="G1346" s="5" t="str">
        <x:v>Personalführung</x:v>
      </x:c>
      <x:c r="H1346" s="5" t="str">
        <x:v>dg-wq-0075</x:v>
      </x:c>
      <x:c r="I1346" s="5" t="str">
        <x:v>4.2.8</x:v>
      </x:c>
      <x:c r="J1346" s="5" t="str">
        <x:v>Entgeltformen</x:v>
      </x:c>
      <x:c r="K1346" s="5" t="str"/>
      <x:c r="L1346" s="5" t="str">
        <x:v>Personalanpassung, Entgelt &amp; Personalkosten</x:v>
      </x:c>
      <x:c r="M1346" s="5" t="n">
        <x:v>51</x:v>
      </x:c>
      <x:c r="N1346" s="5" t="n">
        <x:v>4</x:v>
      </x:c>
      <x:c r="O1346" s="5" t="str"/>
      <x:c r="P1346" s="5" t="str">
        <x:v>Zuordnungsvorschlag; Fachfreigabe ausstehend</x:v>
      </x:c>
      <x:c r="Q1346" s="5" t="str">
        <x:v>Frageinhalt präzisiert bzw. teilt bisheriges Sammelthema</x:v>
      </x:c>
      <x:c r="R1346" s="5" t="str">
        <x:v>Nennen Sie mindestens drei Kriterien, die bei der Entscheidung über eine Entgeltform berücksichtigt werden sollten.</x:v>
      </x:c>
      <x:c r="S1346" s="5" t="str">
        <x:v>9abae24e9749a369fadae86029ca8d831246a8c9c14bdb60e4ebc7bb590e4b63</x:v>
      </x:c>
    </x:row>
    <x:row r="1347" ht="36" customHeight="1">
      <x:c r="A1347" s="5" t="str">
        <x:v>UF-0136</x:v>
      </x:c>
      <x:c r="B1347" s="5" t="str">
        <x:v>WQ</x:v>
      </x:c>
      <x:c r="C1347" s="5" t="str">
        <x:v>4</x:v>
      </x:c>
      <x:c r="D1347" s="5" t="str">
        <x:v>Unternehmensführung</x:v>
      </x:c>
      <x:c r="E1347" s="5" t="str">
        <x:v>Unternehmensführung</x:v>
      </x:c>
      <x:c r="F1347" s="5" t="str">
        <x:v>ui-wq-0011</x:v>
      </x:c>
      <x:c r="G1347" s="5" t="str">
        <x:v>Personalführung</x:v>
      </x:c>
      <x:c r="H1347" s="5" t="str">
        <x:v>dg-wq-0074</x:v>
      </x:c>
      <x:c r="I1347" s="5" t="str">
        <x:v>4.2.7</x:v>
      </x:c>
      <x:c r="J1347" s="5" t="str">
        <x:v>Personalanpassungsmaßnahmen</x:v>
      </x:c>
      <x:c r="K1347" s="5" t="str"/>
      <x:c r="L1347" s="5" t="str">
        <x:v>Personalanpassung, Entgelt &amp; Personalkosten</x:v>
      </x:c>
      <x:c r="M1347" s="5" t="n">
        <x:v>52</x:v>
      </x:c>
      <x:c r="N1347" s="5" t="n">
        <x:v>8</x:v>
      </x:c>
      <x:c r="O1347" s="5" t="str"/>
      <x:c r="P1347" s="5" t="str">
        <x:v>Zuordnungsvorschlag; Fachfreigabe ausstehend</x:v>
      </x:c>
      <x:c r="Q1347" s="5" t="str">
        <x:v>Bestehendes Lernthema fachlich unter passendem Rahmenplan-Unterbereich behalten</x:v>
      </x:c>
      <x:c r="R1347" s="5" t="str">
        <x:v>Nennen Sie mindestens zwei Beispiele für leistungsbezogene Vergütung und je ein Argument für und gegen eine starke leistungsbezogene Vergütung im Vertrieb.</x:v>
      </x:c>
      <x:c r="S1347" s="5" t="str">
        <x:v>160b7862e3eff0ffa340d53e617aa71a39a661f3f271f245bc0b338c4d2d19f0</x:v>
      </x:c>
    </x:row>
    <x:row r="1348" ht="36" customHeight="1">
      <x:c r="A1348" s="5" t="str">
        <x:v>UF-0137</x:v>
      </x:c>
      <x:c r="B1348" s="5" t="str">
        <x:v>WQ</x:v>
      </x:c>
      <x:c r="C1348" s="5" t="str">
        <x:v>4</x:v>
      </x:c>
      <x:c r="D1348" s="5" t="str">
        <x:v>Unternehmensführung</x:v>
      </x:c>
      <x:c r="E1348" s="5" t="str">
        <x:v>Unternehmensführung</x:v>
      </x:c>
      <x:c r="F1348" s="5" t="str">
        <x:v>ui-wq-0011</x:v>
      </x:c>
      <x:c r="G1348" s="5" t="str">
        <x:v>Personalführung</x:v>
      </x:c>
      <x:c r="H1348" s="5" t="str">
        <x:v>dg-wq-0074</x:v>
      </x:c>
      <x:c r="I1348" s="5" t="str">
        <x:v>4.2.7</x:v>
      </x:c>
      <x:c r="J1348" s="5" t="str">
        <x:v>Personalanpassungsmaßnahmen</x:v>
      </x:c>
      <x:c r="K1348" s="5" t="str"/>
      <x:c r="L1348" s="5" t="str">
        <x:v>Personalanpassung, Entgelt &amp; Personalkosten</x:v>
      </x:c>
      <x:c r="M1348" s="5" t="n">
        <x:v>53</x:v>
      </x:c>
      <x:c r="N1348" s="5" t="n">
        <x:v>9</x:v>
      </x:c>
      <x:c r="O1348" s="5" t="str"/>
      <x:c r="P1348" s="5" t="str">
        <x:v>Zuordnungsvorschlag; Fachfreigabe ausstehend</x:v>
      </x:c>
      <x:c r="Q1348" s="5" t="str">
        <x:v>Bestehendes Lernthema fachlich unter passendem Rahmenplan-Unterbereich behalten</x:v>
      </x:c>
      <x:c r="R1348" s="5" t="str">
        <x:v>Ordnen Sie die folgenden Beispiele den vier Gruppen sozialer Leistungen zu: gesetzliche Leistungen, tarifliche Leistungen, direkte freiwillige Leistungen und indirekte freiwillige Leistungen.</x:v>
      </x:c>
      <x:c r="S1348" s="5" t="str">
        <x:v>2a172c0ff52c6331b4607c2f009cc61d8295813f5ac8e7f3e5ebcf954b9a7881</x:v>
      </x:c>
    </x:row>
    <x:row r="1349" ht="36" customHeight="1">
      <x:c r="A1349" s="5" t="str">
        <x:v>UF-0138</x:v>
      </x:c>
      <x:c r="B1349" s="5" t="str">
        <x:v>WQ</x:v>
      </x:c>
      <x:c r="C1349" s="5" t="str">
        <x:v>4</x:v>
      </x:c>
      <x:c r="D1349" s="5" t="str">
        <x:v>Unternehmensführung</x:v>
      </x:c>
      <x:c r="E1349" s="5" t="str">
        <x:v>Unternehmensführung</x:v>
      </x:c>
      <x:c r="F1349" s="5" t="str">
        <x:v>ui-wq-0011</x:v>
      </x:c>
      <x:c r="G1349" s="5" t="str">
        <x:v>Personalführung</x:v>
      </x:c>
      <x:c r="H1349" s="5" t="str">
        <x:v>dg-wq-0075</x:v>
      </x:c>
      <x:c r="I1349" s="5" t="str">
        <x:v>4.2.8</x:v>
      </x:c>
      <x:c r="J1349" s="5" t="str">
        <x:v>Entgeltformen</x:v>
      </x:c>
      <x:c r="K1349" s="5" t="str"/>
      <x:c r="L1349" s="5" t="str">
        <x:v>Personalanpassung, Entgelt &amp; Personalkosten</x:v>
      </x:c>
      <x:c r="M1349" s="5" t="n">
        <x:v>54</x:v>
      </x:c>
      <x:c r="N1349" s="5" t="n">
        <x:v>5</x:v>
      </x:c>
      <x:c r="O1349" s="5" t="str"/>
      <x:c r="P1349" s="5" t="str">
        <x:v>Zuordnungsvorschlag; Fachfreigabe ausstehend</x:v>
      </x:c>
      <x:c r="Q1349" s="5" t="str">
        <x:v>Frageinhalt präzisiert bzw. teilt bisheriges Sammelthema</x:v>
      </x:c>
      <x:c r="R1349" s="5" t="str">
        <x:v>Nennen Sie geeignete Voraussetzungen für die Anwendung von Zeitlohn, Akkordlohn und Prämienlohn.</x:v>
      </x:c>
      <x:c r="S1349" s="5" t="str">
        <x:v>85ff9e8d030f7e267237cbedc7dcb4178aaa1a87c1f07e3464fa2992c0052c24</x:v>
      </x:c>
    </x:row>
    <x:row r="1350" ht="36" customHeight="1">
      <x:c r="A1350" s="5" t="str">
        <x:v>UF-0139</x:v>
      </x:c>
      <x:c r="B1350" s="5" t="str">
        <x:v>WQ</x:v>
      </x:c>
      <x:c r="C1350" s="5" t="str">
        <x:v>4</x:v>
      </x:c>
      <x:c r="D1350" s="5" t="str">
        <x:v>Unternehmensführung</x:v>
      </x:c>
      <x:c r="E1350" s="5" t="str">
        <x:v>Unternehmensführung</x:v>
      </x:c>
      <x:c r="F1350" s="5" t="str">
        <x:v>ui-wq-0011</x:v>
      </x:c>
      <x:c r="G1350" s="5" t="str">
        <x:v>Personalführung</x:v>
      </x:c>
      <x:c r="H1350" s="5" t="str">
        <x:v>dg-wq-0075</x:v>
      </x:c>
      <x:c r="I1350" s="5" t="str">
        <x:v>4.2.8</x:v>
      </x:c>
      <x:c r="J1350" s="5" t="str">
        <x:v>Entgeltformen</x:v>
      </x:c>
      <x:c r="K1350" s="5" t="str"/>
      <x:c r="L1350" s="5" t="str">
        <x:v>Personalanpassung, Entgelt &amp; Personalkosten</x:v>
      </x:c>
      <x:c r="M1350" s="5" t="n">
        <x:v>55</x:v>
      </x:c>
      <x:c r="N1350" s="5" t="n">
        <x:v>6</x:v>
      </x:c>
      <x:c r="O1350" s="5" t="str"/>
      <x:c r="P1350" s="5" t="str">
        <x:v>Zuordnungsvorschlag; Fachfreigabe ausstehend</x:v>
      </x:c>
      <x:c r="Q1350" s="5" t="str">
        <x:v>Frageinhalt präzisiert bzw. teilt bisheriges Sammelthema</x:v>
      </x:c>
      <x:c r="R1350" s="5" t="str">
        <x:v>Fallbezug: Die folgenden betrieblichen Angaben und Situationen beziehen sich auf die Circle Harbor GmbH.
Berechnen Sie die Personalkosten pro Person, die tatsächlich geleisteten Arbeitsstunden, die Kosten je tatsächlich geleisteter Arbeitsstunde und die Mehrkosten je tatsächlich geleisteter Arbeitsstunde gegenüber dem Bruttostundenlohn. Gegeben: 360 Kalendertage, 104 Wochenendtage, 10 Feiertage, 30 Urlaubstage, 10 Krankheitstage, 7,5 Arbeitsstunden pro Tag, 20 € Bruttostundenlohn, 1.500 € Weihnachtsgeld, 1.500 € Urlaubsgeld, 20 % Sozialabgaben auf den Bruttolohn, 2 % gesetzliche Unfallversicherung auf den Bruttolohn und 2.000 € sonstige Sozialleistungen.</x:v>
      </x:c>
      <x:c r="S1350" s="5" t="str">
        <x:v>b8a2b001a4632e0f7e7ec554eef21144ad98ee338b7c3999c5ce63d3f1badb87</x:v>
      </x:c>
    </x:row>
    <x:row r="1351" ht="36" customHeight="1">
      <x:c r="A1351" s="5" t="str">
        <x:v>UF-0140</x:v>
      </x:c>
      <x:c r="B1351" s="5" t="str">
        <x:v>WQ</x:v>
      </x:c>
      <x:c r="C1351" s="5" t="str">
        <x:v>4</x:v>
      </x:c>
      <x:c r="D1351" s="5" t="str">
        <x:v>Unternehmensführung</x:v>
      </x:c>
      <x:c r="E1351" s="5" t="str">
        <x:v>Unternehmensführung</x:v>
      </x:c>
      <x:c r="F1351" s="5" t="str">
        <x:v>ui-wq-0011</x:v>
      </x:c>
      <x:c r="G1351" s="5" t="str">
        <x:v>Personalführung</x:v>
      </x:c>
      <x:c r="H1351" s="5" t="str">
        <x:v>dg-wq-0072</x:v>
      </x:c>
      <x:c r="I1351" s="5" t="str">
        <x:v>4.2.5</x:v>
      </x:c>
      <x:c r="J1351" s="5" t="str">
        <x:v>Personalplanung</x:v>
      </x:c>
      <x:c r="K1351" s="5" t="str"/>
      <x:c r="L1351" s="5" t="str">
        <x:v>Personalplanung &amp; -beschaffung</x:v>
      </x:c>
      <x:c r="M1351" s="5" t="n">
        <x:v>56</x:v>
      </x:c>
      <x:c r="N1351" s="5" t="n">
        <x:v>11</x:v>
      </x:c>
      <x:c r="O1351" s="5" t="str"/>
      <x:c r="P1351" s="5" t="str">
        <x:v>Zuordnungsvorschlag; Fachfreigabe ausstehend</x:v>
      </x:c>
      <x:c r="Q1351" s="5" t="str">
        <x:v>Bestehendes Lernthema fachlich unter passendem Rahmenplan-Unterbereich behalten</x:v>
      </x:c>
      <x:c r="R1351" s="5" t="str">
        <x:v>Fallbezug: Die folgenden betrieblichen Angaben und Situationen beziehen sich auf die Circle Harbor GmbH.
Berechnen Sie den zusätzlichen Bruttopersonalbedarf, den Nettopersonalbedarf und die zusätzlichen Personalkosten für einen Auftrag. Gegeben: Produktionsmenge 320.000 Stück, Fertigungszeit 0,25 Stunden je Stück, tägliche Arbeitszeit 8 Stunden, 365 Kalendertage, 104 Wochenendtage, 11 Feiertage, 32 Urlaubstage, 18 Ausfalltage, aktueller Personalbestand 36 Vollzeitbeschäftigte und verrechneter Stundensatz 40 €.</x:v>
      </x:c>
      <x:c r="S1351" s="5" t="str">
        <x:v>53bc68fef6ee6896296f2fe2e18e84fc091061f3329c76ebad510e16615d8833</x:v>
      </x:c>
    </x:row>
    <x:row r="1352" ht="36" customHeight="1">
      <x:c r="A1352" s="5" t="str">
        <x:v>UF-0141</x:v>
      </x:c>
      <x:c r="B1352" s="5" t="str">
        <x:v>WQ</x:v>
      </x:c>
      <x:c r="C1352" s="5" t="str">
        <x:v>4</x:v>
      </x:c>
      <x:c r="D1352" s="5" t="str">
        <x:v>Unternehmensführung</x:v>
      </x:c>
      <x:c r="E1352" s="5" t="str">
        <x:v>Unternehmensführung</x:v>
      </x:c>
      <x:c r="F1352" s="5" t="str">
        <x:v>ui-wq-0012</x:v>
      </x:c>
      <x:c r="G1352" s="5" t="str">
        <x:v>Personalentwicklung</x:v>
      </x:c>
      <x:c r="H1352" s="5" t="str">
        <x:v>dg-wq-0070</x:v>
      </x:c>
      <x:c r="I1352" s="5" t="str">
        <x:v>4.3.1</x:v>
      </x:c>
      <x:c r="J1352" s="5" t="str">
        <x:v>Arten</x:v>
      </x:c>
      <x:c r="K1352" s="5" t="str"/>
      <x:c r="L1352" s="5" t="str">
        <x:v>Arten der Personalentwicklung</x:v>
      </x:c>
      <x:c r="M1352" s="5" t="n">
        <x:v>4</x:v>
      </x:c>
      <x:c r="N1352" s="5" t="n">
        <x:v>4</x:v>
      </x:c>
      <x:c r="O1352" s="5" t="str"/>
      <x:c r="P1352" s="5" t="str">
        <x:v>Zuordnungsvorschlag; Fachfreigabe ausstehend</x:v>
      </x:c>
      <x:c r="Q1352" s="5" t="str">
        <x:v>Bestehendes Lernthema fachlich unter passendem Rahmenplan-Unterbereich behalten</x:v>
      </x:c>
      <x:c r="R1352" s="5" t="str">
        <x:v>Beschreiben Sie mindestens vier Maßnahmen, die in einem Einarbeitungsplan für neue Auszubildende enthalten sein können.</x:v>
      </x:c>
      <x:c r="S1352" s="5" t="str">
        <x:v>e9244a9650cd2b0095e21ecee6be96c1d93fab9046297f51e08d2431e6ec58a7</x:v>
      </x:c>
    </x:row>
    <x:row r="1353" ht="36" customHeight="1">
      <x:c r="A1353" s="5" t="str">
        <x:v>UF-0142</x:v>
      </x:c>
      <x:c r="B1353" s="5" t="str">
        <x:v>WQ</x:v>
      </x:c>
      <x:c r="C1353" s="5" t="str">
        <x:v>4</x:v>
      </x:c>
      <x:c r="D1353" s="5" t="str">
        <x:v>Unternehmensführung</x:v>
      </x:c>
      <x:c r="E1353" s="5" t="str">
        <x:v>Unternehmensführung</x:v>
      </x:c>
      <x:c r="F1353" s="5" t="str">
        <x:v>ui-wq-0012</x:v>
      </x:c>
      <x:c r="G1353" s="5" t="str">
        <x:v>Personalentwicklung</x:v>
      </x:c>
      <x:c r="H1353" s="5" t="str">
        <x:v>dg-wq-0070</x:v>
      </x:c>
      <x:c r="I1353" s="5" t="str">
        <x:v>4.3.1</x:v>
      </x:c>
      <x:c r="J1353" s="5" t="str">
        <x:v>Arten</x:v>
      </x:c>
      <x:c r="K1353" s="5" t="str"/>
      <x:c r="L1353" s="5" t="str">
        <x:v>Arten der Personalentwicklung</x:v>
      </x:c>
      <x:c r="M1353" s="5" t="n">
        <x:v>5</x:v>
      </x:c>
      <x:c r="N1353" s="5" t="n">
        <x:v>5</x:v>
      </x:c>
      <x:c r="O1353" s="5" t="str"/>
      <x:c r="P1353" s="5" t="str">
        <x:v>Zuordnungsvorschlag; Fachfreigabe ausstehend</x:v>
      </x:c>
      <x:c r="Q1353" s="5" t="str">
        <x:v>Bestehendes Lernthema fachlich unter passendem Rahmenplan-Unterbereich behalten</x:v>
      </x:c>
      <x:c r="R1353" s="5" t="str">
        <x:v>Begründen Sie mit mindestens zwei Argumenten, warum ein systematischer Onboarding-Prozess für neue Beschäftigte notwendig ist. Beschreiben Sie außerdem die drei Phasen Vorbereitung, Orientierung und Integration mit Ziel und Maßnahme.</x:v>
      </x:c>
      <x:c r="S1353" s="5" t="str">
        <x:v>17e3d49f2a8cdc8c8828fb2ffab38fa85d60da1236c9a9488f59b3fa07786ce6</x:v>
      </x:c>
    </x:row>
    <x:row r="1354" ht="36" customHeight="1">
      <x:c r="A1354" s="5" t="str">
        <x:v>UF-0143</x:v>
      </x:c>
      <x:c r="B1354" s="5" t="str">
        <x:v>WQ</x:v>
      </x:c>
      <x:c r="C1354" s="5" t="str">
        <x:v>4</x:v>
      </x:c>
      <x:c r="D1354" s="5" t="str">
        <x:v>Unternehmensführung</x:v>
      </x:c>
      <x:c r="E1354" s="5" t="str">
        <x:v>Unternehmensführung</x:v>
      </x:c>
      <x:c r="F1354" s="5" t="str">
        <x:v>ui-wq-0012</x:v>
      </x:c>
      <x:c r="G1354" s="5" t="str">
        <x:v>Personalentwicklung</x:v>
      </x:c>
      <x:c r="H1354" s="5" t="str">
        <x:v>dg-wq-0070</x:v>
      </x:c>
      <x:c r="I1354" s="5" t="str">
        <x:v>4.3.1</x:v>
      </x:c>
      <x:c r="J1354" s="5" t="str">
        <x:v>Arten</x:v>
      </x:c>
      <x:c r="K1354" s="5" t="str"/>
      <x:c r="L1354" s="5" t="str">
        <x:v>Arten der Personalentwicklung</x:v>
      </x:c>
      <x:c r="M1354" s="5" t="n">
        <x:v>6</x:v>
      </x:c>
      <x:c r="N1354" s="5" t="n">
        <x:v>6</x:v>
      </x:c>
      <x:c r="O1354" s="5" t="str"/>
      <x:c r="P1354" s="5" t="str">
        <x:v>Zuordnungsvorschlag; Fachfreigabe ausstehend</x:v>
      </x:c>
      <x:c r="Q1354" s="5" t="str">
        <x:v>Bestehendes Lernthema fachlich unter passendem Rahmenplan-Unterbereich behalten</x:v>
      </x:c>
      <x:c r="R1354" s="5" t="str">
        <x:v>Nennen Sie mindestens fünf Methoden, mit denen der Qualifizierungsbedarf im Rahmen kontinuierlicher Personalentwicklung ermittelt werden kann.</x:v>
      </x:c>
      <x:c r="S1354" s="5" t="str">
        <x:v>4247e136171b014dc41313f6549a802781dcbcd7d009ee4cca3f96eca49abef2</x:v>
      </x:c>
    </x:row>
    <x:row r="1355" ht="36" customHeight="1">
      <x:c r="A1355" s="5" t="str">
        <x:v>UF-0144</x:v>
      </x:c>
      <x:c r="B1355" s="5" t="str">
        <x:v>WQ</x:v>
      </x:c>
      <x:c r="C1355" s="5" t="str">
        <x:v>4</x:v>
      </x:c>
      <x:c r="D1355" s="5" t="str">
        <x:v>Unternehmensführung</x:v>
      </x:c>
      <x:c r="E1355" s="5" t="str">
        <x:v>Unternehmensführung</x:v>
      </x:c>
      <x:c r="F1355" s="5" t="str">
        <x:v>ui-wq-0012</x:v>
      </x:c>
      <x:c r="G1355" s="5" t="str">
        <x:v>Personalentwicklung</x:v>
      </x:c>
      <x:c r="H1355" s="5" t="str">
        <x:v>dg-wq-0070</x:v>
      </x:c>
      <x:c r="I1355" s="5" t="str">
        <x:v>4.3.1</x:v>
      </x:c>
      <x:c r="J1355" s="5" t="str">
        <x:v>Arten</x:v>
      </x:c>
      <x:c r="K1355" s="5" t="str"/>
      <x:c r="L1355" s="5" t="str">
        <x:v>Arten der Personalentwicklung</x:v>
      </x:c>
      <x:c r="M1355" s="5" t="n">
        <x:v>7</x:v>
      </x:c>
      <x:c r="N1355" s="5" t="n">
        <x:v>7</x:v>
      </x:c>
      <x:c r="O1355" s="5" t="str"/>
      <x:c r="P1355" s="5" t="str">
        <x:v>Zuordnungsvorschlag; Fachfreigabe ausstehend</x:v>
      </x:c>
      <x:c r="Q1355" s="5" t="str">
        <x:v>Bestehendes Lernthema fachlich unter passendem Rahmenplan-Unterbereich behalten</x:v>
      </x:c>
      <x:c r="R1355" s="5" t="str">
        <x:v>Beschreiben Sie mindestens drei dynamische Situationen eines Unternehmens, aus denen sich Personalentwicklungsbedarf ergeben kann.</x:v>
      </x:c>
      <x:c r="S1355" s="5" t="str">
        <x:v>d7b5bbf6cd48cd13bcf96b774f5fb7dae62c6dbf1bf4b5623a612524c0859ce0</x:v>
      </x:c>
    </x:row>
    <x:row r="1356" ht="36" customHeight="1">
      <x:c r="A1356" s="5" t="str">
        <x:v>UF-0145</x:v>
      </x:c>
      <x:c r="B1356" s="5" t="str">
        <x:v>WQ</x:v>
      </x:c>
      <x:c r="C1356" s="5" t="str">
        <x:v>4</x:v>
      </x:c>
      <x:c r="D1356" s="5" t="str">
        <x:v>Unternehmensführung</x:v>
      </x:c>
      <x:c r="E1356" s="5" t="str">
        <x:v>Unternehmensführung</x:v>
      </x:c>
      <x:c r="F1356" s="5" t="str">
        <x:v>ui-wq-0012</x:v>
      </x:c>
      <x:c r="G1356" s="5" t="str">
        <x:v>Personalentwicklung</x:v>
      </x:c>
      <x:c r="H1356" s="5" t="str">
        <x:v>dg-wq-0070</x:v>
      </x:c>
      <x:c r="I1356" s="5" t="str">
        <x:v>4.3.1</x:v>
      </x:c>
      <x:c r="J1356" s="5" t="str">
        <x:v>Arten</x:v>
      </x:c>
      <x:c r="K1356" s="5" t="str"/>
      <x:c r="L1356" s="5" t="str">
        <x:v>Arten der Personalentwicklung</x:v>
      </x:c>
      <x:c r="M1356" s="5" t="n">
        <x:v>8</x:v>
      </x:c>
      <x:c r="N1356" s="5" t="n">
        <x:v>8</x:v>
      </x:c>
      <x:c r="O1356" s="5" t="str"/>
      <x:c r="P1356" s="5" t="str">
        <x:v>Zuordnungsvorschlag; Fachfreigabe ausstehend</x:v>
      </x:c>
      <x:c r="Q1356" s="5" t="str">
        <x:v>Bestehendes Lernthema fachlich unter passendem Rahmenplan-Unterbereich behalten</x:v>
      </x:c>
      <x:c r="R1356" s="5" t="str">
        <x:v>Nennen Sie mindestens vier mögliche Ursachen, warum ein Beschäftigter ein Personalentwicklungsgespräch wünscht.</x:v>
      </x:c>
      <x:c r="S1356" s="5" t="str">
        <x:v>e526b5094d485897a56a7f2399bbbaa8f00c5dbc5427e0a1957ef6cafe7705bf</x:v>
      </x:c>
    </x:row>
    <x:row r="1357" ht="36" customHeight="1">
      <x:c r="A1357" s="5" t="str">
        <x:v>UF-0146</x:v>
      </x:c>
      <x:c r="B1357" s="5" t="str">
        <x:v>WQ</x:v>
      </x:c>
      <x:c r="C1357" s="5" t="str">
        <x:v>4</x:v>
      </x:c>
      <x:c r="D1357" s="5" t="str">
        <x:v>Unternehmensführung</x:v>
      </x:c>
      <x:c r="E1357" s="5" t="str">
        <x:v>Unternehmensführung</x:v>
      </x:c>
      <x:c r="F1357" s="5" t="str">
        <x:v>ui-wq-0012</x:v>
      </x:c>
      <x:c r="G1357" s="5" t="str">
        <x:v>Personalentwicklung</x:v>
      </x:c>
      <x:c r="H1357" s="5" t="str">
        <x:v>dg-wq-0076</x:v>
      </x:c>
      <x:c r="I1357" s="5" t="str">
        <x:v>4.3.2</x:v>
      </x:c>
      <x:c r="J1357" s="5" t="str">
        <x:v>Potenzialanalyse</x:v>
      </x:c>
      <x:c r="K1357" s="5" t="str"/>
      <x:c r="L1357" s="5" t="str">
        <x:v>Potenzialanalyse &amp; Personalcontrolling</x:v>
      </x:c>
      <x:c r="M1357" s="5" t="n">
        <x:v>9</x:v>
      </x:c>
      <x:c r="N1357" s="5" t="n">
        <x:v>1</x:v>
      </x:c>
      <x:c r="O1357" s="5" t="str"/>
      <x:c r="P1357" s="5" t="str">
        <x:v>Zuordnungsvorschlag; Fachfreigabe ausstehend</x:v>
      </x:c>
      <x:c r="Q1357" s="5" t="str">
        <x:v>Bestehendes Lernthema fachlich unter passendem Rahmenplan-Unterbereich behalten</x:v>
      </x:c>
      <x:c r="R1357" s="5" t="str">
        <x:v>Nennen Sie mindestens fünf Kriterien, anhand derer künftige Führungskräfte im Rahmen der internen Personalentwicklung ausgewählt werden können.</x:v>
      </x:c>
      <x:c r="S1357" s="5" t="str">
        <x:v>aff52aca6313ced149f7c0179bfaa525c9d7d0028f588dc865b57367d1bd0029</x:v>
      </x:c>
    </x:row>
    <x:row r="1358" ht="36" customHeight="1">
      <x:c r="A1358" s="5" t="str">
        <x:v>UF-0147</x:v>
      </x:c>
      <x:c r="B1358" s="5" t="str">
        <x:v>WQ</x:v>
      </x:c>
      <x:c r="C1358" s="5" t="str">
        <x:v>4</x:v>
      </x:c>
      <x:c r="D1358" s="5" t="str">
        <x:v>Unternehmensführung</x:v>
      </x:c>
      <x:c r="E1358" s="5" t="str">
        <x:v>Unternehmensführung</x:v>
      </x:c>
      <x:c r="F1358" s="5" t="str">
        <x:v>ui-wq-0012</x:v>
      </x:c>
      <x:c r="G1358" s="5" t="str">
        <x:v>Personalentwicklung</x:v>
      </x:c>
      <x:c r="H1358" s="5" t="str">
        <x:v>dg-wq-0076</x:v>
      </x:c>
      <x:c r="I1358" s="5" t="str">
        <x:v>4.3.2</x:v>
      </x:c>
      <x:c r="J1358" s="5" t="str">
        <x:v>Potenzialanalyse</x:v>
      </x:c>
      <x:c r="K1358" s="5" t="str"/>
      <x:c r="L1358" s="5" t="str">
        <x:v>Potenzialanalyse &amp; Personalcontrolling</x:v>
      </x:c>
      <x:c r="M1358" s="5" t="n">
        <x:v>10</x:v>
      </x:c>
      <x:c r="N1358" s="5" t="n">
        <x:v>2</x:v>
      </x:c>
      <x:c r="O1358" s="5" t="str"/>
      <x:c r="P1358" s="5" t="str">
        <x:v>Zuordnungsvorschlag; Fachfreigabe ausstehend</x:v>
      </x:c>
      <x:c r="Q1358" s="5" t="str">
        <x:v>Bestehendes Lernthema fachlich unter passendem Rahmenplan-Unterbereich behalten</x:v>
      </x:c>
      <x:c r="R1358" s="5" t="str">
        <x:v>Circle Harbor möchte aus zwölf Angestellten zwei Personen für eine Teamleitung auswählen. Welche Kriterien aus bisherigen Arbeitsergebnissen lassen Rückschlüsse auf die Eignung als Teamleitung zu? Nennen Sie mindestens drei Kompetenzbereiche mit Beispielen.</x:v>
      </x:c>
      <x:c r="S1358" s="5" t="str">
        <x:v>edbe4abae3f4cc9209e9bbf67ce0bafe77bf70ccf932953fbcdfac20250e264b</x:v>
      </x:c>
    </x:row>
    <x:row r="1359" ht="36" customHeight="1">
      <x:c r="A1359" s="5" t="str">
        <x:v>UF-0148</x:v>
      </x:c>
      <x:c r="B1359" s="5" t="str">
        <x:v>WQ</x:v>
      </x:c>
      <x:c r="C1359" s="5" t="str">
        <x:v>4</x:v>
      </x:c>
      <x:c r="D1359" s="5" t="str">
        <x:v>Unternehmensführung</x:v>
      </x:c>
      <x:c r="E1359" s="5" t="str">
        <x:v>Unternehmensführung</x:v>
      </x:c>
      <x:c r="F1359" s="5" t="str">
        <x:v>ui-wq-0011</x:v>
      </x:c>
      <x:c r="G1359" s="5" t="str">
        <x:v>Personalführung</x:v>
      </x:c>
      <x:c r="H1359" s="5" t="str">
        <x:v>dg-wq-0066</x:v>
      </x:c>
      <x:c r="I1359" s="5" t="str">
        <x:v>4.2.3</x:v>
      </x:c>
      <x:c r="J1359" s="5" t="str">
        <x:v>Führungsstile</x:v>
      </x:c>
      <x:c r="K1359" s="5" t="str"/>
      <x:c r="L1359" s="5" t="str">
        <x:v>Führungsgrundlagen, Motivation &amp; Führungsstile</x:v>
      </x:c>
      <x:c r="M1359" s="5" t="n">
        <x:v>57</x:v>
      </x:c>
      <x:c r="N1359" s="5" t="n">
        <x:v>19</x:v>
      </x:c>
      <x:c r="O1359" s="5" t="str"/>
      <x:c r="P1359" s="5" t="str">
        <x:v>Zuordnungsvorschlag; Fachfreigabe ausstehend</x:v>
      </x:c>
      <x:c r="Q1359" s="5" t="str">
        <x:v>Bestehendes Lernthema fachlich unter passendem Rahmenplan-Unterbereich behalten</x:v>
      </x:c>
      <x:c r="R1359" s="5" t="str">
        <x:v>Beschreiben Sie mindestens drei Überlegungen, die vor der Einführung eines neuen Anreizsystems notwendig sind.</x:v>
      </x:c>
      <x:c r="S1359" s="5" t="str">
        <x:v>ab66af3896fc3d61ec5f94bd7b52ee2c3fa2b38033f1704acbc3cad3962f9a35</x:v>
      </x:c>
    </x:row>
    <x:row r="1360" ht="36" customHeight="1">
      <x:c r="A1360" s="5" t="str">
        <x:v>UF-0149</x:v>
      </x:c>
      <x:c r="B1360" s="5" t="str">
        <x:v>WQ</x:v>
      </x:c>
      <x:c r="C1360" s="5" t="str">
        <x:v>4</x:v>
      </x:c>
      <x:c r="D1360" s="5" t="str">
        <x:v>Unternehmensführung</x:v>
      </x:c>
      <x:c r="E1360" s="5" t="str">
        <x:v>Unternehmensführung</x:v>
      </x:c>
      <x:c r="F1360" s="5" t="str">
        <x:v>ui-wq-0012</x:v>
      </x:c>
      <x:c r="G1360" s="5" t="str">
        <x:v>Personalentwicklung</x:v>
      </x:c>
      <x:c r="H1360" s="5" t="str">
        <x:v>dg-wq-0070</x:v>
      </x:c>
      <x:c r="I1360" s="5" t="str">
        <x:v>4.3.1</x:v>
      </x:c>
      <x:c r="J1360" s="5" t="str">
        <x:v>Arten</x:v>
      </x:c>
      <x:c r="K1360" s="5" t="str"/>
      <x:c r="L1360" s="5" t="str">
        <x:v>Arten der Personalentwicklung</x:v>
      </x:c>
      <x:c r="M1360" s="5" t="n">
        <x:v>11</x:v>
      </x:c>
      <x:c r="N1360" s="5" t="n">
        <x:v>9</x:v>
      </x:c>
      <x:c r="O1360" s="5" t="str"/>
      <x:c r="P1360" s="5" t="str">
        <x:v>Zuordnungsvorschlag; Fachfreigabe ausstehend</x:v>
      </x:c>
      <x:c r="Q1360" s="5" t="str">
        <x:v>Bestehendes Lernthema fachlich unter passendem Rahmenplan-Unterbereich behalten</x:v>
      </x:c>
      <x:c r="R1360" s="5" t="str">
        <x:v>Ordnen Sie die Aussagen den Methoden Training, Coaching oder Mentoring zu.</x:v>
      </x:c>
      <x:c r="S1360" s="5" t="str">
        <x:v>b9c63aca764765d4c7d189d99d2429e9de2ad3cb38b1712bcd1949e9fc67b4e0</x:v>
      </x:c>
    </x:row>
    <x:row r="1361" ht="36" customHeight="1">
      <x:c r="A1361" s="5" t="str">
        <x:v>UF-0150</x:v>
      </x:c>
      <x:c r="B1361" s="5" t="str">
        <x:v>WQ</x:v>
      </x:c>
      <x:c r="C1361" s="5" t="str">
        <x:v>4</x:v>
      </x:c>
      <x:c r="D1361" s="5" t="str">
        <x:v>Unternehmensführung</x:v>
      </x:c>
      <x:c r="E1361" s="5" t="str">
        <x:v>Unternehmensführung</x:v>
      </x:c>
      <x:c r="F1361" s="5" t="str">
        <x:v>ui-wq-0012</x:v>
      </x:c>
      <x:c r="G1361" s="5" t="str">
        <x:v>Personalentwicklung</x:v>
      </x:c>
      <x:c r="H1361" s="5" t="str">
        <x:v>dg-wq-0070</x:v>
      </x:c>
      <x:c r="I1361" s="5" t="str">
        <x:v>4.3.1.3</x:v>
      </x:c>
      <x:c r="J1361" s="5" t="str">
        <x:v>Innerbetriebliche Förderung</x:v>
      </x:c>
      <x:c r="K1361" s="5" t="str"/>
      <x:c r="L1361" s="5" t="str">
        <x:v>Arten der Personalentwicklung</x:v>
      </x:c>
      <x:c r="M1361" s="5" t="n">
        <x:v>12</x:v>
      </x:c>
      <x:c r="N1361" s="5" t="n">
        <x:v>10</x:v>
      </x:c>
      <x:c r="O1361" s="5" t="str"/>
      <x:c r="P1361" s="5" t="str">
        <x:v>Zuordnungsvorschlag; Fachfreigabe ausstehend</x:v>
      </x:c>
      <x:c r="Q1361" s="5" t="str">
        <x:v>Bestehendes Lernthema fachlich unter passendem Rahmenplan-Unterbereich behalten</x:v>
      </x:c>
      <x:c r="R1361" s="5" t="str">
        <x:v>Welche zwei der drei Methoden Training, Coaching und Mentoring dienen vor allem der individuellen Förderung?</x:v>
      </x:c>
      <x:c r="S1361" s="5" t="str">
        <x:v>907c5b95e5c54fbec47fce8c6d67f1a564f12d43f5bbf88e7ff72e93dc4d69d6</x:v>
      </x:c>
    </x:row>
    <x:row r="1362" ht="36" customHeight="1">
      <x:c r="A1362" s="5" t="str">
        <x:v>UF-0151</x:v>
      </x:c>
      <x:c r="B1362" s="5" t="str">
        <x:v>WQ</x:v>
      </x:c>
      <x:c r="C1362" s="5" t="str">
        <x:v>4</x:v>
      </x:c>
      <x:c r="D1362" s="5" t="str">
        <x:v>Unternehmensführung</x:v>
      </x:c>
      <x:c r="E1362" s="5" t="str">
        <x:v>Unternehmensführung</x:v>
      </x:c>
      <x:c r="F1362" s="5" t="str">
        <x:v>ui-wq-0012</x:v>
      </x:c>
      <x:c r="G1362" s="5" t="str">
        <x:v>Personalentwicklung</x:v>
      </x:c>
      <x:c r="H1362" s="5" t="str">
        <x:v>dg-wq-0070</x:v>
      </x:c>
      <x:c r="I1362" s="5" t="str">
        <x:v>4.3.1</x:v>
      </x:c>
      <x:c r="J1362" s="5" t="str">
        <x:v>Arten</x:v>
      </x:c>
      <x:c r="K1362" s="5" t="str"/>
      <x:c r="L1362" s="5" t="str">
        <x:v>Arten der Personalentwicklung</x:v>
      </x:c>
      <x:c r="M1362" s="5" t="n">
        <x:v>13</x:v>
      </x:c>
      <x:c r="N1362" s="5" t="n">
        <x:v>11</x:v>
      </x:c>
      <x:c r="O1362" s="5" t="str"/>
      <x:c r="P1362" s="5" t="str">
        <x:v>Zuordnungsvorschlag; Fachfreigabe ausstehend</x:v>
      </x:c>
      <x:c r="Q1362" s="5" t="str">
        <x:v>Bestehendes Lernthema fachlich unter passendem Rahmenplan-Unterbereich behalten</x:v>
      </x:c>
      <x:c r="R1362" s="5" t="str">
        <x:v>Nennen Sie mindestens vier Wege zur Ermittlung des Weiterbildungsbedarfs und skizzieren Sie schrittweise die Umsetzung eines Weiterbildungskonzeptes.</x:v>
      </x:c>
      <x:c r="S1362" s="5" t="str">
        <x:v>ea93fa9ce9477794dd3b3b5e3709509ce29c211efa90c45375b4f302df66e792</x:v>
      </x:c>
    </x:row>
    <x:row r="1363" ht="36" customHeight="1">
      <x:c r="A1363" s="5" t="str">
        <x:v>UF-0152</x:v>
      </x:c>
      <x:c r="B1363" s="5" t="str">
        <x:v>WQ</x:v>
      </x:c>
      <x:c r="C1363" s="5" t="str">
        <x:v>4</x:v>
      </x:c>
      <x:c r="D1363" s="5" t="str">
        <x:v>Unternehmensführung</x:v>
      </x:c>
      <x:c r="E1363" s="5" t="str">
        <x:v>Unternehmensführung</x:v>
      </x:c>
      <x:c r="F1363" s="5" t="str">
        <x:v>ui-wq-0012</x:v>
      </x:c>
      <x:c r="G1363" s="5" t="str">
        <x:v>Personalentwicklung</x:v>
      </x:c>
      <x:c r="H1363" s="5" t="str">
        <x:v>dg-wq-0070</x:v>
      </x:c>
      <x:c r="I1363" s="5" t="str">
        <x:v>4.3.1</x:v>
      </x:c>
      <x:c r="J1363" s="5" t="str">
        <x:v>Arten</x:v>
      </x:c>
      <x:c r="K1363" s="5" t="str"/>
      <x:c r="L1363" s="5" t="str">
        <x:v>Arten der Personalentwicklung</x:v>
      </x:c>
      <x:c r="M1363" s="5" t="n">
        <x:v>14</x:v>
      </x:c>
      <x:c r="N1363" s="5" t="n">
        <x:v>12</x:v>
      </x:c>
      <x:c r="O1363" s="5" t="str"/>
      <x:c r="P1363" s="5" t="str">
        <x:v>Zuordnungsvorschlag; Fachfreigabe ausstehend</x:v>
      </x:c>
      <x:c r="Q1363" s="5" t="str">
        <x:v>Bestehendes Lernthema fachlich unter passendem Rahmenplan-Unterbereich behalten</x:v>
      </x:c>
      <x:c r="R1363" s="5" t="str">
        <x:v>Fallbezug: Die folgenden betrieblichen Angaben und Situationen beziehen sich auf die Circle Harbor GmbH.
In der Forschungs- und Entwicklungsabteilung sind mehr als ein Drittel der Beschäftigten älter als 55 Jahre. Nennen Sie mindestens zwei strategische Aufgaben, die sich daraus für das Unternehmen ergeben.</x:v>
      </x:c>
      <x:c r="S1363" s="5" t="str">
        <x:v>094a082578a200bf8cae5d8a8bb16517331daba13301f2b42bebe5597907fea7</x:v>
      </x:c>
    </x:row>
    <x:row r="1364" ht="36" customHeight="1">
      <x:c r="A1364" s="5" t="str">
        <x:v>UF-0153</x:v>
      </x:c>
      <x:c r="B1364" s="5" t="str">
        <x:v>WQ</x:v>
      </x:c>
      <x:c r="C1364" s="5" t="str">
        <x:v>4</x:v>
      </x:c>
      <x:c r="D1364" s="5" t="str">
        <x:v>Unternehmensführung</x:v>
      </x:c>
      <x:c r="E1364" s="5" t="str">
        <x:v>Unternehmensführung</x:v>
      </x:c>
      <x:c r="F1364" s="5" t="str">
        <x:v>ui-wq-0012</x:v>
      </x:c>
      <x:c r="G1364" s="5" t="str">
        <x:v>Personalentwicklung</x:v>
      </x:c>
      <x:c r="H1364" s="5" t="str">
        <x:v>dg-wq-0070</x:v>
      </x:c>
      <x:c r="I1364" s="5" t="str">
        <x:v>4.3.1</x:v>
      </x:c>
      <x:c r="J1364" s="5" t="str">
        <x:v>Arten</x:v>
      </x:c>
      <x:c r="K1364" s="5" t="str"/>
      <x:c r="L1364" s="5" t="str">
        <x:v>Arten der Personalentwicklung</x:v>
      </x:c>
      <x:c r="M1364" s="5" t="n">
        <x:v>15</x:v>
      </x:c>
      <x:c r="N1364" s="5" t="n">
        <x:v>13</x:v>
      </x:c>
      <x:c r="O1364" s="5" t="str"/>
      <x:c r="P1364" s="5" t="str">
        <x:v>Zuordnungsvorschlag; Fachfreigabe ausstehend</x:v>
      </x:c>
      <x:c r="Q1364" s="5" t="str">
        <x:v>Bestehendes Lernthema fachlich unter passendem Rahmenplan-Unterbereich behalten</x:v>
      </x:c>
      <x:c r="R1364" s="5" t="str">
        <x:v>Nennen Sie mindestens drei Einsatzmöglichkeiten beziehungsweise Vorteile des E-Learnings in der Personalentwicklung und mindestens zwei Grenzen.</x:v>
      </x:c>
      <x:c r="S1364" s="5" t="str">
        <x:v>8fe920360e8e270c7761b8bd18591c14a54d5e7e981049f69bf270a3bfa9a712</x:v>
      </x:c>
    </x:row>
    <x:row r="1365" ht="36" customHeight="1">
      <x:c r="A1365" s="5" t="str">
        <x:v>UF-0154</x:v>
      </x:c>
      <x:c r="B1365" s="5" t="str">
        <x:v>WQ</x:v>
      </x:c>
      <x:c r="C1365" s="5" t="str">
        <x:v>4</x:v>
      </x:c>
      <x:c r="D1365" s="5" t="str">
        <x:v>Unternehmensführung</x:v>
      </x:c>
      <x:c r="E1365" s="5" t="str">
        <x:v>Unternehmensführung</x:v>
      </x:c>
      <x:c r="F1365" s="5" t="str">
        <x:v>ui-wq-0012</x:v>
      </x:c>
      <x:c r="G1365" s="5" t="str">
        <x:v>Personalentwicklung</x:v>
      </x:c>
      <x:c r="H1365" s="5" t="str">
        <x:v>dg-wq-0070</x:v>
      </x:c>
      <x:c r="I1365" s="5" t="str">
        <x:v>4.3.1</x:v>
      </x:c>
      <x:c r="J1365" s="5" t="str">
        <x:v>Arten</x:v>
      </x:c>
      <x:c r="K1365" s="5" t="str"/>
      <x:c r="L1365" s="5" t="str">
        <x:v>Arten der Personalentwicklung</x:v>
      </x:c>
      <x:c r="M1365" s="5" t="n">
        <x:v>16</x:v>
      </x:c>
      <x:c r="N1365" s="5" t="n">
        <x:v>14</x:v>
      </x:c>
      <x:c r="O1365" s="5" t="str"/>
      <x:c r="P1365" s="5" t="str">
        <x:v>Zuordnungsvorschlag; Fachfreigabe ausstehend</x:v>
      </x:c>
      <x:c r="Q1365" s="5" t="str">
        <x:v>Bestehendes Lernthema fachlich unter passendem Rahmenplan-Unterbereich behalten</x:v>
      </x:c>
      <x:c r="R1365" s="5" t="str">
        <x:v>Beschreiben Sie mindestens zwei Vorteile und zwei Nachteile, wenn Beschäftigte als interne Systemberater für ein neues ERP-System eingesetzt werden.</x:v>
      </x:c>
      <x:c r="S1365" s="5" t="str">
        <x:v>cff2280883c3996a52aa975de1ee15b1115f606b83b4c351495edaf07acbb3a9</x:v>
      </x:c>
    </x:row>
    <x:row r="1366" ht="36" customHeight="1">
      <x:c r="A1366" s="5" t="str">
        <x:v>UF-0155</x:v>
      </x:c>
      <x:c r="B1366" s="5" t="str">
        <x:v>WQ</x:v>
      </x:c>
      <x:c r="C1366" s="5" t="str">
        <x:v>4</x:v>
      </x:c>
      <x:c r="D1366" s="5" t="str">
        <x:v>Unternehmensführung</x:v>
      </x:c>
      <x:c r="E1366" s="5" t="str">
        <x:v>Unternehmensführung</x:v>
      </x:c>
      <x:c r="F1366" s="5" t="str">
        <x:v>ui-wq-0012</x:v>
      </x:c>
      <x:c r="G1366" s="5" t="str">
        <x:v>Personalentwicklung</x:v>
      </x:c>
      <x:c r="H1366" s="5" t="str">
        <x:v>dg-wq-0070</x:v>
      </x:c>
      <x:c r="I1366" s="5" t="str">
        <x:v>4.3.1</x:v>
      </x:c>
      <x:c r="J1366" s="5" t="str">
        <x:v>Arten</x:v>
      </x:c>
      <x:c r="K1366" s="5" t="str"/>
      <x:c r="L1366" s="5" t="str">
        <x:v>Arten der Personalentwicklung</x:v>
      </x:c>
      <x:c r="M1366" s="5" t="n">
        <x:v>17</x:v>
      </x:c>
      <x:c r="N1366" s="5" t="n">
        <x:v>15</x:v>
      </x:c>
      <x:c r="O1366" s="5" t="str"/>
      <x:c r="P1366" s="5" t="str">
        <x:v>Zuordnungsvorschlag; Fachfreigabe ausstehend</x:v>
      </x:c>
      <x:c r="Q1366" s="5" t="str">
        <x:v>Bestehendes Lernthema fachlich unter passendem Rahmenplan-Unterbereich behalten</x:v>
      </x:c>
      <x:c r="R1366" s="5" t="str">
        <x:v>Nennen Sie mindestens vier organisatorische Voraussetzungen beziehungsweise Maßnahmen, mit denen Barrieren gegen eine lernende Organisation abgebaut werden können.</x:v>
      </x:c>
      <x:c r="S1366" s="5" t="str">
        <x:v>e154647dbe2232fe820ebe8ce999c1e769fa2c9b962ab26efed9a36c486881c0</x:v>
      </x:c>
    </x:row>
    <x:row r="1367" ht="36" customHeight="1">
      <x:c r="A1367" s="5" t="str">
        <x:v>UF-0156</x:v>
      </x:c>
      <x:c r="B1367" s="5" t="str">
        <x:v>WQ</x:v>
      </x:c>
      <x:c r="C1367" s="5" t="str">
        <x:v>4</x:v>
      </x:c>
      <x:c r="D1367" s="5" t="str">
        <x:v>Unternehmensführung</x:v>
      </x:c>
      <x:c r="E1367" s="5" t="str">
        <x:v>Unternehmensführung</x:v>
      </x:c>
      <x:c r="F1367" s="5" t="str">
        <x:v>ui-wq-0011</x:v>
      </x:c>
      <x:c r="G1367" s="5" t="str">
        <x:v>Personalführung</x:v>
      </x:c>
      <x:c r="H1367" s="5" t="str">
        <x:v>dg-wq-0071</x:v>
      </x:c>
      <x:c r="I1367" s="5" t="str">
        <x:v>4.2.4</x:v>
      </x:c>
      <x:c r="J1367" s="5" t="str">
        <x:v>Führen von Gruppen</x:v>
      </x:c>
      <x:c r="K1367" s="5" t="str"/>
      <x:c r="L1367" s="5" t="str">
        <x:v>Gruppenführung &amp; Gruppenverhalten</x:v>
      </x:c>
      <x:c r="M1367" s="5" t="n">
        <x:v>58</x:v>
      </x:c>
      <x:c r="N1367" s="5" t="n">
        <x:v>9</x:v>
      </x:c>
      <x:c r="O1367" s="5" t="str"/>
      <x:c r="P1367" s="5" t="str">
        <x:v>Zuordnungsvorschlag; Fachfreigabe ausstehend</x:v>
      </x:c>
      <x:c r="Q1367" s="5" t="str">
        <x:v>Bestehendes Lernthema fachlich unter passendem Rahmenplan-Unterbereich behalten</x:v>
      </x:c>
      <x:c r="R1367" s="5" t="str">
        <x:v>Entscheiden Sie, ob die Aussagen zur Steuerung eines Webforums in einem räumlich verteilten Team zutreffen. Ausgangslage: Ein Team arbeitet über mehrere Standorte verteilt und nutzt ein Webforum für Diskussionen und Ideenfindung. Als Teamleitung möchten Sie sicherstellen, dass die Diskussion geregelt abläuft.</x:v>
      </x:c>
      <x:c r="S1367" s="5" t="str">
        <x:v>47136229b63cc4907cded9bef36cf65439436a88fdb5005d79a12f1016044ebb</x:v>
      </x:c>
    </x:row>
    <x:row r="1368" ht="36" customHeight="1">
      <x:c r="A1368" s="5" t="str">
        <x:v>UF-0157</x:v>
      </x:c>
      <x:c r="B1368" s="5" t="str">
        <x:v>WQ</x:v>
      </x:c>
      <x:c r="C1368" s="5" t="str">
        <x:v>4</x:v>
      </x:c>
      <x:c r="D1368" s="5" t="str">
        <x:v>Unternehmensführung</x:v>
      </x:c>
      <x:c r="E1368" s="5" t="str">
        <x:v>Unternehmensführung</x:v>
      </x:c>
      <x:c r="F1368" s="5" t="str">
        <x:v>ui-wq-0012</x:v>
      </x:c>
      <x:c r="G1368" s="5" t="str">
        <x:v>Personalentwicklung</x:v>
      </x:c>
      <x:c r="H1368" s="5" t="str">
        <x:v>dg-wq-0070</x:v>
      </x:c>
      <x:c r="I1368" s="5" t="str">
        <x:v>4.3.1</x:v>
      </x:c>
      <x:c r="J1368" s="5" t="str">
        <x:v>Arten</x:v>
      </x:c>
      <x:c r="K1368" s="5" t="str"/>
      <x:c r="L1368" s="5" t="str">
        <x:v>Arten der Personalentwicklung</x:v>
      </x:c>
      <x:c r="M1368" s="5" t="n">
        <x:v>18</x:v>
      </x:c>
      <x:c r="N1368" s="5" t="n">
        <x:v>16</x:v>
      </x:c>
      <x:c r="O1368" s="5" t="str"/>
      <x:c r="P1368" s="5" t="str">
        <x:v>Zuordnungsvorschlag; Fachfreigabe ausstehend</x:v>
      </x:c>
      <x:c r="Q1368" s="5" t="str">
        <x:v>Bestehendes Lernthema fachlich unter passendem Rahmenplan-Unterbereich behalten</x:v>
      </x:c>
      <x:c r="R1368" s="5" t="str">
        <x:v>Beschreiben Sie jeweils mindestens zwei Vorteile dieser Aufgabenverteilung aus Sicht der Ausbilderin und aus Sicht der jungen Facharbeiterinnen.</x:v>
      </x:c>
      <x:c r="S1368" s="5" t="str">
        <x:v>01742a1ede426a23e69d96f8703575680c7f9e1190da48a62bc1a54a9aabbe8e</x:v>
      </x:c>
    </x:row>
    <x:row r="1369" ht="36" customHeight="1">
      <x:c r="A1369" s="5" t="str">
        <x:v>UF-0158</x:v>
      </x:c>
      <x:c r="B1369" s="5" t="str">
        <x:v>WQ</x:v>
      </x:c>
      <x:c r="C1369" s="5" t="str">
        <x:v>4</x:v>
      </x:c>
      <x:c r="D1369" s="5" t="str">
        <x:v>Unternehmensführung</x:v>
      </x:c>
      <x:c r="E1369" s="5" t="str">
        <x:v>Unternehmensführung</x:v>
      </x:c>
      <x:c r="F1369" s="5" t="str">
        <x:v>ui-wq-0012</x:v>
      </x:c>
      <x:c r="G1369" s="5" t="str">
        <x:v>Personalentwicklung</x:v>
      </x:c>
      <x:c r="H1369" s="5" t="str">
        <x:v>dg-wq-0070</x:v>
      </x:c>
      <x:c r="I1369" s="5" t="str">
        <x:v>4.3.1</x:v>
      </x:c>
      <x:c r="J1369" s="5" t="str">
        <x:v>Arten</x:v>
      </x:c>
      <x:c r="K1369" s="5" t="str"/>
      <x:c r="L1369" s="5" t="str">
        <x:v>Arten der Personalentwicklung</x:v>
      </x:c>
      <x:c r="M1369" s="5" t="n">
        <x:v>19</x:v>
      </x:c>
      <x:c r="N1369" s="5" t="n">
        <x:v>17</x:v>
      </x:c>
      <x:c r="O1369" s="5" t="str"/>
      <x:c r="P1369" s="5" t="str">
        <x:v>Zuordnungsvorschlag; Fachfreigabe ausstehend</x:v>
      </x:c>
      <x:c r="Q1369" s="5" t="str">
        <x:v>Bestehendes Lernthema fachlich unter passendem Rahmenplan-Unterbereich behalten</x:v>
      </x:c>
      <x:c r="R1369" s="5" t="str">
        <x:v>Nennen Sie jeweils mindestens zwei Vorteile einer strukturierten Personalentwicklung für das Unternehmen und für die Beschäftigten.</x:v>
      </x:c>
      <x:c r="S1369" s="5" t="str">
        <x:v>48fa35af744e49bb91952ae9ed07fcde1eaf2b804b7ff07c43d05f153b921ba3</x:v>
      </x:c>
    </x:row>
    <x:row r="1370" ht="36" customHeight="1">
      <x:c r="A1370" s="5" t="str">
        <x:v>UF-0159</x:v>
      </x:c>
      <x:c r="B1370" s="5" t="str">
        <x:v>WQ</x:v>
      </x:c>
      <x:c r="C1370" s="5" t="str">
        <x:v>4</x:v>
      </x:c>
      <x:c r="D1370" s="5" t="str">
        <x:v>Unternehmensführung</x:v>
      </x:c>
      <x:c r="E1370" s="5" t="str">
        <x:v>Unternehmensführung</x:v>
      </x:c>
      <x:c r="F1370" s="5" t="str">
        <x:v>ui-wq-0010</x:v>
      </x:c>
      <x:c r="G1370" s="5" t="str">
        <x:v>Betriebsorganisation</x:v>
      </x:c>
      <x:c r="H1370" s="5" t="str">
        <x:v>dg-wq-0067</x:v>
      </x:c>
      <x:c r="I1370" s="5" t="str">
        <x:v>4.1.3</x:v>
      </x:c>
      <x:c r="J1370" s="5" t="str">
        <x:v>Aufbauorganisation</x:v>
      </x:c>
      <x:c r="K1370" s="5" t="str"/>
      <x:c r="L1370" s="5" t="str">
        <x:v>Aufbau- &amp; Ablauforganisation</x:v>
      </x:c>
      <x:c r="M1370" s="5" t="n">
        <x:v>82</x:v>
      </x:c>
      <x:c r="N1370" s="5" t="n">
        <x:v>36</x:v>
      </x:c>
      <x:c r="O1370" s="5" t="str"/>
      <x:c r="P1370" s="5" t="str">
        <x:v>Zuordnungsvorschlag; Fachfreigabe ausstehend</x:v>
      </x:c>
      <x:c r="Q1370" s="5" t="str">
        <x:v>Bestehendes Lernthema fachlich unter passendem Rahmenplan-Unterbereich behalten</x:v>
      </x:c>
      <x:c r="R1370" s="5" t="str">
        <x:v>Vergleichen Sie zwei Vorgehensweisen zur Verbesserung der Nutzung von Informations- und Kommunikationssystemen: Variante 1 ist ein zentrales Projekt mit Projektgruppe oder Taskforce. Variante 2 nutzt Arbeitskreise in allen betroffenen Bereichen. Beschreiben Sie die Unterschiede.</x:v>
      </x:c>
      <x:c r="S1370" s="5" t="str">
        <x:v>da63a394149f59b5697d9f29fefe973ddfca47a89c71078127d2222cceec3794</x:v>
      </x:c>
    </x:row>
    <x:row r="1371" ht="36" customHeight="1">
      <x:c r="A1371" s="5" t="str">
        <x:v>UF-0160</x:v>
      </x:c>
      <x:c r="B1371" s="5" t="str">
        <x:v>WQ</x:v>
      </x:c>
      <x:c r="C1371" s="5" t="str">
        <x:v>4</x:v>
      </x:c>
      <x:c r="D1371" s="5" t="str">
        <x:v>Unternehmensführung</x:v>
      </x:c>
      <x:c r="E1371" s="5" t="str">
        <x:v>Unternehmensführung</x:v>
      </x:c>
      <x:c r="F1371" s="5" t="str">
        <x:v>ui-wq-0012</x:v>
      </x:c>
      <x:c r="G1371" s="5" t="str">
        <x:v>Personalentwicklung</x:v>
      </x:c>
      <x:c r="H1371" s="5" t="str">
        <x:v>dg-wq-0076</x:v>
      </x:c>
      <x:c r="I1371" s="5" t="str">
        <x:v>4.3.2</x:v>
      </x:c>
      <x:c r="J1371" s="5" t="str">
        <x:v>Potenzialanalyse</x:v>
      </x:c>
      <x:c r="K1371" s="5" t="str"/>
      <x:c r="L1371" s="5" t="str">
        <x:v>Potenzialanalyse &amp; Personalcontrolling</x:v>
      </x:c>
      <x:c r="M1371" s="5" t="n">
        <x:v>20</x:v>
      </x:c>
      <x:c r="N1371" s="5" t="n">
        <x:v>3</x:v>
      </x:c>
      <x:c r="O1371" s="5" t="str"/>
      <x:c r="P1371" s="5" t="str">
        <x:v>Zuordnungsvorschlag; Fachfreigabe ausstehend</x:v>
      </x:c>
      <x:c r="Q1371" s="5" t="str">
        <x:v>Bestehendes Lernthema fachlich unter passendem Rahmenplan-Unterbereich behalten</x:v>
      </x:c>
      <x:c r="R1371" s="5" t="str">
        <x:v>Nennen Sie mindestens zwei Gründe für die Einführung einer systematischen Personalbeurteilung, mindestens vier mögliche Beurteilungskriterien in der Produktion und mindestens drei organisatorische Maßnahmen zur Einführung.</x:v>
      </x:c>
      <x:c r="S1371" s="5" t="str">
        <x:v>f5ba69ee7ea1d53de22137e52a9ee47a470dd2e418edd693581c64f7a9ecfdf2</x:v>
      </x:c>
    </x:row>
    <x:row r="1372" ht="36" customHeight="1">
      <x:c r="A1372" s="5" t="str">
        <x:v>UF-0161</x:v>
      </x:c>
      <x:c r="B1372" s="5" t="str">
        <x:v>WQ</x:v>
      </x:c>
      <x:c r="C1372" s="5" t="str">
        <x:v>4</x:v>
      </x:c>
      <x:c r="D1372" s="5" t="str">
        <x:v>Unternehmensführung</x:v>
      </x:c>
      <x:c r="E1372" s="5" t="str">
        <x:v>Unternehmensführung</x:v>
      </x:c>
      <x:c r="F1372" s="5" t="str">
        <x:v>ui-wq-0012</x:v>
      </x:c>
      <x:c r="G1372" s="5" t="str">
        <x:v>Personalentwicklung</x:v>
      </x:c>
      <x:c r="H1372" s="5" t="str">
        <x:v>dg-wq-0076</x:v>
      </x:c>
      <x:c r="I1372" s="5" t="str">
        <x:v>4.3.2</x:v>
      </x:c>
      <x:c r="J1372" s="5" t="str">
        <x:v>Potenzialanalyse</x:v>
      </x:c>
      <x:c r="K1372" s="5" t="str"/>
      <x:c r="L1372" s="5" t="str">
        <x:v>Potenzialanalyse &amp; Personalcontrolling</x:v>
      </x:c>
      <x:c r="M1372" s="5" t="n">
        <x:v>21</x:v>
      </x:c>
      <x:c r="N1372" s="5" t="n">
        <x:v>4</x:v>
      </x:c>
      <x:c r="O1372" s="5" t="str"/>
      <x:c r="P1372" s="5" t="str">
        <x:v>Zuordnungsvorschlag; Fachfreigabe ausstehend</x:v>
      </x:c>
      <x:c r="Q1372" s="5" t="str">
        <x:v>Bestehendes Lernthema fachlich unter passendem Rahmenplan-Unterbereich behalten</x:v>
      </x:c>
      <x:c r="R1372" s="5" t="str">
        <x:v>Nennen Sie mindestens drei wichtige Beurteilungskriterien für kaufmännische Angestellte und beschreiben Sie mindestens zwei zu vermeidende Beurteilungsfehler.</x:v>
      </x:c>
      <x:c r="S1372" s="5" t="str">
        <x:v>08f958a5cc25d5397b8e0a2964741f0ab5f9476f18e8f80d81e120c80d0fb862</x:v>
      </x:c>
    </x:row>
    <x:row r="1373" ht="36" customHeight="1">
      <x:c r="A1373" s="5" t="str">
        <x:v>UF-0162</x:v>
      </x:c>
      <x:c r="B1373" s="5" t="str">
        <x:v>WQ</x:v>
      </x:c>
      <x:c r="C1373" s="5" t="str">
        <x:v>4</x:v>
      </x:c>
      <x:c r="D1373" s="5" t="str">
        <x:v>Unternehmensführung</x:v>
      </x:c>
      <x:c r="E1373" s="5" t="str">
        <x:v>Unternehmensführung</x:v>
      </x:c>
      <x:c r="F1373" s="5" t="str">
        <x:v>ui-wq-0012</x:v>
      </x:c>
      <x:c r="G1373" s="5" t="str">
        <x:v>Personalentwicklung</x:v>
      </x:c>
      <x:c r="H1373" s="5" t="str">
        <x:v>dg-wq-0076</x:v>
      </x:c>
      <x:c r="I1373" s="5" t="str">
        <x:v>4.3.2</x:v>
      </x:c>
      <x:c r="J1373" s="5" t="str">
        <x:v>Potenzialanalyse</x:v>
      </x:c>
      <x:c r="K1373" s="5" t="str"/>
      <x:c r="L1373" s="5" t="str">
        <x:v>Potenzialanalyse &amp; Personalcontrolling</x:v>
      </x:c>
      <x:c r="M1373" s="5" t="n">
        <x:v>22</x:v>
      </x:c>
      <x:c r="N1373" s="5" t="n">
        <x:v>5</x:v>
      </x:c>
      <x:c r="O1373" s="5" t="str"/>
      <x:c r="P1373" s="5" t="str">
        <x:v>Zuordnungsvorschlag; Fachfreigabe ausstehend</x:v>
      </x:c>
      <x:c r="Q1373" s="5" t="str">
        <x:v>Bestehendes Lernthema fachlich unter passendem Rahmenplan-Unterbereich behalten</x:v>
      </x:c>
      <x:c r="R1373" s="5" t="str">
        <x:v>Nennen Sie mindestens drei mögliche Ursachen für eine geringe Identifikation der Beschäftigten mit dem Unternehmen und mindestens drei Maßnahmen, mit denen Potenziale besser genutzt und die Identifikation gestärkt werden können.</x:v>
      </x:c>
      <x:c r="S1373" s="5" t="str">
        <x:v>43f131fd41bf75a1699c971c7861aff0f738dbf38fd6ff3c563688a7dfc5cd32</x:v>
      </x:c>
    </x:row>
    <x:row r="1374" ht="36" customHeight="1">
      <x:c r="A1374" s="5" t="str">
        <x:v>UF-0163</x:v>
      </x:c>
      <x:c r="B1374" s="5" t="str">
        <x:v>WQ</x:v>
      </x:c>
      <x:c r="C1374" s="5" t="str">
        <x:v>4</x:v>
      </x:c>
      <x:c r="D1374" s="5" t="str">
        <x:v>Unternehmensführung</x:v>
      </x:c>
      <x:c r="E1374" s="5" t="str">
        <x:v>Unternehmensführung</x:v>
      </x:c>
      <x:c r="F1374" s="5" t="str">
        <x:v>ui-wq-0012</x:v>
      </x:c>
      <x:c r="G1374" s="5" t="str">
        <x:v>Personalentwicklung</x:v>
      </x:c>
      <x:c r="H1374" s="5" t="str">
        <x:v>dg-wq-0076</x:v>
      </x:c>
      <x:c r="I1374" s="5" t="str">
        <x:v>4.3.2</x:v>
      </x:c>
      <x:c r="J1374" s="5" t="str">
        <x:v>Potenzialanalyse</x:v>
      </x:c>
      <x:c r="K1374" s="5" t="str"/>
      <x:c r="L1374" s="5" t="str">
        <x:v>Potenzialanalyse &amp; Personalcontrolling</x:v>
      </x:c>
      <x:c r="M1374" s="5" t="n">
        <x:v>23</x:v>
      </x:c>
      <x:c r="N1374" s="5" t="n">
        <x:v>6</x:v>
      </x:c>
      <x:c r="O1374" s="5" t="str"/>
      <x:c r="P1374" s="5" t="str">
        <x:v>Zuordnungsvorschlag; Fachfreigabe ausstehend</x:v>
      </x:c>
      <x:c r="Q1374" s="5" t="str">
        <x:v>Bestehendes Lernthema fachlich unter passendem Rahmenplan-Unterbereich behalten</x:v>
      </x:c>
      <x:c r="R1374" s="5" t="str">
        <x:v>Nennen Sie mindestens fünf Aufgaben oder Methoden, die im Rahmen eines Assessment-Centers eingesetzt werden können.</x:v>
      </x:c>
      <x:c r="S1374" s="5" t="str">
        <x:v>6e911e5e5b8c74eb3a710839e033c66996ff1a117cd6c6403fe402baacb60eb2</x:v>
      </x:c>
    </x:row>
    <x:row r="1375" ht="36" customHeight="1">
      <x:c r="A1375" s="5" t="str">
        <x:v>UF-0164</x:v>
      </x:c>
      <x:c r="B1375" s="5" t="str">
        <x:v>WQ</x:v>
      </x:c>
      <x:c r="C1375" s="5" t="str">
        <x:v>4</x:v>
      </x:c>
      <x:c r="D1375" s="5" t="str">
        <x:v>Unternehmensführung</x:v>
      </x:c>
      <x:c r="E1375" s="5" t="str">
        <x:v>Unternehmensführung</x:v>
      </x:c>
      <x:c r="F1375" s="5" t="str">
        <x:v>ui-wq-0012</x:v>
      </x:c>
      <x:c r="G1375" s="5" t="str">
        <x:v>Personalentwicklung</x:v>
      </x:c>
      <x:c r="H1375" s="5" t="str">
        <x:v>dg-wq-0076</x:v>
      </x:c>
      <x:c r="I1375" s="5" t="str">
        <x:v>4.3.2</x:v>
      </x:c>
      <x:c r="J1375" s="5" t="str">
        <x:v>Potenzialanalyse</x:v>
      </x:c>
      <x:c r="K1375" s="5" t="str"/>
      <x:c r="L1375" s="5" t="str">
        <x:v>Potenzialanalyse &amp; Personalcontrolling</x:v>
      </x:c>
      <x:c r="M1375" s="5" t="n">
        <x:v>24</x:v>
      </x:c>
      <x:c r="N1375" s="5" t="n">
        <x:v>7</x:v>
      </x:c>
      <x:c r="O1375" s="5" t="str"/>
      <x:c r="P1375" s="5" t="str">
        <x:v>Zuordnungsvorschlag; Fachfreigabe ausstehend</x:v>
      </x:c>
      <x:c r="Q1375" s="5" t="str">
        <x:v>Bestehendes Lernthema fachlich unter passendem Rahmenplan-Unterbereich behalten</x:v>
      </x:c>
      <x:c r="R1375" s="5" t="str">
        <x:v>Entscheiden Sie, welche Aussagen zum Assessment-Center zutreffen.</x:v>
      </x:c>
      <x:c r="S1375" s="5" t="str">
        <x:v>97e27de7f5180710097b952cb523410f6657eda61d1aba04618a56bb410873f6</x:v>
      </x:c>
    </x:row>
    <x:row r="1376" ht="36" customHeight="1">
      <x:c r="A1376" s="5" t="str">
        <x:v>UF-0165</x:v>
      </x:c>
      <x:c r="B1376" s="5" t="str">
        <x:v>WQ</x:v>
      </x:c>
      <x:c r="C1376" s="5" t="str">
        <x:v>4</x:v>
      </x:c>
      <x:c r="D1376" s="5" t="str">
        <x:v>Unternehmensführung</x:v>
      </x:c>
      <x:c r="E1376" s="5" t="str">
        <x:v>Unternehmensführung</x:v>
      </x:c>
      <x:c r="F1376" s="5" t="str">
        <x:v>ui-wq-0012</x:v>
      </x:c>
      <x:c r="G1376" s="5" t="str">
        <x:v>Personalentwicklung</x:v>
      </x:c>
      <x:c r="H1376" s="5" t="str">
        <x:v>dg-wq-0076</x:v>
      </x:c>
      <x:c r="I1376" s="5" t="str">
        <x:v>4.3.2</x:v>
      </x:c>
      <x:c r="J1376" s="5" t="str">
        <x:v>Potenzialanalyse</x:v>
      </x:c>
      <x:c r="K1376" s="5" t="str"/>
      <x:c r="L1376" s="5" t="str">
        <x:v>Potenzialanalyse &amp; Personalcontrolling</x:v>
      </x:c>
      <x:c r="M1376" s="5" t="n">
        <x:v>25</x:v>
      </x:c>
      <x:c r="N1376" s="5" t="n">
        <x:v>8</x:v>
      </x:c>
      <x:c r="O1376" s="5" t="str"/>
      <x:c r="P1376" s="5" t="str">
        <x:v>Zuordnungsvorschlag; Fachfreigabe ausstehend</x:v>
      </x:c>
      <x:c r="Q1376" s="5" t="str">
        <x:v>Bestehendes Lernthema fachlich unter passendem Rahmenplan-Unterbereich behalten</x:v>
      </x:c>
      <x:c r="R1376" s="5" t="str">
        <x:v>Nennen Sie mindestens zwei Schlussfolgerungen für die Vorbereitung und Auswertung strukturierter Interviews.</x:v>
      </x:c>
      <x:c r="S1376" s="5" t="str">
        <x:v>6fbfd7ee840accfd8936d37d8abe3fb5ee0ad5ed2b06d4fd6901460d6c0a9097</x:v>
      </x:c>
    </x:row>
    <x:row r="1377" ht="36" customHeight="1">
      <x:c r="A1377" s="5" t="str">
        <x:v>UF-0166</x:v>
      </x:c>
      <x:c r="B1377" s="5" t="str">
        <x:v>WQ</x:v>
      </x:c>
      <x:c r="C1377" s="5" t="str">
        <x:v>4</x:v>
      </x:c>
      <x:c r="D1377" s="5" t="str">
        <x:v>Unternehmensführung</x:v>
      </x:c>
      <x:c r="E1377" s="5" t="str">
        <x:v>Unternehmensführung</x:v>
      </x:c>
      <x:c r="F1377" s="5" t="str">
        <x:v>ui-wq-0012</x:v>
      </x:c>
      <x:c r="G1377" s="5" t="str">
        <x:v>Personalentwicklung</x:v>
      </x:c>
      <x:c r="H1377" s="5" t="str">
        <x:v>dg-wq-0076</x:v>
      </x:c>
      <x:c r="I1377" s="5" t="str">
        <x:v>4.3.2</x:v>
      </x:c>
      <x:c r="J1377" s="5" t="str">
        <x:v>Potenzialanalyse</x:v>
      </x:c>
      <x:c r="K1377" s="5" t="str"/>
      <x:c r="L1377" s="5" t="str">
        <x:v>Potenzialanalyse &amp; Personalcontrolling</x:v>
      </x:c>
      <x:c r="M1377" s="5" t="n">
        <x:v>26</x:v>
      </x:c>
      <x:c r="N1377" s="5" t="n">
        <x:v>9</x:v>
      </x:c>
      <x:c r="O1377" s="5" t="str"/>
      <x:c r="P1377" s="5" t="str">
        <x:v>Zuordnungsvorschlag; Fachfreigabe ausstehend</x:v>
      </x:c>
      <x:c r="Q1377" s="5" t="str">
        <x:v>Bestehendes Lernthema fachlich unter passendem Rahmenplan-Unterbereich behalten</x:v>
      </x:c>
      <x:c r="R1377" s="5" t="str">
        <x:v>Ordnen Sie die Merkmale Vertrauenswürdigkeit, Sorgfalt, Arbeitsleistung, Teamfähigkeit, Kommunikationsfähigkeit und Belastbarkeit als Persönlichkeitsmerkmal oder Leistungsmerkmal ein.</x:v>
      </x:c>
      <x:c r="S1377" s="5" t="str">
        <x:v>60dd52a2bf14a0289125dd40cf2289ebeef6b8c40a516ff27e8debc8791c1489</x:v>
      </x:c>
    </x:row>
    <x:row r="1378" ht="36" customHeight="1">
      <x:c r="A1378" s="5" t="str">
        <x:v>UF-0167</x:v>
      </x:c>
      <x:c r="B1378" s="5" t="str">
        <x:v>WQ</x:v>
      </x:c>
      <x:c r="C1378" s="5" t="str">
        <x:v>4</x:v>
      </x:c>
      <x:c r="D1378" s="5" t="str">
        <x:v>Unternehmensführung</x:v>
      </x:c>
      <x:c r="E1378" s="5" t="str">
        <x:v>Unternehmensführung</x:v>
      </x:c>
      <x:c r="F1378" s="5" t="str">
        <x:v>ui-wq-0012</x:v>
      </x:c>
      <x:c r="G1378" s="5" t="str">
        <x:v>Personalentwicklung</x:v>
      </x:c>
      <x:c r="H1378" s="5" t="str">
        <x:v>dg-wq-0076</x:v>
      </x:c>
      <x:c r="I1378" s="5" t="str">
        <x:v>4.3.2</x:v>
      </x:c>
      <x:c r="J1378" s="5" t="str">
        <x:v>Potenzialanalyse</x:v>
      </x:c>
      <x:c r="K1378" s="5" t="str"/>
      <x:c r="L1378" s="5" t="str">
        <x:v>Potenzialanalyse &amp; Personalcontrolling</x:v>
      </x:c>
      <x:c r="M1378" s="5" t="n">
        <x:v>27</x:v>
      </x:c>
      <x:c r="N1378" s="5" t="n">
        <x:v>10</x:v>
      </x:c>
      <x:c r="O1378" s="5" t="str"/>
      <x:c r="P1378" s="5" t="str">
        <x:v>Zuordnungsvorschlag; Fachfreigabe ausstehend</x:v>
      </x:c>
      <x:c r="Q1378" s="5" t="str">
        <x:v>Bestehendes Lernthema fachlich unter passendem Rahmenplan-Unterbereich behalten</x:v>
      </x:c>
      <x:c r="R1378" s="5" t="str">
        <x:v>Beschreiben Sie die Aufgaben einer Führungskraft bei Beobachtung, Beschreibung und Bewertung im Rahmen eines Beurteilungsverfahrens.</x:v>
      </x:c>
      <x:c r="S1378" s="5" t="str">
        <x:v>6538d57e680061450659d5c221065c09af0f623bccb3d842e950f2e3d1b69e61</x:v>
      </x:c>
    </x:row>
    <x:row r="1379" ht="36" customHeight="1">
      <x:c r="A1379" s="5" t="str">
        <x:v>UF-0168</x:v>
      </x:c>
      <x:c r="B1379" s="5" t="str">
        <x:v>WQ</x:v>
      </x:c>
      <x:c r="C1379" s="5" t="str">
        <x:v>4</x:v>
      </x:c>
      <x:c r="D1379" s="5" t="str">
        <x:v>Unternehmensführung</x:v>
      </x:c>
      <x:c r="E1379" s="5" t="str">
        <x:v>Unternehmensführung</x:v>
      </x:c>
      <x:c r="F1379" s="5" t="str">
        <x:v>ui-wq-0012</x:v>
      </x:c>
      <x:c r="G1379" s="5" t="str">
        <x:v>Personalentwicklung</x:v>
      </x:c>
      <x:c r="H1379" s="5" t="str">
        <x:v>dg-wq-0076</x:v>
      </x:c>
      <x:c r="I1379" s="5" t="str">
        <x:v>4.3.2</x:v>
      </x:c>
      <x:c r="J1379" s="5" t="str">
        <x:v>Potenzialanalyse</x:v>
      </x:c>
      <x:c r="K1379" s="5" t="str"/>
      <x:c r="L1379" s="5" t="str">
        <x:v>Potenzialanalyse &amp; Personalcontrolling</x:v>
      </x:c>
      <x:c r="M1379" s="5" t="n">
        <x:v>28</x:v>
      </x:c>
      <x:c r="N1379" s="5" t="n">
        <x:v>11</x:v>
      </x:c>
      <x:c r="O1379" s="5" t="str"/>
      <x:c r="P1379" s="5" t="str">
        <x:v>Zuordnungsvorschlag; Fachfreigabe ausstehend</x:v>
      </x:c>
      <x:c r="Q1379" s="5" t="str">
        <x:v>Bestehendes Lernthema fachlich unter passendem Rahmenplan-Unterbereich behalten</x:v>
      </x:c>
      <x:c r="R1379" s="5" t="str">
        <x:v>Nennen Sie mindestens vier mögliche Erkenntnisse aus einer Potenzialanalyse.</x:v>
      </x:c>
      <x:c r="S1379" s="5" t="str">
        <x:v>080b7a9694500488a72a1fd7a4098ca70c6be685f9e8acf2002456e64bfadd56</x:v>
      </x:c>
    </x:row>
    <x:row r="1380" ht="36" customHeight="1">
      <x:c r="A1380" s="5" t="str">
        <x:v>UF-0169</x:v>
      </x:c>
      <x:c r="B1380" s="5" t="str">
        <x:v>WQ</x:v>
      </x:c>
      <x:c r="C1380" s="5" t="str">
        <x:v>4</x:v>
      </x:c>
      <x:c r="D1380" s="5" t="str">
        <x:v>Unternehmensführung</x:v>
      </x:c>
      <x:c r="E1380" s="5" t="str">
        <x:v>Unternehmensführung</x:v>
      </x:c>
      <x:c r="F1380" s="5" t="str">
        <x:v>ui-wq-0012</x:v>
      </x:c>
      <x:c r="G1380" s="5" t="str">
        <x:v>Personalentwicklung</x:v>
      </x:c>
      <x:c r="H1380" s="5" t="str">
        <x:v>dg-wq-0076</x:v>
      </x:c>
      <x:c r="I1380" s="5" t="str">
        <x:v>4.3.2</x:v>
      </x:c>
      <x:c r="J1380" s="5" t="str">
        <x:v>Potenzialanalyse</x:v>
      </x:c>
      <x:c r="K1380" s="5" t="str"/>
      <x:c r="L1380" s="5" t="str">
        <x:v>Potenzialanalyse &amp; Personalcontrolling</x:v>
      </x:c>
      <x:c r="M1380" s="5" t="n">
        <x:v>29</x:v>
      </x:c>
      <x:c r="N1380" s="5" t="n">
        <x:v>12</x:v>
      </x:c>
      <x:c r="O1380" s="5" t="str"/>
      <x:c r="P1380" s="5" t="str">
        <x:v>Zuordnungsvorschlag; Fachfreigabe ausstehend</x:v>
      </x:c>
      <x:c r="Q1380" s="5" t="str">
        <x:v>Bestehendes Lernthema fachlich unter passendem Rahmenplan-Unterbereich behalten</x:v>
      </x:c>
      <x:c r="R1380" s="5" t="str">
        <x:v>Beschreiben Sie die Vorgehensweise einer Führungskraft in einem Beurteilungsgespräch.</x:v>
      </x:c>
      <x:c r="S1380" s="5" t="str">
        <x:v>a48e7e97376a1128371f541bdf0553dd48c9e26f76a0243429c338d921f30600</x:v>
      </x:c>
    </x:row>
    <x:row r="1381" ht="36" customHeight="1">
      <x:c r="A1381" s="5" t="str">
        <x:v>UF-0170</x:v>
      </x:c>
      <x:c r="B1381" s="5" t="str">
        <x:v>WQ</x:v>
      </x:c>
      <x:c r="C1381" s="5" t="str">
        <x:v>4</x:v>
      </x:c>
      <x:c r="D1381" s="5" t="str">
        <x:v>Unternehmensführung</x:v>
      </x:c>
      <x:c r="E1381" s="5" t="str">
        <x:v>Unternehmensführung</x:v>
      </x:c>
      <x:c r="F1381" s="5" t="str">
        <x:v>ui-wq-0012</x:v>
      </x:c>
      <x:c r="G1381" s="5" t="str">
        <x:v>Personalentwicklung</x:v>
      </x:c>
      <x:c r="H1381" s="5" t="str">
        <x:v>dg-wq-0076</x:v>
      </x:c>
      <x:c r="I1381" s="5" t="str">
        <x:v>4.3.2</x:v>
      </x:c>
      <x:c r="J1381" s="5" t="str">
        <x:v>Potenzialanalyse</x:v>
      </x:c>
      <x:c r="K1381" s="5" t="str"/>
      <x:c r="L1381" s="5" t="str">
        <x:v>Potenzialanalyse &amp; Personalcontrolling</x:v>
      </x:c>
      <x:c r="M1381" s="5" t="n">
        <x:v>30</x:v>
      </x:c>
      <x:c r="N1381" s="5" t="n">
        <x:v>13</x:v>
      </x:c>
      <x:c r="O1381" s="5" t="str"/>
      <x:c r="P1381" s="5" t="str">
        <x:v>Zuordnungsvorschlag; Fachfreigabe ausstehend</x:v>
      </x:c>
      <x:c r="Q1381" s="5" t="str">
        <x:v>Bestehendes Lernthema fachlich unter passendem Rahmenplan-Unterbereich behalten</x:v>
      </x:c>
      <x:c r="R1381" s="5" t="str">
        <x:v>Nennen Sie mindestens zwei typische Beurteilungsfehler und erklären Sie, wie diese eine faire Bewertung verhindern können.</x:v>
      </x:c>
      <x:c r="S1381" s="5" t="str">
        <x:v>5d6d2c2a15d70aa5bd29b1d44b4a605c2aa91817d455ac6a64469f753a956e2f</x:v>
      </x:c>
    </x:row>
    <x:row r="1382" ht="36" customHeight="1">
      <x:c r="A1382" s="5" t="str">
        <x:v>UF-0171</x:v>
      </x:c>
      <x:c r="B1382" s="5" t="str">
        <x:v>WQ</x:v>
      </x:c>
      <x:c r="C1382" s="5" t="str">
        <x:v>4</x:v>
      </x:c>
      <x:c r="D1382" s="5" t="str">
        <x:v>Unternehmensführung</x:v>
      </x:c>
      <x:c r="E1382" s="5" t="str">
        <x:v>Unternehmensführung</x:v>
      </x:c>
      <x:c r="F1382" s="5" t="str">
        <x:v>ui-wq-0012</x:v>
      </x:c>
      <x:c r="G1382" s="5" t="str">
        <x:v>Personalentwicklung</x:v>
      </x:c>
      <x:c r="H1382" s="5" t="str">
        <x:v>dg-wq-0076</x:v>
      </x:c>
      <x:c r="I1382" s="5" t="str">
        <x:v>4.3.2</x:v>
      </x:c>
      <x:c r="J1382" s="5" t="str">
        <x:v>Potenzialanalyse</x:v>
      </x:c>
      <x:c r="K1382" s="5" t="str"/>
      <x:c r="L1382" s="5" t="str">
        <x:v>Potenzialanalyse &amp; Personalcontrolling</x:v>
      </x:c>
      <x:c r="M1382" s="5" t="n">
        <x:v>31</x:v>
      </x:c>
      <x:c r="N1382" s="5" t="n">
        <x:v>14</x:v>
      </x:c>
      <x:c r="O1382" s="5" t="str"/>
      <x:c r="P1382" s="5" t="str">
        <x:v>Zuordnungsvorschlag; Fachfreigabe ausstehend</x:v>
      </x:c>
      <x:c r="Q1382" s="5" t="str">
        <x:v>Bestehendes Lernthema fachlich unter passendem Rahmenplan-Unterbereich behalten</x:v>
      </x:c>
      <x:c r="R1382" s="5" t="str">
        <x:v>Nennen Sie mindestens zwei Maßnahmen, die in einem Beurteilungsgespräch zur persönlichen Weiterentwicklung vereinbart werden können.</x:v>
      </x:c>
      <x:c r="S1382" s="5" t="str">
        <x:v>a0244076de25ab5e9287b86b14d3fc3850d16f74a71f0376773a44330e9b65f6</x:v>
      </x:c>
    </x:row>
    <x:row r="1383" ht="36" customHeight="1">
      <x:c r="A1383" s="5" t="str">
        <x:v>UF-0172</x:v>
      </x:c>
      <x:c r="B1383" s="5" t="str">
        <x:v>WQ</x:v>
      </x:c>
      <x:c r="C1383" s="5" t="str">
        <x:v>4</x:v>
      </x:c>
      <x:c r="D1383" s="5" t="str">
        <x:v>Unternehmensführung</x:v>
      </x:c>
      <x:c r="E1383" s="5" t="str">
        <x:v>Unternehmensführung</x:v>
      </x:c>
      <x:c r="F1383" s="5" t="str">
        <x:v>ui-wq-0012</x:v>
      </x:c>
      <x:c r="G1383" s="5" t="str">
        <x:v>Personalentwicklung</x:v>
      </x:c>
      <x:c r="H1383" s="5" t="str">
        <x:v>dg-wq-0076</x:v>
      </x:c>
      <x:c r="I1383" s="5" t="str">
        <x:v>4.3.2</x:v>
      </x:c>
      <x:c r="J1383" s="5" t="str">
        <x:v>Potenzialanalyse</x:v>
      </x:c>
      <x:c r="K1383" s="5" t="str"/>
      <x:c r="L1383" s="5" t="str">
        <x:v>Potenzialanalyse &amp; Personalcontrolling</x:v>
      </x:c>
      <x:c r="M1383" s="5" t="n">
        <x:v>32</x:v>
      </x:c>
      <x:c r="N1383" s="5" t="n">
        <x:v>15</x:v>
      </x:c>
      <x:c r="O1383" s="5" t="str"/>
      <x:c r="P1383" s="5" t="str">
        <x:v>Zuordnungsvorschlag; Fachfreigabe ausstehend</x:v>
      </x:c>
      <x:c r="Q1383" s="5" t="str">
        <x:v>Bestehendes Lernthema fachlich unter passendem Rahmenplan-Unterbereich behalten</x:v>
      </x:c>
      <x:c r="R1383" s="5" t="str">
        <x:v>Entscheiden Sie, welche Aussagen zur Delegation zutreffen. Ausgangslage: Ein Mitarbeiter erhält im Rahmen eines Beurteilungsgesprächs Gelegenheit, einige Aufgaben delegiert zu bekommen.</x:v>
      </x:c>
      <x:c r="S1383" s="5" t="str">
        <x:v>b4b7199345a15e32188ad099047d4130d45e0c94cc571d70a43923ff27d6c13a</x:v>
      </x:c>
    </x:row>
    <x:row r="1384" ht="36" customHeight="1">
      <x:c r="A1384" s="5" t="str">
        <x:v>UF-0173</x:v>
      </x:c>
      <x:c r="B1384" s="5" t="str">
        <x:v>WQ</x:v>
      </x:c>
      <x:c r="C1384" s="5" t="str">
        <x:v>4</x:v>
      </x:c>
      <x:c r="D1384" s="5" t="str">
        <x:v>Unternehmensführung</x:v>
      </x:c>
      <x:c r="E1384" s="5" t="str">
        <x:v>Unternehmensführung</x:v>
      </x:c>
      <x:c r="F1384" s="5" t="str">
        <x:v>ui-wq-0012</x:v>
      </x:c>
      <x:c r="G1384" s="5" t="str">
        <x:v>Personalentwicklung</x:v>
      </x:c>
      <x:c r="H1384" s="5" t="str">
        <x:v>dg-wq-0076</x:v>
      </x:c>
      <x:c r="I1384" s="5" t="str">
        <x:v>4.3.2</x:v>
      </x:c>
      <x:c r="J1384" s="5" t="str">
        <x:v>Potenzialanalyse</x:v>
      </x:c>
      <x:c r="K1384" s="5" t="str"/>
      <x:c r="L1384" s="5" t="str">
        <x:v>Potenzialanalyse &amp; Personalcontrolling</x:v>
      </x:c>
      <x:c r="M1384" s="5" t="n">
        <x:v>33</x:v>
      </x:c>
      <x:c r="N1384" s="5" t="n">
        <x:v>16</x:v>
      </x:c>
      <x:c r="O1384" s="5" t="str"/>
      <x:c r="P1384" s="5" t="str">
        <x:v>Zuordnungsvorschlag; Fachfreigabe ausstehend</x:v>
      </x:c>
      <x:c r="Q1384" s="5" t="str">
        <x:v>Bestehendes Lernthema fachlich unter passendem Rahmenplan-Unterbereich behalten</x:v>
      </x:c>
      <x:c r="R1384" s="5" t="str">
        <x:v>Nennen Sie mindestens fünf rechtssichere Beurteilungskriterien, die bei der Entscheidung über die Übernahme befristet Beschäftigter verwendet werden können.</x:v>
      </x:c>
      <x:c r="S1384" s="5" t="str">
        <x:v>55f9ee368dccfd45fb6da7c9eccf6bddcd4cd0d2c49279aa79399e640cef59b2</x:v>
      </x:c>
    </x:row>
    <x:row r="1385" ht="36" customHeight="1">
      <x:c r="A1385" s="5" t="str">
        <x:v>UF-0174</x:v>
      </x:c>
      <x:c r="B1385" s="5" t="str">
        <x:v>WQ</x:v>
      </x:c>
      <x:c r="C1385" s="5" t="str">
        <x:v>4</x:v>
      </x:c>
      <x:c r="D1385" s="5" t="str">
        <x:v>Unternehmensführung</x:v>
      </x:c>
      <x:c r="E1385" s="5" t="str">
        <x:v>Unternehmensführung</x:v>
      </x:c>
      <x:c r="F1385" s="5" t="str">
        <x:v>ui-wq-0012</x:v>
      </x:c>
      <x:c r="G1385" s="5" t="str">
        <x:v>Personalentwicklung</x:v>
      </x:c>
      <x:c r="H1385" s="5" t="str">
        <x:v>dg-wq-0077</x:v>
      </x:c>
      <x:c r="I1385" s="5" t="str">
        <x:v>4.3.3</x:v>
      </x:c>
      <x:c r="J1385" s="5" t="str">
        <x:v>Kosten- und Nutzenanalyse der Personalentwicklung</x:v>
      </x:c>
      <x:c r="K1385" s="5" t="str"/>
      <x:c r="L1385" s="5" t="str">
        <x:v>Potenzialanalyse &amp; Personalcontrolling</x:v>
      </x:c>
      <x:c r="M1385" s="5" t="n">
        <x:v>34</x:v>
      </x:c>
      <x:c r="N1385" s="5" t="n">
        <x:v>1</x:v>
      </x:c>
      <x:c r="O1385" s="5" t="str"/>
      <x:c r="P1385" s="5" t="str">
        <x:v>Zuordnungsvorschlag; Fachfreigabe ausstehend</x:v>
      </x:c>
      <x:c r="Q1385" s="5" t="str">
        <x:v>Frageinhalt präzisiert bzw. teilt bisheriges Sammelthema</x:v>
      </x:c>
      <x:c r="R1385" s="5" t="str">
        <x:v>Nennen Sie mindestens zwei Indikatoren für die Bewertung des Nutzens von Personalentwicklungsmaßnahmen und beschreiben Sie zwei Möglichkeiten, den Nutzen messbar zu machen.</x:v>
      </x:c>
      <x:c r="S1385" s="5" t="str">
        <x:v>7b86757346040eea4ee6964c02270e61390bf8ec34d8a8bf8abaf202231b8158</x:v>
      </x:c>
    </x:row>
    <x:row r="1386" ht="36" customHeight="1">
      <x:c r="A1386" s="5" t="str">
        <x:v>UF-0175</x:v>
      </x:c>
      <x:c r="B1386" s="5" t="str">
        <x:v>WQ</x:v>
      </x:c>
      <x:c r="C1386" s="5" t="str">
        <x:v>4</x:v>
      </x:c>
      <x:c r="D1386" s="5" t="str">
        <x:v>Unternehmensführung</x:v>
      </x:c>
      <x:c r="E1386" s="5" t="str">
        <x:v>Unternehmensführung</x:v>
      </x:c>
      <x:c r="F1386" s="5" t="str">
        <x:v>ui-wq-0012</x:v>
      </x:c>
      <x:c r="G1386" s="5" t="str">
        <x:v>Personalentwicklung</x:v>
      </x:c>
      <x:c r="H1386" s="5" t="str">
        <x:v>dg-wq-0076</x:v>
      </x:c>
      <x:c r="I1386" s="5" t="str">
        <x:v>4.3.2</x:v>
      </x:c>
      <x:c r="J1386" s="5" t="str">
        <x:v>Potenzialanalyse</x:v>
      </x:c>
      <x:c r="K1386" s="5" t="str"/>
      <x:c r="L1386" s="5" t="str">
        <x:v>Potenzialanalyse &amp; Personalcontrolling</x:v>
      </x:c>
      <x:c r="M1386" s="5" t="n">
        <x:v>35</x:v>
      </x:c>
      <x:c r="N1386" s="5" t="n">
        <x:v>17</x:v>
      </x:c>
      <x:c r="O1386" s="5" t="str"/>
      <x:c r="P1386" s="5" t="str">
        <x:v>Zuordnungsvorschlag; Fachfreigabe ausstehend</x:v>
      </x:c>
      <x:c r="Q1386" s="5" t="str">
        <x:v>Bestehendes Lernthema fachlich unter passendem Rahmenplan-Unterbereich behalten</x:v>
      </x:c>
      <x:c r="R1386" s="5" t="str">
        <x:v>Nennen Sie mindestens drei Kostenarten, die bei einem systematischen Onboarding-Prozess entstehen können.</x:v>
      </x:c>
      <x:c r="S1386" s="5" t="str">
        <x:v>5708369efeb480f4c708823d7a2cc5a0f6aa8c5e330f65e277eec09f85f423b2</x:v>
      </x:c>
    </x:row>
    <x:row r="1387" ht="36" customHeight="1">
      <x:c r="A1387" s="5" t="str">
        <x:v>UF-0176</x:v>
      </x:c>
      <x:c r="B1387" s="5" t="str">
        <x:v>WQ</x:v>
      </x:c>
      <x:c r="C1387" s="5" t="str">
        <x:v>4</x:v>
      </x:c>
      <x:c r="D1387" s="5" t="str">
        <x:v>Unternehmensführung</x:v>
      </x:c>
      <x:c r="E1387" s="5" t="str">
        <x:v>Unternehmensführung</x:v>
      </x:c>
      <x:c r="F1387" s="5" t="str">
        <x:v>ui-wq-0012</x:v>
      </x:c>
      <x:c r="G1387" s="5" t="str">
        <x:v>Personalentwicklung</x:v>
      </x:c>
      <x:c r="H1387" s="5" t="str">
        <x:v>dg-wq-0076</x:v>
      </x:c>
      <x:c r="I1387" s="5" t="str">
        <x:v>4.3.2</x:v>
      </x:c>
      <x:c r="J1387" s="5" t="str">
        <x:v>Potenzialanalyse</x:v>
      </x:c>
      <x:c r="K1387" s="5" t="str"/>
      <x:c r="L1387" s="5" t="str">
        <x:v>Potenzialanalyse &amp; Personalcontrolling</x:v>
      </x:c>
      <x:c r="M1387" s="5" t="n">
        <x:v>36</x:v>
      </x:c>
      <x:c r="N1387" s="5" t="n">
        <x:v>18</x:v>
      </x:c>
      <x:c r="O1387" s="5" t="str"/>
      <x:c r="P1387" s="5" t="str">
        <x:v>Zuordnungsvorschlag; Fachfreigabe ausstehend</x:v>
      </x:c>
      <x:c r="Q1387" s="5" t="str">
        <x:v>Bestehendes Lernthema fachlich unter passendem Rahmenplan-Unterbereich behalten</x:v>
      </x:c>
      <x:c r="R1387" s="5" t="str">
        <x:v>Nennen Sie mindestens drei Schulungsmöglichkeiten für die Einführung eines neuen ERP-Systems und mindestens drei Kosten- oder Nutzenaspekte, die bei der Auswahl berücksichtigt werden sollten.</x:v>
      </x:c>
      <x:c r="S1387" s="5" t="str">
        <x:v>caee1837abc4160d79f8df1bd7b32101a40a21f3e781c9df14255996aa4d608c</x:v>
      </x:c>
    </x:row>
    <x:row r="1388" ht="36" customHeight="1">
      <x:c r="A1388" s="5" t="str">
        <x:v>UF-0177</x:v>
      </x:c>
      <x:c r="B1388" s="5" t="str">
        <x:v>WQ</x:v>
      </x:c>
      <x:c r="C1388" s="5" t="str">
        <x:v>4</x:v>
      </x:c>
      <x:c r="D1388" s="5" t="str">
        <x:v>Unternehmensführung</x:v>
      </x:c>
      <x:c r="E1388" s="5" t="str">
        <x:v>Unternehmensführung</x:v>
      </x:c>
      <x:c r="F1388" s="5" t="str">
        <x:v>ui-wq-0012</x:v>
      </x:c>
      <x:c r="G1388" s="5" t="str">
        <x:v>Personalentwicklung</x:v>
      </x:c>
      <x:c r="H1388" s="5" t="str">
        <x:v>dg-wq-0076</x:v>
      </x:c>
      <x:c r="I1388" s="5" t="str">
        <x:v>4.3.2</x:v>
      </x:c>
      <x:c r="J1388" s="5" t="str">
        <x:v>Potenzialanalyse</x:v>
      </x:c>
      <x:c r="K1388" s="5" t="str"/>
      <x:c r="L1388" s="5" t="str">
        <x:v>Potenzialanalyse &amp; Personalcontrolling</x:v>
      </x:c>
      <x:c r="M1388" s="5" t="n">
        <x:v>37</x:v>
      </x:c>
      <x:c r="N1388" s="5" t="n">
        <x:v>19</x:v>
      </x:c>
      <x:c r="O1388" s="5" t="str"/>
      <x:c r="P1388" s="5" t="str">
        <x:v>Zuordnungsvorschlag; Fachfreigabe ausstehend</x:v>
      </x:c>
      <x:c r="Q1388" s="5" t="str">
        <x:v>Bestehendes Lernthema fachlich unter passendem Rahmenplan-Unterbereich behalten</x:v>
      </x:c>
      <x:c r="R1388" s="5" t="str">
        <x:v>Nennen Sie mindestens fünf Vorschläge zur Erfolgskontrolle von Weiterbildungsmaßnahmen.</x:v>
      </x:c>
      <x:c r="S1388" s="5" t="str">
        <x:v>695d4c8d2942eecd3a0a99dacfaec1a56e070cf84faee0025d3585ba6e502f3a</x:v>
      </x:c>
    </x:row>
    <x:row r="1389" ht="36" customHeight="1">
      <x:c r="A1389" s="5" t="str">
        <x:v>UF-0178</x:v>
      </x:c>
      <x:c r="B1389" s="5" t="str">
        <x:v>WQ</x:v>
      </x:c>
      <x:c r="C1389" s="5" t="str">
        <x:v>4</x:v>
      </x:c>
      <x:c r="D1389" s="5" t="str">
        <x:v>Unternehmensführung</x:v>
      </x:c>
      <x:c r="E1389" s="5" t="str">
        <x:v>Unternehmensführung</x:v>
      </x:c>
      <x:c r="F1389" s="5" t="str">
        <x:v>ui-wq-0012</x:v>
      </x:c>
      <x:c r="G1389" s="5" t="str">
        <x:v>Personalentwicklung</x:v>
      </x:c>
      <x:c r="H1389" s="5" t="str">
        <x:v>dg-wq-0076</x:v>
      </x:c>
      <x:c r="I1389" s="5" t="str">
        <x:v>4.3.2</x:v>
      </x:c>
      <x:c r="J1389" s="5" t="str">
        <x:v>Potenzialanalyse</x:v>
      </x:c>
      <x:c r="K1389" s="5" t="str"/>
      <x:c r="L1389" s="5" t="str">
        <x:v>Potenzialanalyse &amp; Personalcontrolling</x:v>
      </x:c>
      <x:c r="M1389" s="5" t="n">
        <x:v>38</x:v>
      </x:c>
      <x:c r="N1389" s="5" t="n">
        <x:v>20</x:v>
      </x:c>
      <x:c r="O1389" s="5" t="str"/>
      <x:c r="P1389" s="5" t="str">
        <x:v>Zuordnungsvorschlag; Fachfreigabe ausstehend</x:v>
      </x:c>
      <x:c r="Q1389" s="5" t="str">
        <x:v>Bestehendes Lernthema fachlich unter passendem Rahmenplan-Unterbereich behalten</x:v>
      </x:c>
      <x:c r="R1389" s="5" t="str">
        <x:v>Beschreiben Sie zwei Methoden, mit denen der Erfolg einer Erfahrungs- und Wissensplattform nach einem Jahr bewertet werden kann.</x:v>
      </x:c>
      <x:c r="S1389" s="5" t="str">
        <x:v>da1bb9c9b19523355f60f1ce744d02e2f5e4de6114896a5861a8804fdcf9a915</x:v>
      </x:c>
    </x:row>
    <x:row r="1390" ht="36" customHeight="1">
      <x:c r="A1390" s="5" t="str">
        <x:v>UF-0179</x:v>
      </x:c>
      <x:c r="B1390" s="5" t="str">
        <x:v>WQ</x:v>
      </x:c>
      <x:c r="C1390" s="5" t="str">
        <x:v>4</x:v>
      </x:c>
      <x:c r="D1390" s="5" t="str">
        <x:v>Unternehmensführung</x:v>
      </x:c>
      <x:c r="E1390" s="5" t="str">
        <x:v>Unternehmensführung</x:v>
      </x:c>
      <x:c r="F1390" s="5" t="str">
        <x:v>ui-wq-0012</x:v>
      </x:c>
      <x:c r="G1390" s="5" t="str">
        <x:v>Personalentwicklung</x:v>
      </x:c>
      <x:c r="H1390" s="5" t="str">
        <x:v>dg-wq-0076</x:v>
      </x:c>
      <x:c r="I1390" s="5" t="str">
        <x:v>4.3.2</x:v>
      </x:c>
      <x:c r="J1390" s="5" t="str">
        <x:v>Potenzialanalyse</x:v>
      </x:c>
      <x:c r="K1390" s="5" t="str"/>
      <x:c r="L1390" s="5" t="str">
        <x:v>Potenzialanalyse &amp; Personalcontrolling</x:v>
      </x:c>
      <x:c r="M1390" s="5" t="n">
        <x:v>39</x:v>
      </x:c>
      <x:c r="N1390" s="5" t="n">
        <x:v>21</x:v>
      </x:c>
      <x:c r="O1390" s="5" t="str"/>
      <x:c r="P1390" s="5" t="str">
        <x:v>Zuordnungsvorschlag; Fachfreigabe ausstehend</x:v>
      </x:c>
      <x:c r="Q1390" s="5" t="str">
        <x:v>Bestehendes Lernthema fachlich unter passendem Rahmenplan-Unterbereich behalten</x:v>
      </x:c>
      <x:c r="R1390" s="5" t="str">
        <x:v>Nennen Sie mindestens drei Indikatoren, an denen der Erfolg einer Wissensplattform erkannt werden kann.</x:v>
      </x:c>
      <x:c r="S1390" s="5" t="str">
        <x:v>c27c5c7f3210d940d38b61c9127181e7f88e189059c1df220793c93c76c594ed</x:v>
      </x:c>
    </x:row>
    <x:row r="1391" ht="36" customHeight="1">
      <x:c r="A1391" s="5" t="str">
        <x:v>UF-0180</x:v>
      </x:c>
      <x:c r="B1391" s="5" t="str">
        <x:v>WQ</x:v>
      </x:c>
      <x:c r="C1391" s="5" t="str">
        <x:v>4</x:v>
      </x:c>
      <x:c r="D1391" s="5" t="str">
        <x:v>Unternehmensführung</x:v>
      </x:c>
      <x:c r="E1391" s="5" t="str">
        <x:v>Unternehmensführung</x:v>
      </x:c>
      <x:c r="F1391" s="5" t="str">
        <x:v>ui-wq-0012</x:v>
      </x:c>
      <x:c r="G1391" s="5" t="str">
        <x:v>Personalentwicklung</x:v>
      </x:c>
      <x:c r="H1391" s="5" t="str">
        <x:v>dg-wq-0076</x:v>
      </x:c>
      <x:c r="I1391" s="5" t="str">
        <x:v>4.3.2</x:v>
      </x:c>
      <x:c r="J1391" s="5" t="str">
        <x:v>Potenzialanalyse</x:v>
      </x:c>
      <x:c r="K1391" s="5" t="str"/>
      <x:c r="L1391" s="5" t="str">
        <x:v>Potenzialanalyse &amp; Personalcontrolling</x:v>
      </x:c>
      <x:c r="M1391" s="5" t="n">
        <x:v>40</x:v>
      </x:c>
      <x:c r="N1391" s="5" t="n">
        <x:v>22</x:v>
      </x:c>
      <x:c r="O1391" s="5" t="str"/>
      <x:c r="P1391" s="5" t="str">
        <x:v>Zuordnungsvorschlag; Fachfreigabe ausstehend</x:v>
      </x:c>
      <x:c r="Q1391" s="5" t="str">
        <x:v>Bestehendes Lernthema fachlich unter passendem Rahmenplan-Unterbereich behalten</x:v>
      </x:c>
      <x:c r="R1391" s="5" t="str">
        <x:v>Beschreiben Sie das Benchmarking im Bereich Personalentwicklung in mindestens sechs nachvollziehbaren Schritten.</x:v>
      </x:c>
      <x:c r="S1391" s="5" t="str">
        <x:v>17abd8cba2a910cd41aa588cb89958ba57799392a2b7df25ecfa10b2d7e9eed1</x:v>
      </x:c>
    </x:row>
    <x:row r="1392" ht="36" customHeight="1">
      <x:c r="A1392" s="5" t="str">
        <x:v>UF-0181</x:v>
      </x:c>
      <x:c r="B1392" s="5" t="str">
        <x:v>WQ</x:v>
      </x:c>
      <x:c r="C1392" s="5" t="str">
        <x:v>4</x:v>
      </x:c>
      <x:c r="D1392" s="5" t="str">
        <x:v>Unternehmensführung</x:v>
      </x:c>
      <x:c r="E1392" s="5" t="str">
        <x:v>Unternehmensführung</x:v>
      </x:c>
      <x:c r="F1392" s="5" t="str">
        <x:v>ui-wq-0012</x:v>
      </x:c>
      <x:c r="G1392" s="5" t="str">
        <x:v>Personalentwicklung</x:v>
      </x:c>
      <x:c r="H1392" s="5" t="str">
        <x:v>dg-wq-0070</x:v>
      </x:c>
      <x:c r="I1392" s="5" t="str">
        <x:v>4.3.1</x:v>
      </x:c>
      <x:c r="J1392" s="5" t="str">
        <x:v>Arten</x:v>
      </x:c>
      <x:c r="K1392" s="5" t="str"/>
      <x:c r="L1392" s="5" t="str">
        <x:v>Arten der Personalentwicklung</x:v>
      </x:c>
      <x:c r="M1392" s="5" t="n">
        <x:v>41</x:v>
      </x:c>
      <x:c r="N1392" s="5" t="n">
        <x:v>18</x:v>
      </x:c>
      <x:c r="O1392" s="5" t="str"/>
      <x:c r="P1392" s="5" t="str">
        <x:v>Zuordnungsvorschlag; Fachfreigabe ausstehend</x:v>
      </x:c>
      <x:c r="Q1392" s="5" t="str">
        <x:v>Bestehendes Lernthema fachlich unter passendem Rahmenplan-Unterbereich behalten</x:v>
      </x:c>
      <x:c r="R1392" s="5" t="str">
        <x:v>Nennen Sie mindestens fünf Fragen, die bei der Auswahl eines Bildungspartners für die systematische Personalentwicklung gestellt werden sollten.</x:v>
      </x:c>
      <x:c r="S1392" s="5" t="str">
        <x:v>fbc19a934c43387e8c306a5e46fb7eecb1d6f381f81ffe10ffb4494bd418139e</x:v>
      </x:c>
    </x:row>
    <x:row r="1393" ht="36" customHeight="1">
      <x:c r="A1393" s="5" t="str">
        <x:v>UF-0182</x:v>
      </x:c>
      <x:c r="B1393" s="5" t="str">
        <x:v>WQ</x:v>
      </x:c>
      <x:c r="C1393" s="5" t="str">
        <x:v>4</x:v>
      </x:c>
      <x:c r="D1393" s="5" t="str">
        <x:v>Unternehmensführung</x:v>
      </x:c>
      <x:c r="E1393" s="5" t="str">
        <x:v>Unternehmensführung</x:v>
      </x:c>
      <x:c r="F1393" s="5" t="str">
        <x:v>ui-wq-0010</x:v>
      </x:c>
      <x:c r="G1393" s="5" t="str">
        <x:v>Betriebsorganisation</x:v>
      </x:c>
      <x:c r="H1393" s="5" t="str">
        <x:v>dg-wq-0067</x:v>
      </x:c>
      <x:c r="I1393" s="5" t="str">
        <x:v>4.1.3</x:v>
      </x:c>
      <x:c r="J1393" s="5" t="str">
        <x:v>Aufbauorganisation</x:v>
      </x:c>
      <x:c r="K1393" s="5" t="str"/>
      <x:c r="L1393" s="5" t="str">
        <x:v>Integrierte Managementsysteme &amp; KVP</x:v>
      </x:c>
      <x:c r="M1393" s="5" t="n">
        <x:v>83</x:v>
      </x:c>
      <x:c r="N1393" s="5" t="n">
        <x:v>37</x:v>
      </x:c>
      <x:c r="O1393" s="5" t="str"/>
      <x:c r="P1393" s="5" t="str">
        <x:v>Zuordnungsvorschlag; Fachfreigabe ausstehend</x:v>
      </x:c>
      <x:c r="Q1393" s="5" t="str">
        <x:v>Bestehendes Lernthema fachlich unter passendem Rahmenplan-Unterbereich behalten</x:v>
      </x:c>
      <x:c r="R1393" s="5" t="str">
        <x:v>Erläutern Sie drei typische Managementbereiche, die in einem integrierten Managementsystem zusammengeführt werden können, und nennen Sie zwei Vorteile der Integration.</x:v>
      </x:c>
      <x:c r="S1393" s="5" t="str">
        <x:v>e691d4683b960fe4f1d72a7b0e1de78716e66024652a49401179351b3ca3969b</x:v>
      </x:c>
    </x:row>
    <x:row r="1394" ht="36" customHeight="1">
      <x:c r="A1394" s="5" t="str">
        <x:v>UF-0183</x:v>
      </x:c>
      <x:c r="B1394" s="5" t="str">
        <x:v>WQ</x:v>
      </x:c>
      <x:c r="C1394" s="5" t="str">
        <x:v>4</x:v>
      </x:c>
      <x:c r="D1394" s="5" t="str">
        <x:v>Unternehmensführung</x:v>
      </x:c>
      <x:c r="E1394" s="5" t="str">
        <x:v>Unternehmensführung</x:v>
      </x:c>
      <x:c r="F1394" s="5" t="str">
        <x:v>ui-wq-0010</x:v>
      </x:c>
      <x:c r="G1394" s="5" t="str">
        <x:v>Betriebsorganisation</x:v>
      </x:c>
      <x:c r="H1394" s="5" t="str">
        <x:v>dg-wq-0067</x:v>
      </x:c>
      <x:c r="I1394" s="5" t="str">
        <x:v>4.1.3</x:v>
      </x:c>
      <x:c r="J1394" s="5" t="str">
        <x:v>Aufbauorganisation</x:v>
      </x:c>
      <x:c r="K1394" s="5" t="str"/>
      <x:c r="L1394" s="5" t="str">
        <x:v>Aufbau- &amp; Ablauforganisation</x:v>
      </x:c>
      <x:c r="M1394" s="5" t="n">
        <x:v>84</x:v>
      </x:c>
      <x:c r="N1394" s="5" t="n">
        <x:v>38</x:v>
      </x:c>
      <x:c r="O1394" s="5" t="str"/>
      <x:c r="P1394" s="5" t="str">
        <x:v>Zuordnungsvorschlag; Fachfreigabe ausstehend</x:v>
      </x:c>
      <x:c r="Q1394" s="5" t="str">
        <x:v>Bestehendes Lernthema fachlich unter passendem Rahmenplan-Unterbereich behalten</x:v>
      </x:c>
      <x:c r="R1394" s="5" t="str">
        <x:v>Unterscheiden Sie Costcenter, Profitcenter und Investmentcenter nach dem Umfang ihrer wirtschaftlichen Verantwortung.</x:v>
      </x:c>
      <x:c r="S1394" s="5" t="str">
        <x:v>f7ee210fdf7dd843dbe5179e2943fae2a6357fcad5d12a849701c0d96c3c40b1</x:v>
      </x:c>
    </x:row>
    <x:row r="1395" ht="36" customHeight="1">
      <x:c r="A1395" s="5" t="str">
        <x:v>UF-0184</x:v>
      </x:c>
      <x:c r="B1395" s="5" t="str">
        <x:v>WQ</x:v>
      </x:c>
      <x:c r="C1395" s="5" t="str">
        <x:v>4</x:v>
      </x:c>
      <x:c r="D1395" s="5" t="str">
        <x:v>Unternehmensführung</x:v>
      </x:c>
      <x:c r="E1395" s="5" t="str">
        <x:v>Unternehmensführung</x:v>
      </x:c>
      <x:c r="F1395" s="5" t="str">
        <x:v>ui-wq-0010</x:v>
      </x:c>
      <x:c r="G1395" s="5" t="str">
        <x:v>Betriebsorganisation</x:v>
      </x:c>
      <x:c r="H1395" s="5" t="str">
        <x:v>dg-wq-0069</x:v>
      </x:c>
      <x:c r="I1395" s="5" t="str">
        <x:v>4.1.5</x:v>
      </x:c>
      <x:c r="J1395" s="5" t="str">
        <x:v>Analysemethoden</x:v>
      </x:c>
      <x:c r="K1395" s="5" t="str"/>
      <x:c r="L1395" s="5" t="str">
        <x:v>Analysemethoden &amp; Betriebsstatistik</x:v>
      </x:c>
      <x:c r="M1395" s="5" t="n">
        <x:v>85</x:v>
      </x:c>
      <x:c r="N1395" s="5" t="n">
        <x:v>17</x:v>
      </x:c>
      <x:c r="O1395" s="5" t="str"/>
      <x:c r="P1395" s="5" t="str">
        <x:v>Zuordnungsvorschlag; Fachfreigabe ausstehend</x:v>
      </x:c>
      <x:c r="Q1395" s="5" t="str">
        <x:v>Bestehendes Lernthema fachlich unter passendem Rahmenplan-Unterbereich behalten</x:v>
      </x:c>
      <x:c r="R1395" s="5" t="str">
        <x:v>Beschreiben Sie die wesentlichen Schritte einer statistischen Untersuchung von der Fragestellung bis zur Entscheidungsgrundlage.</x:v>
      </x:c>
      <x:c r="S1395" s="5" t="str">
        <x:v>35dd5fcd798512ac34c4eb939127c438c66589fa2c539dd690abd2137de9ffc2</x:v>
      </x:c>
    </x:row>
    <x:row r="1396" ht="36" customHeight="1">
      <x:c r="A1396" s="5" t="str">
        <x:v>UF-0185</x:v>
      </x:c>
      <x:c r="B1396" s="5" t="str">
        <x:v>WQ</x:v>
      </x:c>
      <x:c r="C1396" s="5" t="str">
        <x:v>4</x:v>
      </x:c>
      <x:c r="D1396" s="5" t="str">
        <x:v>Unternehmensführung</x:v>
      </x:c>
      <x:c r="E1396" s="5" t="str">
        <x:v>Unternehmensführung</x:v>
      </x:c>
      <x:c r="F1396" s="5" t="str">
        <x:v>ui-wq-0011</x:v>
      </x:c>
      <x:c r="G1396" s="5" t="str">
        <x:v>Personalführung</x:v>
      </x:c>
      <x:c r="H1396" s="5" t="str">
        <x:v>dg-wq-0072</x:v>
      </x:c>
      <x:c r="I1396" s="5" t="str">
        <x:v>4.2.5</x:v>
      </x:c>
      <x:c r="J1396" s="5" t="str">
        <x:v>Personalplanung</x:v>
      </x:c>
      <x:c r="K1396" s="5" t="str"/>
      <x:c r="L1396" s="5" t="str">
        <x:v>Personalplanung &amp; -beschaffung</x:v>
      </x:c>
      <x:c r="M1396" s="5" t="n">
        <x:v>59</x:v>
      </x:c>
      <x:c r="N1396" s="5" t="n">
        <x:v>12</x:v>
      </x:c>
      <x:c r="O1396" s="5" t="str"/>
      <x:c r="P1396" s="5" t="str">
        <x:v>Zuordnungsvorschlag; Fachfreigabe ausstehend</x:v>
      </x:c>
      <x:c r="Q1396" s="5" t="str">
        <x:v>Bestehendes Lernthema fachlich unter passendem Rahmenplan-Unterbereich behalten</x:v>
      </x:c>
      <x:c r="R1396" s="5" t="str">
        <x:v>Für die Geschäftsleitung von Circle Harbor: Nennen Sie mindestens fünf Maßnahmen, mit denen ein Unternehmen seine Arbeitgeberattraktivität zur Gewinnung und Bindung von Beschäftigten erhöhen kann.</x:v>
      </x:c>
      <x:c r="S1396" s="5" t="str">
        <x:v>3bacaed77c35ed639c70279509293363fd9ed0c489ed40307789af32237842db</x:v>
      </x:c>
    </x:row>
    <x:row r="1397" ht="36" customHeight="1">
      <x:c r="A1397" s="5" t="str">
        <x:v>UF-0186</x:v>
      </x:c>
      <x:c r="B1397" s="5" t="str">
        <x:v>WQ</x:v>
      </x:c>
      <x:c r="C1397" s="5" t="str">
        <x:v>4</x:v>
      </x:c>
      <x:c r="D1397" s="5" t="str">
        <x:v>Unternehmensführung</x:v>
      </x:c>
      <x:c r="E1397" s="5" t="str">
        <x:v>Unternehmensführung</x:v>
      </x:c>
      <x:c r="F1397" s="5" t="str">
        <x:v>ui-wq-0010</x:v>
      </x:c>
      <x:c r="G1397" s="5" t="str">
        <x:v>Betriebsorganisation</x:v>
      </x:c>
      <x:c r="H1397" s="5" t="str">
        <x:v>dg-wq-0065</x:v>
      </x:c>
      <x:c r="I1397" s="5" t="str">
        <x:v>4.1.1</x:v>
      </x:c>
      <x:c r="J1397" s="5" t="str">
        <x:v>Unternehmensleitbild, Unternehmensphilosophie, Unternehmenskultur und Corporate Identity</x:v>
      </x:c>
      <x:c r="K1397" s="5" t="str"/>
      <x:c r="L1397" s="5" t="str">
        <x:v>Leitbild, Unternehmenspolitik &amp; Planung</x:v>
      </x:c>
      <x:c r="M1397" s="5" t="n">
        <x:v>86</x:v>
      </x:c>
      <x:c r="N1397" s="5" t="n">
        <x:v>28</x:v>
      </x:c>
      <x:c r="O1397" s="5" t="str"/>
      <x:c r="P1397" s="5" t="str">
        <x:v>Zuordnungsvorschlag; Fachfreigabe ausstehend</x:v>
      </x:c>
      <x:c r="Q1397" s="5" t="str">
        <x:v>Bestehendes Lernthema fachlich unter passendem Rahmenplan-Unterbereich behalten</x:v>
      </x:c>
      <x:c r="R1397" s="5" t="str">
        <x:v>Grenzen Sie Unternehmensleitbild, Unternehmensphilosophie, Unternehmenskultur und Corporate Identity voneinander ab.</x:v>
      </x:c>
      <x:c r="S1397" s="5" t="str">
        <x:v>571969db60262a70dd625d030d237843ad4125b16068a396beb5f386f078f227</x:v>
      </x:c>
    </x:row>
    <x:row r="1398" ht="36" customHeight="1">
      <x:c r="A1398" s="5" t="str">
        <x:v>UF-0187</x:v>
      </x:c>
      <x:c r="B1398" s="5" t="str">
        <x:v>WQ</x:v>
      </x:c>
      <x:c r="C1398" s="5" t="str">
        <x:v>4</x:v>
      </x:c>
      <x:c r="D1398" s="5" t="str">
        <x:v>Unternehmensführung</x:v>
      </x:c>
      <x:c r="E1398" s="5" t="str">
        <x:v>Unternehmensführung</x:v>
      </x:c>
      <x:c r="F1398" s="5" t="str">
        <x:v>ui-wq-0010</x:v>
      </x:c>
      <x:c r="G1398" s="5" t="str">
        <x:v>Betriebsorganisation</x:v>
      </x:c>
      <x:c r="H1398" s="5" t="str">
        <x:v>dg-wq-0065</x:v>
      </x:c>
      <x:c r="I1398" s="5" t="str">
        <x:v>4.1.1</x:v>
      </x:c>
      <x:c r="J1398" s="5" t="str">
        <x:v>Unternehmensleitbild, Unternehmensphilosophie, Unternehmenskultur und Corporate Identity</x:v>
      </x:c>
      <x:c r="K1398" s="5" t="str"/>
      <x:c r="L1398" s="5" t="str">
        <x:v>Leitbild, Unternehmenspolitik &amp; Planung</x:v>
      </x:c>
      <x:c r="M1398" s="5" t="n">
        <x:v>87</x:v>
      </x:c>
      <x:c r="N1398" s="5" t="n">
        <x:v>29</x:v>
      </x:c>
      <x:c r="O1398" s="5" t="str"/>
      <x:c r="P1398" s="5" t="str">
        <x:v>Zuordnungsvorschlag; Fachfreigabe ausstehend</x:v>
      </x:c>
      <x:c r="Q1398" s="5" t="str">
        <x:v>Bestehendes Lernthema fachlich unter passendem Rahmenplan-Unterbereich behalten</x:v>
      </x:c>
      <x:c r="R1398" s="5" t="str">
        <x:v>Ordnen Sie die Beispiele den vier Bestandteilen der Corporate Identity zu.</x:v>
      </x:c>
      <x:c r="S1398" s="5" t="str">
        <x:v>abbeb1292c1c293be1d5643b6c20fe655732e91a74d83ee2e30f4f7f1f0b4aba</x:v>
      </x:c>
    </x:row>
    <x:row r="1399" ht="36" customHeight="1">
      <x:c r="A1399" s="5" t="str">
        <x:v>UF-0188</x:v>
      </x:c>
      <x:c r="B1399" s="5" t="str">
        <x:v>WQ</x:v>
      </x:c>
      <x:c r="C1399" s="5" t="str">
        <x:v>4</x:v>
      </x:c>
      <x:c r="D1399" s="5" t="str">
        <x:v>Unternehmensführung</x:v>
      </x:c>
      <x:c r="E1399" s="5" t="str">
        <x:v>Unternehmensführung</x:v>
      </x:c>
      <x:c r="F1399" s="5" t="str">
        <x:v>ui-wq-0010</x:v>
      </x:c>
      <x:c r="G1399" s="5" t="str">
        <x:v>Betriebsorganisation</x:v>
      </x:c>
      <x:c r="H1399" s="5" t="str">
        <x:v>dg-wq-0065</x:v>
      </x:c>
      <x:c r="I1399" s="5" t="str">
        <x:v>4.1.1</x:v>
      </x:c>
      <x:c r="J1399" s="5" t="str">
        <x:v>Unternehmensleitbild, Unternehmensphilosophie, Unternehmenskultur und Corporate Identity</x:v>
      </x:c>
      <x:c r="K1399" s="5" t="str"/>
      <x:c r="L1399" s="5" t="str">
        <x:v>Leitbild, Unternehmenspolitik &amp; Planung</x:v>
      </x:c>
      <x:c r="M1399" s="5" t="n">
        <x:v>88</x:v>
      </x:c>
      <x:c r="N1399" s="5" t="n">
        <x:v>30</x:v>
      </x:c>
      <x:c r="O1399" s="5" t="str"/>
      <x:c r="P1399" s="5" t="str">
        <x:v>Zuordnungsvorschlag; Fachfreigabe ausstehend</x:v>
      </x:c>
      <x:c r="Q1399" s="5" t="str">
        <x:v>Bestehendes Lernthema fachlich unter passendem Rahmenplan-Unterbereich behalten</x:v>
      </x:c>
      <x:c r="R1399" s="5" t="str">
        <x:v>Unterscheiden Sie komplementäre, indifferente, konkurrierende und antinome Zielbeziehungen und nennen Sie jeweils ein betriebliches Beispiel.</x:v>
      </x:c>
      <x:c r="S1399" s="5" t="str">
        <x:v>589a090fe77a9362946b9bd07de5a0a7b87a87e8d5108998ff9f81893af843a1</x:v>
      </x:c>
    </x:row>
    <x:row r="1400" ht="36" customHeight="1">
      <x:c r="A1400" s="5" t="str">
        <x:v>UF-0189</x:v>
      </x:c>
      <x:c r="B1400" s="5" t="str">
        <x:v>WQ</x:v>
      </x:c>
      <x:c r="C1400" s="5" t="str">
        <x:v>4</x:v>
      </x:c>
      <x:c r="D1400" s="5" t="str">
        <x:v>Unternehmensführung</x:v>
      </x:c>
      <x:c r="E1400" s="5" t="str">
        <x:v>Unternehmensführung</x:v>
      </x:c>
      <x:c r="F1400" s="5" t="str">
        <x:v>ui-wq-0010</x:v>
      </x:c>
      <x:c r="G1400" s="5" t="str">
        <x:v>Betriebsorganisation</x:v>
      </x:c>
      <x:c r="H1400" s="5" t="str">
        <x:v>dg-wq-0065</x:v>
      </x:c>
      <x:c r="I1400" s="5" t="str">
        <x:v>4.1.1</x:v>
      </x:c>
      <x:c r="J1400" s="5" t="str">
        <x:v>Unternehmensleitbild, Unternehmensphilosophie, Unternehmenskultur und Corporate Identity</x:v>
      </x:c>
      <x:c r="K1400" s="5" t="str"/>
      <x:c r="L1400" s="5" t="str">
        <x:v>Leitbild, Unternehmenspolitik &amp; Planung</x:v>
      </x:c>
      <x:c r="M1400" s="5" t="n">
        <x:v>89</x:v>
      </x:c>
      <x:c r="N1400" s="5" t="n">
        <x:v>31</x:v>
      </x:c>
      <x:c r="O1400" s="5" t="str"/>
      <x:c r="P1400" s="5" t="str">
        <x:v>Zuordnungsvorschlag; Fachfreigabe ausstehend</x:v>
      </x:c>
      <x:c r="Q1400" s="5" t="str">
        <x:v>Bestehendes Lernthema fachlich unter passendem Rahmenplan-Unterbereich behalten</x:v>
      </x:c>
      <x:c r="R1400" s="5" t="str">
        <x:v>Fallbezug: Die folgenden betrieblichen Angaben und Situationen beziehen sich auf die Circle Harbor GmbH.
Ein Markt besitzt ein Marktpotenzial von 100.000 Stück und ein Marktvolumen von 80.000 Stück. Das eigene Unternehmen verkauft 20.000 Stück, der stärkste Mitbewerber 25.000 Stück. Erklären Sie Marktpotenzial und Marktvolumen, berechnen Sie den absoluten sowie den relativen Marktanteil und beurteilen Sie die Ergebnisse.</x:v>
      </x:c>
      <x:c r="S1400" s="5" t="str">
        <x:v>241c3cfd81d49b59e5baa1920189903ce0fa6bcaeb29181f8fd37d81098e20f3</x:v>
      </x:c>
    </x:row>
    <x:row r="1401" ht="36" customHeight="1">
      <x:c r="A1401" s="5" t="str">
        <x:v>UF-0190</x:v>
      </x:c>
      <x:c r="B1401" s="5" t="str">
        <x:v>WQ</x:v>
      </x:c>
      <x:c r="C1401" s="5" t="str">
        <x:v>4</x:v>
      </x:c>
      <x:c r="D1401" s="5" t="str">
        <x:v>Unternehmensführung</x:v>
      </x:c>
      <x:c r="E1401" s="5" t="str">
        <x:v>Unternehmensführung</x:v>
      </x:c>
      <x:c r="F1401" s="5" t="str">
        <x:v>ui-wq-0010</x:v>
      </x:c>
      <x:c r="G1401" s="5" t="str">
        <x:v>Betriebsorganisation</x:v>
      </x:c>
      <x:c r="H1401" s="5" t="str">
        <x:v>dg-wq-0065</x:v>
      </x:c>
      <x:c r="I1401" s="5" t="str">
        <x:v>4.1.1</x:v>
      </x:c>
      <x:c r="J1401" s="5" t="str">
        <x:v>Unternehmensleitbild, Unternehmensphilosophie, Unternehmenskultur und Corporate Identity</x:v>
      </x:c>
      <x:c r="K1401" s="5" t="str"/>
      <x:c r="L1401" s="5" t="str">
        <x:v>Leitbild, Unternehmenspolitik &amp; Planung</x:v>
      </x:c>
      <x:c r="M1401" s="5" t="n">
        <x:v>90</x:v>
      </x:c>
      <x:c r="N1401" s="5" t="n">
        <x:v>32</x:v>
      </x:c>
      <x:c r="O1401" s="5" t="str"/>
      <x:c r="P1401" s="5" t="str">
        <x:v>Zuordnungsvorschlag; Fachfreigabe ausstehend</x:v>
      </x:c>
      <x:c r="Q1401" s="5" t="str">
        <x:v>Bestehendes Lernthema fachlich unter passendem Rahmenplan-Unterbereich behalten</x:v>
      </x:c>
      <x:c r="R1401" s="5" t="str">
        <x:v>Ordnen Sie die Geschäftsfelder den Kategorien der BCG-Portfolioanalyse zu.</x:v>
      </x:c>
      <x:c r="S1401" s="5" t="str">
        <x:v>a98c353611a546a149f8cde154740e3ee46fe66449b64ae97641cfb24b5eaf04</x:v>
      </x:c>
    </x:row>
    <x:row r="1402" ht="36" customHeight="1">
      <x:c r="A1402" s="5" t="str">
        <x:v>UF-0191</x:v>
      </x:c>
      <x:c r="B1402" s="5" t="str">
        <x:v>WQ</x:v>
      </x:c>
      <x:c r="C1402" s="5" t="str">
        <x:v>4</x:v>
      </x:c>
      <x:c r="D1402" s="5" t="str">
        <x:v>Unternehmensführung</x:v>
      </x:c>
      <x:c r="E1402" s="5" t="str">
        <x:v>Unternehmensführung</x:v>
      </x:c>
      <x:c r="F1402" s="5" t="str">
        <x:v>ui-wq-0010</x:v>
      </x:c>
      <x:c r="G1402" s="5" t="str">
        <x:v>Betriebsorganisation</x:v>
      </x:c>
      <x:c r="H1402" s="5" t="str">
        <x:v>dg-wq-0065</x:v>
      </x:c>
      <x:c r="I1402" s="5" t="str">
        <x:v>4.1.1</x:v>
      </x:c>
      <x:c r="J1402" s="5" t="str">
        <x:v>Unternehmensleitbild, Unternehmensphilosophie, Unternehmenskultur und Corporate Identity</x:v>
      </x:c>
      <x:c r="K1402" s="5" t="str"/>
      <x:c r="L1402" s="5" t="str">
        <x:v>Leitbild, Unternehmenspolitik &amp; Planung</x:v>
      </x:c>
      <x:c r="M1402" s="5" t="n">
        <x:v>91</x:v>
      </x:c>
      <x:c r="N1402" s="5" t="n">
        <x:v>33</x:v>
      </x:c>
      <x:c r="O1402" s="5" t="str"/>
      <x:c r="P1402" s="5" t="str">
        <x:v>Zuordnungsvorschlag; Fachfreigabe ausstehend</x:v>
      </x:c>
      <x:c r="Q1402" s="5" t="str">
        <x:v>Bestehendes Lernthema fachlich unter passendem Rahmenplan-Unterbereich behalten</x:v>
      </x:c>
      <x:c r="R1402" s="5" t="str">
        <x:v>Nennen Sie vier voneinander abhängige Teilpläne der operativen Unternehmensplanung und beschreiben Sie den Kontrollkreislauf zur Steuerung dieser Pläne.</x:v>
      </x:c>
      <x:c r="S1402" s="5" t="str">
        <x:v>469f70c4347d83915d0b6f073c56074c070461e9bd2d38c4db187a4abbd56f7b</x:v>
      </x:c>
    </x:row>
    <x:row r="1403" ht="36" customHeight="1">
      <x:c r="A1403" s="5" t="str">
        <x:v>UF-0192</x:v>
      </x:c>
      <x:c r="B1403" s="5" t="str">
        <x:v>WQ</x:v>
      </x:c>
      <x:c r="C1403" s="5" t="str">
        <x:v>4</x:v>
      </x:c>
      <x:c r="D1403" s="5" t="str">
        <x:v>Unternehmensführung</x:v>
      </x:c>
      <x:c r="E1403" s="5" t="str">
        <x:v>Unternehmensführung</x:v>
      </x:c>
      <x:c r="F1403" s="5" t="str">
        <x:v>ui-wq-0010</x:v>
      </x:c>
      <x:c r="G1403" s="5" t="str">
        <x:v>Betriebsorganisation</x:v>
      </x:c>
      <x:c r="H1403" s="5" t="str">
        <x:v>dg-wq-0067</x:v>
      </x:c>
      <x:c r="I1403" s="5" t="str">
        <x:v>4.1.3</x:v>
      </x:c>
      <x:c r="J1403" s="5" t="str">
        <x:v>Aufbauorganisation</x:v>
      </x:c>
      <x:c r="K1403" s="5" t="str"/>
      <x:c r="L1403" s="5" t="str">
        <x:v>Integrierte Managementsysteme &amp; KVP</x:v>
      </x:c>
      <x:c r="M1403" s="5" t="n">
        <x:v>92</x:v>
      </x:c>
      <x:c r="N1403" s="5" t="n">
        <x:v>39</x:v>
      </x:c>
      <x:c r="O1403" s="5" t="str"/>
      <x:c r="P1403" s="5" t="str">
        <x:v>Zuordnungsvorschlag; Fachfreigabe ausstehend</x:v>
      </x:c>
      <x:c r="Q1403" s="5" t="str">
        <x:v>Bestehendes Lernthema fachlich unter passendem Rahmenplan-Unterbereich behalten</x:v>
      </x:c>
      <x:c r="R1403" s="5" t="str">
        <x:v>Ordnen Sie die Beschreibungen den passenden Auditarten zu.</x:v>
      </x:c>
      <x:c r="S1403" s="5" t="str">
        <x:v>0c3cac887147706ada6b9ba754d71370fbda8909f541185103b1eb8470251dd4</x:v>
      </x:c>
    </x:row>
    <x:row r="1404" ht="36" customHeight="1">
      <x:c r="A1404" s="5" t="str">
        <x:v>UF-0193</x:v>
      </x:c>
      <x:c r="B1404" s="5" t="str">
        <x:v>WQ</x:v>
      </x:c>
      <x:c r="C1404" s="5" t="str">
        <x:v>4</x:v>
      </x:c>
      <x:c r="D1404" s="5" t="str">
        <x:v>Unternehmensführung</x:v>
      </x:c>
      <x:c r="E1404" s="5" t="str">
        <x:v>Unternehmensführung</x:v>
      </x:c>
      <x:c r="F1404" s="5" t="str">
        <x:v>ui-wq-0010</x:v>
      </x:c>
      <x:c r="G1404" s="5" t="str">
        <x:v>Betriebsorganisation</x:v>
      </x:c>
      <x:c r="H1404" s="5" t="str">
        <x:v>dg-wq-0067</x:v>
      </x:c>
      <x:c r="I1404" s="5" t="str">
        <x:v>4.1.3</x:v>
      </x:c>
      <x:c r="J1404" s="5" t="str">
        <x:v>Aufbauorganisation</x:v>
      </x:c>
      <x:c r="K1404" s="5" t="str"/>
      <x:c r="L1404" s="5" t="str">
        <x:v>Integrierte Managementsysteme &amp; KVP</x:v>
      </x:c>
      <x:c r="M1404" s="5" t="n">
        <x:v>93</x:v>
      </x:c>
      <x:c r="N1404" s="5" t="n">
        <x:v>40</x:v>
      </x:c>
      <x:c r="O1404" s="5" t="str"/>
      <x:c r="P1404" s="5" t="str">
        <x:v>Zuordnungsvorschlag; Fachfreigabe ausstehend</x:v>
      </x:c>
      <x:c r="Q1404" s="5" t="str">
        <x:v>Bestehendes Lernthema fachlich unter passendem Rahmenplan-Unterbereich behalten</x:v>
      </x:c>
      <x:c r="R1404" s="5" t="str">
        <x:v>Nennen und erläutern Sie die vier zentralen Schutzziele eines Informationssicherheitsmanagementsystems und vier mögliche Ursachen für IT-Risiken.</x:v>
      </x:c>
      <x:c r="S1404" s="5" t="str">
        <x:v>c43f56e557689378e488063b46fbbee453e457d3aa152d345d62e2040b207bd8</x:v>
      </x:c>
    </x:row>
    <x:row r="1405" ht="36" customHeight="1">
      <x:c r="A1405" s="5" t="str">
        <x:v>UF-0194</x:v>
      </x:c>
      <x:c r="B1405" s="5" t="str">
        <x:v>WQ</x:v>
      </x:c>
      <x:c r="C1405" s="5" t="str">
        <x:v>4</x:v>
      </x:c>
      <x:c r="D1405" s="5" t="str">
        <x:v>Unternehmensführung</x:v>
      </x:c>
      <x:c r="E1405" s="5" t="str">
        <x:v>Unternehmensführung</x:v>
      </x:c>
      <x:c r="F1405" s="5" t="str">
        <x:v>ui-wq-0010</x:v>
      </x:c>
      <x:c r="G1405" s="5" t="str">
        <x:v>Betriebsorganisation</x:v>
      </x:c>
      <x:c r="H1405" s="5" t="str">
        <x:v>dg-wq-0067</x:v>
      </x:c>
      <x:c r="I1405" s="5" t="str">
        <x:v>4.1.3</x:v>
      </x:c>
      <x:c r="J1405" s="5" t="str">
        <x:v>Aufbauorganisation</x:v>
      </x:c>
      <x:c r="K1405" s="5" t="str"/>
      <x:c r="L1405" s="5" t="str">
        <x:v>Integrierte Managementsysteme &amp; KVP</x:v>
      </x:c>
      <x:c r="M1405" s="5" t="n">
        <x:v>94</x:v>
      </x:c>
      <x:c r="N1405" s="5" t="n">
        <x:v>41</x:v>
      </x:c>
      <x:c r="O1405" s="5" t="str"/>
      <x:c r="P1405" s="5" t="str">
        <x:v>Zuordnungsvorschlag; Fachfreigabe ausstehend</x:v>
      </x:c>
      <x:c r="Q1405" s="5" t="str">
        <x:v>Bestehendes Lernthema fachlich unter passendem Rahmenplan-Unterbereich behalten</x:v>
      </x:c>
      <x:c r="R1405" s="5" t="str">
        <x:v>Erläutern Sie Vorsorgeprinzip, Verursacherprinzip, Gemeinlastprinzip und Kooperationsprinzip im Umweltmanagement.</x:v>
      </x:c>
      <x:c r="S1405" s="5" t="str">
        <x:v>3b9fb893836f65d9466b389c80695f723d49870ac943339b26966eb1fe92c942</x:v>
      </x:c>
    </x:row>
    <x:row r="1406" ht="36" customHeight="1">
      <x:c r="A1406" s="5" t="str">
        <x:v>UF-0195</x:v>
      </x:c>
      <x:c r="B1406" s="5" t="str">
        <x:v>WQ</x:v>
      </x:c>
      <x:c r="C1406" s="5" t="str">
        <x:v>4</x:v>
      </x:c>
      <x:c r="D1406" s="5" t="str">
        <x:v>Unternehmensführung</x:v>
      </x:c>
      <x:c r="E1406" s="5" t="str">
        <x:v>Unternehmensführung</x:v>
      </x:c>
      <x:c r="F1406" s="5" t="str">
        <x:v>ui-wq-0010</x:v>
      </x:c>
      <x:c r="G1406" s="5" t="str">
        <x:v>Betriebsorganisation</x:v>
      </x:c>
      <x:c r="H1406" s="5" t="str">
        <x:v>dg-wq-0067</x:v>
      </x:c>
      <x:c r="I1406" s="5" t="str">
        <x:v>4.1.3</x:v>
      </x:c>
      <x:c r="J1406" s="5" t="str">
        <x:v>Aufbauorganisation</x:v>
      </x:c>
      <x:c r="K1406" s="5" t="str"/>
      <x:c r="L1406" s="5" t="str">
        <x:v>Aufbau- &amp; Ablauforganisation</x:v>
      </x:c>
      <x:c r="M1406" s="5" t="n">
        <x:v>95</x:v>
      </x:c>
      <x:c r="N1406" s="5" t="n">
        <x:v>42</x:v>
      </x:c>
      <x:c r="O1406" s="5" t="str"/>
      <x:c r="P1406" s="5" t="str">
        <x:v>Zuordnungsvorschlag; Fachfreigabe ausstehend</x:v>
      </x:c>
      <x:c r="Q1406" s="5" t="str">
        <x:v>Bestehendes Lernthema fachlich unter passendem Rahmenplan-Unterbereich behalten</x:v>
      </x:c>
      <x:c r="R1406" s="5" t="str">
        <x:v>Unterscheiden Sie Aufgabenanalyse und Aufgabensynthese. Erläutern Sie außerdem Instanzentiefe, Instanzenbreite und Leitungsspanne sowie jeweils eine mögliche organisatorische Auswirkung.</x:v>
      </x:c>
      <x:c r="S1406" s="5" t="str">
        <x:v>1a7c3d0946d126900a1c8bceaaecd4d6a12745ac5ca483933f0397788a88eba4</x:v>
      </x:c>
    </x:row>
    <x:row r="1407" ht="36" customHeight="1">
      <x:c r="A1407" s="5" t="str">
        <x:v>UF-0196</x:v>
      </x:c>
      <x:c r="B1407" s="5" t="str">
        <x:v>WQ</x:v>
      </x:c>
      <x:c r="C1407" s="5" t="str">
        <x:v>4</x:v>
      </x:c>
      <x:c r="D1407" s="5" t="str">
        <x:v>Unternehmensführung</x:v>
      </x:c>
      <x:c r="E1407" s="5" t="str">
        <x:v>Unternehmensführung</x:v>
      </x:c>
      <x:c r="F1407" s="5" t="str">
        <x:v>ui-wq-0010</x:v>
      </x:c>
      <x:c r="G1407" s="5" t="str">
        <x:v>Betriebsorganisation</x:v>
      </x:c>
      <x:c r="H1407" s="5" t="str">
        <x:v>dg-wq-0067</x:v>
      </x:c>
      <x:c r="I1407" s="5" t="str">
        <x:v>4.1.3</x:v>
      </x:c>
      <x:c r="J1407" s="5" t="str">
        <x:v>Aufbauorganisation</x:v>
      </x:c>
      <x:c r="K1407" s="5" t="str"/>
      <x:c r="L1407" s="5" t="str">
        <x:v>Aufbau- &amp; Ablauforganisation</x:v>
      </x:c>
      <x:c r="M1407" s="5" t="n">
        <x:v>96</x:v>
      </x:c>
      <x:c r="N1407" s="5" t="n">
        <x:v>43</x:v>
      </x:c>
      <x:c r="O1407" s="5" t="str"/>
      <x:c r="P1407" s="5" t="str">
        <x:v>Zuordnungsvorschlag; Fachfreigabe ausstehend</x:v>
      </x:c>
      <x:c r="Q1407" s="5" t="str">
        <x:v>Bestehendes Lernthema fachlich unter passendem Rahmenplan-Unterbereich behalten</x:v>
      </x:c>
      <x:c r="R1407" s="5" t="str">
        <x:v>Ordnen Sie die Beschreibungen der passenden Organisationsform zu.</x:v>
      </x:c>
      <x:c r="S1407" s="5" t="str">
        <x:v>511b70f03b2ff45ea1f41f3bacc04a8764bd90b8fd8c4efafe1bcd6c282d63bc</x:v>
      </x:c>
    </x:row>
    <x:row r="1408" ht="36" customHeight="1">
      <x:c r="A1408" s="5" t="str">
        <x:v>UF-0197</x:v>
      </x:c>
      <x:c r="B1408" s="5" t="str">
        <x:v>WQ</x:v>
      </x:c>
      <x:c r="C1408" s="5" t="str">
        <x:v>4</x:v>
      </x:c>
      <x:c r="D1408" s="5" t="str">
        <x:v>Unternehmensführung</x:v>
      </x:c>
      <x:c r="E1408" s="5" t="str">
        <x:v>Unternehmensführung</x:v>
      </x:c>
      <x:c r="F1408" s="5" t="str">
        <x:v>ui-wq-0010</x:v>
      </x:c>
      <x:c r="G1408" s="5" t="str">
        <x:v>Betriebsorganisation</x:v>
      </x:c>
      <x:c r="H1408" s="5" t="str">
        <x:v>dg-wq-0067</x:v>
      </x:c>
      <x:c r="I1408" s="5" t="str">
        <x:v>4.1.3</x:v>
      </x:c>
      <x:c r="J1408" s="5" t="str">
        <x:v>Aufbauorganisation</x:v>
      </x:c>
      <x:c r="K1408" s="5" t="str"/>
      <x:c r="L1408" s="5" t="str">
        <x:v>Aufbau- &amp; Ablauforganisation</x:v>
      </x:c>
      <x:c r="M1408" s="5" t="n">
        <x:v>97</x:v>
      </x:c>
      <x:c r="N1408" s="5" t="n">
        <x:v>44</x:v>
      </x:c>
      <x:c r="O1408" s="5" t="str"/>
      <x:c r="P1408" s="5" t="str">
        <x:v>Zuordnungsvorschlag; Fachfreigabe ausstehend</x:v>
      </x:c>
      <x:c r="Q1408" s="5" t="str">
        <x:v>Bestehendes Lernthema fachlich unter passendem Rahmenplan-Unterbereich behalten</x:v>
      </x:c>
      <x:c r="R1408" s="5" t="str">
        <x:v>Unterscheiden Sie Kerngeschäftsprozesse und Unterstützungsprozesse. Nennen Sie außerdem vier Angaben, die für eine störungsarme Prozessschnittstelle festgelegt werden sollten.</x:v>
      </x:c>
      <x:c r="S1408" s="5" t="str">
        <x:v>d8ce12961d33c0a1e71270e569957a897e1e6c38d1eea25f76a089272c2b2265</x:v>
      </x:c>
    </x:row>
    <x:row r="1409" ht="36" customHeight="1">
      <x:c r="A1409" s="5" t="str">
        <x:v>UF-0198</x:v>
      </x:c>
      <x:c r="B1409" s="5" t="str">
        <x:v>WQ</x:v>
      </x:c>
      <x:c r="C1409" s="5" t="str">
        <x:v>4</x:v>
      </x:c>
      <x:c r="D1409" s="5" t="str">
        <x:v>Unternehmensführung</x:v>
      </x:c>
      <x:c r="E1409" s="5" t="str">
        <x:v>Unternehmensführung</x:v>
      </x:c>
      <x:c r="F1409" s="5" t="str">
        <x:v>ui-wq-0010</x:v>
      </x:c>
      <x:c r="G1409" s="5" t="str">
        <x:v>Betriebsorganisation</x:v>
      </x:c>
      <x:c r="H1409" s="5" t="str">
        <x:v>dg-wq-0068</x:v>
      </x:c>
      <x:c r="I1409" s="5" t="str">
        <x:v>4.1.4</x:v>
      </x:c>
      <x:c r="J1409" s="5" t="str">
        <x:v>Ablauforganisation</x:v>
      </x:c>
      <x:c r="K1409" s="5" t="str"/>
      <x:c r="L1409" s="5" t="str">
        <x:v>Aufbau- &amp; Ablauforganisation</x:v>
      </x:c>
      <x:c r="M1409" s="5" t="n">
        <x:v>98</x:v>
      </x:c>
      <x:c r="N1409" s="5" t="n">
        <x:v>4</x:v>
      </x:c>
      <x:c r="O1409" s="5" t="str"/>
      <x:c r="P1409" s="5" t="str">
        <x:v>Zuordnungsvorschlag; Fachfreigabe ausstehend</x:v>
      </x:c>
      <x:c r="Q1409" s="5" t="str">
        <x:v>Frageinhalt präzisiert bzw. teilt bisheriges Sammelthema</x:v>
      </x:c>
      <x:c r="R1409" s="5" t="str">
        <x:v>Für welche betrieblichen Aufgaben eignen sich Flussdiagramm, Netzplantechnik und Workflow? Nennen Sie zu jedem Instrument einen typischen Nutzen.</x:v>
      </x:c>
      <x:c r="S1409" s="5" t="str">
        <x:v>f813c4571c6aa95f2eb3474dae033f11d3d7ee177dcd41b9e5a43631699d143c</x:v>
      </x:c>
    </x:row>
    <x:row r="1410" ht="36" customHeight="1">
      <x:c r="A1410" s="5" t="str">
        <x:v>UF-0199</x:v>
      </x:c>
      <x:c r="B1410" s="5" t="str">
        <x:v>WQ</x:v>
      </x:c>
      <x:c r="C1410" s="5" t="str">
        <x:v>4</x:v>
      </x:c>
      <x:c r="D1410" s="5" t="str">
        <x:v>Unternehmensführung</x:v>
      </x:c>
      <x:c r="E1410" s="5" t="str">
        <x:v>Unternehmensführung</x:v>
      </x:c>
      <x:c r="F1410" s="5" t="str">
        <x:v>ui-wq-0010</x:v>
      </x:c>
      <x:c r="G1410" s="5" t="str">
        <x:v>Betriebsorganisation</x:v>
      </x:c>
      <x:c r="H1410" s="5" t="str">
        <x:v>dg-wq-0069</x:v>
      </x:c>
      <x:c r="I1410" s="5" t="str">
        <x:v>4.1.5.2</x:v>
      </x:c>
      <x:c r="J1410" s="5" t="str">
        <x:v>Wertanalyse</x:v>
      </x:c>
      <x:c r="K1410" s="5" t="str"/>
      <x:c r="L1410" s="5" t="str">
        <x:v>Analysemethoden &amp; Betriebsstatistik</x:v>
      </x:c>
      <x:c r="M1410" s="5" t="n">
        <x:v>99</x:v>
      </x:c>
      <x:c r="N1410" s="5" t="n">
        <x:v>18</x:v>
      </x:c>
      <x:c r="O1410" s="5" t="str"/>
      <x:c r="P1410" s="5" t="str">
        <x:v>Zuordnungsvorschlag; Fachfreigabe ausstehend</x:v>
      </x:c>
      <x:c r="Q1410" s="5" t="str">
        <x:v>Bestehendes Lernthema fachlich unter passendem Rahmenplan-Unterbereich behalten</x:v>
      </x:c>
      <x:c r="R1410" s="5" t="str">
        <x:v>Beschreiben Sie Ziel und Vorgehensweise einer Wertanalyse. Unterscheiden Sie dabei Gebrauchs- und Geltungsfunktionen sowie Haupt-, Neben- und verzichtbare Funktionen.</x:v>
      </x:c>
      <x:c r="S1410" s="5" t="str">
        <x:v>f5740b64b65711858b6cfe841578f52537f4110151a4ce2f1b10501416e32d74</x:v>
      </x:c>
    </x:row>
    <x:row r="1411" ht="36" customHeight="1">
      <x:c r="A1411" s="5" t="str">
        <x:v>UF-0200</x:v>
      </x:c>
      <x:c r="B1411" s="5" t="str">
        <x:v>WQ</x:v>
      </x:c>
      <x:c r="C1411" s="5" t="str">
        <x:v>4</x:v>
      </x:c>
      <x:c r="D1411" s="5" t="str">
        <x:v>Unternehmensführung</x:v>
      </x:c>
      <x:c r="E1411" s="5" t="str">
        <x:v>Unternehmensführung</x:v>
      </x:c>
      <x:c r="F1411" s="5" t="str">
        <x:v>ui-wq-0010</x:v>
      </x:c>
      <x:c r="G1411" s="5" t="str">
        <x:v>Betriebsorganisation</x:v>
      </x:c>
      <x:c r="H1411" s="5" t="str">
        <x:v>dg-wq-0069</x:v>
      </x:c>
      <x:c r="I1411" s="5" t="str">
        <x:v>4.1.5.2</x:v>
      </x:c>
      <x:c r="J1411" s="5" t="str">
        <x:v>Wertanalyse</x:v>
      </x:c>
      <x:c r="K1411" s="5" t="str"/>
      <x:c r="L1411" s="5" t="str">
        <x:v>Analysemethoden &amp; Betriebsstatistik</x:v>
      </x:c>
      <x:c r="M1411" s="5" t="n">
        <x:v>100</x:v>
      </x:c>
      <x:c r="N1411" s="5" t="n">
        <x:v>19</x:v>
      </x:c>
      <x:c r="O1411" s="5" t="str"/>
      <x:c r="P1411" s="5" t="str">
        <x:v>Zuordnungsvorschlag; Fachfreigabe ausstehend</x:v>
      </x:c>
      <x:c r="Q1411" s="5" t="str">
        <x:v>Bestehendes Lernthema fachlich unter passendem Rahmenplan-Unterbereich behalten</x:v>
      </x:c>
      <x:c r="R1411" s="5" t="str">
        <x:v>Unterscheiden Sie Wertanalyse und Nutzwertanalyse und nennen Sie jeweils einen geeigneten Anwendungsfall.</x:v>
      </x:c>
      <x:c r="S1411" s="5" t="str">
        <x:v>67465922ecaa1a17c29073c5a2a35b6977a821732d1759055fd33b289c405636</x:v>
      </x:c>
    </x:row>
    <x:row r="1412" ht="36" customHeight="1">
      <x:c r="A1412" s="5" t="str">
        <x:v>UF-0201</x:v>
      </x:c>
      <x:c r="B1412" s="5" t="str">
        <x:v>WQ</x:v>
      </x:c>
      <x:c r="C1412" s="5" t="str">
        <x:v>4</x:v>
      </x:c>
      <x:c r="D1412" s="5" t="str">
        <x:v>Unternehmensführung</x:v>
      </x:c>
      <x:c r="E1412" s="5" t="str">
        <x:v>Unternehmensführung</x:v>
      </x:c>
      <x:c r="F1412" s="5" t="str">
        <x:v>ui-wq-0010</x:v>
      </x:c>
      <x:c r="G1412" s="5" t="str">
        <x:v>Betriebsorganisation</x:v>
      </x:c>
      <x:c r="H1412" s="5" t="str">
        <x:v>dg-wq-0069</x:v>
      </x:c>
      <x:c r="I1412" s="5" t="str">
        <x:v>4.1.5</x:v>
      </x:c>
      <x:c r="J1412" s="5" t="str">
        <x:v>Analysemethoden</x:v>
      </x:c>
      <x:c r="K1412" s="5" t="str"/>
      <x:c r="L1412" s="5" t="str">
        <x:v>Analysemethoden &amp; Betriebsstatistik</x:v>
      </x:c>
      <x:c r="M1412" s="5" t="n">
        <x:v>101</x:v>
      </x:c>
      <x:c r="N1412" s="5" t="n">
        <x:v>20</x:v>
      </x:c>
      <x:c r="O1412" s="5" t="str"/>
      <x:c r="P1412" s="5" t="str">
        <x:v>Zuordnungsvorschlag; Fachfreigabe ausstehend</x:v>
      </x:c>
      <x:c r="Q1412" s="5" t="str">
        <x:v>Bestehendes Lernthema fachlich unter passendem Rahmenplan-Unterbereich behalten</x:v>
      </x:c>
      <x:c r="R1412" s="5" t="str">
        <x:v>Erläutern Sie die Balanced Scorecard. Nennen Sie die vier Perspektiven und beschreiben Sie, wie aus der Unternehmensstrategie eine Steuerungswirkung entsteht.</x:v>
      </x:c>
      <x:c r="S1412" s="5" t="str">
        <x:v>6df2a9ed8afcd1f9120e0732b745f7c91eaf7ef925b28d46ccf0d8a2f57fe5d1</x:v>
      </x:c>
    </x:row>
    <x:row r="1413" ht="36" customHeight="1">
      <x:c r="A1413" s="5" t="str">
        <x:v>UF-0202</x:v>
      </x:c>
      <x:c r="B1413" s="5" t="str">
        <x:v>WQ</x:v>
      </x:c>
      <x:c r="C1413" s="5" t="str">
        <x:v>4</x:v>
      </x:c>
      <x:c r="D1413" s="5" t="str">
        <x:v>Unternehmensführung</x:v>
      </x:c>
      <x:c r="E1413" s="5" t="str">
        <x:v>Unternehmensführung</x:v>
      </x:c>
      <x:c r="F1413" s="5" t="str">
        <x:v>ui-wq-0010</x:v>
      </x:c>
      <x:c r="G1413" s="5" t="str">
        <x:v>Betriebsorganisation</x:v>
      </x:c>
      <x:c r="H1413" s="5" t="str">
        <x:v>dg-wq-0069</x:v>
      </x:c>
      <x:c r="I1413" s="5" t="str">
        <x:v>4.1.5</x:v>
      </x:c>
      <x:c r="J1413" s="5" t="str">
        <x:v>Analysemethoden</x:v>
      </x:c>
      <x:c r="K1413" s="5" t="str"/>
      <x:c r="L1413" s="5" t="str">
        <x:v>Analysemethoden &amp; Betriebsstatistik</x:v>
      </x:c>
      <x:c r="M1413" s="5" t="n">
        <x:v>102</x:v>
      </x:c>
      <x:c r="N1413" s="5" t="n">
        <x:v>21</x:v>
      </x:c>
      <x:c r="O1413" s="5" t="str"/>
      <x:c r="P1413" s="5" t="str">
        <x:v>Zuordnungsvorschlag; Fachfreigabe ausstehend</x:v>
      </x:c>
      <x:c r="Q1413" s="5" t="str">
        <x:v>Bestehendes Lernthema fachlich unter passendem Rahmenplan-Unterbereich behalten</x:v>
      </x:c>
      <x:c r="R1413" s="5" t="str">
        <x:v>Entscheiden Sie, welche Aussagen zur Betriebsstatistik richtig oder falsch sind.</x:v>
      </x:c>
      <x:c r="S1413" s="5" t="str">
        <x:v>3e4b35105f7adcb03985b1793e8fc22f370d66681346b8c02df4bf13ce3ebd33</x:v>
      </x:c>
    </x:row>
    <x:row r="1414" ht="36" customHeight="1">
      <x:c r="A1414" s="5" t="str">
        <x:v>UF-0203</x:v>
      </x:c>
      <x:c r="B1414" s="5" t="str">
        <x:v>WQ</x:v>
      </x:c>
      <x:c r="C1414" s="5" t="str">
        <x:v>4</x:v>
      </x:c>
      <x:c r="D1414" s="5" t="str">
        <x:v>Unternehmensführung</x:v>
      </x:c>
      <x:c r="E1414" s="5" t="str">
        <x:v>Unternehmensführung</x:v>
      </x:c>
      <x:c r="F1414" s="5" t="str">
        <x:v>ui-wq-0011</x:v>
      </x:c>
      <x:c r="G1414" s="5" t="str">
        <x:v>Personalführung</x:v>
      </x:c>
      <x:c r="H1414" s="5" t="str">
        <x:v>dg-wq-0066</x:v>
      </x:c>
      <x:c r="I1414" s="5" t="str">
        <x:v>4.2.3</x:v>
      </x:c>
      <x:c r="J1414" s="5" t="str">
        <x:v>Führungsstile</x:v>
      </x:c>
      <x:c r="K1414" s="5" t="str"/>
      <x:c r="L1414" s="5" t="str">
        <x:v>Führungsgrundlagen, Motivation &amp; Führungsstile</x:v>
      </x:c>
      <x:c r="M1414" s="5" t="n">
        <x:v>60</x:v>
      </x:c>
      <x:c r="N1414" s="5" t="n">
        <x:v>20</x:v>
      </x:c>
      <x:c r="O1414" s="5" t="str"/>
      <x:c r="P1414" s="5" t="str">
        <x:v>Zuordnungsvorschlag; Fachfreigabe ausstehend</x:v>
      </x:c>
      <x:c r="Q1414" s="5" t="str">
        <x:v>Bestehendes Lernthema fachlich unter passendem Rahmenplan-Unterbereich behalten</x:v>
      </x:c>
      <x:c r="R1414" s="5" t="str">
        <x:v>Erläutern Sie den Zusammenhang zwischen Unternehmenszielen, Personalpolitik und Führungsleitbild. Grenzen Sie außerdem Moral und Ethik ab und erklären Sie die Bedeutung der Verantwortungsethik für Führungsentscheidungen.</x:v>
      </x:c>
      <x:c r="S1414" s="5" t="str">
        <x:v>fdefefb4e468ce907d302031a2d9df9d814665dee60f249fed23b7f2eab36d84</x:v>
      </x:c>
    </x:row>
    <x:row r="1415" ht="36" customHeight="1">
      <x:c r="A1415" s="5" t="str">
        <x:v>UF-0204</x:v>
      </x:c>
      <x:c r="B1415" s="5" t="str">
        <x:v>WQ</x:v>
      </x:c>
      <x:c r="C1415" s="5" t="str">
        <x:v>4</x:v>
      </x:c>
      <x:c r="D1415" s="5" t="str">
        <x:v>Unternehmensführung</x:v>
      </x:c>
      <x:c r="E1415" s="5" t="str">
        <x:v>Unternehmensführung</x:v>
      </x:c>
      <x:c r="F1415" s="5" t="str">
        <x:v>ui-wq-0011</x:v>
      </x:c>
      <x:c r="G1415" s="5" t="str">
        <x:v>Personalführung</x:v>
      </x:c>
      <x:c r="H1415" s="5" t="str">
        <x:v>dg-wq-0066</x:v>
      </x:c>
      <x:c r="I1415" s="5" t="str">
        <x:v>4.2.3</x:v>
      </x:c>
      <x:c r="J1415" s="5" t="str">
        <x:v>Führungsstile</x:v>
      </x:c>
      <x:c r="K1415" s="5" t="str"/>
      <x:c r="L1415" s="5" t="str">
        <x:v>Führungsgrundlagen, Motivation &amp; Führungsstile</x:v>
      </x:c>
      <x:c r="M1415" s="5" t="n">
        <x:v>61</x:v>
      </x:c>
      <x:c r="N1415" s="5" t="n">
        <x:v>21</x:v>
      </x:c>
      <x:c r="O1415" s="5" t="str"/>
      <x:c r="P1415" s="5" t="str">
        <x:v>Zuordnungsvorschlag; Fachfreigabe ausstehend</x:v>
      </x:c>
      <x:c r="Q1415" s="5" t="str">
        <x:v>Bestehendes Lernthema fachlich unter passendem Rahmenplan-Unterbereich behalten</x:v>
      </x:c>
      <x:c r="R1415" s="5" t="str">
        <x:v>Unterscheiden Sie intrinsische und extrinsische Motivation. Ordnen Sie außerdem den fünf Bedürfnisebenen nach Maslow jeweils ein mögliches betriebliches Beispiel zu.</x:v>
      </x:c>
      <x:c r="S1415" s="5" t="str">
        <x:v>80c96b572f7f7c2f744e88a276a03d1d15bc465ba8a158f00f7f51f4e07b0023</x:v>
      </x:c>
    </x:row>
    <x:row r="1416" ht="36" customHeight="1">
      <x:c r="A1416" s="5" t="str">
        <x:v>UF-0205</x:v>
      </x:c>
      <x:c r="B1416" s="5" t="str">
        <x:v>WQ</x:v>
      </x:c>
      <x:c r="C1416" s="5" t="str">
        <x:v>4</x:v>
      </x:c>
      <x:c r="D1416" s="5" t="str">
        <x:v>Unternehmensführung</x:v>
      </x:c>
      <x:c r="E1416" s="5" t="str">
        <x:v>Unternehmensführung</x:v>
      </x:c>
      <x:c r="F1416" s="5" t="str">
        <x:v>ui-wq-0011</x:v>
      </x:c>
      <x:c r="G1416" s="5" t="str">
        <x:v>Personalführung</x:v>
      </x:c>
      <x:c r="H1416" s="5" t="str">
        <x:v>dg-wq-0066</x:v>
      </x:c>
      <x:c r="I1416" s="5" t="str">
        <x:v>4.2.3</x:v>
      </x:c>
      <x:c r="J1416" s="5" t="str">
        <x:v>Führungsstile</x:v>
      </x:c>
      <x:c r="K1416" s="5" t="str"/>
      <x:c r="L1416" s="5" t="str">
        <x:v>Führungsgrundlagen, Motivation &amp; Führungsstile</x:v>
      </x:c>
      <x:c r="M1416" s="5" t="n">
        <x:v>62</x:v>
      </x:c>
      <x:c r="N1416" s="5" t="n">
        <x:v>22</x:v>
      </x:c>
      <x:c r="O1416" s="5" t="str"/>
      <x:c r="P1416" s="5" t="str">
        <x:v>Zuordnungsvorschlag; Fachfreigabe ausstehend</x:v>
      </x:c>
      <x:c r="Q1416" s="5" t="str">
        <x:v>Bestehendes Lernthema fachlich unter passendem Rahmenplan-Unterbereich behalten</x:v>
      </x:c>
      <x:c r="R1416" s="5" t="str">
        <x:v>Ordnen Sie die Beschreibungen der passenden Führungstechnik zu.</x:v>
      </x:c>
      <x:c r="S1416" s="5" t="str">
        <x:v>521e0f9c307f1d635e7ea6cfecf71a7d1644a2a1ac68aa0640497fb28b096900</x:v>
      </x:c>
    </x:row>
    <x:row r="1417" ht="36" customHeight="1">
      <x:c r="A1417" s="5" t="str">
        <x:v>UF-0206</x:v>
      </x:c>
      <x:c r="B1417" s="5" t="str">
        <x:v>WQ</x:v>
      </x:c>
      <x:c r="C1417" s="5" t="str">
        <x:v>4</x:v>
      </x:c>
      <x:c r="D1417" s="5" t="str">
        <x:v>Unternehmensführung</x:v>
      </x:c>
      <x:c r="E1417" s="5" t="str">
        <x:v>Unternehmensführung</x:v>
      </x:c>
      <x:c r="F1417" s="5" t="str">
        <x:v>ui-wq-0011</x:v>
      </x:c>
      <x:c r="G1417" s="5" t="str">
        <x:v>Personalführung</x:v>
      </x:c>
      <x:c r="H1417" s="5" t="str">
        <x:v>dg-wq-0066</x:v>
      </x:c>
      <x:c r="I1417" s="5" t="str">
        <x:v>4.2.3</x:v>
      </x:c>
      <x:c r="J1417" s="5" t="str">
        <x:v>Führungsstile</x:v>
      </x:c>
      <x:c r="K1417" s="5" t="str"/>
      <x:c r="L1417" s="5" t="str">
        <x:v>Führungsgrundlagen, Motivation &amp; Führungsstile</x:v>
      </x:c>
      <x:c r="M1417" s="5" t="n">
        <x:v>63</x:v>
      </x:c>
      <x:c r="N1417" s="5" t="n">
        <x:v>23</x:v>
      </x:c>
      <x:c r="O1417" s="5" t="str"/>
      <x:c r="P1417" s="5" t="str">
        <x:v>Zuordnungsvorschlag; Fachfreigabe ausstehend</x:v>
      </x:c>
      <x:c r="Q1417" s="5" t="str">
        <x:v>Bestehendes Lernthema fachlich unter passendem Rahmenplan-Unterbereich behalten</x:v>
      </x:c>
      <x:c r="R1417" s="5" t="str">
        <x:v>Erläutern Sie das Managerial Grid nach Blake und Mouton. Beschreiben Sie die beiden Dimensionen sowie die Führungsstile 1.1, 9.1, 1.9, 5.5 und 9.9.</x:v>
      </x:c>
      <x:c r="S1417" s="5" t="str">
        <x:v>2d278fe5c7c7ee228b1ccb4bfaef15a7c6f08f1b9a6c59c177eea67abc04fa52</x:v>
      </x:c>
    </x:row>
    <x:row r="1418" ht="36" customHeight="1">
      <x:c r="A1418" s="5" t="str">
        <x:v>UF-0207</x:v>
      </x:c>
      <x:c r="B1418" s="5" t="str">
        <x:v>WQ</x:v>
      </x:c>
      <x:c r="C1418" s="5" t="str">
        <x:v>4</x:v>
      </x:c>
      <x:c r="D1418" s="5" t="str">
        <x:v>Unternehmensführung</x:v>
      </x:c>
      <x:c r="E1418" s="5" t="str">
        <x:v>Unternehmensführung</x:v>
      </x:c>
      <x:c r="F1418" s="5" t="str">
        <x:v>ui-wq-0011</x:v>
      </x:c>
      <x:c r="G1418" s="5" t="str">
        <x:v>Personalführung</x:v>
      </x:c>
      <x:c r="H1418" s="5" t="str">
        <x:v>dg-wq-0066</x:v>
      </x:c>
      <x:c r="I1418" s="5" t="str">
        <x:v>4.2.3</x:v>
      </x:c>
      <x:c r="J1418" s="5" t="str">
        <x:v>Führungsstile</x:v>
      </x:c>
      <x:c r="K1418" s="5" t="str"/>
      <x:c r="L1418" s="5" t="str">
        <x:v>Führungsgrundlagen, Motivation &amp; Führungsstile</x:v>
      </x:c>
      <x:c r="M1418" s="5" t="n">
        <x:v>64</x:v>
      </x:c>
      <x:c r="N1418" s="5" t="n">
        <x:v>24</x:v>
      </x:c>
      <x:c r="O1418" s="5" t="str"/>
      <x:c r="P1418" s="5" t="str">
        <x:v>Zuordnungsvorschlag; Fachfreigabe ausstehend</x:v>
      </x:c>
      <x:c r="Q1418" s="5" t="str">
        <x:v>Bestehendes Lernthema fachlich unter passendem Rahmenplan-Unterbereich behalten</x:v>
      </x:c>
      <x:c r="R1418" s="5" t="str">
        <x:v>Beschreiben Sie das situative Führen nach Hersey und Blanchard für vier unterschiedliche Reifegrade. Erklären Sie außerdem, warum situatives Delegieren nicht mit Laissez-faire gleichzusetzen ist.</x:v>
      </x:c>
      <x:c r="S1418" s="5" t="str">
        <x:v>98c079e564d15fb6e7e42447c2c5020b160d6300032274e2d98f2aef52cf7756</x:v>
      </x:c>
    </x:row>
    <x:row r="1419" ht="36" customHeight="1">
      <x:c r="A1419" s="5" t="str">
        <x:v>UF-0208</x:v>
      </x:c>
      <x:c r="B1419" s="5" t="str">
        <x:v>WQ</x:v>
      </x:c>
      <x:c r="C1419" s="5" t="str">
        <x:v>4</x:v>
      </x:c>
      <x:c r="D1419" s="5" t="str">
        <x:v>Unternehmensführung</x:v>
      </x:c>
      <x:c r="E1419" s="5" t="str">
        <x:v>Unternehmensführung</x:v>
      </x:c>
      <x:c r="F1419" s="5" t="str">
        <x:v>ui-wq-0011</x:v>
      </x:c>
      <x:c r="G1419" s="5" t="str">
        <x:v>Personalführung</x:v>
      </x:c>
      <x:c r="H1419" s="5" t="str">
        <x:v>dg-wq-0071</x:v>
      </x:c>
      <x:c r="I1419" s="5" t="str">
        <x:v>4.2.4</x:v>
      </x:c>
      <x:c r="J1419" s="5" t="str">
        <x:v>Führen von Gruppen</x:v>
      </x:c>
      <x:c r="K1419" s="5" t="str"/>
      <x:c r="L1419" s="5" t="str">
        <x:v>Gruppenführung &amp; Gruppenverhalten</x:v>
      </x:c>
      <x:c r="M1419" s="5" t="n">
        <x:v>65</x:v>
      </x:c>
      <x:c r="N1419" s="5" t="n">
        <x:v>10</x:v>
      </x:c>
      <x:c r="O1419" s="5" t="str"/>
      <x:c r="P1419" s="5" t="str">
        <x:v>Zuordnungsvorschlag; Fachfreigabe ausstehend</x:v>
      </x:c>
      <x:c r="Q1419" s="5" t="str">
        <x:v>Bestehendes Lernthema fachlich unter passendem Rahmenplan-Unterbereich behalten</x:v>
      </x:c>
      <x:c r="R1419" s="5" t="str">
        <x:v>Nennen Sie die fünf typischen Phasen der Teamentwicklung und beschreiben Sie für jede Phase eine geeignete Führungsmaßnahme.</x:v>
      </x:c>
      <x:c r="S1419" s="5" t="str">
        <x:v>82ad3d90a15b104b8985c90c1492a5e2e070ae0c4dc772be158f6ab34a033482</x:v>
      </x:c>
    </x:row>
    <x:row r="1420" ht="36" customHeight="1">
      <x:c r="A1420" s="5" t="str">
        <x:v>UF-0209</x:v>
      </x:c>
      <x:c r="B1420" s="5" t="str">
        <x:v>WQ</x:v>
      </x:c>
      <x:c r="C1420" s="5" t="str">
        <x:v>4</x:v>
      </x:c>
      <x:c r="D1420" s="5" t="str">
        <x:v>Unternehmensführung</x:v>
      </x:c>
      <x:c r="E1420" s="5" t="str">
        <x:v>Unternehmensführung</x:v>
      </x:c>
      <x:c r="F1420" s="5" t="str">
        <x:v>ui-wq-0011</x:v>
      </x:c>
      <x:c r="G1420" s="5" t="str">
        <x:v>Personalführung</x:v>
      </x:c>
      <x:c r="H1420" s="5" t="str">
        <x:v>dg-wq-0071</x:v>
      </x:c>
      <x:c r="I1420" s="5" t="str">
        <x:v>4.2.4</x:v>
      </x:c>
      <x:c r="J1420" s="5" t="str">
        <x:v>Führen von Gruppen</x:v>
      </x:c>
      <x:c r="K1420" s="5" t="str"/>
      <x:c r="L1420" s="5" t="str">
        <x:v>Gruppenführung &amp; Gruppenverhalten</x:v>
      </x:c>
      <x:c r="M1420" s="5" t="n">
        <x:v>66</x:v>
      </x:c>
      <x:c r="N1420" s="5" t="n">
        <x:v>11</x:v>
      </x:c>
      <x:c r="O1420" s="5" t="str"/>
      <x:c r="P1420" s="5" t="str">
        <x:v>Zuordnungsvorschlag; Fachfreigabe ausstehend</x:v>
      </x:c>
      <x:c r="Q1420" s="5" t="str">
        <x:v>Bestehendes Lernthema fachlich unter passendem Rahmenplan-Unterbereich behalten</x:v>
      </x:c>
      <x:c r="R1420" s="5" t="str">
        <x:v>Nennen Sie vier mögliche informelle Gruppenrollen und beschreiben Sie jeweils eine angemessene Führungsreaktion.</x:v>
      </x:c>
      <x:c r="S1420" s="5" t="str">
        <x:v>51453fe752891430cbc6b06259b28d0923eaf3c24ba05c57e8c27b75e83ee60c</x:v>
      </x:c>
    </x:row>
    <x:row r="1421" ht="36" customHeight="1">
      <x:c r="A1421" s="5" t="str">
        <x:v>UF-0210</x:v>
      </x:c>
      <x:c r="B1421" s="5" t="str">
        <x:v>WQ</x:v>
      </x:c>
      <x:c r="C1421" s="5" t="str">
        <x:v>4</x:v>
      </x:c>
      <x:c r="D1421" s="5" t="str">
        <x:v>Unternehmensführung</x:v>
      </x:c>
      <x:c r="E1421" s="5" t="str">
        <x:v>Unternehmensführung</x:v>
      </x:c>
      <x:c r="F1421" s="5" t="str">
        <x:v>ui-wq-0011</x:v>
      </x:c>
      <x:c r="G1421" s="5" t="str">
        <x:v>Personalführung</x:v>
      </x:c>
      <x:c r="H1421" s="5" t="str">
        <x:v>dg-wq-0071</x:v>
      </x:c>
      <x:c r="I1421" s="5" t="str">
        <x:v>4.2.4</x:v>
      </x:c>
      <x:c r="J1421" s="5" t="str">
        <x:v>Führen von Gruppen</x:v>
      </x:c>
      <x:c r="K1421" s="5" t="str"/>
      <x:c r="L1421" s="5" t="str">
        <x:v>Gruppenführung &amp; Gruppenverhalten</x:v>
      </x:c>
      <x:c r="M1421" s="5" t="n">
        <x:v>67</x:v>
      </x:c>
      <x:c r="N1421" s="5" t="n">
        <x:v>12</x:v>
      </x:c>
      <x:c r="O1421" s="5" t="str"/>
      <x:c r="P1421" s="5" t="str">
        <x:v>Zuordnungsvorschlag; Fachfreigabe ausstehend</x:v>
      </x:c>
      <x:c r="Q1421" s="5" t="str">
        <x:v>Bestehendes Lernthema fachlich unter passendem Rahmenplan-Unterbereich behalten</x:v>
      </x:c>
      <x:c r="R1421" s="5" t="str">
        <x:v>Unterscheiden Sie vier betriebliche Konfliktarten. Beschreiben Sie anschließend einen sinnvollen Konfliktbearbeitungsprozess und die Rolle einer Mediatorin beziehungsweise eines Mediators.</x:v>
      </x:c>
      <x:c r="S1421" s="5" t="str">
        <x:v>2d303f402bbf5b13d014aaff0e89d828ef8176500eacd1c24b10bfc6544c576f</x:v>
      </x:c>
    </x:row>
    <x:row r="1422" ht="36" customHeight="1">
      <x:c r="A1422" s="5" t="str">
        <x:v>UF-0211</x:v>
      </x:c>
      <x:c r="B1422" s="5" t="str">
        <x:v>WQ</x:v>
      </x:c>
      <x:c r="C1422" s="5" t="str">
        <x:v>4</x:v>
      </x:c>
      <x:c r="D1422" s="5" t="str">
        <x:v>Unternehmensführung</x:v>
      </x:c>
      <x:c r="E1422" s="5" t="str">
        <x:v>Unternehmensführung</x:v>
      </x:c>
      <x:c r="F1422" s="5" t="str">
        <x:v>ui-wq-0011</x:v>
      </x:c>
      <x:c r="G1422" s="5" t="str">
        <x:v>Personalführung</x:v>
      </x:c>
      <x:c r="H1422" s="5" t="str">
        <x:v>dg-wq-0072</x:v>
      </x:c>
      <x:c r="I1422" s="5" t="str">
        <x:v>4.2.5</x:v>
      </x:c>
      <x:c r="J1422" s="5" t="str">
        <x:v>Personalplanung</x:v>
      </x:c>
      <x:c r="K1422" s="5" t="str"/>
      <x:c r="L1422" s="5" t="str">
        <x:v>Personalplanung &amp; -beschaffung</x:v>
      </x:c>
      <x:c r="M1422" s="5" t="n">
        <x:v>68</x:v>
      </x:c>
      <x:c r="N1422" s="5" t="n">
        <x:v>13</x:v>
      </x:c>
      <x:c r="O1422" s="5" t="str"/>
      <x:c r="P1422" s="5" t="str">
        <x:v>Zuordnungsvorschlag; Fachfreigabe ausstehend</x:v>
      </x:c>
      <x:c r="Q1422" s="5" t="str">
        <x:v>Bestehendes Lernthema fachlich unter passendem Rahmenplan-Unterbereich behalten</x:v>
      </x:c>
      <x:c r="R1422" s="5" t="str">
        <x:v>Unterscheiden Sie quantitative und qualitative Personalplanung. Nennen Sie außerdem zwei Methoden der quantitativen Bedarfsermittlung und erläutern Sie die Bedeutung des Anforderungsprofils für die qualitative Planung.</x:v>
      </x:c>
      <x:c r="S1422" s="5" t="str">
        <x:v>478e07907c44807800a294db126f9fcb4e10762f01a8c5142e8df2459736aaad</x:v>
      </x:c>
    </x:row>
    <x:row r="1423" ht="36" customHeight="1">
      <x:c r="A1423" s="5" t="str">
        <x:v>UF-0212</x:v>
      </x:c>
      <x:c r="B1423" s="5" t="str">
        <x:v>WQ</x:v>
      </x:c>
      <x:c r="C1423" s="5" t="str">
        <x:v>4</x:v>
      </x:c>
      <x:c r="D1423" s="5" t="str">
        <x:v>Unternehmensführung</x:v>
      </x:c>
      <x:c r="E1423" s="5" t="str">
        <x:v>Unternehmensführung</x:v>
      </x:c>
      <x:c r="F1423" s="5" t="str">
        <x:v>ui-wq-0011</x:v>
      </x:c>
      <x:c r="G1423" s="5" t="str">
        <x:v>Personalführung</x:v>
      </x:c>
      <x:c r="H1423" s="5" t="str">
        <x:v>dg-wq-0073</x:v>
      </x:c>
      <x:c r="I1423" s="5" t="str">
        <x:v>4.2.6</x:v>
      </x:c>
      <x:c r="J1423" s="5" t="str">
        <x:v>Personalbeschaffung</x:v>
      </x:c>
      <x:c r="K1423" s="5" t="str"/>
      <x:c r="L1423" s="5" t="str">
        <x:v>Personalplanung &amp; -beschaffung</x:v>
      </x:c>
      <x:c r="M1423" s="5" t="n">
        <x:v>69</x:v>
      </x:c>
      <x:c r="N1423" s="5" t="n">
        <x:v>5</x:v>
      </x:c>
      <x:c r="O1423" s="5" t="str"/>
      <x:c r="P1423" s="5" t="str">
        <x:v>Zuordnungsvorschlag; Fachfreigabe ausstehend</x:v>
      </x:c>
      <x:c r="Q1423" s="5" t="str">
        <x:v>Frageinhalt präzisiert bzw. teilt bisheriges Sammelthema</x:v>
      </x:c>
      <x:c r="R1423" s="5" t="str">
        <x:v>Vergleichen Sie interne und externe Personalbeschaffung mit jeweils zwei Vor- und Nachteilen. Nennen Sie außerdem die im AGG geschützten Merkmale, die bei Ausschreibung und Auswahl zu beachten sind.</x:v>
      </x:c>
      <x:c r="S1423" s="5" t="str">
        <x:v>8e95369018256632f5a677b4df6208fdaf101c0d873d5cd15dbf2823a92ff44a</x:v>
      </x:c>
    </x:row>
    <x:row r="1424" ht="36" customHeight="1">
      <x:c r="A1424" s="5" t="str">
        <x:v>UF-0213</x:v>
      </x:c>
      <x:c r="B1424" s="5" t="str">
        <x:v>WQ</x:v>
      </x:c>
      <x:c r="C1424" s="5" t="str">
        <x:v>4</x:v>
      </x:c>
      <x:c r="D1424" s="5" t="str">
        <x:v>Unternehmensführung</x:v>
      </x:c>
      <x:c r="E1424" s="5" t="str">
        <x:v>Unternehmensführung</x:v>
      </x:c>
      <x:c r="F1424" s="5" t="str">
        <x:v>ui-wq-0011</x:v>
      </x:c>
      <x:c r="G1424" s="5" t="str">
        <x:v>Personalführung</x:v>
      </x:c>
      <x:c r="H1424" s="5" t="str">
        <x:v>dg-wq-0075</x:v>
      </x:c>
      <x:c r="I1424" s="5" t="str">
        <x:v>4.2.8.1</x:v>
      </x:c>
      <x:c r="J1424" s="5" t="str">
        <x:v>Bestimmungsgrößen</x:v>
      </x:c>
      <x:c r="K1424" s="5" t="str"/>
      <x:c r="L1424" s="5" t="str">
        <x:v>Personalanpassung, Entgelt &amp; Personalkosten</x:v>
      </x:c>
      <x:c r="M1424" s="5" t="n">
        <x:v>70</x:v>
      </x:c>
      <x:c r="N1424" s="5" t="n">
        <x:v>7</x:v>
      </x:c>
      <x:c r="O1424" s="5" t="str"/>
      <x:c r="P1424" s="5" t="str">
        <x:v>Zuordnungsvorschlag; Fachfreigabe ausstehend</x:v>
      </x:c>
      <x:c r="Q1424" s="5" t="str">
        <x:v>Frageinhalt präzisiert bzw. teilt bisheriges Sammelthema</x:v>
      </x:c>
      <x:c r="R1424" s="5" t="str">
        <x:v>Nennen Sie fünf Bestimmungsgrößen des Arbeitsentgelts und unterscheiden Sie summative und analytische Stellenbewertung.</x:v>
      </x:c>
      <x:c r="S1424" s="5" t="str">
        <x:v>a4657b28a9da83f149a41a48f3074379a581fe22bcd84d0f1d7fc5c447e8fc59</x:v>
      </x:c>
    </x:row>
    <x:row r="1425" ht="36" customHeight="1">
      <x:c r="A1425" s="5" t="str">
        <x:v>UF-0214</x:v>
      </x:c>
      <x:c r="B1425" s="5" t="str">
        <x:v>WQ</x:v>
      </x:c>
      <x:c r="C1425" s="5" t="str">
        <x:v>4</x:v>
      </x:c>
      <x:c r="D1425" s="5" t="str">
        <x:v>Unternehmensführung</x:v>
      </x:c>
      <x:c r="E1425" s="5" t="str">
        <x:v>Unternehmensführung</x:v>
      </x:c>
      <x:c r="F1425" s="5" t="str">
        <x:v>ui-wq-0012</x:v>
      </x:c>
      <x:c r="G1425" s="5" t="str">
        <x:v>Personalentwicklung</x:v>
      </x:c>
      <x:c r="H1425" s="5" t="str">
        <x:v>dg-wq-0070</x:v>
      </x:c>
      <x:c r="I1425" s="5" t="str">
        <x:v>4.3.1</x:v>
      </x:c>
      <x:c r="J1425" s="5" t="str">
        <x:v>Arten</x:v>
      </x:c>
      <x:c r="K1425" s="5" t="str"/>
      <x:c r="L1425" s="5" t="str">
        <x:v>Arten der Personalentwicklung</x:v>
      </x:c>
      <x:c r="M1425" s="5" t="n">
        <x:v>42</x:v>
      </x:c>
      <x:c r="N1425" s="5" t="n">
        <x:v>19</x:v>
      </x:c>
      <x:c r="O1425" s="5" t="str"/>
      <x:c r="P1425" s="5" t="str">
        <x:v>Zuordnungsvorschlag; Fachfreigabe ausstehend</x:v>
      </x:c>
      <x:c r="Q1425" s="5" t="str">
        <x:v>Bestehendes Lernthema fachlich unter passendem Rahmenplan-Unterbereich behalten</x:v>
      </x:c>
      <x:c r="R1425" s="5" t="str">
        <x:v>Grenzen Sie Personalentwicklung und Organisationsentwicklung voneinander ab. Erläutern Sie Human-, Struktur- und Beziehungskapital und beschreiben Sie die vier Phasen einer systematischen Personalentwicklungsmaßnahme.</x:v>
      </x:c>
      <x:c r="S1425" s="5" t="str">
        <x:v>26f9a0f4a3760b925b3a7e9102359f363ef5683cb0aa72c6a6dc7d7bbffdf35a</x:v>
      </x:c>
    </x:row>
    <x:row r="1426" ht="36" customHeight="1">
      <x:c r="A1426" s="5" t="str">
        <x:v>UF-0215</x:v>
      </x:c>
      <x:c r="B1426" s="5" t="str">
        <x:v>WQ</x:v>
      </x:c>
      <x:c r="C1426" s="5" t="str">
        <x:v>4</x:v>
      </x:c>
      <x:c r="D1426" s="5" t="str">
        <x:v>Unternehmensführung</x:v>
      </x:c>
      <x:c r="E1426" s="5" t="str">
        <x:v>Unternehmensführung</x:v>
      </x:c>
      <x:c r="F1426" s="5" t="str">
        <x:v>ui-wq-0012</x:v>
      </x:c>
      <x:c r="G1426" s="5" t="str">
        <x:v>Personalentwicklung</x:v>
      </x:c>
      <x:c r="H1426" s="5" t="str">
        <x:v>dg-wq-0070</x:v>
      </x:c>
      <x:c r="I1426" s="5" t="str">
        <x:v>4.3.1</x:v>
      </x:c>
      <x:c r="J1426" s="5" t="str">
        <x:v>Arten</x:v>
      </x:c>
      <x:c r="K1426" s="5" t="str"/>
      <x:c r="L1426" s="5" t="str">
        <x:v>Arten der Personalentwicklung</x:v>
      </x:c>
      <x:c r="M1426" s="5" t="n">
        <x:v>43</x:v>
      </x:c>
      <x:c r="N1426" s="5" t="n">
        <x:v>20</x:v>
      </x:c>
      <x:c r="O1426" s="5" t="str"/>
      <x:c r="P1426" s="5" t="str">
        <x:v>Zuordnungsvorschlag; Fachfreigabe ausstehend</x:v>
      </x:c>
      <x:c r="Q1426" s="5" t="str">
        <x:v>Bestehendes Lernthema fachlich unter passendem Rahmenplan-Unterbereich behalten</x:v>
      </x:c>
      <x:c r="R1426" s="5" t="str">
        <x:v>Nennen und unterscheiden Sie die vier Formen der Berufsbildung nach § 1 BBiG. Beschreiben Sie außerdem vier wesentliche Pflichten der Ausbildenden.</x:v>
      </x:c>
      <x:c r="S1426" s="5" t="str">
        <x:v>5d71616c2350fc045e2a49f7295a95931cf904f55d0fbc955a261d8dc54ce20a</x:v>
      </x:c>
    </x:row>
    <x:row r="1427" ht="36" customHeight="1">
      <x:c r="A1427" s="5" t="str">
        <x:v>UF-0216</x:v>
      </x:c>
      <x:c r="B1427" s="5" t="str">
        <x:v>WQ</x:v>
      </x:c>
      <x:c r="C1427" s="5" t="str">
        <x:v>4</x:v>
      </x:c>
      <x:c r="D1427" s="5" t="str">
        <x:v>Unternehmensführung</x:v>
      </x:c>
      <x:c r="E1427" s="5" t="str">
        <x:v>Unternehmensführung</x:v>
      </x:c>
      <x:c r="F1427" s="5" t="str">
        <x:v>ui-wq-0012</x:v>
      </x:c>
      <x:c r="G1427" s="5" t="str">
        <x:v>Personalentwicklung</x:v>
      </x:c>
      <x:c r="H1427" s="5" t="str">
        <x:v>dg-wq-0070</x:v>
      </x:c>
      <x:c r="I1427" s="5" t="str">
        <x:v>4.3.1</x:v>
      </x:c>
      <x:c r="J1427" s="5" t="str">
        <x:v>Arten</x:v>
      </x:c>
      <x:c r="K1427" s="5" t="str"/>
      <x:c r="L1427" s="5" t="str">
        <x:v>Arten der Personalentwicklung</x:v>
      </x:c>
      <x:c r="M1427" s="5" t="n">
        <x:v>44</x:v>
      </x:c>
      <x:c r="N1427" s="5" t="n">
        <x:v>21</x:v>
      </x:c>
      <x:c r="O1427" s="5" t="str"/>
      <x:c r="P1427" s="5" t="str">
        <x:v>Zuordnungsvorschlag; Fachfreigabe ausstehend</x:v>
      </x:c>
      <x:c r="Q1427" s="5" t="str">
        <x:v>Bestehendes Lernthema fachlich unter passendem Rahmenplan-Unterbereich behalten</x:v>
      </x:c>
      <x:c r="R1427" s="5" t="str">
        <x:v>Unterscheiden Sie Training on the Job, off the Job, into the Job und along the Job sowie Job Enlargement, Job Rotation und Job Enrichment.</x:v>
      </x:c>
      <x:c r="S1427" s="5" t="str">
        <x:v>0a9050f3bc505984054602bbefa39991530dc0713c7ef317fc5987449e9a05b0</x:v>
      </x:c>
    </x:row>
    <x:row r="1428" ht="36" customHeight="1">
      <x:c r="A1428" s="5" t="str">
        <x:v>UF-0217</x:v>
      </x:c>
      <x:c r="B1428" s="5" t="str">
        <x:v>WQ</x:v>
      </x:c>
      <x:c r="C1428" s="5" t="str">
        <x:v>4</x:v>
      </x:c>
      <x:c r="D1428" s="5" t="str">
        <x:v>Unternehmensführung</x:v>
      </x:c>
      <x:c r="E1428" s="5" t="str">
        <x:v>Unternehmensführung</x:v>
      </x:c>
      <x:c r="F1428" s="5" t="str">
        <x:v>ui-wq-0012</x:v>
      </x:c>
      <x:c r="G1428" s="5" t="str">
        <x:v>Personalentwicklung</x:v>
      </x:c>
      <x:c r="H1428" s="5" t="str">
        <x:v>dg-wq-0077</x:v>
      </x:c>
      <x:c r="I1428" s="5" t="str">
        <x:v>4.3.3</x:v>
      </x:c>
      <x:c r="J1428" s="5" t="str">
        <x:v>Kosten- und Nutzenanalyse der Personalentwicklung</x:v>
      </x:c>
      <x:c r="K1428" s="5" t="str"/>
      <x:c r="L1428" s="5" t="str">
        <x:v>Potenzialanalyse &amp; Personalcontrolling</x:v>
      </x:c>
      <x:c r="M1428" s="5" t="n">
        <x:v>45</x:v>
      </x:c>
      <x:c r="N1428" s="5" t="n">
        <x:v>2</x:v>
      </x:c>
      <x:c r="O1428" s="5" t="str"/>
      <x:c r="P1428" s="5" t="str">
        <x:v>Zuordnungsvorschlag; Fachfreigabe ausstehend</x:v>
      </x:c>
      <x:c r="Q1428" s="5" t="str">
        <x:v>Frageinhalt präzisiert bzw. teilt bisheriges Sammelthema</x:v>
      </x:c>
      <x:c r="R1428" s="5" t="str">
        <x:v>Unterscheiden Sie direkte und indirekte Kosten einer Personalentwicklungsmaßnahme. Beschreiben Sie anschließend vier Ebenen der Erfolgskontrolle.</x:v>
      </x:c>
      <x:c r="S1428" s="5" t="str">
        <x:v>65a700d90693b91f9b581e02a20c9a83fc5a0a51cf05768d5580f90a53f1f8e7</x:v>
      </x:c>
    </x:row>
    <x:row r="1429" ht="36" customHeight="1">
      <x:c r="A1429" s="5" t="str">
        <x:v>UF-0218</x:v>
      </x:c>
      <x:c r="B1429" s="5" t="str">
        <x:v>WQ</x:v>
      </x:c>
      <x:c r="C1429" s="5" t="str">
        <x:v>4</x:v>
      </x:c>
      <x:c r="D1429" s="5" t="str">
        <x:v>Unternehmensführung</x:v>
      </x:c>
      <x:c r="E1429" s="5" t="str">
        <x:v>Unternehmensführung</x:v>
      </x:c>
      <x:c r="F1429" s="5" t="str">
        <x:v>ui-wq-0010</x:v>
      </x:c>
      <x:c r="G1429" s="5" t="str">
        <x:v>Betriebsorganisation</x:v>
      </x:c>
      <x:c r="H1429" s="5" t="str">
        <x:v>dg-wq-0078</x:v>
      </x:c>
      <x:c r="I1429" s="5" t="str">
        <x:v>4.1.2</x:v>
      </x:c>
      <x:c r="J1429" s="5" t="str">
        <x:v>Strategische und operative Planung</x:v>
      </x:c>
      <x:c r="K1429" s="5" t="str"/>
      <x:c r="L1429" s="5" t="str">
        <x:v>Unternehmensplanung &amp; Ziele</x:v>
      </x:c>
      <x:c r="M1429" s="5" t="n">
        <x:v>103</x:v>
      </x:c>
      <x:c r="N1429" s="5" t="n">
        <x:v>1</x:v>
      </x:c>
      <x:c r="O1429" s="5" t="str"/>
      <x:c r="P1429" s="5" t="str">
        <x:v>Zuordnungsvorschlag; Fachfreigabe ausstehend</x:v>
      </x:c>
      <x:c r="Q1429" s="5" t="str">
        <x:v>Bestehendes Lernthema fachlich unter passendem Rahmenplan-Unterbereich behalten</x:v>
      </x:c>
      <x:c r="R1429" s="5" t="str">
        <x:v>Unterscheiden Sie normative, strategische, taktische und operative Führungsebene. Erläutern Sie außerdem, was unter Zielidentität zu verstehen ist.</x:v>
      </x:c>
      <x:c r="S1429" s="5" t="str">
        <x:v>48d77327cd9090838782859599acc4e39a9c4f0fcbc07b5e0daf6e63bddf9b03</x:v>
      </x:c>
    </x:row>
    <x:row r="1430" ht="36" customHeight="1">
      <x:c r="A1430" s="5" t="str">
        <x:v>UF-0219</x:v>
      </x:c>
      <x:c r="B1430" s="5" t="str">
        <x:v>WQ</x:v>
      </x:c>
      <x:c r="C1430" s="5" t="str">
        <x:v>4</x:v>
      </x:c>
      <x:c r="D1430" s="5" t="str">
        <x:v>Unternehmensführung</x:v>
      </x:c>
      <x:c r="E1430" s="5" t="str">
        <x:v>Unternehmensführung</x:v>
      </x:c>
      <x:c r="F1430" s="5" t="str">
        <x:v>ui-wq-0010</x:v>
      </x:c>
      <x:c r="G1430" s="5" t="str">
        <x:v>Betriebsorganisation</x:v>
      </x:c>
      <x:c r="H1430" s="5" t="str">
        <x:v>dg-wq-0078</x:v>
      </x:c>
      <x:c r="I1430" s="5" t="str">
        <x:v>4.1.2</x:v>
      </x:c>
      <x:c r="J1430" s="5" t="str">
        <x:v>Strategische und operative Planung</x:v>
      </x:c>
      <x:c r="K1430" s="5" t="str"/>
      <x:c r="L1430" s="5" t="str">
        <x:v>Unternehmensplanung &amp; Ziele</x:v>
      </x:c>
      <x:c r="M1430" s="5" t="n">
        <x:v>104</x:v>
      </x:c>
      <x:c r="N1430" s="5" t="n">
        <x:v>2</x:v>
      </x:c>
      <x:c r="O1430" s="5" t="str"/>
      <x:c r="P1430" s="5" t="str">
        <x:v>Zuordnungsvorschlag; Fachfreigabe ausstehend</x:v>
      </x:c>
      <x:c r="Q1430" s="5" t="str">
        <x:v>Bestehendes Lernthema fachlich unter passendem Rahmenplan-Unterbereich behalten</x:v>
      </x:c>
      <x:c r="R1430" s="5" t="str">
        <x:v>Grenzen Sie Top-down, Bottom-up, Gegenstromverfahren, Center-Out und Multiple-Nucleus als Planungsverfahren voneinander ab.</x:v>
      </x:c>
      <x:c r="S1430" s="5" t="str">
        <x:v>c0dccc78b5f2f2199b4b99f096607d4dc97c74ce42be7bb5c16c27a44fc45a47</x:v>
      </x:c>
    </x:row>
    <x:row r="1431" ht="36" customHeight="1">
      <x:c r="A1431" s="5" t="str">
        <x:v>UF-0220</x:v>
      </x:c>
      <x:c r="B1431" s="5" t="str">
        <x:v>WQ</x:v>
      </x:c>
      <x:c r="C1431" s="5" t="str">
        <x:v>4</x:v>
      </x:c>
      <x:c r="D1431" s="5" t="str">
        <x:v>Unternehmensführung</x:v>
      </x:c>
      <x:c r="E1431" s="5" t="str">
        <x:v>Unternehmensführung</x:v>
      </x:c>
      <x:c r="F1431" s="5" t="str">
        <x:v>ui-wq-0010</x:v>
      </x:c>
      <x:c r="G1431" s="5" t="str">
        <x:v>Betriebsorganisation</x:v>
      </x:c>
      <x:c r="H1431" s="5" t="str">
        <x:v>dg-wq-0067</x:v>
      </x:c>
      <x:c r="I1431" s="5" t="str">
        <x:v>4.1.3</x:v>
      </x:c>
      <x:c r="J1431" s="5" t="str">
        <x:v>Aufbauorganisation</x:v>
      </x:c>
      <x:c r="K1431" s="5" t="str"/>
      <x:c r="L1431" s="5" t="str">
        <x:v>Organisation &amp; Organisationsformen</x:v>
      </x:c>
      <x:c r="M1431" s="5" t="n">
        <x:v>105</x:v>
      </x:c>
      <x:c r="N1431" s="5" t="n">
        <x:v>45</x:v>
      </x:c>
      <x:c r="O1431" s="5" t="str"/>
      <x:c r="P1431" s="5" t="str">
        <x:v>Zuordnungsvorschlag; Fachfreigabe ausstehend</x:v>
      </x:c>
      <x:c r="Q1431" s="5" t="str">
        <x:v>Bestehendes Lernthema fachlich unter passendem Rahmenplan-Unterbereich behalten</x:v>
      </x:c>
      <x:c r="R1431" s="5" t="str">
        <x:v>Nennen Sie vier zusätzliche Organisationsprinzipien und erläutern Sie den Unterschied zwischen Unterorganisation und Überorganisation.</x:v>
      </x:c>
      <x:c r="S1431" s="5" t="str">
        <x:v>2c4df9ff6d602b74f1790dcb74a0f9d2a94e062e8fe8341eed0495e4bad0b50d</x:v>
      </x:c>
    </x:row>
    <x:row r="1432" ht="36" customHeight="1">
      <x:c r="A1432" s="5" t="str">
        <x:v>UF-0221</x:v>
      </x:c>
      <x:c r="B1432" s="5" t="str">
        <x:v>WQ</x:v>
      </x:c>
      <x:c r="C1432" s="5" t="str">
        <x:v>4</x:v>
      </x:c>
      <x:c r="D1432" s="5" t="str">
        <x:v>Unternehmensführung</x:v>
      </x:c>
      <x:c r="E1432" s="5" t="str">
        <x:v>Unternehmensführung</x:v>
      </x:c>
      <x:c r="F1432" s="5" t="str">
        <x:v>ui-wq-0010</x:v>
      </x:c>
      <x:c r="G1432" s="5" t="str">
        <x:v>Betriebsorganisation</x:v>
      </x:c>
      <x:c r="H1432" s="5" t="str">
        <x:v>dg-wq-0067</x:v>
      </x:c>
      <x:c r="I1432" s="5" t="str">
        <x:v>4.1.3</x:v>
      </x:c>
      <x:c r="J1432" s="5" t="str">
        <x:v>Aufbauorganisation</x:v>
      </x:c>
      <x:c r="K1432" s="5" t="str"/>
      <x:c r="L1432" s="5" t="str">
        <x:v>Organisation &amp; Organisationsformen</x:v>
      </x:c>
      <x:c r="M1432" s="5" t="n">
        <x:v>106</x:v>
      </x:c>
      <x:c r="N1432" s="5" t="n">
        <x:v>46</x:v>
      </x:c>
      <x:c r="O1432" s="5" t="str"/>
      <x:c r="P1432" s="5" t="str">
        <x:v>Zuordnungsvorschlag; Fachfreigabe ausstehend</x:v>
      </x:c>
      <x:c r="Q1432" s="5" t="str">
        <x:v>Bestehendes Lernthema fachlich unter passendem Rahmenplan-Unterbereich behalten</x:v>
      </x:c>
      <x:c r="R1432" s="5" t="str">
        <x:v>Die Circle Harbor GmbH wächst von einem Produktbereich auf mehrere Produktlinien und unterschiedliche Kundengruppen. Vergleichen Sie funktionale und divisionale Organisation und beurteilen Sie, welche Struktur bei wachsender Produkt- und Marktdifferenzierung geeigneter sein kann.</x:v>
      </x:c>
      <x:c r="S1432" s="5" t="str">
        <x:v>c290f4bd6c364f1de5fed693e181cbd167894fe33fba0c7ecea11d053c4b1200</x:v>
      </x:c>
    </x:row>
    <x:row r="1433" ht="36" customHeight="1">
      <x:c r="A1433" s="5" t="str">
        <x:v>UF-0222</x:v>
      </x:c>
      <x:c r="B1433" s="5" t="str">
        <x:v>WQ</x:v>
      </x:c>
      <x:c r="C1433" s="5" t="str">
        <x:v>4</x:v>
      </x:c>
      <x:c r="D1433" s="5" t="str">
        <x:v>Unternehmensführung</x:v>
      </x:c>
      <x:c r="E1433" s="5" t="str">
        <x:v>Unternehmensführung</x:v>
      </x:c>
      <x:c r="F1433" s="5" t="str">
        <x:v>ui-wq-0010</x:v>
      </x:c>
      <x:c r="G1433" s="5" t="str">
        <x:v>Betriebsorganisation</x:v>
      </x:c>
      <x:c r="H1433" s="5" t="str">
        <x:v>dg-wq-0067</x:v>
      </x:c>
      <x:c r="I1433" s="5" t="str">
        <x:v>4.1.3</x:v>
      </x:c>
      <x:c r="J1433" s="5" t="str">
        <x:v>Aufbauorganisation</x:v>
      </x:c>
      <x:c r="K1433" s="5" t="str"/>
      <x:c r="L1433" s="5" t="str">
        <x:v>Qualitätsmanagement</x:v>
      </x:c>
      <x:c r="M1433" s="5" t="n">
        <x:v>107</x:v>
      </x:c>
      <x:c r="N1433" s="5" t="n">
        <x:v>47</x:v>
      </x:c>
      <x:c r="O1433" s="5" t="str"/>
      <x:c r="P1433" s="5" t="str">
        <x:v>Zuordnungsvorschlag; Fachfreigabe ausstehend</x:v>
      </x:c>
      <x:c r="Q1433" s="5" t="str">
        <x:v>Bestehendes Lernthema fachlich unter passendem Rahmenplan-Unterbereich behalten</x:v>
      </x:c>
      <x:c r="R1433" s="5" t="str">
        <x:v>Unterscheiden Sie objektive und subjektive Qualität. Ordnen Sie anschließend Qualitätskosten in Fehlerverhütungs-, Prüf-, interne Fehler- und externe Fehlerkosten ein und nennen Sie jeweils ein Beispiel.</x:v>
      </x:c>
      <x:c r="S1433" s="5" t="str">
        <x:v>34fa2e123aeafcc3bee8c016fb9e7e694f0eb2be939379c57390e3e8956b390c</x:v>
      </x:c>
    </x:row>
    <x:row r="1434" ht="36" customHeight="1">
      <x:c r="A1434" s="5" t="str">
        <x:v>UF-0223</x:v>
      </x:c>
      <x:c r="B1434" s="5" t="str">
        <x:v>WQ</x:v>
      </x:c>
      <x:c r="C1434" s="5" t="str">
        <x:v>4</x:v>
      </x:c>
      <x:c r="D1434" s="5" t="str">
        <x:v>Unternehmensführung</x:v>
      </x:c>
      <x:c r="E1434" s="5" t="str">
        <x:v>Unternehmensführung</x:v>
      </x:c>
      <x:c r="F1434" s="5" t="str">
        <x:v>ui-wq-0010</x:v>
      </x:c>
      <x:c r="G1434" s="5" t="str">
        <x:v>Betriebsorganisation</x:v>
      </x:c>
      <x:c r="H1434" s="5" t="str">
        <x:v>dg-wq-0067</x:v>
      </x:c>
      <x:c r="I1434" s="5" t="str">
        <x:v>4.1.3</x:v>
      </x:c>
      <x:c r="J1434" s="5" t="str">
        <x:v>Aufbauorganisation</x:v>
      </x:c>
      <x:c r="K1434" s="5" t="str"/>
      <x:c r="L1434" s="5" t="str">
        <x:v>Qualitätsmanagement</x:v>
      </x:c>
      <x:c r="M1434" s="5" t="n">
        <x:v>108</x:v>
      </x:c>
      <x:c r="N1434" s="5" t="n">
        <x:v>48</x:v>
      </x:c>
      <x:c r="O1434" s="5" t="str"/>
      <x:c r="P1434" s="5" t="str">
        <x:v>Zuordnungsvorschlag; Fachfreigabe ausstehend</x:v>
      </x:c>
      <x:c r="Q1434" s="5" t="str">
        <x:v>Bestehendes Lernthema fachlich unter passendem Rahmenplan-Unterbereich behalten</x:v>
      </x:c>
      <x:c r="R1434" s="5" t="str">
        <x:v>Die Circle Harbor GmbH verbessert einen bestehenden Kundenservice monatlich in kleinen Schritten und entwickelt parallel ein völlig neues digitales Servicekonzept. Grenzen Sie KVP und Innovation ab und ordnen Sie beide Vorhaben zu.</x:v>
      </x:c>
      <x:c r="S1434" s="5" t="str">
        <x:v>b76dce6144d925b827367604248c6763082623ac5d765de424680937e935252e</x:v>
      </x:c>
    </x:row>
    <x:row r="1435" ht="36" customHeight="1">
      <x:c r="A1435" s="5" t="str">
        <x:v>UF-0224</x:v>
      </x:c>
      <x:c r="B1435" s="5" t="str">
        <x:v>WQ</x:v>
      </x:c>
      <x:c r="C1435" s="5" t="str">
        <x:v>4</x:v>
      </x:c>
      <x:c r="D1435" s="5" t="str">
        <x:v>Unternehmensführung</x:v>
      </x:c>
      <x:c r="E1435" s="5" t="str">
        <x:v>Unternehmensführung</x:v>
      </x:c>
      <x:c r="F1435" s="5" t="str">
        <x:v>ui-wq-0011</x:v>
      </x:c>
      <x:c r="G1435" s="5" t="str">
        <x:v>Personalführung</x:v>
      </x:c>
      <x:c r="H1435" s="5" t="str">
        <x:v>dg-wq-0066</x:v>
      </x:c>
      <x:c r="I1435" s="5" t="str">
        <x:v>4.2.3</x:v>
      </x:c>
      <x:c r="J1435" s="5" t="str">
        <x:v>Führungsstile</x:v>
      </x:c>
      <x:c r="K1435" s="5" t="str"/>
      <x:c r="L1435" s="5" t="str">
        <x:v>Motivation &amp; Führung</x:v>
      </x:c>
      <x:c r="M1435" s="5" t="n">
        <x:v>71</x:v>
      </x:c>
      <x:c r="N1435" s="5" t="n">
        <x:v>25</x:v>
      </x:c>
      <x:c r="O1435" s="5" t="str"/>
      <x:c r="P1435" s="5" t="str">
        <x:v>Zuordnungsvorschlag; Fachfreigabe ausstehend</x:v>
      </x:c>
      <x:c r="Q1435" s="5" t="str">
        <x:v>Bestehendes Lernthema fachlich unter passendem Rahmenplan-Unterbereich behalten</x:v>
      </x:c>
      <x:c r="R1435" s="5" t="str">
        <x:v>Erläutern Sie das Leistungsmodell Können, Wollen und Dürfen. Zeigen Sie für jeden Faktor eine mögliche betriebliche Ursache für Minderleistung und eine passende Führungsmaßnahme.</x:v>
      </x:c>
      <x:c r="S1435" s="5" t="str">
        <x:v>9cc4f14f962387dbdc558ec5e1727aecc091ebf9b485ef58507d262efc115fdc</x:v>
      </x:c>
    </x:row>
    <x:row r="1436" ht="36" customHeight="1">
      <x:c r="A1436" s="5" t="str">
        <x:v>UF-0225</x:v>
      </x:c>
      <x:c r="B1436" s="5" t="str">
        <x:v>WQ</x:v>
      </x:c>
      <x:c r="C1436" s="5" t="str">
        <x:v>4</x:v>
      </x:c>
      <x:c r="D1436" s="5" t="str">
        <x:v>Unternehmensführung</x:v>
      </x:c>
      <x:c r="E1436" s="5" t="str">
        <x:v>Unternehmensführung</x:v>
      </x:c>
      <x:c r="F1436" s="5" t="str">
        <x:v>ui-wq-0011</x:v>
      </x:c>
      <x:c r="G1436" s="5" t="str">
        <x:v>Personalführung</x:v>
      </x:c>
      <x:c r="H1436" s="5" t="str">
        <x:v>dg-wq-0066</x:v>
      </x:c>
      <x:c r="I1436" s="5" t="str">
        <x:v>4.2.3</x:v>
      </x:c>
      <x:c r="J1436" s="5" t="str">
        <x:v>Führungsstile</x:v>
      </x:c>
      <x:c r="K1436" s="5" t="str"/>
      <x:c r="L1436" s="5" t="str">
        <x:v>Motivation &amp; Führung</x:v>
      </x:c>
      <x:c r="M1436" s="5" t="n">
        <x:v>72</x:v>
      </x:c>
      <x:c r="N1436" s="5" t="n">
        <x:v>26</x:v>
      </x:c>
      <x:c r="O1436" s="5" t="str"/>
      <x:c r="P1436" s="5" t="str">
        <x:v>Zuordnungsvorschlag; Fachfreigabe ausstehend</x:v>
      </x:c>
      <x:c r="Q1436" s="5" t="str">
        <x:v>Bestehendes Lernthema fachlich unter passendem Rahmenplan-Unterbereich behalten</x:v>
      </x:c>
      <x:c r="R1436" s="5" t="str">
        <x:v>Bei der Circle Harbor GmbH führt Teamleiter A mit enger Kontrolle, weil er Beschäftigte grundsätzlich für arbeitsunwillig hält. Teamleiterin B schafft Entscheidungsspielräume, weil sie Eigenverantwortung erwartet. Ordnen Sie beide Führungsannahmen den Theorien X und Y nach McGregor zu und erläutern Sie mögliche Folgen für das Führungsverhalten.</x:v>
      </x:c>
      <x:c r="S1436" s="5" t="str">
        <x:v>c39340f64c917a63931ed4e83c5a3ede604b0eb240c30ff635816743580d7773</x:v>
      </x:c>
    </x:row>
    <x:row r="1437" ht="36" customHeight="1">
      <x:c r="A1437" s="5" t="str">
        <x:v>UF-0226</x:v>
      </x:c>
      <x:c r="B1437" s="5" t="str">
        <x:v>WQ</x:v>
      </x:c>
      <x:c r="C1437" s="5" t="str">
        <x:v>4</x:v>
      </x:c>
      <x:c r="D1437" s="5" t="str">
        <x:v>Unternehmensführung</x:v>
      </x:c>
      <x:c r="E1437" s="5" t="str">
        <x:v>Unternehmensführung</x:v>
      </x:c>
      <x:c r="F1437" s="5" t="str">
        <x:v>ui-wq-0011</x:v>
      </x:c>
      <x:c r="G1437" s="5" t="str">
        <x:v>Personalführung</x:v>
      </x:c>
      <x:c r="H1437" s="5" t="str">
        <x:v>dg-wq-0066</x:v>
      </x:c>
      <x:c r="I1437" s="5" t="str">
        <x:v>4.2.3</x:v>
      </x:c>
      <x:c r="J1437" s="5" t="str">
        <x:v>Führungsstile</x:v>
      </x:c>
      <x:c r="K1437" s="5" t="str"/>
      <x:c r="L1437" s="5" t="str">
        <x:v>Motivation &amp; Führung</x:v>
      </x:c>
      <x:c r="M1437" s="5" t="n">
        <x:v>73</x:v>
      </x:c>
      <x:c r="N1437" s="5" t="n">
        <x:v>27</x:v>
      </x:c>
      <x:c r="O1437" s="5" t="str"/>
      <x:c r="P1437" s="5" t="str">
        <x:v>Zuordnungsvorschlag; Fachfreigabe ausstehend</x:v>
      </x:c>
      <x:c r="Q1437" s="5" t="str">
        <x:v>Bestehendes Lernthema fachlich unter passendem Rahmenplan-Unterbereich behalten</x:v>
      </x:c>
      <x:c r="R1437" s="5" t="str">
        <x:v>Nennen und erläutern Sie die vier Menschenbilder nach Edgar H. Schein und leiten Sie jeweils einen passenden Ansatz für Führung oder Motivation ab.</x:v>
      </x:c>
      <x:c r="S1437" s="5" t="str">
        <x:v>c7b36a70bf81b8c09a4a657833cbf60fd14fbf5f359345127824a36e3e9441c6</x:v>
      </x:c>
    </x:row>
    <x:row r="1438" ht="36" customHeight="1">
      <x:c r="A1438" s="5" t="str">
        <x:v>UF-0227</x:v>
      </x:c>
      <x:c r="B1438" s="5" t="str">
        <x:v>WQ</x:v>
      </x:c>
      <x:c r="C1438" s="5" t="str">
        <x:v>4</x:v>
      </x:c>
      <x:c r="D1438" s="5" t="str">
        <x:v>Unternehmensführung</x:v>
      </x:c>
      <x:c r="E1438" s="5" t="str">
        <x:v>Unternehmensführung</x:v>
      </x:c>
      <x:c r="F1438" s="5" t="str">
        <x:v>ui-wq-0011</x:v>
      </x:c>
      <x:c r="G1438" s="5" t="str">
        <x:v>Personalführung</x:v>
      </x:c>
      <x:c r="H1438" s="5" t="str">
        <x:v>dg-wq-0075</x:v>
      </x:c>
      <x:c r="I1438" s="5" t="str">
        <x:v>4.2.8</x:v>
      </x:c>
      <x:c r="J1438" s="5" t="str">
        <x:v>Entgeltformen</x:v>
      </x:c>
      <x:c r="K1438" s="5" t="str"/>
      <x:c r="L1438" s="5" t="str">
        <x:v>Motivation &amp; Führung</x:v>
      </x:c>
      <x:c r="M1438" s="5" t="n">
        <x:v>74</x:v>
      </x:c>
      <x:c r="N1438" s="5" t="n">
        <x:v>8</x:v>
      </x:c>
      <x:c r="O1438" s="5" t="str"/>
      <x:c r="P1438" s="5" t="str">
        <x:v>Zuordnungsvorschlag; Fachfreigabe ausstehend</x:v>
      </x:c>
      <x:c r="Q1438" s="5" t="str">
        <x:v>Frageinhalt präzisiert bzw. teilt bisheriges Sammelthema</x:v>
      </x:c>
      <x:c r="R1438" s="5" t="str">
        <x:v>Die Circle Harbor GmbH erhöht das Gehalt eines Teams und verbessert die Arbeitsplatzsicherheit. Die Zufriedenheit steigt jedoch nur begrenzt. Erläutern Sie dies mit Herzbergs Zwei-Faktoren-Theorie und nennen Sie vier geeignete Motivatoren.</x:v>
      </x:c>
      <x:c r="S1438" s="5" t="str">
        <x:v>ee2957ae9a0882f454266d4c4dcf739ce9d439140742f281b51d0ffe1dd421c6</x:v>
      </x:c>
    </x:row>
    <x:row r="1439" ht="36" customHeight="1">
      <x:c r="A1439" s="5" t="str">
        <x:v>UF-0228</x:v>
      </x:c>
      <x:c r="B1439" s="5" t="str">
        <x:v>WQ</x:v>
      </x:c>
      <x:c r="C1439" s="5" t="str">
        <x:v>4</x:v>
      </x:c>
      <x:c r="D1439" s="5" t="str">
        <x:v>Unternehmensführung</x:v>
      </x:c>
      <x:c r="E1439" s="5" t="str">
        <x:v>Unternehmensführung</x:v>
      </x:c>
      <x:c r="F1439" s="5" t="str">
        <x:v>ui-wq-0011</x:v>
      </x:c>
      <x:c r="G1439" s="5" t="str">
        <x:v>Personalführung</x:v>
      </x:c>
      <x:c r="H1439" s="5" t="str">
        <x:v>dg-wq-0079</x:v>
      </x:c>
      <x:c r="I1439" s="5" t="str">
        <x:v>4.2.2</x:v>
      </x:c>
      <x:c r="J1439" s="5" t="str">
        <x:v>Arten von Führung</x:v>
      </x:c>
      <x:c r="K1439" s="5" t="str"/>
      <x:c r="L1439" s="5" t="str">
        <x:v>Management-by-Techniken</x:v>
      </x:c>
      <x:c r="M1439" s="5" t="n">
        <x:v>75</x:v>
      </x:c>
      <x:c r="N1439" s="5" t="n">
        <x:v>1</x:v>
      </x:c>
      <x:c r="O1439" s="5" t="str"/>
      <x:c r="P1439" s="5" t="str">
        <x:v>Zuordnungsvorschlag; Fachfreigabe ausstehend</x:v>
      </x:c>
      <x:c r="Q1439" s="5" t="str">
        <x:v>Bestehendes Lernthema fachlich unter passendem Rahmenplan-Unterbereich behalten</x:v>
      </x:c>
      <x:c r="R1439" s="5" t="str">
        <x:v>Ordnen Sie den sechs Führungstechniken Management by Rules, Results, Crisis, Objectives, Delegation und Exception jeweils das zentrale Steuerungsprinzip zu.</x:v>
      </x:c>
      <x:c r="S1439" s="5" t="str">
        <x:v>a23fa37c8200f2e6dfb34c3e5fd5626d0c7186c29d79bdbeeb7c32b31098c366</x:v>
      </x:c>
    </x:row>
    <x:row r="1440" ht="36" customHeight="1">
      <x:c r="A1440" s="5" t="str">
        <x:v>UF-0229</x:v>
      </x:c>
      <x:c r="B1440" s="5" t="str">
        <x:v>WQ</x:v>
      </x:c>
      <x:c r="C1440" s="5" t="str">
        <x:v>4</x:v>
      </x:c>
      <x:c r="D1440" s="5" t="str">
        <x:v>Unternehmensführung</x:v>
      </x:c>
      <x:c r="E1440" s="5" t="str">
        <x:v>Unternehmensführung</x:v>
      </x:c>
      <x:c r="F1440" s="5" t="str">
        <x:v>ui-wq-0011</x:v>
      </x:c>
      <x:c r="G1440" s="5" t="str">
        <x:v>Personalführung</x:v>
      </x:c>
      <x:c r="H1440" s="5" t="str">
        <x:v>dg-wq-0071</x:v>
      </x:c>
      <x:c r="I1440" s="5" t="str">
        <x:v>4.2.4</x:v>
      </x:c>
      <x:c r="J1440" s="5" t="str">
        <x:v>Führen von Gruppen</x:v>
      </x:c>
      <x:c r="K1440" s="5" t="str"/>
      <x:c r="L1440" s="5" t="str">
        <x:v>Kommunikation &amp; Konflikte</x:v>
      </x:c>
      <x:c r="M1440" s="5" t="n">
        <x:v>76</x:v>
      </x:c>
      <x:c r="N1440" s="5" t="n">
        <x:v>13</x:v>
      </x:c>
      <x:c r="O1440" s="5" t="str"/>
      <x:c r="P1440" s="5" t="str">
        <x:v>Zuordnungsvorschlag; Fachfreigabe ausstehend</x:v>
      </x:c>
      <x:c r="Q1440" s="5" t="str">
        <x:v>Bestehendes Lernthema fachlich unter passendem Rahmenplan-Unterbereich behalten</x:v>
      </x:c>
      <x:c r="R1440" s="5" t="str">
        <x:v>In einem Meeting der Circle Harbor GmbH sagt eine Führungskraft zu einem Mitarbeiter: „Der Kundenbericht liegt noch nicht im Ordner.“ Analysieren Sie die Aussage mit dem Vier-Seiten-Modell nach Schulz von Thun.</x:v>
      </x:c>
      <x:c r="S1440" s="5" t="str">
        <x:v>cb1ed60828c70ce0b1c18b8f40a985f48dc925d1fd9683ef14a199450b0e08e3</x:v>
      </x:c>
    </x:row>
    <x:row r="1441" ht="36" customHeight="1">
      <x:c r="A1441" s="5" t="str">
        <x:v>UF-0230</x:v>
      </x:c>
      <x:c r="B1441" s="5" t="str">
        <x:v>WQ</x:v>
      </x:c>
      <x:c r="C1441" s="5" t="str">
        <x:v>4</x:v>
      </x:c>
      <x:c r="D1441" s="5" t="str">
        <x:v>Unternehmensführung</x:v>
      </x:c>
      <x:c r="E1441" s="5" t="str">
        <x:v>Unternehmensführung</x:v>
      </x:c>
      <x:c r="F1441" s="5" t="str">
        <x:v>ui-wq-0011</x:v>
      </x:c>
      <x:c r="G1441" s="5" t="str">
        <x:v>Personalführung</x:v>
      </x:c>
      <x:c r="H1441" s="5" t="str">
        <x:v>dg-wq-0071</x:v>
      </x:c>
      <x:c r="I1441" s="5" t="str">
        <x:v>4.2.4</x:v>
      </x:c>
      <x:c r="J1441" s="5" t="str">
        <x:v>Führen von Gruppen</x:v>
      </x:c>
      <x:c r="K1441" s="5" t="str"/>
      <x:c r="L1441" s="5" t="str">
        <x:v>Kommunikation &amp; Konflikte</x:v>
      </x:c>
      <x:c r="M1441" s="5" t="n">
        <x:v>77</x:v>
      </x:c>
      <x:c r="N1441" s="5" t="n">
        <x:v>14</x:v>
      </x:c>
      <x:c r="O1441" s="5" t="str"/>
      <x:c r="P1441" s="5" t="str">
        <x:v>Zuordnungsvorschlag; Fachfreigabe ausstehend</x:v>
      </x:c>
      <x:c r="Q1441" s="5" t="str">
        <x:v>Bestehendes Lernthema fachlich unter passendem Rahmenplan-Unterbereich behalten</x:v>
      </x:c>
      <x:c r="R1441" s="5" t="str">
        <x:v>Beschreiben Sie sechs konkrete Elemente des aktiven Zuhörens und erläutern Sie, warum aktives Zuhören in Mitarbeiter- und Konfliktgesprächen hilfreich ist.</x:v>
      </x:c>
      <x:c r="S1441" s="5" t="str">
        <x:v>4142262ec923842a74b8c45656e2b2e42252d46444b58e72c397c06b3f01f0c7</x:v>
      </x:c>
    </x:row>
    <x:row r="1442" ht="36" customHeight="1">
      <x:c r="A1442" s="5" t="str">
        <x:v>UF-0231</x:v>
      </x:c>
      <x:c r="B1442" s="5" t="str">
        <x:v>WQ</x:v>
      </x:c>
      <x:c r="C1442" s="5" t="str">
        <x:v>4</x:v>
      </x:c>
      <x:c r="D1442" s="5" t="str">
        <x:v>Unternehmensführung</x:v>
      </x:c>
      <x:c r="E1442" s="5" t="str">
        <x:v>Unternehmensführung</x:v>
      </x:c>
      <x:c r="F1442" s="5" t="str">
        <x:v>ui-wq-0011</x:v>
      </x:c>
      <x:c r="G1442" s="5" t="str">
        <x:v>Personalführung</x:v>
      </x:c>
      <x:c r="H1442" s="5" t="str">
        <x:v>dg-wq-0071</x:v>
      </x:c>
      <x:c r="I1442" s="5" t="str">
        <x:v>4.2.4</x:v>
      </x:c>
      <x:c r="J1442" s="5" t="str">
        <x:v>Führen von Gruppen</x:v>
      </x:c>
      <x:c r="K1442" s="5" t="str"/>
      <x:c r="L1442" s="5" t="str">
        <x:v>Kommunikation &amp; Konflikte</x:v>
      </x:c>
      <x:c r="M1442" s="5" t="n">
        <x:v>78</x:v>
      </x:c>
      <x:c r="N1442" s="5" t="n">
        <x:v>15</x:v>
      </x:c>
      <x:c r="O1442" s="5" t="str"/>
      <x:c r="P1442" s="5" t="str">
        <x:v>Zuordnungsvorschlag; Fachfreigabe ausstehend</x:v>
      </x:c>
      <x:c r="Q1442" s="5" t="str">
        <x:v>Bestehendes Lernthema fachlich unter passendem Rahmenplan-Unterbereich behalten</x:v>
      </x:c>
      <x:c r="R1442" s="5" t="str">
        <x:v>Nennen Sie die neun Eskalationsstufen nach Glasl in der richtigen Reihenfolge.</x:v>
      </x:c>
      <x:c r="S1442" s="5" t="str">
        <x:v>5bc1c15db267c70d7c760901c0aec681cd480c4ffcb77c779126296ba39437ad</x:v>
      </x:c>
    </x:row>
    <x:row r="1443" ht="36" customHeight="1">
      <x:c r="A1443" s="5" t="str">
        <x:v>UF-0232</x:v>
      </x:c>
      <x:c r="B1443" s="5" t="str">
        <x:v>WQ</x:v>
      </x:c>
      <x:c r="C1443" s="5" t="str">
        <x:v>4</x:v>
      </x:c>
      <x:c r="D1443" s="5" t="str">
        <x:v>Unternehmensführung</x:v>
      </x:c>
      <x:c r="E1443" s="5" t="str">
        <x:v>Unternehmensführung</x:v>
      </x:c>
      <x:c r="F1443" s="5" t="str">
        <x:v>ui-wq-0012</x:v>
      </x:c>
      <x:c r="G1443" s="5" t="str">
        <x:v>Personalentwicklung</x:v>
      </x:c>
      <x:c r="H1443" s="5" t="str">
        <x:v>dg-wq-0076</x:v>
      </x:c>
      <x:c r="I1443" s="5" t="str">
        <x:v>4.3.2</x:v>
      </x:c>
      <x:c r="J1443" s="5" t="str">
        <x:v>Potenzialanalyse</x:v>
      </x:c>
      <x:c r="K1443" s="5" t="str"/>
      <x:c r="L1443" s="5" t="str">
        <x:v>Potenzialanalyse &amp; Personalcontrolling</x:v>
      </x:c>
      <x:c r="M1443" s="5" t="n">
        <x:v>46</x:v>
      </x:c>
      <x:c r="N1443" s="5" t="n">
        <x:v>23</x:v>
      </x:c>
      <x:c r="O1443" s="5" t="str"/>
      <x:c r="P1443" s="5" t="str">
        <x:v>Zuordnungsvorschlag; Fachfreigabe ausstehend</x:v>
      </x:c>
      <x:c r="Q1443" s="5" t="str">
        <x:v>Bestehendes Lernthema fachlich unter passendem Rahmenplan-Unterbereich behalten</x:v>
      </x:c>
      <x:c r="R1443" s="5" t="str">
        <x:v>Erläutern Sie die vier Gütekriterien Objektivität, Reliabilität, Validität und Wirtschaftlichkeit bei Auswahl- und Beurteilungsverfahren.</x:v>
      </x:c>
      <x:c r="S1443" s="5" t="str">
        <x:v>a5b018ac04f101efd4c8a291874b6e26372722004c999e38894aff18530a0a3c</x:v>
      </x:c>
    </x:row>
    <x:row r="1444" ht="36" customHeight="1">
      <x:c r="A1444" s="5" t="str">
        <x:v>UF-0233</x:v>
      </x:c>
      <x:c r="B1444" s="5" t="str">
        <x:v>WQ</x:v>
      </x:c>
      <x:c r="C1444" s="5" t="str">
        <x:v>4</x:v>
      </x:c>
      <x:c r="D1444" s="5" t="str">
        <x:v>Unternehmensführung</x:v>
      </x:c>
      <x:c r="E1444" s="5" t="str">
        <x:v>Unternehmensführung</x:v>
      </x:c>
      <x:c r="F1444" s="5" t="str">
        <x:v>ui-wq-0010</x:v>
      </x:c>
      <x:c r="G1444" s="5" t="str">
        <x:v>Betriebsorganisation</x:v>
      </x:c>
      <x:c r="H1444" s="5" t="str">
        <x:v>dg-wq-0068</x:v>
      </x:c>
      <x:c r="I1444" s="5" t="str">
        <x:v>4.1.4</x:v>
      </x:c>
      <x:c r="J1444" s="5" t="str">
        <x:v>Ablauforganisation</x:v>
      </x:c>
      <x:c r="K1444" s="5" t="str"/>
      <x:c r="L1444" s="5" t="str">
        <x:v>Arbeitszeit &amp; Arbeitsplatz</x:v>
      </x:c>
      <x:c r="M1444" s="5" t="n">
        <x:v>109</x:v>
      </x:c>
      <x:c r="N1444" s="5" t="n">
        <x:v>5</x:v>
      </x:c>
      <x:c r="O1444" s="5" t="str"/>
      <x:c r="P1444" s="5" t="str">
        <x:v>Zuordnungsvorschlag; Fachfreigabe ausstehend</x:v>
      </x:c>
      <x:c r="Q1444" s="5" t="str">
        <x:v>Bestehendes Lernthema fachlich unter passendem Rahmenplan-Unterbereich behalten</x:v>
      </x:c>
      <x:c r="R1444" s="5" t="str">
        <x:v>Unterscheiden Sie Teilzeit, Gleitzeit, Arbeitszeitkonto, Jahresarbeitszeit und Sabbatical und nennen Sie jeweils einen typischen betrieblichen Nutzen.</x:v>
      </x:c>
      <x:c r="S1444" s="5" t="str">
        <x:v>6c6e832fbb924ad9b45b67a2229d3fb7077e926893ce4c6879aee9e4de364f8d</x:v>
      </x:c>
    </x:row>
    <x:row r="1445" ht="36" customHeight="1">
      <x:c r="A1445" s="5" t="str">
        <x:v>UF-0234</x:v>
      </x:c>
      <x:c r="B1445" s="5" t="str">
        <x:v>WQ</x:v>
      </x:c>
      <x:c r="C1445" s="5" t="str">
        <x:v>4</x:v>
      </x:c>
      <x:c r="D1445" s="5" t="str">
        <x:v>Unternehmensführung</x:v>
      </x:c>
      <x:c r="E1445" s="5" t="str">
        <x:v>Unternehmensführung</x:v>
      </x:c>
      <x:c r="F1445" s="5" t="str">
        <x:v>ui-wq-0010</x:v>
      </x:c>
      <x:c r="G1445" s="5" t="str">
        <x:v>Betriebsorganisation</x:v>
      </x:c>
      <x:c r="H1445" s="5" t="str">
        <x:v>dg-wq-0068</x:v>
      </x:c>
      <x:c r="I1445" s="5" t="str">
        <x:v>4.1.4</x:v>
      </x:c>
      <x:c r="J1445" s="5" t="str">
        <x:v>Ablauforganisation</x:v>
      </x:c>
      <x:c r="K1445" s="5" t="str"/>
      <x:c r="L1445" s="5" t="str">
        <x:v>Arbeitszeit &amp; Arbeitsplatz</x:v>
      </x:c>
      <x:c r="M1445" s="5" t="n">
        <x:v>110</x:v>
      </x:c>
      <x:c r="N1445" s="5" t="n">
        <x:v>6</x:v>
      </x:c>
      <x:c r="O1445" s="5" t="str"/>
      <x:c r="P1445" s="5" t="str">
        <x:v>Zuordnungsvorschlag; Fachfreigabe ausstehend</x:v>
      </x:c>
      <x:c r="Q1445" s="5" t="str">
        <x:v>Bestehendes Lernthema fachlich unter passendem Rahmenplan-Unterbereich behalten</x:v>
      </x:c>
      <x:c r="R1445" s="5" t="str">
        <x:v>Die Circle Harbor GmbH hat starke saisonale Auftragsschwankungen und prüft Jahresarbeitszeitkonten sowie dauerhaft besetzte Nachtschichten. Beurteilen Sie beide Ansätze hinsichtlich betrieblichem Nutzen und möglicher Belastungen.</x:v>
      </x:c>
      <x:c r="S1445" s="5" t="str">
        <x:v>367514f51368d04769b6c8d3c4943fb2272d35a6a5b0be6fd038616219ee982a</x:v>
      </x:c>
    </x:row>
    <x:row r="1446" ht="36" customHeight="1">
      <x:c r="A1446" s="5" t="str">
        <x:v>UF-0235</x:v>
      </x:c>
      <x:c r="B1446" s="5" t="str">
        <x:v>WQ</x:v>
      </x:c>
      <x:c r="C1446" s="5" t="str">
        <x:v>4</x:v>
      </x:c>
      <x:c r="D1446" s="5" t="str">
        <x:v>Unternehmensführung</x:v>
      </x:c>
      <x:c r="E1446" s="5" t="str">
        <x:v>Unternehmensführung</x:v>
      </x:c>
      <x:c r="F1446" s="5" t="str">
        <x:v>ui-wq-0010</x:v>
      </x:c>
      <x:c r="G1446" s="5" t="str">
        <x:v>Betriebsorganisation</x:v>
      </x:c>
      <x:c r="H1446" s="5" t="str">
        <x:v>dg-wq-0068</x:v>
      </x:c>
      <x:c r="I1446" s="5" t="str">
        <x:v>4.1.4</x:v>
      </x:c>
      <x:c r="J1446" s="5" t="str">
        <x:v>Ablauforganisation</x:v>
      </x:c>
      <x:c r="K1446" s="5" t="str"/>
      <x:c r="L1446" s="5" t="str">
        <x:v>Arbeitszeit &amp; Arbeitsplatz</x:v>
      </x:c>
      <x:c r="M1446" s="5" t="n">
        <x:v>111</x:v>
      </x:c>
      <x:c r="N1446" s="5" t="n">
        <x:v>7</x:v>
      </x:c>
      <x:c r="O1446" s="5" t="str"/>
      <x:c r="P1446" s="5" t="str">
        <x:v>Zuordnungsvorschlag; Fachfreigabe ausstehend</x:v>
      </x:c>
      <x:c r="Q1446" s="5" t="str">
        <x:v>Bestehendes Lernthema fachlich unter passendem Rahmenplan-Unterbereich behalten</x:v>
      </x:c>
      <x:c r="R1446" s="5" t="str">
        <x:v>Die Circle Harbor GmbH richtet einen neuen Büro- und Servicebereich ein. Nennen Sie sechs Gestaltungsfelder eines gesundheits- und leistungsförderlichen Arbeitsplatzes und erläutern Sie jeweils eine konkrete Maßnahme.</x:v>
      </x:c>
      <x:c r="S1446" s="5" t="str">
        <x:v>a312ea3ac381f01af50962d89786f8aaf70120751fa9dcc6bf05f11660642b14</x:v>
      </x:c>
    </x:row>
    <x:row r="1447" ht="36" customHeight="1">
      <x:c r="A1447" s="5" t="str">
        <x:v>BM-0001</x:v>
      </x:c>
      <x:c r="B1447" s="5" t="str">
        <x:v>HQ</x:v>
      </x:c>
      <x:c r="C1447" s="5" t="str">
        <x:v>5</x:v>
      </x:c>
      <x:c r="D1447" s="5" t="str">
        <x:v>Betriebliches Management</x:v>
      </x:c>
      <x:c r="E1447" s="5" t="str">
        <x:v>Betriebliches Management</x:v>
      </x:c>
      <x:c r="F1447" s="5" t="str">
        <x:v>ui-hq-0013</x:v>
      </x:c>
      <x:c r="G1447" s="5" t="str">
        <x:v>Betriebliche Planungsprozesse</x:v>
      </x:c>
      <x:c r="H1447" s="5" t="str">
        <x:v>dg-hq-0080</x:v>
      </x:c>
      <x:c r="I1447" s="5" t="str">
        <x:v>5.1.1</x:v>
      </x:c>
      <x:c r="J1447" s="5" t="str">
        <x:v>Betriebliches Zielsystem</x:v>
      </x:c>
      <x:c r="K1447" s="5" t="str"/>
      <x:c r="L1447" s="5" t="str">
        <x:v>Managementgrundlagen</x:v>
      </x:c>
      <x:c r="M1447" s="5" t="n">
        <x:v>1</x:v>
      </x:c>
      <x:c r="N1447" s="5" t="n">
        <x:v>1</x:v>
      </x:c>
      <x:c r="O1447" s="5" t="str"/>
      <x:c r="P1447" s="5" t="str">
        <x:v>Zuordnungsvorschlag; Fachfreigabe ausstehend</x:v>
      </x:c>
      <x:c r="Q1447" s="5" t="str">
        <x:v>Bestehendes Lernthema fachlich unter passendem Rahmenplan-Unterbereich behalten</x:v>
      </x:c>
      <x:c r="R1447" s="5" t="str">
        <x:v>Was bedeutet "Führen? </x:v>
      </x:c>
      <x:c r="S1447" s="5" t="str">
        <x:v>0282ad6e1f4f48e858183dae3b6cfcc7a3706372d7c74a536bd14f781069437e</x:v>
      </x:c>
    </x:row>
    <x:row r="1448" ht="36" customHeight="1">
      <x:c r="A1448" s="5" t="str">
        <x:v>BM-0002</x:v>
      </x:c>
      <x:c r="B1448" s="5" t="str">
        <x:v>HQ</x:v>
      </x:c>
      <x:c r="C1448" s="5" t="str">
        <x:v>5</x:v>
      </x:c>
      <x:c r="D1448" s="5" t="str">
        <x:v>Betriebliches Management</x:v>
      </x:c>
      <x:c r="E1448" s="5" t="str">
        <x:v>Betriebliches Management</x:v>
      </x:c>
      <x:c r="F1448" s="5" t="str">
        <x:v>ui-hq-0013</x:v>
      </x:c>
      <x:c r="G1448" s="5" t="str">
        <x:v>Betriebliche Planungsprozesse</x:v>
      </x:c>
      <x:c r="H1448" s="5" t="str">
        <x:v>dg-hq-0080</x:v>
      </x:c>
      <x:c r="I1448" s="5" t="str">
        <x:v>5.1.1</x:v>
      </x:c>
      <x:c r="J1448" s="5" t="str">
        <x:v>Betriebliches Zielsystem</x:v>
      </x:c>
      <x:c r="K1448" s="5" t="str"/>
      <x:c r="L1448" s="5" t="str">
        <x:v>Managementgrundlagen</x:v>
      </x:c>
      <x:c r="M1448" s="5" t="n">
        <x:v>2</x:v>
      </x:c>
      <x:c r="N1448" s="5" t="n">
        <x:v>2</x:v>
      </x:c>
      <x:c r="O1448" s="5" t="str"/>
      <x:c r="P1448" s="5" t="str">
        <x:v>Zuordnungsvorschlag; Fachfreigabe ausstehend</x:v>
      </x:c>
      <x:c r="Q1448" s="5" t="str">
        <x:v>Bestehendes Lernthema fachlich unter passendem Rahmenplan-Unterbereich behalten</x:v>
      </x:c>
      <x:c r="R1448" s="5" t="str">
        <x:v>Was bedeutet "Managen"?</x:v>
      </x:c>
      <x:c r="S1448" s="5" t="str">
        <x:v>3a895bafa8f6e4f747ff9585e6df5e6cdd4cb5ae981eb0e21d5c107e4b6c7ba3</x:v>
      </x:c>
    </x:row>
    <x:row r="1449" ht="36" customHeight="1">
      <x:c r="A1449" s="5" t="str">
        <x:v>BM-0003</x:v>
      </x:c>
      <x:c r="B1449" s="5" t="str">
        <x:v>HQ</x:v>
      </x:c>
      <x:c r="C1449" s="5" t="str">
        <x:v>5</x:v>
      </x:c>
      <x:c r="D1449" s="5" t="str">
        <x:v>Betriebliches Management</x:v>
      </x:c>
      <x:c r="E1449" s="5" t="str">
        <x:v>Betriebliches Management</x:v>
      </x:c>
      <x:c r="F1449" s="5" t="str">
        <x:v>ui-hq-0013</x:v>
      </x:c>
      <x:c r="G1449" s="5" t="str">
        <x:v>Betriebliche Planungsprozesse</x:v>
      </x:c>
      <x:c r="H1449" s="5" t="str">
        <x:v>dg-hq-0080</x:v>
      </x:c>
      <x:c r="I1449" s="5" t="str">
        <x:v>5.1.1</x:v>
      </x:c>
      <x:c r="J1449" s="5" t="str">
        <x:v>Betriebliches Zielsystem</x:v>
      </x:c>
      <x:c r="K1449" s="5" t="str"/>
      <x:c r="L1449" s="5" t="str">
        <x:v>Managementgrundlagen</x:v>
      </x:c>
      <x:c r="M1449" s="5" t="n">
        <x:v>3</x:v>
      </x:c>
      <x:c r="N1449" s="5" t="n">
        <x:v>3</x:v>
      </x:c>
      <x:c r="O1449" s="5" t="str"/>
      <x:c r="P1449" s="5" t="str">
        <x:v>Zuordnungsvorschlag; Fachfreigabe ausstehend</x:v>
      </x:c>
      <x:c r="Q1449" s="5" t="str">
        <x:v>Bestehendes Lernthema fachlich unter passendem Rahmenplan-Unterbereich behalten</x:v>
      </x:c>
      <x:c r="R1449" s="5" t="str">
        <x:v>Was bedeutet "Leiten"</x:v>
      </x:c>
      <x:c r="S1449" s="5" t="str">
        <x:v>245da1e83ecebf2504aaef25636cb82229b5e1e193c8f832c7d8fc381a8f0247</x:v>
      </x:c>
    </x:row>
    <x:row r="1450" ht="36" customHeight="1">
      <x:c r="A1450" s="5" t="str">
        <x:v>BM-0004</x:v>
      </x:c>
      <x:c r="B1450" s="5" t="str">
        <x:v>HQ</x:v>
      </x:c>
      <x:c r="C1450" s="5" t="str">
        <x:v>5</x:v>
      </x:c>
      <x:c r="D1450" s="5" t="str">
        <x:v>Betriebliches Management</x:v>
      </x:c>
      <x:c r="E1450" s="5" t="str">
        <x:v>Betriebliches Management</x:v>
      </x:c>
      <x:c r="F1450" s="5" t="str">
        <x:v>ui-hq-0013</x:v>
      </x:c>
      <x:c r="G1450" s="5" t="str">
        <x:v>Betriebliche Planungsprozesse</x:v>
      </x:c>
      <x:c r="H1450" s="5" t="str">
        <x:v>dg-hq-0080</x:v>
      </x:c>
      <x:c r="I1450" s="5" t="str">
        <x:v>5.1.1</x:v>
      </x:c>
      <x:c r="J1450" s="5" t="str">
        <x:v>Betriebliches Zielsystem</x:v>
      </x:c>
      <x:c r="K1450" s="5" t="str"/>
      <x:c r="L1450" s="5" t="str">
        <x:v>Managementgrundlagen</x:v>
      </x:c>
      <x:c r="M1450" s="5" t="n">
        <x:v>4</x:v>
      </x:c>
      <x:c r="N1450" s="5" t="n">
        <x:v>4</x:v>
      </x:c>
      <x:c r="O1450" s="5" t="str"/>
      <x:c r="P1450" s="5" t="str">
        <x:v>Zuordnungsvorschlag; Fachfreigabe ausstehend</x:v>
      </x:c>
      <x:c r="Q1450" s="5" t="str">
        <x:v>Bestehendes Lernthema fachlich unter passendem Rahmenplan-Unterbereich behalten</x:v>
      </x:c>
      <x:c r="R1450" s="5" t="str">
        <x:v>Was versteht man unter "wirtschaften"?</x:v>
      </x:c>
      <x:c r="S1450" s="5" t="str">
        <x:v>1ffe12eed4768bfeba4bfccc97a86581b8ee468a89e6bc02b776c37160d6c1d2</x:v>
      </x:c>
    </x:row>
    <x:row r="1451" ht="36" customHeight="1">
      <x:c r="A1451" s="5" t="str">
        <x:v>BM-0005</x:v>
      </x:c>
      <x:c r="B1451" s="5" t="str">
        <x:v>HQ</x:v>
      </x:c>
      <x:c r="C1451" s="5" t="str">
        <x:v>5</x:v>
      </x:c>
      <x:c r="D1451" s="5" t="str">
        <x:v>Betriebliches Management</x:v>
      </x:c>
      <x:c r="E1451" s="5" t="str">
        <x:v>Betriebliches Management</x:v>
      </x:c>
      <x:c r="F1451" s="5" t="str">
        <x:v>ui-hq-0013</x:v>
      </x:c>
      <x:c r="G1451" s="5" t="str">
        <x:v>Betriebliche Planungsprozesse</x:v>
      </x:c>
      <x:c r="H1451" s="5" t="str">
        <x:v>dg-hq-0080</x:v>
      </x:c>
      <x:c r="I1451" s="5" t="str">
        <x:v>5.1.1</x:v>
      </x:c>
      <x:c r="J1451" s="5" t="str">
        <x:v>Betriebliches Zielsystem</x:v>
      </x:c>
      <x:c r="K1451" s="5" t="str"/>
      <x:c r="L1451" s="5" t="str">
        <x:v>Managementgrundlagen</x:v>
      </x:c>
      <x:c r="M1451" s="5" t="n">
        <x:v>5</x:v>
      </x:c>
      <x:c r="N1451" s="5" t="n">
        <x:v>5</x:v>
      </x:c>
      <x:c r="O1451" s="5" t="str"/>
      <x:c r="P1451" s="5" t="str">
        <x:v>Zuordnungsvorschlag; Fachfreigabe ausstehend</x:v>
      </x:c>
      <x:c r="Q1451" s="5" t="str">
        <x:v>Bestehendes Lernthema fachlich unter passendem Rahmenplan-Unterbereich behalten</x:v>
      </x:c>
      <x:c r="R1451" s="5" t="str">
        <x:v>Was versteht man unter einem Betrieb?</x:v>
      </x:c>
      <x:c r="S1451" s="5" t="str">
        <x:v>7d94313e35def479209b53b0efff8c4f621f309e992cee7dad3c70eb6a0b9a99</x:v>
      </x:c>
    </x:row>
    <x:row r="1452" ht="36" customHeight="1">
      <x:c r="A1452" s="5" t="str">
        <x:v>BM-0006</x:v>
      </x:c>
      <x:c r="B1452" s="5" t="str">
        <x:v>HQ</x:v>
      </x:c>
      <x:c r="C1452" s="5" t="str">
        <x:v>5</x:v>
      </x:c>
      <x:c r="D1452" s="5" t="str">
        <x:v>Betriebliches Management</x:v>
      </x:c>
      <x:c r="E1452" s="5" t="str">
        <x:v>Betriebliches Management</x:v>
      </x:c>
      <x:c r="F1452" s="5" t="str">
        <x:v>ui-hq-0013</x:v>
      </x:c>
      <x:c r="G1452" s="5" t="str">
        <x:v>Betriebliche Planungsprozesse</x:v>
      </x:c>
      <x:c r="H1452" s="5" t="str">
        <x:v>dg-hq-0081</x:v>
      </x:c>
      <x:c r="I1452" s="5" t="str">
        <x:v>5.1.3</x:v>
      </x:c>
      <x:c r="J1452" s="5" t="str">
        <x:v>Zusammenhang zwischen strategischer und operativer Planung</x:v>
      </x:c>
      <x:c r="K1452" s="5" t="str"/>
      <x:c r="L1452" s="5" t="str">
        <x:v>Planung, Strategie &amp; Kennzahlen</x:v>
      </x:c>
      <x:c r="M1452" s="5" t="n">
        <x:v>6</x:v>
      </x:c>
      <x:c r="N1452" s="5" t="n">
        <x:v>1</x:v>
      </x:c>
      <x:c r="O1452" s="5" t="str"/>
      <x:c r="P1452" s="5" t="str">
        <x:v>Zuordnungsvorschlag; Fachfreigabe ausstehend</x:v>
      </x:c>
      <x:c r="Q1452" s="5" t="str">
        <x:v>Bestehendes Lernthema fachlich unter passendem Rahmenplan-Unterbereich behalten</x:v>
      </x:c>
      <x:c r="R1452" s="5" t="str">
        <x:v>Was versteht man unter Erfolgspotenzialen und Erfolgsfaktoren, und welche typischen Erfolgsfaktoren beeinflussen den Unternehmenserfolg?</x:v>
      </x:c>
      <x:c r="S1452" s="5" t="str">
        <x:v>998ef13a91f0382963c3511f07dbedf08fad908c21d515f6cc5e65ae3d43ab1b</x:v>
      </x:c>
    </x:row>
    <x:row r="1453" ht="36" customHeight="1">
      <x:c r="A1453" s="5" t="str">
        <x:v>BM-0008</x:v>
      </x:c>
      <x:c r="B1453" s="5" t="str">
        <x:v>HQ</x:v>
      </x:c>
      <x:c r="C1453" s="5" t="str">
        <x:v>5</x:v>
      </x:c>
      <x:c r="D1453" s="5" t="str">
        <x:v>Betriebliches Management</x:v>
      </x:c>
      <x:c r="E1453" s="5" t="str">
        <x:v>Betriebliches Management</x:v>
      </x:c>
      <x:c r="F1453" s="5" t="str">
        <x:v>ui-hq-0014</x:v>
      </x:c>
      <x:c r="G1453" s="5" t="str">
        <x:v>Organisations- und Personalentwicklung</x:v>
      </x:c>
      <x:c r="H1453" s="5" t="str">
        <x:v>dg-hq-0082</x:v>
      </x:c>
      <x:c r="I1453" s="5" t="str">
        <x:v>5.2.2</x:v>
      </x:c>
      <x:c r="J1453" s="5" t="str">
        <x:v>Organisationsentwicklung (OE)</x:v>
      </x:c>
      <x:c r="K1453" s="5" t="str"/>
      <x:c r="L1453" s="5" t="str">
        <x:v>Organisationsentwicklung &amp; Change Management</x:v>
      </x:c>
      <x:c r="M1453" s="5" t="n">
        <x:v>1</x:v>
      </x:c>
      <x:c r="N1453" s="5" t="n">
        <x:v>1</x:v>
      </x:c>
      <x:c r="O1453" s="5" t="str"/>
      <x:c r="P1453" s="5" t="str">
        <x:v>Zuordnungsvorschlag; Fachfreigabe ausstehend</x:v>
      </x:c>
      <x:c r="Q1453" s="5" t="str">
        <x:v>Bestehendes Lernthema fachlich unter passendem Rahmenplan-Unterbereich behalten</x:v>
      </x:c>
      <x:c r="R1453" s="5" t="str">
        <x:v>Beschreiben Sie das Mehrliniensystem</x:v>
      </x:c>
      <x:c r="S1453" s="5" t="str">
        <x:v>911c3fa9c15255bac13a58fbe333372e2938ba6fd766917a7df3a4f255237ee7</x:v>
      </x:c>
    </x:row>
    <x:row r="1454" ht="36" customHeight="1">
      <x:c r="A1454" s="5" t="str">
        <x:v>BM-0009</x:v>
      </x:c>
      <x:c r="B1454" s="5" t="str">
        <x:v>HQ</x:v>
      </x:c>
      <x:c r="C1454" s="5" t="str">
        <x:v>5</x:v>
      </x:c>
      <x:c r="D1454" s="5" t="str">
        <x:v>Betriebliches Management</x:v>
      </x:c>
      <x:c r="E1454" s="5" t="str">
        <x:v>Betriebliches Management</x:v>
      </x:c>
      <x:c r="F1454" s="5" t="str">
        <x:v>ui-hq-0014</x:v>
      </x:c>
      <x:c r="G1454" s="5" t="str">
        <x:v>Organisations- und Personalentwicklung</x:v>
      </x:c>
      <x:c r="H1454" s="5" t="str">
        <x:v>dg-hq-0082</x:v>
      </x:c>
      <x:c r="I1454" s="5" t="str">
        <x:v>5.2.2</x:v>
      </x:c>
      <x:c r="J1454" s="5" t="str">
        <x:v>Organisationsentwicklung (OE)</x:v>
      </x:c>
      <x:c r="K1454" s="5" t="str"/>
      <x:c r="L1454" s="5" t="str">
        <x:v>Organisationsentwicklung &amp; Change Management</x:v>
      </x:c>
      <x:c r="M1454" s="5" t="n">
        <x:v>2</x:v>
      </x:c>
      <x:c r="N1454" s="5" t="n">
        <x:v>2</x:v>
      </x:c>
      <x:c r="O1454" s="5" t="str"/>
      <x:c r="P1454" s="5" t="str">
        <x:v>Zuordnungsvorschlag; Fachfreigabe ausstehend</x:v>
      </x:c>
      <x:c r="Q1454" s="5" t="str">
        <x:v>Bestehendes Lernthema fachlich unter passendem Rahmenplan-Unterbereich behalten</x:v>
      </x:c>
      <x:c r="R1454" s="5" t="str">
        <x:v>Beschreiben Sie das Einliniensystem</x:v>
      </x:c>
      <x:c r="S1454" s="5" t="str">
        <x:v>e5cbbbf09e9a8cd67ec6d2d10a459c793bba2ec22c7989de1d62ea0b26989794</x:v>
      </x:c>
    </x:row>
    <x:row r="1455" ht="36" customHeight="1">
      <x:c r="A1455" s="5" t="str">
        <x:v>BM-0010</x:v>
      </x:c>
      <x:c r="B1455" s="5" t="str">
        <x:v>HQ</x:v>
      </x:c>
      <x:c r="C1455" s="5" t="str">
        <x:v>5</x:v>
      </x:c>
      <x:c r="D1455" s="5" t="str">
        <x:v>Betriebliches Management</x:v>
      </x:c>
      <x:c r="E1455" s="5" t="str">
        <x:v>Betriebliches Management</x:v>
      </x:c>
      <x:c r="F1455" s="5" t="str">
        <x:v>ui-hq-0014</x:v>
      </x:c>
      <x:c r="G1455" s="5" t="str">
        <x:v>Organisations- und Personalentwicklung</x:v>
      </x:c>
      <x:c r="H1455" s="5" t="str">
        <x:v>dg-hq-0082</x:v>
      </x:c>
      <x:c r="I1455" s="5" t="str">
        <x:v>5.2.2</x:v>
      </x:c>
      <x:c r="J1455" s="5" t="str">
        <x:v>Organisationsentwicklung (OE)</x:v>
      </x:c>
      <x:c r="K1455" s="5" t="str"/>
      <x:c r="L1455" s="5" t="str">
        <x:v>Organisationsentwicklung &amp; Change Management</x:v>
      </x:c>
      <x:c r="M1455" s="5" t="n">
        <x:v>3</x:v>
      </x:c>
      <x:c r="N1455" s="5" t="n">
        <x:v>3</x:v>
      </x:c>
      <x:c r="O1455" s="5" t="str"/>
      <x:c r="P1455" s="5" t="str">
        <x:v>Zuordnungsvorschlag; Fachfreigabe ausstehend</x:v>
      </x:c>
      <x:c r="Q1455" s="5" t="str">
        <x:v>Bestehendes Lernthema fachlich unter passendem Rahmenplan-Unterbereich behalten</x:v>
      </x:c>
      <x:c r="R1455" s="5" t="str">
        <x:v>Nennen Sie mögliche Hindernisse für eine erfolgreiche Organisationsentwicklung</x:v>
      </x:c>
      <x:c r="S1455" s="5" t="str">
        <x:v>084a5e3b7b18cbbd9efdb74d1b181c192ba0c66a9b596e7b702644b6f7948bca</x:v>
      </x:c>
    </x:row>
    <x:row r="1456" ht="36" customHeight="1">
      <x:c r="A1456" s="5" t="str">
        <x:v>BM-0011</x:v>
      </x:c>
      <x:c r="B1456" s="5" t="str">
        <x:v>HQ</x:v>
      </x:c>
      <x:c r="C1456" s="5" t="str">
        <x:v>5</x:v>
      </x:c>
      <x:c r="D1456" s="5" t="str">
        <x:v>Betriebliches Management</x:v>
      </x:c>
      <x:c r="E1456" s="5" t="str">
        <x:v>Betriebliches Management</x:v>
      </x:c>
      <x:c r="F1456" s="5" t="str">
        <x:v>ui-hq-0013</x:v>
      </x:c>
      <x:c r="G1456" s="5" t="str">
        <x:v>Betriebliche Planungsprozesse</x:v>
      </x:c>
      <x:c r="H1456" s="5" t="str">
        <x:v>dg-hq-0083</x:v>
      </x:c>
      <x:c r="I1456" s="5" t="str">
        <x:v>5.1.4</x:v>
      </x:c>
      <x:c r="J1456" s="5" t="str">
        <x:v>Betriebsstatistik, Vergleichsrechnung, Planungsrechnung als Grundlage betrieblicher Planungsprozesse</x:v>
      </x:c>
      <x:c r="K1456" s="5" t="str"/>
      <x:c r="L1456" s="5" t="str">
        <x:v>Planung, Strategie &amp; Kennzahlen</x:v>
      </x:c>
      <x:c r="M1456" s="5" t="n">
        <x:v>7</x:v>
      </x:c>
      <x:c r="N1456" s="5" t="n">
        <x:v>1</x:v>
      </x:c>
      <x:c r="O1456" s="5" t="str"/>
      <x:c r="P1456" s="5" t="str">
        <x:v>Zuordnungsvorschlag; Fachfreigabe ausstehend</x:v>
      </x:c>
      <x:c r="Q1456" s="5" t="str">
        <x:v>Frageinhalt präzisiert bzw. teilt bisheriges Sammelthema</x:v>
      </x:c>
      <x:c r="R1456" s="5" t="str">
        <x:v>Erläutern Sie den Begriff Benchmarking!</x:v>
      </x:c>
      <x:c r="S1456" s="5" t="str">
        <x:v>32910660e599f078cdec2a93f4184afffa77377f075af226f1e8c41ebf6e213d</x:v>
      </x:c>
    </x:row>
    <x:row r="1457" ht="36" customHeight="1">
      <x:c r="A1457" s="5" t="str">
        <x:v>BM-0012</x:v>
      </x:c>
      <x:c r="B1457" s="5" t="str">
        <x:v>HQ</x:v>
      </x:c>
      <x:c r="C1457" s="5" t="str">
        <x:v>5</x:v>
      </x:c>
      <x:c r="D1457" s="5" t="str">
        <x:v>Betriebliches Management</x:v>
      </x:c>
      <x:c r="E1457" s="5" t="str">
        <x:v>Betriebliches Management</x:v>
      </x:c>
      <x:c r="F1457" s="5" t="str">
        <x:v>ui-hq-0013</x:v>
      </x:c>
      <x:c r="G1457" s="5" t="str">
        <x:v>Betriebliche Planungsprozesse</x:v>
      </x:c>
      <x:c r="H1457" s="5" t="str">
        <x:v>dg-hq-0080</x:v>
      </x:c>
      <x:c r="I1457" s="5" t="str">
        <x:v>5.1.1</x:v>
      </x:c>
      <x:c r="J1457" s="5" t="str">
        <x:v>Betriebliches Zielsystem</x:v>
      </x:c>
      <x:c r="K1457" s="5" t="str"/>
      <x:c r="L1457" s="5" t="str">
        <x:v>Managementgrundlagen</x:v>
      </x:c>
      <x:c r="M1457" s="5" t="n">
        <x:v>8</x:v>
      </x:c>
      <x:c r="N1457" s="5" t="n">
        <x:v>6</x:v>
      </x:c>
      <x:c r="O1457" s="5" t="str"/>
      <x:c r="P1457" s="5" t="str">
        <x:v>Zuordnungsvorschlag; Fachfreigabe ausstehend</x:v>
      </x:c>
      <x:c r="Q1457" s="5" t="str">
        <x:v>Bestehendes Lernthema fachlich unter passendem Rahmenplan-Unterbereich behalten</x:v>
      </x:c>
      <x:c r="R1457" s="5" t="str">
        <x:v>Beschreiben Sie den Management - Regelkreis!</x:v>
      </x:c>
      <x:c r="S1457" s="5" t="str">
        <x:v>910e66463d08fcf85c82cf9a1ab4cce6ae7cbda172c5e779a59e1031f3e9bc8e</x:v>
      </x:c>
    </x:row>
    <x:row r="1458" ht="36" customHeight="1">
      <x:c r="A1458" s="5" t="str">
        <x:v>BM-0013</x:v>
      </x:c>
      <x:c r="B1458" s="5" t="str">
        <x:v>HQ</x:v>
      </x:c>
      <x:c r="C1458" s="5" t="str">
        <x:v>5</x:v>
      </x:c>
      <x:c r="D1458" s="5" t="str">
        <x:v>Betriebliches Management</x:v>
      </x:c>
      <x:c r="E1458" s="5" t="str">
        <x:v>Betriebliches Management</x:v>
      </x:c>
      <x:c r="F1458" s="5" t="str">
        <x:v>ui-hq-0013</x:v>
      </x:c>
      <x:c r="G1458" s="5" t="str">
        <x:v>Betriebliche Planungsprozesse</x:v>
      </x:c>
      <x:c r="H1458" s="5" t="str">
        <x:v>dg-hq-0081</x:v>
      </x:c>
      <x:c r="I1458" s="5" t="str">
        <x:v>5.1.3</x:v>
      </x:c>
      <x:c r="J1458" s="5" t="str">
        <x:v>Zusammenhang zwischen strategischer und operativer Planung</x:v>
      </x:c>
      <x:c r="K1458" s="5" t="str"/>
      <x:c r="L1458" s="5" t="str">
        <x:v>Planung, Strategie &amp; Kennzahlen</x:v>
      </x:c>
      <x:c r="M1458" s="5" t="n">
        <x:v>9</x:v>
      </x:c>
      <x:c r="N1458" s="5" t="n">
        <x:v>2</x:v>
      </x:c>
      <x:c r="O1458" s="5" t="str"/>
      <x:c r="P1458" s="5" t="str">
        <x:v>Zuordnungsvorschlag; Fachfreigabe ausstehend</x:v>
      </x:c>
      <x:c r="Q1458" s="5" t="str">
        <x:v>Bestehendes Lernthema fachlich unter passendem Rahmenplan-Unterbereich behalten</x:v>
      </x:c>
      <x:c r="R1458" s="5" t="str">
        <x:v>Beschreiben Sie die Balanced Scorecard!</x:v>
      </x:c>
      <x:c r="S1458" s="5" t="str">
        <x:v>26a034988088acf51d5c6fbed7a2477b328440b208778c1597ceef83bb07ae03</x:v>
      </x:c>
    </x:row>
    <x:row r="1459" ht="36" customHeight="1">
      <x:c r="A1459" s="5" t="str">
        <x:v>BM-0014</x:v>
      </x:c>
      <x:c r="B1459" s="5" t="str">
        <x:v>HQ</x:v>
      </x:c>
      <x:c r="C1459" s="5" t="str">
        <x:v>5</x:v>
      </x:c>
      <x:c r="D1459" s="5" t="str">
        <x:v>Betriebliches Management</x:v>
      </x:c>
      <x:c r="E1459" s="5" t="str">
        <x:v>Betriebliches Management</x:v>
      </x:c>
      <x:c r="F1459" s="5" t="str">
        <x:v>ui-hq-0014</x:v>
      </x:c>
      <x:c r="G1459" s="5" t="str">
        <x:v>Organisations- und Personalentwicklung</x:v>
      </x:c>
      <x:c r="H1459" s="5" t="str">
        <x:v>dg-hq-0082</x:v>
      </x:c>
      <x:c r="I1459" s="5" t="str">
        <x:v>5.2.2.2#2</x:v>
      </x:c>
      <x:c r="J1459" s="5" t="str">
        <x:v>Phasen des OE-Prozesses</x:v>
      </x:c>
      <x:c r="K1459" s="5" t="str"/>
      <x:c r="L1459" s="5" t="str">
        <x:v>Organisationsentwicklung &amp; Change Management</x:v>
      </x:c>
      <x:c r="M1459" s="5" t="n">
        <x:v>4</x:v>
      </x:c>
      <x:c r="N1459" s="5" t="n">
        <x:v>4</x:v>
      </x:c>
      <x:c r="O1459" s="5" t="str"/>
      <x:c r="P1459" s="5" t="str">
        <x:v>Zuordnungsvorschlag; Fachfreigabe ausstehend</x:v>
      </x:c>
      <x:c r="Q1459" s="5" t="str">
        <x:v>Bestehendes Lernthema fachlich unter passendem Rahmenplan-Unterbereich behalten</x:v>
      </x:c>
      <x:c r="R1459" s="5" t="str">
        <x:v>Beschreiben Sie das 3- Phasen Modell nach Lewin!</x:v>
      </x:c>
      <x:c r="S1459" s="5" t="str">
        <x:v>ec760edf5b034db18d5bd43a7fd2619066ed1a34245234432bcd874d6d6201c0</x:v>
      </x:c>
    </x:row>
    <x:row r="1460" ht="36" customHeight="1">
      <x:c r="A1460" s="5" t="str">
        <x:v>BM-0015</x:v>
      </x:c>
      <x:c r="B1460" s="5" t="str">
        <x:v>HQ</x:v>
      </x:c>
      <x:c r="C1460" s="5" t="str">
        <x:v>5</x:v>
      </x:c>
      <x:c r="D1460" s="5" t="str">
        <x:v>Betriebliches Management</x:v>
      </x:c>
      <x:c r="E1460" s="5" t="str">
        <x:v>Betriebliches Management</x:v>
      </x:c>
      <x:c r="F1460" s="5" t="str">
        <x:v>ui-hq-0013</x:v>
      </x:c>
      <x:c r="G1460" s="5" t="str">
        <x:v>Betriebliche Planungsprozesse</x:v>
      </x:c>
      <x:c r="H1460" s="5" t="str">
        <x:v>dg-hq-0080</x:v>
      </x:c>
      <x:c r="I1460" s="5" t="str">
        <x:v>5.1.1</x:v>
      </x:c>
      <x:c r="J1460" s="5" t="str">
        <x:v>Betriebliches Zielsystem</x:v>
      </x:c>
      <x:c r="K1460" s="5" t="str"/>
      <x:c r="L1460" s="5" t="str">
        <x:v>Managementgrundlagen</x:v>
      </x:c>
      <x:c r="M1460" s="5" t="n">
        <x:v>10</x:v>
      </x:c>
      <x:c r="N1460" s="5" t="n">
        <x:v>7</x:v>
      </x:c>
      <x:c r="O1460" s="5" t="str"/>
      <x:c r="P1460" s="5" t="str">
        <x:v>Zuordnungsvorschlag; Fachfreigabe ausstehend</x:v>
      </x:c>
      <x:c r="Q1460" s="5" t="str">
        <x:v>Bestehendes Lernthema fachlich unter passendem Rahmenplan-Unterbereich behalten</x:v>
      </x:c>
      <x:c r="R1460" s="5" t="str">
        <x:v>Welche Begriffe können „Betrieb“ abgrenzen?</x:v>
      </x:c>
      <x:c r="S1460" s="5" t="str">
        <x:v>30b53741a2f3a9eef18521685ad43ad4e9dfee19823fd967879e066f9211fbde</x:v>
      </x:c>
    </x:row>
    <x:row r="1461" ht="36" customHeight="1">
      <x:c r="A1461" s="5" t="str">
        <x:v>BM-0016</x:v>
      </x:c>
      <x:c r="B1461" s="5" t="str">
        <x:v>HQ</x:v>
      </x:c>
      <x:c r="C1461" s="5" t="str">
        <x:v>5</x:v>
      </x:c>
      <x:c r="D1461" s="5" t="str">
        <x:v>Betriebliches Management</x:v>
      </x:c>
      <x:c r="E1461" s="5" t="str">
        <x:v>Betriebliches Management</x:v>
      </x:c>
      <x:c r="F1461" s="5" t="str">
        <x:v>ui-hq-0013</x:v>
      </x:c>
      <x:c r="G1461" s="5" t="str">
        <x:v>Betriebliche Planungsprozesse</x:v>
      </x:c>
      <x:c r="H1461" s="5" t="str">
        <x:v>dg-hq-0080</x:v>
      </x:c>
      <x:c r="I1461" s="5" t="str">
        <x:v>5.1.1</x:v>
      </x:c>
      <x:c r="J1461" s="5" t="str">
        <x:v>Betriebliches Zielsystem</x:v>
      </x:c>
      <x:c r="K1461" s="5" t="str"/>
      <x:c r="L1461" s="5" t="str">
        <x:v>Managementgrundlagen</x:v>
      </x:c>
      <x:c r="M1461" s="5" t="n">
        <x:v>11</x:v>
      </x:c>
      <x:c r="N1461" s="5" t="n">
        <x:v>8</x:v>
      </x:c>
      <x:c r="O1461" s="5" t="str"/>
      <x:c r="P1461" s="5" t="str">
        <x:v>Zuordnungsvorschlag; Fachfreigabe ausstehend</x:v>
      </x:c>
      <x:c r="Q1461" s="5" t="str">
        <x:v>Bestehendes Lernthema fachlich unter passendem Rahmenplan-Unterbereich behalten</x:v>
      </x:c>
      <x:c r="R1461" s="5" t="str">
        <x:v>Kurzunterschied Leiten – Führen – Managen?</x:v>
      </x:c>
      <x:c r="S1461" s="5" t="str">
        <x:v>ec3d8a66a3aea8cb089a0c2a3f0f59c397be89193ed03aae84537014205baf6b</x:v>
      </x:c>
    </x:row>
    <x:row r="1462" ht="36" customHeight="1">
      <x:c r="A1462" s="5" t="str">
        <x:v>BM-0017</x:v>
      </x:c>
      <x:c r="B1462" s="5" t="str">
        <x:v>HQ</x:v>
      </x:c>
      <x:c r="C1462" s="5" t="str">
        <x:v>5</x:v>
      </x:c>
      <x:c r="D1462" s="5" t="str">
        <x:v>Betriebliches Management</x:v>
      </x:c>
      <x:c r="E1462" s="5" t="str">
        <x:v>Betriebliches Management</x:v>
      </x:c>
      <x:c r="F1462" s="5" t="str">
        <x:v>ui-hq-0013</x:v>
      </x:c>
      <x:c r="G1462" s="5" t="str">
        <x:v>Betriebliche Planungsprozesse</x:v>
      </x:c>
      <x:c r="H1462" s="5" t="str">
        <x:v>dg-hq-0080</x:v>
      </x:c>
      <x:c r="I1462" s="5" t="str">
        <x:v>5.1.1</x:v>
      </x:c>
      <x:c r="J1462" s="5" t="str">
        <x:v>Betriebliches Zielsystem</x:v>
      </x:c>
      <x:c r="K1462" s="5" t="str"/>
      <x:c r="L1462" s="5" t="str">
        <x:v>Managementgrundlagen</x:v>
      </x:c>
      <x:c r="M1462" s="5" t="n">
        <x:v>12</x:v>
      </x:c>
      <x:c r="N1462" s="5" t="n">
        <x:v>9</x:v>
      </x:c>
      <x:c r="O1462" s="5" t="str"/>
      <x:c r="P1462" s="5" t="str">
        <x:v>Zuordnungsvorschlag; Fachfreigabe ausstehend</x:v>
      </x:c>
      <x:c r="Q1462" s="5" t="str">
        <x:v>Bestehendes Lernthema fachlich unter passendem Rahmenplan-Unterbereich behalten</x:v>
      </x:c>
      <x:c r="R1462" s="5" t="str">
        <x:v>Welche drei Sichtweisen gibt es im Management?</x:v>
      </x:c>
      <x:c r="S1462" s="5" t="str">
        <x:v>04d753bd6b921805230fceefec9473365fb0ba20861518afcb519815102fbe86</x:v>
      </x:c>
    </x:row>
    <x:row r="1463" ht="36" customHeight="1">
      <x:c r="A1463" s="5" t="str">
        <x:v>BM-0018</x:v>
      </x:c>
      <x:c r="B1463" s="5" t="str">
        <x:v>HQ</x:v>
      </x:c>
      <x:c r="C1463" s="5" t="str">
        <x:v>5</x:v>
      </x:c>
      <x:c r="D1463" s="5" t="str">
        <x:v>Betriebliches Management</x:v>
      </x:c>
      <x:c r="E1463" s="5" t="str">
        <x:v>Betriebliches Management</x:v>
      </x:c>
      <x:c r="F1463" s="5" t="str">
        <x:v>ui-hq-0013</x:v>
      </x:c>
      <x:c r="G1463" s="5" t="str">
        <x:v>Betriebliche Planungsprozesse</x:v>
      </x:c>
      <x:c r="H1463" s="5" t="str">
        <x:v>dg-hq-0080</x:v>
      </x:c>
      <x:c r="I1463" s="5" t="str">
        <x:v>5.1.1</x:v>
      </x:c>
      <x:c r="J1463" s="5" t="str">
        <x:v>Betriebliches Zielsystem</x:v>
      </x:c>
      <x:c r="K1463" s="5" t="str"/>
      <x:c r="L1463" s="5" t="str">
        <x:v>Managementgrundlagen</x:v>
      </x:c>
      <x:c r="M1463" s="5" t="n">
        <x:v>13</x:v>
      </x:c>
      <x:c r="N1463" s="5" t="n">
        <x:v>10</x:v>
      </x:c>
      <x:c r="O1463" s="5" t="str"/>
      <x:c r="P1463" s="5" t="str">
        <x:v>Zuordnungsvorschlag; Fachfreigabe ausstehend</x:v>
      </x:c>
      <x:c r="Q1463" s="5" t="str">
        <x:v>Bestehendes Lernthema fachlich unter passendem Rahmenplan-Unterbereich behalten</x:v>
      </x:c>
      <x:c r="R1463" s="5" t="str">
        <x:v>Welche klassischen Managementfunktionen gibt es?</x:v>
      </x:c>
      <x:c r="S1463" s="5" t="str">
        <x:v>2bfc349f77604b507defcd89bfa3523cc3a0f74c57384e7d4a58b58c171e1908</x:v>
      </x:c>
    </x:row>
    <x:row r="1464" ht="36" customHeight="1">
      <x:c r="A1464" s="5" t="str">
        <x:v>BM-0019</x:v>
      </x:c>
      <x:c r="B1464" s="5" t="str">
        <x:v>HQ</x:v>
      </x:c>
      <x:c r="C1464" s="5" t="str">
        <x:v>5</x:v>
      </x:c>
      <x:c r="D1464" s="5" t="str">
        <x:v>Betriebliches Management</x:v>
      </x:c>
      <x:c r="E1464" s="5" t="str">
        <x:v>Betriebliches Management</x:v>
      </x:c>
      <x:c r="F1464" s="5" t="str">
        <x:v>ui-hq-0013</x:v>
      </x:c>
      <x:c r="G1464" s="5" t="str">
        <x:v>Betriebliche Planungsprozesse</x:v>
      </x:c>
      <x:c r="H1464" s="5" t="str">
        <x:v>dg-hq-0080</x:v>
      </x:c>
      <x:c r="I1464" s="5" t="str">
        <x:v>5.1.1</x:v>
      </x:c>
      <x:c r="J1464" s="5" t="str">
        <x:v>Betriebliches Zielsystem</x:v>
      </x:c>
      <x:c r="K1464" s="5" t="str"/>
      <x:c r="L1464" s="5" t="str">
        <x:v>Managementgrundlagen</x:v>
      </x:c>
      <x:c r="M1464" s="5" t="n">
        <x:v>14</x:v>
      </x:c>
      <x:c r="N1464" s="5" t="n">
        <x:v>11</x:v>
      </x:c>
      <x:c r="O1464" s="5" t="str"/>
      <x:c r="P1464" s="5" t="str">
        <x:v>Zuordnungsvorschlag; Fachfreigabe ausstehend</x:v>
      </x:c>
      <x:c r="Q1464" s="5" t="str">
        <x:v>Bestehendes Lernthema fachlich unter passendem Rahmenplan-Unterbereich behalten</x:v>
      </x:c>
      <x:c r="R1464" s="5" t="str">
        <x:v>Welche Managementebenen gibt es?</x:v>
      </x:c>
      <x:c r="S1464" s="5" t="str">
        <x:v>4cff6fa9d8a818e14370cd857194cb3a22a35aa799b1ef0ed1049fd63435c738</x:v>
      </x:c>
    </x:row>
    <x:row r="1465" ht="36" customHeight="1">
      <x:c r="A1465" s="5" t="str">
        <x:v>BM-0020</x:v>
      </x:c>
      <x:c r="B1465" s="5" t="str">
        <x:v>HQ</x:v>
      </x:c>
      <x:c r="C1465" s="5" t="str">
        <x:v>5</x:v>
      </x:c>
      <x:c r="D1465" s="5" t="str">
        <x:v>Betriebliches Management</x:v>
      </x:c>
      <x:c r="E1465" s="5" t="str">
        <x:v>Betriebliches Management</x:v>
      </x:c>
      <x:c r="F1465" s="5" t="str">
        <x:v>ui-hq-0013</x:v>
      </x:c>
      <x:c r="G1465" s="5" t="str">
        <x:v>Betriebliche Planungsprozesse</x:v>
      </x:c>
      <x:c r="H1465" s="5" t="str">
        <x:v>dg-hq-0080</x:v>
      </x:c>
      <x:c r="I1465" s="5" t="str">
        <x:v>5.1.1</x:v>
      </x:c>
      <x:c r="J1465" s="5" t="str">
        <x:v>Betriebliches Zielsystem</x:v>
      </x:c>
      <x:c r="K1465" s="5" t="str"/>
      <x:c r="L1465" s="5" t="str">
        <x:v>Managementgrundlagen</x:v>
      </x:c>
      <x:c r="M1465" s="5" t="n">
        <x:v>15</x:v>
      </x:c>
      <x:c r="N1465" s="5" t="n">
        <x:v>12</x:v>
      </x:c>
      <x:c r="O1465" s="5" t="str"/>
      <x:c r="P1465" s="5" t="str">
        <x:v>Zuordnungsvorschlag; Fachfreigabe ausstehend</x:v>
      </x:c>
      <x:c r="Q1465" s="5" t="str">
        <x:v>Bestehendes Lernthema fachlich unter passendem Rahmenplan-Unterbereich behalten</x:v>
      </x:c>
      <x:c r="R1465" s="5" t="str">
        <x:v>Was umfasst betriebliches Management konkret?</x:v>
      </x:c>
      <x:c r="S1465" s="5" t="str">
        <x:v>9c8c7768d01988b4efc8cbd8d3dcfec4a6b0e848a9be10703c71c62f187a526f</x:v>
      </x:c>
    </x:row>
    <x:row r="1466" ht="36" customHeight="1">
      <x:c r="A1466" s="5" t="str">
        <x:v>BM-0021</x:v>
      </x:c>
      <x:c r="B1466" s="5" t="str">
        <x:v>HQ</x:v>
      </x:c>
      <x:c r="C1466" s="5" t="str">
        <x:v>5</x:v>
      </x:c>
      <x:c r="D1466" s="5" t="str">
        <x:v>Betriebliches Management</x:v>
      </x:c>
      <x:c r="E1466" s="5" t="str">
        <x:v>Betriebliches Management</x:v>
      </x:c>
      <x:c r="F1466" s="5" t="str">
        <x:v>ui-hq-0013</x:v>
      </x:c>
      <x:c r="G1466" s="5" t="str">
        <x:v>Betriebliche Planungsprozesse</x:v>
      </x:c>
      <x:c r="H1466" s="5" t="str">
        <x:v>dg-hq-0080</x:v>
      </x:c>
      <x:c r="I1466" s="5" t="str">
        <x:v>5.1.1</x:v>
      </x:c>
      <x:c r="J1466" s="5" t="str">
        <x:v>Betriebliches Zielsystem</x:v>
      </x:c>
      <x:c r="K1466" s="5" t="str"/>
      <x:c r="L1466" s="5" t="str">
        <x:v>Managementgrundlagen</x:v>
      </x:c>
      <x:c r="M1466" s="5" t="n">
        <x:v>16</x:v>
      </x:c>
      <x:c r="N1466" s="5" t="n">
        <x:v>13</x:v>
      </x:c>
      <x:c r="O1466" s="5" t="str"/>
      <x:c r="P1466" s="5" t="str">
        <x:v>Zuordnungsvorschlag; Fachfreigabe ausstehend</x:v>
      </x:c>
      <x:c r="Q1466" s="5" t="str">
        <x:v>Bestehendes Lernthema fachlich unter passendem Rahmenplan-Unterbereich behalten</x:v>
      </x:c>
      <x:c r="R1466" s="5" t="str">
        <x:v>Was ist das Ziel des betrieblichen Managements?
Antwort:</x:v>
      </x:c>
      <x:c r="S1466" s="5" t="str">
        <x:v>d1781aeed38cabca66a3df4a7dab53160c91378aa0b188682a99658adf652fe5</x:v>
      </x:c>
    </x:row>
    <x:row r="1467" ht="36" customHeight="1">
      <x:c r="A1467" s="5" t="str">
        <x:v>BM-0022</x:v>
      </x:c>
      <x:c r="B1467" s="5" t="str">
        <x:v>HQ</x:v>
      </x:c>
      <x:c r="C1467" s="5" t="str">
        <x:v>5</x:v>
      </x:c>
      <x:c r="D1467" s="5" t="str">
        <x:v>Betriebliches Management</x:v>
      </x:c>
      <x:c r="E1467" s="5" t="str">
        <x:v>Betriebliches Management</x:v>
      </x:c>
      <x:c r="F1467" s="5" t="str">
        <x:v>ui-hq-0013</x:v>
      </x:c>
      <x:c r="G1467" s="5" t="str">
        <x:v>Betriebliche Planungsprozesse</x:v>
      </x:c>
      <x:c r="H1467" s="5" t="str">
        <x:v>dg-hq-0080</x:v>
      </x:c>
      <x:c r="I1467" s="5" t="str">
        <x:v>5.1.1</x:v>
      </x:c>
      <x:c r="J1467" s="5" t="str">
        <x:v>Betriebliches Zielsystem</x:v>
      </x:c>
      <x:c r="K1467" s="5" t="str"/>
      <x:c r="L1467" s="5" t="str">
        <x:v>Managementgrundlagen</x:v>
      </x:c>
      <x:c r="M1467" s="5" t="n">
        <x:v>17</x:v>
      </x:c>
      <x:c r="N1467" s="5" t="n">
        <x:v>14</x:v>
      </x:c>
      <x:c r="O1467" s="5" t="str"/>
      <x:c r="P1467" s="5" t="str">
        <x:v>Zuordnungsvorschlag; Fachfreigabe ausstehend</x:v>
      </x:c>
      <x:c r="Q1467" s="5" t="str">
        <x:v>Bestehendes Lernthema fachlich unter passendem Rahmenplan-Unterbereich behalten</x:v>
      </x:c>
      <x:c r="R1467" s="5" t="str">
        <x:v>Was bedeutet Effizienz vs. Effektivität?</x:v>
      </x:c>
      <x:c r="S1467" s="5" t="str">
        <x:v>59cb174cea0a20b8fccfe65cd785c59163926908b4dc016b171d9be14c66ccbf</x:v>
      </x:c>
    </x:row>
    <x:row r="1468" ht="36" customHeight="1">
      <x:c r="A1468" s="5" t="str">
        <x:v>BM-0023</x:v>
      </x:c>
      <x:c r="B1468" s="5" t="str">
        <x:v>HQ</x:v>
      </x:c>
      <x:c r="C1468" s="5" t="str">
        <x:v>5</x:v>
      </x:c>
      <x:c r="D1468" s="5" t="str">
        <x:v>Betriebliches Management</x:v>
      </x:c>
      <x:c r="E1468" s="5" t="str">
        <x:v>Betriebliches Management</x:v>
      </x:c>
      <x:c r="F1468" s="5" t="str">
        <x:v>ui-hq-0013</x:v>
      </x:c>
      <x:c r="G1468" s="5" t="str">
        <x:v>Betriebliche Planungsprozesse</x:v>
      </x:c>
      <x:c r="H1468" s="5" t="str">
        <x:v>dg-hq-0080</x:v>
      </x:c>
      <x:c r="I1468" s="5" t="str">
        <x:v>5.1.1</x:v>
      </x:c>
      <x:c r="J1468" s="5" t="str">
        <x:v>Betriebliches Zielsystem</x:v>
      </x:c>
      <x:c r="K1468" s="5" t="str"/>
      <x:c r="L1468" s="5" t="str">
        <x:v>Managementgrundlagen</x:v>
      </x:c>
      <x:c r="M1468" s="5" t="n">
        <x:v>18</x:v>
      </x:c>
      <x:c r="N1468" s="5" t="n">
        <x:v>15</x:v>
      </x:c>
      <x:c r="O1468" s="5" t="str"/>
      <x:c r="P1468" s="5" t="str">
        <x:v>Zuordnungsvorschlag; Fachfreigabe ausstehend</x:v>
      </x:c>
      <x:c r="Q1468" s="5" t="str">
        <x:v>Bestehendes Lernthema fachlich unter passendem Rahmenplan-Unterbereich behalten</x:v>
      </x:c>
      <x:c r="R1468" s="5" t="str">
        <x:v>Was ist die Definition von betrieblichem Management?</x:v>
      </x:c>
      <x:c r="S1468" s="5" t="str">
        <x:v>6de62e33e44b8be787361d9c2cd211467be122f31951ea41709b581f69170f04</x:v>
      </x:c>
    </x:row>
    <x:row r="1469" ht="36" customHeight="1">
      <x:c r="A1469" s="5" t="str">
        <x:v>BM-0024</x:v>
      </x:c>
      <x:c r="B1469" s="5" t="str">
        <x:v>HQ</x:v>
      </x:c>
      <x:c r="C1469" s="5" t="str">
        <x:v>5</x:v>
      </x:c>
      <x:c r="D1469" s="5" t="str">
        <x:v>Betriebliches Management</x:v>
      </x:c>
      <x:c r="E1469" s="5" t="str">
        <x:v>Betriebliches Management</x:v>
      </x:c>
      <x:c r="F1469" s="5" t="str">
        <x:v>ui-hq-0013</x:v>
      </x:c>
      <x:c r="G1469" s="5" t="str">
        <x:v>Betriebliche Planungsprozesse</x:v>
      </x:c>
      <x:c r="H1469" s="5" t="str">
        <x:v>dg-hq-0080</x:v>
      </x:c>
      <x:c r="I1469" s="5" t="str">
        <x:v>5.1.1</x:v>
      </x:c>
      <x:c r="J1469" s="5" t="str">
        <x:v>Betriebliches Zielsystem</x:v>
      </x:c>
      <x:c r="K1469" s="5" t="str"/>
      <x:c r="L1469" s="5" t="str">
        <x:v>Managementgrundlagen</x:v>
      </x:c>
      <x:c r="M1469" s="5" t="n">
        <x:v>19</x:v>
      </x:c>
      <x:c r="N1469" s="5" t="n">
        <x:v>16</x:v>
      </x:c>
      <x:c r="O1469" s="5" t="str"/>
      <x:c r="P1469" s="5" t="str">
        <x:v>Zuordnungsvorschlag; Fachfreigabe ausstehend</x:v>
      </x:c>
      <x:c r="Q1469" s="5" t="str">
        <x:v>Bestehendes Lernthema fachlich unter passendem Rahmenplan-Unterbereich behalten</x:v>
      </x:c>
      <x:c r="R1469" s="5" t="str">
        <x:v>Was sind die Schwerpunkte des betrieblichen Managements?</x:v>
      </x:c>
      <x:c r="S1469" s="5" t="str">
        <x:v>0f9116e9e5383abe68f1a27c030ddc6c82d00c819076dbb7c587ae6ac89e777b</x:v>
      </x:c>
    </x:row>
    <x:row r="1470" ht="36" customHeight="1">
      <x:c r="A1470" s="5" t="str">
        <x:v>BM-0025</x:v>
      </x:c>
      <x:c r="B1470" s="5" t="str">
        <x:v>HQ</x:v>
      </x:c>
      <x:c r="C1470" s="5" t="str">
        <x:v>5</x:v>
      </x:c>
      <x:c r="D1470" s="5" t="str">
        <x:v>Betriebliches Management</x:v>
      </x:c>
      <x:c r="E1470" s="5" t="str">
        <x:v>Betriebliches Management</x:v>
      </x:c>
      <x:c r="F1470" s="5" t="str">
        <x:v>ui-hq-0013</x:v>
      </x:c>
      <x:c r="G1470" s="5" t="str">
        <x:v>Betriebliche Planungsprozesse</x:v>
      </x:c>
      <x:c r="H1470" s="5" t="str">
        <x:v>dg-hq-0080</x:v>
      </x:c>
      <x:c r="I1470" s="5" t="str">
        <x:v>5.1.1</x:v>
      </x:c>
      <x:c r="J1470" s="5" t="str">
        <x:v>Betriebliches Zielsystem</x:v>
      </x:c>
      <x:c r="K1470" s="5" t="str"/>
      <x:c r="L1470" s="5" t="str">
        <x:v>Managementgrundlagen</x:v>
      </x:c>
      <x:c r="M1470" s="5" t="n">
        <x:v>20</x:v>
      </x:c>
      <x:c r="N1470" s="5" t="n">
        <x:v>17</x:v>
      </x:c>
      <x:c r="O1470" s="5" t="str"/>
      <x:c r="P1470" s="5" t="str">
        <x:v>Zuordnungsvorschlag; Fachfreigabe ausstehend</x:v>
      </x:c>
      <x:c r="Q1470" s="5" t="str">
        <x:v>Bestehendes Lernthema fachlich unter passendem Rahmenplan-Unterbereich behalten</x:v>
      </x:c>
      <x:c r="R1470" s="5" t="str">
        <x:v>Was ist der Fokus des betrieblichen Managements?</x:v>
      </x:c>
      <x:c r="S1470" s="5" t="str">
        <x:v>c0251a6fdc9c00591fdc09b8fb52498d726fc4e2ef86c2235f9738206a36ae96</x:v>
      </x:c>
    </x:row>
    <x:row r="1471" ht="36" customHeight="1">
      <x:c r="A1471" s="5" t="str">
        <x:v>BM-0026</x:v>
      </x:c>
      <x:c r="B1471" s="5" t="str">
        <x:v>HQ</x:v>
      </x:c>
      <x:c r="C1471" s="5" t="str">
        <x:v>5</x:v>
      </x:c>
      <x:c r="D1471" s="5" t="str">
        <x:v>Betriebliches Management</x:v>
      </x:c>
      <x:c r="E1471" s="5" t="str">
        <x:v>Betriebliches Management</x:v>
      </x:c>
      <x:c r="F1471" s="5" t="str">
        <x:v>ui-hq-0013</x:v>
      </x:c>
      <x:c r="G1471" s="5" t="str">
        <x:v>Betriebliche Planungsprozesse</x:v>
      </x:c>
      <x:c r="H1471" s="5" t="str">
        <x:v>dg-hq-0080</x:v>
      </x:c>
      <x:c r="I1471" s="5" t="str">
        <x:v>5.1.1</x:v>
      </x:c>
      <x:c r="J1471" s="5" t="str">
        <x:v>Betriebliches Zielsystem</x:v>
      </x:c>
      <x:c r="K1471" s="5" t="str"/>
      <x:c r="L1471" s="5" t="str">
        <x:v>Managementgrundlagen</x:v>
      </x:c>
      <x:c r="M1471" s="5" t="n">
        <x:v>21</x:v>
      </x:c>
      <x:c r="N1471" s="5" t="n">
        <x:v>18</x:v>
      </x:c>
      <x:c r="O1471" s="5" t="str"/>
      <x:c r="P1471" s="5" t="str">
        <x:v>Zuordnungsvorschlag; Fachfreigabe ausstehend</x:v>
      </x:c>
      <x:c r="Q1471" s="5" t="str">
        <x:v>Bestehendes Lernthema fachlich unter passendem Rahmenplan-Unterbereich behalten</x:v>
      </x:c>
      <x:c r="R1471" s="5" t="str">
        <x:v>Was ist Unternehmensführung?</x:v>
      </x:c>
      <x:c r="S1471" s="5" t="str">
        <x:v>0d9d4f977ce65c9b5dcb2dce26b845a04399c36be1769d4714e53e7bdd67c943</x:v>
      </x:c>
    </x:row>
    <x:row r="1472" ht="36" customHeight="1">
      <x:c r="A1472" s="5" t="str">
        <x:v>BM-0027</x:v>
      </x:c>
      <x:c r="B1472" s="5" t="str">
        <x:v>HQ</x:v>
      </x:c>
      <x:c r="C1472" s="5" t="str">
        <x:v>5</x:v>
      </x:c>
      <x:c r="D1472" s="5" t="str">
        <x:v>Betriebliches Management</x:v>
      </x:c>
      <x:c r="E1472" s="5" t="str">
        <x:v>Betriebliches Management</x:v>
      </x:c>
      <x:c r="F1472" s="5" t="str">
        <x:v>ui-hq-0013</x:v>
      </x:c>
      <x:c r="G1472" s="5" t="str">
        <x:v>Betriebliche Planungsprozesse</x:v>
      </x:c>
      <x:c r="H1472" s="5" t="str">
        <x:v>dg-hq-0080</x:v>
      </x:c>
      <x:c r="I1472" s="5" t="str">
        <x:v>5.1.1</x:v>
      </x:c>
      <x:c r="J1472" s="5" t="str">
        <x:v>Betriebliches Zielsystem</x:v>
      </x:c>
      <x:c r="K1472" s="5" t="str"/>
      <x:c r="L1472" s="5" t="str">
        <x:v>Managementgrundlagen</x:v>
      </x:c>
      <x:c r="M1472" s="5" t="n">
        <x:v>22</x:v>
      </x:c>
      <x:c r="N1472" s="5" t="n">
        <x:v>19</x:v>
      </x:c>
      <x:c r="O1472" s="5" t="str"/>
      <x:c r="P1472" s="5" t="str">
        <x:v>Zuordnungsvorschlag; Fachfreigabe ausstehend</x:v>
      </x:c>
      <x:c r="Q1472" s="5" t="str">
        <x:v>Bestehendes Lernthema fachlich unter passendem Rahmenplan-Unterbereich behalten</x:v>
      </x:c>
      <x:c r="R1472" s="5" t="str">
        <x:v>Was sind die Schwerpunkte der Unternehmensführung?</x:v>
      </x:c>
      <x:c r="S1472" s="5" t="str">
        <x:v>49365f5b7cc07d60bf0816e853fc66ebd39a1f06214e5d66840b98e1f3661091</x:v>
      </x:c>
    </x:row>
    <x:row r="1473" ht="36" customHeight="1">
      <x:c r="A1473" s="5" t="str">
        <x:v>BM-0028</x:v>
      </x:c>
      <x:c r="B1473" s="5" t="str">
        <x:v>HQ</x:v>
      </x:c>
      <x:c r="C1473" s="5" t="str">
        <x:v>5</x:v>
      </x:c>
      <x:c r="D1473" s="5" t="str">
        <x:v>Betriebliches Management</x:v>
      </x:c>
      <x:c r="E1473" s="5" t="str">
        <x:v>Betriebliches Management</x:v>
      </x:c>
      <x:c r="F1473" s="5" t="str">
        <x:v>ui-hq-0013</x:v>
      </x:c>
      <x:c r="G1473" s="5" t="str">
        <x:v>Betriebliche Planungsprozesse</x:v>
      </x:c>
      <x:c r="H1473" s="5" t="str">
        <x:v>dg-hq-0080</x:v>
      </x:c>
      <x:c r="I1473" s="5" t="str">
        <x:v>5.1.1</x:v>
      </x:c>
      <x:c r="J1473" s="5" t="str">
        <x:v>Betriebliches Zielsystem</x:v>
      </x:c>
      <x:c r="K1473" s="5" t="str"/>
      <x:c r="L1473" s="5" t="str">
        <x:v>Managementgrundlagen</x:v>
      </x:c>
      <x:c r="M1473" s="5" t="n">
        <x:v>23</x:v>
      </x:c>
      <x:c r="N1473" s="5" t="n">
        <x:v>20</x:v>
      </x:c>
      <x:c r="O1473" s="5" t="str"/>
      <x:c r="P1473" s="5" t="str">
        <x:v>Zuordnungsvorschlag; Fachfreigabe ausstehend</x:v>
      </x:c>
      <x:c r="Q1473" s="5" t="str">
        <x:v>Bestehendes Lernthema fachlich unter passendem Rahmenplan-Unterbereich behalten</x:v>
      </x:c>
      <x:c r="R1473" s="5" t="str">
        <x:v>Was ist der Fokus der Unternehmensführung?</x:v>
      </x:c>
      <x:c r="S1473" s="5" t="str">
        <x:v>c3fa0a1ae49ca898254c6be660e0f08c0fd4eec2afa23b0c1b8b48844f5a4e5b</x:v>
      </x:c>
    </x:row>
    <x:row r="1474" ht="36" customHeight="1">
      <x:c r="A1474" s="5" t="str">
        <x:v>BM-0029</x:v>
      </x:c>
      <x:c r="B1474" s="5" t="str">
        <x:v>HQ</x:v>
      </x:c>
      <x:c r="C1474" s="5" t="str">
        <x:v>5</x:v>
      </x:c>
      <x:c r="D1474" s="5" t="str">
        <x:v>Betriebliches Management</x:v>
      </x:c>
      <x:c r="E1474" s="5" t="str">
        <x:v>Betriebliches Management</x:v>
      </x:c>
      <x:c r="F1474" s="5" t="str">
        <x:v>ui-hq-0013</x:v>
      </x:c>
      <x:c r="G1474" s="5" t="str">
        <x:v>Betriebliche Planungsprozesse</x:v>
      </x:c>
      <x:c r="H1474" s="5" t="str">
        <x:v>dg-hq-0080</x:v>
      </x:c>
      <x:c r="I1474" s="5" t="str">
        <x:v>5.1.1</x:v>
      </x:c>
      <x:c r="J1474" s="5" t="str">
        <x:v>Betriebliches Zielsystem</x:v>
      </x:c>
      <x:c r="K1474" s="5" t="str"/>
      <x:c r="L1474" s="5" t="str">
        <x:v>Managementgrundlagen</x:v>
      </x:c>
      <x:c r="M1474" s="5" t="n">
        <x:v>24</x:v>
      </x:c>
      <x:c r="N1474" s="5" t="n">
        <x:v>21</x:v>
      </x:c>
      <x:c r="O1474" s="5" t="str"/>
      <x:c r="P1474" s="5" t="str">
        <x:v>Zuordnungsvorschlag; Fachfreigabe ausstehend</x:v>
      </x:c>
      <x:c r="Q1474" s="5" t="str">
        <x:v>Bestehendes Lernthema fachlich unter passendem Rahmenplan-Unterbereich behalten</x:v>
      </x:c>
      <x:c r="R1474" s="5" t="str">
        <x:v>Was ist Unternehmensplanung?</x:v>
      </x:c>
      <x:c r="S1474" s="5" t="str">
        <x:v>f69b3bb0bd79fa6b3a1db1ae25f43e43edce4cf2462eb86cfc91673548cbb868</x:v>
      </x:c>
    </x:row>
    <x:row r="1475" ht="36" customHeight="1">
      <x:c r="A1475" s="5" t="str">
        <x:v>BM-0030</x:v>
      </x:c>
      <x:c r="B1475" s="5" t="str">
        <x:v>HQ</x:v>
      </x:c>
      <x:c r="C1475" s="5" t="str">
        <x:v>5</x:v>
      </x:c>
      <x:c r="D1475" s="5" t="str">
        <x:v>Betriebliches Management</x:v>
      </x:c>
      <x:c r="E1475" s="5" t="str">
        <x:v>Betriebliches Management</x:v>
      </x:c>
      <x:c r="F1475" s="5" t="str">
        <x:v>ui-hq-0013</x:v>
      </x:c>
      <x:c r="G1475" s="5" t="str">
        <x:v>Betriebliche Planungsprozesse</x:v>
      </x:c>
      <x:c r="H1475" s="5" t="str">
        <x:v>dg-hq-0080</x:v>
      </x:c>
      <x:c r="I1475" s="5" t="str">
        <x:v>5.1.1</x:v>
      </x:c>
      <x:c r="J1475" s="5" t="str">
        <x:v>Betriebliches Zielsystem</x:v>
      </x:c>
      <x:c r="K1475" s="5" t="str"/>
      <x:c r="L1475" s="5" t="str">
        <x:v>Managementgrundlagen</x:v>
      </x:c>
      <x:c r="M1475" s="5" t="n">
        <x:v>25</x:v>
      </x:c>
      <x:c r="N1475" s="5" t="n">
        <x:v>22</x:v>
      </x:c>
      <x:c r="O1475" s="5" t="str"/>
      <x:c r="P1475" s="5" t="str">
        <x:v>Zuordnungsvorschlag; Fachfreigabe ausstehend</x:v>
      </x:c>
      <x:c r="Q1475" s="5" t="str">
        <x:v>Bestehendes Lernthema fachlich unter passendem Rahmenplan-Unterbereich behalten</x:v>
      </x:c>
      <x:c r="R1475" s="5" t="str">
        <x:v>Was sind die Schwerpunkte der Unternehmensplanung?</x:v>
      </x:c>
      <x:c r="S1475" s="5" t="str">
        <x:v>1ea50c1fcbab1d14d1ed90d6aeae42eafa2e0ea2846b2b59d5814472d7b438e5</x:v>
      </x:c>
    </x:row>
    <x:row r="1476" ht="36" customHeight="1">
      <x:c r="A1476" s="5" t="str">
        <x:v>BM-0031</x:v>
      </x:c>
      <x:c r="B1476" s="5" t="str">
        <x:v>HQ</x:v>
      </x:c>
      <x:c r="C1476" s="5" t="str">
        <x:v>5</x:v>
      </x:c>
      <x:c r="D1476" s="5" t="str">
        <x:v>Betriebliches Management</x:v>
      </x:c>
      <x:c r="E1476" s="5" t="str">
        <x:v>Betriebliches Management</x:v>
      </x:c>
      <x:c r="F1476" s="5" t="str">
        <x:v>ui-hq-0013</x:v>
      </x:c>
      <x:c r="G1476" s="5" t="str">
        <x:v>Betriebliche Planungsprozesse</x:v>
      </x:c>
      <x:c r="H1476" s="5" t="str">
        <x:v>dg-hq-0080</x:v>
      </x:c>
      <x:c r="I1476" s="5" t="str">
        <x:v>5.1.1</x:v>
      </x:c>
      <x:c r="J1476" s="5" t="str">
        <x:v>Betriebliches Zielsystem</x:v>
      </x:c>
      <x:c r="K1476" s="5" t="str"/>
      <x:c r="L1476" s="5" t="str">
        <x:v>Managementgrundlagen</x:v>
      </x:c>
      <x:c r="M1476" s="5" t="n">
        <x:v>26</x:v>
      </x:c>
      <x:c r="N1476" s="5" t="n">
        <x:v>23</x:v>
      </x:c>
      <x:c r="O1476" s="5" t="str"/>
      <x:c r="P1476" s="5" t="str">
        <x:v>Zuordnungsvorschlag; Fachfreigabe ausstehend</x:v>
      </x:c>
      <x:c r="Q1476" s="5" t="str">
        <x:v>Bestehendes Lernthema fachlich unter passendem Rahmenplan-Unterbereich behalten</x:v>
      </x:c>
      <x:c r="R1476" s="5" t="str">
        <x:v>Was ist der Fokus der Unternehmensplanung?</x:v>
      </x:c>
      <x:c r="S1476" s="5" t="str">
        <x:v>da0bbc2d7d2648a636638314794f78942c95e044639336f6f5e65a37e596adf8</x:v>
      </x:c>
    </x:row>
    <x:row r="1477" ht="36" customHeight="1">
      <x:c r="A1477" s="5" t="str">
        <x:v>BM-0032</x:v>
      </x:c>
      <x:c r="B1477" s="5" t="str">
        <x:v>HQ</x:v>
      </x:c>
      <x:c r="C1477" s="5" t="str">
        <x:v>5</x:v>
      </x:c>
      <x:c r="D1477" s="5" t="str">
        <x:v>Betriebliches Management</x:v>
      </x:c>
      <x:c r="E1477" s="5" t="str">
        <x:v>Betriebliches Management</x:v>
      </x:c>
      <x:c r="F1477" s="5" t="str">
        <x:v>ui-hq-0013</x:v>
      </x:c>
      <x:c r="G1477" s="5" t="str">
        <x:v>Betriebliche Planungsprozesse</x:v>
      </x:c>
      <x:c r="H1477" s="5" t="str">
        <x:v>dg-hq-0080</x:v>
      </x:c>
      <x:c r="I1477" s="5" t="str">
        <x:v>5.1.1</x:v>
      </x:c>
      <x:c r="J1477" s="5" t="str">
        <x:v>Betriebliches Zielsystem</x:v>
      </x:c>
      <x:c r="K1477" s="5" t="str"/>
      <x:c r="L1477" s="5" t="str">
        <x:v>Managementgrundlagen</x:v>
      </x:c>
      <x:c r="M1477" s="5" t="n">
        <x:v>27</x:v>
      </x:c>
      <x:c r="N1477" s="5" t="n">
        <x:v>24</x:v>
      </x:c>
      <x:c r="O1477" s="5" t="str"/>
      <x:c r="P1477" s="5" t="str">
        <x:v>Zuordnungsvorschlag; Fachfreigabe ausstehend</x:v>
      </x:c>
      <x:c r="Q1477" s="5" t="str">
        <x:v>Bestehendes Lernthema fachlich unter passendem Rahmenplan-Unterbereich behalten</x:v>
      </x:c>
      <x:c r="R1477" s="5" t="str">
        <x:v>Was ist Unternehmenssteuerung?</x:v>
      </x:c>
      <x:c r="S1477" s="5" t="str">
        <x:v>d3ef1ca76a58ded276ae7ee4fd9bfc063135d5ebd2fa17b131c7f00cfced50d7</x:v>
      </x:c>
    </x:row>
    <x:row r="1478" ht="36" customHeight="1">
      <x:c r="A1478" s="5" t="str">
        <x:v>BM-0033</x:v>
      </x:c>
      <x:c r="B1478" s="5" t="str">
        <x:v>HQ</x:v>
      </x:c>
      <x:c r="C1478" s="5" t="str">
        <x:v>5</x:v>
      </x:c>
      <x:c r="D1478" s="5" t="str">
        <x:v>Betriebliches Management</x:v>
      </x:c>
      <x:c r="E1478" s="5" t="str">
        <x:v>Betriebliches Management</x:v>
      </x:c>
      <x:c r="F1478" s="5" t="str">
        <x:v>ui-hq-0013</x:v>
      </x:c>
      <x:c r="G1478" s="5" t="str">
        <x:v>Betriebliche Planungsprozesse</x:v>
      </x:c>
      <x:c r="H1478" s="5" t="str">
        <x:v>dg-hq-0080</x:v>
      </x:c>
      <x:c r="I1478" s="5" t="str">
        <x:v>5.1.1</x:v>
      </x:c>
      <x:c r="J1478" s="5" t="str">
        <x:v>Betriebliches Zielsystem</x:v>
      </x:c>
      <x:c r="K1478" s="5" t="str"/>
      <x:c r="L1478" s="5" t="str">
        <x:v>Managementgrundlagen</x:v>
      </x:c>
      <x:c r="M1478" s="5" t="n">
        <x:v>28</x:v>
      </x:c>
      <x:c r="N1478" s="5" t="n">
        <x:v>25</x:v>
      </x:c>
      <x:c r="O1478" s="5" t="str"/>
      <x:c r="P1478" s="5" t="str">
        <x:v>Zuordnungsvorschlag; Fachfreigabe ausstehend</x:v>
      </x:c>
      <x:c r="Q1478" s="5" t="str">
        <x:v>Bestehendes Lernthema fachlich unter passendem Rahmenplan-Unterbereich behalten</x:v>
      </x:c>
      <x:c r="R1478" s="5" t="str">
        <x:v>Was sind die Schwerpunkte der Unternehmenssteuerung?</x:v>
      </x:c>
      <x:c r="S1478" s="5" t="str">
        <x:v>5a01764146dff58c5140a8d9b0f828e678751800f7f3e9be7dfbf2bd01c239fd</x:v>
      </x:c>
    </x:row>
    <x:row r="1479" ht="36" customHeight="1">
      <x:c r="A1479" s="5" t="str">
        <x:v>BM-0034</x:v>
      </x:c>
      <x:c r="B1479" s="5" t="str">
        <x:v>HQ</x:v>
      </x:c>
      <x:c r="C1479" s="5" t="str">
        <x:v>5</x:v>
      </x:c>
      <x:c r="D1479" s="5" t="str">
        <x:v>Betriebliches Management</x:v>
      </x:c>
      <x:c r="E1479" s="5" t="str">
        <x:v>Betriebliches Management</x:v>
      </x:c>
      <x:c r="F1479" s="5" t="str">
        <x:v>ui-hq-0013</x:v>
      </x:c>
      <x:c r="G1479" s="5" t="str">
        <x:v>Betriebliche Planungsprozesse</x:v>
      </x:c>
      <x:c r="H1479" s="5" t="str">
        <x:v>dg-hq-0080</x:v>
      </x:c>
      <x:c r="I1479" s="5" t="str">
        <x:v>5.1.1</x:v>
      </x:c>
      <x:c r="J1479" s="5" t="str">
        <x:v>Betriebliches Zielsystem</x:v>
      </x:c>
      <x:c r="K1479" s="5" t="str"/>
      <x:c r="L1479" s="5" t="str">
        <x:v>Managementgrundlagen</x:v>
      </x:c>
      <x:c r="M1479" s="5" t="n">
        <x:v>29</x:v>
      </x:c>
      <x:c r="N1479" s="5" t="n">
        <x:v>26</x:v>
      </x:c>
      <x:c r="O1479" s="5" t="str"/>
      <x:c r="P1479" s="5" t="str">
        <x:v>Zuordnungsvorschlag; Fachfreigabe ausstehend</x:v>
      </x:c>
      <x:c r="Q1479" s="5" t="str">
        <x:v>Bestehendes Lernthema fachlich unter passendem Rahmenplan-Unterbereich behalten</x:v>
      </x:c>
      <x:c r="R1479" s="5" t="str">
        <x:v>Was ist der Fokus der Unternehmenssteuerung?</x:v>
      </x:c>
      <x:c r="S1479" s="5" t="str">
        <x:v>e91453a131c2b94a2e3de7e65bfc8a8c97bc8ae754d1f0085865566e7049848d</x:v>
      </x:c>
    </x:row>
    <x:row r="1480" ht="36" customHeight="1">
      <x:c r="A1480" s="5" t="str">
        <x:v>BM-0035</x:v>
      </x:c>
      <x:c r="B1480" s="5" t="str">
        <x:v>HQ</x:v>
      </x:c>
      <x:c r="C1480" s="5" t="str">
        <x:v>5</x:v>
      </x:c>
      <x:c r="D1480" s="5" t="str">
        <x:v>Betriebliches Management</x:v>
      </x:c>
      <x:c r="E1480" s="5" t="str">
        <x:v>Betriebliches Management</x:v>
      </x:c>
      <x:c r="F1480" s="5" t="str">
        <x:v>ui-hq-0013</x:v>
      </x:c>
      <x:c r="G1480" s="5" t="str">
        <x:v>Betriebliche Planungsprozesse</x:v>
      </x:c>
      <x:c r="H1480" s="5" t="str">
        <x:v>dg-hq-0080</x:v>
      </x:c>
      <x:c r="I1480" s="5" t="str">
        <x:v>5.1.1</x:v>
      </x:c>
      <x:c r="J1480" s="5" t="str">
        <x:v>Betriebliches Zielsystem</x:v>
      </x:c>
      <x:c r="K1480" s="5" t="str"/>
      <x:c r="L1480" s="5" t="str">
        <x:v>Managementgrundlagen</x:v>
      </x:c>
      <x:c r="M1480" s="5" t="n">
        <x:v>30</x:v>
      </x:c>
      <x:c r="N1480" s="5" t="n">
        <x:v>27</x:v>
      </x:c>
      <x:c r="O1480" s="5" t="str"/>
      <x:c r="P1480" s="5" t="str">
        <x:v>Zuordnungsvorschlag; Fachfreigabe ausstehend</x:v>
      </x:c>
      <x:c r="Q1480" s="5" t="str">
        <x:v>Bestehendes Lernthema fachlich unter passendem Rahmenplan-Unterbereich behalten</x:v>
      </x:c>
      <x:c r="R1480" s="5" t="str">
        <x:v>Was umfasst Betriebliches Management?</x:v>
      </x:c>
      <x:c r="S1480" s="5" t="str">
        <x:v>07ba4382cc4fb6ca27bab9d199af7b24b951083833688d65f87c50b003bc2d09</x:v>
      </x:c>
    </x:row>
    <x:row r="1481" ht="36" customHeight="1">
      <x:c r="A1481" s="5" t="str">
        <x:v>BM-0036</x:v>
      </x:c>
      <x:c r="B1481" s="5" t="str">
        <x:v>HQ</x:v>
      </x:c>
      <x:c r="C1481" s="5" t="str">
        <x:v>5</x:v>
      </x:c>
      <x:c r="D1481" s="5" t="str">
        <x:v>Betriebliches Management</x:v>
      </x:c>
      <x:c r="E1481" s="5" t="str">
        <x:v>Betriebliches Management</x:v>
      </x:c>
      <x:c r="F1481" s="5" t="str">
        <x:v>ui-hq-0013</x:v>
      </x:c>
      <x:c r="G1481" s="5" t="str">
        <x:v>Betriebliche Planungsprozesse</x:v>
      </x:c>
      <x:c r="H1481" s="5" t="str">
        <x:v>dg-hq-0080</x:v>
      </x:c>
      <x:c r="I1481" s="5" t="str">
        <x:v>5.1.1</x:v>
      </x:c>
      <x:c r="J1481" s="5" t="str">
        <x:v>Betriebliches Zielsystem</x:v>
      </x:c>
      <x:c r="K1481" s="5" t="str"/>
      <x:c r="L1481" s="5" t="str">
        <x:v>Managementgrundlagen</x:v>
      </x:c>
      <x:c r="M1481" s="5" t="n">
        <x:v>31</x:v>
      </x:c>
      <x:c r="N1481" s="5" t="n">
        <x:v>28</x:v>
      </x:c>
      <x:c r="O1481" s="5" t="str"/>
      <x:c r="P1481" s="5" t="str">
        <x:v>Zuordnungsvorschlag; Fachfreigabe ausstehend</x:v>
      </x:c>
      <x:c r="Q1481" s="5" t="str">
        <x:v>Bestehendes Lernthema fachlich unter passendem Rahmenplan-Unterbereich behalten</x:v>
      </x:c>
      <x:c r="R1481" s="5" t="str">
        <x:v>Wie lassen sich betriebliches Management, Unternehmensführung, Unternehmensplanung und Unternehmenssteuerung voneinander abgrenzen?</x:v>
      </x:c>
      <x:c r="S1481" s="5" t="str">
        <x:v>c94cae3646c9ca9ee08c2ef32ed171ac6d7a52c274a4a992671564606f3cdbbb</x:v>
      </x:c>
    </x:row>
    <x:row r="1482" ht="36" customHeight="1">
      <x:c r="A1482" s="5" t="str">
        <x:v>BM-0037</x:v>
      </x:c>
      <x:c r="B1482" s="5" t="str">
        <x:v>HQ</x:v>
      </x:c>
      <x:c r="C1482" s="5" t="str">
        <x:v>5</x:v>
      </x:c>
      <x:c r="D1482" s="5" t="str">
        <x:v>Betriebliches Management</x:v>
      </x:c>
      <x:c r="E1482" s="5" t="str">
        <x:v>Betriebliches Management</x:v>
      </x:c>
      <x:c r="F1482" s="5" t="str">
        <x:v>ui-hq-0013</x:v>
      </x:c>
      <x:c r="G1482" s="5" t="str">
        <x:v>Betriebliche Planungsprozesse</x:v>
      </x:c>
      <x:c r="H1482" s="5" t="str">
        <x:v>dg-hq-0080</x:v>
      </x:c>
      <x:c r="I1482" s="5" t="str">
        <x:v>5.1.1</x:v>
      </x:c>
      <x:c r="J1482" s="5" t="str">
        <x:v>Betriebliches Zielsystem</x:v>
      </x:c>
      <x:c r="K1482" s="5" t="str"/>
      <x:c r="L1482" s="5" t="str">
        <x:v>Managementgrundlagen</x:v>
      </x:c>
      <x:c r="M1482" s="5" t="n">
        <x:v>32</x:v>
      </x:c>
      <x:c r="N1482" s="5" t="n">
        <x:v>29</x:v>
      </x:c>
      <x:c r="O1482" s="5" t="str"/>
      <x:c r="P1482" s="5" t="str">
        <x:v>Zuordnungsvorschlag; Fachfreigabe ausstehend</x:v>
      </x:c>
      <x:c r="Q1482" s="5" t="str">
        <x:v>Bestehendes Lernthema fachlich unter passendem Rahmenplan-Unterbereich behalten</x:v>
      </x:c>
      <x:c r="R1482" s="5" t="str">
        <x:v>Welche Phasen umfasst der Managementkreislauf und welche Inhalte haben sie?</x:v>
      </x:c>
      <x:c r="S1482" s="5" t="str">
        <x:v>4ceea85d7b7a7b149e8e8a8483d86db4a72e03c374cda3aedc8bbc7ec6a03c69</x:v>
      </x:c>
    </x:row>
    <x:row r="1483" ht="36" customHeight="1">
      <x:c r="A1483" s="5" t="str">
        <x:v>BM-0038</x:v>
      </x:c>
      <x:c r="B1483" s="5" t="str">
        <x:v>HQ</x:v>
      </x:c>
      <x:c r="C1483" s="5" t="str">
        <x:v>5</x:v>
      </x:c>
      <x:c r="D1483" s="5" t="str">
        <x:v>Betriebliches Management</x:v>
      </x:c>
      <x:c r="E1483" s="5" t="str">
        <x:v>Betriebliches Management</x:v>
      </x:c>
      <x:c r="F1483" s="5" t="str">
        <x:v>ui-hq-0013</x:v>
      </x:c>
      <x:c r="G1483" s="5" t="str">
        <x:v>Betriebliche Planungsprozesse</x:v>
      </x:c>
      <x:c r="H1483" s="5" t="str">
        <x:v>dg-hq-0080</x:v>
      </x:c>
      <x:c r="I1483" s="5" t="str">
        <x:v>5.1.1</x:v>
      </x:c>
      <x:c r="J1483" s="5" t="str">
        <x:v>Betriebliches Zielsystem</x:v>
      </x:c>
      <x:c r="K1483" s="5" t="str"/>
      <x:c r="L1483" s="5" t="str">
        <x:v>Managementgrundlagen</x:v>
      </x:c>
      <x:c r="M1483" s="5" t="n">
        <x:v>33</x:v>
      </x:c>
      <x:c r="N1483" s="5" t="n">
        <x:v>30</x:v>
      </x:c>
      <x:c r="O1483" s="5" t="str"/>
      <x:c r="P1483" s="5" t="str">
        <x:v>Zuordnungsvorschlag; Fachfreigabe ausstehend</x:v>
      </x:c>
      <x:c r="Q1483" s="5" t="str">
        <x:v>Bestehendes Lernthema fachlich unter passendem Rahmenplan-Unterbereich behalten</x:v>
      </x:c>
      <x:c r="R1483" s="5" t="str">
        <x:v>Erklären Sie den Zusammenhang zwischen Güterstrom, Geldstrom und Wertstrom.</x:v>
      </x:c>
      <x:c r="S1483" s="5" t="str">
        <x:v>be940c99b1d466f350341ae1db357821ea6442b6292c2269e72a3ba696421fdb</x:v>
      </x:c>
    </x:row>
    <x:row r="1484" ht="36" customHeight="1">
      <x:c r="A1484" s="5" t="str">
        <x:v>BM-0039</x:v>
      </x:c>
      <x:c r="B1484" s="5" t="str">
        <x:v>HQ</x:v>
      </x:c>
      <x:c r="C1484" s="5" t="str">
        <x:v>5</x:v>
      </x:c>
      <x:c r="D1484" s="5" t="str">
        <x:v>Betriebliches Management</x:v>
      </x:c>
      <x:c r="E1484" s="5" t="str">
        <x:v>Betriebliches Management</x:v>
      </x:c>
      <x:c r="F1484" s="5" t="str">
        <x:v>ui-hq-0013</x:v>
      </x:c>
      <x:c r="G1484" s="5" t="str">
        <x:v>Betriebliche Planungsprozesse</x:v>
      </x:c>
      <x:c r="H1484" s="5" t="str">
        <x:v>dg-hq-0080</x:v>
      </x:c>
      <x:c r="I1484" s="5" t="str">
        <x:v>5.1.1</x:v>
      </x:c>
      <x:c r="J1484" s="5" t="str">
        <x:v>Betriebliches Zielsystem</x:v>
      </x:c>
      <x:c r="K1484" s="5" t="str"/>
      <x:c r="L1484" s="5" t="str">
        <x:v>Managementgrundlagen</x:v>
      </x:c>
      <x:c r="M1484" s="5" t="n">
        <x:v>34</x:v>
      </x:c>
      <x:c r="N1484" s="5" t="n">
        <x:v>31</x:v>
      </x:c>
      <x:c r="O1484" s="5" t="str"/>
      <x:c r="P1484" s="5" t="str">
        <x:v>Zuordnungsvorschlag; Fachfreigabe ausstehend</x:v>
      </x:c>
      <x:c r="Q1484" s="5" t="str">
        <x:v>Bestehendes Lernthema fachlich unter passendem Rahmenplan-Unterbereich behalten</x:v>
      </x:c>
      <x:c r="R1484" s="5" t="str">
        <x:v>Welche Prozessarten gibt es im Unternehmen und wie unterscheiden sie sich?</x:v>
      </x:c>
      <x:c r="S1484" s="5" t="str">
        <x:v>65e396834c6ec4e1cfcd30b03ec7ef7e6ae01a3ba06af42c35af3cddc7e6638f</x:v>
      </x:c>
    </x:row>
    <x:row r="1485" ht="36" customHeight="1">
      <x:c r="A1485" s="5" t="str">
        <x:v>BM-0040</x:v>
      </x:c>
      <x:c r="B1485" s="5" t="str">
        <x:v>HQ</x:v>
      </x:c>
      <x:c r="C1485" s="5" t="str">
        <x:v>5</x:v>
      </x:c>
      <x:c r="D1485" s="5" t="str">
        <x:v>Betriebliches Management</x:v>
      </x:c>
      <x:c r="E1485" s="5" t="str">
        <x:v>Betriebliches Management</x:v>
      </x:c>
      <x:c r="F1485" s="5" t="str">
        <x:v>ui-hq-0013</x:v>
      </x:c>
      <x:c r="G1485" s="5" t="str">
        <x:v>Betriebliche Planungsprozesse</x:v>
      </x:c>
      <x:c r="H1485" s="5" t="str">
        <x:v>dg-hq-0080</x:v>
      </x:c>
      <x:c r="I1485" s="5" t="str">
        <x:v>5.1.1</x:v>
      </x:c>
      <x:c r="J1485" s="5" t="str">
        <x:v>Betriebliches Zielsystem</x:v>
      </x:c>
      <x:c r="K1485" s="5" t="str"/>
      <x:c r="L1485" s="5" t="str">
        <x:v>Managementgrundlagen</x:v>
      </x:c>
      <x:c r="M1485" s="5" t="n">
        <x:v>35</x:v>
      </x:c>
      <x:c r="N1485" s="5" t="n">
        <x:v>32</x:v>
      </x:c>
      <x:c r="O1485" s="5" t="str"/>
      <x:c r="P1485" s="5" t="str">
        <x:v>Zuordnungsvorschlag; Fachfreigabe ausstehend</x:v>
      </x:c>
      <x:c r="Q1485" s="5" t="str">
        <x:v>Bestehendes Lernthema fachlich unter passendem Rahmenplan-Unterbereich behalten</x:v>
      </x:c>
      <x:c r="R1485" s="5" t="str">
        <x:v>Welche Aufgaben hat das betriebliche Management?</x:v>
      </x:c>
      <x:c r="S1485" s="5" t="str">
        <x:v>8c23eff870351eac5ff965018d6e5d09cf557c7df340c7fe744649602b60bc1f</x:v>
      </x:c>
    </x:row>
    <x:row r="1486" ht="36" customHeight="1">
      <x:c r="A1486" s="5" t="str">
        <x:v>BM-0041</x:v>
      </x:c>
      <x:c r="B1486" s="5" t="str">
        <x:v>HQ</x:v>
      </x:c>
      <x:c r="C1486" s="5" t="str">
        <x:v>5</x:v>
      </x:c>
      <x:c r="D1486" s="5" t="str">
        <x:v>Betriebliches Management</x:v>
      </x:c>
      <x:c r="E1486" s="5" t="str">
        <x:v>Betriebliches Management</x:v>
      </x:c>
      <x:c r="F1486" s="5" t="str">
        <x:v>ui-hq-0013</x:v>
      </x:c>
      <x:c r="G1486" s="5" t="str">
        <x:v>Betriebliche Planungsprozesse</x:v>
      </x:c>
      <x:c r="H1486" s="5" t="str">
        <x:v>dg-hq-0080</x:v>
      </x:c>
      <x:c r="I1486" s="5" t="str">
        <x:v>5.1.1</x:v>
      </x:c>
      <x:c r="J1486" s="5" t="str">
        <x:v>Betriebliches Zielsystem</x:v>
      </x:c>
      <x:c r="K1486" s="5" t="str"/>
      <x:c r="L1486" s="5" t="str">
        <x:v>Betriebliches Zielsystem &amp; Zielbildung</x:v>
      </x:c>
      <x:c r="M1486" s="5" t="n">
        <x:v>36</x:v>
      </x:c>
      <x:c r="N1486" s="5" t="n">
        <x:v>33</x:v>
      </x:c>
      <x:c r="O1486" s="5" t="str"/>
      <x:c r="P1486" s="5" t="str">
        <x:v>Zuordnungsvorschlag; Fachfreigabe ausstehend</x:v>
      </x:c>
      <x:c r="Q1486" s="5" t="str">
        <x:v>Bestehendes Lernthema fachlich unter passendem Rahmenplan-Unterbereich behalten</x:v>
      </x:c>
      <x:c r="R1486" s="5" t="str">
        <x:v>Welche Bedeutung haben Ziele nach Peter Drucker?</x:v>
      </x:c>
      <x:c r="S1486" s="5" t="str">
        <x:v>d92a3f9a444ea14850909e08e8ddc111d76d807dea46242a18b937cc88abc37c</x:v>
      </x:c>
    </x:row>
    <x:row r="1487" ht="36" customHeight="1">
      <x:c r="A1487" s="5" t="str">
        <x:v>BM-0042</x:v>
      </x:c>
      <x:c r="B1487" s="5" t="str">
        <x:v>HQ</x:v>
      </x:c>
      <x:c r="C1487" s="5" t="str">
        <x:v>5</x:v>
      </x:c>
      <x:c r="D1487" s="5" t="str">
        <x:v>Betriebliches Management</x:v>
      </x:c>
      <x:c r="E1487" s="5" t="str">
        <x:v>Betriebliches Management</x:v>
      </x:c>
      <x:c r="F1487" s="5" t="str">
        <x:v>ui-hq-0013</x:v>
      </x:c>
      <x:c r="G1487" s="5" t="str">
        <x:v>Betriebliche Planungsprozesse</x:v>
      </x:c>
      <x:c r="H1487" s="5" t="str">
        <x:v>dg-hq-0080</x:v>
      </x:c>
      <x:c r="I1487" s="5" t="str">
        <x:v>5.1.1</x:v>
      </x:c>
      <x:c r="J1487" s="5" t="str">
        <x:v>Betriebliches Zielsystem</x:v>
      </x:c>
      <x:c r="K1487" s="5" t="str"/>
      <x:c r="L1487" s="5" t="str">
        <x:v>Betriebliches Zielsystem &amp; Zielbildung</x:v>
      </x:c>
      <x:c r="M1487" s="5" t="n">
        <x:v>37</x:v>
      </x:c>
      <x:c r="N1487" s="5" t="n">
        <x:v>34</x:v>
      </x:c>
      <x:c r="O1487" s="5" t="str"/>
      <x:c r="P1487" s="5" t="str">
        <x:v>Zuordnungsvorschlag; Fachfreigabe ausstehend</x:v>
      </x:c>
      <x:c r="Q1487" s="5" t="str">
        <x:v>Bestehendes Lernthema fachlich unter passendem Rahmenplan-Unterbereich behalten</x:v>
      </x:c>
      <x:c r="R1487" s="5" t="str">
        <x:v>Warum sind Unternehmensziele wichtig?</x:v>
      </x:c>
      <x:c r="S1487" s="5" t="str">
        <x:v>d346ad84407f649e102bfbdfa4b83a5257ee89804847e82203e6f49687bb67d2</x:v>
      </x:c>
    </x:row>
    <x:row r="1488" ht="36" customHeight="1">
      <x:c r="A1488" s="5" t="str">
        <x:v>BM-0043</x:v>
      </x:c>
      <x:c r="B1488" s="5" t="str">
        <x:v>HQ</x:v>
      </x:c>
      <x:c r="C1488" s="5" t="str">
        <x:v>5</x:v>
      </x:c>
      <x:c r="D1488" s="5" t="str">
        <x:v>Betriebliches Management</x:v>
      </x:c>
      <x:c r="E1488" s="5" t="str">
        <x:v>Betriebliches Management</x:v>
      </x:c>
      <x:c r="F1488" s="5" t="str">
        <x:v>ui-hq-0013</x:v>
      </x:c>
      <x:c r="G1488" s="5" t="str">
        <x:v>Betriebliche Planungsprozesse</x:v>
      </x:c>
      <x:c r="H1488" s="5" t="str">
        <x:v>dg-hq-0080</x:v>
      </x:c>
      <x:c r="I1488" s="5" t="str">
        <x:v>5.1.1</x:v>
      </x:c>
      <x:c r="J1488" s="5" t="str">
        <x:v>Betriebliches Zielsystem</x:v>
      </x:c>
      <x:c r="K1488" s="5" t="str"/>
      <x:c r="L1488" s="5" t="str">
        <x:v>Betriebliches Zielsystem &amp; Zielbildung</x:v>
      </x:c>
      <x:c r="M1488" s="5" t="n">
        <x:v>38</x:v>
      </x:c>
      <x:c r="N1488" s="5" t="n">
        <x:v>35</x:v>
      </x:c>
      <x:c r="O1488" s="5" t="str"/>
      <x:c r="P1488" s="5" t="str">
        <x:v>Zuordnungsvorschlag; Fachfreigabe ausstehend</x:v>
      </x:c>
      <x:c r="Q1488" s="5" t="str">
        <x:v>Bestehendes Lernthema fachlich unter passendem Rahmenplan-Unterbereich behalten</x:v>
      </x:c>
      <x:c r="R1488" s="5" t="str">
        <x:v>Was sind Formalziele und welche Beispiele gibt es?</x:v>
      </x:c>
      <x:c r="S1488" s="5" t="str">
        <x:v>4d17c1cb82251ec8d810cfd1dde5229c71501158137d9b1d99f206c6bef3f7f3</x:v>
      </x:c>
    </x:row>
    <x:row r="1489" ht="36" customHeight="1">
      <x:c r="A1489" s="5" t="str">
        <x:v>BM-0044</x:v>
      </x:c>
      <x:c r="B1489" s="5" t="str">
        <x:v>HQ</x:v>
      </x:c>
      <x:c r="C1489" s="5" t="str">
        <x:v>5</x:v>
      </x:c>
      <x:c r="D1489" s="5" t="str">
        <x:v>Betriebliches Management</x:v>
      </x:c>
      <x:c r="E1489" s="5" t="str">
        <x:v>Betriebliches Management</x:v>
      </x:c>
      <x:c r="F1489" s="5" t="str">
        <x:v>ui-hq-0013</x:v>
      </x:c>
      <x:c r="G1489" s="5" t="str">
        <x:v>Betriebliche Planungsprozesse</x:v>
      </x:c>
      <x:c r="H1489" s="5" t="str">
        <x:v>dg-hq-0080</x:v>
      </x:c>
      <x:c r="I1489" s="5" t="str">
        <x:v>5.1.1</x:v>
      </x:c>
      <x:c r="J1489" s="5" t="str">
        <x:v>Betriebliches Zielsystem</x:v>
      </x:c>
      <x:c r="K1489" s="5" t="str"/>
      <x:c r="L1489" s="5" t="str">
        <x:v>Betriebliches Zielsystem &amp; Zielbildung</x:v>
      </x:c>
      <x:c r="M1489" s="5" t="n">
        <x:v>39</x:v>
      </x:c>
      <x:c r="N1489" s="5" t="n">
        <x:v>36</x:v>
      </x:c>
      <x:c r="O1489" s="5" t="str"/>
      <x:c r="P1489" s="5" t="str">
        <x:v>Zuordnungsvorschlag; Fachfreigabe ausstehend</x:v>
      </x:c>
      <x:c r="Q1489" s="5" t="str">
        <x:v>Bestehendes Lernthema fachlich unter passendem Rahmenplan-Unterbereich behalten</x:v>
      </x:c>
      <x:c r="R1489" s="5" t="str">
        <x:v>Was sind Sachziele eines Unternehmens und welche Beispiele lassen sich nennen?</x:v>
      </x:c>
      <x:c r="S1489" s="5" t="str">
        <x:v>435522df24f96143804ac920156195bb20632e20ec042d957cfcb32c9c115657</x:v>
      </x:c>
    </x:row>
    <x:row r="1490" ht="36" customHeight="1">
      <x:c r="A1490" s="5" t="str">
        <x:v>BM-0045</x:v>
      </x:c>
      <x:c r="B1490" s="5" t="str">
        <x:v>HQ</x:v>
      </x:c>
      <x:c r="C1490" s="5" t="str">
        <x:v>5</x:v>
      </x:c>
      <x:c r="D1490" s="5" t="str">
        <x:v>Betriebliches Management</x:v>
      </x:c>
      <x:c r="E1490" s="5" t="str">
        <x:v>Betriebliches Management</x:v>
      </x:c>
      <x:c r="F1490" s="5" t="str">
        <x:v>ui-hq-0013</x:v>
      </x:c>
      <x:c r="G1490" s="5" t="str">
        <x:v>Betriebliche Planungsprozesse</x:v>
      </x:c>
      <x:c r="H1490" s="5" t="str">
        <x:v>dg-hq-0080</x:v>
      </x:c>
      <x:c r="I1490" s="5" t="str">
        <x:v>5.1.1</x:v>
      </x:c>
      <x:c r="J1490" s="5" t="str">
        <x:v>Betriebliches Zielsystem</x:v>
      </x:c>
      <x:c r="K1490" s="5" t="str"/>
      <x:c r="L1490" s="5" t="str">
        <x:v>Betriebliches Zielsystem &amp; Zielbildung</x:v>
      </x:c>
      <x:c r="M1490" s="5" t="n">
        <x:v>40</x:v>
      </x:c>
      <x:c r="N1490" s="5" t="n">
        <x:v>37</x:v>
      </x:c>
      <x:c r="O1490" s="5" t="str"/>
      <x:c r="P1490" s="5" t="str">
        <x:v>Zuordnungsvorschlag; Fachfreigabe ausstehend</x:v>
      </x:c>
      <x:c r="Q1490" s="5" t="str">
        <x:v>Bestehendes Lernthema fachlich unter passendem Rahmenplan-Unterbereich behalten</x:v>
      </x:c>
      <x:c r="R1490" s="5" t="str">
        <x:v>Welche Funktionen haben Unternehmensziele?</x:v>
      </x:c>
      <x:c r="S1490" s="5" t="str">
        <x:v>ff59f0e0b06da9d4a5dd5a9a2bade8463d97f3f161fa70574ddeca4416b63275</x:v>
      </x:c>
    </x:row>
    <x:row r="1491" ht="36" customHeight="1">
      <x:c r="A1491" s="5" t="str">
        <x:v>BM-0046</x:v>
      </x:c>
      <x:c r="B1491" s="5" t="str">
        <x:v>HQ</x:v>
      </x:c>
      <x:c r="C1491" s="5" t="str">
        <x:v>5</x:v>
      </x:c>
      <x:c r="D1491" s="5" t="str">
        <x:v>Betriebliches Management</x:v>
      </x:c>
      <x:c r="E1491" s="5" t="str">
        <x:v>Betriebliches Management</x:v>
      </x:c>
      <x:c r="F1491" s="5" t="str">
        <x:v>ui-hq-0013</x:v>
      </x:c>
      <x:c r="G1491" s="5" t="str">
        <x:v>Betriebliche Planungsprozesse</x:v>
      </x:c>
      <x:c r="H1491" s="5" t="str">
        <x:v>dg-hq-0080</x:v>
      </x:c>
      <x:c r="I1491" s="5" t="str">
        <x:v>5.1.1</x:v>
      </x:c>
      <x:c r="J1491" s="5" t="str">
        <x:v>Betriebliches Zielsystem</x:v>
      </x:c>
      <x:c r="K1491" s="5" t="str"/>
      <x:c r="L1491" s="5" t="str">
        <x:v>Betriebliches Zielsystem &amp; Zielbildung</x:v>
      </x:c>
      <x:c r="M1491" s="5" t="n">
        <x:v>41</x:v>
      </x:c>
      <x:c r="N1491" s="5" t="n">
        <x:v>38</x:v>
      </x:c>
      <x:c r="O1491" s="5" t="str"/>
      <x:c r="P1491" s="5" t="str">
        <x:v>Zuordnungsvorschlag; Fachfreigabe ausstehend</x:v>
      </x:c>
      <x:c r="Q1491" s="5" t="str">
        <x:v>Bestehendes Lernthema fachlich unter passendem Rahmenplan-Unterbereich behalten</x:v>
      </x:c>
      <x:c r="R1491" s="5" t="str">
        <x:v>Was sind Handlungsziele?</x:v>
      </x:c>
      <x:c r="S1491" s="5" t="str">
        <x:v>422ee21f4aa187ee2dd57eed4024d9300edb86101749e09d562d29ceb7df8f8c</x:v>
      </x:c>
    </x:row>
    <x:row r="1492" ht="36" customHeight="1">
      <x:c r="A1492" s="5" t="str">
        <x:v>BM-0047</x:v>
      </x:c>
      <x:c r="B1492" s="5" t="str">
        <x:v>HQ</x:v>
      </x:c>
      <x:c r="C1492" s="5" t="str">
        <x:v>5</x:v>
      </x:c>
      <x:c r="D1492" s="5" t="str">
        <x:v>Betriebliches Management</x:v>
      </x:c>
      <x:c r="E1492" s="5" t="str">
        <x:v>Betriebliches Management</x:v>
      </x:c>
      <x:c r="F1492" s="5" t="str">
        <x:v>ui-hq-0013</x:v>
      </x:c>
      <x:c r="G1492" s="5" t="str">
        <x:v>Betriebliche Planungsprozesse</x:v>
      </x:c>
      <x:c r="H1492" s="5" t="str">
        <x:v>dg-hq-0080</x:v>
      </x:c>
      <x:c r="I1492" s="5" t="str">
        <x:v>5.1.1</x:v>
      </x:c>
      <x:c r="J1492" s="5" t="str">
        <x:v>Betriebliches Zielsystem</x:v>
      </x:c>
      <x:c r="K1492" s="5" t="str"/>
      <x:c r="L1492" s="5" t="str">
        <x:v>Betriebliches Zielsystem &amp; Zielbildung</x:v>
      </x:c>
      <x:c r="M1492" s="5" t="n">
        <x:v>42</x:v>
      </x:c>
      <x:c r="N1492" s="5" t="n">
        <x:v>39</x:v>
      </x:c>
      <x:c r="O1492" s="5" t="str"/>
      <x:c r="P1492" s="5" t="str">
        <x:v>Zuordnungsvorschlag; Fachfreigabe ausstehend</x:v>
      </x:c>
      <x:c r="Q1492" s="5" t="str">
        <x:v>Bestehendes Lernthema fachlich unter passendem Rahmenplan-Unterbereich behalten</x:v>
      </x:c>
      <x:c r="R1492" s="5" t="str">
        <x:v>Nennen Sie Beispiele für Handlungsziele.</x:v>
      </x:c>
      <x:c r="S1492" s="5" t="str">
        <x:v>4e871c483491f0f9404a81572a51cc11595b3717b57a6420200fced724f943c6</x:v>
      </x:c>
    </x:row>
    <x:row r="1493" ht="36" customHeight="1">
      <x:c r="A1493" s="5" t="str">
        <x:v>BM-0048</x:v>
      </x:c>
      <x:c r="B1493" s="5" t="str">
        <x:v>HQ</x:v>
      </x:c>
      <x:c r="C1493" s="5" t="str">
        <x:v>5</x:v>
      </x:c>
      <x:c r="D1493" s="5" t="str">
        <x:v>Betriebliches Management</x:v>
      </x:c>
      <x:c r="E1493" s="5" t="str">
        <x:v>Betriebliches Management</x:v>
      </x:c>
      <x:c r="F1493" s="5" t="str">
        <x:v>ui-hq-0013</x:v>
      </x:c>
      <x:c r="G1493" s="5" t="str">
        <x:v>Betriebliche Planungsprozesse</x:v>
      </x:c>
      <x:c r="H1493" s="5" t="str">
        <x:v>dg-hq-0080</x:v>
      </x:c>
      <x:c r="I1493" s="5" t="str">
        <x:v>5.1.1</x:v>
      </x:c>
      <x:c r="J1493" s="5" t="str">
        <x:v>Betriebliches Zielsystem</x:v>
      </x:c>
      <x:c r="K1493" s="5" t="str"/>
      <x:c r="L1493" s="5" t="str">
        <x:v>Betriebliches Zielsystem &amp; Zielbildung</x:v>
      </x:c>
      <x:c r="M1493" s="5" t="n">
        <x:v>43</x:v>
      </x:c>
      <x:c r="N1493" s="5" t="n">
        <x:v>40</x:v>
      </x:c>
      <x:c r="O1493" s="5" t="str"/>
      <x:c r="P1493" s="5" t="str">
        <x:v>Zuordnungsvorschlag; Fachfreigabe ausstehend</x:v>
      </x:c>
      <x:c r="Q1493" s="5" t="str">
        <x:v>Bestehendes Lernthema fachlich unter passendem Rahmenplan-Unterbereich behalten</x:v>
      </x:c>
      <x:c r="R1493" s="5" t="str">
        <x:v>Was versteht man unter Management by Objectives (MbO) und welche Rolle spielen dabei gemeinsam vereinbarte Ziele?</x:v>
      </x:c>
      <x:c r="S1493" s="5" t="str">
        <x:v>548921738cb3e0d73b07ba66d88ea254d791fd8d7c359349571a070a4c476091</x:v>
      </x:c>
    </x:row>
    <x:row r="1494" ht="36" customHeight="1">
      <x:c r="A1494" s="5" t="str">
        <x:v>BM-0049</x:v>
      </x:c>
      <x:c r="B1494" s="5" t="str">
        <x:v>HQ</x:v>
      </x:c>
      <x:c r="C1494" s="5" t="str">
        <x:v>5</x:v>
      </x:c>
      <x:c r="D1494" s="5" t="str">
        <x:v>Betriebliches Management</x:v>
      </x:c>
      <x:c r="E1494" s="5" t="str">
        <x:v>Betriebliches Management</x:v>
      </x:c>
      <x:c r="F1494" s="5" t="str">
        <x:v>ui-hq-0013</x:v>
      </x:c>
      <x:c r="G1494" s="5" t="str">
        <x:v>Betriebliche Planungsprozesse</x:v>
      </x:c>
      <x:c r="H1494" s="5" t="str">
        <x:v>dg-hq-0080</x:v>
      </x:c>
      <x:c r="I1494" s="5" t="str">
        <x:v>5.1.1</x:v>
      </x:c>
      <x:c r="J1494" s="5" t="str">
        <x:v>Betriebliches Zielsystem</x:v>
      </x:c>
      <x:c r="K1494" s="5" t="str"/>
      <x:c r="L1494" s="5" t="str">
        <x:v>Betriebliches Zielsystem &amp; Zielbildung</x:v>
      </x:c>
      <x:c r="M1494" s="5" t="n">
        <x:v>44</x:v>
      </x:c>
      <x:c r="N1494" s="5" t="n">
        <x:v>41</x:v>
      </x:c>
      <x:c r="O1494" s="5" t="str"/>
      <x:c r="P1494" s="5" t="str">
        <x:v>Zuordnungsvorschlag; Fachfreigabe ausstehend</x:v>
      </x:c>
      <x:c r="Q1494" s="5" t="str">
        <x:v>Bestehendes Lernthema fachlich unter passendem Rahmenplan-Unterbereich behalten</x:v>
      </x:c>
      <x:c r="R1494" s="5" t="str">
        <x:v>Warum müssen Unternehmen permanent neue Ziele entwickeln?</x:v>
      </x:c>
      <x:c r="S1494" s="5" t="str">
        <x:v>edfc00f673ab421b0cb752977fcdc59f75c56486481cc7deb1c04572f28666c0</x:v>
      </x:c>
    </x:row>
    <x:row r="1495" ht="36" customHeight="1">
      <x:c r="A1495" s="5" t="str">
        <x:v>BM-0050</x:v>
      </x:c>
      <x:c r="B1495" s="5" t="str">
        <x:v>HQ</x:v>
      </x:c>
      <x:c r="C1495" s="5" t="str">
        <x:v>5</x:v>
      </x:c>
      <x:c r="D1495" s="5" t="str">
        <x:v>Betriebliches Management</x:v>
      </x:c>
      <x:c r="E1495" s="5" t="str">
        <x:v>Betriebliches Management</x:v>
      </x:c>
      <x:c r="F1495" s="5" t="str">
        <x:v>ui-hq-0013</x:v>
      </x:c>
      <x:c r="G1495" s="5" t="str">
        <x:v>Betriebliche Planungsprozesse</x:v>
      </x:c>
      <x:c r="H1495" s="5" t="str">
        <x:v>dg-hq-0080</x:v>
      </x:c>
      <x:c r="I1495" s="5" t="str">
        <x:v>5.1.1</x:v>
      </x:c>
      <x:c r="J1495" s="5" t="str">
        <x:v>Betriebliches Zielsystem</x:v>
      </x:c>
      <x:c r="K1495" s="5" t="str"/>
      <x:c r="L1495" s="5" t="str">
        <x:v>Betriebliches Zielsystem &amp; Zielbildung</x:v>
      </x:c>
      <x:c r="M1495" s="5" t="n">
        <x:v>45</x:v>
      </x:c>
      <x:c r="N1495" s="5" t="n">
        <x:v>42</x:v>
      </x:c>
      <x:c r="O1495" s="5" t="str"/>
      <x:c r="P1495" s="5" t="str">
        <x:v>Zuordnungsvorschlag; Fachfreigabe ausstehend</x:v>
      </x:c>
      <x:c r="Q1495" s="5" t="str">
        <x:v>Bestehendes Lernthema fachlich unter passendem Rahmenplan-Unterbereich behalten</x:v>
      </x:c>
      <x:c r="R1495" s="5" t="str">
        <x:v>Welche äußeren Einflussfaktoren wirken auf Unternehmen?</x:v>
      </x:c>
      <x:c r="S1495" s="5" t="str">
        <x:v>de2ebc50862939e797d7bc89d8d91e70765ed8293806d246b3e89642cd031a7b</x:v>
      </x:c>
    </x:row>
    <x:row r="1496" ht="36" customHeight="1">
      <x:c r="A1496" s="5" t="str">
        <x:v>BM-0051</x:v>
      </x:c>
      <x:c r="B1496" s="5" t="str">
        <x:v>HQ</x:v>
      </x:c>
      <x:c r="C1496" s="5" t="str">
        <x:v>5</x:v>
      </x:c>
      <x:c r="D1496" s="5" t="str">
        <x:v>Betriebliches Management</x:v>
      </x:c>
      <x:c r="E1496" s="5" t="str">
        <x:v>Betriebliches Management</x:v>
      </x:c>
      <x:c r="F1496" s="5" t="str">
        <x:v>ui-hq-0013</x:v>
      </x:c>
      <x:c r="G1496" s="5" t="str">
        <x:v>Betriebliche Planungsprozesse</x:v>
      </x:c>
      <x:c r="H1496" s="5" t="str">
        <x:v>dg-hq-0080</x:v>
      </x:c>
      <x:c r="I1496" s="5" t="str">
        <x:v>5.1.1</x:v>
      </x:c>
      <x:c r="J1496" s="5" t="str">
        <x:v>Betriebliches Zielsystem</x:v>
      </x:c>
      <x:c r="K1496" s="5" t="str"/>
      <x:c r="L1496" s="5" t="str">
        <x:v>Betriebliches Zielsystem &amp; Zielbildung</x:v>
      </x:c>
      <x:c r="M1496" s="5" t="n">
        <x:v>46</x:v>
      </x:c>
      <x:c r="N1496" s="5" t="n">
        <x:v>43</x:v>
      </x:c>
      <x:c r="O1496" s="5" t="str"/>
      <x:c r="P1496" s="5" t="str">
        <x:v>Zuordnungsvorschlag; Fachfreigabe ausstehend</x:v>
      </x:c>
      <x:c r="Q1496" s="5" t="str">
        <x:v>Bestehendes Lernthema fachlich unter passendem Rahmenplan-Unterbereich behalten</x:v>
      </x:c>
      <x:c r="R1496" s="5" t="str">
        <x:v>Was bedeutet VUCA und welche Dimensionen umfasst es?</x:v>
      </x:c>
      <x:c r="S1496" s="5" t="str">
        <x:v>3e695f488988280d464226b600dc2a9242a47ff21f4d462c2c1aafd931840329</x:v>
      </x:c>
    </x:row>
    <x:row r="1497" ht="36" customHeight="1">
      <x:c r="A1497" s="5" t="str">
        <x:v>BM-0052</x:v>
      </x:c>
      <x:c r="B1497" s="5" t="str">
        <x:v>HQ</x:v>
      </x:c>
      <x:c r="C1497" s="5" t="str">
        <x:v>5</x:v>
      </x:c>
      <x:c r="D1497" s="5" t="str">
        <x:v>Betriebliches Management</x:v>
      </x:c>
      <x:c r="E1497" s="5" t="str">
        <x:v>Betriebliches Management</x:v>
      </x:c>
      <x:c r="F1497" s="5" t="str">
        <x:v>ui-hq-0013</x:v>
      </x:c>
      <x:c r="G1497" s="5" t="str">
        <x:v>Betriebliche Planungsprozesse</x:v>
      </x:c>
      <x:c r="H1497" s="5" t="str">
        <x:v>dg-hq-0080</x:v>
      </x:c>
      <x:c r="I1497" s="5" t="str">
        <x:v>5.1.1</x:v>
      </x:c>
      <x:c r="J1497" s="5" t="str">
        <x:v>Betriebliches Zielsystem</x:v>
      </x:c>
      <x:c r="K1497" s="5" t="str"/>
      <x:c r="L1497" s="5" t="str">
        <x:v>Betriebliches Zielsystem &amp; Zielbildung</x:v>
      </x:c>
      <x:c r="M1497" s="5" t="n">
        <x:v>47</x:v>
      </x:c>
      <x:c r="N1497" s="5" t="n">
        <x:v>44</x:v>
      </x:c>
      <x:c r="O1497" s="5" t="str"/>
      <x:c r="P1497" s="5" t="str">
        <x:v>Zuordnungsvorschlag; Fachfreigabe ausstehend</x:v>
      </x:c>
      <x:c r="Q1497" s="5" t="str">
        <x:v>Bestehendes Lernthema fachlich unter passendem Rahmenplan-Unterbereich behalten</x:v>
      </x:c>
      <x:c r="R1497" s="5" t="str">
        <x:v>Was bedeutet Volatilität im Unternehmensumfeld?</x:v>
      </x:c>
      <x:c r="S1497" s="5" t="str">
        <x:v>588fb5c1dbadf9685d445b3082f35c357abf68d7bac98a2a4676e309a95c2399</x:v>
      </x:c>
    </x:row>
    <x:row r="1498" ht="36" customHeight="1">
      <x:c r="A1498" s="5" t="str">
        <x:v>BM-0053</x:v>
      </x:c>
      <x:c r="B1498" s="5" t="str">
        <x:v>HQ</x:v>
      </x:c>
      <x:c r="C1498" s="5" t="str">
        <x:v>5</x:v>
      </x:c>
      <x:c r="D1498" s="5" t="str">
        <x:v>Betriebliches Management</x:v>
      </x:c>
      <x:c r="E1498" s="5" t="str">
        <x:v>Betriebliches Management</x:v>
      </x:c>
      <x:c r="F1498" s="5" t="str">
        <x:v>ui-hq-0013</x:v>
      </x:c>
      <x:c r="G1498" s="5" t="str">
        <x:v>Betriebliche Planungsprozesse</x:v>
      </x:c>
      <x:c r="H1498" s="5" t="str">
        <x:v>dg-hq-0080</x:v>
      </x:c>
      <x:c r="I1498" s="5" t="str">
        <x:v>5.1.1</x:v>
      </x:c>
      <x:c r="J1498" s="5" t="str">
        <x:v>Betriebliches Zielsystem</x:v>
      </x:c>
      <x:c r="K1498" s="5" t="str"/>
      <x:c r="L1498" s="5" t="str">
        <x:v>Betriebliches Zielsystem &amp; Zielbildung</x:v>
      </x:c>
      <x:c r="M1498" s="5" t="n">
        <x:v>48</x:v>
      </x:c>
      <x:c r="N1498" s="5" t="n">
        <x:v>45</x:v>
      </x:c>
      <x:c r="O1498" s="5" t="str"/>
      <x:c r="P1498" s="5" t="str">
        <x:v>Zuordnungsvorschlag; Fachfreigabe ausstehend</x:v>
      </x:c>
      <x:c r="Q1498" s="5" t="str">
        <x:v>Bestehendes Lernthema fachlich unter passendem Rahmenplan-Unterbereich behalten</x:v>
      </x:c>
      <x:c r="R1498" s="5" t="str">
        <x:v>Was bedeutet Unsicherheit im Unternehmensumfeld?</x:v>
      </x:c>
      <x:c r="S1498" s="5" t="str">
        <x:v>2ba1ec325850ee6d21e456198a7878fbf42a8ea7c6d85b81f0d46d823c0f728d</x:v>
      </x:c>
    </x:row>
    <x:row r="1499" ht="36" customHeight="1">
      <x:c r="A1499" s="5" t="str">
        <x:v>BM-0054</x:v>
      </x:c>
      <x:c r="B1499" s="5" t="str">
        <x:v>HQ</x:v>
      </x:c>
      <x:c r="C1499" s="5" t="str">
        <x:v>5</x:v>
      </x:c>
      <x:c r="D1499" s="5" t="str">
        <x:v>Betriebliches Management</x:v>
      </x:c>
      <x:c r="E1499" s="5" t="str">
        <x:v>Betriebliches Management</x:v>
      </x:c>
      <x:c r="F1499" s="5" t="str">
        <x:v>ui-hq-0013</x:v>
      </x:c>
      <x:c r="G1499" s="5" t="str">
        <x:v>Betriebliche Planungsprozesse</x:v>
      </x:c>
      <x:c r="H1499" s="5" t="str">
        <x:v>dg-hq-0080</x:v>
      </x:c>
      <x:c r="I1499" s="5" t="str">
        <x:v>5.1.1</x:v>
      </x:c>
      <x:c r="J1499" s="5" t="str">
        <x:v>Betriebliches Zielsystem</x:v>
      </x:c>
      <x:c r="K1499" s="5" t="str"/>
      <x:c r="L1499" s="5" t="str">
        <x:v>Betriebliches Zielsystem &amp; Zielbildung</x:v>
      </x:c>
      <x:c r="M1499" s="5" t="n">
        <x:v>49</x:v>
      </x:c>
      <x:c r="N1499" s="5" t="n">
        <x:v>46</x:v>
      </x:c>
      <x:c r="O1499" s="5" t="str"/>
      <x:c r="P1499" s="5" t="str">
        <x:v>Zuordnungsvorschlag; Fachfreigabe ausstehend</x:v>
      </x:c>
      <x:c r="Q1499" s="5" t="str">
        <x:v>Bestehendes Lernthema fachlich unter passendem Rahmenplan-Unterbereich behalten</x:v>
      </x:c>
      <x:c r="R1499" s="5" t="str">
        <x:v>Was bedeutet Komplexität im Unternehmensumfeld?</x:v>
      </x:c>
      <x:c r="S1499" s="5" t="str">
        <x:v>3b0905510e5e8b810dd69c8bc4e9c1cbc58e47256cb314e00b93b58b14c659a0</x:v>
      </x:c>
    </x:row>
    <x:row r="1500" ht="36" customHeight="1">
      <x:c r="A1500" s="5" t="str">
        <x:v>BM-0055</x:v>
      </x:c>
      <x:c r="B1500" s="5" t="str">
        <x:v>HQ</x:v>
      </x:c>
      <x:c r="C1500" s="5" t="str">
        <x:v>5</x:v>
      </x:c>
      <x:c r="D1500" s="5" t="str">
        <x:v>Betriebliches Management</x:v>
      </x:c>
      <x:c r="E1500" s="5" t="str">
        <x:v>Betriebliches Management</x:v>
      </x:c>
      <x:c r="F1500" s="5" t="str">
        <x:v>ui-hq-0013</x:v>
      </x:c>
      <x:c r="G1500" s="5" t="str">
        <x:v>Betriebliche Planungsprozesse</x:v>
      </x:c>
      <x:c r="H1500" s="5" t="str">
        <x:v>dg-hq-0080</x:v>
      </x:c>
      <x:c r="I1500" s="5" t="str">
        <x:v>5.1.1</x:v>
      </x:c>
      <x:c r="J1500" s="5" t="str">
        <x:v>Betriebliches Zielsystem</x:v>
      </x:c>
      <x:c r="K1500" s="5" t="str"/>
      <x:c r="L1500" s="5" t="str">
        <x:v>Betriebliches Zielsystem &amp; Zielbildung</x:v>
      </x:c>
      <x:c r="M1500" s="5" t="n">
        <x:v>50</x:v>
      </x:c>
      <x:c r="N1500" s="5" t="n">
        <x:v>47</x:v>
      </x:c>
      <x:c r="O1500" s="5" t="str"/>
      <x:c r="P1500" s="5" t="str">
        <x:v>Zuordnungsvorschlag; Fachfreigabe ausstehend</x:v>
      </x:c>
      <x:c r="Q1500" s="5" t="str">
        <x:v>Bestehendes Lernthema fachlich unter passendem Rahmenplan-Unterbereich behalten</x:v>
      </x:c>
      <x:c r="R1500" s="5" t="str">
        <x:v>Was bedeutet Mehrdeutigkeit im Unternehmensumfeld?</x:v>
      </x:c>
      <x:c r="S1500" s="5" t="str">
        <x:v>9d93d4a10130e9e93caedf2aafe8da3f1663c3ab2295f11a8c2a99a547ed85f2</x:v>
      </x:c>
    </x:row>
    <x:row r="1501" ht="36" customHeight="1">
      <x:c r="A1501" s="5" t="str">
        <x:v>BM-0056</x:v>
      </x:c>
      <x:c r="B1501" s="5" t="str">
        <x:v>HQ</x:v>
      </x:c>
      <x:c r="C1501" s="5" t="str">
        <x:v>5</x:v>
      </x:c>
      <x:c r="D1501" s="5" t="str">
        <x:v>Betriebliches Management</x:v>
      </x:c>
      <x:c r="E1501" s="5" t="str">
        <x:v>Betriebliches Management</x:v>
      </x:c>
      <x:c r="F1501" s="5" t="str">
        <x:v>ui-hq-0013</x:v>
      </x:c>
      <x:c r="G1501" s="5" t="str">
        <x:v>Betriebliche Planungsprozesse</x:v>
      </x:c>
      <x:c r="H1501" s="5" t="str">
        <x:v>dg-hq-0080</x:v>
      </x:c>
      <x:c r="I1501" s="5" t="str">
        <x:v>5.1.1</x:v>
      </x:c>
      <x:c r="J1501" s="5" t="str">
        <x:v>Betriebliches Zielsystem</x:v>
      </x:c>
      <x:c r="K1501" s="5" t="str"/>
      <x:c r="L1501" s="5" t="str">
        <x:v>Betriebliches Zielsystem &amp; Zielbildung</x:v>
      </x:c>
      <x:c r="M1501" s="5" t="n">
        <x:v>51</x:v>
      </x:c>
      <x:c r="N1501" s="5" t="n">
        <x:v>48</x:v>
      </x:c>
      <x:c r="O1501" s="5" t="str"/>
      <x:c r="P1501" s="5" t="str">
        <x:v>Zuordnungsvorschlag; Fachfreigabe ausstehend</x:v>
      </x:c>
      <x:c r="Q1501" s="5" t="str">
        <x:v>Bestehendes Lernthema fachlich unter passendem Rahmenplan-Unterbereich behalten</x:v>
      </x:c>
      <x:c r="R1501" s="5" t="str">
        <x:v>Welche Auswirkungen hat die VUCA-Welt auf das Management?</x:v>
      </x:c>
      <x:c r="S1501" s="5" t="str">
        <x:v>1987ec309f7f24955a093d4db3f0f0002a625710023ddf8f1f09c400d5fe1e12</x:v>
      </x:c>
    </x:row>
    <x:row r="1502" ht="36" customHeight="1">
      <x:c r="A1502" s="5" t="str">
        <x:v>BM-0057</x:v>
      </x:c>
      <x:c r="B1502" s="5" t="str">
        <x:v>HQ</x:v>
      </x:c>
      <x:c r="C1502" s="5" t="str">
        <x:v>5</x:v>
      </x:c>
      <x:c r="D1502" s="5" t="str">
        <x:v>Betriebliches Management</x:v>
      </x:c>
      <x:c r="E1502" s="5" t="str">
        <x:v>Betriebliches Management</x:v>
      </x:c>
      <x:c r="F1502" s="5" t="str">
        <x:v>ui-hq-0013</x:v>
      </x:c>
      <x:c r="G1502" s="5" t="str">
        <x:v>Betriebliche Planungsprozesse</x:v>
      </x:c>
      <x:c r="H1502" s="5" t="str">
        <x:v>dg-hq-0080</x:v>
      </x:c>
      <x:c r="I1502" s="5" t="str">
        <x:v>5.1.1</x:v>
      </x:c>
      <x:c r="J1502" s="5" t="str">
        <x:v>Betriebliches Zielsystem</x:v>
      </x:c>
      <x:c r="K1502" s="5" t="str"/>
      <x:c r="L1502" s="5" t="str">
        <x:v>Betriebliches Zielsystem &amp; Zielbildung</x:v>
      </x:c>
      <x:c r="M1502" s="5" t="n">
        <x:v>52</x:v>
      </x:c>
      <x:c r="N1502" s="5" t="n">
        <x:v>49</x:v>
      </x:c>
      <x:c r="O1502" s="5" t="str"/>
      <x:c r="P1502" s="5" t="str">
        <x:v>Zuordnungsvorschlag; Fachfreigabe ausstehend</x:v>
      </x:c>
      <x:c r="Q1502" s="5" t="str">
        <x:v>Bestehendes Lernthema fachlich unter passendem Rahmenplan-Unterbereich behalten</x:v>
      </x:c>
      <x:c r="R1502" s="5" t="str">
        <x:v>Welche inneren Einflussfaktoren wirken auf Unternehmen?</x:v>
      </x:c>
      <x:c r="S1502" s="5" t="str">
        <x:v>85e524699801ac32fe5230f5707010dca6f6aeecf7ce8efc91ef13dec186a8a1</x:v>
      </x:c>
    </x:row>
    <x:row r="1503" ht="36" customHeight="1">
      <x:c r="A1503" s="5" t="str">
        <x:v>BM-0058</x:v>
      </x:c>
      <x:c r="B1503" s="5" t="str">
        <x:v>HQ</x:v>
      </x:c>
      <x:c r="C1503" s="5" t="str">
        <x:v>5</x:v>
      </x:c>
      <x:c r="D1503" s="5" t="str">
        <x:v>Betriebliches Management</x:v>
      </x:c>
      <x:c r="E1503" s="5" t="str">
        <x:v>Betriebliches Management</x:v>
      </x:c>
      <x:c r="F1503" s="5" t="str">
        <x:v>ui-hq-0013</x:v>
      </x:c>
      <x:c r="G1503" s="5" t="str">
        <x:v>Betriebliche Planungsprozesse</x:v>
      </x:c>
      <x:c r="H1503" s="5" t="str">
        <x:v>dg-hq-0080</x:v>
      </x:c>
      <x:c r="I1503" s="5" t="str">
        <x:v>5.1.1</x:v>
      </x:c>
      <x:c r="J1503" s="5" t="str">
        <x:v>Betriebliches Zielsystem</x:v>
      </x:c>
      <x:c r="K1503" s="5" t="str"/>
      <x:c r="L1503" s="5" t="str">
        <x:v>Betriebliches Zielsystem &amp; Zielbildung</x:v>
      </x:c>
      <x:c r="M1503" s="5" t="n">
        <x:v>53</x:v>
      </x:c>
      <x:c r="N1503" s="5" t="n">
        <x:v>50</x:v>
      </x:c>
      <x:c r="O1503" s="5" t="str"/>
      <x:c r="P1503" s="5" t="str">
        <x:v>Zuordnungsvorschlag; Fachfreigabe ausstehend</x:v>
      </x:c>
      <x:c r="Q1503" s="5" t="str">
        <x:v>Bestehendes Lernthema fachlich unter passendem Rahmenplan-Unterbereich behalten</x:v>
      </x:c>
      <x:c r="R1503" s="5" t="str">
        <x:v>Welche zentralen Elemente stehen im Zusammenhang mit Unternehmenszielen?</x:v>
      </x:c>
      <x:c r="S1503" s="5" t="str">
        <x:v>7f72b15a9d5d72d74b73c2cce56a950232997066a958d32dde2ddc3074c88058</x:v>
      </x:c>
    </x:row>
    <x:row r="1504" ht="36" customHeight="1">
      <x:c r="A1504" s="5" t="str">
        <x:v>BM-0059</x:v>
      </x:c>
      <x:c r="B1504" s="5" t="str">
        <x:v>HQ</x:v>
      </x:c>
      <x:c r="C1504" s="5" t="str">
        <x:v>5</x:v>
      </x:c>
      <x:c r="D1504" s="5" t="str">
        <x:v>Betriebliches Management</x:v>
      </x:c>
      <x:c r="E1504" s="5" t="str">
        <x:v>Betriebliches Management</x:v>
      </x:c>
      <x:c r="F1504" s="5" t="str">
        <x:v>ui-hq-0013</x:v>
      </x:c>
      <x:c r="G1504" s="5" t="str">
        <x:v>Betriebliche Planungsprozesse</x:v>
      </x:c>
      <x:c r="H1504" s="5" t="str">
        <x:v>dg-hq-0080</x:v>
      </x:c>
      <x:c r="I1504" s="5" t="str">
        <x:v>5.1.1</x:v>
      </x:c>
      <x:c r="J1504" s="5" t="str">
        <x:v>Betriebliches Zielsystem</x:v>
      </x:c>
      <x:c r="K1504" s="5" t="str"/>
      <x:c r="L1504" s="5" t="str">
        <x:v>Betriebliches Zielsystem &amp; Zielbildung</x:v>
      </x:c>
      <x:c r="M1504" s="5" t="n">
        <x:v>54</x:v>
      </x:c>
      <x:c r="N1504" s="5" t="n">
        <x:v>51</x:v>
      </x:c>
      <x:c r="O1504" s="5" t="str"/>
      <x:c r="P1504" s="5" t="str">
        <x:v>Zuordnungsvorschlag; Fachfreigabe ausstehend</x:v>
      </x:c>
      <x:c r="Q1504" s="5" t="str">
        <x:v>Bestehendes Lernthema fachlich unter passendem Rahmenplan-Unterbereich behalten</x:v>
      </x:c>
      <x:c r="R1504" s="5" t="str">
        <x:v>Was ist die Unternehmensphilosophie?</x:v>
      </x:c>
      <x:c r="S1504" s="5" t="str">
        <x:v>27a02226112b0e46b4cbac99faecf34b5fccc1d9d57ce7cae67fc5a56931a1a8</x:v>
      </x:c>
    </x:row>
    <x:row r="1505" ht="36" customHeight="1">
      <x:c r="A1505" s="5" t="str">
        <x:v>BM-0060</x:v>
      </x:c>
      <x:c r="B1505" s="5" t="str">
        <x:v>HQ</x:v>
      </x:c>
      <x:c r="C1505" s="5" t="str">
        <x:v>5</x:v>
      </x:c>
      <x:c r="D1505" s="5" t="str">
        <x:v>Betriebliches Management</x:v>
      </x:c>
      <x:c r="E1505" s="5" t="str">
        <x:v>Betriebliches Management</x:v>
      </x:c>
      <x:c r="F1505" s="5" t="str">
        <x:v>ui-hq-0013</x:v>
      </x:c>
      <x:c r="G1505" s="5" t="str">
        <x:v>Betriebliche Planungsprozesse</x:v>
      </x:c>
      <x:c r="H1505" s="5" t="str">
        <x:v>dg-hq-0080</x:v>
      </x:c>
      <x:c r="I1505" s="5" t="str">
        <x:v>5.1.1</x:v>
      </x:c>
      <x:c r="J1505" s="5" t="str">
        <x:v>Betriebliches Zielsystem</x:v>
      </x:c>
      <x:c r="K1505" s="5" t="str"/>
      <x:c r="L1505" s="5" t="str">
        <x:v>Betriebliches Zielsystem &amp; Zielbildung</x:v>
      </x:c>
      <x:c r="M1505" s="5" t="n">
        <x:v>55</x:v>
      </x:c>
      <x:c r="N1505" s="5" t="n">
        <x:v>52</x:v>
      </x:c>
      <x:c r="O1505" s="5" t="str"/>
      <x:c r="P1505" s="5" t="str">
        <x:v>Zuordnungsvorschlag; Fachfreigabe ausstehend</x:v>
      </x:c>
      <x:c r="Q1505" s="5" t="str">
        <x:v>Bestehendes Lernthema fachlich unter passendem Rahmenplan-Unterbereich behalten</x:v>
      </x:c>
      <x:c r="R1505" s="5" t="str">
        <x:v>Wie unterscheiden sich Unternehmensphilosophie und Unternehmenskultur?</x:v>
      </x:c>
      <x:c r="S1505" s="5" t="str">
        <x:v>937df6acf0cb1038dc011a03db59144da086606136fcd6ffeea38d3f1c582ab5</x:v>
      </x:c>
    </x:row>
    <x:row r="1506" ht="36" customHeight="1">
      <x:c r="A1506" s="5" t="str">
        <x:v>BM-0061</x:v>
      </x:c>
      <x:c r="B1506" s="5" t="str">
        <x:v>HQ</x:v>
      </x:c>
      <x:c r="C1506" s="5" t="str">
        <x:v>5</x:v>
      </x:c>
      <x:c r="D1506" s="5" t="str">
        <x:v>Betriebliches Management</x:v>
      </x:c>
      <x:c r="E1506" s="5" t="str">
        <x:v>Betriebliches Management</x:v>
      </x:c>
      <x:c r="F1506" s="5" t="str">
        <x:v>ui-hq-0013</x:v>
      </x:c>
      <x:c r="G1506" s="5" t="str">
        <x:v>Betriebliche Planungsprozesse</x:v>
      </x:c>
      <x:c r="H1506" s="5" t="str">
        <x:v>dg-hq-0080</x:v>
      </x:c>
      <x:c r="I1506" s="5" t="str">
        <x:v>5.1.1</x:v>
      </x:c>
      <x:c r="J1506" s="5" t="str">
        <x:v>Betriebliches Zielsystem</x:v>
      </x:c>
      <x:c r="K1506" s="5" t="str"/>
      <x:c r="L1506" s="5" t="str">
        <x:v>Betriebliches Zielsystem &amp; Zielbildung</x:v>
      </x:c>
      <x:c r="M1506" s="5" t="n">
        <x:v>56</x:v>
      </x:c>
      <x:c r="N1506" s="5" t="n">
        <x:v>53</x:v>
      </x:c>
      <x:c r="O1506" s="5" t="str"/>
      <x:c r="P1506" s="5" t="str">
        <x:v>Zuordnungsvorschlag; Fachfreigabe ausstehend</x:v>
      </x:c>
      <x:c r="Q1506" s="5" t="str">
        <x:v>Bestehendes Lernthema fachlich unter passendem Rahmenplan-Unterbereich behalten</x:v>
      </x:c>
      <x:c r="R1506" s="5" t="str">
        <x:v>Welche Bedeutung hat die Unternehmensphilosophie?</x:v>
      </x:c>
      <x:c r="S1506" s="5" t="str">
        <x:v>d4c95dd4f484413f5050f36473ab19f7ed559b7320497b5f6c5529a341db1303</x:v>
      </x:c>
    </x:row>
    <x:row r="1507" ht="36" customHeight="1">
      <x:c r="A1507" s="5" t="str">
        <x:v>BM-0062</x:v>
      </x:c>
      <x:c r="B1507" s="5" t="str">
        <x:v>HQ</x:v>
      </x:c>
      <x:c r="C1507" s="5" t="str">
        <x:v>5</x:v>
      </x:c>
      <x:c r="D1507" s="5" t="str">
        <x:v>Betriebliches Management</x:v>
      </x:c>
      <x:c r="E1507" s="5" t="str">
        <x:v>Betriebliches Management</x:v>
      </x:c>
      <x:c r="F1507" s="5" t="str">
        <x:v>ui-hq-0013</x:v>
      </x:c>
      <x:c r="G1507" s="5" t="str">
        <x:v>Betriebliche Planungsprozesse</x:v>
      </x:c>
      <x:c r="H1507" s="5" t="str">
        <x:v>dg-hq-0080</x:v>
      </x:c>
      <x:c r="I1507" s="5" t="str">
        <x:v>5.1.1</x:v>
      </x:c>
      <x:c r="J1507" s="5" t="str">
        <x:v>Betriebliches Zielsystem</x:v>
      </x:c>
      <x:c r="K1507" s="5" t="str"/>
      <x:c r="L1507" s="5" t="str">
        <x:v>Betriebliches Zielsystem &amp; Zielbildung</x:v>
      </x:c>
      <x:c r="M1507" s="5" t="n">
        <x:v>57</x:v>
      </x:c>
      <x:c r="N1507" s="5" t="n">
        <x:v>54</x:v>
      </x:c>
      <x:c r="O1507" s="5" t="str"/>
      <x:c r="P1507" s="5" t="str">
        <x:v>Zuordnungsvorschlag; Fachfreigabe ausstehend</x:v>
      </x:c>
      <x:c r="Q1507" s="5" t="str">
        <x:v>Bestehendes Lernthema fachlich unter passendem Rahmenplan-Unterbereich behalten</x:v>
      </x:c>
      <x:c r="R1507" s="5" t="str">
        <x:v>Wie ist das betriebliche Zielsystem aufgebaut?</x:v>
      </x:c>
      <x:c r="S1507" s="5" t="str">
        <x:v>c30e5095603674fcd7797a488fb0253c3e1594a93a1e4318c30430674c10d824</x:v>
      </x:c>
    </x:row>
    <x:row r="1508" ht="36" customHeight="1">
      <x:c r="A1508" s="5" t="str">
        <x:v>BM-0063</x:v>
      </x:c>
      <x:c r="B1508" s="5" t="str">
        <x:v>HQ</x:v>
      </x:c>
      <x:c r="C1508" s="5" t="str">
        <x:v>5</x:v>
      </x:c>
      <x:c r="D1508" s="5" t="str">
        <x:v>Betriebliches Management</x:v>
      </x:c>
      <x:c r="E1508" s="5" t="str">
        <x:v>Betriebliches Management</x:v>
      </x:c>
      <x:c r="F1508" s="5" t="str">
        <x:v>ui-hq-0013</x:v>
      </x:c>
      <x:c r="G1508" s="5" t="str">
        <x:v>Betriebliche Planungsprozesse</x:v>
      </x:c>
      <x:c r="H1508" s="5" t="str">
        <x:v>dg-hq-0080</x:v>
      </x:c>
      <x:c r="I1508" s="5" t="str">
        <x:v>5.1.1</x:v>
      </x:c>
      <x:c r="J1508" s="5" t="str">
        <x:v>Betriebliches Zielsystem</x:v>
      </x:c>
      <x:c r="K1508" s="5" t="str"/>
      <x:c r="L1508" s="5" t="str">
        <x:v>Betriebliches Zielsystem &amp; Zielbildung</x:v>
      </x:c>
      <x:c r="M1508" s="5" t="n">
        <x:v>58</x:v>
      </x:c>
      <x:c r="N1508" s="5" t="n">
        <x:v>55</x:v>
      </x:c>
      <x:c r="O1508" s="5" t="str"/>
      <x:c r="P1508" s="5" t="str">
        <x:v>Zuordnungsvorschlag; Fachfreigabe ausstehend</x:v>
      </x:c>
      <x:c r="Q1508" s="5" t="str">
        <x:v>Bestehendes Lernthema fachlich unter passendem Rahmenplan-Unterbereich behalten</x:v>
      </x:c>
      <x:c r="R1508" s="5" t="str">
        <x:v>Was ist eine Unternehmensvision?</x:v>
      </x:c>
      <x:c r="S1508" s="5" t="str">
        <x:v>b2b1da982ce91c5533400627e4e2417e14b2c23c4dae7bfb962cd53043033cf3</x:v>
      </x:c>
    </x:row>
    <x:row r="1509" ht="36" customHeight="1">
      <x:c r="A1509" s="5" t="str">
        <x:v>BM-0064</x:v>
      </x:c>
      <x:c r="B1509" s="5" t="str">
        <x:v>HQ</x:v>
      </x:c>
      <x:c r="C1509" s="5" t="str">
        <x:v>5</x:v>
      </x:c>
      <x:c r="D1509" s="5" t="str">
        <x:v>Betriebliches Management</x:v>
      </x:c>
      <x:c r="E1509" s="5" t="str">
        <x:v>Betriebliches Management</x:v>
      </x:c>
      <x:c r="F1509" s="5" t="str">
        <x:v>ui-hq-0013</x:v>
      </x:c>
      <x:c r="G1509" s="5" t="str">
        <x:v>Betriebliche Planungsprozesse</x:v>
      </x:c>
      <x:c r="H1509" s="5" t="str">
        <x:v>dg-hq-0080</x:v>
      </x:c>
      <x:c r="I1509" s="5" t="str">
        <x:v>5.1.1</x:v>
      </x:c>
      <x:c r="J1509" s="5" t="str">
        <x:v>Betriebliches Zielsystem</x:v>
      </x:c>
      <x:c r="K1509" s="5" t="str"/>
      <x:c r="L1509" s="5" t="str">
        <x:v>Betriebliches Zielsystem &amp; Zielbildung</x:v>
      </x:c>
      <x:c r="M1509" s="5" t="n">
        <x:v>59</x:v>
      </x:c>
      <x:c r="N1509" s="5" t="n">
        <x:v>56</x:v>
      </x:c>
      <x:c r="O1509" s="5" t="str"/>
      <x:c r="P1509" s="5" t="str">
        <x:v>Zuordnungsvorschlag; Fachfreigabe ausstehend</x:v>
      </x:c>
      <x:c r="Q1509" s="5" t="str">
        <x:v>Bestehendes Lernthema fachlich unter passendem Rahmenplan-Unterbereich behalten</x:v>
      </x:c>
      <x:c r="R1509" s="5" t="str">
        <x:v>Welche Merkmale hat eine gute Vision?</x:v>
      </x:c>
      <x:c r="S1509" s="5" t="str">
        <x:v>947da3b9874ced78e1c554b151ed30ad67d6b85e341af5d17c278c0c0b76ddce</x:v>
      </x:c>
    </x:row>
    <x:row r="1510" ht="36" customHeight="1">
      <x:c r="A1510" s="5" t="str">
        <x:v>BM-0065</x:v>
      </x:c>
      <x:c r="B1510" s="5" t="str">
        <x:v>HQ</x:v>
      </x:c>
      <x:c r="C1510" s="5" t="str">
        <x:v>5</x:v>
      </x:c>
      <x:c r="D1510" s="5" t="str">
        <x:v>Betriebliches Management</x:v>
      </x:c>
      <x:c r="E1510" s="5" t="str">
        <x:v>Betriebliches Management</x:v>
      </x:c>
      <x:c r="F1510" s="5" t="str">
        <x:v>ui-hq-0013</x:v>
      </x:c>
      <x:c r="G1510" s="5" t="str">
        <x:v>Betriebliche Planungsprozesse</x:v>
      </x:c>
      <x:c r="H1510" s="5" t="str">
        <x:v>dg-hq-0080</x:v>
      </x:c>
      <x:c r="I1510" s="5" t="str">
        <x:v>5.1.1</x:v>
      </x:c>
      <x:c r="J1510" s="5" t="str">
        <x:v>Betriebliches Zielsystem</x:v>
      </x:c>
      <x:c r="K1510" s="5" t="str"/>
      <x:c r="L1510" s="5" t="str">
        <x:v>Betriebliches Zielsystem &amp; Zielbildung</x:v>
      </x:c>
      <x:c r="M1510" s="5" t="n">
        <x:v>60</x:v>
      </x:c>
      <x:c r="N1510" s="5" t="n">
        <x:v>57</x:v>
      </x:c>
      <x:c r="O1510" s="5" t="str"/>
      <x:c r="P1510" s="5" t="str">
        <x:v>Zuordnungsvorschlag; Fachfreigabe ausstehend</x:v>
      </x:c>
      <x:c r="Q1510" s="5" t="str">
        <x:v>Bestehendes Lernthema fachlich unter passendem Rahmenplan-Unterbereich behalten</x:v>
      </x:c>
      <x:c r="R1510" s="5" t="str">
        <x:v>Was ist der Unterschied zwischen Vision und Mission?</x:v>
      </x:c>
      <x:c r="S1510" s="5" t="str">
        <x:v>9726a1b3f6eacc29cfb6bb8cbdd1be3f6496b51da2b3e3549ef9054b0ed5abfd</x:v>
      </x:c>
    </x:row>
    <x:row r="1511" ht="36" customHeight="1">
      <x:c r="A1511" s="5" t="str">
        <x:v>BM-0066</x:v>
      </x:c>
      <x:c r="B1511" s="5" t="str">
        <x:v>HQ</x:v>
      </x:c>
      <x:c r="C1511" s="5" t="str">
        <x:v>5</x:v>
      </x:c>
      <x:c r="D1511" s="5" t="str">
        <x:v>Betriebliches Management</x:v>
      </x:c>
      <x:c r="E1511" s="5" t="str">
        <x:v>Betriebliches Management</x:v>
      </x:c>
      <x:c r="F1511" s="5" t="str">
        <x:v>ui-hq-0013</x:v>
      </x:c>
      <x:c r="G1511" s="5" t="str">
        <x:v>Betriebliche Planungsprozesse</x:v>
      </x:c>
      <x:c r="H1511" s="5" t="str">
        <x:v>dg-hq-0080</x:v>
      </x:c>
      <x:c r="I1511" s="5" t="str">
        <x:v>5.1.1</x:v>
      </x:c>
      <x:c r="J1511" s="5" t="str">
        <x:v>Betriebliches Zielsystem</x:v>
      </x:c>
      <x:c r="K1511" s="5" t="str"/>
      <x:c r="L1511" s="5" t="str">
        <x:v>Betriebliches Zielsystem &amp; Zielbildung</x:v>
      </x:c>
      <x:c r="M1511" s="5" t="n">
        <x:v>61</x:v>
      </x:c>
      <x:c r="N1511" s="5" t="n">
        <x:v>58</x:v>
      </x:c>
      <x:c r="O1511" s="5" t="str"/>
      <x:c r="P1511" s="5" t="str">
        <x:v>Zuordnungsvorschlag; Fachfreigabe ausstehend</x:v>
      </x:c>
      <x:c r="Q1511" s="5" t="str">
        <x:v>Bestehendes Lernthema fachlich unter passendem Rahmenplan-Unterbereich behalten</x:v>
      </x:c>
      <x:c r="R1511" s="5" t="str">
        <x:v>Was ist ein Unternehmensleitbild?</x:v>
      </x:c>
      <x:c r="S1511" s="5" t="str">
        <x:v>7f4623d18f472e04d1eb3c49b25f79902f4b548343c9b701112a19457b089ad2</x:v>
      </x:c>
    </x:row>
    <x:row r="1512" ht="36" customHeight="1">
      <x:c r="A1512" s="5" t="str">
        <x:v>BM-0067</x:v>
      </x:c>
      <x:c r="B1512" s="5" t="str">
        <x:v>HQ</x:v>
      </x:c>
      <x:c r="C1512" s="5" t="str">
        <x:v>5</x:v>
      </x:c>
      <x:c r="D1512" s="5" t="str">
        <x:v>Betriebliches Management</x:v>
      </x:c>
      <x:c r="E1512" s="5" t="str">
        <x:v>Betriebliches Management</x:v>
      </x:c>
      <x:c r="F1512" s="5" t="str">
        <x:v>ui-hq-0013</x:v>
      </x:c>
      <x:c r="G1512" s="5" t="str">
        <x:v>Betriebliche Planungsprozesse</x:v>
      </x:c>
      <x:c r="H1512" s="5" t="str">
        <x:v>dg-hq-0080</x:v>
      </x:c>
      <x:c r="I1512" s="5" t="str">
        <x:v>5.1.1</x:v>
      </x:c>
      <x:c r="J1512" s="5" t="str">
        <x:v>Betriebliches Zielsystem</x:v>
      </x:c>
      <x:c r="K1512" s="5" t="str"/>
      <x:c r="L1512" s="5" t="str">
        <x:v>Betriebliches Zielsystem &amp; Zielbildung</x:v>
      </x:c>
      <x:c r="M1512" s="5" t="n">
        <x:v>62</x:v>
      </x:c>
      <x:c r="N1512" s="5" t="n">
        <x:v>59</x:v>
      </x:c>
      <x:c r="O1512" s="5" t="str"/>
      <x:c r="P1512" s="5" t="str">
        <x:v>Zuordnungsvorschlag; Fachfreigabe ausstehend</x:v>
      </x:c>
      <x:c r="Q1512" s="5" t="str">
        <x:v>Bestehendes Lernthema fachlich unter passendem Rahmenplan-Unterbereich behalten</x:v>
      </x:c>
      <x:c r="R1512" s="5" t="str">
        <x:v>Welche Bestandteile umfasst ein Unternehmensleitbild?</x:v>
      </x:c>
      <x:c r="S1512" s="5" t="str">
        <x:v>91c55c738540d94a865160009e6d00bb6a6b06aa7c45cdfc2a7c86f98f3db8c3</x:v>
      </x:c>
    </x:row>
    <x:row r="1513" ht="36" customHeight="1">
      <x:c r="A1513" s="5" t="str">
        <x:v>BM-0068</x:v>
      </x:c>
      <x:c r="B1513" s="5" t="str">
        <x:v>HQ</x:v>
      </x:c>
      <x:c r="C1513" s="5" t="str">
        <x:v>5</x:v>
      </x:c>
      <x:c r="D1513" s="5" t="str">
        <x:v>Betriebliches Management</x:v>
      </x:c>
      <x:c r="E1513" s="5" t="str">
        <x:v>Betriebliches Management</x:v>
      </x:c>
      <x:c r="F1513" s="5" t="str">
        <x:v>ui-hq-0013</x:v>
      </x:c>
      <x:c r="G1513" s="5" t="str">
        <x:v>Betriebliche Planungsprozesse</x:v>
      </x:c>
      <x:c r="H1513" s="5" t="str">
        <x:v>dg-hq-0080</x:v>
      </x:c>
      <x:c r="I1513" s="5" t="str">
        <x:v>5.1.1</x:v>
      </x:c>
      <x:c r="J1513" s="5" t="str">
        <x:v>Betriebliches Zielsystem</x:v>
      </x:c>
      <x:c r="K1513" s="5" t="str"/>
      <x:c r="L1513" s="5" t="str">
        <x:v>Betriebliches Zielsystem &amp; Zielbildung</x:v>
      </x:c>
      <x:c r="M1513" s="5" t="n">
        <x:v>63</x:v>
      </x:c>
      <x:c r="N1513" s="5" t="n">
        <x:v>60</x:v>
      </x:c>
      <x:c r="O1513" s="5" t="str"/>
      <x:c r="P1513" s="5" t="str">
        <x:v>Zuordnungsvorschlag; Fachfreigabe ausstehend</x:v>
      </x:c>
      <x:c r="Q1513" s="5" t="str">
        <x:v>Bestehendes Lernthema fachlich unter passendem Rahmenplan-Unterbereich behalten</x:v>
      </x:c>
      <x:c r="R1513" s="5" t="str">
        <x:v>Welche Funktionen hat ein Unternehmensleitbild?</x:v>
      </x:c>
      <x:c r="S1513" s="5" t="str">
        <x:v>9ee8ee717d94e8b32066c5d24b8766dc57bd091581992e468549c57a314b79e7</x:v>
      </x:c>
    </x:row>
    <x:row r="1514" ht="36" customHeight="1">
      <x:c r="A1514" s="5" t="str">
        <x:v>BM-0069</x:v>
      </x:c>
      <x:c r="B1514" s="5" t="str">
        <x:v>HQ</x:v>
      </x:c>
      <x:c r="C1514" s="5" t="str">
        <x:v>5</x:v>
      </x:c>
      <x:c r="D1514" s="5" t="str">
        <x:v>Betriebliches Management</x:v>
      </x:c>
      <x:c r="E1514" s="5" t="str">
        <x:v>Betriebliches Management</x:v>
      </x:c>
      <x:c r="F1514" s="5" t="str">
        <x:v>ui-hq-0013</x:v>
      </x:c>
      <x:c r="G1514" s="5" t="str">
        <x:v>Betriebliche Planungsprozesse</x:v>
      </x:c>
      <x:c r="H1514" s="5" t="str">
        <x:v>dg-hq-0080</x:v>
      </x:c>
      <x:c r="I1514" s="5" t="str">
        <x:v>5.1.1</x:v>
      </x:c>
      <x:c r="J1514" s="5" t="str">
        <x:v>Betriebliches Zielsystem</x:v>
      </x:c>
      <x:c r="K1514" s="5" t="str"/>
      <x:c r="L1514" s="5" t="str">
        <x:v>Betriebliches Zielsystem &amp; Zielbildung</x:v>
      </x:c>
      <x:c r="M1514" s="5" t="n">
        <x:v>64</x:v>
      </x:c>
      <x:c r="N1514" s="5" t="n">
        <x:v>61</x:v>
      </x:c>
      <x:c r="O1514" s="5" t="str"/>
      <x:c r="P1514" s="5" t="str">
        <x:v>Zuordnungsvorschlag; Fachfreigabe ausstehend</x:v>
      </x:c>
      <x:c r="Q1514" s="5" t="str">
        <x:v>Bestehendes Lernthema fachlich unter passendem Rahmenplan-Unterbereich behalten</x:v>
      </x:c>
      <x:c r="R1514" s="5" t="str">
        <x:v>Welche Anforderungen sollte ein Unternehmensleitbild erfüllen?</x:v>
      </x:c>
      <x:c r="S1514" s="5" t="str">
        <x:v>8f42a7c5da63218db99ee4e874fa1d52e7f2898294eaee22574c23f1cf1588a1</x:v>
      </x:c>
    </x:row>
    <x:row r="1515" ht="36" customHeight="1">
      <x:c r="A1515" s="5" t="str">
        <x:v>BM-0070</x:v>
      </x:c>
      <x:c r="B1515" s="5" t="str">
        <x:v>HQ</x:v>
      </x:c>
      <x:c r="C1515" s="5" t="str">
        <x:v>5</x:v>
      </x:c>
      <x:c r="D1515" s="5" t="str">
        <x:v>Betriebliches Management</x:v>
      </x:c>
      <x:c r="E1515" s="5" t="str">
        <x:v>Betriebliches Management</x:v>
      </x:c>
      <x:c r="F1515" s="5" t="str">
        <x:v>ui-hq-0013</x:v>
      </x:c>
      <x:c r="G1515" s="5" t="str">
        <x:v>Betriebliche Planungsprozesse</x:v>
      </x:c>
      <x:c r="H1515" s="5" t="str">
        <x:v>dg-hq-0080</x:v>
      </x:c>
      <x:c r="I1515" s="5" t="str">
        <x:v>5.1.1</x:v>
      </x:c>
      <x:c r="J1515" s="5" t="str">
        <x:v>Betriebliches Zielsystem</x:v>
      </x:c>
      <x:c r="K1515" s="5" t="str"/>
      <x:c r="L1515" s="5" t="str">
        <x:v>Betriebliches Zielsystem &amp; Zielbildung</x:v>
      </x:c>
      <x:c r="M1515" s="5" t="n">
        <x:v>65</x:v>
      </x:c>
      <x:c r="N1515" s="5" t="n">
        <x:v>62</x:v>
      </x:c>
      <x:c r="O1515" s="5" t="str"/>
      <x:c r="P1515" s="5" t="str">
        <x:v>Zuordnungsvorschlag; Fachfreigabe ausstehend</x:v>
      </x:c>
      <x:c r="Q1515" s="5" t="str">
        <x:v>Bestehendes Lernthema fachlich unter passendem Rahmenplan-Unterbereich behalten</x:v>
      </x:c>
      <x:c r="R1515" s="5" t="str">
        <x:v>Welche Inhalte stehen im Fokus eines Unternehmensleitbilds?</x:v>
      </x:c>
      <x:c r="S1515" s="5" t="str">
        <x:v>abfd9b203d62cf9c1c229a432d0dedb02364a87335db19bace79f658af8739bc</x:v>
      </x:c>
    </x:row>
    <x:row r="1516" ht="36" customHeight="1">
      <x:c r="A1516" s="5" t="str">
        <x:v>BM-0071</x:v>
      </x:c>
      <x:c r="B1516" s="5" t="str">
        <x:v>HQ</x:v>
      </x:c>
      <x:c r="C1516" s="5" t="str">
        <x:v>5</x:v>
      </x:c>
      <x:c r="D1516" s="5" t="str">
        <x:v>Betriebliches Management</x:v>
      </x:c>
      <x:c r="E1516" s="5" t="str">
        <x:v>Betriebliches Management</x:v>
      </x:c>
      <x:c r="F1516" s="5" t="str">
        <x:v>ui-hq-0013</x:v>
      </x:c>
      <x:c r="G1516" s="5" t="str">
        <x:v>Betriebliche Planungsprozesse</x:v>
      </x:c>
      <x:c r="H1516" s="5" t="str">
        <x:v>dg-hq-0080</x:v>
      </x:c>
      <x:c r="I1516" s="5" t="str">
        <x:v>5.1.1</x:v>
      </x:c>
      <x:c r="J1516" s="5" t="str">
        <x:v>Betriebliches Zielsystem</x:v>
      </x:c>
      <x:c r="K1516" s="5" t="str"/>
      <x:c r="L1516" s="5" t="str">
        <x:v>Betriebliches Zielsystem &amp; Zielbildung</x:v>
      </x:c>
      <x:c r="M1516" s="5" t="n">
        <x:v>66</x:v>
      </x:c>
      <x:c r="N1516" s="5" t="n">
        <x:v>63</x:v>
      </x:c>
      <x:c r="O1516" s="5" t="str"/>
      <x:c r="P1516" s="5" t="str">
        <x:v>Zuordnungsvorschlag; Fachfreigabe ausstehend</x:v>
      </x:c>
      <x:c r="Q1516" s="5" t="str">
        <x:v>Bestehendes Lernthema fachlich unter passendem Rahmenplan-Unterbereich behalten</x:v>
      </x:c>
      <x:c r="R1516" s="5" t="str">
        <x:v>Was sind Leitsätze im Unternehmensleitbild?</x:v>
      </x:c>
      <x:c r="S1516" s="5" t="str">
        <x:v>b127638590361143a6aa9330f23029b3eed9699219eafd07c2ccdace9e217a4a</x:v>
      </x:c>
    </x:row>
    <x:row r="1517" ht="36" customHeight="1">
      <x:c r="A1517" s="5" t="str">
        <x:v>BM-0072</x:v>
      </x:c>
      <x:c r="B1517" s="5" t="str">
        <x:v>HQ</x:v>
      </x:c>
      <x:c r="C1517" s="5" t="str">
        <x:v>5</x:v>
      </x:c>
      <x:c r="D1517" s="5" t="str">
        <x:v>Betriebliches Management</x:v>
      </x:c>
      <x:c r="E1517" s="5" t="str">
        <x:v>Betriebliches Management</x:v>
      </x:c>
      <x:c r="F1517" s="5" t="str">
        <x:v>ui-hq-0013</x:v>
      </x:c>
      <x:c r="G1517" s="5" t="str">
        <x:v>Betriebliche Planungsprozesse</x:v>
      </x:c>
      <x:c r="H1517" s="5" t="str">
        <x:v>dg-hq-0080</x:v>
      </x:c>
      <x:c r="I1517" s="5" t="str">
        <x:v>5.1.1</x:v>
      </x:c>
      <x:c r="J1517" s="5" t="str">
        <x:v>Betriebliches Zielsystem</x:v>
      </x:c>
      <x:c r="K1517" s="5" t="str"/>
      <x:c r="L1517" s="5" t="str">
        <x:v>Betriebliches Zielsystem &amp; Zielbildung</x:v>
      </x:c>
      <x:c r="M1517" s="5" t="n">
        <x:v>67</x:v>
      </x:c>
      <x:c r="N1517" s="5" t="n">
        <x:v>64</x:v>
      </x:c>
      <x:c r="O1517" s="5" t="str"/>
      <x:c r="P1517" s="5" t="str">
        <x:v>Zuordnungsvorschlag; Fachfreigabe ausstehend</x:v>
      </x:c>
      <x:c r="Q1517" s="5" t="str">
        <x:v>Bestehendes Lernthema fachlich unter passendem Rahmenplan-Unterbereich behalten</x:v>
      </x:c>
      <x:c r="R1517" s="5" t="str">
        <x:v>Welche Beispiele gibt es für Leitsätze?</x:v>
      </x:c>
      <x:c r="S1517" s="5" t="str">
        <x:v>1534ccc20fcb53e5694385fc834d8f4c5b3481dbaa3fa13f6b3c4c5eb8ef90bc</x:v>
      </x:c>
    </x:row>
    <x:row r="1518" ht="36" customHeight="1">
      <x:c r="A1518" s="5" t="str">
        <x:v>BM-0073</x:v>
      </x:c>
      <x:c r="B1518" s="5" t="str">
        <x:v>HQ</x:v>
      </x:c>
      <x:c r="C1518" s="5" t="str">
        <x:v>5</x:v>
      </x:c>
      <x:c r="D1518" s="5" t="str">
        <x:v>Betriebliches Management</x:v>
      </x:c>
      <x:c r="E1518" s="5" t="str">
        <x:v>Betriebliches Management</x:v>
      </x:c>
      <x:c r="F1518" s="5" t="str">
        <x:v>ui-hq-0013</x:v>
      </x:c>
      <x:c r="G1518" s="5" t="str">
        <x:v>Betriebliche Planungsprozesse</x:v>
      </x:c>
      <x:c r="H1518" s="5" t="str">
        <x:v>dg-hq-0080</x:v>
      </x:c>
      <x:c r="I1518" s="5" t="str">
        <x:v>5.1.1</x:v>
      </x:c>
      <x:c r="J1518" s="5" t="str">
        <x:v>Betriebliches Zielsystem</x:v>
      </x:c>
      <x:c r="K1518" s="5" t="str"/>
      <x:c r="L1518" s="5" t="str">
        <x:v>Betriebliches Zielsystem &amp; Zielbildung</x:v>
      </x:c>
      <x:c r="M1518" s="5" t="n">
        <x:v>68</x:v>
      </x:c>
      <x:c r="N1518" s="5" t="n">
        <x:v>65</x:v>
      </x:c>
      <x:c r="O1518" s="5" t="str"/>
      <x:c r="P1518" s="5" t="str">
        <x:v>Zuordnungsvorschlag; Fachfreigabe ausstehend</x:v>
      </x:c>
      <x:c r="Q1518" s="5" t="str">
        <x:v>Bestehendes Lernthema fachlich unter passendem Rahmenplan-Unterbereich behalten</x:v>
      </x:c>
      <x:c r="R1518" s="5" t="str">
        <x:v>Was sind Grundsätze im Unternehmensleitbild?</x:v>
      </x:c>
      <x:c r="S1518" s="5" t="str">
        <x:v>d3b0856acdba56e8f4108a09c20e8a6c96ad7ae230c63ed5719c27a6901d3555</x:v>
      </x:c>
    </x:row>
    <x:row r="1519" ht="36" customHeight="1">
      <x:c r="A1519" s="5" t="str">
        <x:v>BM-0074</x:v>
      </x:c>
      <x:c r="B1519" s="5" t="str">
        <x:v>HQ</x:v>
      </x:c>
      <x:c r="C1519" s="5" t="str">
        <x:v>5</x:v>
      </x:c>
      <x:c r="D1519" s="5" t="str">
        <x:v>Betriebliches Management</x:v>
      </x:c>
      <x:c r="E1519" s="5" t="str">
        <x:v>Betriebliches Management</x:v>
      </x:c>
      <x:c r="F1519" s="5" t="str">
        <x:v>ui-hq-0013</x:v>
      </x:c>
      <x:c r="G1519" s="5" t="str">
        <x:v>Betriebliche Planungsprozesse</x:v>
      </x:c>
      <x:c r="H1519" s="5" t="str">
        <x:v>dg-hq-0080</x:v>
      </x:c>
      <x:c r="I1519" s="5" t="str">
        <x:v>5.1.1</x:v>
      </x:c>
      <x:c r="J1519" s="5" t="str">
        <x:v>Betriebliches Zielsystem</x:v>
      </x:c>
      <x:c r="K1519" s="5" t="str"/>
      <x:c r="L1519" s="5" t="str">
        <x:v>Betriebliches Zielsystem &amp; Zielbildung</x:v>
      </x:c>
      <x:c r="M1519" s="5" t="n">
        <x:v>69</x:v>
      </x:c>
      <x:c r="N1519" s="5" t="n">
        <x:v>66</x:v>
      </x:c>
      <x:c r="O1519" s="5" t="str"/>
      <x:c r="P1519" s="5" t="str">
        <x:v>Zuordnungsvorschlag; Fachfreigabe ausstehend</x:v>
      </x:c>
      <x:c r="Q1519" s="5" t="str">
        <x:v>Bestehendes Lernthema fachlich unter passendem Rahmenplan-Unterbereich behalten</x:v>
      </x:c>
      <x:c r="R1519" s="5" t="str">
        <x:v>Was ist Corporate Identity?</x:v>
      </x:c>
      <x:c r="S1519" s="5" t="str">
        <x:v>8064dad618600739d2d94f94c195aa8a5884d8daac0e199bcb1b1fb701ace1e9</x:v>
      </x:c>
    </x:row>
    <x:row r="1520" ht="36" customHeight="1">
      <x:c r="A1520" s="5" t="str">
        <x:v>BM-0075</x:v>
      </x:c>
      <x:c r="B1520" s="5" t="str">
        <x:v>HQ</x:v>
      </x:c>
      <x:c r="C1520" s="5" t="str">
        <x:v>5</x:v>
      </x:c>
      <x:c r="D1520" s="5" t="str">
        <x:v>Betriebliches Management</x:v>
      </x:c>
      <x:c r="E1520" s="5" t="str">
        <x:v>Betriebliches Management</x:v>
      </x:c>
      <x:c r="F1520" s="5" t="str">
        <x:v>ui-hq-0013</x:v>
      </x:c>
      <x:c r="G1520" s="5" t="str">
        <x:v>Betriebliche Planungsprozesse</x:v>
      </x:c>
      <x:c r="H1520" s="5" t="str">
        <x:v>dg-hq-0080</x:v>
      </x:c>
      <x:c r="I1520" s="5" t="str">
        <x:v>5.1.1</x:v>
      </x:c>
      <x:c r="J1520" s="5" t="str">
        <x:v>Betriebliches Zielsystem</x:v>
      </x:c>
      <x:c r="K1520" s="5" t="str"/>
      <x:c r="L1520" s="5" t="str">
        <x:v>Betriebliches Zielsystem &amp; Zielbildung</x:v>
      </x:c>
      <x:c r="M1520" s="5" t="n">
        <x:v>70</x:v>
      </x:c>
      <x:c r="N1520" s="5" t="n">
        <x:v>67</x:v>
      </x:c>
      <x:c r="O1520" s="5" t="str"/>
      <x:c r="P1520" s="5" t="str">
        <x:v>Zuordnungsvorschlag; Fachfreigabe ausstehend</x:v>
      </x:c>
      <x:c r="Q1520" s="5" t="str">
        <x:v>Bestehendes Lernthema fachlich unter passendem Rahmenplan-Unterbereich behalten</x:v>
      </x:c>
      <x:c r="R1520" s="5" t="str">
        <x:v>Welche Bestandteile umfasst die Corporate Identity?</x:v>
      </x:c>
      <x:c r="S1520" s="5" t="str">
        <x:v>0ff40619c5e112c64204ac6431555628f8c7032ad1ddc5b7000e6b0ab3a6469b</x:v>
      </x:c>
    </x:row>
    <x:row r="1521" ht="36" customHeight="1">
      <x:c r="A1521" s="5" t="str">
        <x:v>BM-0076</x:v>
      </x:c>
      <x:c r="B1521" s="5" t="str">
        <x:v>HQ</x:v>
      </x:c>
      <x:c r="C1521" s="5" t="str">
        <x:v>5</x:v>
      </x:c>
      <x:c r="D1521" s="5" t="str">
        <x:v>Betriebliches Management</x:v>
      </x:c>
      <x:c r="E1521" s="5" t="str">
        <x:v>Betriebliches Management</x:v>
      </x:c>
      <x:c r="F1521" s="5" t="str">
        <x:v>ui-hq-0013</x:v>
      </x:c>
      <x:c r="G1521" s="5" t="str">
        <x:v>Betriebliche Planungsprozesse</x:v>
      </x:c>
      <x:c r="H1521" s="5" t="str">
        <x:v>dg-hq-0080</x:v>
      </x:c>
      <x:c r="I1521" s="5" t="str">
        <x:v>5.1.1</x:v>
      </x:c>
      <x:c r="J1521" s="5" t="str">
        <x:v>Betriebliches Zielsystem</x:v>
      </x:c>
      <x:c r="K1521" s="5" t="str"/>
      <x:c r="L1521" s="5" t="str">
        <x:v>Betriebliches Zielsystem &amp; Zielbildung</x:v>
      </x:c>
      <x:c r="M1521" s="5" t="n">
        <x:v>71</x:v>
      </x:c>
      <x:c r="N1521" s="5" t="n">
        <x:v>68</x:v>
      </x:c>
      <x:c r="O1521" s="5" t="str"/>
      <x:c r="P1521" s="5" t="str">
        <x:v>Zuordnungsvorschlag; Fachfreigabe ausstehend</x:v>
      </x:c>
      <x:c r="Q1521" s="5" t="str">
        <x:v>Bestehendes Lernthema fachlich unter passendem Rahmenplan-Unterbereich behalten</x:v>
      </x:c>
      <x:c r="R1521" s="5" t="str">
        <x:v>Welche Funktion hat die Corporate Identity?</x:v>
      </x:c>
      <x:c r="S1521" s="5" t="str">
        <x:v>f650cf6c39246d2ce35bdfe9ad31c0e08cc174a83df8e1ce4ead60acd63ebcfe</x:v>
      </x:c>
    </x:row>
    <x:row r="1522" ht="36" customHeight="1">
      <x:c r="A1522" s="5" t="str">
        <x:v>BM-0077</x:v>
      </x:c>
      <x:c r="B1522" s="5" t="str">
        <x:v>HQ</x:v>
      </x:c>
      <x:c r="C1522" s="5" t="str">
        <x:v>5</x:v>
      </x:c>
      <x:c r="D1522" s="5" t="str">
        <x:v>Betriebliches Management</x:v>
      </x:c>
      <x:c r="E1522" s="5" t="str">
        <x:v>Betriebliches Management</x:v>
      </x:c>
      <x:c r="F1522" s="5" t="str">
        <x:v>ui-hq-0013</x:v>
      </x:c>
      <x:c r="G1522" s="5" t="str">
        <x:v>Betriebliche Planungsprozesse</x:v>
      </x:c>
      <x:c r="H1522" s="5" t="str">
        <x:v>dg-hq-0080</x:v>
      </x:c>
      <x:c r="I1522" s="5" t="str">
        <x:v>5.1.1</x:v>
      </x:c>
      <x:c r="J1522" s="5" t="str">
        <x:v>Betriebliches Zielsystem</x:v>
      </x:c>
      <x:c r="K1522" s="5" t="str"/>
      <x:c r="L1522" s="5" t="str">
        <x:v>Betriebliches Zielsystem &amp; Zielbildung</x:v>
      </x:c>
      <x:c r="M1522" s="5" t="n">
        <x:v>72</x:v>
      </x:c>
      <x:c r="N1522" s="5" t="n">
        <x:v>69</x:v>
      </x:c>
      <x:c r="O1522" s="5" t="str"/>
      <x:c r="P1522" s="5" t="str">
        <x:v>Zuordnungsvorschlag; Fachfreigabe ausstehend</x:v>
      </x:c>
      <x:c r="Q1522" s="5" t="str">
        <x:v>Bestehendes Lernthema fachlich unter passendem Rahmenplan-Unterbereich behalten</x:v>
      </x:c>
      <x:c r="R1522" s="5" t="str">
        <x:v>Was sind SMART-Ziele?</x:v>
      </x:c>
      <x:c r="S1522" s="5" t="str">
        <x:v>acae0acef0dcfc51929af38f76c96c90373b733caa97a8e057e3e92c74063681</x:v>
      </x:c>
    </x:row>
    <x:row r="1523" ht="36" customHeight="1">
      <x:c r="A1523" s="5" t="str">
        <x:v>BM-0078</x:v>
      </x:c>
      <x:c r="B1523" s="5" t="str">
        <x:v>HQ</x:v>
      </x:c>
      <x:c r="C1523" s="5" t="str">
        <x:v>5</x:v>
      </x:c>
      <x:c r="D1523" s="5" t="str">
        <x:v>Betriebliches Management</x:v>
      </x:c>
      <x:c r="E1523" s="5" t="str">
        <x:v>Betriebliches Management</x:v>
      </x:c>
      <x:c r="F1523" s="5" t="str">
        <x:v>ui-hq-0013</x:v>
      </x:c>
      <x:c r="G1523" s="5" t="str">
        <x:v>Betriebliche Planungsprozesse</x:v>
      </x:c>
      <x:c r="H1523" s="5" t="str">
        <x:v>dg-hq-0080</x:v>
      </x:c>
      <x:c r="I1523" s="5" t="str">
        <x:v>5.1.1</x:v>
      </x:c>
      <x:c r="J1523" s="5" t="str">
        <x:v>Betriebliches Zielsystem</x:v>
      </x:c>
      <x:c r="K1523" s="5" t="str"/>
      <x:c r="L1523" s="5" t="str">
        <x:v>Betriebliches Zielsystem &amp; Zielbildung</x:v>
      </x:c>
      <x:c r="M1523" s="5" t="n">
        <x:v>73</x:v>
      </x:c>
      <x:c r="N1523" s="5" t="n">
        <x:v>70</x:v>
      </x:c>
      <x:c r="O1523" s="5" t="str"/>
      <x:c r="P1523" s="5" t="str">
        <x:v>Zuordnungsvorschlag; Fachfreigabe ausstehend</x:v>
      </x:c>
      <x:c r="Q1523" s="5" t="str">
        <x:v>Bestehendes Lernthema fachlich unter passendem Rahmenplan-Unterbereich behalten</x:v>
      </x:c>
      <x:c r="R1523" s="5" t="str">
        <x:v>Was bedeuten die SMART-Kriterien im Detail?</x:v>
      </x:c>
      <x:c r="S1523" s="5" t="str">
        <x:v>7d92c6085434683fd1b252c717f5b982c3416926bb6abfa9bcf732ec5e3630cd</x:v>
      </x:c>
    </x:row>
    <x:row r="1524" ht="36" customHeight="1">
      <x:c r="A1524" s="5" t="str">
        <x:v>BM-0079</x:v>
      </x:c>
      <x:c r="B1524" s="5" t="str">
        <x:v>HQ</x:v>
      </x:c>
      <x:c r="C1524" s="5" t="str">
        <x:v>5</x:v>
      </x:c>
      <x:c r="D1524" s="5" t="str">
        <x:v>Betriebliches Management</x:v>
      </x:c>
      <x:c r="E1524" s="5" t="str">
        <x:v>Betriebliches Management</x:v>
      </x:c>
      <x:c r="F1524" s="5" t="str">
        <x:v>ui-hq-0013</x:v>
      </x:c>
      <x:c r="G1524" s="5" t="str">
        <x:v>Betriebliche Planungsprozesse</x:v>
      </x:c>
      <x:c r="H1524" s="5" t="str">
        <x:v>dg-hq-0080</x:v>
      </x:c>
      <x:c r="I1524" s="5" t="str">
        <x:v>5.1.1</x:v>
      </x:c>
      <x:c r="J1524" s="5" t="str">
        <x:v>Betriebliches Zielsystem</x:v>
      </x:c>
      <x:c r="K1524" s="5" t="str"/>
      <x:c r="L1524" s="5" t="str">
        <x:v>Betriebliches Zielsystem &amp; Zielbildung</x:v>
      </x:c>
      <x:c r="M1524" s="5" t="n">
        <x:v>74</x:v>
      </x:c>
      <x:c r="N1524" s="5" t="n">
        <x:v>71</x:v>
      </x:c>
      <x:c r="O1524" s="5" t="str"/>
      <x:c r="P1524" s="5" t="str">
        <x:v>Zuordnungsvorschlag; Fachfreigabe ausstehend</x:v>
      </x:c>
      <x:c r="Q1524" s="5" t="str">
        <x:v>Bestehendes Lernthema fachlich unter passendem Rahmenplan-Unterbereich behalten</x:v>
      </x:c>
      <x:c r="R1524" s="5" t="str">
        <x:v>Welche Zielbeziehungen gibt es?</x:v>
      </x:c>
      <x:c r="S1524" s="5" t="str">
        <x:v>cf58a7c2840c0ac5e35b1b05790e4d0db063ab18e994bf5c6ffaf04b2f472eaa</x:v>
      </x:c>
    </x:row>
    <x:row r="1525" ht="36" customHeight="1">
      <x:c r="A1525" s="5" t="str">
        <x:v>BM-0080</x:v>
      </x:c>
      <x:c r="B1525" s="5" t="str">
        <x:v>HQ</x:v>
      </x:c>
      <x:c r="C1525" s="5" t="str">
        <x:v>5</x:v>
      </x:c>
      <x:c r="D1525" s="5" t="str">
        <x:v>Betriebliches Management</x:v>
      </x:c>
      <x:c r="E1525" s="5" t="str">
        <x:v>Betriebliches Management</x:v>
      </x:c>
      <x:c r="F1525" s="5" t="str">
        <x:v>ui-hq-0013</x:v>
      </x:c>
      <x:c r="G1525" s="5" t="str">
        <x:v>Betriebliche Planungsprozesse</x:v>
      </x:c>
      <x:c r="H1525" s="5" t="str">
        <x:v>dg-hq-0080</x:v>
      </x:c>
      <x:c r="I1525" s="5" t="str">
        <x:v>5.1.1</x:v>
      </x:c>
      <x:c r="J1525" s="5" t="str">
        <x:v>Betriebliches Zielsystem</x:v>
      </x:c>
      <x:c r="K1525" s="5" t="str"/>
      <x:c r="L1525" s="5" t="str">
        <x:v>Betriebliches Zielsystem &amp; Zielbildung</x:v>
      </x:c>
      <x:c r="M1525" s="5" t="n">
        <x:v>75</x:v>
      </x:c>
      <x:c r="N1525" s="5" t="n">
        <x:v>72</x:v>
      </x:c>
      <x:c r="O1525" s="5" t="str"/>
      <x:c r="P1525" s="5" t="str">
        <x:v>Zuordnungsvorschlag; Fachfreigabe ausstehend</x:v>
      </x:c>
      <x:c r="Q1525" s="5" t="str">
        <x:v>Bestehendes Lernthema fachlich unter passendem Rahmenplan-Unterbereich behalten</x:v>
      </x:c>
      <x:c r="R1525" s="5" t="str">
        <x:v>Wie unterscheiden sich Zielbeziehungen?</x:v>
      </x:c>
      <x:c r="S1525" s="5" t="str">
        <x:v>55e12e76a2e5d6ecccd50fc84980b2e9dd05b39a7b03e9420d4fb811cbcbaefd</x:v>
      </x:c>
    </x:row>
    <x:row r="1526" ht="36" customHeight="1">
      <x:c r="A1526" s="5" t="str">
        <x:v>BM-0081</x:v>
      </x:c>
      <x:c r="B1526" s="5" t="str">
        <x:v>HQ</x:v>
      </x:c>
      <x:c r="C1526" s="5" t="str">
        <x:v>5</x:v>
      </x:c>
      <x:c r="D1526" s="5" t="str">
        <x:v>Betriebliches Management</x:v>
      </x:c>
      <x:c r="E1526" s="5" t="str">
        <x:v>Betriebliches Management</x:v>
      </x:c>
      <x:c r="F1526" s="5" t="str">
        <x:v>ui-hq-0013</x:v>
      </x:c>
      <x:c r="G1526" s="5" t="str">
        <x:v>Betriebliche Planungsprozesse</x:v>
      </x:c>
      <x:c r="H1526" s="5" t="str">
        <x:v>dg-hq-0080</x:v>
      </x:c>
      <x:c r="I1526" s="5" t="str">
        <x:v>5.1.1</x:v>
      </x:c>
      <x:c r="J1526" s="5" t="str">
        <x:v>Betriebliches Zielsystem</x:v>
      </x:c>
      <x:c r="K1526" s="5" t="str"/>
      <x:c r="L1526" s="5" t="str">
        <x:v>Betriebliches Zielsystem &amp; Zielbildung</x:v>
      </x:c>
      <x:c r="M1526" s="5" t="n">
        <x:v>76</x:v>
      </x:c>
      <x:c r="N1526" s="5" t="n">
        <x:v>73</x:v>
      </x:c>
      <x:c r="O1526" s="5" t="str"/>
      <x:c r="P1526" s="5" t="str">
        <x:v>Zuordnungsvorschlag; Fachfreigabe ausstehend</x:v>
      </x:c>
      <x:c r="Q1526" s="5" t="str">
        <x:v>Bestehendes Lernthema fachlich unter passendem Rahmenplan-Unterbereich behalten</x:v>
      </x:c>
      <x:c r="R1526" s="5" t="str">
        <x:v>Welche Arten von Zielen gibt es hinsichtlich der Messbarkeit?</x:v>
      </x:c>
      <x:c r="S1526" s="5" t="str">
        <x:v>25220828e23758242b0f2a0067e831b62d4ca8e062bc26df1cbbba86a79e37d5</x:v>
      </x:c>
    </x:row>
    <x:row r="1527" ht="36" customHeight="1">
      <x:c r="A1527" s="5" t="str">
        <x:v>BM-0082</x:v>
      </x:c>
      <x:c r="B1527" s="5" t="str">
        <x:v>HQ</x:v>
      </x:c>
      <x:c r="C1527" s="5" t="str">
        <x:v>5</x:v>
      </x:c>
      <x:c r="D1527" s="5" t="str">
        <x:v>Betriebliches Management</x:v>
      </x:c>
      <x:c r="E1527" s="5" t="str">
        <x:v>Betriebliches Management</x:v>
      </x:c>
      <x:c r="F1527" s="5" t="str">
        <x:v>ui-hq-0013</x:v>
      </x:c>
      <x:c r="G1527" s="5" t="str">
        <x:v>Betriebliche Planungsprozesse</x:v>
      </x:c>
      <x:c r="H1527" s="5" t="str">
        <x:v>dg-hq-0080</x:v>
      </x:c>
      <x:c r="I1527" s="5" t="str">
        <x:v>5.1.1</x:v>
      </x:c>
      <x:c r="J1527" s="5" t="str">
        <x:v>Betriebliches Zielsystem</x:v>
      </x:c>
      <x:c r="K1527" s="5" t="str"/>
      <x:c r="L1527" s="5" t="str">
        <x:v>Betriebliches Zielsystem &amp; Zielbildung</x:v>
      </x:c>
      <x:c r="M1527" s="5" t="n">
        <x:v>77</x:v>
      </x:c>
      <x:c r="N1527" s="5" t="n">
        <x:v>74</x:v>
      </x:c>
      <x:c r="O1527" s="5" t="str"/>
      <x:c r="P1527" s="5" t="str">
        <x:v>Zuordnungsvorschlag; Fachfreigabe ausstehend</x:v>
      </x:c>
      <x:c r="Q1527" s="5" t="str">
        <x:v>Bestehendes Lernthema fachlich unter passendem Rahmenplan-Unterbereich behalten</x:v>
      </x:c>
      <x:c r="R1527" s="5" t="str">
        <x:v>Was sind qualitative und quantitative Ziele?</x:v>
      </x:c>
      <x:c r="S1527" s="5" t="str">
        <x:v>39fbe43159a787a0af56b3688d3c0a0ade7c264f273405ed80c161f9a04fdb63</x:v>
      </x:c>
    </x:row>
    <x:row r="1528" ht="36" customHeight="1">
      <x:c r="A1528" s="5" t="str">
        <x:v>BM-0083</x:v>
      </x:c>
      <x:c r="B1528" s="5" t="str">
        <x:v>HQ</x:v>
      </x:c>
      <x:c r="C1528" s="5" t="str">
        <x:v>5</x:v>
      </x:c>
      <x:c r="D1528" s="5" t="str">
        <x:v>Betriebliches Management</x:v>
      </x:c>
      <x:c r="E1528" s="5" t="str">
        <x:v>Betriebliches Management</x:v>
      </x:c>
      <x:c r="F1528" s="5" t="str">
        <x:v>ui-hq-0013</x:v>
      </x:c>
      <x:c r="G1528" s="5" t="str">
        <x:v>Betriebliche Planungsprozesse</x:v>
      </x:c>
      <x:c r="H1528" s="5" t="str">
        <x:v>dg-hq-0080</x:v>
      </x:c>
      <x:c r="I1528" s="5" t="str">
        <x:v>5.1.1</x:v>
      </x:c>
      <x:c r="J1528" s="5" t="str">
        <x:v>Betriebliches Zielsystem</x:v>
      </x:c>
      <x:c r="K1528" s="5" t="str"/>
      <x:c r="L1528" s="5" t="str">
        <x:v>Betriebliches Zielsystem &amp; Zielbildung</x:v>
      </x:c>
      <x:c r="M1528" s="5" t="n">
        <x:v>78</x:v>
      </x:c>
      <x:c r="N1528" s="5" t="n">
        <x:v>75</x:v>
      </x:c>
      <x:c r="O1528" s="5" t="str"/>
      <x:c r="P1528" s="5" t="str">
        <x:v>Zuordnungsvorschlag; Fachfreigabe ausstehend</x:v>
      </x:c>
      <x:c r="Q1528" s="5" t="str">
        <x:v>Bestehendes Lernthema fachlich unter passendem Rahmenplan-Unterbereich behalten</x:v>
      </x:c>
      <x:c r="R1528" s="5" t="str">
        <x:v>Was sind monetäre und nicht-monetäre Ziele?</x:v>
      </x:c>
      <x:c r="S1528" s="5" t="str">
        <x:v>cc82e86c21e3b37e28a3dab4d10333c44f5fd3cc19aeb0267e57c0d762647121</x:v>
      </x:c>
    </x:row>
    <x:row r="1529" ht="36" customHeight="1">
      <x:c r="A1529" s="5" t="str">
        <x:v>BM-0084</x:v>
      </x:c>
      <x:c r="B1529" s="5" t="str">
        <x:v>HQ</x:v>
      </x:c>
      <x:c r="C1529" s="5" t="str">
        <x:v>5</x:v>
      </x:c>
      <x:c r="D1529" s="5" t="str">
        <x:v>Betriebliches Management</x:v>
      </x:c>
      <x:c r="E1529" s="5" t="str">
        <x:v>Betriebliches Management</x:v>
      </x:c>
      <x:c r="F1529" s="5" t="str">
        <x:v>ui-hq-0013</x:v>
      </x:c>
      <x:c r="G1529" s="5" t="str">
        <x:v>Betriebliche Planungsprozesse</x:v>
      </x:c>
      <x:c r="H1529" s="5" t="str">
        <x:v>dg-hq-0080</x:v>
      </x:c>
      <x:c r="I1529" s="5" t="str">
        <x:v>5.1.1</x:v>
      </x:c>
      <x:c r="J1529" s="5" t="str">
        <x:v>Betriebliches Zielsystem</x:v>
      </x:c>
      <x:c r="K1529" s="5" t="str"/>
      <x:c r="L1529" s="5" t="str">
        <x:v>Betriebliches Zielsystem &amp; Zielbildung</x:v>
      </x:c>
      <x:c r="M1529" s="5" t="n">
        <x:v>79</x:v>
      </x:c>
      <x:c r="N1529" s="5" t="n">
        <x:v>76</x:v>
      </x:c>
      <x:c r="O1529" s="5" t="str"/>
      <x:c r="P1529" s="5" t="str">
        <x:v>Zuordnungsvorschlag; Fachfreigabe ausstehend</x:v>
      </x:c>
      <x:c r="Q1529" s="5" t="str">
        <x:v>Bestehendes Lernthema fachlich unter passendem Rahmenplan-Unterbereich behalten</x:v>
      </x:c>
      <x:c r="R1529" s="5" t="str">
        <x:v>Welche Interessengruppen (Stakeholder) gibt es im Unternehmen?</x:v>
      </x:c>
      <x:c r="S1529" s="5" t="str">
        <x:v>45f893a407a9b0d5b832b00e7c31dee8331a5c0d6bdd4f77980c6d60c1e81959</x:v>
      </x:c>
    </x:row>
    <x:row r="1530" ht="36" customHeight="1">
      <x:c r="A1530" s="5" t="str">
        <x:v>BM-0085</x:v>
      </x:c>
      <x:c r="B1530" s="5" t="str">
        <x:v>HQ</x:v>
      </x:c>
      <x:c r="C1530" s="5" t="str">
        <x:v>5</x:v>
      </x:c>
      <x:c r="D1530" s="5" t="str">
        <x:v>Betriebliches Management</x:v>
      </x:c>
      <x:c r="E1530" s="5" t="str">
        <x:v>Betriebliches Management</x:v>
      </x:c>
      <x:c r="F1530" s="5" t="str">
        <x:v>ui-hq-0013</x:v>
      </x:c>
      <x:c r="G1530" s="5" t="str">
        <x:v>Betriebliche Planungsprozesse</x:v>
      </x:c>
      <x:c r="H1530" s="5" t="str">
        <x:v>dg-hq-0080</x:v>
      </x:c>
      <x:c r="I1530" s="5" t="str">
        <x:v>5.1.1</x:v>
      </x:c>
      <x:c r="J1530" s="5" t="str">
        <x:v>Betriebliches Zielsystem</x:v>
      </x:c>
      <x:c r="K1530" s="5" t="str"/>
      <x:c r="L1530" s="5" t="str">
        <x:v>Betriebliches Zielsystem &amp; Zielbildung</x:v>
      </x:c>
      <x:c r="M1530" s="5" t="n">
        <x:v>80</x:v>
      </x:c>
      <x:c r="N1530" s="5" t="n">
        <x:v>77</x:v>
      </x:c>
      <x:c r="O1530" s="5" t="str"/>
      <x:c r="P1530" s="5" t="str">
        <x:v>Zuordnungsvorschlag; Fachfreigabe ausstehend</x:v>
      </x:c>
      <x:c r="Q1530" s="5" t="str">
        <x:v>Bestehendes Lernthema fachlich unter passendem Rahmenplan-Unterbereich behalten</x:v>
      </x:c>
      <x:c r="R1530" s="5" t="str">
        <x:v>Was ist der Shareholder-Value-Ansatz?</x:v>
      </x:c>
      <x:c r="S1530" s="5" t="str">
        <x:v>9bc4fc806a9f38648045fd078348d2317355b6c5771b75d3f438bd07694cdbd0</x:v>
      </x:c>
    </x:row>
    <x:row r="1531" ht="36" customHeight="1">
      <x:c r="A1531" s="5" t="str">
        <x:v>BM-0086</x:v>
      </x:c>
      <x:c r="B1531" s="5" t="str">
        <x:v>HQ</x:v>
      </x:c>
      <x:c r="C1531" s="5" t="str">
        <x:v>5</x:v>
      </x:c>
      <x:c r="D1531" s="5" t="str">
        <x:v>Betriebliches Management</x:v>
      </x:c>
      <x:c r="E1531" s="5" t="str">
        <x:v>Betriebliches Management</x:v>
      </x:c>
      <x:c r="F1531" s="5" t="str">
        <x:v>ui-hq-0013</x:v>
      </x:c>
      <x:c r="G1531" s="5" t="str">
        <x:v>Betriebliche Planungsprozesse</x:v>
      </x:c>
      <x:c r="H1531" s="5" t="str">
        <x:v>dg-hq-0080</x:v>
      </x:c>
      <x:c r="I1531" s="5" t="str">
        <x:v>5.1.1</x:v>
      </x:c>
      <x:c r="J1531" s="5" t="str">
        <x:v>Betriebliches Zielsystem</x:v>
      </x:c>
      <x:c r="K1531" s="5" t="str"/>
      <x:c r="L1531" s="5" t="str">
        <x:v>Betriebliches Zielsystem &amp; Zielbildung</x:v>
      </x:c>
      <x:c r="M1531" s="5" t="n">
        <x:v>81</x:v>
      </x:c>
      <x:c r="N1531" s="5" t="n">
        <x:v>78</x:v>
      </x:c>
      <x:c r="O1531" s="5" t="str"/>
      <x:c r="P1531" s="5" t="str">
        <x:v>Zuordnungsvorschlag; Fachfreigabe ausstehend</x:v>
      </x:c>
      <x:c r="Q1531" s="5" t="str">
        <x:v>Bestehendes Lernthema fachlich unter passendem Rahmenplan-Unterbereich behalten</x:v>
      </x:c>
      <x:c r="R1531" s="5" t="str">
        <x:v>Was ist die Zielpyramide?</x:v>
      </x:c>
      <x:c r="S1531" s="5" t="str">
        <x:v>17674756c1a75fa1e4868016b0e6cfadd5913d4ea2b2044574a1ed8f7efab825</x:v>
      </x:c>
    </x:row>
    <x:row r="1532" ht="36" customHeight="1">
      <x:c r="A1532" s="5" t="str">
        <x:v>BM-0087</x:v>
      </x:c>
      <x:c r="B1532" s="5" t="str">
        <x:v>HQ</x:v>
      </x:c>
      <x:c r="C1532" s="5" t="str">
        <x:v>5</x:v>
      </x:c>
      <x:c r="D1532" s="5" t="str">
        <x:v>Betriebliches Management</x:v>
      </x:c>
      <x:c r="E1532" s="5" t="str">
        <x:v>Betriebliches Management</x:v>
      </x:c>
      <x:c r="F1532" s="5" t="str">
        <x:v>ui-hq-0013</x:v>
      </x:c>
      <x:c r="G1532" s="5" t="str">
        <x:v>Betriebliche Planungsprozesse</x:v>
      </x:c>
      <x:c r="H1532" s="5" t="str">
        <x:v>dg-hq-0080</x:v>
      </x:c>
      <x:c r="I1532" s="5" t="str">
        <x:v>5.1.1</x:v>
      </x:c>
      <x:c r="J1532" s="5" t="str">
        <x:v>Betriebliches Zielsystem</x:v>
      </x:c>
      <x:c r="K1532" s="5" t="str"/>
      <x:c r="L1532" s="5" t="str">
        <x:v>Betriebliches Zielsystem &amp; Zielbildung</x:v>
      </x:c>
      <x:c r="M1532" s="5" t="n">
        <x:v>82</x:v>
      </x:c>
      <x:c r="N1532" s="5" t="n">
        <x:v>79</x:v>
      </x:c>
      <x:c r="O1532" s="5" t="str"/>
      <x:c r="P1532" s="5" t="str">
        <x:v>Zuordnungsvorschlag; Fachfreigabe ausstehend</x:v>
      </x:c>
      <x:c r="Q1532" s="5" t="str">
        <x:v>Bestehendes Lernthema fachlich unter passendem Rahmenplan-Unterbereich behalten</x:v>
      </x:c>
      <x:c r="R1532" s="5" t="str">
        <x:v>Wie läuft der Zielbildungsprozess ab?</x:v>
      </x:c>
      <x:c r="S1532" s="5" t="str">
        <x:v>cb6ac682c4e6342d343d1fa42545de2b9b66405119d30ec04d93a8811ddf57cb</x:v>
      </x:c>
    </x:row>
    <x:row r="1533" ht="36" customHeight="1">
      <x:c r="A1533" s="5" t="str">
        <x:v>BM-0088</x:v>
      </x:c>
      <x:c r="B1533" s="5" t="str">
        <x:v>HQ</x:v>
      </x:c>
      <x:c r="C1533" s="5" t="str">
        <x:v>5</x:v>
      </x:c>
      <x:c r="D1533" s="5" t="str">
        <x:v>Betriebliches Management</x:v>
      </x:c>
      <x:c r="E1533" s="5" t="str">
        <x:v>Betriebliches Management</x:v>
      </x:c>
      <x:c r="F1533" s="5" t="str">
        <x:v>ui-hq-0013</x:v>
      </x:c>
      <x:c r="G1533" s="5" t="str">
        <x:v>Betriebliche Planungsprozesse</x:v>
      </x:c>
      <x:c r="H1533" s="5" t="str">
        <x:v>dg-hq-0080</x:v>
      </x:c>
      <x:c r="I1533" s="5" t="str">
        <x:v>5.1.1</x:v>
      </x:c>
      <x:c r="J1533" s="5" t="str">
        <x:v>Betriebliches Zielsystem</x:v>
      </x:c>
      <x:c r="K1533" s="5" t="str"/>
      <x:c r="L1533" s="5" t="str">
        <x:v>Betriebliches Zielsystem &amp; Zielbildung</x:v>
      </x:c>
      <x:c r="M1533" s="5" t="n">
        <x:v>83</x:v>
      </x:c>
      <x:c r="N1533" s="5" t="n">
        <x:v>80</x:v>
      </x:c>
      <x:c r="O1533" s="5" t="str"/>
      <x:c r="P1533" s="5" t="str">
        <x:v>Zuordnungsvorschlag; Fachfreigabe ausstehend</x:v>
      </x:c>
      <x:c r="Q1533" s="5" t="str">
        <x:v>Bestehendes Lernthema fachlich unter passendem Rahmenplan-Unterbereich behalten</x:v>
      </x:c>
      <x:c r="R1533" s="5" t="str">
        <x:v>Welche Schritte umfasst der Zielbildungsprozess vollständig?</x:v>
      </x:c>
      <x:c r="S1533" s="5" t="str">
        <x:v>23c64c4b9fc2cc3a78fc189bbbd7829355266d4dde46cdc837548021ccc09409</x:v>
      </x:c>
    </x:row>
    <x:row r="1534" ht="36" customHeight="1">
      <x:c r="A1534" s="5" t="str">
        <x:v>BM-0089</x:v>
      </x:c>
      <x:c r="B1534" s="5" t="str">
        <x:v>HQ</x:v>
      </x:c>
      <x:c r="C1534" s="5" t="str">
        <x:v>5</x:v>
      </x:c>
      <x:c r="D1534" s="5" t="str">
        <x:v>Betriebliches Management</x:v>
      </x:c>
      <x:c r="E1534" s="5" t="str">
        <x:v>Betriebliches Management</x:v>
      </x:c>
      <x:c r="F1534" s="5" t="str">
        <x:v>ui-hq-0013</x:v>
      </x:c>
      <x:c r="G1534" s="5" t="str">
        <x:v>Betriebliche Planungsprozesse</x:v>
      </x:c>
      <x:c r="H1534" s="5" t="str">
        <x:v>dg-hq-0080</x:v>
      </x:c>
      <x:c r="I1534" s="5" t="str">
        <x:v>5.1.1</x:v>
      </x:c>
      <x:c r="J1534" s="5" t="str">
        <x:v>Betriebliches Zielsystem</x:v>
      </x:c>
      <x:c r="K1534" s="5" t="str"/>
      <x:c r="L1534" s="5" t="str">
        <x:v>Betriebliches Zielsystem &amp; Zielbildung</x:v>
      </x:c>
      <x:c r="M1534" s="5" t="n">
        <x:v>84</x:v>
      </x:c>
      <x:c r="N1534" s="5" t="n">
        <x:v>81</x:v>
      </x:c>
      <x:c r="O1534" s="5" t="str"/>
      <x:c r="P1534" s="5" t="str">
        <x:v>Zuordnungsvorschlag; Fachfreigabe ausstehend</x:v>
      </x:c>
      <x:c r="Q1534" s="5" t="str">
        <x:v>Bestehendes Lernthema fachlich unter passendem Rahmenplan-Unterbereich behalten</x:v>
      </x:c>
      <x:c r="R1534" s="5" t="str">
        <x:v>Was passiert in der Phase „Zielgenehmigung“?</x:v>
      </x:c>
      <x:c r="S1534" s="5" t="str">
        <x:v>391c282ae1736d5dc3517c67d602e96d4c2fae1173f1cb48a0916686a9ff4572</x:v>
      </x:c>
    </x:row>
    <x:row r="1535" ht="36" customHeight="1">
      <x:c r="A1535" s="5" t="str">
        <x:v>BM-0090</x:v>
      </x:c>
      <x:c r="B1535" s="5" t="str">
        <x:v>HQ</x:v>
      </x:c>
      <x:c r="C1535" s="5" t="str">
        <x:v>5</x:v>
      </x:c>
      <x:c r="D1535" s="5" t="str">
        <x:v>Betriebliches Management</x:v>
      </x:c>
      <x:c r="E1535" s="5" t="str">
        <x:v>Betriebliches Management</x:v>
      </x:c>
      <x:c r="F1535" s="5" t="str">
        <x:v>ui-hq-0013</x:v>
      </x:c>
      <x:c r="G1535" s="5" t="str">
        <x:v>Betriebliche Planungsprozesse</x:v>
      </x:c>
      <x:c r="H1535" s="5" t="str">
        <x:v>dg-hq-0080</x:v>
      </x:c>
      <x:c r="I1535" s="5" t="str">
        <x:v>5.1.1</x:v>
      </x:c>
      <x:c r="J1535" s="5" t="str">
        <x:v>Betriebliches Zielsystem</x:v>
      </x:c>
      <x:c r="K1535" s="5" t="str"/>
      <x:c r="L1535" s="5" t="str">
        <x:v>Betriebliches Zielsystem &amp; Zielbildung</x:v>
      </x:c>
      <x:c r="M1535" s="5" t="n">
        <x:v>85</x:v>
      </x:c>
      <x:c r="N1535" s="5" t="n">
        <x:v>82</x:v>
      </x:c>
      <x:c r="O1535" s="5" t="str"/>
      <x:c r="P1535" s="5" t="str">
        <x:v>Zuordnungsvorschlag; Fachfreigabe ausstehend</x:v>
      </x:c>
      <x:c r="Q1535" s="5" t="str">
        <x:v>Bestehendes Lernthema fachlich unter passendem Rahmenplan-Unterbereich behalten</x:v>
      </x:c>
      <x:c r="R1535" s="5" t="str">
        <x:v>Was umfasst die Phase „Ziele umsetzen und prüfen“?</x:v>
      </x:c>
      <x:c r="S1535" s="5" t="str">
        <x:v>6042230b2160f4dda8618f918cbb0e5986acd1c5a435c23b0da601d81f7a21fd</x:v>
      </x:c>
    </x:row>
    <x:row r="1536" ht="36" customHeight="1">
      <x:c r="A1536" s="5" t="str">
        <x:v>BM-0091</x:v>
      </x:c>
      <x:c r="B1536" s="5" t="str">
        <x:v>HQ</x:v>
      </x:c>
      <x:c r="C1536" s="5" t="str">
        <x:v>5</x:v>
      </x:c>
      <x:c r="D1536" s="5" t="str">
        <x:v>Betriebliches Management</x:v>
      </x:c>
      <x:c r="E1536" s="5" t="str">
        <x:v>Betriebliches Management</x:v>
      </x:c>
      <x:c r="F1536" s="5" t="str">
        <x:v>ui-hq-0013</x:v>
      </x:c>
      <x:c r="G1536" s="5" t="str">
        <x:v>Betriebliche Planungsprozesse</x:v>
      </x:c>
      <x:c r="H1536" s="5" t="str">
        <x:v>dg-hq-0081</x:v>
      </x:c>
      <x:c r="I1536" s="5" t="str">
        <x:v>5.1.3</x:v>
      </x:c>
      <x:c r="J1536" s="5" t="str">
        <x:v>Zusammenhang zwischen strategischer und operativer Planung</x:v>
      </x:c>
      <x:c r="K1536" s="5" t="str"/>
      <x:c r="L1536" s="5" t="str">
        <x:v>Planung, Strategie &amp; Kennzahlen</x:v>
      </x:c>
      <x:c r="M1536" s="5" t="n">
        <x:v>86</x:v>
      </x:c>
      <x:c r="N1536" s="5" t="n">
        <x:v>3</x:v>
      </x:c>
      <x:c r="O1536" s="5" t="str"/>
      <x:c r="P1536" s="5" t="str">
        <x:v>Zuordnungsvorschlag; Fachfreigabe ausstehend</x:v>
      </x:c>
      <x:c r="Q1536" s="5" t="str">
        <x:v>Bestehendes Lernthema fachlich unter passendem Rahmenplan-Unterbereich behalten</x:v>
      </x:c>
      <x:c r="R1536" s="5" t="str">
        <x:v>Was versteht man unter Planung im Unternehmen?</x:v>
      </x:c>
      <x:c r="S1536" s="5" t="str">
        <x:v>6af08dbfc1cadc2b1420d547c4e94272a41dccf425d347393caae26744005b63</x:v>
      </x:c>
    </x:row>
    <x:row r="1537" ht="36" customHeight="1">
      <x:c r="A1537" s="5" t="str">
        <x:v>BM-0092</x:v>
      </x:c>
      <x:c r="B1537" s="5" t="str">
        <x:v>HQ</x:v>
      </x:c>
      <x:c r="C1537" s="5" t="str">
        <x:v>5</x:v>
      </x:c>
      <x:c r="D1537" s="5" t="str">
        <x:v>Betriebliches Management</x:v>
      </x:c>
      <x:c r="E1537" s="5" t="str">
        <x:v>Betriebliches Management</x:v>
      </x:c>
      <x:c r="F1537" s="5" t="str">
        <x:v>ui-hq-0013</x:v>
      </x:c>
      <x:c r="G1537" s="5" t="str">
        <x:v>Betriebliche Planungsprozesse</x:v>
      </x:c>
      <x:c r="H1537" s="5" t="str">
        <x:v>dg-hq-0081</x:v>
      </x:c>
      <x:c r="I1537" s="5" t="str">
        <x:v>5.1.3</x:v>
      </x:c>
      <x:c r="J1537" s="5" t="str">
        <x:v>Zusammenhang zwischen strategischer und operativer Planung</x:v>
      </x:c>
      <x:c r="K1537" s="5" t="str"/>
      <x:c r="L1537" s="5" t="str">
        <x:v>Planung, Strategie &amp; Kennzahlen</x:v>
      </x:c>
      <x:c r="M1537" s="5" t="n">
        <x:v>87</x:v>
      </x:c>
      <x:c r="N1537" s="5" t="n">
        <x:v>4</x:v>
      </x:c>
      <x:c r="O1537" s="5" t="str"/>
      <x:c r="P1537" s="5" t="str">
        <x:v>Zuordnungsvorschlag; Fachfreigabe ausstehend</x:v>
      </x:c>
      <x:c r="Q1537" s="5" t="str">
        <x:v>Bestehendes Lernthema fachlich unter passendem Rahmenplan-Unterbereich behalten</x:v>
      </x:c>
      <x:c r="R1537" s="5" t="str">
        <x:v>Welche Vorteile hat Planung?</x:v>
      </x:c>
      <x:c r="S1537" s="5" t="str">
        <x:v>41e17fea9f126c1188389cf9d29362ebecb50199dfd09c56473cf763b82f4922</x:v>
      </x:c>
    </x:row>
    <x:row r="1538" ht="36" customHeight="1">
      <x:c r="A1538" s="5" t="str">
        <x:v>BM-0093</x:v>
      </x:c>
      <x:c r="B1538" s="5" t="str">
        <x:v>HQ</x:v>
      </x:c>
      <x:c r="C1538" s="5" t="str">
        <x:v>5</x:v>
      </x:c>
      <x:c r="D1538" s="5" t="str">
        <x:v>Betriebliches Management</x:v>
      </x:c>
      <x:c r="E1538" s="5" t="str">
        <x:v>Betriebliches Management</x:v>
      </x:c>
      <x:c r="F1538" s="5" t="str">
        <x:v>ui-hq-0013</x:v>
      </x:c>
      <x:c r="G1538" s="5" t="str">
        <x:v>Betriebliche Planungsprozesse</x:v>
      </x:c>
      <x:c r="H1538" s="5" t="str">
        <x:v>dg-hq-0081</x:v>
      </x:c>
      <x:c r="I1538" s="5" t="str">
        <x:v>5.1.3</x:v>
      </x:c>
      <x:c r="J1538" s="5" t="str">
        <x:v>Zusammenhang zwischen strategischer und operativer Planung</x:v>
      </x:c>
      <x:c r="K1538" s="5" t="str"/>
      <x:c r="L1538" s="5" t="str">
        <x:v>Planung, Strategie &amp; Kennzahlen</x:v>
      </x:c>
      <x:c r="M1538" s="5" t="n">
        <x:v>88</x:v>
      </x:c>
      <x:c r="N1538" s="5" t="n">
        <x:v>5</x:v>
      </x:c>
      <x:c r="O1538" s="5" t="str"/>
      <x:c r="P1538" s="5" t="str">
        <x:v>Zuordnungsvorschlag; Fachfreigabe ausstehend</x:v>
      </x:c>
      <x:c r="Q1538" s="5" t="str">
        <x:v>Bestehendes Lernthema fachlich unter passendem Rahmenplan-Unterbereich behalten</x:v>
      </x:c>
      <x:c r="R1538" s="5" t="str">
        <x:v>Welche Nachteile hat Planung?</x:v>
      </x:c>
      <x:c r="S1538" s="5" t="str">
        <x:v>81213bbcfb24c833c720b95c3b094b11b650e64d361144b8e4423806b237fd01</x:v>
      </x:c>
    </x:row>
    <x:row r="1539" ht="36" customHeight="1">
      <x:c r="A1539" s="5" t="str">
        <x:v>BM-0094</x:v>
      </x:c>
      <x:c r="B1539" s="5" t="str">
        <x:v>HQ</x:v>
      </x:c>
      <x:c r="C1539" s="5" t="str">
        <x:v>5</x:v>
      </x:c>
      <x:c r="D1539" s="5" t="str">
        <x:v>Betriebliches Management</x:v>
      </x:c>
      <x:c r="E1539" s="5" t="str">
        <x:v>Betriebliches Management</x:v>
      </x:c>
      <x:c r="F1539" s="5" t="str">
        <x:v>ui-hq-0013</x:v>
      </x:c>
      <x:c r="G1539" s="5" t="str">
        <x:v>Betriebliche Planungsprozesse</x:v>
      </x:c>
      <x:c r="H1539" s="5" t="str">
        <x:v>dg-hq-0081</x:v>
      </x:c>
      <x:c r="I1539" s="5" t="str">
        <x:v>5.1.3</x:v>
      </x:c>
      <x:c r="J1539" s="5" t="str">
        <x:v>Zusammenhang zwischen strategischer und operativer Planung</x:v>
      </x:c>
      <x:c r="K1539" s="5" t="str"/>
      <x:c r="L1539" s="5" t="str">
        <x:v>Planung, Strategie &amp; Kennzahlen</x:v>
      </x:c>
      <x:c r="M1539" s="5" t="n">
        <x:v>89</x:v>
      </x:c>
      <x:c r="N1539" s="5" t="n">
        <x:v>6</x:v>
      </x:c>
      <x:c r="O1539" s="5" t="str"/>
      <x:c r="P1539" s="5" t="str">
        <x:v>Zuordnungsvorschlag; Fachfreigabe ausstehend</x:v>
      </x:c>
      <x:c r="Q1539" s="5" t="str">
        <x:v>Bestehendes Lernthema fachlich unter passendem Rahmenplan-Unterbereich behalten</x:v>
      </x:c>
      <x:c r="R1539" s="5" t="str">
        <x:v>Welche Planungsebenen gibt es?</x:v>
      </x:c>
      <x:c r="S1539" s="5" t="str">
        <x:v>c0d9b75d6aca8e72e97d7803ecade730108d74596450a1196066d752310e4c38</x:v>
      </x:c>
    </x:row>
    <x:row r="1540" ht="36" customHeight="1">
      <x:c r="A1540" s="5" t="str">
        <x:v>BM-0095</x:v>
      </x:c>
      <x:c r="B1540" s="5" t="str">
        <x:v>HQ</x:v>
      </x:c>
      <x:c r="C1540" s="5" t="str">
        <x:v>5</x:v>
      </x:c>
      <x:c r="D1540" s="5" t="str">
        <x:v>Betriebliches Management</x:v>
      </x:c>
      <x:c r="E1540" s="5" t="str">
        <x:v>Betriebliches Management</x:v>
      </x:c>
      <x:c r="F1540" s="5" t="str">
        <x:v>ui-hq-0013</x:v>
      </x:c>
      <x:c r="G1540" s="5" t="str">
        <x:v>Betriebliche Planungsprozesse</x:v>
      </x:c>
      <x:c r="H1540" s="5" t="str">
        <x:v>dg-hq-0081</x:v>
      </x:c>
      <x:c r="I1540" s="5" t="str">
        <x:v>5.1.3</x:v>
      </x:c>
      <x:c r="J1540" s="5" t="str">
        <x:v>Zusammenhang zwischen strategischer und operativer Planung</x:v>
      </x:c>
      <x:c r="K1540" s="5" t="str"/>
      <x:c r="L1540" s="5" t="str">
        <x:v>Planung, Strategie &amp; Kennzahlen</x:v>
      </x:c>
      <x:c r="M1540" s="5" t="n">
        <x:v>90</x:v>
      </x:c>
      <x:c r="N1540" s="5" t="n">
        <x:v>7</x:v>
      </x:c>
      <x:c r="O1540" s="5" t="str"/>
      <x:c r="P1540" s="5" t="str">
        <x:v>Zuordnungsvorschlag; Fachfreigabe ausstehend</x:v>
      </x:c>
      <x:c r="Q1540" s="5" t="str">
        <x:v>Bestehendes Lernthema fachlich unter passendem Rahmenplan-Unterbereich behalten</x:v>
      </x:c>
      <x:c r="R1540" s="5" t="str">
        <x:v>Wodurch zeichnet sich strategische Planung aus?</x:v>
      </x:c>
      <x:c r="S1540" s="5" t="str">
        <x:v>d605a2212977f705568b540097d775a5dc10838b9733d4f01c4fd39cb6045941</x:v>
      </x:c>
    </x:row>
    <x:row r="1541" ht="36" customHeight="1">
      <x:c r="A1541" s="5" t="str">
        <x:v>BM-0096</x:v>
      </x:c>
      <x:c r="B1541" s="5" t="str">
        <x:v>HQ</x:v>
      </x:c>
      <x:c r="C1541" s="5" t="str">
        <x:v>5</x:v>
      </x:c>
      <x:c r="D1541" s="5" t="str">
        <x:v>Betriebliches Management</x:v>
      </x:c>
      <x:c r="E1541" s="5" t="str">
        <x:v>Betriebliches Management</x:v>
      </x:c>
      <x:c r="F1541" s="5" t="str">
        <x:v>ui-hq-0013</x:v>
      </x:c>
      <x:c r="G1541" s="5" t="str">
        <x:v>Betriebliche Planungsprozesse</x:v>
      </x:c>
      <x:c r="H1541" s="5" t="str">
        <x:v>dg-hq-0081</x:v>
      </x:c>
      <x:c r="I1541" s="5" t="str">
        <x:v>5.1.3</x:v>
      </x:c>
      <x:c r="J1541" s="5" t="str">
        <x:v>Zusammenhang zwischen strategischer und operativer Planung</x:v>
      </x:c>
      <x:c r="K1541" s="5" t="str"/>
      <x:c r="L1541" s="5" t="str">
        <x:v>Planung, Strategie &amp; Kennzahlen</x:v>
      </x:c>
      <x:c r="M1541" s="5" t="n">
        <x:v>91</x:v>
      </x:c>
      <x:c r="N1541" s="5" t="n">
        <x:v>8</x:v>
      </x:c>
      <x:c r="O1541" s="5" t="str"/>
      <x:c r="P1541" s="5" t="str">
        <x:v>Zuordnungsvorschlag; Fachfreigabe ausstehend</x:v>
      </x:c>
      <x:c r="Q1541" s="5" t="str">
        <x:v>Bestehendes Lernthema fachlich unter passendem Rahmenplan-Unterbereich behalten</x:v>
      </x:c>
      <x:c r="R1541" s="5" t="str">
        <x:v>Wodurch zeichnet sich operative Planung aus?</x:v>
      </x:c>
      <x:c r="S1541" s="5" t="str">
        <x:v>d20b4048e17e024ca5c738872df3a9e4edcf19865be41d02afdf246dd6157784</x:v>
      </x:c>
    </x:row>
    <x:row r="1542" ht="36" customHeight="1">
      <x:c r="A1542" s="5" t="str">
        <x:v>BM-0097</x:v>
      </x:c>
      <x:c r="B1542" s="5" t="str">
        <x:v>HQ</x:v>
      </x:c>
      <x:c r="C1542" s="5" t="str">
        <x:v>5</x:v>
      </x:c>
      <x:c r="D1542" s="5" t="str">
        <x:v>Betriebliches Management</x:v>
      </x:c>
      <x:c r="E1542" s="5" t="str">
        <x:v>Betriebliches Management</x:v>
      </x:c>
      <x:c r="F1542" s="5" t="str">
        <x:v>ui-hq-0013</x:v>
      </x:c>
      <x:c r="G1542" s="5" t="str">
        <x:v>Betriebliche Planungsprozesse</x:v>
      </x:c>
      <x:c r="H1542" s="5" t="str">
        <x:v>dg-hq-0080</x:v>
      </x:c>
      <x:c r="I1542" s="5" t="str">
        <x:v>5.1.1</x:v>
      </x:c>
      <x:c r="J1542" s="5" t="str">
        <x:v>Betriebliches Zielsystem</x:v>
      </x:c>
      <x:c r="K1542" s="5" t="str"/>
      <x:c r="L1542" s="5" t="str">
        <x:v>Managementgrundlagen</x:v>
      </x:c>
      <x:c r="M1542" s="5" t="n">
        <x:v>92</x:v>
      </x:c>
      <x:c r="N1542" s="5" t="n">
        <x:v>83</x:v>
      </x:c>
      <x:c r="O1542" s="5" t="str"/>
      <x:c r="P1542" s="5" t="str">
        <x:v>Zuordnungsvorschlag; Fachfreigabe ausstehend</x:v>
      </x:c>
      <x:c r="Q1542" s="5" t="str">
        <x:v>Bestehendes Lernthema fachlich unter passendem Rahmenplan-Unterbereich behalten</x:v>
      </x:c>
      <x:c r="R1542" s="5" t="str">
        <x:v>Ordnen Sie typische Merkmale der institutionellen oder der funktionalen Sicht des Managements zu.</x:v>
      </x:c>
      <x:c r="S1542" s="5" t="str">
        <x:v>e12adb94d330e16071e6a3e41dad5722d13427f482791ebdf076024f34521140</x:v>
      </x:c>
    </x:row>
    <x:row r="1543" ht="36" customHeight="1">
      <x:c r="A1543" s="5" t="str">
        <x:v>BM-0098</x:v>
      </x:c>
      <x:c r="B1543" s="5" t="str">
        <x:v>HQ</x:v>
      </x:c>
      <x:c r="C1543" s="5" t="str">
        <x:v>5</x:v>
      </x:c>
      <x:c r="D1543" s="5" t="str">
        <x:v>Betriebliches Management</x:v>
      </x:c>
      <x:c r="E1543" s="5" t="str">
        <x:v>Betriebliches Management</x:v>
      </x:c>
      <x:c r="F1543" s="5" t="str">
        <x:v>ui-hq-0013</x:v>
      </x:c>
      <x:c r="G1543" s="5" t="str">
        <x:v>Betriebliche Planungsprozesse</x:v>
      </x:c>
      <x:c r="H1543" s="5" t="str">
        <x:v>dg-hq-0080</x:v>
      </x:c>
      <x:c r="I1543" s="5" t="str">
        <x:v>5.1.1</x:v>
      </x:c>
      <x:c r="J1543" s="5" t="str">
        <x:v>Betriebliches Zielsystem</x:v>
      </x:c>
      <x:c r="K1543" s="5" t="str"/>
      <x:c r="L1543" s="5" t="str">
        <x:v>Managementgrundlagen</x:v>
      </x:c>
      <x:c r="M1543" s="5" t="n">
        <x:v>93</x:v>
      </x:c>
      <x:c r="N1543" s="5" t="n">
        <x:v>84</x:v>
      </x:c>
      <x:c r="O1543" s="5" t="str"/>
      <x:c r="P1543" s="5" t="str">
        <x:v>Zuordnungsvorschlag; Fachfreigabe ausstehend</x:v>
      </x:c>
      <x:c r="Q1543" s="5" t="str">
        <x:v>Bestehendes Lernthema fachlich unter passendem Rahmenplan-Unterbereich behalten</x:v>
      </x:c>
      <x:c r="R1543" s="5" t="str">
        <x:v>Aus welchen sechs Phasen besteht ein typischer Managementregelkreis und in welcher Reihenfolge laufen sie ab?</x:v>
      </x:c>
      <x:c r="S1543" s="5" t="str">
        <x:v>99e544f2d116cf71a4608ede943987b08771201fc64e36756efb9e18996e095c</x:v>
      </x:c>
    </x:row>
    <x:row r="1544" ht="36" customHeight="1">
      <x:c r="A1544" s="5" t="str">
        <x:v>BM-0099</x:v>
      </x:c>
      <x:c r="B1544" s="5" t="str">
        <x:v>HQ</x:v>
      </x:c>
      <x:c r="C1544" s="5" t="str">
        <x:v>5</x:v>
      </x:c>
      <x:c r="D1544" s="5" t="str">
        <x:v>Betriebliches Management</x:v>
      </x:c>
      <x:c r="E1544" s="5" t="str">
        <x:v>Betriebliches Management</x:v>
      </x:c>
      <x:c r="F1544" s="5" t="str">
        <x:v>ui-hq-0013</x:v>
      </x:c>
      <x:c r="G1544" s="5" t="str">
        <x:v>Betriebliche Planungsprozesse</x:v>
      </x:c>
      <x:c r="H1544" s="5" t="str">
        <x:v>dg-hq-0080</x:v>
      </x:c>
      <x:c r="I1544" s="5" t="str">
        <x:v>5.1.1</x:v>
      </x:c>
      <x:c r="J1544" s="5" t="str">
        <x:v>Betriebliches Zielsystem</x:v>
      </x:c>
      <x:c r="K1544" s="5" t="str"/>
      <x:c r="L1544" s="5" t="str">
        <x:v>Betriebliches Zielsystem &amp; Zielbildung</x:v>
      </x:c>
      <x:c r="M1544" s="5" t="n">
        <x:v>94</x:v>
      </x:c>
      <x:c r="N1544" s="5" t="n">
        <x:v>85</x:v>
      </x:c>
      <x:c r="O1544" s="5" t="str"/>
      <x:c r="P1544" s="5" t="str">
        <x:v>Zuordnungsvorschlag; Fachfreigabe ausstehend</x:v>
      </x:c>
      <x:c r="Q1544" s="5" t="str">
        <x:v>Bestehendes Lernthema fachlich unter passendem Rahmenplan-Unterbereich behalten</x:v>
      </x:c>
      <x:c r="R1544" s="5" t="str">
        <x:v>Bringen Sie die Schritte eines Zielentscheidungsprozesses von der ersten Zielsuche bis zur abschließenden Zielüberprüfung in die richtige Reihenfolge.</x:v>
      </x:c>
      <x:c r="S1544" s="5" t="str">
        <x:v>67783435ff3d2997b9af18a1986f90e7f810921a38eb7532b5fdf7190b487280</x:v>
      </x:c>
    </x:row>
    <x:row r="1545" ht="36" customHeight="1">
      <x:c r="A1545" s="5" t="str">
        <x:v>BM-0100</x:v>
      </x:c>
      <x:c r="B1545" s="5" t="str">
        <x:v>HQ</x:v>
      </x:c>
      <x:c r="C1545" s="5" t="str">
        <x:v>5</x:v>
      </x:c>
      <x:c r="D1545" s="5" t="str">
        <x:v>Betriebliches Management</x:v>
      </x:c>
      <x:c r="E1545" s="5" t="str">
        <x:v>Betriebliches Management</x:v>
      </x:c>
      <x:c r="F1545" s="5" t="str">
        <x:v>ui-hq-0013</x:v>
      </x:c>
      <x:c r="G1545" s="5" t="str">
        <x:v>Betriebliche Planungsprozesse</x:v>
      </x:c>
      <x:c r="H1545" s="5" t="str">
        <x:v>dg-hq-0080</x:v>
      </x:c>
      <x:c r="I1545" s="5" t="str">
        <x:v>5.1.1</x:v>
      </x:c>
      <x:c r="J1545" s="5" t="str">
        <x:v>Betriebliches Zielsystem</x:v>
      </x:c>
      <x:c r="K1545" s="5" t="str"/>
      <x:c r="L1545" s="5" t="str">
        <x:v>Betriebliches Zielsystem &amp; Zielbildung</x:v>
      </x:c>
      <x:c r="M1545" s="5" t="n">
        <x:v>95</x:v>
      </x:c>
      <x:c r="N1545" s="5" t="n">
        <x:v>86</x:v>
      </x:c>
      <x:c r="O1545" s="5" t="str"/>
      <x:c r="P1545" s="5" t="str">
        <x:v>Zuordnungsvorschlag; Fachfreigabe ausstehend</x:v>
      </x:c>
      <x:c r="Q1545" s="5" t="str">
        <x:v>Bestehendes Lernthema fachlich unter passendem Rahmenplan-Unterbereich behalten</x:v>
      </x:c>
      <x:c r="R1545" s="5" t="str">
        <x:v>Welche Verfahren können Unternehmen zur Zielsuche einsetzen, wie funktionieren sie und was ist unter einem Wildcard-Ereignis zu verstehen?</x:v>
      </x:c>
      <x:c r="S1545" s="5" t="str">
        <x:v>2487156c27c694f2cd8a61865042d2d77344cfbe469697893892fa4a4f2aa4bb</x:v>
      </x:c>
    </x:row>
    <x:row r="1546" ht="36" customHeight="1">
      <x:c r="A1546" s="5" t="str">
        <x:v>BM-0101</x:v>
      </x:c>
      <x:c r="B1546" s="5" t="str">
        <x:v>HQ</x:v>
      </x:c>
      <x:c r="C1546" s="5" t="str">
        <x:v>5</x:v>
      </x:c>
      <x:c r="D1546" s="5" t="str">
        <x:v>Betriebliches Management</x:v>
      </x:c>
      <x:c r="E1546" s="5" t="str">
        <x:v>Betriebliches Management</x:v>
      </x:c>
      <x:c r="F1546" s="5" t="str">
        <x:v>ui-hq-0013</x:v>
      </x:c>
      <x:c r="G1546" s="5" t="str">
        <x:v>Betriebliche Planungsprozesse</x:v>
      </x:c>
      <x:c r="H1546" s="5" t="str">
        <x:v>dg-hq-0080</x:v>
      </x:c>
      <x:c r="I1546" s="5" t="str">
        <x:v>5.1.1</x:v>
      </x:c>
      <x:c r="J1546" s="5" t="str">
        <x:v>Betriebliches Zielsystem</x:v>
      </x:c>
      <x:c r="K1546" s="5" t="str"/>
      <x:c r="L1546" s="5" t="str">
        <x:v>Betriebliches Zielsystem &amp; Zielbildung</x:v>
      </x:c>
      <x:c r="M1546" s="5" t="n">
        <x:v>96</x:v>
      </x:c>
      <x:c r="N1546" s="5" t="n">
        <x:v>87</x:v>
      </x:c>
      <x:c r="O1546" s="5" t="str"/>
      <x:c r="P1546" s="5" t="str">
        <x:v>Zuordnungsvorschlag; Fachfreigabe ausstehend</x:v>
      </x:c>
      <x:c r="Q1546" s="5" t="str">
        <x:v>Bestehendes Lernthema fachlich unter passendem Rahmenplan-Unterbereich behalten</x:v>
      </x:c>
      <x:c r="R1546" s="5" t="str">
        <x:v>Ordnen Sie typische Merkmale entweder einer Unternehmensvision oder einem konkret formulierten Ziel zu.</x:v>
      </x:c>
      <x:c r="S1546" s="5" t="str">
        <x:v>5f42a0ba413775c49140c59a4240102a0a11e25dcb17ae8086be322b84407b2d</x:v>
      </x:c>
    </x:row>
    <x:row r="1547" ht="36" customHeight="1">
      <x:c r="A1547" s="5" t="str">
        <x:v>BM-0102</x:v>
      </x:c>
      <x:c r="B1547" s="5" t="str">
        <x:v>HQ</x:v>
      </x:c>
      <x:c r="C1547" s="5" t="str">
        <x:v>5</x:v>
      </x:c>
      <x:c r="D1547" s="5" t="str">
        <x:v>Betriebliches Management</x:v>
      </x:c>
      <x:c r="E1547" s="5" t="str">
        <x:v>Betriebliches Management</x:v>
      </x:c>
      <x:c r="F1547" s="5" t="str">
        <x:v>ui-hq-0013</x:v>
      </x:c>
      <x:c r="G1547" s="5" t="str">
        <x:v>Betriebliche Planungsprozesse</x:v>
      </x:c>
      <x:c r="H1547" s="5" t="str">
        <x:v>dg-hq-0080</x:v>
      </x:c>
      <x:c r="I1547" s="5" t="str">
        <x:v>5.1.1</x:v>
      </x:c>
      <x:c r="J1547" s="5" t="str">
        <x:v>Betriebliches Zielsystem</x:v>
      </x:c>
      <x:c r="K1547" s="5" t="str"/>
      <x:c r="L1547" s="5" t="str">
        <x:v>Betriebliches Zielsystem &amp; Zielbildung</x:v>
      </x:c>
      <x:c r="M1547" s="5" t="n">
        <x:v>97</x:v>
      </x:c>
      <x:c r="N1547" s="5" t="n">
        <x:v>88</x:v>
      </x:c>
      <x:c r="O1547" s="5" t="str"/>
      <x:c r="P1547" s="5" t="str">
        <x:v>Zuordnungsvorschlag; Fachfreigabe ausstehend</x:v>
      </x:c>
      <x:c r="Q1547" s="5" t="str">
        <x:v>Bestehendes Lernthema fachlich unter passendem Rahmenplan-Unterbereich behalten</x:v>
      </x:c>
      <x:c r="R1547" s="5" t="str">
        <x:v>Ordnen Sie Aussagen eines Unternehmensleitbilds den Funktionen Orientierung, Motivation oder Vermittlung immaterieller Werte zu.</x:v>
      </x:c>
      <x:c r="S1547" s="5" t="str">
        <x:v>dd38e078aaa31d00318658534e252563196c7a64b7fb68d3ea33996e44065b46</x:v>
      </x:c>
    </x:row>
    <x:row r="1548" ht="36" customHeight="1">
      <x:c r="A1548" s="5" t="str">
        <x:v>BM-0103</x:v>
      </x:c>
      <x:c r="B1548" s="5" t="str">
        <x:v>HQ</x:v>
      </x:c>
      <x:c r="C1548" s="5" t="str">
        <x:v>5</x:v>
      </x:c>
      <x:c r="D1548" s="5" t="str">
        <x:v>Betriebliches Management</x:v>
      </x:c>
      <x:c r="E1548" s="5" t="str">
        <x:v>Betriebliches Management</x:v>
      </x:c>
      <x:c r="F1548" s="5" t="str">
        <x:v>ui-hq-0013</x:v>
      </x:c>
      <x:c r="G1548" s="5" t="str">
        <x:v>Betriebliche Planungsprozesse</x:v>
      </x:c>
      <x:c r="H1548" s="5" t="str">
        <x:v>dg-hq-0080</x:v>
      </x:c>
      <x:c r="I1548" s="5" t="str">
        <x:v>5.1.1</x:v>
      </x:c>
      <x:c r="J1548" s="5" t="str">
        <x:v>Betriebliches Zielsystem</x:v>
      </x:c>
      <x:c r="K1548" s="5" t="str"/>
      <x:c r="L1548" s="5" t="str">
        <x:v>Betriebliches Zielsystem &amp; Zielbildung</x:v>
      </x:c>
      <x:c r="M1548" s="5" t="n">
        <x:v>98</x:v>
      </x:c>
      <x:c r="N1548" s="5" t="n">
        <x:v>89</x:v>
      </x:c>
      <x:c r="O1548" s="5" t="str"/>
      <x:c r="P1548" s="5" t="str">
        <x:v>Zuordnungsvorschlag; Fachfreigabe ausstehend</x:v>
      </x:c>
      <x:c r="Q1548" s="5" t="str">
        <x:v>Bestehendes Lernthema fachlich unter passendem Rahmenplan-Unterbereich behalten</x:v>
      </x:c>
      <x:c r="R1548" s="5" t="str">
        <x:v>Nennen Sie mindestens acht Stakeholder, deren Interessen bei Unternehmensentscheidungen berücksichtigt werden können.</x:v>
      </x:c>
      <x:c r="S1548" s="5" t="str">
        <x:v>542f76c888bf244878011210e8c4176c676b7ded5bd3afebbc9a96d5314b89ed</x:v>
      </x:c>
    </x:row>
    <x:row r="1549" ht="36" customHeight="1">
      <x:c r="A1549" s="5" t="str">
        <x:v>BM-0104</x:v>
      </x:c>
      <x:c r="B1549" s="5" t="str">
        <x:v>HQ</x:v>
      </x:c>
      <x:c r="C1549" s="5" t="str">
        <x:v>5</x:v>
      </x:c>
      <x:c r="D1549" s="5" t="str">
        <x:v>Betriebliches Management</x:v>
      </x:c>
      <x:c r="E1549" s="5" t="str">
        <x:v>Betriebliches Management</x:v>
      </x:c>
      <x:c r="F1549" s="5" t="str">
        <x:v>ui-hq-0013</x:v>
      </x:c>
      <x:c r="G1549" s="5" t="str">
        <x:v>Betriebliche Planungsprozesse</x:v>
      </x:c>
      <x:c r="H1549" s="5" t="str">
        <x:v>dg-hq-0080</x:v>
      </x:c>
      <x:c r="I1549" s="5" t="str">
        <x:v>5.1.1</x:v>
      </x:c>
      <x:c r="J1549" s="5" t="str">
        <x:v>Betriebliches Zielsystem</x:v>
      </x:c>
      <x:c r="K1549" s="5" t="str"/>
      <x:c r="L1549" s="5" t="str">
        <x:v>Betriebliches Zielsystem &amp; Zielbildung</x:v>
      </x:c>
      <x:c r="M1549" s="5" t="n">
        <x:v>99</x:v>
      </x:c>
      <x:c r="N1549" s="5" t="n">
        <x:v>90</x:v>
      </x:c>
      <x:c r="O1549" s="5" t="str"/>
      <x:c r="P1549" s="5" t="str">
        <x:v>Zuordnungsvorschlag; Fachfreigabe ausstehend</x:v>
      </x:c>
      <x:c r="Q1549" s="5" t="str">
        <x:v>Bestehendes Lernthema fachlich unter passendem Rahmenplan-Unterbereich behalten</x:v>
      </x:c>
      <x:c r="R1549" s="5" t="str">
        <x:v>Grenzen Sie Unternehmensphilosophie und Unternehmenskultur voneinander ab und erläutern Sie ihre Wirkung nach innen und außen.</x:v>
      </x:c>
      <x:c r="S1549" s="5" t="str">
        <x:v>82e727645660e2f2d771973adc7c9f28f7781664e01cdae3ae5c76c038f5675d</x:v>
      </x:c>
    </x:row>
    <x:row r="1550" ht="36" customHeight="1">
      <x:c r="A1550" s="5" t="str">
        <x:v>BM-0105</x:v>
      </x:c>
      <x:c r="B1550" s="5" t="str">
        <x:v>HQ</x:v>
      </x:c>
      <x:c r="C1550" s="5" t="str">
        <x:v>5</x:v>
      </x:c>
      <x:c r="D1550" s="5" t="str">
        <x:v>Betriebliches Management</x:v>
      </x:c>
      <x:c r="E1550" s="5" t="str">
        <x:v>Betriebliches Management</x:v>
      </x:c>
      <x:c r="F1550" s="5" t="str">
        <x:v>ui-hq-0013</x:v>
      </x:c>
      <x:c r="G1550" s="5" t="str">
        <x:v>Betriebliche Planungsprozesse</x:v>
      </x:c>
      <x:c r="H1550" s="5" t="str">
        <x:v>dg-hq-0080</x:v>
      </x:c>
      <x:c r="I1550" s="5" t="str">
        <x:v>5.1.1</x:v>
      </x:c>
      <x:c r="J1550" s="5" t="str">
        <x:v>Betriebliches Zielsystem</x:v>
      </x:c>
      <x:c r="K1550" s="5" t="str"/>
      <x:c r="L1550" s="5" t="str">
        <x:v>Betriebliches Zielsystem &amp; Zielbildung</x:v>
      </x:c>
      <x:c r="M1550" s="5" t="n">
        <x:v>100</x:v>
      </x:c>
      <x:c r="N1550" s="5" t="n">
        <x:v>91</x:v>
      </x:c>
      <x:c r="O1550" s="5" t="str"/>
      <x:c r="P1550" s="5" t="str">
        <x:v>Zuordnungsvorschlag; Fachfreigabe ausstehend</x:v>
      </x:c>
      <x:c r="Q1550" s="5" t="str">
        <x:v>Bestehendes Lernthema fachlich unter passendem Rahmenplan-Unterbereich behalten</x:v>
      </x:c>
      <x:c r="R1550" s="5" t="str">
        <x:v>Erklären Sie den Stakeholder-Ansatz und den Shareholder-Ansatz und stellen Sie den zentralen Unterschied heraus.</x:v>
      </x:c>
      <x:c r="S1550" s="5" t="str">
        <x:v>80c0fd275f2a84ffd28f303d6bbdc28463037c7d01666fac8d7bb059dab85594</x:v>
      </x:c>
    </x:row>
    <x:row r="1551" ht="36" customHeight="1">
      <x:c r="A1551" s="5" t="str">
        <x:v>BM-0106</x:v>
      </x:c>
      <x:c r="B1551" s="5" t="str">
        <x:v>HQ</x:v>
      </x:c>
      <x:c r="C1551" s="5" t="str">
        <x:v>5</x:v>
      </x:c>
      <x:c r="D1551" s="5" t="str">
        <x:v>Betriebliches Management</x:v>
      </x:c>
      <x:c r="E1551" s="5" t="str">
        <x:v>Betriebliches Management</x:v>
      </x:c>
      <x:c r="F1551" s="5" t="str">
        <x:v>ui-hq-0013</x:v>
      </x:c>
      <x:c r="G1551" s="5" t="str">
        <x:v>Betriebliche Planungsprozesse</x:v>
      </x:c>
      <x:c r="H1551" s="5" t="str">
        <x:v>dg-hq-0080</x:v>
      </x:c>
      <x:c r="I1551" s="5" t="str">
        <x:v>5.1.1</x:v>
      </x:c>
      <x:c r="J1551" s="5" t="str">
        <x:v>Betriebliches Zielsystem</x:v>
      </x:c>
      <x:c r="K1551" s="5" t="str"/>
      <x:c r="L1551" s="5" t="str">
        <x:v>Betriebliches Zielsystem &amp; Zielbildung</x:v>
      </x:c>
      <x:c r="M1551" s="5" t="n">
        <x:v>101</x:v>
      </x:c>
      <x:c r="N1551" s="5" t="n">
        <x:v>92</x:v>
      </x:c>
      <x:c r="O1551" s="5" t="str"/>
      <x:c r="P1551" s="5" t="str">
        <x:v>Zuordnungsvorschlag; Fachfreigabe ausstehend</x:v>
      </x:c>
      <x:c r="Q1551" s="5" t="str">
        <x:v>Bestehendes Lernthema fachlich unter passendem Rahmenplan-Unterbereich behalten</x:v>
      </x:c>
      <x:c r="R1551" s="5" t="str">
        <x:v>Welche Voraussetzung ist für die Operationalisierung von Zielen wesentlich, wofür steht SMART und wie kann ein Ziel entsprechend formuliert werden?</x:v>
      </x:c>
      <x:c r="S1551" s="5" t="str">
        <x:v>4393d2cb057b55da75fde7aeec5cabfebbd074495bc6514b700242bb373c0c55</x:v>
      </x:c>
    </x:row>
    <x:row r="1552" ht="36" customHeight="1">
      <x:c r="A1552" s="5" t="str">
        <x:v>BM-0107</x:v>
      </x:c>
      <x:c r="B1552" s="5" t="str">
        <x:v>HQ</x:v>
      </x:c>
      <x:c r="C1552" s="5" t="str">
        <x:v>5</x:v>
      </x:c>
      <x:c r="D1552" s="5" t="str">
        <x:v>Betriebliches Management</x:v>
      </x:c>
      <x:c r="E1552" s="5" t="str">
        <x:v>Betriebliches Management</x:v>
      </x:c>
      <x:c r="F1552" s="5" t="str">
        <x:v>ui-hq-0013</x:v>
      </x:c>
      <x:c r="G1552" s="5" t="str">
        <x:v>Betriebliche Planungsprozesse</x:v>
      </x:c>
      <x:c r="H1552" s="5" t="str">
        <x:v>dg-hq-0080</x:v>
      </x:c>
      <x:c r="I1552" s="5" t="str">
        <x:v>5.1.1</x:v>
      </x:c>
      <x:c r="J1552" s="5" t="str">
        <x:v>Betriebliches Zielsystem</x:v>
      </x:c>
      <x:c r="K1552" s="5" t="str"/>
      <x:c r="L1552" s="5" t="str">
        <x:v>Betriebliches Zielsystem &amp; Zielbildung</x:v>
      </x:c>
      <x:c r="M1552" s="5" t="n">
        <x:v>102</x:v>
      </x:c>
      <x:c r="N1552" s="5" t="n">
        <x:v>93</x:v>
      </x:c>
      <x:c r="O1552" s="5" t="str"/>
      <x:c r="P1552" s="5" t="str">
        <x:v>Zuordnungsvorschlag; Fachfreigabe ausstehend</x:v>
      </x:c>
      <x:c r="Q1552" s="5" t="str">
        <x:v>Bestehendes Lernthema fachlich unter passendem Rahmenplan-Unterbereich behalten</x:v>
      </x:c>
      <x:c r="R1552" s="5" t="str">
        <x:v>Unterscheiden Sie monetäre und bonitäre Unternehmensziele und ordnen Sie typische Zielinhalte den beiden Kategorien zu.</x:v>
      </x:c>
      <x:c r="S1552" s="5" t="str">
        <x:v>032ad3605360aecf4d1caaee6ad6d1640f11480b9c85463b6be3fccaa8f7d981</x:v>
      </x:c>
    </x:row>
    <x:row r="1553" ht="36" customHeight="1">
      <x:c r="A1553" s="5" t="str">
        <x:v>BM-0108</x:v>
      </x:c>
      <x:c r="B1553" s="5" t="str">
        <x:v>HQ</x:v>
      </x:c>
      <x:c r="C1553" s="5" t="str">
        <x:v>5</x:v>
      </x:c>
      <x:c r="D1553" s="5" t="str">
        <x:v>Betriebliches Management</x:v>
      </x:c>
      <x:c r="E1553" s="5" t="str">
        <x:v>Betriebliches Management</x:v>
      </x:c>
      <x:c r="F1553" s="5" t="str">
        <x:v>ui-hq-0013</x:v>
      </x:c>
      <x:c r="G1553" s="5" t="str">
        <x:v>Betriebliche Planungsprozesse</x:v>
      </x:c>
      <x:c r="H1553" s="5" t="str">
        <x:v>dg-hq-0080</x:v>
      </x:c>
      <x:c r="I1553" s="5" t="str">
        <x:v>5.1.1</x:v>
      </x:c>
      <x:c r="J1553" s="5" t="str">
        <x:v>Betriebliches Zielsystem</x:v>
      </x:c>
      <x:c r="K1553" s="5" t="str"/>
      <x:c r="L1553" s="5" t="str">
        <x:v>Betriebliches Zielsystem &amp; Zielbildung</x:v>
      </x:c>
      <x:c r="M1553" s="5" t="n">
        <x:v>103</x:v>
      </x:c>
      <x:c r="N1553" s="5" t="n">
        <x:v>94</x:v>
      </x:c>
      <x:c r="O1553" s="5" t="str"/>
      <x:c r="P1553" s="5" t="str">
        <x:v>Zuordnungsvorschlag; Fachfreigabe ausstehend</x:v>
      </x:c>
      <x:c r="Q1553" s="5" t="str">
        <x:v>Bestehendes Lernthema fachlich unter passendem Rahmenplan-Unterbereich behalten</x:v>
      </x:c>
      <x:c r="R1553" s="5" t="str">
        <x:v>Aus welchen drei Säulen besteht das Drei-Säulen-Modell der Nachhaltigkeit und welche konkreten Zielsetzungen können den einzelnen Säulen zugeordnet werden?</x:v>
      </x:c>
      <x:c r="S1553" s="5" t="str">
        <x:v>1b926468ff09b1343802c877f592dc07988b7c5d7020a3d91720afcc397ffacc</x:v>
      </x:c>
    </x:row>
    <x:row r="1554" ht="36" customHeight="1">
      <x:c r="A1554" s="5" t="str">
        <x:v>BM-0109</x:v>
      </x:c>
      <x:c r="B1554" s="5" t="str">
        <x:v>HQ</x:v>
      </x:c>
      <x:c r="C1554" s="5" t="str">
        <x:v>5</x:v>
      </x:c>
      <x:c r="D1554" s="5" t="str">
        <x:v>Betriebliches Management</x:v>
      </x:c>
      <x:c r="E1554" s="5" t="str">
        <x:v>Betriebliches Management</x:v>
      </x:c>
      <x:c r="F1554" s="5" t="str">
        <x:v>ui-hq-0013</x:v>
      </x:c>
      <x:c r="G1554" s="5" t="str">
        <x:v>Betriebliche Planungsprozesse</x:v>
      </x:c>
      <x:c r="H1554" s="5" t="str">
        <x:v>dg-hq-0080</x:v>
      </x:c>
      <x:c r="I1554" s="5" t="str">
        <x:v>5.1.1</x:v>
      </x:c>
      <x:c r="J1554" s="5" t="str">
        <x:v>Betriebliches Zielsystem</x:v>
      </x:c>
      <x:c r="K1554" s="5" t="str"/>
      <x:c r="L1554" s="5" t="str">
        <x:v>Betriebliches Zielsystem &amp; Zielbildung</x:v>
      </x:c>
      <x:c r="M1554" s="5" t="n">
        <x:v>104</x:v>
      </x:c>
      <x:c r="N1554" s="5" t="n">
        <x:v>95</x:v>
      </x:c>
      <x:c r="O1554" s="5" t="str"/>
      <x:c r="P1554" s="5" t="str">
        <x:v>Zuordnungsvorschlag; Fachfreigabe ausstehend</x:v>
      </x:c>
      <x:c r="Q1554" s="5" t="str">
        <x:v>Bestehendes Lernthema fachlich unter passendem Rahmenplan-Unterbereich behalten</x:v>
      </x:c>
      <x:c r="R1554" s="5" t="str">
        <x:v>Ordnen Sie typische Zielpaare als konkurrierend, indifferent oder komplementär ein.</x:v>
      </x:c>
      <x:c r="S1554" s="5" t="str">
        <x:v>6e9c83bbe4a688f135140cda9affc164941792dc944902f31cd1f92d00c96f37</x:v>
      </x:c>
    </x:row>
    <x:row r="1555" ht="36" customHeight="1">
      <x:c r="A1555" s="5" t="str">
        <x:v>BM-0110</x:v>
      </x:c>
      <x:c r="B1555" s="5" t="str">
        <x:v>HQ</x:v>
      </x:c>
      <x:c r="C1555" s="5" t="str">
        <x:v>5</x:v>
      </x:c>
      <x:c r="D1555" s="5" t="str">
        <x:v>Betriebliches Management</x:v>
      </x:c>
      <x:c r="E1555" s="5" t="str">
        <x:v>Betriebliches Management</x:v>
      </x:c>
      <x:c r="F1555" s="5" t="str">
        <x:v>ui-hq-0013</x:v>
      </x:c>
      <x:c r="G1555" s="5" t="str">
        <x:v>Betriebliche Planungsprozesse</x:v>
      </x:c>
      <x:c r="H1555" s="5" t="str">
        <x:v>dg-hq-0080</x:v>
      </x:c>
      <x:c r="I1555" s="5" t="str">
        <x:v>5.1.1</x:v>
      </x:c>
      <x:c r="J1555" s="5" t="str">
        <x:v>Betriebliches Zielsystem</x:v>
      </x:c>
      <x:c r="K1555" s="5" t="str"/>
      <x:c r="L1555" s="5" t="str">
        <x:v>Betriebliches Zielsystem &amp; Zielbildung</x:v>
      </x:c>
      <x:c r="M1555" s="5" t="n">
        <x:v>105</x:v>
      </x:c>
      <x:c r="N1555" s="5" t="n">
        <x:v>96</x:v>
      </x:c>
      <x:c r="O1555" s="5" t="str"/>
      <x:c r="P1555" s="5" t="str">
        <x:v>Zuordnungsvorschlag; Fachfreigabe ausstehend</x:v>
      </x:c>
      <x:c r="Q1555" s="5" t="str">
        <x:v>Bestehendes Lernthema fachlich unter passendem Rahmenplan-Unterbereich behalten</x:v>
      </x:c>
      <x:c r="R1555" s="5" t="str">
        <x:v>Im betrieblichen Management von Circle Harbor: Wie kann ein Unternehmen für die Einführung eines neuen Premiumprodukts systematisch ein Zielsystem entwickeln und welche Grundregel ist dabei zu beachten?</x:v>
      </x:c>
      <x:c r="S1555" s="5" t="str">
        <x:v>7879a9922aa9727372bc83df30942f92b465cff33c393685ed12a9ce1eb93d01</x:v>
      </x:c>
    </x:row>
    <x:row r="1556" ht="36" customHeight="1">
      <x:c r="A1556" s="5" t="str">
        <x:v>BM-0111</x:v>
      </x:c>
      <x:c r="B1556" s="5" t="str">
        <x:v>HQ</x:v>
      </x:c>
      <x:c r="C1556" s="5" t="str">
        <x:v>5</x:v>
      </x:c>
      <x:c r="D1556" s="5" t="str">
        <x:v>Betriebliches Management</x:v>
      </x:c>
      <x:c r="E1556" s="5" t="str">
        <x:v>Betriebliches Management</x:v>
      </x:c>
      <x:c r="F1556" s="5" t="str">
        <x:v>ui-hq-0013</x:v>
      </x:c>
      <x:c r="G1556" s="5" t="str">
        <x:v>Betriebliche Planungsprozesse</x:v>
      </x:c>
      <x:c r="H1556" s="5" t="str">
        <x:v>dg-hq-0081</x:v>
      </x:c>
      <x:c r="I1556" s="5" t="str">
        <x:v>5.1.3</x:v>
      </x:c>
      <x:c r="J1556" s="5" t="str">
        <x:v>Zusammenhang zwischen strategischer und operativer Planung</x:v>
      </x:c>
      <x:c r="K1556" s="5" t="str"/>
      <x:c r="L1556" s="5" t="str">
        <x:v>Planung, Strategie &amp; Kennzahlen</x:v>
      </x:c>
      <x:c r="M1556" s="5" t="n">
        <x:v>106</x:v>
      </x:c>
      <x:c r="N1556" s="5" t="n">
        <x:v>9</x:v>
      </x:c>
      <x:c r="O1556" s="5" t="str"/>
      <x:c r="P1556" s="5" t="str">
        <x:v>Zuordnungsvorschlag; Fachfreigabe ausstehend</x:v>
      </x:c>
      <x:c r="Q1556" s="5" t="str">
        <x:v>Bestehendes Lernthema fachlich unter passendem Rahmenplan-Unterbereich behalten</x:v>
      </x:c>
      <x:c r="R1556" s="5" t="str">
        <x:v>Welche Analysen führen von unternehmenspolitischen Zielsetzungen zu strategischen Unternehmenszielen und wie hängen die Ergebnisse zusammen?</x:v>
      </x:c>
      <x:c r="S1556" s="5" t="str">
        <x:v>7841c4832a935d62d083dcc529032306159bcf4495427daefa1a140ed78172f9</x:v>
      </x:c>
    </x:row>
    <x:row r="1557" ht="36" customHeight="1">
      <x:c r="A1557" s="5" t="str">
        <x:v>BM-0112</x:v>
      </x:c>
      <x:c r="B1557" s="5" t="str">
        <x:v>HQ</x:v>
      </x:c>
      <x:c r="C1557" s="5" t="str">
        <x:v>5</x:v>
      </x:c>
      <x:c r="D1557" s="5" t="str">
        <x:v>Betriebliches Management</x:v>
      </x:c>
      <x:c r="E1557" s="5" t="str">
        <x:v>Betriebliches Management</x:v>
      </x:c>
      <x:c r="F1557" s="5" t="str">
        <x:v>ui-hq-0013</x:v>
      </x:c>
      <x:c r="G1557" s="5" t="str">
        <x:v>Betriebliche Planungsprozesse</x:v>
      </x:c>
      <x:c r="H1557" s="5" t="str">
        <x:v>dg-hq-0081</x:v>
      </x:c>
      <x:c r="I1557" s="5" t="str">
        <x:v>5.1.3</x:v>
      </x:c>
      <x:c r="J1557" s="5" t="str">
        <x:v>Zusammenhang zwischen strategischer und operativer Planung</x:v>
      </x:c>
      <x:c r="K1557" s="5" t="str"/>
      <x:c r="L1557" s="5" t="str">
        <x:v>Planung, Strategie &amp; Kennzahlen</x:v>
      </x:c>
      <x:c r="M1557" s="5" t="n">
        <x:v>107</x:v>
      </x:c>
      <x:c r="N1557" s="5" t="n">
        <x:v>10</x:v>
      </x:c>
      <x:c r="O1557" s="5" t="str"/>
      <x:c r="P1557" s="5" t="str">
        <x:v>Zuordnungsvorschlag; Fachfreigabe ausstehend</x:v>
      </x:c>
      <x:c r="Q1557" s="5" t="str">
        <x:v>Bestehendes Lernthema fachlich unter passendem Rahmenplan-Unterbereich behalten</x:v>
      </x:c>
      <x:c r="R1557" s="5" t="str">
        <x:v>Ordnen Sie zunächst die Buchstaben S, W, O und T den englischen Begriffen zu. Ordnen Sie anschließend die Aussagen des Unternehmensfalls den Kategorien Stärke, Schwäche, Chance oder Risiko zu.</x:v>
      </x:c>
      <x:c r="S1557" s="5" t="str">
        <x:v>6deff66bf798b7e36b2498e122296cf8cfa27d08718b8b07ea0242f88ad55da9</x:v>
      </x:c>
    </x:row>
    <x:row r="1558" ht="36" customHeight="1">
      <x:c r="A1558" s="5" t="str">
        <x:v>BM-0113</x:v>
      </x:c>
      <x:c r="B1558" s="5" t="str">
        <x:v>HQ</x:v>
      </x:c>
      <x:c r="C1558" s="5" t="str">
        <x:v>5</x:v>
      </x:c>
      <x:c r="D1558" s="5" t="str">
        <x:v>Betriebliches Management</x:v>
      </x:c>
      <x:c r="E1558" s="5" t="str">
        <x:v>Betriebliches Management</x:v>
      </x:c>
      <x:c r="F1558" s="5" t="str">
        <x:v>ui-hq-0013</x:v>
      </x:c>
      <x:c r="G1558" s="5" t="str">
        <x:v>Betriebliche Planungsprozesse</x:v>
      </x:c>
      <x:c r="H1558" s="5" t="str">
        <x:v>dg-hq-0081</x:v>
      </x:c>
      <x:c r="I1558" s="5" t="str">
        <x:v>5.1.3</x:v>
      </x:c>
      <x:c r="J1558" s="5" t="str">
        <x:v>Zusammenhang zwischen strategischer und operativer Planung</x:v>
      </x:c>
      <x:c r="K1558" s="5" t="str"/>
      <x:c r="L1558" s="5" t="str">
        <x:v>Planung, Strategie &amp; Kennzahlen</x:v>
      </x:c>
      <x:c r="M1558" s="5" t="n">
        <x:v>108</x:v>
      </x:c>
      <x:c r="N1558" s="5" t="n">
        <x:v>11</x:v>
      </x:c>
      <x:c r="O1558" s="5" t="str"/>
      <x:c r="P1558" s="5" t="str">
        <x:v>Zuordnungsvorschlag; Fachfreigabe ausstehend</x:v>
      </x:c>
      <x:c r="Q1558" s="5" t="str">
        <x:v>Bestehendes Lernthema fachlich unter passendem Rahmenplan-Unterbereich behalten</x:v>
      </x:c>
      <x:c r="R1558" s="5" t="str">
        <x:v>Wie unterscheiden sich strategische, taktische und operative Planung hinsichtlich Zeithorizont und typischer Inhalte?</x:v>
      </x:c>
      <x:c r="S1558" s="5" t="str">
        <x:v>852a770af2839dcd33677c16efe93d7133d7ce1de26e875fab73746750b50ad2</x:v>
      </x:c>
    </x:row>
    <x:row r="1559" ht="36" customHeight="1">
      <x:c r="A1559" s="5" t="str">
        <x:v>BM-0114</x:v>
      </x:c>
      <x:c r="B1559" s="5" t="str">
        <x:v>HQ</x:v>
      </x:c>
      <x:c r="C1559" s="5" t="str">
        <x:v>5</x:v>
      </x:c>
      <x:c r="D1559" s="5" t="str">
        <x:v>Betriebliches Management</x:v>
      </x:c>
      <x:c r="E1559" s="5" t="str">
        <x:v>Betriebliches Management</x:v>
      </x:c>
      <x:c r="F1559" s="5" t="str">
        <x:v>ui-hq-0013</x:v>
      </x:c>
      <x:c r="G1559" s="5" t="str">
        <x:v>Betriebliche Planungsprozesse</x:v>
      </x:c>
      <x:c r="H1559" s="5" t="str">
        <x:v>dg-hq-0081</x:v>
      </x:c>
      <x:c r="I1559" s="5" t="str">
        <x:v>5.1.3</x:v>
      </x:c>
      <x:c r="J1559" s="5" t="str">
        <x:v>Zusammenhang zwischen strategischer und operativer Planung</x:v>
      </x:c>
      <x:c r="K1559" s="5" t="str"/>
      <x:c r="L1559" s="5" t="str">
        <x:v>Planung, Strategie &amp; Kennzahlen</x:v>
      </x:c>
      <x:c r="M1559" s="5" t="n">
        <x:v>109</x:v>
      </x:c>
      <x:c r="N1559" s="5" t="n">
        <x:v>12</x:v>
      </x:c>
      <x:c r="O1559" s="5" t="str"/>
      <x:c r="P1559" s="5" t="str">
        <x:v>Zuordnungsvorschlag; Fachfreigabe ausstehend</x:v>
      </x:c>
      <x:c r="Q1559" s="5" t="str">
        <x:v>Bestehendes Lernthema fachlich unter passendem Rahmenplan-Unterbereich behalten</x:v>
      </x:c>
      <x:c r="R1559" s="5" t="str">
        <x:v>Ordnen Sie Maßstäbe der Zielkontrolle danach ein, ob sie ökonomisch oder vorökonomisch sind.</x:v>
      </x:c>
      <x:c r="S1559" s="5" t="str">
        <x:v>1c45d3269e0311cc97c405d62b9ea8a986acdcc3cf3433b457b950274cfdfce4</x:v>
      </x:c>
    </x:row>
    <x:row r="1560" ht="36" customHeight="1">
      <x:c r="A1560" s="5" t="str">
        <x:v>BM-0115</x:v>
      </x:c>
      <x:c r="B1560" s="5" t="str">
        <x:v>HQ</x:v>
      </x:c>
      <x:c r="C1560" s="5" t="str">
        <x:v>5</x:v>
      </x:c>
      <x:c r="D1560" s="5" t="str">
        <x:v>Betriebliches Management</x:v>
      </x:c>
      <x:c r="E1560" s="5" t="str">
        <x:v>Betriebliches Management</x:v>
      </x:c>
      <x:c r="F1560" s="5" t="str">
        <x:v>ui-hq-0013</x:v>
      </x:c>
      <x:c r="G1560" s="5" t="str">
        <x:v>Betriebliche Planungsprozesse</x:v>
      </x:c>
      <x:c r="H1560" s="5" t="str">
        <x:v>dg-hq-0081</x:v>
      </x:c>
      <x:c r="I1560" s="5" t="str">
        <x:v>5.1.3</x:v>
      </x:c>
      <x:c r="J1560" s="5" t="str">
        <x:v>Zusammenhang zwischen strategischer und operativer Planung</x:v>
      </x:c>
      <x:c r="K1560" s="5" t="str"/>
      <x:c r="L1560" s="5" t="str">
        <x:v>Planung, Strategie &amp; Kennzahlen</x:v>
      </x:c>
      <x:c r="M1560" s="5" t="n">
        <x:v>110</x:v>
      </x:c>
      <x:c r="N1560" s="5" t="n">
        <x:v>13</x:v>
      </x:c>
      <x:c r="O1560" s="5" t="str"/>
      <x:c r="P1560" s="5" t="str">
        <x:v>Zuordnungsvorschlag; Fachfreigabe ausstehend</x:v>
      </x:c>
      <x:c r="Q1560" s="5" t="str">
        <x:v>Bestehendes Lernthema fachlich unter passendem Rahmenplan-Unterbereich behalten</x:v>
      </x:c>
      <x:c r="R1560" s="5" t="str">
        <x:v>Was ist eine strategische Geschäftseinheit, wie könnte sie in einem Unternehmen abgegrenzt werden und welche Vor- und Nachteile hat diese Struktur?</x:v>
      </x:c>
      <x:c r="S1560" s="5" t="str">
        <x:v>13853f552dddb6bd4dc1619d95058930e3335e02bd7f173fe184f5505f05013d</x:v>
      </x:c>
    </x:row>
    <x:row r="1561" ht="36" customHeight="1">
      <x:c r="A1561" s="5" t="str">
        <x:v>BM-0116</x:v>
      </x:c>
      <x:c r="B1561" s="5" t="str">
        <x:v>HQ</x:v>
      </x:c>
      <x:c r="C1561" s="5" t="str">
        <x:v>5</x:v>
      </x:c>
      <x:c r="D1561" s="5" t="str">
        <x:v>Betriebliches Management</x:v>
      </x:c>
      <x:c r="E1561" s="5" t="str">
        <x:v>Betriebliches Management</x:v>
      </x:c>
      <x:c r="F1561" s="5" t="str">
        <x:v>ui-hq-0013</x:v>
      </x:c>
      <x:c r="G1561" s="5" t="str">
        <x:v>Betriebliche Planungsprozesse</x:v>
      </x:c>
      <x:c r="H1561" s="5" t="str">
        <x:v>dg-hq-0083</x:v>
      </x:c>
      <x:c r="I1561" s="5" t="str">
        <x:v>5.1.4</x:v>
      </x:c>
      <x:c r="J1561" s="5" t="str">
        <x:v>Betriebsstatistik, Vergleichsrechnung, Planungsrechnung als Grundlage betrieblicher Planungsprozesse</x:v>
      </x:c>
      <x:c r="K1561" s="5" t="str"/>
      <x:c r="L1561" s="5" t="str">
        <x:v>Planung, Strategie &amp; Kennzahlen</x:v>
      </x:c>
      <x:c r="M1561" s="5" t="n">
        <x:v>111</x:v>
      </x:c>
      <x:c r="N1561" s="5" t="n">
        <x:v>2</x:v>
      </x:c>
      <x:c r="O1561" s="5" t="str"/>
      <x:c r="P1561" s="5" t="str">
        <x:v>Zuordnungsvorschlag; Fachfreigabe ausstehend</x:v>
      </x:c>
      <x:c r="Q1561" s="5" t="str">
        <x:v>Frageinhalt präzisiert bzw. teilt bisheriges Sammelthema</x:v>
      </x:c>
      <x:c r="R1561" s="5" t="str">
        <x:v>Bewerten Sie grundlegende Aussagen über betriebliche Kennzahlen als richtig oder falsch.</x:v>
      </x:c>
      <x:c r="S1561" s="5" t="str">
        <x:v>1fbc7d115696862df93b5f18bec3baa941d8038c49e0f34d8cd20264c6b4b40f</x:v>
      </x:c>
    </x:row>
    <x:row r="1562" ht="36" customHeight="1">
      <x:c r="A1562" s="5" t="str">
        <x:v>BM-0117</x:v>
      </x:c>
      <x:c r="B1562" s="5" t="str">
        <x:v>HQ</x:v>
      </x:c>
      <x:c r="C1562" s="5" t="str">
        <x:v>5</x:v>
      </x:c>
      <x:c r="D1562" s="5" t="str">
        <x:v>Betriebliches Management</x:v>
      </x:c>
      <x:c r="E1562" s="5" t="str">
        <x:v>Betriebliches Management</x:v>
      </x:c>
      <x:c r="F1562" s="5" t="str">
        <x:v>ui-hq-0013</x:v>
      </x:c>
      <x:c r="G1562" s="5" t="str">
        <x:v>Betriebliche Planungsprozesse</x:v>
      </x:c>
      <x:c r="H1562" s="5" t="str">
        <x:v>dg-hq-0083</x:v>
      </x:c>
      <x:c r="I1562" s="5" t="str">
        <x:v>5.1.4</x:v>
      </x:c>
      <x:c r="J1562" s="5" t="str">
        <x:v>Betriebsstatistik, Vergleichsrechnung, Planungsrechnung als Grundlage betrieblicher Planungsprozesse</x:v>
      </x:c>
      <x:c r="K1562" s="5" t="str"/>
      <x:c r="L1562" s="5" t="str">
        <x:v>Planung, Strategie &amp; Kennzahlen</x:v>
      </x:c>
      <x:c r="M1562" s="5" t="n">
        <x:v>112</x:v>
      </x:c>
      <x:c r="N1562" s="5" t="n">
        <x:v>3</x:v>
      </x:c>
      <x:c r="O1562" s="5" t="str"/>
      <x:c r="P1562" s="5" t="str">
        <x:v>Zuordnungsvorschlag; Fachfreigabe ausstehend</x:v>
      </x:c>
      <x:c r="Q1562" s="5" t="str">
        <x:v>Frageinhalt präzisiert bzw. teilt bisheriges Sammelthema</x:v>
      </x:c>
      <x:c r="R1562" s="5" t="str">
        <x:v>Ordnen Sie typische betriebliche Kennzahlen danach ein, ob es sich um absolute oder relative Kennzahlen handelt.</x:v>
      </x:c>
      <x:c r="S1562" s="5" t="str">
        <x:v>a0d9f8aeaeadab1e0bf6333773951216e63e67202acc2b23b0e5074d33a6f330</x:v>
      </x:c>
    </x:row>
    <x:row r="1563" ht="36" customHeight="1">
      <x:c r="A1563" s="5" t="str">
        <x:v>BM-0118</x:v>
      </x:c>
      <x:c r="B1563" s="5" t="str">
        <x:v>HQ</x:v>
      </x:c>
      <x:c r="C1563" s="5" t="str">
        <x:v>5</x:v>
      </x:c>
      <x:c r="D1563" s="5" t="str">
        <x:v>Betriebliches Management</x:v>
      </x:c>
      <x:c r="E1563" s="5" t="str">
        <x:v>Betriebliches Management</x:v>
      </x:c>
      <x:c r="F1563" s="5" t="str">
        <x:v>ui-hq-0013</x:v>
      </x:c>
      <x:c r="G1563" s="5" t="str">
        <x:v>Betriebliche Planungsprozesse</x:v>
      </x:c>
      <x:c r="H1563" s="5" t="str">
        <x:v>dg-hq-0083</x:v>
      </x:c>
      <x:c r="I1563" s="5" t="str">
        <x:v>5.1.4</x:v>
      </x:c>
      <x:c r="J1563" s="5" t="str">
        <x:v>Betriebsstatistik, Vergleichsrechnung, Planungsrechnung als Grundlage betrieblicher Planungsprozesse</x:v>
      </x:c>
      <x:c r="K1563" s="5" t="str"/>
      <x:c r="L1563" s="5" t="str">
        <x:v>Planung, Strategie &amp; Kennzahlen</x:v>
      </x:c>
      <x:c r="M1563" s="5" t="n">
        <x:v>113</x:v>
      </x:c>
      <x:c r="N1563" s="5" t="n">
        <x:v>4</x:v>
      </x:c>
      <x:c r="O1563" s="5" t="str"/>
      <x:c r="P1563" s="5" t="str">
        <x:v>Zuordnungsvorschlag; Fachfreigabe ausstehend</x:v>
      </x:c>
      <x:c r="Q1563" s="5" t="str">
        <x:v>Frageinhalt präzisiert bzw. teilt bisheriges Sammelthema</x:v>
      </x:c>
      <x:c r="R1563" s="5" t="str">
        <x:v>Wie ist das DuPont-Kennzahlensystem zum Return on Investment aufgebaut und aus welchen zentralen Größen lässt sich der ROI ableiten?</x:v>
      </x:c>
      <x:c r="S1563" s="5" t="str">
        <x:v>bad9db45f80168a2b6c242b921971229d757a844be8ca0949601e6383e2b34aa</x:v>
      </x:c>
    </x:row>
    <x:row r="1564" ht="36" customHeight="1">
      <x:c r="A1564" s="5" t="str">
        <x:v>BM-0119</x:v>
      </x:c>
      <x:c r="B1564" s="5" t="str">
        <x:v>HQ</x:v>
      </x:c>
      <x:c r="C1564" s="5" t="str">
        <x:v>5</x:v>
      </x:c>
      <x:c r="D1564" s="5" t="str">
        <x:v>Betriebliches Management</x:v>
      </x:c>
      <x:c r="E1564" s="5" t="str">
        <x:v>Betriebliches Management</x:v>
      </x:c>
      <x:c r="F1564" s="5" t="str">
        <x:v>ui-hq-0013</x:v>
      </x:c>
      <x:c r="G1564" s="5" t="str">
        <x:v>Betriebliche Planungsprozesse</x:v>
      </x:c>
      <x:c r="H1564" s="5" t="str">
        <x:v>dg-hq-0083</x:v>
      </x:c>
      <x:c r="I1564" s="5" t="str">
        <x:v>5.1.4</x:v>
      </x:c>
      <x:c r="J1564" s="5" t="str">
        <x:v>Betriebsstatistik, Vergleichsrechnung, Planungsrechnung als Grundlage betrieblicher Planungsprozesse</x:v>
      </x:c>
      <x:c r="K1564" s="5" t="str"/>
      <x:c r="L1564" s="5" t="str">
        <x:v>Planung, Strategie &amp; Kennzahlen</x:v>
      </x:c>
      <x:c r="M1564" s="5" t="n">
        <x:v>114</x:v>
      </x:c>
      <x:c r="N1564" s="5" t="n">
        <x:v>5</x:v>
      </x:c>
      <x:c r="O1564" s="5" t="str"/>
      <x:c r="P1564" s="5" t="str">
        <x:v>Zuordnungsvorschlag; Fachfreigabe ausstehend</x:v>
      </x:c>
      <x:c r="Q1564" s="5" t="str">
        <x:v>Frageinhalt präzisiert bzw. teilt bisheriges Sammelthema</x:v>
      </x:c>
      <x:c r="R1564" s="5" t="str">
        <x:v>Fallbezug: Die folgenden betrieblichen Angaben und Situationen beziehen sich auf die Circle Harbor GmbH.
Berechnen Sie den ROI nach dem DuPont-Schema. Gegeben sind: Bruttoumsatz 1.980.000 €, Erlösschmälerungen 70.000 €, variable Kosten 1.350.000 €, fixe Kosten 510.000 €, Zahlungsmittel 50.000 €, Forderungen 20.000 €, Bestände 400.000 € und Anlagevermögen 30.000 €.</x:v>
      </x:c>
      <x:c r="S1564" s="5" t="str">
        <x:v>ddde8c0785b37bde934082e63ae214ab3e7411d832638744a60885182abc7d5d</x:v>
      </x:c>
    </x:row>
    <x:row r="1565" ht="36" customHeight="1">
      <x:c r="A1565" s="5" t="str">
        <x:v>BM-0120</x:v>
      </x:c>
      <x:c r="B1565" s="5" t="str">
        <x:v>HQ</x:v>
      </x:c>
      <x:c r="C1565" s="5" t="str">
        <x:v>5</x:v>
      </x:c>
      <x:c r="D1565" s="5" t="str">
        <x:v>Betriebliches Management</x:v>
      </x:c>
      <x:c r="E1565" s="5" t="str">
        <x:v>Betriebliches Management</x:v>
      </x:c>
      <x:c r="F1565" s="5" t="str">
        <x:v>ui-hq-0013</x:v>
      </x:c>
      <x:c r="G1565" s="5" t="str">
        <x:v>Betriebliche Planungsprozesse</x:v>
      </x:c>
      <x:c r="H1565" s="5" t="str">
        <x:v>dg-hq-0083</x:v>
      </x:c>
      <x:c r="I1565" s="5" t="str">
        <x:v>5.1.4</x:v>
      </x:c>
      <x:c r="J1565" s="5" t="str">
        <x:v>Betriebsstatistik, Vergleichsrechnung, Planungsrechnung als Grundlage betrieblicher Planungsprozesse</x:v>
      </x:c>
      <x:c r="K1565" s="5" t="str"/>
      <x:c r="L1565" s="5" t="str">
        <x:v>Planung, Strategie &amp; Kennzahlen</x:v>
      </x:c>
      <x:c r="M1565" s="5" t="n">
        <x:v>115</x:v>
      </x:c>
      <x:c r="N1565" s="5" t="n">
        <x:v>6</x:v>
      </x:c>
      <x:c r="O1565" s="5" t="str"/>
      <x:c r="P1565" s="5" t="str">
        <x:v>Zuordnungsvorschlag; Fachfreigabe ausstehend</x:v>
      </x:c>
      <x:c r="Q1565" s="5" t="str">
        <x:v>Frageinhalt präzisiert bzw. teilt bisheriges Sammelthema</x:v>
      </x:c>
      <x:c r="R1565" s="5" t="str">
        <x:v>Ordnen Sie typische Kennzahlen den vier Perspektiven der Balanced Scorecard zu. Bewerten Sie anschließend die Aussage zur Strategy Map als richtig oder falsch.</x:v>
      </x:c>
      <x:c r="S1565" s="5" t="str">
        <x:v>6c01edfd5a4c06873d70a984511e25f489246ebc2b773c64f5b4df1499348f77</x:v>
      </x:c>
    </x:row>
    <x:row r="1566" ht="36" customHeight="1">
      <x:c r="A1566" s="5" t="str">
        <x:v>BM-0121</x:v>
      </x:c>
      <x:c r="B1566" s="5" t="str">
        <x:v>HQ</x:v>
      </x:c>
      <x:c r="C1566" s="5" t="str">
        <x:v>5</x:v>
      </x:c>
      <x:c r="D1566" s="5" t="str">
        <x:v>Betriebliches Management</x:v>
      </x:c>
      <x:c r="E1566" s="5" t="str">
        <x:v>Betriebliches Management</x:v>
      </x:c>
      <x:c r="F1566" s="5" t="str">
        <x:v>ui-hq-0013</x:v>
      </x:c>
      <x:c r="G1566" s="5" t="str">
        <x:v>Betriebliche Planungsprozesse</x:v>
      </x:c>
      <x:c r="H1566" s="5" t="str">
        <x:v>dg-hq-0083</x:v>
      </x:c>
      <x:c r="I1566" s="5" t="str">
        <x:v>5.1.4</x:v>
      </x:c>
      <x:c r="J1566" s="5" t="str">
        <x:v>Betriebsstatistik, Vergleichsrechnung, Planungsrechnung als Grundlage betrieblicher Planungsprozesse</x:v>
      </x:c>
      <x:c r="K1566" s="5" t="str"/>
      <x:c r="L1566" s="5" t="str">
        <x:v>Planung, Strategie &amp; Kennzahlen</x:v>
      </x:c>
      <x:c r="M1566" s="5" t="n">
        <x:v>116</x:v>
      </x:c>
      <x:c r="N1566" s="5" t="n">
        <x:v>7</x:v>
      </x:c>
      <x:c r="O1566" s="5" t="str"/>
      <x:c r="P1566" s="5" t="str">
        <x:v>Zuordnungsvorschlag; Fachfreigabe ausstehend</x:v>
      </x:c>
      <x:c r="Q1566" s="5" t="str">
        <x:v>Frageinhalt präzisiert bzw. teilt bisheriges Sammelthema</x:v>
      </x:c>
      <x:c r="R1566" s="5" t="str">
        <x:v>Welche Kennzahlen eignen sich für ein Benchmarking im Vertrieb, wenn Teilbereiche oder ganze Unternehmen miteinander verglichen werden sollen?</x:v>
      </x:c>
      <x:c r="S1566" s="5" t="str">
        <x:v>1c3e019da7eedd0da096b336af3240fcb2f1dcdac3cabdda31c01c527cb82452</x:v>
      </x:c>
    </x:row>
    <x:row r="1567" ht="36" customHeight="1">
      <x:c r="A1567" s="5" t="str">
        <x:v>BM-0122</x:v>
      </x:c>
      <x:c r="B1567" s="5" t="str">
        <x:v>HQ</x:v>
      </x:c>
      <x:c r="C1567" s="5" t="str">
        <x:v>5</x:v>
      </x:c>
      <x:c r="D1567" s="5" t="str">
        <x:v>Betriebliches Management</x:v>
      </x:c>
      <x:c r="E1567" s="5" t="str">
        <x:v>Betriebliches Management</x:v>
      </x:c>
      <x:c r="F1567" s="5" t="str">
        <x:v>ui-hq-0013</x:v>
      </x:c>
      <x:c r="G1567" s="5" t="str">
        <x:v>Betriebliche Planungsprozesse</x:v>
      </x:c>
      <x:c r="H1567" s="5" t="str">
        <x:v>dg-hq-0083</x:v>
      </x:c>
      <x:c r="I1567" s="5" t="str">
        <x:v>5.1.4</x:v>
      </x:c>
      <x:c r="J1567" s="5" t="str">
        <x:v>Betriebsstatistik, Vergleichsrechnung, Planungsrechnung als Grundlage betrieblicher Planungsprozesse</x:v>
      </x:c>
      <x:c r="K1567" s="5" t="str"/>
      <x:c r="L1567" s="5" t="str">
        <x:v>Planung, Strategie &amp; Kennzahlen</x:v>
      </x:c>
      <x:c r="M1567" s="5" t="n">
        <x:v>117</x:v>
      </x:c>
      <x:c r="N1567" s="5" t="n">
        <x:v>8</x:v>
      </x:c>
      <x:c r="O1567" s="5" t="str"/>
      <x:c r="P1567" s="5" t="str">
        <x:v>Zuordnungsvorschlag; Fachfreigabe ausstehend</x:v>
      </x:c>
      <x:c r="Q1567" s="5" t="str">
        <x:v>Frageinhalt präzisiert bzw. teilt bisheriges Sammelthema</x:v>
      </x:c>
      <x:c r="R1567" s="5" t="str">
        <x:v>Was versteht man unter Benchmarking und wie unterscheiden sich Best Practice und Good Practice?</x:v>
      </x:c>
      <x:c r="S1567" s="5" t="str">
        <x:v>cf9e1802492c877f4fbda0ccd3640121e40e6cb71bfb494a9644a211bebe0653</x:v>
      </x:c>
    </x:row>
    <x:row r="1568" ht="36" customHeight="1">
      <x:c r="A1568" s="5" t="str">
        <x:v>BM-0123</x:v>
      </x:c>
      <x:c r="B1568" s="5" t="str">
        <x:v>HQ</x:v>
      </x:c>
      <x:c r="C1568" s="5" t="str">
        <x:v>5</x:v>
      </x:c>
      <x:c r="D1568" s="5" t="str">
        <x:v>Betriebliches Management</x:v>
      </x:c>
      <x:c r="E1568" s="5" t="str">
        <x:v>Betriebliches Management</x:v>
      </x:c>
      <x:c r="F1568" s="5" t="str">
        <x:v>ui-hq-0013</x:v>
      </x:c>
      <x:c r="G1568" s="5" t="str">
        <x:v>Betriebliche Planungsprozesse</x:v>
      </x:c>
      <x:c r="H1568" s="5" t="str">
        <x:v>dg-hq-0083</x:v>
      </x:c>
      <x:c r="I1568" s="5" t="str">
        <x:v>5.1.4</x:v>
      </x:c>
      <x:c r="J1568" s="5" t="str">
        <x:v>Betriebsstatistik, Vergleichsrechnung, Planungsrechnung als Grundlage betrieblicher Planungsprozesse</x:v>
      </x:c>
      <x:c r="K1568" s="5" t="str"/>
      <x:c r="L1568" s="5" t="str">
        <x:v>Planung, Strategie &amp; Kennzahlen</x:v>
      </x:c>
      <x:c r="M1568" s="5" t="n">
        <x:v>118</x:v>
      </x:c>
      <x:c r="N1568" s="5" t="n">
        <x:v>9</x:v>
      </x:c>
      <x:c r="O1568" s="5" t="str"/>
      <x:c r="P1568" s="5" t="str">
        <x:v>Zuordnungsvorschlag; Fachfreigabe ausstehend</x:v>
      </x:c>
      <x:c r="Q1568" s="5" t="str">
        <x:v>Frageinhalt präzisiert bzw. teilt bisheriges Sammelthema</x:v>
      </x:c>
      <x:c r="R1568" s="5" t="str">
        <x:v>Nennen Sie wesentliche Vor- und Nachteile des Benchmarkings als Instrument der Unternehmenssteuerung.</x:v>
      </x:c>
      <x:c r="S1568" s="5" t="str">
        <x:v>c9a5da6deb9f9072ec8aad1f40416876b98f28cd8348f47e4a311ee1dfa61872</x:v>
      </x:c>
    </x:row>
    <x:row r="1569" ht="36" customHeight="1">
      <x:c r="A1569" s="5" t="str">
        <x:v>BM-0124</x:v>
      </x:c>
      <x:c r="B1569" s="5" t="str">
        <x:v>HQ</x:v>
      </x:c>
      <x:c r="C1569" s="5" t="str">
        <x:v>5</x:v>
      </x:c>
      <x:c r="D1569" s="5" t="str">
        <x:v>Betriebliches Management</x:v>
      </x:c>
      <x:c r="E1569" s="5" t="str">
        <x:v>Betriebliches Management</x:v>
      </x:c>
      <x:c r="F1569" s="5" t="str">
        <x:v>ui-hq-0013</x:v>
      </x:c>
      <x:c r="G1569" s="5" t="str">
        <x:v>Betriebliche Planungsprozesse</x:v>
      </x:c>
      <x:c r="H1569" s="5" t="str">
        <x:v>dg-hq-0081</x:v>
      </x:c>
      <x:c r="I1569" s="5" t="str">
        <x:v>5.1.3</x:v>
      </x:c>
      <x:c r="J1569" s="5" t="str">
        <x:v>Zusammenhang zwischen strategischer und operativer Planung</x:v>
      </x:c>
      <x:c r="K1569" s="5" t="str"/>
      <x:c r="L1569" s="5" t="str">
        <x:v>Planung, Strategie &amp; Kennzahlen</x:v>
      </x:c>
      <x:c r="M1569" s="5" t="n">
        <x:v>119</x:v>
      </x:c>
      <x:c r="N1569" s="5" t="n">
        <x:v>14</x:v>
      </x:c>
      <x:c r="O1569" s="5" t="str"/>
      <x:c r="P1569" s="5" t="str">
        <x:v>Zuordnungsvorschlag; Fachfreigabe ausstehend</x:v>
      </x:c>
      <x:c r="Q1569" s="5" t="str">
        <x:v>Bestehendes Lernthema fachlich unter passendem Rahmenplan-Unterbereich behalten</x:v>
      </x:c>
      <x:c r="R1569" s="5" t="str">
        <x:v>Welche fünf Schritte umfasst eine systematische Strategieentwicklung von der Grundsatzfrage bis zur strategischen Entscheidung?</x:v>
      </x:c>
      <x:c r="S1569" s="5" t="str">
        <x:v>67d5d412d2f5ddd414f23dc2f179e32078770efb380939fb9991ac359aec8ce6</x:v>
      </x:c>
    </x:row>
    <x:row r="1570" ht="36" customHeight="1">
      <x:c r="A1570" s="5" t="str">
        <x:v>BM-0125</x:v>
      </x:c>
      <x:c r="B1570" s="5" t="str">
        <x:v>HQ</x:v>
      </x:c>
      <x:c r="C1570" s="5" t="str">
        <x:v>5</x:v>
      </x:c>
      <x:c r="D1570" s="5" t="str">
        <x:v>Betriebliches Management</x:v>
      </x:c>
      <x:c r="E1570" s="5" t="str">
        <x:v>Betriebliches Management</x:v>
      </x:c>
      <x:c r="F1570" s="5" t="str">
        <x:v>ui-hq-0014</x:v>
      </x:c>
      <x:c r="G1570" s="5" t="str">
        <x:v>Organisations- und Personalentwicklung</x:v>
      </x:c>
      <x:c r="H1570" s="5" t="str">
        <x:v>dg-hq-0082</x:v>
      </x:c>
      <x:c r="I1570" s="5" t="str">
        <x:v>5.2.2</x:v>
      </x:c>
      <x:c r="J1570" s="5" t="str">
        <x:v>Organisationsentwicklung (OE)</x:v>
      </x:c>
      <x:c r="K1570" s="5" t="str"/>
      <x:c r="L1570" s="5" t="str">
        <x:v>Organisationsentwicklung &amp; Change Management</x:v>
      </x:c>
      <x:c r="M1570" s="5" t="n">
        <x:v>5</x:v>
      </x:c>
      <x:c r="N1570" s="5" t="n">
        <x:v>5</x:v>
      </x:c>
      <x:c r="O1570" s="5" t="str"/>
      <x:c r="P1570" s="5" t="str">
        <x:v>Zuordnungsvorschlag; Fachfreigabe ausstehend</x:v>
      </x:c>
      <x:c r="Q1570" s="5" t="str">
        <x:v>Bestehendes Lernthema fachlich unter passendem Rahmenplan-Unterbereich behalten</x:v>
      </x:c>
      <x:c r="R1570" s="5" t="str">
        <x:v>Unterscheiden Sie geplanten und ungeplanten organisatorischen Wandel und nennen Sie jeweils ein typisches Beispiel.</x:v>
      </x:c>
      <x:c r="S1570" s="5" t="str">
        <x:v>6ed82e6153ddba38ba43cde112bb68840ea707f033359ad41a237ae986a0aa17</x:v>
      </x:c>
    </x:row>
    <x:row r="1571" ht="36" customHeight="1">
      <x:c r="A1571" s="5" t="str">
        <x:v>BM-0126</x:v>
      </x:c>
      <x:c r="B1571" s="5" t="str">
        <x:v>HQ</x:v>
      </x:c>
      <x:c r="C1571" s="5" t="str">
        <x:v>5</x:v>
      </x:c>
      <x:c r="D1571" s="5" t="str">
        <x:v>Betriebliches Management</x:v>
      </x:c>
      <x:c r="E1571" s="5" t="str">
        <x:v>Betriebliches Management</x:v>
      </x:c>
      <x:c r="F1571" s="5" t="str">
        <x:v>ui-hq-0014</x:v>
      </x:c>
      <x:c r="G1571" s="5" t="str">
        <x:v>Organisations- und Personalentwicklung</x:v>
      </x:c>
      <x:c r="H1571" s="5" t="str">
        <x:v>dg-hq-0082</x:v>
      </x:c>
      <x:c r="I1571" s="5" t="str">
        <x:v>5.2.2</x:v>
      </x:c>
      <x:c r="J1571" s="5" t="str">
        <x:v>Organisationsentwicklung (OE)</x:v>
      </x:c>
      <x:c r="K1571" s="5" t="str"/>
      <x:c r="L1571" s="5" t="str">
        <x:v>Organisationsentwicklung &amp; Change Management</x:v>
      </x:c>
      <x:c r="M1571" s="5" t="n">
        <x:v>6</x:v>
      </x:c>
      <x:c r="N1571" s="5" t="n">
        <x:v>6</x:v>
      </x:c>
      <x:c r="O1571" s="5" t="str"/>
      <x:c r="P1571" s="5" t="str">
        <x:v>Zuordnungsvorschlag; Fachfreigabe ausstehend</x:v>
      </x:c>
      <x:c r="Q1571" s="5" t="str">
        <x:v>Bestehendes Lernthema fachlich unter passendem Rahmenplan-Unterbereich behalten</x:v>
      </x:c>
      <x:c r="R1571" s="5" t="str">
        <x:v>Welche typischen Mitarbeitendengruppen können bei Veränderungsprozessen auftreten und wie verhalten sie sich gegenüber dem Wandel?</x:v>
      </x:c>
      <x:c r="S1571" s="5" t="str">
        <x:v>96fd04037b824250029c866071495d33040f17395a9e7c90019adbcf206951b3</x:v>
      </x:c>
    </x:row>
    <x:row r="1572" ht="36" customHeight="1">
      <x:c r="A1572" s="5" t="str">
        <x:v>BM-0127</x:v>
      </x:c>
      <x:c r="B1572" s="5" t="str">
        <x:v>HQ</x:v>
      </x:c>
      <x:c r="C1572" s="5" t="str">
        <x:v>5</x:v>
      </x:c>
      <x:c r="D1572" s="5" t="str">
        <x:v>Betriebliches Management</x:v>
      </x:c>
      <x:c r="E1572" s="5" t="str">
        <x:v>Betriebliches Management</x:v>
      </x:c>
      <x:c r="F1572" s="5" t="str">
        <x:v>ui-hq-0014</x:v>
      </x:c>
      <x:c r="G1572" s="5" t="str">
        <x:v>Organisations- und Personalentwicklung</x:v>
      </x:c>
      <x:c r="H1572" s="5" t="str">
        <x:v>dg-hq-0082</x:v>
      </x:c>
      <x:c r="I1572" s="5" t="str">
        <x:v>5.2.2</x:v>
      </x:c>
      <x:c r="J1572" s="5" t="str">
        <x:v>Organisationsentwicklung (OE)</x:v>
      </x:c>
      <x:c r="K1572" s="5" t="str"/>
      <x:c r="L1572" s="5" t="str">
        <x:v>Organisationsentwicklung &amp; Change Management</x:v>
      </x:c>
      <x:c r="M1572" s="5" t="n">
        <x:v>7</x:v>
      </x:c>
      <x:c r="N1572" s="5" t="n">
        <x:v>7</x:v>
      </x:c>
      <x:c r="O1572" s="5" t="str"/>
      <x:c r="P1572" s="5" t="str">
        <x:v>Zuordnungsvorschlag; Fachfreigabe ausstehend</x:v>
      </x:c>
      <x:c r="Q1572" s="5" t="str">
        <x:v>Bestehendes Lernthema fachlich unter passendem Rahmenplan-Unterbereich behalten</x:v>
      </x:c>
      <x:c r="R1572" s="5" t="str">
        <x:v>Welche Maßnahmen helfen dabei, Beschäftigte frühzeitig für eine bevorstehende Veränderung zu gewinnen?</x:v>
      </x:c>
      <x:c r="S1572" s="5" t="str">
        <x:v>24e7cad1264b78346c8c8d07b3026f9fbcca8ea84c7d558618836cfd3b33e424</x:v>
      </x:c>
    </x:row>
    <x:row r="1573" ht="36" customHeight="1">
      <x:c r="A1573" s="5" t="str">
        <x:v>BM-0128</x:v>
      </x:c>
      <x:c r="B1573" s="5" t="str">
        <x:v>HQ</x:v>
      </x:c>
      <x:c r="C1573" s="5" t="str">
        <x:v>5</x:v>
      </x:c>
      <x:c r="D1573" s="5" t="str">
        <x:v>Betriebliches Management</x:v>
      </x:c>
      <x:c r="E1573" s="5" t="str">
        <x:v>Betriebliches Management</x:v>
      </x:c>
      <x:c r="F1573" s="5" t="str">
        <x:v>ui-hq-0014</x:v>
      </x:c>
      <x:c r="G1573" s="5" t="str">
        <x:v>Organisations- und Personalentwicklung</x:v>
      </x:c>
      <x:c r="H1573" s="5" t="str">
        <x:v>dg-hq-0082</x:v>
      </x:c>
      <x:c r="I1573" s="5" t="str">
        <x:v>5.2.2</x:v>
      </x:c>
      <x:c r="J1573" s="5" t="str">
        <x:v>Organisationsentwicklung (OE)</x:v>
      </x:c>
      <x:c r="K1573" s="5" t="str"/>
      <x:c r="L1573" s="5" t="str">
        <x:v>Organisationsentwicklung &amp; Change Management</x:v>
      </x:c>
      <x:c r="M1573" s="5" t="n">
        <x:v>8</x:v>
      </x:c>
      <x:c r="N1573" s="5" t="n">
        <x:v>8</x:v>
      </x:c>
      <x:c r="O1573" s="5" t="str"/>
      <x:c r="P1573" s="5" t="str">
        <x:v>Zuordnungsvorschlag; Fachfreigabe ausstehend</x:v>
      </x:c>
      <x:c r="Q1573" s="5" t="str">
        <x:v>Bestehendes Lernthema fachlich unter passendem Rahmenplan-Unterbereich behalten</x:v>
      </x:c>
      <x:c r="R1573" s="5" t="str">
        <x:v>Im betrieblichen Management von Circle Harbor: Welche Chancen und Risiken kann ein umfassender Veränderungsprozess für ein Unternehmen mit sich bringen und worauf sollten insbesondere kleinere Unternehmen achten?</x:v>
      </x:c>
      <x:c r="S1573" s="5" t="str">
        <x:v>bb596a792b7b82c58e5f72c51b93fd35caa515e16769a9160b03cec03d7a9b23</x:v>
      </x:c>
    </x:row>
    <x:row r="1574" ht="36" customHeight="1">
      <x:c r="A1574" s="5" t="str">
        <x:v>BM-0129</x:v>
      </x:c>
      <x:c r="B1574" s="5" t="str">
        <x:v>HQ</x:v>
      </x:c>
      <x:c r="C1574" s="5" t="str">
        <x:v>5</x:v>
      </x:c>
      <x:c r="D1574" s="5" t="str">
        <x:v>Betriebliches Management</x:v>
      </x:c>
      <x:c r="E1574" s="5" t="str">
        <x:v>Betriebliches Management</x:v>
      </x:c>
      <x:c r="F1574" s="5" t="str">
        <x:v>ui-hq-0014</x:v>
      </x:c>
      <x:c r="G1574" s="5" t="str">
        <x:v>Organisations- und Personalentwicklung</x:v>
      </x:c>
      <x:c r="H1574" s="5" t="str">
        <x:v>dg-hq-0082</x:v>
      </x:c>
      <x:c r="I1574" s="5" t="str">
        <x:v>5.2.2</x:v>
      </x:c>
      <x:c r="J1574" s="5" t="str">
        <x:v>Organisationsentwicklung (OE)</x:v>
      </x:c>
      <x:c r="K1574" s="5" t="str"/>
      <x:c r="L1574" s="5" t="str">
        <x:v>Organisationsentwicklung &amp; Change Management</x:v>
      </x:c>
      <x:c r="M1574" s="5" t="n">
        <x:v>9</x:v>
      </x:c>
      <x:c r="N1574" s="5" t="n">
        <x:v>9</x:v>
      </x:c>
      <x:c r="O1574" s="5" t="str"/>
      <x:c r="P1574" s="5" t="str">
        <x:v>Zuordnungsvorschlag; Fachfreigabe ausstehend</x:v>
      </x:c>
      <x:c r="Q1574" s="5" t="str">
        <x:v>Bestehendes Lernthema fachlich unter passendem Rahmenplan-Unterbereich behalten</x:v>
      </x:c>
      <x:c r="R1574" s="5" t="str">
        <x:v>Ordnen Sie typische Merkmale der Organisationsentwicklung (OE) und der Personalentwicklung (PE) zu. Einzelne Merkmale können beiden Bereichen zugeordnet werden.</x:v>
      </x:c>
      <x:c r="S1574" s="5" t="str">
        <x:v>053c09c2a534b5cc486c1c4f8de810c7dfde081f0f98e8186812f1d38121fdda</x:v>
      </x:c>
    </x:row>
    <x:row r="1575" ht="36" customHeight="1">
      <x:c r="A1575" s="5" t="str">
        <x:v>BM-0130</x:v>
      </x:c>
      <x:c r="B1575" s="5" t="str">
        <x:v>HQ</x:v>
      </x:c>
      <x:c r="C1575" s="5" t="str">
        <x:v>5</x:v>
      </x:c>
      <x:c r="D1575" s="5" t="str">
        <x:v>Betriebliches Management</x:v>
      </x:c>
      <x:c r="E1575" s="5" t="str">
        <x:v>Betriebliches Management</x:v>
      </x:c>
      <x:c r="F1575" s="5" t="str">
        <x:v>ui-hq-0014</x:v>
      </x:c>
      <x:c r="G1575" s="5" t="str">
        <x:v>Organisations- und Personalentwicklung</x:v>
      </x:c>
      <x:c r="H1575" s="5" t="str">
        <x:v>dg-hq-0082</x:v>
      </x:c>
      <x:c r="I1575" s="5" t="str">
        <x:v>5.2.2</x:v>
      </x:c>
      <x:c r="J1575" s="5" t="str">
        <x:v>Organisationsentwicklung (OE)</x:v>
      </x:c>
      <x:c r="K1575" s="5" t="str"/>
      <x:c r="L1575" s="5" t="str">
        <x:v>Organisationsentwicklung &amp; Change Management</x:v>
      </x:c>
      <x:c r="M1575" s="5" t="n">
        <x:v>10</x:v>
      </x:c>
      <x:c r="N1575" s="5" t="n">
        <x:v>10</x:v>
      </x:c>
      <x:c r="O1575" s="5" t="str"/>
      <x:c r="P1575" s="5" t="str">
        <x:v>Zuordnungsvorschlag; Fachfreigabe ausstehend</x:v>
      </x:c>
      <x:c r="Q1575" s="5" t="str">
        <x:v>Bestehendes Lernthema fachlich unter passendem Rahmenplan-Unterbereich behalten</x:v>
      </x:c>
      <x:c r="R1575" s="5" t="str">
        <x:v>Welche beiden Hauptziele verfolgt die Organisationsentwicklung und welche Wirkungen können sich daraus für Beschäftigte und Unternehmen ergeben?</x:v>
      </x:c>
      <x:c r="S1575" s="5" t="str">
        <x:v>48e6fc89a068d0ed954f63e83c3ea959f003057d421bb393e74b472fe813dc5f</x:v>
      </x:c>
    </x:row>
    <x:row r="1576" ht="36" customHeight="1">
      <x:c r="A1576" s="5" t="str">
        <x:v>BM-0131</x:v>
      </x:c>
      <x:c r="B1576" s="5" t="str">
        <x:v>HQ</x:v>
      </x:c>
      <x:c r="C1576" s="5" t="str">
        <x:v>5</x:v>
      </x:c>
      <x:c r="D1576" s="5" t="str">
        <x:v>Betriebliches Management</x:v>
      </x:c>
      <x:c r="E1576" s="5" t="str">
        <x:v>Betriebliches Management</x:v>
      </x:c>
      <x:c r="F1576" s="5" t="str">
        <x:v>ui-hq-0014</x:v>
      </x:c>
      <x:c r="G1576" s="5" t="str">
        <x:v>Organisations- und Personalentwicklung</x:v>
      </x:c>
      <x:c r="H1576" s="5" t="str">
        <x:v>dg-hq-0082</x:v>
      </x:c>
      <x:c r="I1576" s="5" t="str">
        <x:v>5.2.2</x:v>
      </x:c>
      <x:c r="J1576" s="5" t="str">
        <x:v>Organisationsentwicklung (OE)</x:v>
      </x:c>
      <x:c r="K1576" s="5" t="str"/>
      <x:c r="L1576" s="5" t="str">
        <x:v>Organisationsentwicklung &amp; Change Management</x:v>
      </x:c>
      <x:c r="M1576" s="5" t="n">
        <x:v>11</x:v>
      </x:c>
      <x:c r="N1576" s="5" t="n">
        <x:v>11</x:v>
      </x:c>
      <x:c r="O1576" s="5" t="str"/>
      <x:c r="P1576" s="5" t="str">
        <x:v>Zuordnungsvorschlag; Fachfreigabe ausstehend</x:v>
      </x:c>
      <x:c r="Q1576" s="5" t="str">
        <x:v>Bestehendes Lernthema fachlich unter passendem Rahmenplan-Unterbereich behalten</x:v>
      </x:c>
      <x:c r="R1576" s="5" t="str">
        <x:v>Welche Voraussetzungen fördern ein erfolgreiches Change Management und welche Ansätze sind eher ungeeignet?</x:v>
      </x:c>
      <x:c r="S1576" s="5" t="str">
        <x:v>732c466a9fcc39bc45fd35a3746010ff1d170bba2774c959ba611ce297bd80b4</x:v>
      </x:c>
    </x:row>
    <x:row r="1577" ht="36" customHeight="1">
      <x:c r="A1577" s="5" t="str">
        <x:v>BM-0132</x:v>
      </x:c>
      <x:c r="B1577" s="5" t="str">
        <x:v>HQ</x:v>
      </x:c>
      <x:c r="C1577" s="5" t="str">
        <x:v>5</x:v>
      </x:c>
      <x:c r="D1577" s="5" t="str">
        <x:v>Betriebliches Management</x:v>
      </x:c>
      <x:c r="E1577" s="5" t="str">
        <x:v>Betriebliches Management</x:v>
      </x:c>
      <x:c r="F1577" s="5" t="str">
        <x:v>ui-hq-0014</x:v>
      </x:c>
      <x:c r="G1577" s="5" t="str">
        <x:v>Organisations- und Personalentwicklung</x:v>
      </x:c>
      <x:c r="H1577" s="5" t="str">
        <x:v>dg-hq-0082</x:v>
      </x:c>
      <x:c r="I1577" s="5" t="str">
        <x:v>5.2.2</x:v>
      </x:c>
      <x:c r="J1577" s="5" t="str">
        <x:v>Organisationsentwicklung (OE)</x:v>
      </x:c>
      <x:c r="K1577" s="5" t="str"/>
      <x:c r="L1577" s="5" t="str">
        <x:v>Organisationsentwicklung &amp; Change Management</x:v>
      </x:c>
      <x:c r="M1577" s="5" t="n">
        <x:v>12</x:v>
      </x:c>
      <x:c r="N1577" s="5" t="n">
        <x:v>12</x:v>
      </x:c>
      <x:c r="O1577" s="5" t="str"/>
      <x:c r="P1577" s="5" t="str">
        <x:v>Zuordnungsvorschlag; Fachfreigabe ausstehend</x:v>
      </x:c>
      <x:c r="Q1577" s="5" t="str">
        <x:v>Bestehendes Lernthema fachlich unter passendem Rahmenplan-Unterbereich behalten</x:v>
      </x:c>
      <x:c r="R1577" s="5" t="str">
        <x:v>Erläutern Sie vier typische Zielbereiche der Organisationsentwicklung: Unternehmensflexibilität, Ressourcennutzung, Arbeitsabläufe und Mitarbeiterkompetenz.</x:v>
      </x:c>
      <x:c r="S1577" s="5" t="str">
        <x:v>f833ebcbddeafbe8a37ec82a1b0804c2d222c5eb5e0fed09eb948231f651a8ad</x:v>
      </x:c>
    </x:row>
    <x:row r="1578" ht="36" customHeight="1">
      <x:c r="A1578" s="5" t="str">
        <x:v>BM-0133</x:v>
      </x:c>
      <x:c r="B1578" s="5" t="str">
        <x:v>HQ</x:v>
      </x:c>
      <x:c r="C1578" s="5" t="str">
        <x:v>5</x:v>
      </x:c>
      <x:c r="D1578" s="5" t="str">
        <x:v>Betriebliches Management</x:v>
      </x:c>
      <x:c r="E1578" s="5" t="str">
        <x:v>Betriebliches Management</x:v>
      </x:c>
      <x:c r="F1578" s="5" t="str">
        <x:v>ui-hq-0014</x:v>
      </x:c>
      <x:c r="G1578" s="5" t="str">
        <x:v>Organisations- und Personalentwicklung</x:v>
      </x:c>
      <x:c r="H1578" s="5" t="str">
        <x:v>dg-hq-0082</x:v>
      </x:c>
      <x:c r="I1578" s="5" t="str">
        <x:v>5.2.2</x:v>
      </x:c>
      <x:c r="J1578" s="5" t="str">
        <x:v>Organisationsentwicklung (OE)</x:v>
      </x:c>
      <x:c r="K1578" s="5" t="str"/>
      <x:c r="L1578" s="5" t="str">
        <x:v>Organisationsentwicklung &amp; Change Management</x:v>
      </x:c>
      <x:c r="M1578" s="5" t="n">
        <x:v>13</x:v>
      </x:c>
      <x:c r="N1578" s="5" t="n">
        <x:v>13</x:v>
      </x:c>
      <x:c r="O1578" s="5" t="str"/>
      <x:c r="P1578" s="5" t="str">
        <x:v>Zuordnungsvorschlag; Fachfreigabe ausstehend</x:v>
      </x:c>
      <x:c r="Q1578" s="5" t="str">
        <x:v>Bestehendes Lernthema fachlich unter passendem Rahmenplan-Unterbereich behalten</x:v>
      </x:c>
      <x:c r="R1578" s="5" t="str">
        <x:v>Welche Kommunikations- und Beteiligungsmaßnahmen helfen Führungskräften, Sorgen der Beschäftigten vor einer größeren Veränderung aufzugreifen?</x:v>
      </x:c>
      <x:c r="S1578" s="5" t="str">
        <x:v>f9e22de491465a9111aa9189552e1c4fd4aaaea62c21720005989a4c077d5586</x:v>
      </x:c>
    </x:row>
    <x:row r="1579" ht="36" customHeight="1">
      <x:c r="A1579" s="5" t="str">
        <x:v>BM-0134</x:v>
      </x:c>
      <x:c r="B1579" s="5" t="str">
        <x:v>HQ</x:v>
      </x:c>
      <x:c r="C1579" s="5" t="str">
        <x:v>5</x:v>
      </x:c>
      <x:c r="D1579" s="5" t="str">
        <x:v>Betriebliches Management</x:v>
      </x:c>
      <x:c r="E1579" s="5" t="str">
        <x:v>Betriebliches Management</x:v>
      </x:c>
      <x:c r="F1579" s="5" t="str">
        <x:v>ui-hq-0014</x:v>
      </x:c>
      <x:c r="G1579" s="5" t="str">
        <x:v>Organisations- und Personalentwicklung</x:v>
      </x:c>
      <x:c r="H1579" s="5" t="str">
        <x:v>dg-hq-0082</x:v>
      </x:c>
      <x:c r="I1579" s="5" t="str">
        <x:v>5.2.2</x:v>
      </x:c>
      <x:c r="J1579" s="5" t="str">
        <x:v>Organisationsentwicklung (OE)</x:v>
      </x:c>
      <x:c r="K1579" s="5" t="str"/>
      <x:c r="L1579" s="5" t="str">
        <x:v>Organisationsentwicklung &amp; Change Management</x:v>
      </x:c>
      <x:c r="M1579" s="5" t="n">
        <x:v>14</x:v>
      </x:c>
      <x:c r="N1579" s="5" t="n">
        <x:v>14</x:v>
      </x:c>
      <x:c r="O1579" s="5" t="str"/>
      <x:c r="P1579" s="5" t="str">
        <x:v>Zuordnungsvorschlag; Fachfreigabe ausstehend</x:v>
      </x:c>
      <x:c r="Q1579" s="5" t="str">
        <x:v>Bestehendes Lernthema fachlich unter passendem Rahmenplan-Unterbereich behalten</x:v>
      </x:c>
      <x:c r="R1579" s="5" t="str">
        <x:v>Ordnen Sie typische Ursachen von Organisationsveränderungen danach ein, ob sie überwiegend aus dem Unternehmen selbst oder aus seinem Umfeld entstehen.</x:v>
      </x:c>
      <x:c r="S1579" s="5" t="str">
        <x:v>28d06199d092e43ce643020916532f9ba1e6c8f6482cf8ee8ec537499ab4d9b1</x:v>
      </x:c>
    </x:row>
    <x:row r="1580" ht="36" customHeight="1">
      <x:c r="A1580" s="5" t="str">
        <x:v>BM-0135</x:v>
      </x:c>
      <x:c r="B1580" s="5" t="str">
        <x:v>HQ</x:v>
      </x:c>
      <x:c r="C1580" s="5" t="str">
        <x:v>5</x:v>
      </x:c>
      <x:c r="D1580" s="5" t="str">
        <x:v>Betriebliches Management</x:v>
      </x:c>
      <x:c r="E1580" s="5" t="str">
        <x:v>Betriebliches Management</x:v>
      </x:c>
      <x:c r="F1580" s="5" t="str">
        <x:v>ui-hq-0014</x:v>
      </x:c>
      <x:c r="G1580" s="5" t="str">
        <x:v>Organisations- und Personalentwicklung</x:v>
      </x:c>
      <x:c r="H1580" s="5" t="str">
        <x:v>dg-hq-0082</x:v>
      </x:c>
      <x:c r="I1580" s="5" t="str">
        <x:v>5.2.2</x:v>
      </x:c>
      <x:c r="J1580" s="5" t="str">
        <x:v>Organisationsentwicklung (OE)</x:v>
      </x:c>
      <x:c r="K1580" s="5" t="str"/>
      <x:c r="L1580" s="5" t="str">
        <x:v>Organisationsentwicklung &amp; Change Management</x:v>
      </x:c>
      <x:c r="M1580" s="5" t="n">
        <x:v>15</x:v>
      </x:c>
      <x:c r="N1580" s="5" t="n">
        <x:v>15</x:v>
      </x:c>
      <x:c r="O1580" s="5" t="str"/>
      <x:c r="P1580" s="5" t="str">
        <x:v>Zuordnungsvorschlag; Fachfreigabe ausstehend</x:v>
      </x:c>
      <x:c r="Q1580" s="5" t="str">
        <x:v>Bestehendes Lernthema fachlich unter passendem Rahmenplan-Unterbereich behalten</x:v>
      </x:c>
      <x:c r="R1580" s="5" t="str">
        <x:v>Erläutern Sie die drei Phasen des Veränderungsmodells nach Lewin anhand der Einführung eines neuen Vergütungssystems und erklären Sie die zugrunde liegende Kraftfeldidee.</x:v>
      </x:c>
      <x:c r="S1580" s="5" t="str">
        <x:v>693918f76241c05d0c0e8f42bf9283067dea88ba76d8d76d49dc34f3b4b5fb57</x:v>
      </x:c>
    </x:row>
    <x:row r="1581" ht="36" customHeight="1">
      <x:c r="A1581" s="5" t="str">
        <x:v>BM-0136</x:v>
      </x:c>
      <x:c r="B1581" s="5" t="str">
        <x:v>HQ</x:v>
      </x:c>
      <x:c r="C1581" s="5" t="str">
        <x:v>5</x:v>
      </x:c>
      <x:c r="D1581" s="5" t="str">
        <x:v>Betriebliches Management</x:v>
      </x:c>
      <x:c r="E1581" s="5" t="str">
        <x:v>Betriebliches Management</x:v>
      </x:c>
      <x:c r="F1581" s="5" t="str">
        <x:v>ui-hq-0014</x:v>
      </x:c>
      <x:c r="G1581" s="5" t="str">
        <x:v>Organisations- und Personalentwicklung</x:v>
      </x:c>
      <x:c r="H1581" s="5" t="str">
        <x:v>dg-hq-0082</x:v>
      </x:c>
      <x:c r="I1581" s="5" t="str">
        <x:v>5.2.2</x:v>
      </x:c>
      <x:c r="J1581" s="5" t="str">
        <x:v>Organisationsentwicklung (OE)</x:v>
      </x:c>
      <x:c r="K1581" s="5" t="str"/>
      <x:c r="L1581" s="5" t="str">
        <x:v>Organisationsentwicklung &amp; Change Management</x:v>
      </x:c>
      <x:c r="M1581" s="5" t="n">
        <x:v>16</x:v>
      </x:c>
      <x:c r="N1581" s="5" t="n">
        <x:v>16</x:v>
      </x:c>
      <x:c r="O1581" s="5" t="str"/>
      <x:c r="P1581" s="5" t="str">
        <x:v>Zuordnungsvorschlag; Fachfreigabe ausstehend</x:v>
      </x:c>
      <x:c r="Q1581" s="5" t="str">
        <x:v>Bestehendes Lernthema fachlich unter passendem Rahmenplan-Unterbereich behalten</x:v>
      </x:c>
      <x:c r="R1581" s="5" t="str">
        <x:v>Wie können Unternehmen Lern- und Veränderungsprozesse unterstützen, was versteht man unter Change Management und welche klassischen, agilen und digitalen Verbesserungsansätze gibt es?</x:v>
      </x:c>
      <x:c r="S1581" s="5" t="str">
        <x:v>598fabe12b8d959fbd4a71cbcf961089c14b6b35b4959be6c3972dc624e32195</x:v>
      </x:c>
    </x:row>
    <x:row r="1582" ht="36" customHeight="1">
      <x:c r="A1582" s="5" t="str">
        <x:v>BM-0137</x:v>
      </x:c>
      <x:c r="B1582" s="5" t="str">
        <x:v>HQ</x:v>
      </x:c>
      <x:c r="C1582" s="5" t="str">
        <x:v>5</x:v>
      </x:c>
      <x:c r="D1582" s="5" t="str">
        <x:v>Betriebliches Management</x:v>
      </x:c>
      <x:c r="E1582" s="5" t="str">
        <x:v>Betriebliches Management</x:v>
      </x:c>
      <x:c r="F1582" s="5" t="str">
        <x:v>ui-hq-0014</x:v>
      </x:c>
      <x:c r="G1582" s="5" t="str">
        <x:v>Organisations- und Personalentwicklung</x:v>
      </x:c>
      <x:c r="H1582" s="5" t="str">
        <x:v>dg-hq-0082</x:v>
      </x:c>
      <x:c r="I1582" s="5" t="str">
        <x:v>5.2.2.3</x:v>
      </x:c>
      <x:c r="J1582" s="5" t="str">
        <x:v>Lernende Organisation</x:v>
      </x:c>
      <x:c r="K1582" s="5" t="str"/>
      <x:c r="L1582" s="5" t="str">
        <x:v>Organisationsentwicklung &amp; Change Management</x:v>
      </x:c>
      <x:c r="M1582" s="5" t="n">
        <x:v>17</x:v>
      </x:c>
      <x:c r="N1582" s="5" t="n">
        <x:v>17</x:v>
      </x:c>
      <x:c r="O1582" s="5" t="str"/>
      <x:c r="P1582" s="5" t="str">
        <x:v>Zuordnungsvorschlag; Fachfreigabe ausstehend</x:v>
      </x:c>
      <x:c r="Q1582" s="5" t="str">
        <x:v>Bestehendes Lernthema fachlich unter passendem Rahmenplan-Unterbereich behalten</x:v>
      </x:c>
      <x:c r="R1582" s="5" t="str">
        <x:v>Was kennzeichnet eine lernende Organisation, welche grundlegenden Prinzipien gehören dazu und mit welchen Maßnahmen kann sie gefördert werden?</x:v>
      </x:c>
      <x:c r="S1582" s="5" t="str">
        <x:v>14ac5fcfe7041b0106b5e183ff522240ba69a49248804d5bc1ec9b1a134b51ea</x:v>
      </x:c>
    </x:row>
    <x:row r="1583" ht="36" customHeight="1">
      <x:c r="A1583" s="5" t="str">
        <x:v>BM-0138</x:v>
      </x:c>
      <x:c r="B1583" s="5" t="str">
        <x:v>HQ</x:v>
      </x:c>
      <x:c r="C1583" s="5" t="str">
        <x:v>5</x:v>
      </x:c>
      <x:c r="D1583" s="5" t="str">
        <x:v>Betriebliches Management</x:v>
      </x:c>
      <x:c r="E1583" s="5" t="str">
        <x:v>Betriebliches Management</x:v>
      </x:c>
      <x:c r="F1583" s="5" t="str">
        <x:v>ui-hq-0014</x:v>
      </x:c>
      <x:c r="G1583" s="5" t="str">
        <x:v>Organisations- und Personalentwicklung</x:v>
      </x:c>
      <x:c r="H1583" s="5" t="str">
        <x:v>dg-hq-0082</x:v>
      </x:c>
      <x:c r="I1583" s="5" t="str">
        <x:v>5.2.2.2#2</x:v>
      </x:c>
      <x:c r="J1583" s="5" t="str">
        <x:v>Phasen des OE-Prozesses</x:v>
      </x:c>
      <x:c r="K1583" s="5" t="str"/>
      <x:c r="L1583" s="5" t="str">
        <x:v>Organisationsentwicklung &amp; Change Management</x:v>
      </x:c>
      <x:c r="M1583" s="5" t="n">
        <x:v>18</x:v>
      </x:c>
      <x:c r="N1583" s="5" t="n">
        <x:v>18</x:v>
      </x:c>
      <x:c r="O1583" s="5" t="str"/>
      <x:c r="P1583" s="5" t="str">
        <x:v>Zuordnungsvorschlag; Fachfreigabe ausstehend</x:v>
      </x:c>
      <x:c r="Q1583" s="5" t="str">
        <x:v>Bestehendes Lernthema fachlich unter passendem Rahmenplan-Unterbereich behalten</x:v>
      </x:c>
      <x:c r="R1583" s="5" t="str">
        <x:v>Beschreiben Sie die vier Schritte eines kontinuierlichen Verbesserungsprozesses und erklären Sie den Kreislaufcharakter.</x:v>
      </x:c>
      <x:c r="S1583" s="5" t="str">
        <x:v>a1db8d0d70bdaaff6c89f55e55492f86f12a5be16e570b675251fcc1989daf59</x:v>
      </x:c>
    </x:row>
    <x:row r="1584" ht="36" customHeight="1">
      <x:c r="A1584" s="5" t="str">
        <x:v>BM-0139</x:v>
      </x:c>
      <x:c r="B1584" s="5" t="str">
        <x:v>HQ</x:v>
      </x:c>
      <x:c r="C1584" s="5" t="str">
        <x:v>5</x:v>
      </x:c>
      <x:c r="D1584" s="5" t="str">
        <x:v>Betriebliches Management</x:v>
      </x:c>
      <x:c r="E1584" s="5" t="str">
        <x:v>Betriebliches Management</x:v>
      </x:c>
      <x:c r="F1584" s="5" t="str">
        <x:v>ui-hq-0014</x:v>
      </x:c>
      <x:c r="G1584" s="5" t="str">
        <x:v>Organisations- und Personalentwicklung</x:v>
      </x:c>
      <x:c r="H1584" s="5" t="str">
        <x:v>dg-hq-0084</x:v>
      </x:c>
      <x:c r="I1584" s="5" t="str">
        <x:v>5.2.3</x:v>
      </x:c>
      <x:c r="J1584" s="5" t="str">
        <x:v>Personalentwicklung (PE)</x:v>
      </x:c>
      <x:c r="K1584" s="5" t="str"/>
      <x:c r="L1584" s="5" t="str">
        <x:v>Personalentwicklung</x:v>
      </x:c>
      <x:c r="M1584" s="5" t="n">
        <x:v>19</x:v>
      </x:c>
      <x:c r="N1584" s="5" t="n">
        <x:v>1</x:v>
      </x:c>
      <x:c r="O1584" s="5" t="str"/>
      <x:c r="P1584" s="5" t="str">
        <x:v>Zuordnungsvorschlag; Fachfreigabe ausstehend</x:v>
      </x:c>
      <x:c r="Q1584" s="5" t="str">
        <x:v>Bestehendes Lernthema fachlich unter passendem Rahmenplan-Unterbereich behalten</x:v>
      </x:c>
      <x:c r="R1584" s="5" t="str">
        <x:v>Ordnen Sie Maßnahmen der berufsvorbereitenden, berufsbegleitenden oder berufsverändernden Personalentwicklung zu.</x:v>
      </x:c>
      <x:c r="S1584" s="5" t="str">
        <x:v>a46facc1e2e3948d0e6129b3bd6eab835206151d21ce154123326afb3bcd5e10</x:v>
      </x:c>
    </x:row>
    <x:row r="1585" ht="36" customHeight="1">
      <x:c r="A1585" s="5" t="str">
        <x:v>BM-0140</x:v>
      </x:c>
      <x:c r="B1585" s="5" t="str">
        <x:v>HQ</x:v>
      </x:c>
      <x:c r="C1585" s="5" t="str">
        <x:v>5</x:v>
      </x:c>
      <x:c r="D1585" s="5" t="str">
        <x:v>Betriebliches Management</x:v>
      </x:c>
      <x:c r="E1585" s="5" t="str">
        <x:v>Betriebliches Management</x:v>
      </x:c>
      <x:c r="F1585" s="5" t="str">
        <x:v>ui-hq-0014</x:v>
      </x:c>
      <x:c r="G1585" s="5" t="str">
        <x:v>Organisations- und Personalentwicklung</x:v>
      </x:c>
      <x:c r="H1585" s="5" t="str">
        <x:v>dg-hq-0084</x:v>
      </x:c>
      <x:c r="I1585" s="5" t="str">
        <x:v>5.2.3</x:v>
      </x:c>
      <x:c r="J1585" s="5" t="str">
        <x:v>Personalentwicklung (PE)</x:v>
      </x:c>
      <x:c r="K1585" s="5" t="str"/>
      <x:c r="L1585" s="5" t="str">
        <x:v>Personalentwicklung</x:v>
      </x:c>
      <x:c r="M1585" s="5" t="n">
        <x:v>20</x:v>
      </x:c>
      <x:c r="N1585" s="5" t="n">
        <x:v>2</x:v>
      </x:c>
      <x:c r="O1585" s="5" t="str"/>
      <x:c r="P1585" s="5" t="str">
        <x:v>Zuordnungsvorschlag; Fachfreigabe ausstehend</x:v>
      </x:c>
      <x:c r="Q1585" s="5" t="str">
        <x:v>Bestehendes Lernthema fachlich unter passendem Rahmenplan-Unterbereich behalten</x:v>
      </x:c>
      <x:c r="R1585" s="5" t="str">
        <x:v>Welche Ziele verfolgt Personalentwicklung aus Sicht des Unternehmens und welche aus Sicht der Beschäftigten?</x:v>
      </x:c>
      <x:c r="S1585" s="5" t="str">
        <x:v>9859afb4cf9ac9a6860f0fccebac3706f9b2d6e0999ba461469d90a2ef2f7891</x:v>
      </x:c>
    </x:row>
    <x:row r="1586" ht="36" customHeight="1">
      <x:c r="A1586" s="5" t="str">
        <x:v>BM-0141</x:v>
      </x:c>
      <x:c r="B1586" s="5" t="str">
        <x:v>HQ</x:v>
      </x:c>
      <x:c r="C1586" s="5" t="str">
        <x:v>5</x:v>
      </x:c>
      <x:c r="D1586" s="5" t="str">
        <x:v>Betriebliches Management</x:v>
      </x:c>
      <x:c r="E1586" s="5" t="str">
        <x:v>Betriebliches Management</x:v>
      </x:c>
      <x:c r="F1586" s="5" t="str">
        <x:v>ui-hq-0014</x:v>
      </x:c>
      <x:c r="G1586" s="5" t="str">
        <x:v>Organisations- und Personalentwicklung</x:v>
      </x:c>
      <x:c r="H1586" s="5" t="str">
        <x:v>dg-hq-0084</x:v>
      </x:c>
      <x:c r="I1586" s="5" t="str">
        <x:v>5.2.3</x:v>
      </x:c>
      <x:c r="J1586" s="5" t="str">
        <x:v>Personalentwicklung (PE)</x:v>
      </x:c>
      <x:c r="K1586" s="5" t="str"/>
      <x:c r="L1586" s="5" t="str">
        <x:v>Personalentwicklung</x:v>
      </x:c>
      <x:c r="M1586" s="5" t="n">
        <x:v>21</x:v>
      </x:c>
      <x:c r="N1586" s="5" t="n">
        <x:v>3</x:v>
      </x:c>
      <x:c r="O1586" s="5" t="str"/>
      <x:c r="P1586" s="5" t="str">
        <x:v>Zuordnungsvorschlag; Fachfreigabe ausstehend</x:v>
      </x:c>
      <x:c r="Q1586" s="5" t="str">
        <x:v>Bestehendes Lernthema fachlich unter passendem Rahmenplan-Unterbereich behalten</x:v>
      </x:c>
      <x:c r="R1586" s="5" t="str">
        <x:v>Ordnen Sie die Merkmalskombinationen den vier Feldern des Personalportfolios zu. Ordnen Sie anschließend die genannten Entwicklungsmaßnahmen den Work Horses oder Wild Cats zu.</x:v>
      </x:c>
      <x:c r="S1586" s="5" t="str">
        <x:v>46f18e7de428221ea433acc73d11c6f1329258c2b34cfd14869788bb58207bd8</x:v>
      </x:c>
    </x:row>
    <x:row r="1587" ht="36" customHeight="1">
      <x:c r="A1587" s="5" t="str">
        <x:v>BM-0142</x:v>
      </x:c>
      <x:c r="B1587" s="5" t="str">
        <x:v>HQ</x:v>
      </x:c>
      <x:c r="C1587" s="5" t="str">
        <x:v>5</x:v>
      </x:c>
      <x:c r="D1587" s="5" t="str">
        <x:v>Betriebliches Management</x:v>
      </x:c>
      <x:c r="E1587" s="5" t="str">
        <x:v>Betriebliches Management</x:v>
      </x:c>
      <x:c r="F1587" s="5" t="str">
        <x:v>ui-hq-0014</x:v>
      </x:c>
      <x:c r="G1587" s="5" t="str">
        <x:v>Organisations- und Personalentwicklung</x:v>
      </x:c>
      <x:c r="H1587" s="5" t="str">
        <x:v>dg-hq-0084</x:v>
      </x:c>
      <x:c r="I1587" s="5" t="str">
        <x:v>5.2.3</x:v>
      </x:c>
      <x:c r="J1587" s="5" t="str">
        <x:v>Personalentwicklung (PE)</x:v>
      </x:c>
      <x:c r="K1587" s="5" t="str"/>
      <x:c r="L1587" s="5" t="str">
        <x:v>Personalentwicklung</x:v>
      </x:c>
      <x:c r="M1587" s="5" t="n">
        <x:v>22</x:v>
      </x:c>
      <x:c r="N1587" s="5" t="n">
        <x:v>4</x:v>
      </x:c>
      <x:c r="O1587" s="5" t="str"/>
      <x:c r="P1587" s="5" t="str">
        <x:v>Zuordnungsvorschlag; Fachfreigabe ausstehend</x:v>
      </x:c>
      <x:c r="Q1587" s="5" t="str">
        <x:v>Bestehendes Lernthema fachlich unter passendem Rahmenplan-Unterbereich behalten</x:v>
      </x:c>
      <x:c r="R1587" s="5" t="str">
        <x:v>Welche Aufgaben tragen Unternehmensleitung, Personalabteilung, Führungskräfte, Betriebsrat und Mitarbeitende im Rahmen der Personalentwicklung?</x:v>
      </x:c>
      <x:c r="S1587" s="5" t="str">
        <x:v>31c91be53e9c3f2012d1c5e628c32acb2ccd05dca8a73fb0bfe6a74020a123ba</x:v>
      </x:c>
    </x:row>
    <x:row r="1588" ht="36" customHeight="1">
      <x:c r="A1588" s="5" t="str">
        <x:v>BM-0143</x:v>
      </x:c>
      <x:c r="B1588" s="5" t="str">
        <x:v>HQ</x:v>
      </x:c>
      <x:c r="C1588" s="5" t="str">
        <x:v>5</x:v>
      </x:c>
      <x:c r="D1588" s="5" t="str">
        <x:v>Betriebliches Management</x:v>
      </x:c>
      <x:c r="E1588" s="5" t="str">
        <x:v>Betriebliches Management</x:v>
      </x:c>
      <x:c r="F1588" s="5" t="str">
        <x:v>ui-hq-0014</x:v>
      </x:c>
      <x:c r="G1588" s="5" t="str">
        <x:v>Organisations- und Personalentwicklung</x:v>
      </x:c>
      <x:c r="H1588" s="5" t="str">
        <x:v>dg-hq-0084</x:v>
      </x:c>
      <x:c r="I1588" s="5" t="str">
        <x:v>5.2.3</x:v>
      </x:c>
      <x:c r="J1588" s="5" t="str">
        <x:v>Personalentwicklung (PE)</x:v>
      </x:c>
      <x:c r="K1588" s="5" t="str"/>
      <x:c r="L1588" s="5" t="str">
        <x:v>Personalentwicklung</x:v>
      </x:c>
      <x:c r="M1588" s="5" t="n">
        <x:v>23</x:v>
      </x:c>
      <x:c r="N1588" s="5" t="n">
        <x:v>5</x:v>
      </x:c>
      <x:c r="O1588" s="5" t="str"/>
      <x:c r="P1588" s="5" t="str">
        <x:v>Zuordnungsvorschlag; Fachfreigabe ausstehend</x:v>
      </x:c>
      <x:c r="Q1588" s="5" t="str">
        <x:v>Bestehendes Lernthema fachlich unter passendem Rahmenplan-Unterbereich behalten</x:v>
      </x:c>
      <x:c r="R1588" s="5" t="str">
        <x:v>Welche fünf Schritte umfasst ein systematischer Personalentwicklungsprozess und mit welchen Methoden lässt sich der Erfolg einer PE-Maßnahme überprüfen?</x:v>
      </x:c>
      <x:c r="S1588" s="5" t="str">
        <x:v>37d4db7af0d648d5a5f2052c79f4eb62adea0b1e7de788a80a2ff4d75e96c0d9</x:v>
      </x:c>
    </x:row>
    <x:row r="1589" ht="36" customHeight="1">
      <x:c r="A1589" s="5" t="str">
        <x:v>BM-0144</x:v>
      </x:c>
      <x:c r="B1589" s="5" t="str">
        <x:v>HQ</x:v>
      </x:c>
      <x:c r="C1589" s="5" t="str">
        <x:v>5</x:v>
      </x:c>
      <x:c r="D1589" s="5" t="str">
        <x:v>Betriebliches Management</x:v>
      </x:c>
      <x:c r="E1589" s="5" t="str">
        <x:v>Betriebliches Management</x:v>
      </x:c>
      <x:c r="F1589" s="5" t="str">
        <x:v>ui-hq-0014</x:v>
      </x:c>
      <x:c r="G1589" s="5" t="str">
        <x:v>Organisations- und Personalentwicklung</x:v>
      </x:c>
      <x:c r="H1589" s="5" t="str">
        <x:v>dg-hq-0084</x:v>
      </x:c>
      <x:c r="I1589" s="5" t="str">
        <x:v>5.2.3</x:v>
      </x:c>
      <x:c r="J1589" s="5" t="str">
        <x:v>Personalentwicklung (PE)</x:v>
      </x:c>
      <x:c r="K1589" s="5" t="str"/>
      <x:c r="L1589" s="5" t="str">
        <x:v>Personalentwicklung</x:v>
      </x:c>
      <x:c r="M1589" s="5" t="n">
        <x:v>24</x:v>
      </x:c>
      <x:c r="N1589" s="5" t="n">
        <x:v>6</x:v>
      </x:c>
      <x:c r="O1589" s="5" t="str"/>
      <x:c r="P1589" s="5" t="str">
        <x:v>Zuordnungsvorschlag; Fachfreigabe ausstehend</x:v>
      </x:c>
      <x:c r="Q1589" s="5" t="str">
        <x:v>Bestehendes Lernthema fachlich unter passendem Rahmenplan-Unterbereich behalten</x:v>
      </x:c>
      <x:c r="R1589" s="5" t="str">
        <x:v>Welche Beteiligungsrechte hat der Betriebsrat bei ausgewählten Maßnahmen der Personalplanung und Personalentwicklung?</x:v>
      </x:c>
      <x:c r="S1589" s="5" t="str">
        <x:v>f62d427c8cb9754a5a8ffb9a034ee74ac71ea4a988272ead95590caa45abe994</x:v>
      </x:c>
    </x:row>
    <x:row r="1590" ht="36" customHeight="1">
      <x:c r="A1590" s="5" t="str">
        <x:v>BM-0145</x:v>
      </x:c>
      <x:c r="B1590" s="5" t="str">
        <x:v>HQ</x:v>
      </x:c>
      <x:c r="C1590" s="5" t="str">
        <x:v>5</x:v>
      </x:c>
      <x:c r="D1590" s="5" t="str">
        <x:v>Betriebliches Management</x:v>
      </x:c>
      <x:c r="E1590" s="5" t="str">
        <x:v>Betriebliches Management</x:v>
      </x:c>
      <x:c r="F1590" s="5" t="str">
        <x:v>ui-hq-0014</x:v>
      </x:c>
      <x:c r="G1590" s="5" t="str">
        <x:v>Organisations- und Personalentwicklung</x:v>
      </x:c>
      <x:c r="H1590" s="5" t="str">
        <x:v>dg-hq-0084</x:v>
      </x:c>
      <x:c r="I1590" s="5" t="str">
        <x:v>5.2.3</x:v>
      </x:c>
      <x:c r="J1590" s="5" t="str">
        <x:v>Personalentwicklung (PE)</x:v>
      </x:c>
      <x:c r="K1590" s="5" t="str"/>
      <x:c r="L1590" s="5" t="str">
        <x:v>Personalentwicklung</x:v>
      </x:c>
      <x:c r="M1590" s="5" t="n">
        <x:v>25</x:v>
      </x:c>
      <x:c r="N1590" s="5" t="n">
        <x:v>7</x:v>
      </x:c>
      <x:c r="O1590" s="5" t="str"/>
      <x:c r="P1590" s="5" t="str">
        <x:v>Zuordnungsvorschlag; Fachfreigabe ausstehend</x:v>
      </x:c>
      <x:c r="Q1590" s="5" t="str">
        <x:v>Bestehendes Lernthema fachlich unter passendem Rahmenplan-Unterbereich behalten</x:v>
      </x:c>
      <x:c r="R1590" s="5" t="str">
        <x:v>Im betrieblichen Management von Circle Harbor: Bringen Sie die fünf Phasen eines Personalentwicklungsprozesses in die richtige Reihenfolge und ordnen Sie ihnen Bedarf, Ziele, Maßnahmen und Erfolg zu.</x:v>
      </x:c>
      <x:c r="S1590" s="5" t="str">
        <x:v>4e6debd02e8b06428f7035179383bc935747b4fa312f82a059e62ce2ed855ef6</x:v>
      </x:c>
    </x:row>
    <x:row r="1591" ht="36" customHeight="1">
      <x:c r="A1591" s="5" t="str">
        <x:v>BM-0146</x:v>
      </x:c>
      <x:c r="B1591" s="5" t="str">
        <x:v>HQ</x:v>
      </x:c>
      <x:c r="C1591" s="5" t="str">
        <x:v>5</x:v>
      </x:c>
      <x:c r="D1591" s="5" t="str">
        <x:v>Betriebliches Management</x:v>
      </x:c>
      <x:c r="E1591" s="5" t="str">
        <x:v>Betriebliches Management</x:v>
      </x:c>
      <x:c r="F1591" s="5" t="str">
        <x:v>ui-hq-0014</x:v>
      </x:c>
      <x:c r="G1591" s="5" t="str">
        <x:v>Organisations- und Personalentwicklung</x:v>
      </x:c>
      <x:c r="H1591" s="5" t="str">
        <x:v>dg-hq-0084</x:v>
      </x:c>
      <x:c r="I1591" s="5" t="str">
        <x:v>5.2.3</x:v>
      </x:c>
      <x:c r="J1591" s="5" t="str">
        <x:v>Personalentwicklung (PE)</x:v>
      </x:c>
      <x:c r="K1591" s="5" t="str"/>
      <x:c r="L1591" s="5" t="str">
        <x:v>Personalentwicklung</x:v>
      </x:c>
      <x:c r="M1591" s="5" t="n">
        <x:v>26</x:v>
      </x:c>
      <x:c r="N1591" s="5" t="n">
        <x:v>8</x:v>
      </x:c>
      <x:c r="O1591" s="5" t="str"/>
      <x:c r="P1591" s="5" t="str">
        <x:v>Zuordnungsvorschlag; Fachfreigabe ausstehend</x:v>
      </x:c>
      <x:c r="Q1591" s="5" t="str">
        <x:v>Bestehendes Lernthema fachlich unter passendem Rahmenplan-Unterbereich behalten</x:v>
      </x:c>
      <x:c r="R1591" s="5" t="str">
        <x:v>Was ist eine Stellenbeschreibung, welche Vorteile und Nachteile hat sie und welche Inhalte sollte sie typischerweise enthalten?</x:v>
      </x:c>
      <x:c r="S1591" s="5" t="str">
        <x:v>b3b979fc0610eea6fb9b6feb261c9a2cbbac736daef7c71b646f46e4fff63766</x:v>
      </x:c>
    </x:row>
    <x:row r="1592" ht="36" customHeight="1">
      <x:c r="A1592" s="5" t="str">
        <x:v>BM-0147</x:v>
      </x:c>
      <x:c r="B1592" s="5" t="str">
        <x:v>HQ</x:v>
      </x:c>
      <x:c r="C1592" s="5" t="str">
        <x:v>5</x:v>
      </x:c>
      <x:c r="D1592" s="5" t="str">
        <x:v>Betriebliches Management</x:v>
      </x:c>
      <x:c r="E1592" s="5" t="str">
        <x:v>Betriebliches Management</x:v>
      </x:c>
      <x:c r="F1592" s="5" t="str">
        <x:v>ui-hq-0014</x:v>
      </x:c>
      <x:c r="G1592" s="5" t="str">
        <x:v>Organisations- und Personalentwicklung</x:v>
      </x:c>
      <x:c r="H1592" s="5" t="str">
        <x:v>dg-hq-0084</x:v>
      </x:c>
      <x:c r="I1592" s="5" t="str">
        <x:v>5.2.3</x:v>
      </x:c>
      <x:c r="J1592" s="5" t="str">
        <x:v>Personalentwicklung (PE)</x:v>
      </x:c>
      <x:c r="K1592" s="5" t="str"/>
      <x:c r="L1592" s="5" t="str">
        <x:v>Personalentwicklung</x:v>
      </x:c>
      <x:c r="M1592" s="5" t="n">
        <x:v>27</x:v>
      </x:c>
      <x:c r="N1592" s="5" t="n">
        <x:v>9</x:v>
      </x:c>
      <x:c r="O1592" s="5" t="str"/>
      <x:c r="P1592" s="5" t="str">
        <x:v>Zuordnungsvorschlag; Fachfreigabe ausstehend</x:v>
      </x:c>
      <x:c r="Q1592" s="5" t="str">
        <x:v>Bestehendes Lernthema fachlich unter passendem Rahmenplan-Unterbereich behalten</x:v>
      </x:c>
      <x:c r="R1592" s="5" t="str">
        <x:v>Welche fünf Merkmalsgruppen werden in einem Anforderungsprofil typischerweise an die jeweilige Stelle angepasst, und was bedeutet Matching zwischen Anforderungs- und Fähigkeitsprofil?</x:v>
      </x:c>
      <x:c r="S1592" s="5" t="str">
        <x:v>9fbeac2a329851d9a5827ceab5887d027dc80fa11fb075c8daa13e160653d47d</x:v>
      </x:c>
    </x:row>
    <x:row r="1593" ht="36" customHeight="1">
      <x:c r="A1593" s="5" t="str">
        <x:v>BM-0148</x:v>
      </x:c>
      <x:c r="B1593" s="5" t="str">
        <x:v>HQ</x:v>
      </x:c>
      <x:c r="C1593" s="5" t="str">
        <x:v>5</x:v>
      </x:c>
      <x:c r="D1593" s="5" t="str">
        <x:v>Betriebliches Management</x:v>
      </x:c>
      <x:c r="E1593" s="5" t="str">
        <x:v>Betriebliches Management</x:v>
      </x:c>
      <x:c r="F1593" s="5" t="str">
        <x:v>ui-hq-0014</x:v>
      </x:c>
      <x:c r="G1593" s="5" t="str">
        <x:v>Organisations- und Personalentwicklung</x:v>
      </x:c>
      <x:c r="H1593" s="5" t="str">
        <x:v>dg-hq-0084</x:v>
      </x:c>
      <x:c r="I1593" s="5" t="str">
        <x:v>5.2.3</x:v>
      </x:c>
      <x:c r="J1593" s="5" t="str">
        <x:v>Personalentwicklung (PE)</x:v>
      </x:c>
      <x:c r="K1593" s="5" t="str"/>
      <x:c r="L1593" s="5" t="str">
        <x:v>Personalentwicklung</x:v>
      </x:c>
      <x:c r="M1593" s="5" t="n">
        <x:v>28</x:v>
      </x:c>
      <x:c r="N1593" s="5" t="n">
        <x:v>10</x:v>
      </x:c>
      <x:c r="O1593" s="5" t="str"/>
      <x:c r="P1593" s="5" t="str">
        <x:v>Zuordnungsvorschlag; Fachfreigabe ausstehend</x:v>
      </x:c>
      <x:c r="Q1593" s="5" t="str">
        <x:v>Bestehendes Lernthema fachlich unter passendem Rahmenplan-Unterbereich behalten</x:v>
      </x:c>
      <x:c r="R1593" s="5" t="str">
        <x:v>Welche vier Schritte umfasst eine systematische Potenzialeinschätzung im Personalentwicklungsgespräch und was geschieht in den einzelnen Schritten?</x:v>
      </x:c>
      <x:c r="S1593" s="5" t="str">
        <x:v>a25663c01a0b8dd4a10dbd88b0820139258ef41eccae86f95043aa4c4bdd73d2</x:v>
      </x:c>
    </x:row>
    <x:row r="1594" ht="36" customHeight="1">
      <x:c r="A1594" s="5" t="str">
        <x:v>BM-0149</x:v>
      </x:c>
      <x:c r="B1594" s="5" t="str">
        <x:v>HQ</x:v>
      </x:c>
      <x:c r="C1594" s="5" t="str">
        <x:v>5</x:v>
      </x:c>
      <x:c r="D1594" s="5" t="str">
        <x:v>Betriebliches Management</x:v>
      </x:c>
      <x:c r="E1594" s="5" t="str">
        <x:v>Betriebliches Management</x:v>
      </x:c>
      <x:c r="F1594" s="5" t="str">
        <x:v>ui-hq-0014</x:v>
      </x:c>
      <x:c r="G1594" s="5" t="str">
        <x:v>Organisations- und Personalentwicklung</x:v>
      </x:c>
      <x:c r="H1594" s="5" t="str">
        <x:v>dg-hq-0084</x:v>
      </x:c>
      <x:c r="I1594" s="5" t="str">
        <x:v>5.2.3</x:v>
      </x:c>
      <x:c r="J1594" s="5" t="str">
        <x:v>Personalentwicklung (PE)</x:v>
      </x:c>
      <x:c r="K1594" s="5" t="str"/>
      <x:c r="L1594" s="5" t="str">
        <x:v>Personalentwicklung</x:v>
      </x:c>
      <x:c r="M1594" s="5" t="n">
        <x:v>29</x:v>
      </x:c>
      <x:c r="N1594" s="5" t="n">
        <x:v>11</x:v>
      </x:c>
      <x:c r="O1594" s="5" t="str"/>
      <x:c r="P1594" s="5" t="str">
        <x:v>Zuordnungsvorschlag; Fachfreigabe ausstehend</x:v>
      </x:c>
      <x:c r="Q1594" s="5" t="str">
        <x:v>Bestehendes Lernthema fachlich unter passendem Rahmenplan-Unterbereich behalten</x:v>
      </x:c>
      <x:c r="R1594" s="5" t="str">
        <x:v>Welche Inhalte sollte ein praxistauglicher Potenzialbeurteilungsbogen erfassen, damit daraus Entwicklungsmaßnahmen abgeleitet werden können?</x:v>
      </x:c>
      <x:c r="S1594" s="5" t="str">
        <x:v>9db19ebca0d3cf05df0a659504b3180be4fb08f4c57aa546d5e7600792bdd63f</x:v>
      </x:c>
    </x:row>
    <x:row r="1595" ht="36" customHeight="1">
      <x:c r="A1595" s="5" t="str">
        <x:v>BM-0150</x:v>
      </x:c>
      <x:c r="B1595" s="5" t="str">
        <x:v>HQ</x:v>
      </x:c>
      <x:c r="C1595" s="5" t="str">
        <x:v>5</x:v>
      </x:c>
      <x:c r="D1595" s="5" t="str">
        <x:v>Betriebliches Management</x:v>
      </x:c>
      <x:c r="E1595" s="5" t="str">
        <x:v>Betriebliches Management</x:v>
      </x:c>
      <x:c r="F1595" s="5" t="str">
        <x:v>ui-hq-0014</x:v>
      </x:c>
      <x:c r="G1595" s="5" t="str">
        <x:v>Organisations- und Personalentwicklung</x:v>
      </x:c>
      <x:c r="H1595" s="5" t="str">
        <x:v>dg-hq-0084</x:v>
      </x:c>
      <x:c r="I1595" s="5" t="str">
        <x:v>5.2.3</x:v>
      </x:c>
      <x:c r="J1595" s="5" t="str">
        <x:v>Personalentwicklung (PE)</x:v>
      </x:c>
      <x:c r="K1595" s="5" t="str"/>
      <x:c r="L1595" s="5" t="str">
        <x:v>Personalentwicklung</x:v>
      </x:c>
      <x:c r="M1595" s="5" t="n">
        <x:v>30</x:v>
      </x:c>
      <x:c r="N1595" s="5" t="n">
        <x:v>12</x:v>
      </x:c>
      <x:c r="O1595" s="5" t="str"/>
      <x:c r="P1595" s="5" t="str">
        <x:v>Zuordnungsvorschlag; Fachfreigabe ausstehend</x:v>
      </x:c>
      <x:c r="Q1595" s="5" t="str">
        <x:v>Bestehendes Lernthema fachlich unter passendem Rahmenplan-Unterbereich behalten</x:v>
      </x:c>
      <x:c r="R1595" s="5" t="str">
        <x:v>Wie sollten sich Führungskraft und Mitarbeitende auf ein Potenzialentwicklungsgespräch vorbereiten?</x:v>
      </x:c>
      <x:c r="S1595" s="5" t="str">
        <x:v>1e5c3ac6ef850f04ffd4b92b5768de9f28d3670dedbf9d789270c19a8f691e3f</x:v>
      </x:c>
    </x:row>
    <x:row r="1596" ht="36" customHeight="1">
      <x:c r="A1596" s="5" t="str">
        <x:v>BM-0151</x:v>
      </x:c>
      <x:c r="B1596" s="5" t="str">
        <x:v>HQ</x:v>
      </x:c>
      <x:c r="C1596" s="5" t="str">
        <x:v>5</x:v>
      </x:c>
      <x:c r="D1596" s="5" t="str">
        <x:v>Betriebliches Management</x:v>
      </x:c>
      <x:c r="E1596" s="5" t="str">
        <x:v>Betriebliches Management</x:v>
      </x:c>
      <x:c r="F1596" s="5" t="str">
        <x:v>ui-hq-0014</x:v>
      </x:c>
      <x:c r="G1596" s="5" t="str">
        <x:v>Organisations- und Personalentwicklung</x:v>
      </x:c>
      <x:c r="H1596" s="5" t="str">
        <x:v>dg-hq-0084</x:v>
      </x:c>
      <x:c r="I1596" s="5" t="str">
        <x:v>5.2.3</x:v>
      </x:c>
      <x:c r="J1596" s="5" t="str">
        <x:v>Personalentwicklung (PE)</x:v>
      </x:c>
      <x:c r="K1596" s="5" t="str"/>
      <x:c r="L1596" s="5" t="str">
        <x:v>Personalentwicklung</x:v>
      </x:c>
      <x:c r="M1596" s="5" t="n">
        <x:v>31</x:v>
      </x:c>
      <x:c r="N1596" s="5" t="n">
        <x:v>13</x:v>
      </x:c>
      <x:c r="O1596" s="5" t="str"/>
      <x:c r="P1596" s="5" t="str">
        <x:v>Zuordnungsvorschlag; Fachfreigabe ausstehend</x:v>
      </x:c>
      <x:c r="Q1596" s="5" t="str">
        <x:v>Bestehendes Lernthema fachlich unter passendem Rahmenplan-Unterbereich behalten</x:v>
      </x:c>
      <x:c r="R1596" s="5" t="str">
        <x:v>Welche typischen Übungen und Diagnoseverfahren können in einem Assessment-Center eingesetzt werden?</x:v>
      </x:c>
      <x:c r="S1596" s="5" t="str">
        <x:v>b0388234889731ed810bc98ad0288868f7b582fb70548caae91ed8e058949cea</x:v>
      </x:c>
    </x:row>
    <x:row r="1597" ht="36" customHeight="1">
      <x:c r="A1597" s="5" t="str">
        <x:v>BM-0152</x:v>
      </x:c>
      <x:c r="B1597" s="5" t="str">
        <x:v>HQ</x:v>
      </x:c>
      <x:c r="C1597" s="5" t="str">
        <x:v>5</x:v>
      </x:c>
      <x:c r="D1597" s="5" t="str">
        <x:v>Betriebliches Management</x:v>
      </x:c>
      <x:c r="E1597" s="5" t="str">
        <x:v>Betriebliches Management</x:v>
      </x:c>
      <x:c r="F1597" s="5" t="str">
        <x:v>ui-hq-0014</x:v>
      </x:c>
      <x:c r="G1597" s="5" t="str">
        <x:v>Organisations- und Personalentwicklung</x:v>
      </x:c>
      <x:c r="H1597" s="5" t="str">
        <x:v>dg-hq-0084</x:v>
      </x:c>
      <x:c r="I1597" s="5" t="str">
        <x:v>5.2.3</x:v>
      </x:c>
      <x:c r="J1597" s="5" t="str">
        <x:v>Personalentwicklung (PE)</x:v>
      </x:c>
      <x:c r="K1597" s="5" t="str"/>
      <x:c r="L1597" s="5" t="str">
        <x:v>Personalentwicklung</x:v>
      </x:c>
      <x:c r="M1597" s="5" t="n">
        <x:v>32</x:v>
      </x:c>
      <x:c r="N1597" s="5" t="n">
        <x:v>14</x:v>
      </x:c>
      <x:c r="O1597" s="5" t="str"/>
      <x:c r="P1597" s="5" t="str">
        <x:v>Zuordnungsvorschlag; Fachfreigabe ausstehend</x:v>
      </x:c>
      <x:c r="Q1597" s="5" t="str">
        <x:v>Bestehendes Lernthema fachlich unter passendem Rahmenplan-Unterbereich behalten</x:v>
      </x:c>
      <x:c r="R1597" s="5" t="str">
        <x:v>Welche sechs Phasen umfasst ein vollständiges Personalentwicklungskonzept vom Ausgangszustand bis zur Weiterentwicklung?</x:v>
      </x:c>
      <x:c r="S1597" s="5" t="str">
        <x:v>b706947ecbbf79d4d795e5bb1fce7e16d08c8fa44cf345517fc24f9ad19712cd</x:v>
      </x:c>
    </x:row>
    <x:row r="1598" ht="36" customHeight="1">
      <x:c r="A1598" s="5" t="str">
        <x:v>BM-0153</x:v>
      </x:c>
      <x:c r="B1598" s="5" t="str">
        <x:v>HQ</x:v>
      </x:c>
      <x:c r="C1598" s="5" t="str">
        <x:v>5</x:v>
      </x:c>
      <x:c r="D1598" s="5" t="str">
        <x:v>Betriebliches Management</x:v>
      </x:c>
      <x:c r="E1598" s="5" t="str">
        <x:v>Betriebliches Management</x:v>
      </x:c>
      <x:c r="F1598" s="5" t="str">
        <x:v>ui-hq-0014</x:v>
      </x:c>
      <x:c r="G1598" s="5" t="str">
        <x:v>Organisations- und Personalentwicklung</x:v>
      </x:c>
      <x:c r="H1598" s="5" t="str">
        <x:v>dg-hq-0084</x:v>
      </x:c>
      <x:c r="I1598" s="5" t="str">
        <x:v>5.2.3</x:v>
      </x:c>
      <x:c r="J1598" s="5" t="str">
        <x:v>Personalentwicklung (PE)</x:v>
      </x:c>
      <x:c r="K1598" s="5" t="str"/>
      <x:c r="L1598" s="5" t="str">
        <x:v>Personalentwicklung</x:v>
      </x:c>
      <x:c r="M1598" s="5" t="n">
        <x:v>33</x:v>
      </x:c>
      <x:c r="N1598" s="5" t="n">
        <x:v>15</x:v>
      </x:c>
      <x:c r="O1598" s="5" t="str"/>
      <x:c r="P1598" s="5" t="str">
        <x:v>Zuordnungsvorschlag; Fachfreigabe ausstehend</x:v>
      </x:c>
      <x:c r="Q1598" s="5" t="str">
        <x:v>Bestehendes Lernthema fachlich unter passendem Rahmenplan-Unterbereich behalten</x:v>
      </x:c>
      <x:c r="R1598" s="5" t="str">
        <x:v>Grenzen Sie Job Enlargement, Job Enrichment und Job Rotation voneinander ab und nennen Sie jeweils einen praktischen Nutzen.</x:v>
      </x:c>
      <x:c r="S1598" s="5" t="str">
        <x:v>aa08eb6f9f48230751e4d9f47a6dfda7499a5c51bc38b1067f6d0c24799a4235</x:v>
      </x:c>
    </x:row>
    <x:row r="1599" ht="36" customHeight="1">
      <x:c r="A1599" s="5" t="str">
        <x:v>BM-0154</x:v>
      </x:c>
      <x:c r="B1599" s="5" t="str">
        <x:v>HQ</x:v>
      </x:c>
      <x:c r="C1599" s="5" t="str">
        <x:v>5</x:v>
      </x:c>
      <x:c r="D1599" s="5" t="str">
        <x:v>Betriebliches Management</x:v>
      </x:c>
      <x:c r="E1599" s="5" t="str">
        <x:v>Betriebliches Management</x:v>
      </x:c>
      <x:c r="F1599" s="5" t="str">
        <x:v>ui-hq-0014</x:v>
      </x:c>
      <x:c r="G1599" s="5" t="str">
        <x:v>Organisations- und Personalentwicklung</x:v>
      </x:c>
      <x:c r="H1599" s="5" t="str">
        <x:v>dg-hq-0084</x:v>
      </x:c>
      <x:c r="I1599" s="5" t="str">
        <x:v>5.2.3</x:v>
      </x:c>
      <x:c r="J1599" s="5" t="str">
        <x:v>Personalentwicklung (PE)</x:v>
      </x:c>
      <x:c r="K1599" s="5" t="str"/>
      <x:c r="L1599" s="5" t="str">
        <x:v>Personalentwicklung</x:v>
      </x:c>
      <x:c r="M1599" s="5" t="n">
        <x:v>34</x:v>
      </x:c>
      <x:c r="N1599" s="5" t="n">
        <x:v>16</x:v>
      </x:c>
      <x:c r="O1599" s="5" t="str"/>
      <x:c r="P1599" s="5" t="str">
        <x:v>Zuordnungsvorschlag; Fachfreigabe ausstehend</x:v>
      </x:c>
      <x:c r="Q1599" s="5" t="str">
        <x:v>Bestehendes Lernthema fachlich unter passendem Rahmenplan-Unterbereich behalten</x:v>
      </x:c>
      <x:c r="R1599" s="5" t="str">
        <x:v>Fallbezug: Die folgenden betrieblichen Angaben und Situationen beziehen sich auf die Circle Harbor Service GmbH.
Eine erfahrene Führungskraft soll auf eine deutlich verantwortungsvollere Stellvertretungsfunktion vorbereitet werden. Welche Personalentwicklungsform ist besonders geeignet, welche Voraussetzungen sind wichtig und welche neuen Aufgaben könnten übertragen werden?</x:v>
      </x:c>
      <x:c r="S1599" s="5" t="str">
        <x:v>2407dab2ac0c9440d52edae4d1a91ab4a040ee9aabfd403dc03a4fc1a20c5dac</x:v>
      </x:c>
    </x:row>
    <x:row r="1600" ht="36" customHeight="1">
      <x:c r="A1600" s="5" t="str">
        <x:v>BM-0155</x:v>
      </x:c>
      <x:c r="B1600" s="5" t="str">
        <x:v>HQ</x:v>
      </x:c>
      <x:c r="C1600" s="5" t="str">
        <x:v>5</x:v>
      </x:c>
      <x:c r="D1600" s="5" t="str">
        <x:v>Betriebliches Management</x:v>
      </x:c>
      <x:c r="E1600" s="5" t="str">
        <x:v>Betriebliches Management</x:v>
      </x:c>
      <x:c r="F1600" s="5" t="str">
        <x:v>ui-hq-0014</x:v>
      </x:c>
      <x:c r="G1600" s="5" t="str">
        <x:v>Organisations- und Personalentwicklung</x:v>
      </x:c>
      <x:c r="H1600" s="5" t="str">
        <x:v>dg-hq-0084</x:v>
      </x:c>
      <x:c r="I1600" s="5" t="str">
        <x:v>5.2.3</x:v>
      </x:c>
      <x:c r="J1600" s="5" t="str">
        <x:v>Personalentwicklung (PE)</x:v>
      </x:c>
      <x:c r="K1600" s="5" t="str"/>
      <x:c r="L1600" s="5" t="str">
        <x:v>Personalentwicklung</x:v>
      </x:c>
      <x:c r="M1600" s="5" t="n">
        <x:v>35</x:v>
      </x:c>
      <x:c r="N1600" s="5" t="n">
        <x:v>17</x:v>
      </x:c>
      <x:c r="O1600" s="5" t="str"/>
      <x:c r="P1600" s="5" t="str">
        <x:v>Zuordnungsvorschlag; Fachfreigabe ausstehend</x:v>
      </x:c>
      <x:c r="Q1600" s="5" t="str">
        <x:v>Bestehendes Lernthema fachlich unter passendem Rahmenplan-Unterbereich behalten</x:v>
      </x:c>
      <x:c r="R1600" s="5" t="str">
        <x:v>Ordnen Sie typische Personalentwicklungsmaßnahmen den Kategorien into the job, on the job, parallel to the job, near the job, off the job, out of the job und along the job zu.</x:v>
      </x:c>
      <x:c r="S1600" s="5" t="str">
        <x:v>5f9aee6304f41d9bb2b08d15b07eb5676c2e13894eb12491ee858dd20fe5bbc7</x:v>
      </x:c>
    </x:row>
    <x:row r="1601" ht="36" customHeight="1">
      <x:c r="A1601" s="5" t="str">
        <x:v>BM-0156</x:v>
      </x:c>
      <x:c r="B1601" s="5" t="str">
        <x:v>HQ</x:v>
      </x:c>
      <x:c r="C1601" s="5" t="str">
        <x:v>5</x:v>
      </x:c>
      <x:c r="D1601" s="5" t="str">
        <x:v>Betriebliches Management</x:v>
      </x:c>
      <x:c r="E1601" s="5" t="str">
        <x:v>Betriebliches Management</x:v>
      </x:c>
      <x:c r="F1601" s="5" t="str">
        <x:v>ui-hq-0014</x:v>
      </x:c>
      <x:c r="G1601" s="5" t="str">
        <x:v>Organisations- und Personalentwicklung</x:v>
      </x:c>
      <x:c r="H1601" s="5" t="str">
        <x:v>dg-hq-0084</x:v>
      </x:c>
      <x:c r="I1601" s="5" t="str">
        <x:v>5.2.3</x:v>
      </x:c>
      <x:c r="J1601" s="5" t="str">
        <x:v>Personalentwicklung (PE)</x:v>
      </x:c>
      <x:c r="K1601" s="5" t="str"/>
      <x:c r="L1601" s="5" t="str">
        <x:v>Personalentwicklung</x:v>
      </x:c>
      <x:c r="M1601" s="5" t="n">
        <x:v>36</x:v>
      </x:c>
      <x:c r="N1601" s="5" t="n">
        <x:v>18</x:v>
      </x:c>
      <x:c r="O1601" s="5" t="str"/>
      <x:c r="P1601" s="5" t="str">
        <x:v>Zuordnungsvorschlag; Fachfreigabe ausstehend</x:v>
      </x:c>
      <x:c r="Q1601" s="5" t="str">
        <x:v>Bestehendes Lernthema fachlich unter passendem Rahmenplan-Unterbereich behalten</x:v>
      </x:c>
      <x:c r="R1601" s="5" t="str">
        <x:v>Bewerten Sie grundlegende Aussagen zur Evaluation von Personalentwicklungsmaßnahmen als richtig oder falsch.</x:v>
      </x:c>
      <x:c r="S1601" s="5" t="str">
        <x:v>81c3ffd6bda42d957f8226d9e5b4f462017ce9ce81787fa65123aaef22dd3418</x:v>
      </x:c>
    </x:row>
    <x:row r="1602" ht="36" customHeight="1">
      <x:c r="A1602" s="5" t="str">
        <x:v>BM-0157</x:v>
      </x:c>
      <x:c r="B1602" s="5" t="str">
        <x:v>HQ</x:v>
      </x:c>
      <x:c r="C1602" s="5" t="str">
        <x:v>5</x:v>
      </x:c>
      <x:c r="D1602" s="5" t="str">
        <x:v>Betriebliches Management</x:v>
      </x:c>
      <x:c r="E1602" s="5" t="str">
        <x:v>Betriebliches Management</x:v>
      </x:c>
      <x:c r="F1602" s="5" t="str">
        <x:v>ui-hq-0014</x:v>
      </x:c>
      <x:c r="G1602" s="5" t="str">
        <x:v>Organisations- und Personalentwicklung</x:v>
      </x:c>
      <x:c r="H1602" s="5" t="str">
        <x:v>dg-hq-0084</x:v>
      </x:c>
      <x:c r="I1602" s="5" t="str">
        <x:v>5.2.3</x:v>
      </x:c>
      <x:c r="J1602" s="5" t="str">
        <x:v>Personalentwicklung (PE)</x:v>
      </x:c>
      <x:c r="K1602" s="5" t="str"/>
      <x:c r="L1602" s="5" t="str">
        <x:v>Personalentwicklung</x:v>
      </x:c>
      <x:c r="M1602" s="5" t="n">
        <x:v>37</x:v>
      </x:c>
      <x:c r="N1602" s="5" t="n">
        <x:v>19</x:v>
      </x:c>
      <x:c r="O1602" s="5" t="str"/>
      <x:c r="P1602" s="5" t="str">
        <x:v>Zuordnungsvorschlag; Fachfreigabe ausstehend</x:v>
      </x:c>
      <x:c r="Q1602" s="5" t="str">
        <x:v>Bestehendes Lernthema fachlich unter passendem Rahmenplan-Unterbereich behalten</x:v>
      </x:c>
      <x:c r="R1602" s="5" t="str">
        <x:v>Wie unterscheiden sich ökonomische Kontrolle und Erfolgskontrolle bei Personalentwicklungsmaßnahmen?</x:v>
      </x:c>
      <x:c r="S1602" s="5" t="str">
        <x:v>73a41e1849cdf6a56968e774610ead589b3797aa376320f362ec9e7b1798e732</x:v>
      </x:c>
    </x:row>
    <x:row r="1603" ht="36" customHeight="1">
      <x:c r="A1603" s="5" t="str">
        <x:v>BM-0158</x:v>
      </x:c>
      <x:c r="B1603" s="5" t="str">
        <x:v>HQ</x:v>
      </x:c>
      <x:c r="C1603" s="5" t="str">
        <x:v>5</x:v>
      </x:c>
      <x:c r="D1603" s="5" t="str">
        <x:v>Betriebliches Management</x:v>
      </x:c>
      <x:c r="E1603" s="5" t="str">
        <x:v>Betriebliches Management</x:v>
      </x:c>
      <x:c r="F1603" s="5" t="str">
        <x:v>ui-hq-0015</x:v>
      </x:c>
      <x:c r="G1603" s="5" t="str">
        <x:v>Informationstechnologie und Wissensmanagement</x:v>
      </x:c>
      <x:c r="H1603" s="5" t="str">
        <x:v>dg-hq-0085</x:v>
      </x:c>
      <x:c r="I1603" s="5" t="str">
        <x:v>5.3.1</x:v>
      </x:c>
      <x:c r="J1603" s="5" t="str">
        <x:v>Wissensmanagement</x:v>
      </x:c>
      <x:c r="K1603" s="5" t="str"/>
      <x:c r="L1603" s="5" t="str">
        <x:v>Wissensmanagement &amp; Informationstechnologie</x:v>
      </x:c>
      <x:c r="M1603" s="5" t="n">
        <x:v>1</x:v>
      </x:c>
      <x:c r="N1603" s="5" t="n">
        <x:v>1</x:v>
      </x:c>
      <x:c r="O1603" s="5" t="str"/>
      <x:c r="P1603" s="5" t="str">
        <x:v>Zuordnungsvorschlag; Fachfreigabe ausstehend</x:v>
      </x:c>
      <x:c r="Q1603" s="5" t="str">
        <x:v>Bestehendes Lernthema fachlich unter passendem Rahmenplan-Unterbereich behalten</x:v>
      </x:c>
      <x:c r="R1603" s="5" t="str">
        <x:v>Bewerten Sie grundlegende Aussagen zum Wissensmanagement als richtig oder falsch.</x:v>
      </x:c>
      <x:c r="S1603" s="5" t="str">
        <x:v>9cc67da4a867526d3982e1ec528a9019acbaa697e600bfdcd43c1ede4e9b435b</x:v>
      </x:c>
    </x:row>
    <x:row r="1604" ht="36" customHeight="1">
      <x:c r="A1604" s="5" t="str">
        <x:v>BM-0159</x:v>
      </x:c>
      <x:c r="B1604" s="5" t="str">
        <x:v>HQ</x:v>
      </x:c>
      <x:c r="C1604" s="5" t="str">
        <x:v>5</x:v>
      </x:c>
      <x:c r="D1604" s="5" t="str">
        <x:v>Betriebliches Management</x:v>
      </x:c>
      <x:c r="E1604" s="5" t="str">
        <x:v>Betriebliches Management</x:v>
      </x:c>
      <x:c r="F1604" s="5" t="str">
        <x:v>ui-hq-0015</x:v>
      </x:c>
      <x:c r="G1604" s="5" t="str">
        <x:v>Informationstechnologie und Wissensmanagement</x:v>
      </x:c>
      <x:c r="H1604" s="5" t="str">
        <x:v>dg-hq-0085</x:v>
      </x:c>
      <x:c r="I1604" s="5" t="str">
        <x:v>5.3.1.2</x:v>
      </x:c>
      <x:c r="J1604" s="5" t="str">
        <x:v>Individuelles und strukturelles Wissen</x:v>
      </x:c>
      <x:c r="K1604" s="5" t="str"/>
      <x:c r="L1604" s="5" t="str">
        <x:v>Wissensmanagement &amp; Informationstechnologie</x:v>
      </x:c>
      <x:c r="M1604" s="5" t="n">
        <x:v>2</x:v>
      </x:c>
      <x:c r="N1604" s="5" t="n">
        <x:v>2</x:v>
      </x:c>
      <x:c r="O1604" s="5" t="str"/>
      <x:c r="P1604" s="5" t="str">
        <x:v>Zuordnungsvorschlag; Fachfreigabe ausstehend</x:v>
      </x:c>
      <x:c r="Q1604" s="5" t="str">
        <x:v>Bestehendes Lernthema fachlich unter passendem Rahmenplan-Unterbereich behalten</x:v>
      </x:c>
      <x:c r="R1604" s="5" t="str">
        <x:v>Unterscheiden Sie individuelles, kollektives und strukturelles Wissen anhand typischer Beispiele.</x:v>
      </x:c>
      <x:c r="S1604" s="5" t="str">
        <x:v>d77cbef7974ca0fcdb281df9e672d1702b0d60cfe2e5714d7ff7119b2c4c7a87</x:v>
      </x:c>
    </x:row>
    <x:row r="1605" ht="36" customHeight="1">
      <x:c r="A1605" s="5" t="str">
        <x:v>BM-0160</x:v>
      </x:c>
      <x:c r="B1605" s="5" t="str">
        <x:v>HQ</x:v>
      </x:c>
      <x:c r="C1605" s="5" t="str">
        <x:v>5</x:v>
      </x:c>
      <x:c r="D1605" s="5" t="str">
        <x:v>Betriebliches Management</x:v>
      </x:c>
      <x:c r="E1605" s="5" t="str">
        <x:v>Betriebliches Management</x:v>
      </x:c>
      <x:c r="F1605" s="5" t="str">
        <x:v>ui-hq-0015</x:v>
      </x:c>
      <x:c r="G1605" s="5" t="str">
        <x:v>Informationstechnologie und Wissensmanagement</x:v>
      </x:c>
      <x:c r="H1605" s="5" t="str">
        <x:v>dg-hq-0085</x:v>
      </x:c>
      <x:c r="I1605" s="5" t="str">
        <x:v>5.3.1.3</x:v>
      </x:c>
      <x:c r="J1605" s="5" t="str">
        <x:v>Explizites und implizites Wissen</x:v>
      </x:c>
      <x:c r="K1605" s="5" t="str"/>
      <x:c r="L1605" s="5" t="str">
        <x:v>Wissensmanagement &amp; Informationstechnologie</x:v>
      </x:c>
      <x:c r="M1605" s="5" t="n">
        <x:v>3</x:v>
      </x:c>
      <x:c r="N1605" s="5" t="n">
        <x:v>3</x:v>
      </x:c>
      <x:c r="O1605" s="5" t="str"/>
      <x:c r="P1605" s="5" t="str">
        <x:v>Zuordnungsvorschlag; Fachfreigabe ausstehend</x:v>
      </x:c>
      <x:c r="Q1605" s="5" t="str">
        <x:v>Bestehendes Lernthema fachlich unter passendem Rahmenplan-Unterbereich behalten</x:v>
      </x:c>
      <x:c r="R1605" s="5" t="str">
        <x:v>Ordnen Sie typische Merkmale explizitem oder implizitem Wissen zu.</x:v>
      </x:c>
      <x:c r="S1605" s="5" t="str">
        <x:v>bdfaeb3abba2a8737dbf999c9a802e0c65754d097b9d5b5ac9092eb09a04d11d</x:v>
      </x:c>
    </x:row>
    <x:row r="1606" ht="36" customHeight="1">
      <x:c r="A1606" s="5" t="str">
        <x:v>BM-0161</x:v>
      </x:c>
      <x:c r="B1606" s="5" t="str">
        <x:v>HQ</x:v>
      </x:c>
      <x:c r="C1606" s="5" t="str">
        <x:v>5</x:v>
      </x:c>
      <x:c r="D1606" s="5" t="str">
        <x:v>Betriebliches Management</x:v>
      </x:c>
      <x:c r="E1606" s="5" t="str">
        <x:v>Betriebliches Management</x:v>
      </x:c>
      <x:c r="F1606" s="5" t="str">
        <x:v>ui-hq-0015</x:v>
      </x:c>
      <x:c r="G1606" s="5" t="str">
        <x:v>Informationstechnologie und Wissensmanagement</x:v>
      </x:c>
      <x:c r="H1606" s="5" t="str">
        <x:v>dg-hq-0085</x:v>
      </x:c>
      <x:c r="I1606" s="5" t="str">
        <x:v>5.3.1</x:v>
      </x:c>
      <x:c r="J1606" s="5" t="str">
        <x:v>Wissensmanagement</x:v>
      </x:c>
      <x:c r="K1606" s="5" t="str"/>
      <x:c r="L1606" s="5" t="str">
        <x:v>Wissensmanagement &amp; Informationstechnologie</x:v>
      </x:c>
      <x:c r="M1606" s="5" t="n">
        <x:v>4</x:v>
      </x:c>
      <x:c r="N1606" s="5" t="n">
        <x:v>4</x:v>
      </x:c>
      <x:c r="O1606" s="5" t="str"/>
      <x:c r="P1606" s="5" t="str">
        <x:v>Zuordnungsvorschlag; Fachfreigabe ausstehend</x:v>
      </x:c>
      <x:c r="Q1606" s="5" t="str">
        <x:v>Bestehendes Lernthema fachlich unter passendem Rahmenplan-Unterbereich behalten</x:v>
      </x:c>
      <x:c r="R1606" s="5" t="str">
        <x:v>Welche Methoden eignen sich für unterschiedliche Wissenssituationen und welche Voraussetzungen braucht erfolgreiches Wissensmanagement im Unternehmen?</x:v>
      </x:c>
      <x:c r="S1606" s="5" t="str">
        <x:v>42c9be3015b3d39243fa7e54de2f78d39de135f2eb91d522b079d91aaea671ae</x:v>
      </x:c>
    </x:row>
    <x:row r="1607" ht="36" customHeight="1">
      <x:c r="A1607" s="5" t="str">
        <x:v>BM-0162</x:v>
      </x:c>
      <x:c r="B1607" s="5" t="str">
        <x:v>HQ</x:v>
      </x:c>
      <x:c r="C1607" s="5" t="str">
        <x:v>5</x:v>
      </x:c>
      <x:c r="D1607" s="5" t="str">
        <x:v>Betriebliches Management</x:v>
      </x:c>
      <x:c r="E1607" s="5" t="str">
        <x:v>Betriebliches Management</x:v>
      </x:c>
      <x:c r="F1607" s="5" t="str">
        <x:v>ui-hq-0015</x:v>
      </x:c>
      <x:c r="G1607" s="5" t="str">
        <x:v>Informationstechnologie und Wissensmanagement</x:v>
      </x:c>
      <x:c r="H1607" s="5" t="str">
        <x:v>dg-hq-0085</x:v>
      </x:c>
      <x:c r="I1607" s="5" t="str">
        <x:v>5.3.1</x:v>
      </x:c>
      <x:c r="J1607" s="5" t="str">
        <x:v>Wissensmanagement</x:v>
      </x:c>
      <x:c r="K1607" s="5" t="str"/>
      <x:c r="L1607" s="5" t="str">
        <x:v>Wissensmanagement &amp; Informationstechnologie</x:v>
      </x:c>
      <x:c r="M1607" s="5" t="n">
        <x:v>5</x:v>
      </x:c>
      <x:c r="N1607" s="5" t="n">
        <x:v>5</x:v>
      </x:c>
      <x:c r="O1607" s="5" t="str"/>
      <x:c r="P1607" s="5" t="str">
        <x:v>Zuordnungsvorschlag; Fachfreigabe ausstehend</x:v>
      </x:c>
      <x:c r="Q1607" s="5" t="str">
        <x:v>Bestehendes Lernthema fachlich unter passendem Rahmenplan-Unterbereich behalten</x:v>
      </x:c>
      <x:c r="R1607" s="5" t="str">
        <x:v>Welche drei Schritte umfasst persönliches Wissensmanagement und wie lassen sie sich im Lernalltag umsetzen?</x:v>
      </x:c>
      <x:c r="S1607" s="5" t="str">
        <x:v>ff4d7035648d09f5b39476a315ac19576938a18d7ccca1a4ad2f4e8fa4703d15</x:v>
      </x:c>
    </x:row>
    <x:row r="1608" ht="36" customHeight="1">
      <x:c r="A1608" s="5" t="str">
        <x:v>BM-0163</x:v>
      </x:c>
      <x:c r="B1608" s="5" t="str">
        <x:v>HQ</x:v>
      </x:c>
      <x:c r="C1608" s="5" t="str">
        <x:v>5</x:v>
      </x:c>
      <x:c r="D1608" s="5" t="str">
        <x:v>Betriebliches Management</x:v>
      </x:c>
      <x:c r="E1608" s="5" t="str">
        <x:v>Betriebliches Management</x:v>
      </x:c>
      <x:c r="F1608" s="5" t="str">
        <x:v>ui-hq-0015</x:v>
      </x:c>
      <x:c r="G1608" s="5" t="str">
        <x:v>Informationstechnologie und Wissensmanagement</x:v>
      </x:c>
      <x:c r="H1608" s="5" t="str">
        <x:v>dg-hq-0085</x:v>
      </x:c>
      <x:c r="I1608" s="5" t="str">
        <x:v>5.3.1</x:v>
      </x:c>
      <x:c r="J1608" s="5" t="str">
        <x:v>Wissensmanagement</x:v>
      </x:c>
      <x:c r="K1608" s="5" t="str"/>
      <x:c r="L1608" s="5" t="str">
        <x:v>Wissensmanagement &amp; Informationstechnologie</x:v>
      </x:c>
      <x:c r="M1608" s="5" t="n">
        <x:v>6</x:v>
      </x:c>
      <x:c r="N1608" s="5" t="n">
        <x:v>6</x:v>
      </x:c>
      <x:c r="O1608" s="5" t="str"/>
      <x:c r="P1608" s="5" t="str">
        <x:v>Zuordnungsvorschlag; Fachfreigabe ausstehend</x:v>
      </x:c>
      <x:c r="Q1608" s="5" t="str">
        <x:v>Bestehendes Lernthema fachlich unter passendem Rahmenplan-Unterbereich behalten</x:v>
      </x:c>
      <x:c r="R1608" s="5" t="str">
        <x:v>Bewerten Sie die Aussagen zu internen und externen Informationsquellen als richtig oder falsch.</x:v>
      </x:c>
      <x:c r="S1608" s="5" t="str">
        <x:v>bdd93bc66b3a3dfaa647b8e7f880b5af4c19045943d708dff50a41e9e22964b9</x:v>
      </x:c>
    </x:row>
    <x:row r="1609" ht="36" customHeight="1">
      <x:c r="A1609" s="5" t="str">
        <x:v>BM-0164</x:v>
      </x:c>
      <x:c r="B1609" s="5" t="str">
        <x:v>HQ</x:v>
      </x:c>
      <x:c r="C1609" s="5" t="str">
        <x:v>5</x:v>
      </x:c>
      <x:c r="D1609" s="5" t="str">
        <x:v>Betriebliches Management</x:v>
      </x:c>
      <x:c r="E1609" s="5" t="str">
        <x:v>Betriebliches Management</x:v>
      </x:c>
      <x:c r="F1609" s="5" t="str">
        <x:v>ui-hq-0015</x:v>
      </x:c>
      <x:c r="G1609" s="5" t="str">
        <x:v>Informationstechnologie und Wissensmanagement</x:v>
      </x:c>
      <x:c r="H1609" s="5" t="str">
        <x:v>dg-hq-0085</x:v>
      </x:c>
      <x:c r="I1609" s="5" t="str">
        <x:v>5.3.1</x:v>
      </x:c>
      <x:c r="J1609" s="5" t="str">
        <x:v>Wissensmanagement</x:v>
      </x:c>
      <x:c r="K1609" s="5" t="str"/>
      <x:c r="L1609" s="5" t="str">
        <x:v>Wissensmanagement &amp; Informationstechnologie</x:v>
      </x:c>
      <x:c r="M1609" s="5" t="n">
        <x:v>7</x:v>
      </x:c>
      <x:c r="N1609" s="5" t="n">
        <x:v>7</x:v>
      </x:c>
      <x:c r="O1609" s="5" t="str"/>
      <x:c r="P1609" s="5" t="str">
        <x:v>Zuordnungsvorschlag; Fachfreigabe ausstehend</x:v>
      </x:c>
      <x:c r="Q1609" s="5" t="str">
        <x:v>Bestehendes Lernthema fachlich unter passendem Rahmenplan-Unterbereich behalten</x:v>
      </x:c>
      <x:c r="R1609" s="5" t="str">
        <x:v>Welche Arten von Netzwerken können für den Wissenstransfer genutzt werden und wie unterscheiden sie sich?</x:v>
      </x:c>
      <x:c r="S1609" s="5" t="str">
        <x:v>dd47050350ca906aca93f1a5a4db8f394c1318c18e5601458789ff34016b62f2</x:v>
      </x:c>
    </x:row>
    <x:row r="1610" ht="36" customHeight="1">
      <x:c r="A1610" s="5" t="str">
        <x:v>BM-0165</x:v>
      </x:c>
      <x:c r="B1610" s="5" t="str">
        <x:v>HQ</x:v>
      </x:c>
      <x:c r="C1610" s="5" t="str">
        <x:v>5</x:v>
      </x:c>
      <x:c r="D1610" s="5" t="str">
        <x:v>Betriebliches Management</x:v>
      </x:c>
      <x:c r="E1610" s="5" t="str">
        <x:v>Betriebliches Management</x:v>
      </x:c>
      <x:c r="F1610" s="5" t="str">
        <x:v>ui-hq-0015</x:v>
      </x:c>
      <x:c r="G1610" s="5" t="str">
        <x:v>Informationstechnologie und Wissensmanagement</x:v>
      </x:c>
      <x:c r="H1610" s="5" t="str">
        <x:v>dg-hq-0085</x:v>
      </x:c>
      <x:c r="I1610" s="5" t="str">
        <x:v>5.3.1</x:v>
      </x:c>
      <x:c r="J1610" s="5" t="str">
        <x:v>Wissensmanagement</x:v>
      </x:c>
      <x:c r="K1610" s="5" t="str"/>
      <x:c r="L1610" s="5" t="str">
        <x:v>Wissensmanagement &amp; Informationstechnologie</x:v>
      </x:c>
      <x:c r="M1610" s="5" t="n">
        <x:v>8</x:v>
      </x:c>
      <x:c r="N1610" s="5" t="n">
        <x:v>8</x:v>
      </x:c>
      <x:c r="O1610" s="5" t="str"/>
      <x:c r="P1610" s="5" t="str">
        <x:v>Zuordnungsvorschlag; Fachfreigabe ausstehend</x:v>
      </x:c>
      <x:c r="Q1610" s="5" t="str">
        <x:v>Bestehendes Lernthema fachlich unter passendem Rahmenplan-Unterbereich behalten</x:v>
      </x:c>
      <x:c r="R1610" s="5" t="str">
        <x:v>Im betrieblichen Management von Circle Harbor: Was versteht man unter Mentoring und welche Vorteile kann ein Mentoringprogramm für ein Unternehmen bieten?</x:v>
      </x:c>
      <x:c r="S1610" s="5" t="str">
        <x:v>1ea87fda53919ab702d540d5f97a16fc891ab34232b90a2663088fa2ab44f5bd</x:v>
      </x:c>
    </x:row>
    <x:row r="1611" ht="36" customHeight="1">
      <x:c r="A1611" s="5" t="str">
        <x:v>BM-0166</x:v>
      </x:c>
      <x:c r="B1611" s="5" t="str">
        <x:v>HQ</x:v>
      </x:c>
      <x:c r="C1611" s="5" t="str">
        <x:v>5</x:v>
      </x:c>
      <x:c r="D1611" s="5" t="str">
        <x:v>Betriebliches Management</x:v>
      </x:c>
      <x:c r="E1611" s="5" t="str">
        <x:v>Betriebliches Management</x:v>
      </x:c>
      <x:c r="F1611" s="5" t="str">
        <x:v>ui-hq-0015</x:v>
      </x:c>
      <x:c r="G1611" s="5" t="str">
        <x:v>Informationstechnologie und Wissensmanagement</x:v>
      </x:c>
      <x:c r="H1611" s="5" t="str">
        <x:v>dg-hq-0085</x:v>
      </x:c>
      <x:c r="I1611" s="5" t="str">
        <x:v>5.3.1</x:v>
      </x:c>
      <x:c r="J1611" s="5" t="str">
        <x:v>Wissensmanagement</x:v>
      </x:c>
      <x:c r="K1611" s="5" t="str"/>
      <x:c r="L1611" s="5" t="str">
        <x:v>Wissensmanagement &amp; Informationstechnologie</x:v>
      </x:c>
      <x:c r="M1611" s="5" t="n">
        <x:v>9</x:v>
      </x:c>
      <x:c r="N1611" s="5" t="n">
        <x:v>9</x:v>
      </x:c>
      <x:c r="O1611" s="5" t="str"/>
      <x:c r="P1611" s="5" t="str">
        <x:v>Zuordnungsvorschlag; Fachfreigabe ausstehend</x:v>
      </x:c>
      <x:c r="Q1611" s="5" t="str">
        <x:v>Bestehendes Lernthema fachlich unter passendem Rahmenplan-Unterbereich behalten</x:v>
      </x:c>
      <x:c r="R1611" s="5" t="str">
        <x:v>Nennen und erläutern Sie mindestens sechs Methoden oder Instrumente des Wissensmanagements.</x:v>
      </x:c>
      <x:c r="S1611" s="5" t="str">
        <x:v>eb5a3f07ba740381f6e670ce56fd42e5c01173a8ff274a0c48e740a63a23e369</x:v>
      </x:c>
    </x:row>
    <x:row r="1612" ht="36" customHeight="1">
      <x:c r="A1612" s="5" t="str">
        <x:v>BM-0167</x:v>
      </x:c>
      <x:c r="B1612" s="5" t="str">
        <x:v>HQ</x:v>
      </x:c>
      <x:c r="C1612" s="5" t="str">
        <x:v>5</x:v>
      </x:c>
      <x:c r="D1612" s="5" t="str">
        <x:v>Betriebliches Management</x:v>
      </x:c>
      <x:c r="E1612" s="5" t="str">
        <x:v>Betriebliches Management</x:v>
      </x:c>
      <x:c r="F1612" s="5" t="str">
        <x:v>ui-hq-0015</x:v>
      </x:c>
      <x:c r="G1612" s="5" t="str">
        <x:v>Informationstechnologie und Wissensmanagement</x:v>
      </x:c>
      <x:c r="H1612" s="5" t="str">
        <x:v>dg-hq-0085</x:v>
      </x:c>
      <x:c r="I1612" s="5" t="str">
        <x:v>5.3.1</x:v>
      </x:c>
      <x:c r="J1612" s="5" t="str">
        <x:v>Wissensmanagement</x:v>
      </x:c>
      <x:c r="K1612" s="5" t="str"/>
      <x:c r="L1612" s="5" t="str">
        <x:v>Wissensmanagement &amp; Informationstechnologie</x:v>
      </x:c>
      <x:c r="M1612" s="5" t="n">
        <x:v>10</x:v>
      </x:c>
      <x:c r="N1612" s="5" t="n">
        <x:v>10</x:v>
      </x:c>
      <x:c r="O1612" s="5" t="str"/>
      <x:c r="P1612" s="5" t="str">
        <x:v>Zuordnungsvorschlag; Fachfreigabe ausstehend</x:v>
      </x:c>
      <x:c r="Q1612" s="5" t="str">
        <x:v>Bestehendes Lernthema fachlich unter passendem Rahmenplan-Unterbereich behalten</x:v>
      </x:c>
      <x:c r="R1612" s="5" t="str">
        <x:v>Welche Vorteile kann Mentoring für Mentor, Mentee und Unternehmen jeweils bieten?</x:v>
      </x:c>
      <x:c r="S1612" s="5" t="str">
        <x:v>6f7a93a3e45fcc20c0630fc4e2a985a44bd23e6715b06b893495e1764b8c557d</x:v>
      </x:c>
    </x:row>
    <x:row r="1613" ht="36" customHeight="1">
      <x:c r="A1613" s="5" t="str">
        <x:v>BM-0168</x:v>
      </x:c>
      <x:c r="B1613" s="5" t="str">
        <x:v>HQ</x:v>
      </x:c>
      <x:c r="C1613" s="5" t="str">
        <x:v>5</x:v>
      </x:c>
      <x:c r="D1613" s="5" t="str">
        <x:v>Betriebliches Management</x:v>
      </x:c>
      <x:c r="E1613" s="5" t="str">
        <x:v>Betriebliches Management</x:v>
      </x:c>
      <x:c r="F1613" s="5" t="str">
        <x:v>ui-hq-0015</x:v>
      </x:c>
      <x:c r="G1613" s="5" t="str">
        <x:v>Informationstechnologie und Wissensmanagement</x:v>
      </x:c>
      <x:c r="H1613" s="5" t="str">
        <x:v>dg-hq-0086</x:v>
      </x:c>
      <x:c r="I1613" s="5" t="str">
        <x:v>5.3.2</x:v>
      </x:c>
      <x:c r="J1613" s="5" t="str">
        <x:v>Informationstechnologie</x:v>
      </x:c>
      <x:c r="K1613" s="5" t="str"/>
      <x:c r="L1613" s="5" t="str">
        <x:v>Wissensmanagement &amp; Informationstechnologie</x:v>
      </x:c>
      <x:c r="M1613" s="5" t="n">
        <x:v>11</x:v>
      </x:c>
      <x:c r="N1613" s="5" t="n">
        <x:v>1</x:v>
      </x:c>
      <x:c r="O1613" s="5" t="str"/>
      <x:c r="P1613" s="5" t="str">
        <x:v>Zuordnungsvorschlag; Fachfreigabe ausstehend</x:v>
      </x:c>
      <x:c r="Q1613" s="5" t="str">
        <x:v>Frageinhalt präzisiert bzw. teilt bisheriges Sammelthema</x:v>
      </x:c>
      <x:c r="R1613" s="5" t="str">
        <x:v>Grenzen Sie Datenschutz und Datensicherheit voneinander ab und erläutern Sie, warum Datenschutz für Unternehmen zunehmend wichtig ist.</x:v>
      </x:c>
      <x:c r="S1613" s="5" t="str">
        <x:v>ba531b5c0573f7bbc91dfe1dfa9b4b411fa74e6e7aa4c7ca76f9c8e62cf04da2</x:v>
      </x:c>
    </x:row>
    <x:row r="1614" ht="36" customHeight="1">
      <x:c r="A1614" s="5" t="str">
        <x:v>BM-0169</x:v>
      </x:c>
      <x:c r="B1614" s="5" t="str">
        <x:v>HQ</x:v>
      </x:c>
      <x:c r="C1614" s="5" t="str">
        <x:v>5</x:v>
      </x:c>
      <x:c r="D1614" s="5" t="str">
        <x:v>Betriebliches Management</x:v>
      </x:c>
      <x:c r="E1614" s="5" t="str">
        <x:v>Betriebliches Management</x:v>
      </x:c>
      <x:c r="F1614" s="5" t="str">
        <x:v>ui-hq-0015</x:v>
      </x:c>
      <x:c r="G1614" s="5" t="str">
        <x:v>Informationstechnologie und Wissensmanagement</x:v>
      </x:c>
      <x:c r="H1614" s="5" t="str">
        <x:v>dg-hq-0086</x:v>
      </x:c>
      <x:c r="I1614" s="5" t="str">
        <x:v>5.3.2</x:v>
      </x:c>
      <x:c r="J1614" s="5" t="str">
        <x:v>Informationstechnologie</x:v>
      </x:c>
      <x:c r="K1614" s="5" t="str"/>
      <x:c r="L1614" s="5" t="str">
        <x:v>Wissensmanagement &amp; Informationstechnologie</x:v>
      </x:c>
      <x:c r="M1614" s="5" t="n">
        <x:v>12</x:v>
      </x:c>
      <x:c r="N1614" s="5" t="n">
        <x:v>2</x:v>
      </x:c>
      <x:c r="O1614" s="5" t="str"/>
      <x:c r="P1614" s="5" t="str">
        <x:v>Zuordnungsvorschlag; Fachfreigabe ausstehend</x:v>
      </x:c>
      <x:c r="Q1614" s="5" t="str">
        <x:v>Gezielt geprüfter Einzelbeleg</x:v>
      </x:c>
      <x:c r="R1614" s="5" t="str">
        <x:v>Welche Vorteile, geeigneten Informationsquellen und möglichen Nachteile hat die Nutzung des World Wide Web im Unternehmen?</x:v>
      </x:c>
      <x:c r="S1614" s="5" t="str">
        <x:v>e7d9559388cffe333dcfda4f6b6fc821cb7ea6934f3f078ef2daf47514daa97e</x:v>
      </x:c>
    </x:row>
    <x:row r="1615" ht="36" customHeight="1">
      <x:c r="A1615" s="5" t="str">
        <x:v>BM-0170</x:v>
      </x:c>
      <x:c r="B1615" s="5" t="str">
        <x:v>HQ</x:v>
      </x:c>
      <x:c r="C1615" s="5" t="str">
        <x:v>5</x:v>
      </x:c>
      <x:c r="D1615" s="5" t="str">
        <x:v>Betriebliches Management</x:v>
      </x:c>
      <x:c r="E1615" s="5" t="str">
        <x:v>Betriebliches Management</x:v>
      </x:c>
      <x:c r="F1615" s="5" t="str">
        <x:v>ui-hq-0015</x:v>
      </x:c>
      <x:c r="G1615" s="5" t="str">
        <x:v>Informationstechnologie und Wissensmanagement</x:v>
      </x:c>
      <x:c r="H1615" s="5" t="str">
        <x:v>dg-hq-0086</x:v>
      </x:c>
      <x:c r="I1615" s="5" t="str">
        <x:v>5.3.2</x:v>
      </x:c>
      <x:c r="J1615" s="5" t="str">
        <x:v>Informationstechnologie</x:v>
      </x:c>
      <x:c r="K1615" s="5" t="str"/>
      <x:c r="L1615" s="5" t="str">
        <x:v>Wissensmanagement &amp; Informationstechnologie</x:v>
      </x:c>
      <x:c r="M1615" s="5" t="n">
        <x:v>13</x:v>
      </x:c>
      <x:c r="N1615" s="5" t="n">
        <x:v>3</x:v>
      </x:c>
      <x:c r="O1615" s="5" t="str"/>
      <x:c r="P1615" s="5" t="str">
        <x:v>Zuordnungsvorschlag; Fachfreigabe ausstehend</x:v>
      </x:c>
      <x:c r="Q1615" s="5" t="str">
        <x:v>Gezielt geprüfter Einzelbeleg</x:v>
      </x:c>
      <x:c r="R1615" s="5" t="str">
        <x:v>Welche Risiken entstehen für Beschäftigte und Unternehmen bei der Nutzung beruflicher und sozialer Online-Netzwerke?</x:v>
      </x:c>
      <x:c r="S1615" s="5" t="str">
        <x:v>9bdb6be246fc1876f7ae044da5e3cfb8411d7e01347b27f31fe9c20d8163201f</x:v>
      </x:c>
    </x:row>
    <x:row r="1616" ht="36" customHeight="1">
      <x:c r="A1616" s="5" t="str">
        <x:v>BM-0171</x:v>
      </x:c>
      <x:c r="B1616" s="5" t="str">
        <x:v>HQ</x:v>
      </x:c>
      <x:c r="C1616" s="5" t="str">
        <x:v>5</x:v>
      </x:c>
      <x:c r="D1616" s="5" t="str">
        <x:v>Betriebliches Management</x:v>
      </x:c>
      <x:c r="E1616" s="5" t="str">
        <x:v>Betriebliches Management</x:v>
      </x:c>
      <x:c r="F1616" s="5" t="str">
        <x:v>ui-hq-0015</x:v>
      </x:c>
      <x:c r="G1616" s="5" t="str">
        <x:v>Informationstechnologie und Wissensmanagement</x:v>
      </x:c>
      <x:c r="H1616" s="5" t="str">
        <x:v>dg-hq-0086</x:v>
      </x:c>
      <x:c r="I1616" s="5" t="str">
        <x:v>5.3.2</x:v>
      </x:c>
      <x:c r="J1616" s="5" t="str">
        <x:v>Informationstechnologie</x:v>
      </x:c>
      <x:c r="K1616" s="5" t="str"/>
      <x:c r="L1616" s="5" t="str">
        <x:v>Wissensmanagement &amp; Informationstechnologie</x:v>
      </x:c>
      <x:c r="M1616" s="5" t="n">
        <x:v>14</x:v>
      </x:c>
      <x:c r="N1616" s="5" t="n">
        <x:v>4</x:v>
      </x:c>
      <x:c r="O1616" s="5" t="str"/>
      <x:c r="P1616" s="5" t="str">
        <x:v>Zuordnungsvorschlag; Fachfreigabe ausstehend</x:v>
      </x:c>
      <x:c r="Q1616" s="5" t="str">
        <x:v>Gezielt geprüfter Einzelbeleg</x:v>
      </x:c>
      <x:c r="R1616" s="5" t="str">
        <x:v>Im betrieblichen Management von Circle Harbor: Welche Kriterien sollte ein Unternehmen bei der Auswahl eines neuen internen Kommunikationssystems beachten und wie lässt sich die Einführung erfolgreich gestalten?</x:v>
      </x:c>
      <x:c r="S1616" s="5" t="str">
        <x:v>dc58d9587804905eab5c90fe1737e2bf6b82125166d3c93c775a29d299a2d8af</x:v>
      </x:c>
    </x:row>
    <x:row r="1617" ht="36" customHeight="1">
      <x:c r="A1617" s="5" t="str">
        <x:v>BM-0172</x:v>
      </x:c>
      <x:c r="B1617" s="5" t="str">
        <x:v>HQ</x:v>
      </x:c>
      <x:c r="C1617" s="5" t="str">
        <x:v>5</x:v>
      </x:c>
      <x:c r="D1617" s="5" t="str">
        <x:v>Betriebliches Management</x:v>
      </x:c>
      <x:c r="E1617" s="5" t="str">
        <x:v>Betriebliches Management</x:v>
      </x:c>
      <x:c r="F1617" s="5" t="str">
        <x:v>ui-hq-0015</x:v>
      </x:c>
      <x:c r="G1617" s="5" t="str">
        <x:v>Informationstechnologie und Wissensmanagement</x:v>
      </x:c>
      <x:c r="H1617" s="5" t="str">
        <x:v>dg-hq-0086</x:v>
      </x:c>
      <x:c r="I1617" s="5" t="str">
        <x:v>5.3.2</x:v>
      </x:c>
      <x:c r="J1617" s="5" t="str">
        <x:v>Informationstechnologie</x:v>
      </x:c>
      <x:c r="K1617" s="5" t="str"/>
      <x:c r="L1617" s="5" t="str">
        <x:v>Wissensmanagement &amp; Informationstechnologie</x:v>
      </x:c>
      <x:c r="M1617" s="5" t="n">
        <x:v>15</x:v>
      </x:c>
      <x:c r="N1617" s="5" t="n">
        <x:v>5</x:v>
      </x:c>
      <x:c r="O1617" s="5" t="str"/>
      <x:c r="P1617" s="5" t="str">
        <x:v>Zuordnungsvorschlag; Fachfreigabe ausstehend</x:v>
      </x:c>
      <x:c r="Q1617" s="5" t="str">
        <x:v>Gezielt geprüfter Einzelbeleg</x:v>
      </x:c>
      <x:c r="R1617" s="5" t="str">
        <x:v>Bewerten Sie die Aussagen zu ERP, DMS, CRM, MES, LMS, SCM und ESS als richtig oder falsch.</x:v>
      </x:c>
      <x:c r="S1617" s="5" t="str">
        <x:v>e4c22d3fa8f44d7cde6d0349174e7fbdf424579cd065cb19aae775ab2339dfd1</x:v>
      </x:c>
    </x:row>
    <x:row r="1618" ht="36" customHeight="1">
      <x:c r="A1618" s="5" t="str">
        <x:v>BM-0173</x:v>
      </x:c>
      <x:c r="B1618" s="5" t="str">
        <x:v>HQ</x:v>
      </x:c>
      <x:c r="C1618" s="5" t="str">
        <x:v>5</x:v>
      </x:c>
      <x:c r="D1618" s="5" t="str">
        <x:v>Betriebliches Management</x:v>
      </x:c>
      <x:c r="E1618" s="5" t="str">
        <x:v>Betriebliches Management</x:v>
      </x:c>
      <x:c r="F1618" s="5" t="str">
        <x:v>ui-hq-0015</x:v>
      </x:c>
      <x:c r="G1618" s="5" t="str">
        <x:v>Informationstechnologie und Wissensmanagement</x:v>
      </x:c>
      <x:c r="H1618" s="5" t="str">
        <x:v>dg-hq-0086</x:v>
      </x:c>
      <x:c r="I1618" s="5" t="str">
        <x:v>5.3.2</x:v>
      </x:c>
      <x:c r="J1618" s="5" t="str">
        <x:v>Informationstechnologie</x:v>
      </x:c>
      <x:c r="K1618" s="5" t="str"/>
      <x:c r="L1618" s="5" t="str">
        <x:v>Wissensmanagement &amp; Informationstechnologie</x:v>
      </x:c>
      <x:c r="M1618" s="5" t="n">
        <x:v>16</x:v>
      </x:c>
      <x:c r="N1618" s="5" t="n">
        <x:v>6</x:v>
      </x:c>
      <x:c r="O1618" s="5" t="str"/>
      <x:c r="P1618" s="5" t="str">
        <x:v>Zuordnungsvorschlag; Fachfreigabe ausstehend</x:v>
      </x:c>
      <x:c r="Q1618" s="5" t="str">
        <x:v>Gezielt geprüfter Einzelbeleg</x:v>
      </x:c>
      <x:c r="R1618" s="5" t="str">
        <x:v>Ordnen Sie typische Informationsquellen danach ein, ob sie überwiegend intern oder extern sind, und erläutern Sie die Betriebsdatenerfassung als interne Informationsquelle.</x:v>
      </x:c>
      <x:c r="S1618" s="5" t="str">
        <x:v>56229ff3b5086bb96b88fa9bc53de5c6b17241e0487142b85b2d5d1e385c3a3e</x:v>
      </x:c>
    </x:row>
    <x:row r="1619" ht="36" customHeight="1">
      <x:c r="A1619" s="5" t="str">
        <x:v>BM-0174</x:v>
      </x:c>
      <x:c r="B1619" s="5" t="str">
        <x:v>HQ</x:v>
      </x:c>
      <x:c r="C1619" s="5" t="str">
        <x:v>5</x:v>
      </x:c>
      <x:c r="D1619" s="5" t="str">
        <x:v>Betriebliches Management</x:v>
      </x:c>
      <x:c r="E1619" s="5" t="str">
        <x:v>Betriebliches Management</x:v>
      </x:c>
      <x:c r="F1619" s="5" t="str">
        <x:v>ui-hq-0015</x:v>
      </x:c>
      <x:c r="G1619" s="5" t="str">
        <x:v>Informationstechnologie und Wissensmanagement</x:v>
      </x:c>
      <x:c r="H1619" s="5" t="str">
        <x:v>dg-hq-0086</x:v>
      </x:c>
      <x:c r="I1619" s="5" t="str">
        <x:v>5.3.2</x:v>
      </x:c>
      <x:c r="J1619" s="5" t="str">
        <x:v>Informationstechnologie</x:v>
      </x:c>
      <x:c r="K1619" s="5" t="str"/>
      <x:c r="L1619" s="5" t="str">
        <x:v>Wissensmanagement &amp; Informationstechnologie</x:v>
      </x:c>
      <x:c r="M1619" s="5" t="n">
        <x:v>17</x:v>
      </x:c>
      <x:c r="N1619" s="5" t="n">
        <x:v>7</x:v>
      </x:c>
      <x:c r="O1619" s="5" t="str"/>
      <x:c r="P1619" s="5" t="str">
        <x:v>Zuordnungsvorschlag; Fachfreigabe ausstehend</x:v>
      </x:c>
      <x:c r="Q1619" s="5" t="str">
        <x:v>Gezielt geprüfter Einzelbeleg</x:v>
      </x:c>
      <x:c r="R1619" s="5" t="str">
        <x:v>Welche Besonderheiten sind bei der Nutzung von Wikis als externe Informationsquelle und beim Zitieren von Wiki-Inhalten zu beachten?</x:v>
      </x:c>
      <x:c r="S1619" s="5" t="str">
        <x:v>7fcdf29a5522ecdf147dbc32d8e69c4534f29c233a169d1d013b87f2117e3faa</x:v>
      </x:c>
    </x:row>
    <x:row r="1620" ht="36" customHeight="1">
      <x:c r="A1620" s="5" t="str">
        <x:v>BM-0175</x:v>
      </x:c>
      <x:c r="B1620" s="5" t="str">
        <x:v>HQ</x:v>
      </x:c>
      <x:c r="C1620" s="5" t="str">
        <x:v>5</x:v>
      </x:c>
      <x:c r="D1620" s="5" t="str">
        <x:v>Betriebliches Management</x:v>
      </x:c>
      <x:c r="E1620" s="5" t="str">
        <x:v>Betriebliches Management</x:v>
      </x:c>
      <x:c r="F1620" s="5" t="str">
        <x:v>ui-hq-0015</x:v>
      </x:c>
      <x:c r="G1620" s="5" t="str">
        <x:v>Informationstechnologie und Wissensmanagement</x:v>
      </x:c>
      <x:c r="H1620" s="5" t="str">
        <x:v>dg-hq-0086</x:v>
      </x:c>
      <x:c r="I1620" s="5" t="str">
        <x:v>5.3.2</x:v>
      </x:c>
      <x:c r="J1620" s="5" t="str">
        <x:v>Informationstechnologie</x:v>
      </x:c>
      <x:c r="K1620" s="5" t="str"/>
      <x:c r="L1620" s="5" t="str">
        <x:v>Wissensmanagement &amp; Informationstechnologie</x:v>
      </x:c>
      <x:c r="M1620" s="5" t="n">
        <x:v>18</x:v>
      </x:c>
      <x:c r="N1620" s="5" t="n">
        <x:v>8</x:v>
      </x:c>
      <x:c r="O1620" s="5" t="str"/>
      <x:c r="P1620" s="5" t="str">
        <x:v>Zuordnungsvorschlag; Fachfreigabe ausstehend</x:v>
      </x:c>
      <x:c r="Q1620" s="5" t="str">
        <x:v>Gezielt geprüfter Einzelbeleg</x:v>
      </x:c>
      <x:c r="R1620" s="5" t="str">
        <x:v>Erklären Sie die Begriffe Cloud, Podcast, RSS-Feed, Blog und Wiki und nennen Sie jeweils eine typische Funktion.</x:v>
      </x:c>
      <x:c r="S1620" s="5" t="str">
        <x:v>11e14b211750fd719bd17eb96a88ddcc545516407e759cdf198580aed8f153a2</x:v>
      </x:c>
    </x:row>
    <x:row r="1621" ht="36" customHeight="1">
      <x:c r="A1621" s="5" t="str">
        <x:v>BM-0176</x:v>
      </x:c>
      <x:c r="B1621" s="5" t="str">
        <x:v>HQ</x:v>
      </x:c>
      <x:c r="C1621" s="5" t="str">
        <x:v>5</x:v>
      </x:c>
      <x:c r="D1621" s="5" t="str">
        <x:v>Betriebliches Management</x:v>
      </x:c>
      <x:c r="E1621" s="5" t="str">
        <x:v>Betriebliches Management</x:v>
      </x:c>
      <x:c r="F1621" s="5" t="str">
        <x:v>ui-hq-0016</x:v>
      </x:c>
      <x:c r="G1621" s="5" t="str">
        <x:v>Managementtechniken</x:v>
      </x:c>
      <x:c r="H1621" s="5" t="str">
        <x:v>dg-hq-0087</x:v>
      </x:c>
      <x:c r="I1621" s="5" t="str">
        <x:v>5.4.1</x:v>
      </x:c>
      <x:c r="J1621" s="5" t="str">
        <x:v>Zeit- und Selbstmanagement</x:v>
      </x:c>
      <x:c r="K1621" s="5" t="str"/>
      <x:c r="L1621" s="5" t="str">
        <x:v>Zeit- &amp; Selbstmanagement</x:v>
      </x:c>
      <x:c r="M1621" s="5" t="n">
        <x:v>1</x:v>
      </x:c>
      <x:c r="N1621" s="5" t="n">
        <x:v>1</x:v>
      </x:c>
      <x:c r="O1621" s="5" t="str"/>
      <x:c r="P1621" s="5" t="str">
        <x:v>Zuordnungsvorschlag; Fachfreigabe ausstehend</x:v>
      </x:c>
      <x:c r="Q1621" s="5" t="str">
        <x:v>Bestehendes Lernthema fachlich unter passendem Rahmenplan-Unterbereich behalten</x:v>
      </x:c>
      <x:c r="R1621" s="5" t="str">
        <x:v>Wie unterscheiden sich Zeitmanagement und Selbstmanagement?</x:v>
      </x:c>
      <x:c r="S1621" s="5" t="str">
        <x:v>2c7a6f313852b2e13ee4532cf5610c988b70bcd8c631b53ebba702b1795fe3c8</x:v>
      </x:c>
    </x:row>
    <x:row r="1622" ht="36" customHeight="1">
      <x:c r="A1622" s="5" t="str">
        <x:v>BM-0177</x:v>
      </x:c>
      <x:c r="B1622" s="5" t="str">
        <x:v>HQ</x:v>
      </x:c>
      <x:c r="C1622" s="5" t="str">
        <x:v>5</x:v>
      </x:c>
      <x:c r="D1622" s="5" t="str">
        <x:v>Betriebliches Management</x:v>
      </x:c>
      <x:c r="E1622" s="5" t="str">
        <x:v>Betriebliches Management</x:v>
      </x:c>
      <x:c r="F1622" s="5" t="str">
        <x:v>ui-hq-0016</x:v>
      </x:c>
      <x:c r="G1622" s="5" t="str">
        <x:v>Managementtechniken</x:v>
      </x:c>
      <x:c r="H1622" s="5" t="str">
        <x:v>dg-hq-0087</x:v>
      </x:c>
      <x:c r="I1622" s="5" t="str">
        <x:v>5.4.1</x:v>
      </x:c>
      <x:c r="J1622" s="5" t="str">
        <x:v>Zeit- und Selbstmanagement</x:v>
      </x:c>
      <x:c r="K1622" s="5" t="str"/>
      <x:c r="L1622" s="5" t="str">
        <x:v>Zeit- &amp; Selbstmanagement</x:v>
      </x:c>
      <x:c r="M1622" s="5" t="n">
        <x:v>2</x:v>
      </x:c>
      <x:c r="N1622" s="5" t="n">
        <x:v>2</x:v>
      </x:c>
      <x:c r="O1622" s="5" t="str"/>
      <x:c r="P1622" s="5" t="str">
        <x:v>Zuordnungsvorschlag; Fachfreigabe ausstehend</x:v>
      </x:c>
      <x:c r="Q1622" s="5" t="str">
        <x:v>Bestehendes Lernthema fachlich unter passendem Rahmenplan-Unterbereich behalten</x:v>
      </x:c>
      <x:c r="R1622" s="5" t="str">
        <x:v>Bewerten Sie, ob die folgenden Zielaussagen vollständig nach den SMART-Kriterien formuliert sind.</x:v>
      </x:c>
      <x:c r="S1622" s="5" t="str">
        <x:v>fac37dde20f2f44c18bcbca7f6bc676a84ba4fe68fc102bda205ef24f7dbdae9</x:v>
      </x:c>
    </x:row>
    <x:row r="1623" ht="36" customHeight="1">
      <x:c r="A1623" s="5" t="str">
        <x:v>BM-0178</x:v>
      </x:c>
      <x:c r="B1623" s="5" t="str">
        <x:v>HQ</x:v>
      </x:c>
      <x:c r="C1623" s="5" t="str">
        <x:v>5</x:v>
      </x:c>
      <x:c r="D1623" s="5" t="str">
        <x:v>Betriebliches Management</x:v>
      </x:c>
      <x:c r="E1623" s="5" t="str">
        <x:v>Betriebliches Management</x:v>
      </x:c>
      <x:c r="F1623" s="5" t="str">
        <x:v>ui-hq-0016</x:v>
      </x:c>
      <x:c r="G1623" s="5" t="str">
        <x:v>Managementtechniken</x:v>
      </x:c>
      <x:c r="H1623" s="5" t="str">
        <x:v>dg-hq-0087</x:v>
      </x:c>
      <x:c r="I1623" s="5" t="str">
        <x:v>5.4.1</x:v>
      </x:c>
      <x:c r="J1623" s="5" t="str">
        <x:v>Zeit- und Selbstmanagement</x:v>
      </x:c>
      <x:c r="K1623" s="5" t="str"/>
      <x:c r="L1623" s="5" t="str">
        <x:v>Zeit- &amp; Selbstmanagement</x:v>
      </x:c>
      <x:c r="M1623" s="5" t="n">
        <x:v>3</x:v>
      </x:c>
      <x:c r="N1623" s="5" t="n">
        <x:v>3</x:v>
      </x:c>
      <x:c r="O1623" s="5" t="str"/>
      <x:c r="P1623" s="5" t="str">
        <x:v>Zuordnungsvorschlag; Fachfreigabe ausstehend</x:v>
      </x:c>
      <x:c r="Q1623" s="5" t="str">
        <x:v>Bestehendes Lernthema fachlich unter passendem Rahmenplan-Unterbereich behalten</x:v>
      </x:c>
      <x:c r="R1623" s="5" t="str">
        <x:v>Formulieren Sie für typische Arbeits- oder Lernvorhaben SMART-Ziele und erläutern Sie, woran die SMART-Qualität erkennbar ist.</x:v>
      </x:c>
      <x:c r="S1623" s="5" t="str">
        <x:v>7ea98dec30b21b4bdbf017615915d213ff550d71355471b47cf90945e623e526</x:v>
      </x:c>
    </x:row>
    <x:row r="1624" ht="36" customHeight="1">
      <x:c r="A1624" s="5" t="str">
        <x:v>BM-0179</x:v>
      </x:c>
      <x:c r="B1624" s="5" t="str">
        <x:v>HQ</x:v>
      </x:c>
      <x:c r="C1624" s="5" t="str">
        <x:v>5</x:v>
      </x:c>
      <x:c r="D1624" s="5" t="str">
        <x:v>Betriebliches Management</x:v>
      </x:c>
      <x:c r="E1624" s="5" t="str">
        <x:v>Betriebliches Management</x:v>
      </x:c>
      <x:c r="F1624" s="5" t="str">
        <x:v>ui-hq-0016</x:v>
      </x:c>
      <x:c r="G1624" s="5" t="str">
        <x:v>Managementtechniken</x:v>
      </x:c>
      <x:c r="H1624" s="5" t="str">
        <x:v>dg-hq-0087</x:v>
      </x:c>
      <x:c r="I1624" s="5" t="str">
        <x:v>5.4.1</x:v>
      </x:c>
      <x:c r="J1624" s="5" t="str">
        <x:v>Zeit- und Selbstmanagement</x:v>
      </x:c>
      <x:c r="K1624" s="5" t="str"/>
      <x:c r="L1624" s="5" t="str">
        <x:v>Zeit- &amp; Selbstmanagement</x:v>
      </x:c>
      <x:c r="M1624" s="5" t="n">
        <x:v>4</x:v>
      </x:c>
      <x:c r="N1624" s="5" t="n">
        <x:v>4</x:v>
      </x:c>
      <x:c r="O1624" s="5" t="str"/>
      <x:c r="P1624" s="5" t="str">
        <x:v>Zuordnungsvorschlag; Fachfreigabe ausstehend</x:v>
      </x:c>
      <x:c r="Q1624" s="5" t="str">
        <x:v>Bestehendes Lernthema fachlich unter passendem Rahmenplan-Unterbereich behalten</x:v>
      </x:c>
      <x:c r="R1624" s="5" t="str">
        <x:v>Erläutern Sie ABC-Analyse, Pareto-Prinzip, Eisenhower-Prinzip und ALPEN-Methode als Techniken des Zeit- und Selbstmanagements.</x:v>
      </x:c>
      <x:c r="S1624" s="5" t="str">
        <x:v>6994f35a968662fc6e7567e252eaed03131a270556d1018bfcb845bfeb45f89f</x:v>
      </x:c>
    </x:row>
    <x:row r="1625" ht="36" customHeight="1">
      <x:c r="A1625" s="5" t="str">
        <x:v>BM-0180</x:v>
      </x:c>
      <x:c r="B1625" s="5" t="str">
        <x:v>HQ</x:v>
      </x:c>
      <x:c r="C1625" s="5" t="str">
        <x:v>5</x:v>
      </x:c>
      <x:c r="D1625" s="5" t="str">
        <x:v>Betriebliches Management</x:v>
      </x:c>
      <x:c r="E1625" s="5" t="str">
        <x:v>Betriebliches Management</x:v>
      </x:c>
      <x:c r="F1625" s="5" t="str">
        <x:v>ui-hq-0016</x:v>
      </x:c>
      <x:c r="G1625" s="5" t="str">
        <x:v>Managementtechniken</x:v>
      </x:c>
      <x:c r="H1625" s="5" t="str">
        <x:v>dg-hq-0087</x:v>
      </x:c>
      <x:c r="I1625" s="5" t="str">
        <x:v>5.4.1</x:v>
      </x:c>
      <x:c r="J1625" s="5" t="str">
        <x:v>Zeit- und Selbstmanagement</x:v>
      </x:c>
      <x:c r="K1625" s="5" t="str"/>
      <x:c r="L1625" s="5" t="str">
        <x:v>Zeit- &amp; Selbstmanagement</x:v>
      </x:c>
      <x:c r="M1625" s="5" t="n">
        <x:v>5</x:v>
      </x:c>
      <x:c r="N1625" s="5" t="n">
        <x:v>5</x:v>
      </x:c>
      <x:c r="O1625" s="5" t="str"/>
      <x:c r="P1625" s="5" t="str">
        <x:v>Zuordnungsvorschlag; Fachfreigabe ausstehend</x:v>
      </x:c>
      <x:c r="Q1625" s="5" t="str">
        <x:v>Bestehendes Lernthema fachlich unter passendem Rahmenplan-Unterbereich behalten</x:v>
      </x:c>
      <x:c r="R1625" s="5" t="str">
        <x:v>Ordnen Sie typische Aufgaben den vier Eisenhower-Kategorien zu und nennen Sie Maßnahmen gegen häufige Zeitdiebe.</x:v>
      </x:c>
      <x:c r="S1625" s="5" t="str">
        <x:v>a76da6247c7bf24fcef0bdb3e21a69f8ec9a5eeff2215c811a0ff06dc16661cc</x:v>
      </x:c>
    </x:row>
    <x:row r="1626" ht="36" customHeight="1">
      <x:c r="A1626" s="5" t="str">
        <x:v>BM-0181</x:v>
      </x:c>
      <x:c r="B1626" s="5" t="str">
        <x:v>HQ</x:v>
      </x:c>
      <x:c r="C1626" s="5" t="str">
        <x:v>5</x:v>
      </x:c>
      <x:c r="D1626" s="5" t="str">
        <x:v>Betriebliches Management</x:v>
      </x:c>
      <x:c r="E1626" s="5" t="str">
        <x:v>Betriebliches Management</x:v>
      </x:c>
      <x:c r="F1626" s="5" t="str">
        <x:v>ui-hq-0016</x:v>
      </x:c>
      <x:c r="G1626" s="5" t="str">
        <x:v>Managementtechniken</x:v>
      </x:c>
      <x:c r="H1626" s="5" t="str">
        <x:v>dg-hq-0088</x:v>
      </x:c>
      <x:c r="I1626" s="5" t="str">
        <x:v>5.4.2</x:v>
      </x:c>
      <x:c r="J1626" s="5" t="str">
        <x:v>Kreativitäts- und Entscheidungstechniken</x:v>
      </x:c>
      <x:c r="K1626" s="5" t="str"/>
      <x:c r="L1626" s="5" t="str">
        <x:v>Kreativitäts- &amp; Entscheidungstechniken</x:v>
      </x:c>
      <x:c r="M1626" s="5" t="n">
        <x:v>6</x:v>
      </x:c>
      <x:c r="N1626" s="5" t="n">
        <x:v>1</x:v>
      </x:c>
      <x:c r="O1626" s="5" t="str"/>
      <x:c r="P1626" s="5" t="str">
        <x:v>Zuordnungsvorschlag; Fachfreigabe ausstehend</x:v>
      </x:c>
      <x:c r="Q1626" s="5" t="str">
        <x:v>Bestehendes Lernthema fachlich unter passendem Rahmenplan-Unterbereich behalten</x:v>
      </x:c>
      <x:c r="R1626" s="5" t="str">
        <x:v>Fallbezug: Die folgenden betrieblichen Angaben und Situationen beziehen sich auf die Circle Harbor GmbH.
Eine Analyse von Zeitproblemen ergibt folgende Häufigkeiten: falsche Einschätzung des Zeitbudgets 44,1 %, zu viele Aufgaben gleichzeitig 33,5 %, schlecht vorbereitete Besprechungen 6,5 %, fehlendes Nein-Sagen 5,3 %, zu wenig Delegation 4,1 % und weitere kleinere Ursachen. Welche Aussage lässt sich mit einer Pareto-Analyse ableiten?</x:v>
      </x:c>
      <x:c r="S1626" s="5" t="str">
        <x:v>56d07e7544e3defb214b092824be65ddf963d0a3dfb7fe5398f9cdd4b1887b03</x:v>
      </x:c>
    </x:row>
    <x:row r="1627" ht="36" customHeight="1">
      <x:c r="A1627" s="5" t="str">
        <x:v>BM-0182</x:v>
      </x:c>
      <x:c r="B1627" s="5" t="str">
        <x:v>HQ</x:v>
      </x:c>
      <x:c r="C1627" s="5" t="str">
        <x:v>5</x:v>
      </x:c>
      <x:c r="D1627" s="5" t="str">
        <x:v>Betriebliches Management</x:v>
      </x:c>
      <x:c r="E1627" s="5" t="str">
        <x:v>Betriebliches Management</x:v>
      </x:c>
      <x:c r="F1627" s="5" t="str">
        <x:v>ui-hq-0016</x:v>
      </x:c>
      <x:c r="G1627" s="5" t="str">
        <x:v>Managementtechniken</x:v>
      </x:c>
      <x:c r="H1627" s="5" t="str">
        <x:v>dg-hq-0087</x:v>
      </x:c>
      <x:c r="I1627" s="5" t="str">
        <x:v>5.4.1</x:v>
      </x:c>
      <x:c r="J1627" s="5" t="str">
        <x:v>Zeit- und Selbstmanagement</x:v>
      </x:c>
      <x:c r="K1627" s="5" t="str"/>
      <x:c r="L1627" s="5" t="str">
        <x:v>Zeit- &amp; Selbstmanagement</x:v>
      </x:c>
      <x:c r="M1627" s="5" t="n">
        <x:v>7</x:v>
      </x:c>
      <x:c r="N1627" s="5" t="n">
        <x:v>6</x:v>
      </x:c>
      <x:c r="O1627" s="5" t="str"/>
      <x:c r="P1627" s="5" t="str">
        <x:v>Zuordnungsvorschlag; Fachfreigabe ausstehend</x:v>
      </x:c>
      <x:c r="Q1627" s="5" t="str">
        <x:v>Bestehendes Lernthema fachlich unter passendem Rahmenplan-Unterbereich behalten</x:v>
      </x:c>
      <x:c r="R1627" s="5" t="str">
        <x:v>Fallbezug: Die folgenden betrieblichen Angaben und Situationen beziehen sich auf die Circle Harbor GmbH.
Priorisieren Sie fünf typische Arbeitssituationen: akute Qualitätsgefahr, dringende Reiseroutenänderung der Geschäftsleitung, kurzfristig fällige Vertretungsaufgabe, Hilfe für einen Kollegen ohne unmittelbare Frist und Planung einer wichtigen Reise im nächsten Jahr.</x:v>
      </x:c>
      <x:c r="S1627" s="5" t="str">
        <x:v>7b25f0d1f9013fdd0b022763ee4d38f3cbbaf85f825fea6df72f1d82a6966ba5</x:v>
      </x:c>
    </x:row>
    <x:row r="1628" ht="36" customHeight="1">
      <x:c r="A1628" s="5" t="str">
        <x:v>BM-0183</x:v>
      </x:c>
      <x:c r="B1628" s="5" t="str">
        <x:v>HQ</x:v>
      </x:c>
      <x:c r="C1628" s="5" t="str">
        <x:v>5</x:v>
      </x:c>
      <x:c r="D1628" s="5" t="str">
        <x:v>Betriebliches Management</x:v>
      </x:c>
      <x:c r="E1628" s="5" t="str">
        <x:v>Betriebliches Management</x:v>
      </x:c>
      <x:c r="F1628" s="5" t="str">
        <x:v>ui-hq-0016</x:v>
      </x:c>
      <x:c r="G1628" s="5" t="str">
        <x:v>Managementtechniken</x:v>
      </x:c>
      <x:c r="H1628" s="5" t="str">
        <x:v>dg-hq-0088</x:v>
      </x:c>
      <x:c r="I1628" s="5" t="str">
        <x:v>5.4.2</x:v>
      </x:c>
      <x:c r="J1628" s="5" t="str">
        <x:v>Kreativitäts- und Entscheidungstechniken</x:v>
      </x:c>
      <x:c r="K1628" s="5" t="str"/>
      <x:c r="L1628" s="5" t="str">
        <x:v>Kreativitäts- &amp; Entscheidungstechniken</x:v>
      </x:c>
      <x:c r="M1628" s="5" t="n">
        <x:v>8</x:v>
      </x:c>
      <x:c r="N1628" s="5" t="n">
        <x:v>2</x:v>
      </x:c>
      <x:c r="O1628" s="5" t="str"/>
      <x:c r="P1628" s="5" t="str">
        <x:v>Zuordnungsvorschlag; Fachfreigabe ausstehend</x:v>
      </x:c>
      <x:c r="Q1628" s="5" t="str">
        <x:v>Bestehendes Lernthema fachlich unter passendem Rahmenplan-Unterbereich behalten</x:v>
      </x:c>
      <x:c r="R1628" s="5" t="str">
        <x:v>Unter welchen Bezeichnungen ist das Ursache-Wirkungs-Diagramm bekannt, wie wird es erstellt und welche Vor- und Nachteile hat die Methode?</x:v>
      </x:c>
      <x:c r="S1628" s="5" t="str">
        <x:v>aa1ad6d2d0f62b9951e2060961706207149b8fb0eaf9d62374afe714bce9ec64</x:v>
      </x:c>
    </x:row>
    <x:row r="1629" ht="36" customHeight="1">
      <x:c r="A1629" s="5" t="str">
        <x:v>BM-0184</x:v>
      </x:c>
      <x:c r="B1629" s="5" t="str">
        <x:v>HQ</x:v>
      </x:c>
      <x:c r="C1629" s="5" t="str">
        <x:v>5</x:v>
      </x:c>
      <x:c r="D1629" s="5" t="str">
        <x:v>Betriebliches Management</x:v>
      </x:c>
      <x:c r="E1629" s="5" t="str">
        <x:v>Betriebliches Management</x:v>
      </x:c>
      <x:c r="F1629" s="5" t="str">
        <x:v>ui-hq-0016</x:v>
      </x:c>
      <x:c r="G1629" s="5" t="str">
        <x:v>Managementtechniken</x:v>
      </x:c>
      <x:c r="H1629" s="5" t="str">
        <x:v>dg-hq-0088</x:v>
      </x:c>
      <x:c r="I1629" s="5" t="str">
        <x:v>5.4.2</x:v>
      </x:c>
      <x:c r="J1629" s="5" t="str">
        <x:v>Kreativitäts- und Entscheidungstechniken</x:v>
      </x:c>
      <x:c r="K1629" s="5" t="str"/>
      <x:c r="L1629" s="5" t="str">
        <x:v>Kreativitäts- &amp; Entscheidungstechniken</x:v>
      </x:c>
      <x:c r="M1629" s="5" t="n">
        <x:v>9</x:v>
      </x:c>
      <x:c r="N1629" s="5" t="n">
        <x:v>3</x:v>
      </x:c>
      <x:c r="O1629" s="5" t="str"/>
      <x:c r="P1629" s="5" t="str">
        <x:v>Zuordnungsvorschlag; Fachfreigabe ausstehend</x:v>
      </x:c>
      <x:c r="Q1629" s="5" t="str">
        <x:v>Bestehendes Lernthema fachlich unter passendem Rahmenplan-Unterbereich behalten</x:v>
      </x:c>
      <x:c r="R1629" s="5" t="str">
        <x:v>Wofür steht FMEA und welches Ziel verfolgt diese Methode?</x:v>
      </x:c>
      <x:c r="S1629" s="5" t="str">
        <x:v>c23daa13e6d101ff6930f93bee35e7436a9d13d3418c79e64b46a709e4b0b739</x:v>
      </x:c>
    </x:row>
    <x:row r="1630" ht="36" customHeight="1">
      <x:c r="A1630" s="5" t="str">
        <x:v>BM-0185</x:v>
      </x:c>
      <x:c r="B1630" s="5" t="str">
        <x:v>HQ</x:v>
      </x:c>
      <x:c r="C1630" s="5" t="str">
        <x:v>5</x:v>
      </x:c>
      <x:c r="D1630" s="5" t="str">
        <x:v>Betriebliches Management</x:v>
      </x:c>
      <x:c r="E1630" s="5" t="str">
        <x:v>Betriebliches Management</x:v>
      </x:c>
      <x:c r="F1630" s="5" t="str">
        <x:v>ui-hq-0016</x:v>
      </x:c>
      <x:c r="G1630" s="5" t="str">
        <x:v>Managementtechniken</x:v>
      </x:c>
      <x:c r="H1630" s="5" t="str">
        <x:v>dg-hq-0088</x:v>
      </x:c>
      <x:c r="I1630" s="5" t="str">
        <x:v>5.4.2</x:v>
      </x:c>
      <x:c r="J1630" s="5" t="str">
        <x:v>Kreativitäts- und Entscheidungstechniken</x:v>
      </x:c>
      <x:c r="K1630" s="5" t="str"/>
      <x:c r="L1630" s="5" t="str">
        <x:v>Kreativitäts- &amp; Entscheidungstechniken</x:v>
      </x:c>
      <x:c r="M1630" s="5" t="n">
        <x:v>10</x:v>
      </x:c>
      <x:c r="N1630" s="5" t="n">
        <x:v>4</x:v>
      </x:c>
      <x:c r="O1630" s="5" t="str"/>
      <x:c r="P1630" s="5" t="str">
        <x:v>Zuordnungsvorschlag; Fachfreigabe ausstehend</x:v>
      </x:c>
      <x:c r="Q1630" s="5" t="str">
        <x:v>Bestehendes Lernthema fachlich unter passendem Rahmenplan-Unterbereich behalten</x:v>
      </x:c>
      <x:c r="R1630" s="5" t="str">
        <x:v>Unterscheiden Sie Konstruktions-FMEA, Prozess-FMEA und System-FMEA.</x:v>
      </x:c>
      <x:c r="S1630" s="5" t="str">
        <x:v>eba6ce1807692dc24cfac68ad1ce4b9a5082becbf404ba97f42a0e782ea17862</x:v>
      </x:c>
    </x:row>
    <x:row r="1631" ht="36" customHeight="1">
      <x:c r="A1631" s="5" t="str">
        <x:v>BM-0186</x:v>
      </x:c>
      <x:c r="B1631" s="5" t="str">
        <x:v>HQ</x:v>
      </x:c>
      <x:c r="C1631" s="5" t="str">
        <x:v>5</x:v>
      </x:c>
      <x:c r="D1631" s="5" t="str">
        <x:v>Betriebliches Management</x:v>
      </x:c>
      <x:c r="E1631" s="5" t="str">
        <x:v>Betriebliches Management</x:v>
      </x:c>
      <x:c r="F1631" s="5" t="str">
        <x:v>ui-hq-0016</x:v>
      </x:c>
      <x:c r="G1631" s="5" t="str">
        <x:v>Managementtechniken</x:v>
      </x:c>
      <x:c r="H1631" s="5" t="str">
        <x:v>dg-hq-0088</x:v>
      </x:c>
      <x:c r="I1631" s="5" t="str">
        <x:v>5.4.2</x:v>
      </x:c>
      <x:c r="J1631" s="5" t="str">
        <x:v>Kreativitäts- und Entscheidungstechniken</x:v>
      </x:c>
      <x:c r="K1631" s="5" t="str"/>
      <x:c r="L1631" s="5" t="str">
        <x:v>Kreativitäts- &amp; Entscheidungstechniken</x:v>
      </x:c>
      <x:c r="M1631" s="5" t="n">
        <x:v>11</x:v>
      </x:c>
      <x:c r="N1631" s="5" t="n">
        <x:v>5</x:v>
      </x:c>
      <x:c r="O1631" s="5" t="str"/>
      <x:c r="P1631" s="5" t="str">
        <x:v>Zuordnungsvorschlag; Fachfreigabe ausstehend</x:v>
      </x:c>
      <x:c r="Q1631" s="5" t="str">
        <x:v>Bestehendes Lernthema fachlich unter passendem Rahmenplan-Unterbereich behalten</x:v>
      </x:c>
      <x:c r="R1631" s="5" t="str">
        <x:v>Welche Vorteile und typischen Arbeitsschritte bietet eine FMEA?</x:v>
      </x:c>
      <x:c r="S1631" s="5" t="str">
        <x:v>7f4387e394dc1e8c645c10d6c45c3d854a7ddaae828d26f2e232ce4193f68b62</x:v>
      </x:c>
    </x:row>
    <x:row r="1632" ht="36" customHeight="1">
      <x:c r="A1632" s="5" t="str">
        <x:v>BM-0187</x:v>
      </x:c>
      <x:c r="B1632" s="5" t="str">
        <x:v>HQ</x:v>
      </x:c>
      <x:c r="C1632" s="5" t="str">
        <x:v>5</x:v>
      </x:c>
      <x:c r="D1632" s="5" t="str">
        <x:v>Betriebliches Management</x:v>
      </x:c>
      <x:c r="E1632" s="5" t="str">
        <x:v>Betriebliches Management</x:v>
      </x:c>
      <x:c r="F1632" s="5" t="str">
        <x:v>ui-hq-0016</x:v>
      </x:c>
      <x:c r="G1632" s="5" t="str">
        <x:v>Managementtechniken</x:v>
      </x:c>
      <x:c r="H1632" s="5" t="str">
        <x:v>dg-hq-0088</x:v>
      </x:c>
      <x:c r="I1632" s="5" t="str">
        <x:v>5.4.2.1#1</x:v>
      </x:c>
      <x:c r="J1632" s="5" t="str">
        <x:v>Ursache-Wirkungsdiagramm</x:v>
      </x:c>
      <x:c r="K1632" s="5" t="str"/>
      <x:c r="L1632" s="5" t="str">
        <x:v>Kreativitäts- &amp; Entscheidungstechniken</x:v>
      </x:c>
      <x:c r="M1632" s="5" t="n">
        <x:v>12</x:v>
      </x:c>
      <x:c r="N1632" s="5" t="n">
        <x:v>6</x:v>
      </x:c>
      <x:c r="O1632" s="5" t="str"/>
      <x:c r="P1632" s="5" t="str">
        <x:v>Zuordnungsvorschlag; Fachfreigabe ausstehend</x:v>
      </x:c>
      <x:c r="Q1632" s="5" t="str">
        <x:v>Bestehendes Lernthema fachlich unter passendem Rahmenplan-Unterbereich behalten</x:v>
      </x:c>
      <x:c r="R1632" s="5" t="str">
        <x:v>Fallbezug: Die folgenden betrieblichen Angaben und Situationen beziehen sich auf die Circle Harbor GmbH.
Berechnen Sie für eine FMEA zur Reisevorbereitung die Risikoprioritätszahlen und leiten Sie für die kritischsten Ursachen geeignete Maßnahmen ab.</x:v>
      </x:c>
      <x:c r="S1632" s="5" t="str">
        <x:v>5660805103de397ae9b9c51445dd2a2bf5272dc7b43bd487398a178cfa352a07</x:v>
      </x:c>
    </x:row>
    <x:row r="1633" ht="36" customHeight="1">
      <x:c r="A1633" s="5" t="str">
        <x:v>BM-0188</x:v>
      </x:c>
      <x:c r="B1633" s="5" t="str">
        <x:v>HQ</x:v>
      </x:c>
      <x:c r="C1633" s="5" t="str">
        <x:v>5</x:v>
      </x:c>
      <x:c r="D1633" s="5" t="str">
        <x:v>Betriebliches Management</x:v>
      </x:c>
      <x:c r="E1633" s="5" t="str">
        <x:v>Betriebliches Management</x:v>
      </x:c>
      <x:c r="F1633" s="5" t="str">
        <x:v>ui-hq-0016</x:v>
      </x:c>
      <x:c r="G1633" s="5" t="str">
        <x:v>Managementtechniken</x:v>
      </x:c>
      <x:c r="H1633" s="5" t="str">
        <x:v>dg-hq-0088</x:v>
      </x:c>
      <x:c r="I1633" s="5" t="str">
        <x:v>5.4.2.2</x:v>
      </x:c>
      <x:c r="J1633" s="5" t="str">
        <x:v>Kreativitätstechniken</x:v>
      </x:c>
      <x:c r="K1633" s="5" t="str"/>
      <x:c r="L1633" s="5" t="str">
        <x:v>Kreativitäts- &amp; Entscheidungstechniken</x:v>
      </x:c>
      <x:c r="M1633" s="5" t="n">
        <x:v>13</x:v>
      </x:c>
      <x:c r="N1633" s="5" t="n">
        <x:v>7</x:v>
      </x:c>
      <x:c r="O1633" s="5" t="str"/>
      <x:c r="P1633" s="5" t="str">
        <x:v>Zuordnungsvorschlag; Fachfreigabe ausstehend</x:v>
      </x:c>
      <x:c r="Q1633" s="5" t="str">
        <x:v>Bestehendes Lernthema fachlich unter passendem Rahmenplan-Unterbereich behalten</x:v>
      </x:c>
      <x:c r="R1633" s="5" t="str">
        <x:v>Was versteht man unter Kreativitätstechniken und wozu werden sie eingesetzt?</x:v>
      </x:c>
      <x:c r="S1633" s="5" t="str">
        <x:v>5f3c00bd35e71ba889c96de5c40ab2650a2e3520ce53f835168e2cfd2d36e94b</x:v>
      </x:c>
    </x:row>
    <x:row r="1634" ht="36" customHeight="1">
      <x:c r="A1634" s="5" t="str">
        <x:v>BM-0189</x:v>
      </x:c>
      <x:c r="B1634" s="5" t="str">
        <x:v>HQ</x:v>
      </x:c>
      <x:c r="C1634" s="5" t="str">
        <x:v>5</x:v>
      </x:c>
      <x:c r="D1634" s="5" t="str">
        <x:v>Betriebliches Management</x:v>
      </x:c>
      <x:c r="E1634" s="5" t="str">
        <x:v>Betriebliches Management</x:v>
      </x:c>
      <x:c r="F1634" s="5" t="str">
        <x:v>ui-hq-0016</x:v>
      </x:c>
      <x:c r="G1634" s="5" t="str">
        <x:v>Managementtechniken</x:v>
      </x:c>
      <x:c r="H1634" s="5" t="str">
        <x:v>dg-hq-0088</x:v>
      </x:c>
      <x:c r="I1634" s="5" t="str">
        <x:v>5.4.2.2#1</x:v>
      </x:c>
      <x:c r="J1634" s="5" t="str">
        <x:v>Brainstorming</x:v>
      </x:c>
      <x:c r="K1634" s="5" t="str"/>
      <x:c r="L1634" s="5" t="str">
        <x:v>Kreativitäts- &amp; Entscheidungstechniken</x:v>
      </x:c>
      <x:c r="M1634" s="5" t="n">
        <x:v>14</x:v>
      </x:c>
      <x:c r="N1634" s="5" t="n">
        <x:v>8</x:v>
      </x:c>
      <x:c r="O1634" s="5" t="str"/>
      <x:c r="P1634" s="5" t="str">
        <x:v>Zuordnungsvorschlag; Fachfreigabe ausstehend</x:v>
      </x:c>
      <x:c r="Q1634" s="5" t="str">
        <x:v>Bestehendes Lernthema fachlich unter passendem Rahmenplan-Unterbereich behalten</x:v>
      </x:c>
      <x:c r="R1634" s="5" t="str">
        <x:v>Ordnen Sie typische Aufgaben beim Brainstorming den Phasen Vorbereitung, Durchführung und Nachbereitung zu.</x:v>
      </x:c>
      <x:c r="S1634" s="5" t="str">
        <x:v>f3a4ec16cf53ab409d612df82d3c2c9f24aa612d54cebc9251d188b394a32ee5</x:v>
      </x:c>
    </x:row>
    <x:row r="1635" ht="36" customHeight="1">
      <x:c r="A1635" s="5" t="str">
        <x:v>BM-0190</x:v>
      </x:c>
      <x:c r="B1635" s="5" t="str">
        <x:v>HQ</x:v>
      </x:c>
      <x:c r="C1635" s="5" t="str">
        <x:v>5</x:v>
      </x:c>
      <x:c r="D1635" s="5" t="str">
        <x:v>Betriebliches Management</x:v>
      </x:c>
      <x:c r="E1635" s="5" t="str">
        <x:v>Betriebliches Management</x:v>
      </x:c>
      <x:c r="F1635" s="5" t="str">
        <x:v>ui-hq-0016</x:v>
      </x:c>
      <x:c r="G1635" s="5" t="str">
        <x:v>Managementtechniken</x:v>
      </x:c>
      <x:c r="H1635" s="5" t="str">
        <x:v>dg-hq-0088</x:v>
      </x:c>
      <x:c r="I1635" s="5" t="str">
        <x:v>5.4.2</x:v>
      </x:c>
      <x:c r="J1635" s="5" t="str">
        <x:v>Kreativitäts- und Entscheidungstechniken</x:v>
      </x:c>
      <x:c r="K1635" s="5" t="str"/>
      <x:c r="L1635" s="5" t="str">
        <x:v>Kreativitäts- &amp; Entscheidungstechniken</x:v>
      </x:c>
      <x:c r="M1635" s="5" t="n">
        <x:v>15</x:v>
      </x:c>
      <x:c r="N1635" s="5" t="n">
        <x:v>9</x:v>
      </x:c>
      <x:c r="O1635" s="5" t="str"/>
      <x:c r="P1635" s="5" t="str">
        <x:v>Zuordnungsvorschlag; Fachfreigabe ausstehend</x:v>
      </x:c>
      <x:c r="Q1635" s="5" t="str">
        <x:v>Bestehendes Lernthema fachlich unter passendem Rahmenplan-Unterbereich behalten</x:v>
      </x:c>
      <x:c r="R1635" s="5" t="str">
        <x:v>Was kennzeichnet die 6-3-5-Methode, wie unterscheidet sie sich von allgemeinem Brainwriting und Brainstorming und für welche Problemstellungen eignet sie sich?</x:v>
      </x:c>
      <x:c r="S1635" s="5" t="str">
        <x:v>361670aaeed1944be40a6366b3f404d9793e6a15f50bd1b5dd6e827ea5aafe09</x:v>
      </x:c>
    </x:row>
    <x:row r="1636" ht="36" customHeight="1">
      <x:c r="A1636" s="5" t="str">
        <x:v>BM-0191</x:v>
      </x:c>
      <x:c r="B1636" s="5" t="str">
        <x:v>HQ</x:v>
      </x:c>
      <x:c r="C1636" s="5" t="str">
        <x:v>5</x:v>
      </x:c>
      <x:c r="D1636" s="5" t="str">
        <x:v>Betriebliches Management</x:v>
      </x:c>
      <x:c r="E1636" s="5" t="str">
        <x:v>Betriebliches Management</x:v>
      </x:c>
      <x:c r="F1636" s="5" t="str">
        <x:v>ui-hq-0016</x:v>
      </x:c>
      <x:c r="G1636" s="5" t="str">
        <x:v>Managementtechniken</x:v>
      </x:c>
      <x:c r="H1636" s="5" t="str">
        <x:v>dg-hq-0088</x:v>
      </x:c>
      <x:c r="I1636" s="5" t="str">
        <x:v>5.4.2.2#5</x:v>
      </x:c>
      <x:c r="J1636" s="5" t="str">
        <x:v>Bionik</x:v>
      </x:c>
      <x:c r="K1636" s="5" t="str"/>
      <x:c r="L1636" s="5" t="str">
        <x:v>Kreativitäts- &amp; Entscheidungstechniken</x:v>
      </x:c>
      <x:c r="M1636" s="5" t="n">
        <x:v>16</x:v>
      </x:c>
      <x:c r="N1636" s="5" t="n">
        <x:v>10</x:v>
      </x:c>
      <x:c r="O1636" s="5" t="str"/>
      <x:c r="P1636" s="5" t="str">
        <x:v>Zuordnungsvorschlag; Fachfreigabe ausstehend</x:v>
      </x:c>
      <x:c r="Q1636" s="5" t="str">
        <x:v>Bestehendes Lernthema fachlich unter passendem Rahmenplan-Unterbereich behalten</x:v>
      </x:c>
      <x:c r="R1636" s="5" t="str">
        <x:v>Was bedeutet Bionik als Kreativitätstechnik?</x:v>
      </x:c>
      <x:c r="S1636" s="5" t="str">
        <x:v>fa3e3072b82c7e86be23287b35e10ff45d58042279b790db779f49de6f950f95</x:v>
      </x:c>
    </x:row>
    <x:row r="1637" ht="36" customHeight="1">
      <x:c r="A1637" s="5" t="str">
        <x:v>BM-0192</x:v>
      </x:c>
      <x:c r="B1637" s="5" t="str">
        <x:v>HQ</x:v>
      </x:c>
      <x:c r="C1637" s="5" t="str">
        <x:v>5</x:v>
      </x:c>
      <x:c r="D1637" s="5" t="str">
        <x:v>Betriebliches Management</x:v>
      </x:c>
      <x:c r="E1637" s="5" t="str">
        <x:v>Betriebliches Management</x:v>
      </x:c>
      <x:c r="F1637" s="5" t="str">
        <x:v>ui-hq-0016</x:v>
      </x:c>
      <x:c r="G1637" s="5" t="str">
        <x:v>Managementtechniken</x:v>
      </x:c>
      <x:c r="H1637" s="5" t="str">
        <x:v>dg-hq-0088</x:v>
      </x:c>
      <x:c r="I1637" s="5" t="str">
        <x:v>5.4.2.2#6</x:v>
      </x:c>
      <x:c r="J1637" s="5" t="str">
        <x:v>Morphologischer Kasten</x:v>
      </x:c>
      <x:c r="K1637" s="5" t="str"/>
      <x:c r="L1637" s="5" t="str">
        <x:v>Kreativitäts- &amp; Entscheidungstechniken</x:v>
      </x:c>
      <x:c r="M1637" s="5" t="n">
        <x:v>17</x:v>
      </x:c>
      <x:c r="N1637" s="5" t="n">
        <x:v>11</x:v>
      </x:c>
      <x:c r="O1637" s="5" t="str"/>
      <x:c r="P1637" s="5" t="str">
        <x:v>Zuordnungsvorschlag; Fachfreigabe ausstehend</x:v>
      </x:c>
      <x:c r="Q1637" s="5" t="str">
        <x:v>Bestehendes Lernthema fachlich unter passendem Rahmenplan-Unterbereich behalten</x:v>
      </x:c>
      <x:c r="R1637" s="5" t="str">
        <x:v>Bewerten Sie Aussagen zum Ziel und zur Funktionsweise des morphologischen Kastens.</x:v>
      </x:c>
      <x:c r="S1637" s="5" t="str">
        <x:v>6cbf578877f5d9cf0c783992a4d5dcbc38f677e6148fab0cec2d119566ea6506</x:v>
      </x:c>
    </x:row>
    <x:row r="1638" ht="36" customHeight="1">
      <x:c r="A1638" s="5" t="str">
        <x:v>BM-0193</x:v>
      </x:c>
      <x:c r="B1638" s="5" t="str">
        <x:v>HQ</x:v>
      </x:c>
      <x:c r="C1638" s="5" t="str">
        <x:v>5</x:v>
      </x:c>
      <x:c r="D1638" s="5" t="str">
        <x:v>Betriebliches Management</x:v>
      </x:c>
      <x:c r="E1638" s="5" t="str">
        <x:v>Betriebliches Management</x:v>
      </x:c>
      <x:c r="F1638" s="5" t="str">
        <x:v>ui-hq-0016</x:v>
      </x:c>
      <x:c r="G1638" s="5" t="str">
        <x:v>Managementtechniken</x:v>
      </x:c>
      <x:c r="H1638" s="5" t="str">
        <x:v>dg-hq-0088</x:v>
      </x:c>
      <x:c r="I1638" s="5" t="str">
        <x:v>5.4.2</x:v>
      </x:c>
      <x:c r="J1638" s="5" t="str">
        <x:v>Kreativitäts- und Entscheidungstechniken</x:v>
      </x:c>
      <x:c r="K1638" s="5" t="str"/>
      <x:c r="L1638" s="5" t="str">
        <x:v>Kreativitäts- &amp; Entscheidungstechniken</x:v>
      </x:c>
      <x:c r="M1638" s="5" t="n">
        <x:v>18</x:v>
      </x:c>
      <x:c r="N1638" s="5" t="n">
        <x:v>12</x:v>
      </x:c>
      <x:c r="O1638" s="5" t="str"/>
      <x:c r="P1638" s="5" t="str">
        <x:v>Zuordnungsvorschlag; Fachfreigabe ausstehend</x:v>
      </x:c>
      <x:c r="Q1638" s="5" t="str">
        <x:v>Bestehendes Lernthema fachlich unter passendem Rahmenplan-Unterbereich behalten</x:v>
      </x:c>
      <x:c r="R1638" s="5" t="str">
        <x:v>Nennen Sie für Mindmapping, morphologischen Kasten und Brainstorming jeweils ein geeignetes Einsatzbeispiel sowie zentrale Vor- und Nachteile.</x:v>
      </x:c>
      <x:c r="S1638" s="5" t="str">
        <x:v>d9a911d385d2eb097c1a720f37b5582855eaae0302928b1f60dc8fcf249246e6</x:v>
      </x:c>
    </x:row>
    <x:row r="1639" ht="36" customHeight="1">
      <x:c r="A1639" s="5" t="str">
        <x:v>BM-0194</x:v>
      </x:c>
      <x:c r="B1639" s="5" t="str">
        <x:v>HQ</x:v>
      </x:c>
      <x:c r="C1639" s="5" t="str">
        <x:v>5</x:v>
      </x:c>
      <x:c r="D1639" s="5" t="str">
        <x:v>Betriebliches Management</x:v>
      </x:c>
      <x:c r="E1639" s="5" t="str">
        <x:v>Betriebliches Management</x:v>
      </x:c>
      <x:c r="F1639" s="5" t="str">
        <x:v>ui-hq-0016</x:v>
      </x:c>
      <x:c r="G1639" s="5" t="str">
        <x:v>Managementtechniken</x:v>
      </x:c>
      <x:c r="H1639" s="5" t="str">
        <x:v>dg-hq-0088</x:v>
      </x:c>
      <x:c r="I1639" s="5" t="str">
        <x:v>5.4.2</x:v>
      </x:c>
      <x:c r="J1639" s="5" t="str">
        <x:v>Kreativitäts- und Entscheidungstechniken</x:v>
      </x:c>
      <x:c r="K1639" s="5" t="str"/>
      <x:c r="L1639" s="5" t="str">
        <x:v>Kreativitäts- &amp; Entscheidungstechniken</x:v>
      </x:c>
      <x:c r="M1639" s="5" t="n">
        <x:v>19</x:v>
      </x:c>
      <x:c r="N1639" s="5" t="n">
        <x:v>13</x:v>
      </x:c>
      <x:c r="O1639" s="5" t="str"/>
      <x:c r="P1639" s="5" t="str">
        <x:v>Zuordnungsvorschlag; Fachfreigabe ausstehend</x:v>
      </x:c>
      <x:c r="Q1639" s="5" t="str">
        <x:v>Bestehendes Lernthema fachlich unter passendem Rahmenplan-Unterbereich behalten</x:v>
      </x:c>
      <x:c r="R1639" s="5" t="str">
        <x:v>Bringen Sie die Schritte eines systematischen Entscheidungsprozesses in die richtige Reihenfolge und nennen Sie fünf Merkmale, von denen Entscheidungssituationen abhängen.</x:v>
      </x:c>
      <x:c r="S1639" s="5" t="str">
        <x:v>3328898542303fd12e09eb024ae901fea6ae065f93c88afd7a20884e395bbe38</x:v>
      </x:c>
    </x:row>
    <x:row r="1640" ht="36" customHeight="1">
      <x:c r="A1640" s="5" t="str">
        <x:v>BM-0195</x:v>
      </x:c>
      <x:c r="B1640" s="5" t="str">
        <x:v>HQ</x:v>
      </x:c>
      <x:c r="C1640" s="5" t="str">
        <x:v>5</x:v>
      </x:c>
      <x:c r="D1640" s="5" t="str">
        <x:v>Betriebliches Management</x:v>
      </x:c>
      <x:c r="E1640" s="5" t="str">
        <x:v>Betriebliches Management</x:v>
      </x:c>
      <x:c r="F1640" s="5" t="str">
        <x:v>ui-hq-0016</x:v>
      </x:c>
      <x:c r="G1640" s="5" t="str">
        <x:v>Managementtechniken</x:v>
      </x:c>
      <x:c r="H1640" s="5" t="str">
        <x:v>dg-hq-0088</x:v>
      </x:c>
      <x:c r="I1640" s="5" t="str">
        <x:v>5.4.2.3#3</x:v>
      </x:c>
      <x:c r="J1640" s="5" t="str">
        <x:v>Entscheidungsmatrix</x:v>
      </x:c>
      <x:c r="K1640" s="5" t="str"/>
      <x:c r="L1640" s="5" t="str">
        <x:v>Kreativitäts- &amp; Entscheidungstechniken</x:v>
      </x:c>
      <x:c r="M1640" s="5" t="n">
        <x:v>20</x:v>
      </x:c>
      <x:c r="N1640" s="5" t="n">
        <x:v>14</x:v>
      </x:c>
      <x:c r="O1640" s="5" t="str"/>
      <x:c r="P1640" s="5" t="str">
        <x:v>Zuordnungsvorschlag; Fachfreigabe ausstehend</x:v>
      </x:c>
      <x:c r="Q1640" s="5" t="str">
        <x:v>Bestehendes Lernthema fachlich unter passendem Rahmenplan-Unterbereich behalten</x:v>
      </x:c>
      <x:c r="R1640" s="5" t="str">
        <x:v>Welchen Nutzen hat eine Entscheidungsmatrix gegenüber einer rein gedanklichen Bewertung?</x:v>
      </x:c>
      <x:c r="S1640" s="5" t="str">
        <x:v>847cda66250262b81f8f1a7a314c8e3c6b7c4514ceae603035505ae5c7a94e83</x:v>
      </x:c>
    </x:row>
    <x:row r="1641" ht="36" customHeight="1">
      <x:c r="A1641" s="5" t="str">
        <x:v>BM-0196</x:v>
      </x:c>
      <x:c r="B1641" s="5" t="str">
        <x:v>HQ</x:v>
      </x:c>
      <x:c r="C1641" s="5" t="str">
        <x:v>5</x:v>
      </x:c>
      <x:c r="D1641" s="5" t="str">
        <x:v>Betriebliches Management</x:v>
      </x:c>
      <x:c r="E1641" s="5" t="str">
        <x:v>Betriebliches Management</x:v>
      </x:c>
      <x:c r="F1641" s="5" t="str">
        <x:v>ui-hq-0016</x:v>
      </x:c>
      <x:c r="G1641" s="5" t="str">
        <x:v>Managementtechniken</x:v>
      </x:c>
      <x:c r="H1641" s="5" t="str">
        <x:v>dg-hq-0088</x:v>
      </x:c>
      <x:c r="I1641" s="5" t="str">
        <x:v>5.4.2</x:v>
      </x:c>
      <x:c r="J1641" s="5" t="str">
        <x:v>Kreativitäts- und Entscheidungstechniken</x:v>
      </x:c>
      <x:c r="K1641" s="5" t="str"/>
      <x:c r="L1641" s="5" t="str">
        <x:v>Kreativitäts- &amp; Entscheidungstechniken</x:v>
      </x:c>
      <x:c r="M1641" s="5" t="n">
        <x:v>21</x:v>
      </x:c>
      <x:c r="N1641" s="5" t="n">
        <x:v>15</x:v>
      </x:c>
      <x:c r="O1641" s="5" t="str"/>
      <x:c r="P1641" s="5" t="str">
        <x:v>Zuordnungsvorschlag; Fachfreigabe ausstehend</x:v>
      </x:c>
      <x:c r="Q1641" s="5" t="str">
        <x:v>Bestehendes Lernthema fachlich unter passendem Rahmenplan-Unterbereich behalten</x:v>
      </x:c>
      <x:c r="R1641" s="5" t="str">
        <x:v>Erläutern Sie die Nutzwertanalyse: Wofür eignet sie sich, welche Schritte umfasst sie und welche Vor- und Nachteile hat sie?</x:v>
      </x:c>
      <x:c r="S1641" s="5" t="str">
        <x:v>6af1faafff7330e2d1ee0d8fdfc822b4ee95c6e802c9db9091f7856a99437d39</x:v>
      </x:c>
    </x:row>
    <x:row r="1642" ht="36" customHeight="1">
      <x:c r="A1642" s="5" t="str">
        <x:v>BM-0197</x:v>
      </x:c>
      <x:c r="B1642" s="5" t="str">
        <x:v>HQ</x:v>
      </x:c>
      <x:c r="C1642" s="5" t="str">
        <x:v>5</x:v>
      </x:c>
      <x:c r="D1642" s="5" t="str">
        <x:v>Betriebliches Management</x:v>
      </x:c>
      <x:c r="E1642" s="5" t="str">
        <x:v>Betriebliches Management</x:v>
      </x:c>
      <x:c r="F1642" s="5" t="str">
        <x:v>ui-hq-0016</x:v>
      </x:c>
      <x:c r="G1642" s="5" t="str">
        <x:v>Managementtechniken</x:v>
      </x:c>
      <x:c r="H1642" s="5" t="str">
        <x:v>dg-hq-0088</x:v>
      </x:c>
      <x:c r="I1642" s="5" t="str">
        <x:v>5.4.2</x:v>
      </x:c>
      <x:c r="J1642" s="5" t="str">
        <x:v>Kreativitäts- und Entscheidungstechniken</x:v>
      </x:c>
      <x:c r="K1642" s="5" t="str"/>
      <x:c r="L1642" s="5" t="str">
        <x:v>Kreativitäts- &amp; Entscheidungstechniken</x:v>
      </x:c>
      <x:c r="M1642" s="5" t="n">
        <x:v>22</x:v>
      </x:c>
      <x:c r="N1642" s="5" t="n">
        <x:v>16</x:v>
      </x:c>
      <x:c r="O1642" s="5" t="str"/>
      <x:c r="P1642" s="5" t="str">
        <x:v>Zuordnungsvorschlag; Fachfreigabe ausstehend</x:v>
      </x:c>
      <x:c r="Q1642" s="5" t="str">
        <x:v>Bestehendes Lernthema fachlich unter passendem Rahmenplan-Unterbereich behalten</x:v>
      </x:c>
      <x:c r="R1642" s="5" t="str">
        <x:v>Führen Sie für den Arbeitsweg eine Nutzwertanalyse mit den Kriterien Kostenvorteil, Bequemlichkeit, Schnelligkeit, Gesundheitsnutzen und Umweltfreundlichkeit durch. Vergleichen Sie Fahrrad, Bus/Bahn und Auto.</x:v>
      </x:c>
      <x:c r="S1642" s="5" t="str">
        <x:v>3f196a02c04b59f1455f1d7edb13b47358a92501d6d60f291ba6afedb8b39101</x:v>
      </x:c>
    </x:row>
    <x:row r="1643" ht="36" customHeight="1">
      <x:c r="A1643" s="5" t="str">
        <x:v>BM-0198</x:v>
      </x:c>
      <x:c r="B1643" s="5" t="str">
        <x:v>HQ</x:v>
      </x:c>
      <x:c r="C1643" s="5" t="str">
        <x:v>5</x:v>
      </x:c>
      <x:c r="D1643" s="5" t="str">
        <x:v>Betriebliches Management</x:v>
      </x:c>
      <x:c r="E1643" s="5" t="str">
        <x:v>Betriebliches Management</x:v>
      </x:c>
      <x:c r="F1643" s="5" t="str">
        <x:v>ui-hq-0016</x:v>
      </x:c>
      <x:c r="G1643" s="5" t="str">
        <x:v>Managementtechniken</x:v>
      </x:c>
      <x:c r="H1643" s="5" t="str">
        <x:v>dg-hq-0089</x:v>
      </x:c>
      <x:c r="I1643" s="5" t="str">
        <x:v>5.4.3</x:v>
      </x:c>
      <x:c r="J1643" s="5" t="str">
        <x:v>Projektmanagement</x:v>
      </x:c>
      <x:c r="K1643" s="5" t="str"/>
      <x:c r="L1643" s="5" t="str">
        <x:v>Projektmanagement</x:v>
      </x:c>
      <x:c r="M1643" s="5" t="n">
        <x:v>23</x:v>
      </x:c>
      <x:c r="N1643" s="5" t="n">
        <x:v>1</x:v>
      </x:c>
      <x:c r="O1643" s="5" t="str"/>
      <x:c r="P1643" s="5" t="str">
        <x:v>Zuordnungsvorschlag; Fachfreigabe ausstehend</x:v>
      </x:c>
      <x:c r="Q1643" s="5" t="str">
        <x:v>Bestehendes Lernthema fachlich unter passendem Rahmenplan-Unterbereich behalten</x:v>
      </x:c>
      <x:c r="R1643" s="5" t="str">
        <x:v>Bewerten Sie typische Merkmale eines Projekts als richtig oder falsch.</x:v>
      </x:c>
      <x:c r="S1643" s="5" t="str">
        <x:v>9b2dead66ab04acb519c8aac0fb87658510e001d3fca70cdd35052af11f8e950</x:v>
      </x:c>
    </x:row>
    <x:row r="1644" ht="36" customHeight="1">
      <x:c r="A1644" s="5" t="str">
        <x:v>BM-0199</x:v>
      </x:c>
      <x:c r="B1644" s="5" t="str">
        <x:v>HQ</x:v>
      </x:c>
      <x:c r="C1644" s="5" t="str">
        <x:v>5</x:v>
      </x:c>
      <x:c r="D1644" s="5" t="str">
        <x:v>Betriebliches Management</x:v>
      </x:c>
      <x:c r="E1644" s="5" t="str">
        <x:v>Betriebliches Management</x:v>
      </x:c>
      <x:c r="F1644" s="5" t="str">
        <x:v>ui-hq-0016</x:v>
      </x:c>
      <x:c r="G1644" s="5" t="str">
        <x:v>Managementtechniken</x:v>
      </x:c>
      <x:c r="H1644" s="5" t="str">
        <x:v>dg-hq-0089</x:v>
      </x:c>
      <x:c r="I1644" s="5" t="str">
        <x:v>5.4.3.1</x:v>
      </x:c>
      <x:c r="J1644" s="5" t="str">
        <x:v>Projektorganisation</x:v>
      </x:c>
      <x:c r="K1644" s="5" t="str"/>
      <x:c r="L1644" s="5" t="str">
        <x:v>Projektmanagement</x:v>
      </x:c>
      <x:c r="M1644" s="5" t="n">
        <x:v>24</x:v>
      </x:c>
      <x:c r="N1644" s="5" t="n">
        <x:v>2</x:v>
      </x:c>
      <x:c r="O1644" s="5" t="str"/>
      <x:c r="P1644" s="5" t="str">
        <x:v>Zuordnungsvorschlag; Fachfreigabe ausstehend</x:v>
      </x:c>
      <x:c r="Q1644" s="5" t="str">
        <x:v>Bestehendes Lernthema fachlich unter passendem Rahmenplan-Unterbereich behalten</x:v>
      </x:c>
      <x:c r="R1644" s="5" t="str">
        <x:v>Ordnen Sie drei Projektsituationen der reinen, der Stab- oder der Matrix-Projektorganisation zu und nennen Sie Vor- und Nachteile der Matrixorganisation aus Sicht der Mitarbeitenden.</x:v>
      </x:c>
      <x:c r="S1644" s="5" t="str">
        <x:v>058b39063bf988c9c7987926845bb29263d132fca4d66bddbe4fb59b1213e428</x:v>
      </x:c>
    </x:row>
    <x:row r="1645" ht="36" customHeight="1">
      <x:c r="A1645" s="5" t="str">
        <x:v>BM-0200</x:v>
      </x:c>
      <x:c r="B1645" s="5" t="str">
        <x:v>HQ</x:v>
      </x:c>
      <x:c r="C1645" s="5" t="str">
        <x:v>5</x:v>
      </x:c>
      <x:c r="D1645" s="5" t="str">
        <x:v>Betriebliches Management</x:v>
      </x:c>
      <x:c r="E1645" s="5" t="str">
        <x:v>Betriebliches Management</x:v>
      </x:c>
      <x:c r="F1645" s="5" t="str">
        <x:v>ui-hq-0016</x:v>
      </x:c>
      <x:c r="G1645" s="5" t="str">
        <x:v>Managementtechniken</x:v>
      </x:c>
      <x:c r="H1645" s="5" t="str">
        <x:v>dg-hq-0089</x:v>
      </x:c>
      <x:c r="I1645" s="5" t="str">
        <x:v>5.4.3.1</x:v>
      </x:c>
      <x:c r="J1645" s="5" t="str">
        <x:v>Projektorganisation</x:v>
      </x:c>
      <x:c r="K1645" s="5" t="str"/>
      <x:c r="L1645" s="5" t="str">
        <x:v>Projektmanagement</x:v>
      </x:c>
      <x:c r="M1645" s="5" t="n">
        <x:v>25</x:v>
      </x:c>
      <x:c r="N1645" s="5" t="n">
        <x:v>3</x:v>
      </x:c>
      <x:c r="O1645" s="5" t="str"/>
      <x:c r="P1645" s="5" t="str">
        <x:v>Zuordnungsvorschlag; Fachfreigabe ausstehend</x:v>
      </x:c>
      <x:c r="Q1645" s="5" t="str">
        <x:v>Bestehendes Lernthema fachlich unter passendem Rahmenplan-Unterbereich behalten</x:v>
      </x:c>
      <x:c r="R1645" s="5" t="str">
        <x:v>Stellen Sie die wichtigsten Vor- und Nachteile von reiner, Stab-, Matrix- und Linien-Projektorganisation gegenüber.</x:v>
      </x:c>
      <x:c r="S1645" s="5" t="str">
        <x:v>d7585f02976bc986ee244c790fdbc8d40961115fe794997079e23b51c1d3aa22</x:v>
      </x:c>
    </x:row>
    <x:row r="1646" ht="36" customHeight="1">
      <x:c r="A1646" s="5" t="str">
        <x:v>BM-0201</x:v>
      </x:c>
      <x:c r="B1646" s="5" t="str">
        <x:v>HQ</x:v>
      </x:c>
      <x:c r="C1646" s="5" t="str">
        <x:v>5</x:v>
      </x:c>
      <x:c r="D1646" s="5" t="str">
        <x:v>Betriebliches Management</x:v>
      </x:c>
      <x:c r="E1646" s="5" t="str">
        <x:v>Betriebliches Management</x:v>
      </x:c>
      <x:c r="F1646" s="5" t="str">
        <x:v>ui-hq-0016</x:v>
      </x:c>
      <x:c r="G1646" s="5" t="str">
        <x:v>Managementtechniken</x:v>
      </x:c>
      <x:c r="H1646" s="5" t="str">
        <x:v>dg-hq-0089</x:v>
      </x:c>
      <x:c r="I1646" s="5" t="str">
        <x:v>5.4.3</x:v>
      </x:c>
      <x:c r="J1646" s="5" t="str">
        <x:v>Projektmanagement</x:v>
      </x:c>
      <x:c r="K1646" s="5" t="str"/>
      <x:c r="L1646" s="5" t="str">
        <x:v>Projektmanagement</x:v>
      </x:c>
      <x:c r="M1646" s="5" t="n">
        <x:v>26</x:v>
      </x:c>
      <x:c r="N1646" s="5" t="n">
        <x:v>4</x:v>
      </x:c>
      <x:c r="O1646" s="5" t="str"/>
      <x:c r="P1646" s="5" t="str">
        <x:v>Zuordnungsvorschlag; Fachfreigabe ausstehend</x:v>
      </x:c>
      <x:c r="Q1646" s="5" t="str">
        <x:v>Bestehendes Lernthema fachlich unter passendem Rahmenplan-Unterbereich behalten</x:v>
      </x:c>
      <x:c r="R1646" s="5" t="str">
        <x:v>Von welchen Kriterien hängt die Wahl der Projektaufbauorganisation ab?</x:v>
      </x:c>
      <x:c r="S1646" s="5" t="str">
        <x:v>7335a7623658bf0698ab452aca6b563e550b43f3ae0610dd19816fdecaf3fed4</x:v>
      </x:c>
    </x:row>
    <x:row r="1647" ht="36" customHeight="1">
      <x:c r="A1647" s="5" t="str">
        <x:v>BM-0202</x:v>
      </x:c>
      <x:c r="B1647" s="5" t="str">
        <x:v>HQ</x:v>
      </x:c>
      <x:c r="C1647" s="5" t="str">
        <x:v>5</x:v>
      </x:c>
      <x:c r="D1647" s="5" t="str">
        <x:v>Betriebliches Management</x:v>
      </x:c>
      <x:c r="E1647" s="5" t="str">
        <x:v>Betriebliches Management</x:v>
      </x:c>
      <x:c r="F1647" s="5" t="str">
        <x:v>ui-hq-0016</x:v>
      </x:c>
      <x:c r="G1647" s="5" t="str">
        <x:v>Managementtechniken</x:v>
      </x:c>
      <x:c r="H1647" s="5" t="str">
        <x:v>dg-hq-0089</x:v>
      </x:c>
      <x:c r="I1647" s="5" t="str">
        <x:v>5.4.3</x:v>
      </x:c>
      <x:c r="J1647" s="5" t="str">
        <x:v>Projektmanagement</x:v>
      </x:c>
      <x:c r="K1647" s="5" t="str"/>
      <x:c r="L1647" s="5" t="str">
        <x:v>Projektmanagement</x:v>
      </x:c>
      <x:c r="M1647" s="5" t="n">
        <x:v>27</x:v>
      </x:c>
      <x:c r="N1647" s="5" t="n">
        <x:v>5</x:v>
      </x:c>
      <x:c r="O1647" s="5" t="str"/>
      <x:c r="P1647" s="5" t="str">
        <x:v>Zuordnungsvorschlag; Fachfreigabe ausstehend</x:v>
      </x:c>
      <x:c r="Q1647" s="5" t="str">
        <x:v>Bestehendes Lernthema fachlich unter passendem Rahmenplan-Unterbereich behalten</x:v>
      </x:c>
      <x:c r="R1647" s="5" t="str">
        <x:v>Welche Vor- und Nachteile sind mit internen und externen Mitgliedern einer Projektgruppe verbunden?</x:v>
      </x:c>
      <x:c r="S1647" s="5" t="str">
        <x:v>734f526fcc7e06954d5c7d771873160a7987e58c89e0673b140ae488374b9c66</x:v>
      </x:c>
    </x:row>
    <x:row r="1648" ht="36" customHeight="1">
      <x:c r="A1648" s="5" t="str">
        <x:v>BM-0203</x:v>
      </x:c>
      <x:c r="B1648" s="5" t="str">
        <x:v>HQ</x:v>
      </x:c>
      <x:c r="C1648" s="5" t="str">
        <x:v>5</x:v>
      </x:c>
      <x:c r="D1648" s="5" t="str">
        <x:v>Betriebliches Management</x:v>
      </x:c>
      <x:c r="E1648" s="5" t="str">
        <x:v>Betriebliches Management</x:v>
      </x:c>
      <x:c r="F1648" s="5" t="str">
        <x:v>ui-hq-0016</x:v>
      </x:c>
      <x:c r="G1648" s="5" t="str">
        <x:v>Managementtechniken</x:v>
      </x:c>
      <x:c r="H1648" s="5" t="str">
        <x:v>dg-hq-0089</x:v>
      </x:c>
      <x:c r="I1648" s="5" t="str">
        <x:v>5.4.3</x:v>
      </x:c>
      <x:c r="J1648" s="5" t="str">
        <x:v>Projektmanagement</x:v>
      </x:c>
      <x:c r="K1648" s="5" t="str"/>
      <x:c r="L1648" s="5" t="str">
        <x:v>Projektmanagement</x:v>
      </x:c>
      <x:c r="M1648" s="5" t="n">
        <x:v>28</x:v>
      </x:c>
      <x:c r="N1648" s="5" t="n">
        <x:v>6</x:v>
      </x:c>
      <x:c r="O1648" s="5" t="str"/>
      <x:c r="P1648" s="5" t="str">
        <x:v>Zuordnungsvorschlag; Fachfreigabe ausstehend</x:v>
      </x:c>
      <x:c r="Q1648" s="5" t="str">
        <x:v>Bestehendes Lernthema fachlich unter passendem Rahmenplan-Unterbereich behalten</x:v>
      </x:c>
      <x:c r="R1648" s="5" t="str">
        <x:v>Ordnen Sie typische Aufgaben den fünf Phasen eines Projektablaufs zu.</x:v>
      </x:c>
      <x:c r="S1648" s="5" t="str">
        <x:v>25c6f78e7ec36f282b8850b999658124948814cb06d5b5cc2a47775b4109408f</x:v>
      </x:c>
    </x:row>
    <x:row r="1649" ht="36" customHeight="1">
      <x:c r="A1649" s="5" t="str">
        <x:v>BM-0204</x:v>
      </x:c>
      <x:c r="B1649" s="5" t="str">
        <x:v>HQ</x:v>
      </x:c>
      <x:c r="C1649" s="5" t="str">
        <x:v>5</x:v>
      </x:c>
      <x:c r="D1649" s="5" t="str">
        <x:v>Betriebliches Management</x:v>
      </x:c>
      <x:c r="E1649" s="5" t="str">
        <x:v>Betriebliches Management</x:v>
      </x:c>
      <x:c r="F1649" s="5" t="str">
        <x:v>ui-hq-0016</x:v>
      </x:c>
      <x:c r="G1649" s="5" t="str">
        <x:v>Managementtechniken</x:v>
      </x:c>
      <x:c r="H1649" s="5" t="str">
        <x:v>dg-hq-0089</x:v>
      </x:c>
      <x:c r="I1649" s="5" t="str">
        <x:v>5.4.3</x:v>
      </x:c>
      <x:c r="J1649" s="5" t="str">
        <x:v>Projektmanagement</x:v>
      </x:c>
      <x:c r="K1649" s="5" t="str"/>
      <x:c r="L1649" s="5" t="str">
        <x:v>Projektmanagement</x:v>
      </x:c>
      <x:c r="M1649" s="5" t="n">
        <x:v>29</x:v>
      </x:c>
      <x:c r="N1649" s="5" t="n">
        <x:v>7</x:v>
      </x:c>
      <x:c r="O1649" s="5" t="str"/>
      <x:c r="P1649" s="5" t="str">
        <x:v>Zuordnungsvorschlag; Fachfreigabe ausstehend</x:v>
      </x:c>
      <x:c r="Q1649" s="5" t="str">
        <x:v>Bestehendes Lernthema fachlich unter passendem Rahmenplan-Unterbereich behalten</x:v>
      </x:c>
      <x:c r="R1649" s="5" t="str">
        <x:v>Welche drei Schritte umfasst eine systematische Risikoanalyse im Projektmanagement?</x:v>
      </x:c>
      <x:c r="S1649" s="5" t="str">
        <x:v>931a6957aa9773b9c7d924bc60d875ca1ed3af81c1b1964d449f68941a16c75e</x:v>
      </x:c>
    </x:row>
    <x:row r="1650" ht="36" customHeight="1">
      <x:c r="A1650" s="5" t="str">
        <x:v>BM-0205</x:v>
      </x:c>
      <x:c r="B1650" s="5" t="str">
        <x:v>HQ</x:v>
      </x:c>
      <x:c r="C1650" s="5" t="str">
        <x:v>5</x:v>
      </x:c>
      <x:c r="D1650" s="5" t="str">
        <x:v>Betriebliches Management</x:v>
      </x:c>
      <x:c r="E1650" s="5" t="str">
        <x:v>Betriebliches Management</x:v>
      </x:c>
      <x:c r="F1650" s="5" t="str">
        <x:v>ui-hq-0016</x:v>
      </x:c>
      <x:c r="G1650" s="5" t="str">
        <x:v>Managementtechniken</x:v>
      </x:c>
      <x:c r="H1650" s="5" t="str">
        <x:v>dg-hq-0089</x:v>
      </x:c>
      <x:c r="I1650" s="5" t="str">
        <x:v>5.4.3</x:v>
      </x:c>
      <x:c r="J1650" s="5" t="str">
        <x:v>Projektmanagement</x:v>
      </x:c>
      <x:c r="K1650" s="5" t="str"/>
      <x:c r="L1650" s="5" t="str">
        <x:v>Projektmanagement</x:v>
      </x:c>
      <x:c r="M1650" s="5" t="n">
        <x:v>30</x:v>
      </x:c>
      <x:c r="N1650" s="5" t="n">
        <x:v>8</x:v>
      </x:c>
      <x:c r="O1650" s="5" t="str"/>
      <x:c r="P1650" s="5" t="str">
        <x:v>Zuordnungsvorschlag; Fachfreigabe ausstehend</x:v>
      </x:c>
      <x:c r="Q1650" s="5" t="str">
        <x:v>Bestehendes Lernthema fachlich unter passendem Rahmenplan-Unterbereich behalten</x:v>
      </x:c>
      <x:c r="R1650" s="5" t="str">
        <x:v>Welche Funktionen sollte Projektmanagementsoftware typischerweise bieten und warum ist sie besonders bei großen oder interdisziplinären Projekten hilfreich?</x:v>
      </x:c>
      <x:c r="S1650" s="5" t="str">
        <x:v>4777804f23dcb7d92291bd83f4fc5e268af4746b26ca34d084c7f37707c7bcc1</x:v>
      </x:c>
    </x:row>
    <x:row r="1651" ht="36" customHeight="1">
      <x:c r="A1651" s="5" t="str">
        <x:v>BM-0206</x:v>
      </x:c>
      <x:c r="B1651" s="5" t="str">
        <x:v>HQ</x:v>
      </x:c>
      <x:c r="C1651" s="5" t="str">
        <x:v>5</x:v>
      </x:c>
      <x:c r="D1651" s="5" t="str">
        <x:v>Betriebliches Management</x:v>
      </x:c>
      <x:c r="E1651" s="5" t="str">
        <x:v>Betriebliches Management</x:v>
      </x:c>
      <x:c r="F1651" s="5" t="str">
        <x:v>ui-hq-0016</x:v>
      </x:c>
      <x:c r="G1651" s="5" t="str">
        <x:v>Managementtechniken</x:v>
      </x:c>
      <x:c r="H1651" s="5" t="str">
        <x:v>dg-hq-0089</x:v>
      </x:c>
      <x:c r="I1651" s="5" t="str">
        <x:v>5.4.3</x:v>
      </x:c>
      <x:c r="J1651" s="5" t="str">
        <x:v>Projektmanagement</x:v>
      </x:c>
      <x:c r="K1651" s="5" t="str"/>
      <x:c r="L1651" s="5" t="str">
        <x:v>Projektmanagement</x:v>
      </x:c>
      <x:c r="M1651" s="5" t="n">
        <x:v>31</x:v>
      </x:c>
      <x:c r="N1651" s="5" t="n">
        <x:v>9</x:v>
      </x:c>
      <x:c r="O1651" s="5" t="str"/>
      <x:c r="P1651" s="5" t="str">
        <x:v>Zuordnungsvorschlag; Fachfreigabe ausstehend</x:v>
      </x:c>
      <x:c r="Q1651" s="5" t="str">
        <x:v>Bestehendes Lernthema fachlich unter passendem Rahmenplan-Unterbereich behalten</x:v>
      </x:c>
      <x:c r="R1651" s="5" t="str">
        <x:v>Fallbezug: Die folgenden betrieblichen Angaben und Situationen beziehen sich auf die Circle Harbor GmbH.
Skizzieren Sie einen sinnvollen Projektstrukturplan für den erstmaligen Auftritt eines mittelständischen Unternehmens auf einer internationalen Messe.</x:v>
      </x:c>
      <x:c r="S1651" s="5" t="str">
        <x:v>1f42f5709d65baf4da6a0515788fc7b4e61c535d0cc29d9f9ef100ab96743ed8</x:v>
      </x:c>
    </x:row>
    <x:row r="1652" ht="36" customHeight="1">
      <x:c r="A1652" s="5" t="str">
        <x:v>BM-0207</x:v>
      </x:c>
      <x:c r="B1652" s="5" t="str">
        <x:v>HQ</x:v>
      </x:c>
      <x:c r="C1652" s="5" t="str">
        <x:v>5</x:v>
      </x:c>
      <x:c r="D1652" s="5" t="str">
        <x:v>Betriebliches Management</x:v>
      </x:c>
      <x:c r="E1652" s="5" t="str">
        <x:v>Betriebliches Management</x:v>
      </x:c>
      <x:c r="F1652" s="5" t="str">
        <x:v>ui-hq-0016</x:v>
      </x:c>
      <x:c r="G1652" s="5" t="str">
        <x:v>Managementtechniken</x:v>
      </x:c>
      <x:c r="H1652" s="5" t="str">
        <x:v>dg-hq-0090</x:v>
      </x:c>
      <x:c r="I1652" s="5" t="str">
        <x:v>5.4.4.1</x:v>
      </x:c>
      <x:c r="J1652" s="5" t="str">
        <x:v>Grundlagen der Kommunikation</x:v>
      </x:c>
      <x:c r="K1652" s="5" t="str"/>
      <x:c r="L1652" s="5" t="str">
        <x:v>Gesprächs- &amp; Kooperationstechniken</x:v>
      </x:c>
      <x:c r="M1652" s="5" t="n">
        <x:v>32</x:v>
      </x:c>
      <x:c r="N1652" s="5" t="n">
        <x:v>1</x:v>
      </x:c>
      <x:c r="O1652" s="5" t="str"/>
      <x:c r="P1652" s="5" t="str">
        <x:v>Zuordnungsvorschlag; Fachfreigabe ausstehend</x:v>
      </x:c>
      <x:c r="Q1652" s="5" t="str">
        <x:v>Bestehendes Lernthema fachlich unter passendem Rahmenplan-Unterbereich behalten</x:v>
      </x:c>
      <x:c r="R1652" s="5" t="str">
        <x:v>Erläutern Sie zentrale Kommunikationsbarrieren, Regeln erfolgreicher Kommunikation, den grundlegenden Kommunikationsprozess und das Vier-Seiten-Modell an einem Beispiel.</x:v>
      </x:c>
      <x:c r="S1652" s="5" t="str">
        <x:v>e5e7d5489fd3a808866b736066206a5b777609a804c0902c0b4a9c19e6a68a34</x:v>
      </x:c>
    </x:row>
    <x:row r="1653" ht="36" customHeight="1">
      <x:c r="A1653" s="5" t="str">
        <x:v>BM-0208</x:v>
      </x:c>
      <x:c r="B1653" s="5" t="str">
        <x:v>HQ</x:v>
      </x:c>
      <x:c r="C1653" s="5" t="str">
        <x:v>5</x:v>
      </x:c>
      <x:c r="D1653" s="5" t="str">
        <x:v>Betriebliches Management</x:v>
      </x:c>
      <x:c r="E1653" s="5" t="str">
        <x:v>Betriebliches Management</x:v>
      </x:c>
      <x:c r="F1653" s="5" t="str">
        <x:v>ui-hq-0016</x:v>
      </x:c>
      <x:c r="G1653" s="5" t="str">
        <x:v>Managementtechniken</x:v>
      </x:c>
      <x:c r="H1653" s="5" t="str">
        <x:v>dg-hq-0090</x:v>
      </x:c>
      <x:c r="I1653" s="5" t="str">
        <x:v>5.4.4.1</x:v>
      </x:c>
      <x:c r="J1653" s="5" t="str">
        <x:v>Grundlagen der Kommunikation</x:v>
      </x:c>
      <x:c r="K1653" s="5" t="str"/>
      <x:c r="L1653" s="5" t="str">
        <x:v>Gesprächs- &amp; Kooperationstechniken</x:v>
      </x:c>
      <x:c r="M1653" s="5" t="n">
        <x:v>33</x:v>
      </x:c>
      <x:c r="N1653" s="5" t="n">
        <x:v>2</x:v>
      </x:c>
      <x:c r="O1653" s="5" t="str"/>
      <x:c r="P1653" s="5" t="str">
        <x:v>Zuordnungsvorschlag; Fachfreigabe ausstehend</x:v>
      </x:c>
      <x:c r="Q1653" s="5" t="str">
        <x:v>Bestehendes Lernthema fachlich unter passendem Rahmenplan-Unterbereich behalten</x:v>
      </x:c>
      <x:c r="R1653" s="5" t="str">
        <x:v>Unterscheiden Sie verbale, nonverbale und paraverbale Kommunikation und ordnen Sie typische Beispiele zu.</x:v>
      </x:c>
      <x:c r="S1653" s="5" t="str">
        <x:v>34ba1bb4e978125e0478ae6f9d10474c0a271f2e4b9fa4bce7a785e310f5a034</x:v>
      </x:c>
    </x:row>
    <x:row r="1654" ht="36" customHeight="1">
      <x:c r="A1654" s="5" t="str">
        <x:v>BM-0209</x:v>
      </x:c>
      <x:c r="B1654" s="5" t="str">
        <x:v>HQ</x:v>
      </x:c>
      <x:c r="C1654" s="5" t="str">
        <x:v>5</x:v>
      </x:c>
      <x:c r="D1654" s="5" t="str">
        <x:v>Betriebliches Management</x:v>
      </x:c>
      <x:c r="E1654" s="5" t="str">
        <x:v>Betriebliches Management</x:v>
      </x:c>
      <x:c r="F1654" s="5" t="str">
        <x:v>ui-hq-0016</x:v>
      </x:c>
      <x:c r="G1654" s="5" t="str">
        <x:v>Managementtechniken</x:v>
      </x:c>
      <x:c r="H1654" s="5" t="str">
        <x:v>dg-hq-0090</x:v>
      </x:c>
      <x:c r="I1654" s="5" t="str">
        <x:v>5.4.4.2</x:v>
      </x:c>
      <x:c r="J1654" s="5" t="str">
        <x:v>Vortrag und Präsentation</x:v>
      </x:c>
      <x:c r="K1654" s="5" t="str"/>
      <x:c r="L1654" s="5" t="str">
        <x:v>Gesprächs- &amp; Kooperationstechniken</x:v>
      </x:c>
      <x:c r="M1654" s="5" t="n">
        <x:v>34</x:v>
      </x:c>
      <x:c r="N1654" s="5" t="n">
        <x:v>3</x:v>
      </x:c>
      <x:c r="O1654" s="5" t="str"/>
      <x:c r="P1654" s="5" t="str">
        <x:v>Zuordnungsvorschlag; Fachfreigabe ausstehend</x:v>
      </x:c>
      <x:c r="Q1654" s="5" t="str">
        <x:v>Bestehendes Lernthema fachlich unter passendem Rahmenplan-Unterbereich behalten</x:v>
      </x:c>
      <x:c r="R1654" s="5" t="str">
        <x:v>Bewerten Sie Aussagen zur kreativen Gestaltung von Präsentationen und nennen Sie geeignete Methoden sowie Qualitätskriterien.</x:v>
      </x:c>
      <x:c r="S1654" s="5" t="str">
        <x:v>d61a3cea6ca847e31ff1fbbf88f20323ab29fb3a769a65dd489a8f19481facd1</x:v>
      </x:c>
    </x:row>
    <x:row r="1655" ht="36" customHeight="1">
      <x:c r="A1655" s="5" t="str">
        <x:v>BM-0210</x:v>
      </x:c>
      <x:c r="B1655" s="5" t="str">
        <x:v>HQ</x:v>
      </x:c>
      <x:c r="C1655" s="5" t="str">
        <x:v>5</x:v>
      </x:c>
      <x:c r="D1655" s="5" t="str">
        <x:v>Betriebliches Management</x:v>
      </x:c>
      <x:c r="E1655" s="5" t="str">
        <x:v>Betriebliches Management</x:v>
      </x:c>
      <x:c r="F1655" s="5" t="str">
        <x:v>ui-hq-0016</x:v>
      </x:c>
      <x:c r="G1655" s="5" t="str">
        <x:v>Managementtechniken</x:v>
      </x:c>
      <x:c r="H1655" s="5" t="str">
        <x:v>dg-hq-0090</x:v>
      </x:c>
      <x:c r="I1655" s="5" t="str">
        <x:v>5.4.4</x:v>
      </x:c>
      <x:c r="J1655" s="5" t="str">
        <x:v>Gesprächs- und Kooperationstechniken</x:v>
      </x:c>
      <x:c r="K1655" s="5" t="str"/>
      <x:c r="L1655" s="5" t="str">
        <x:v>Gesprächs- &amp; Kooperationstechniken</x:v>
      </x:c>
      <x:c r="M1655" s="5" t="n">
        <x:v>35</x:v>
      </x:c>
      <x:c r="N1655" s="5" t="n">
        <x:v>4</x:v>
      </x:c>
      <x:c r="O1655" s="5" t="str"/>
      <x:c r="P1655" s="5" t="str">
        <x:v>Zuordnungsvorschlag; Fachfreigabe ausstehend</x:v>
      </x:c>
      <x:c r="Q1655" s="5" t="str">
        <x:v>Bestehendes Lernthema fachlich unter passendem Rahmenplan-Unterbereich behalten</x:v>
      </x:c>
      <x:c r="R1655" s="5" t="str">
        <x:v>Welche drei Transaktionsarten unterscheidet die Transaktionsanalyse und welches Grundprinzip liegt ihr zugrunde?</x:v>
      </x:c>
      <x:c r="S1655" s="5" t="str">
        <x:v>2946711307ac68e5784532a0d70f97f53525248397a5e6ba0c9b287c2fa67d97</x:v>
      </x:c>
    </x:row>
    <x:row r="1656" ht="36" customHeight="1">
      <x:c r="A1656" s="5" t="str">
        <x:v>BM-0211</x:v>
      </x:c>
      <x:c r="B1656" s="5" t="str">
        <x:v>HQ</x:v>
      </x:c>
      <x:c r="C1656" s="5" t="str">
        <x:v>5</x:v>
      </x:c>
      <x:c r="D1656" s="5" t="str">
        <x:v>Betriebliches Management</x:v>
      </x:c>
      <x:c r="E1656" s="5" t="str">
        <x:v>Betriebliches Management</x:v>
      </x:c>
      <x:c r="F1656" s="5" t="str">
        <x:v>ui-hq-0016</x:v>
      </x:c>
      <x:c r="G1656" s="5" t="str">
        <x:v>Managementtechniken</x:v>
      </x:c>
      <x:c r="H1656" s="5" t="str">
        <x:v>dg-hq-0090</x:v>
      </x:c>
      <x:c r="I1656" s="5" t="str">
        <x:v>5.4.4</x:v>
      </x:c>
      <x:c r="J1656" s="5" t="str">
        <x:v>Gesprächs- und Kooperationstechniken</x:v>
      </x:c>
      <x:c r="K1656" s="5" t="str"/>
      <x:c r="L1656" s="5" t="str">
        <x:v>Gesprächs- &amp; Kooperationstechniken</x:v>
      </x:c>
      <x:c r="M1656" s="5" t="n">
        <x:v>36</x:v>
      </x:c>
      <x:c r="N1656" s="5" t="n">
        <x:v>5</x:v>
      </x:c>
      <x:c r="O1656" s="5" t="str"/>
      <x:c r="P1656" s="5" t="str">
        <x:v>Zuordnungsvorschlag; Fachfreigabe ausstehend</x:v>
      </x:c>
      <x:c r="Q1656" s="5" t="str">
        <x:v>Bestehendes Lernthema fachlich unter passendem Rahmenplan-Unterbereich behalten</x:v>
      </x:c>
      <x:c r="R1656" s="5" t="str">
        <x:v>Ordnen Sie typische Verhaltensweisen dem Kind-Ich, Eltern-Ich oder Erwachsenen-Ich der Transaktionsanalyse zu.</x:v>
      </x:c>
      <x:c r="S1656" s="5" t="str">
        <x:v>06367602dbc262be537446a59d810296c3d4b4124e478b5edb8af0a58f44db0d</x:v>
      </x:c>
    </x:row>
    <x:row r="1657" ht="36" customHeight="1">
      <x:c r="A1657" s="5" t="str">
        <x:v>BM-0212</x:v>
      </x:c>
      <x:c r="B1657" s="5" t="str">
        <x:v>HQ</x:v>
      </x:c>
      <x:c r="C1657" s="5" t="str">
        <x:v>5</x:v>
      </x:c>
      <x:c r="D1657" s="5" t="str">
        <x:v>Betriebliches Management</x:v>
      </x:c>
      <x:c r="E1657" s="5" t="str">
        <x:v>Betriebliches Management</x:v>
      </x:c>
      <x:c r="F1657" s="5" t="str">
        <x:v>ui-hq-0016</x:v>
      </x:c>
      <x:c r="G1657" s="5" t="str">
        <x:v>Managementtechniken</x:v>
      </x:c>
      <x:c r="H1657" s="5" t="str">
        <x:v>dg-hq-0090</x:v>
      </x:c>
      <x:c r="I1657" s="5" t="str">
        <x:v>5.4.4.2</x:v>
      </x:c>
      <x:c r="J1657" s="5" t="str">
        <x:v>Vortrag und Präsentation</x:v>
      </x:c>
      <x:c r="K1657" s="5" t="str"/>
      <x:c r="L1657" s="5" t="str">
        <x:v>Gesprächs- &amp; Kooperationstechniken</x:v>
      </x:c>
      <x:c r="M1657" s="5" t="n">
        <x:v>37</x:v>
      </x:c>
      <x:c r="N1657" s="5" t="n">
        <x:v>6</x:v>
      </x:c>
      <x:c r="O1657" s="5" t="str"/>
      <x:c r="P1657" s="5" t="str">
        <x:v>Zuordnungsvorschlag; Fachfreigabe ausstehend</x:v>
      </x:c>
      <x:c r="Q1657" s="5" t="str">
        <x:v>Bestehendes Lernthema fachlich unter passendem Rahmenplan-Unterbereich behalten</x:v>
      </x:c>
      <x:c r="R1657" s="5" t="str">
        <x:v>Wie sollte eine Präsentation vorbereitet und in Einleitung, Hauptteil und Schluss aufgebaut werden?</x:v>
      </x:c>
      <x:c r="S1657" s="5" t="str">
        <x:v>bfcc8a1d36f0ff3285aee775b938cf5999588c450fd58cc826ab1503247e5e2d</x:v>
      </x:c>
    </x:row>
    <x:row r="1658" ht="36" customHeight="1">
      <x:c r="A1658" s="5" t="str">
        <x:v>BM-0213</x:v>
      </x:c>
      <x:c r="B1658" s="5" t="str">
        <x:v>HQ</x:v>
      </x:c>
      <x:c r="C1658" s="5" t="str">
        <x:v>5</x:v>
      </x:c>
      <x:c r="D1658" s="5" t="str">
        <x:v>Betriebliches Management</x:v>
      </x:c>
      <x:c r="E1658" s="5" t="str">
        <x:v>Betriebliches Management</x:v>
      </x:c>
      <x:c r="F1658" s="5" t="str">
        <x:v>ui-hq-0016</x:v>
      </x:c>
      <x:c r="G1658" s="5" t="str">
        <x:v>Managementtechniken</x:v>
      </x:c>
      <x:c r="H1658" s="5" t="str">
        <x:v>dg-hq-0090</x:v>
      </x:c>
      <x:c r="I1658" s="5" t="str">
        <x:v>5.4.4.2</x:v>
      </x:c>
      <x:c r="J1658" s="5" t="str">
        <x:v>Vortrag und Präsentation</x:v>
      </x:c>
      <x:c r="K1658" s="5" t="str"/>
      <x:c r="L1658" s="5" t="str">
        <x:v>Gesprächs- &amp; Kooperationstechniken</x:v>
      </x:c>
      <x:c r="M1658" s="5" t="n">
        <x:v>38</x:v>
      </x:c>
      <x:c r="N1658" s="5" t="n">
        <x:v>7</x:v>
      </x:c>
      <x:c r="O1658" s="5" t="str"/>
      <x:c r="P1658" s="5" t="str">
        <x:v>Zuordnungsvorschlag; Fachfreigabe ausstehend</x:v>
      </x:c>
      <x:c r="Q1658" s="5" t="str">
        <x:v>Bestehendes Lernthema fachlich unter passendem Rahmenplan-Unterbereich behalten</x:v>
      </x:c>
      <x:c r="R1658" s="5" t="str">
        <x:v>Welche Voraussetzungen fördern eine überzeugende Präsentation und welche typischen Fehler sollten vermieden werden?</x:v>
      </x:c>
      <x:c r="S1658" s="5" t="str">
        <x:v>cb942be4c8d6e7758062f571702c53a0f4b87b3cf1884cfe4e931e37676e8004</x:v>
      </x:c>
    </x:row>
    <x:row r="1659" ht="36" customHeight="1">
      <x:c r="A1659" s="5" t="str">
        <x:v>BM-0214</x:v>
      </x:c>
      <x:c r="B1659" s="5" t="str">
        <x:v>HQ</x:v>
      </x:c>
      <x:c r="C1659" s="5" t="str">
        <x:v>5</x:v>
      </x:c>
      <x:c r="D1659" s="5" t="str">
        <x:v>Betriebliches Management</x:v>
      </x:c>
      <x:c r="E1659" s="5" t="str">
        <x:v>Betriebliches Management</x:v>
      </x:c>
      <x:c r="F1659" s="5" t="str">
        <x:v>ui-hq-0016</x:v>
      </x:c>
      <x:c r="G1659" s="5" t="str">
        <x:v>Managementtechniken</x:v>
      </x:c>
      <x:c r="H1659" s="5" t="str">
        <x:v>dg-hq-0090</x:v>
      </x:c>
      <x:c r="I1659" s="5" t="str">
        <x:v>5.4.4.3</x:v>
      </x:c>
      <x:c r="J1659" s="5" t="str">
        <x:v>Moderation</x:v>
      </x:c>
      <x:c r="K1659" s="5" t="str"/>
      <x:c r="L1659" s="5" t="str">
        <x:v>Gesprächs- &amp; Kooperationstechniken</x:v>
      </x:c>
      <x:c r="M1659" s="5" t="n">
        <x:v>39</x:v>
      </x:c>
      <x:c r="N1659" s="5" t="n">
        <x:v>8</x:v>
      </x:c>
      <x:c r="O1659" s="5" t="str"/>
      <x:c r="P1659" s="5" t="str">
        <x:v>Zuordnungsvorschlag; Fachfreigabe ausstehend</x:v>
      </x:c>
      <x:c r="Q1659" s="5" t="str">
        <x:v>Bestehendes Lernthema fachlich unter passendem Rahmenplan-Unterbereich behalten</x:v>
      </x:c>
      <x:c r="R1659" s="5" t="str">
        <x:v>Bewerten Sie die Aussagen zur Rolle der Moderation als richtig oder falsch. Ordnen Sie anschließend die sechs Schritte eines Moderationsprozesses den Positionen 1 bis 6 zu.</x:v>
      </x:c>
      <x:c r="S1659" s="5" t="str">
        <x:v>493d34fd28eef02f2f4cf7f885fe6690eafb95e0eb3f0d366be34c6d80878f2b</x:v>
      </x:c>
    </x:row>
    <x:row r="1660" ht="36" customHeight="1">
      <x:c r="A1660" s="5" t="str">
        <x:v>BM-0215</x:v>
      </x:c>
      <x:c r="B1660" s="5" t="str">
        <x:v>HQ</x:v>
      </x:c>
      <x:c r="C1660" s="5" t="str">
        <x:v>5</x:v>
      </x:c>
      <x:c r="D1660" s="5" t="str">
        <x:v>Betriebliches Management</x:v>
      </x:c>
      <x:c r="E1660" s="5" t="str">
        <x:v>Betriebliches Management</x:v>
      </x:c>
      <x:c r="F1660" s="5" t="str">
        <x:v>ui-hq-0016</x:v>
      </x:c>
      <x:c r="G1660" s="5" t="str">
        <x:v>Managementtechniken</x:v>
      </x:c>
      <x:c r="H1660" s="5" t="str">
        <x:v>dg-hq-0090</x:v>
      </x:c>
      <x:c r="I1660" s="5" t="str">
        <x:v>5.4.4</x:v>
      </x:c>
      <x:c r="J1660" s="5" t="str">
        <x:v>Gesprächs- und Kooperationstechniken</x:v>
      </x:c>
      <x:c r="K1660" s="5" t="str"/>
      <x:c r="L1660" s="5" t="str">
        <x:v>Gesprächs- &amp; Kooperationstechniken</x:v>
      </x:c>
      <x:c r="M1660" s="5" t="n">
        <x:v>40</x:v>
      </x:c>
      <x:c r="N1660" s="5" t="n">
        <x:v>9</x:v>
      </x:c>
      <x:c r="O1660" s="5" t="str"/>
      <x:c r="P1660" s="5" t="str">
        <x:v>Zuordnungsvorschlag; Fachfreigabe ausstehend</x:v>
      </x:c>
      <x:c r="Q1660" s="5" t="str">
        <x:v>Bestehendes Lernthema fachlich unter passendem Rahmenplan-Unterbereich behalten</x:v>
      </x:c>
      <x:c r="R1660" s="5" t="str">
        <x:v>Welche Ursachen können Konflikte im Team haben, welche Grundhaltungen im Umgang mit Konflikten gibt es und wie sollte frühzeitig reagiert werden?</x:v>
      </x:c>
      <x:c r="S1660" s="5" t="str">
        <x:v>3337d1da54ec5e4956f76d5a40705e365d3fd2901a3ad1647abf06f2554a4eee</x:v>
      </x:c>
    </x:row>
    <x:row r="1661" ht="36" customHeight="1">
      <x:c r="A1661" s="5" t="str">
        <x:v>BM-0216</x:v>
      </x:c>
      <x:c r="B1661" s="5" t="str">
        <x:v>HQ</x:v>
      </x:c>
      <x:c r="C1661" s="5" t="str">
        <x:v>5</x:v>
      </x:c>
      <x:c r="D1661" s="5" t="str">
        <x:v>Betriebliches Management</x:v>
      </x:c>
      <x:c r="E1661" s="5" t="str">
        <x:v>Betriebliches Management</x:v>
      </x:c>
      <x:c r="F1661" s="5" t="str">
        <x:v>ui-hq-0016</x:v>
      </x:c>
      <x:c r="G1661" s="5" t="str">
        <x:v>Managementtechniken</x:v>
      </x:c>
      <x:c r="H1661" s="5" t="str">
        <x:v>dg-hq-0090</x:v>
      </x:c>
      <x:c r="I1661" s="5" t="str">
        <x:v>5.4.4</x:v>
      </x:c>
      <x:c r="J1661" s="5" t="str">
        <x:v>Gesprächs- und Kooperationstechniken</x:v>
      </x:c>
      <x:c r="K1661" s="5" t="str"/>
      <x:c r="L1661" s="5" t="str">
        <x:v>Gesprächs- &amp; Kooperationstechniken</x:v>
      </x:c>
      <x:c r="M1661" s="5" t="n">
        <x:v>41</x:v>
      </x:c>
      <x:c r="N1661" s="5" t="n">
        <x:v>10</x:v>
      </x:c>
      <x:c r="O1661" s="5" t="str"/>
      <x:c r="P1661" s="5" t="str">
        <x:v>Zuordnungsvorschlag; Fachfreigabe ausstehend</x:v>
      </x:c>
      <x:c r="Q1661" s="5" t="str">
        <x:v>Bestehendes Lernthema fachlich unter passendem Rahmenplan-Unterbereich behalten</x:v>
      </x:c>
      <x:c r="R1661" s="5" t="str">
        <x:v>Nennen Sie die neun Eskalationsstufen des Glasl-Modells, ordnen Sie einen Konflikt mit verhärteter Debatte und zunehmenden „Taten statt Worten“ ein und nennen Sie passende Gegenmaßnahmen.</x:v>
      </x:c>
      <x:c r="S1661" s="5" t="str">
        <x:v>6c4e01942246f22d90990bd6f349de504242c8d9ec5c2305bb1e000423b6f729</x:v>
      </x:c>
    </x:row>
    <x:row r="1662" ht="36" customHeight="1">
      <x:c r="A1662" s="5" t="str">
        <x:v>BM-0217</x:v>
      </x:c>
      <x:c r="B1662" s="5" t="str">
        <x:v>HQ</x:v>
      </x:c>
      <x:c r="C1662" s="5" t="str">
        <x:v>5</x:v>
      </x:c>
      <x:c r="D1662" s="5" t="str">
        <x:v>Betriebliches Management</x:v>
      </x:c>
      <x:c r="E1662" s="5" t="str">
        <x:v>Betriebliches Management</x:v>
      </x:c>
      <x:c r="F1662" s="5" t="str">
        <x:v>ui-hq-0016</x:v>
      </x:c>
      <x:c r="G1662" s="5" t="str">
        <x:v>Managementtechniken</x:v>
      </x:c>
      <x:c r="H1662" s="5" t="str">
        <x:v>dg-hq-0090</x:v>
      </x:c>
      <x:c r="I1662" s="5" t="str">
        <x:v>5.4.4.5</x:v>
      </x:c>
      <x:c r="J1662" s="5" t="str">
        <x:v>Mediation</x:v>
      </x:c>
      <x:c r="K1662" s="5" t="str"/>
      <x:c r="L1662" s="5" t="str">
        <x:v>Gesprächs- &amp; Kooperationstechniken</x:v>
      </x:c>
      <x:c r="M1662" s="5" t="n">
        <x:v>42</x:v>
      </x:c>
      <x:c r="N1662" s="5" t="n">
        <x:v>11</x:v>
      </x:c>
      <x:c r="O1662" s="5" t="str"/>
      <x:c r="P1662" s="5" t="str">
        <x:v>Zuordnungsvorschlag; Fachfreigabe ausstehend</x:v>
      </x:c>
      <x:c r="Q1662" s="5" t="str">
        <x:v>Bestehendes Lernthema fachlich unter passendem Rahmenplan-Unterbereich behalten</x:v>
      </x:c>
      <x:c r="R1662" s="5" t="str">
        <x:v>Was versteht man unter Mediation, welche Grundprinzipien gelten und welche fünf Schritte führen typischerweise zu einer Lösung?</x:v>
      </x:c>
      <x:c r="S1662" s="5" t="str">
        <x:v>ac8503f54c4093003824317faec0e0ff9bcfc9d23a13527f9e1c33470bc74009</x:v>
      </x:c>
    </x:row>
    <x:row r="1663" ht="36" customHeight="1">
      <x:c r="A1663" s="5" t="str">
        <x:v>BM-0218</x:v>
      </x:c>
      <x:c r="B1663" s="5" t="str">
        <x:v>HQ</x:v>
      </x:c>
      <x:c r="C1663" s="5" t="str">
        <x:v>5</x:v>
      </x:c>
      <x:c r="D1663" s="5" t="str">
        <x:v>Betriebliches Management</x:v>
      </x:c>
      <x:c r="E1663" s="5" t="str">
        <x:v>Betriebliches Management</x:v>
      </x:c>
      <x:c r="F1663" s="5" t="str">
        <x:v>ui-hq-0016</x:v>
      </x:c>
      <x:c r="G1663" s="5" t="str">
        <x:v>Managementtechniken</x:v>
      </x:c>
      <x:c r="H1663" s="5" t="str">
        <x:v>dg-hq-0090</x:v>
      </x:c>
      <x:c r="I1663" s="5" t="str">
        <x:v>5.4.4.5</x:v>
      </x:c>
      <x:c r="J1663" s="5" t="str">
        <x:v>Mediation</x:v>
      </x:c>
      <x:c r="K1663" s="5" t="str"/>
      <x:c r="L1663" s="5" t="str">
        <x:v>Gesprächs- &amp; Kooperationstechniken</x:v>
      </x:c>
      <x:c r="M1663" s="5" t="n">
        <x:v>43</x:v>
      </x:c>
      <x:c r="N1663" s="5" t="n">
        <x:v>12</x:v>
      </x:c>
      <x:c r="O1663" s="5" t="str"/>
      <x:c r="P1663" s="5" t="str">
        <x:v>Zuordnungsvorschlag; Fachfreigabe ausstehend</x:v>
      </x:c>
      <x:c r="Q1663" s="5" t="str">
        <x:v>Bestehendes Lernthema fachlich unter passendem Rahmenplan-Unterbereich behalten</x:v>
      </x:c>
      <x:c r="R1663" s="5" t="str">
        <x:v>Beschreiben Sie die fünf Phasen eines Mediationsverfahrens.</x:v>
      </x:c>
      <x:c r="S1663" s="5" t="str">
        <x:v>c9768ba2f08488ccf27301ac13ccce256f7d79a63cf68e9f415088c783442d2d</x:v>
      </x:c>
    </x:row>
    <x:row r="1664" ht="36" customHeight="1">
      <x:c r="A1664" s="5" t="str">
        <x:v>BM-0219</x:v>
      </x:c>
      <x:c r="B1664" s="5" t="str">
        <x:v>HQ</x:v>
      </x:c>
      <x:c r="C1664" s="5" t="str">
        <x:v>5</x:v>
      </x:c>
      <x:c r="D1664" s="5" t="str">
        <x:v>Betriebliches Management</x:v>
      </x:c>
      <x:c r="E1664" s="5" t="str">
        <x:v>Betriebliches Management</x:v>
      </x:c>
      <x:c r="F1664" s="5" t="str">
        <x:v>ui-hq-0016</x:v>
      </x:c>
      <x:c r="G1664" s="5" t="str">
        <x:v>Managementtechniken</x:v>
      </x:c>
      <x:c r="H1664" s="5" t="str">
        <x:v>dg-hq-0090</x:v>
      </x:c>
      <x:c r="I1664" s="5" t="str">
        <x:v>5.4.4.6#1</x:v>
      </x:c>
      <x:c r="J1664" s="5" t="str">
        <x:v>Analyse von Bewerbungsunterlagen</x:v>
      </x:c>
      <x:c r="K1664" s="5" t="str"/>
      <x:c r="L1664" s="5" t="str">
        <x:v>Gesprächs- &amp; Kooperationstechniken</x:v>
      </x:c>
      <x:c r="M1664" s="5" t="n">
        <x:v>44</x:v>
      </x:c>
      <x:c r="N1664" s="5" t="n">
        <x:v>13</x:v>
      </x:c>
      <x:c r="O1664" s="5" t="str"/>
      <x:c r="P1664" s="5" t="str">
        <x:v>Zuordnungsvorschlag; Fachfreigabe ausstehend</x:v>
      </x:c>
      <x:c r="Q1664" s="5" t="str">
        <x:v>Bestehendes Lernthema fachlich unter passendem Rahmenplan-Unterbereich behalten</x:v>
      </x:c>
      <x:c r="R1664" s="5" t="str">
        <x:v>Nach welchen Kriterien können Bewerbungsunterlagen sinnvoll vorausgewählt werden und welche Angaben sind in Anschreiben und Lebenslauf besonders relevant?</x:v>
      </x:c>
      <x:c r="S1664" s="5" t="str">
        <x:v>d32de1bb94e8c89ff15469dccbde32b7e84cc256e61de3c3ce8a1130a8470e78</x:v>
      </x:c>
    </x:row>
    <x:row r="1665" ht="36" customHeight="1">
      <x:c r="A1665" s="5" t="str">
        <x:v>BM-0220</x:v>
      </x:c>
      <x:c r="B1665" s="5" t="str">
        <x:v>HQ</x:v>
      </x:c>
      <x:c r="C1665" s="5" t="str">
        <x:v>5</x:v>
      </x:c>
      <x:c r="D1665" s="5" t="str">
        <x:v>Betriebliches Management</x:v>
      </x:c>
      <x:c r="E1665" s="5" t="str">
        <x:v>Betriebliches Management</x:v>
      </x:c>
      <x:c r="F1665" s="5" t="str">
        <x:v>ui-hq-0016</x:v>
      </x:c>
      <x:c r="G1665" s="5" t="str">
        <x:v>Managementtechniken</x:v>
      </x:c>
      <x:c r="H1665" s="5" t="str">
        <x:v>dg-hq-0090</x:v>
      </x:c>
      <x:c r="I1665" s="5" t="str">
        <x:v>5.4.4</x:v>
      </x:c>
      <x:c r="J1665" s="5" t="str">
        <x:v>Gesprächs- und Kooperationstechniken</x:v>
      </x:c>
      <x:c r="K1665" s="5" t="str"/>
      <x:c r="L1665" s="5" t="str">
        <x:v>Gesprächs- &amp; Kooperationstechniken</x:v>
      </x:c>
      <x:c r="M1665" s="5" t="n">
        <x:v>45</x:v>
      </x:c>
      <x:c r="N1665" s="5" t="n">
        <x:v>14</x:v>
      </x:c>
      <x:c r="O1665" s="5" t="str"/>
      <x:c r="P1665" s="5" t="str">
        <x:v>Zuordnungsvorschlag; Fachfreigabe ausstehend</x:v>
      </x:c>
      <x:c r="Q1665" s="5" t="str">
        <x:v>Bestehendes Lernthema fachlich unter passendem Rahmenplan-Unterbereich behalten</x:v>
      </x:c>
      <x:c r="R1665" s="5" t="str">
        <x:v>Ordnen Sie typische Aussagen im Auswahlgespräch als Selbsteinschätzung, Situationsschilderung, Verhaltens- bzw. Erfolgsnachweis oder pauschale Aussage ein und nennen Sie Merkmale einer guten Personalauswahl.</x:v>
      </x:c>
      <x:c r="S1665" s="5" t="str">
        <x:v>16c2185d137e6aeb4b186cb723dbef8d92c984bccee9bcbd3d5ce0e9a2abc95c</x:v>
      </x:c>
    </x:row>
    <x:row r="1666" ht="36" customHeight="1">
      <x:c r="A1666" s="5" t="str">
        <x:v>BM-0221</x:v>
      </x:c>
      <x:c r="B1666" s="5" t="str">
        <x:v>HQ</x:v>
      </x:c>
      <x:c r="C1666" s="5" t="str">
        <x:v>5</x:v>
      </x:c>
      <x:c r="D1666" s="5" t="str">
        <x:v>Betriebliches Management</x:v>
      </x:c>
      <x:c r="E1666" s="5" t="str">
        <x:v>Betriebliches Management</x:v>
      </x:c>
      <x:c r="F1666" s="5" t="str">
        <x:v>ui-hq-0016</x:v>
      </x:c>
      <x:c r="G1666" s="5" t="str">
        <x:v>Managementtechniken</x:v>
      </x:c>
      <x:c r="H1666" s="5" t="str">
        <x:v>dg-hq-0090</x:v>
      </x:c>
      <x:c r="I1666" s="5" t="str">
        <x:v>5.4.4</x:v>
      </x:c>
      <x:c r="J1666" s="5" t="str">
        <x:v>Gesprächs- und Kooperationstechniken</x:v>
      </x:c>
      <x:c r="K1666" s="5" t="str"/>
      <x:c r="L1666" s="5" t="str">
        <x:v>Gesprächs- &amp; Kooperationstechniken</x:v>
      </x:c>
      <x:c r="M1666" s="5" t="n">
        <x:v>46</x:v>
      </x:c>
      <x:c r="N1666" s="5" t="n">
        <x:v>15</x:v>
      </x:c>
      <x:c r="O1666" s="5" t="str"/>
      <x:c r="P1666" s="5" t="str">
        <x:v>Zuordnungsvorschlag; Fachfreigabe ausstehend</x:v>
      </x:c>
      <x:c r="Q1666" s="5" t="str">
        <x:v>Bestehendes Lernthema fachlich unter passendem Rahmenplan-Unterbereich behalten</x:v>
      </x:c>
      <x:c r="R1666" s="5" t="str">
        <x:v>Wie sollte ein Vorstellungsgespräch vorbereitet werden, welche Gesprächsformen gibt es und wie sieht ein professioneller Ablauf aus?</x:v>
      </x:c>
      <x:c r="S1666" s="5" t="str">
        <x:v>629e44b8b50a2f7123eee67454e3f2f7c64ede14d99d1629efa162b8b7948de7</x:v>
      </x:c>
    </x:row>
    <x:row r="1667" ht="36" customHeight="1">
      <x:c r="A1667" s="5" t="str">
        <x:v>BM-0222</x:v>
      </x:c>
      <x:c r="B1667" s="5" t="str">
        <x:v>HQ</x:v>
      </x:c>
      <x:c r="C1667" s="5" t="str">
        <x:v>5</x:v>
      </x:c>
      <x:c r="D1667" s="5" t="str">
        <x:v>Betriebliches Management</x:v>
      </x:c>
      <x:c r="E1667" s="5" t="str">
        <x:v>Betriebliches Management</x:v>
      </x:c>
      <x:c r="F1667" s="5" t="str">
        <x:v>ui-hq-0016</x:v>
      </x:c>
      <x:c r="G1667" s="5" t="str">
        <x:v>Managementtechniken</x:v>
      </x:c>
      <x:c r="H1667" s="5" t="str">
        <x:v>dg-hq-0090</x:v>
      </x:c>
      <x:c r="I1667" s="5" t="str">
        <x:v>5.4.4.7</x:v>
      </x:c>
      <x:c r="J1667" s="5" t="str">
        <x:v>Mitarbeitergespräche</x:v>
      </x:c>
      <x:c r="K1667" s="5" t="str"/>
      <x:c r="L1667" s="5" t="str">
        <x:v>Gesprächs- &amp; Kooperationstechniken</x:v>
      </x:c>
      <x:c r="M1667" s="5" t="n">
        <x:v>47</x:v>
      </x:c>
      <x:c r="N1667" s="5" t="n">
        <x:v>16</x:v>
      </x:c>
      <x:c r="O1667" s="5" t="str"/>
      <x:c r="P1667" s="5" t="str">
        <x:v>Zuordnungsvorschlag; Fachfreigabe ausstehend</x:v>
      </x:c>
      <x:c r="Q1667" s="5" t="str">
        <x:v>Bestehendes Lernthema fachlich unter passendem Rahmenplan-Unterbereich behalten</x:v>
      </x:c>
      <x:c r="R1667" s="5" t="str">
        <x:v>Welche Ziele und Vorteile haben Mitarbeitergespräche und welche Kriterien fördern ein konstruktives Gespräch?</x:v>
      </x:c>
      <x:c r="S1667" s="5" t="str">
        <x:v>d81dc6bbc1cfe3b25cd59b32f58893decd2a491ccee6261140c6bd04be7a9871</x:v>
      </x:c>
    </x:row>
    <x:row r="1668" ht="36" customHeight="1">
      <x:c r="A1668" s="5" t="str">
        <x:v>BM-0223</x:v>
      </x:c>
      <x:c r="B1668" s="5" t="str">
        <x:v>HQ</x:v>
      </x:c>
      <x:c r="C1668" s="5" t="str">
        <x:v>5</x:v>
      </x:c>
      <x:c r="D1668" s="5" t="str">
        <x:v>Betriebliches Management</x:v>
      </x:c>
      <x:c r="E1668" s="5" t="str">
        <x:v>Betriebliches Management</x:v>
      </x:c>
      <x:c r="F1668" s="5" t="str">
        <x:v>ui-hq-0016</x:v>
      </x:c>
      <x:c r="G1668" s="5" t="str">
        <x:v>Managementtechniken</x:v>
      </x:c>
      <x:c r="H1668" s="5" t="str">
        <x:v>dg-hq-0090</x:v>
      </x:c>
      <x:c r="I1668" s="5" t="str">
        <x:v>5.4.4</x:v>
      </x:c>
      <x:c r="J1668" s="5" t="str">
        <x:v>Gesprächs- und Kooperationstechniken</x:v>
      </x:c>
      <x:c r="K1668" s="5" t="str"/>
      <x:c r="L1668" s="5" t="str">
        <x:v>Gesprächs- &amp; Kooperationstechniken</x:v>
      </x:c>
      <x:c r="M1668" s="5" t="n">
        <x:v>48</x:v>
      </x:c>
      <x:c r="N1668" s="5" t="n">
        <x:v>17</x:v>
      </x:c>
      <x:c r="O1668" s="5" t="str"/>
      <x:c r="P1668" s="5" t="str">
        <x:v>Zuordnungsvorschlag; Fachfreigabe ausstehend</x:v>
      </x:c>
      <x:c r="Q1668" s="5" t="str">
        <x:v>Bestehendes Lernthema fachlich unter passendem Rahmenplan-Unterbereich behalten</x:v>
      </x:c>
      <x:c r="R1668" s="5" t="str">
        <x:v>Wofür stehen die vier Stufen des AIDA-Modells im Verkaufsgespräch?</x:v>
      </x:c>
      <x:c r="S1668" s="5" t="str">
        <x:v>bb03970093b10b34b7f723ef9e4a93455637fa83ce3cfcf916280406eb92d498</x:v>
      </x:c>
    </x:row>
    <x:row r="1669" ht="36" customHeight="1">
      <x:c r="A1669" s="5" t="str">
        <x:v>BM-0224</x:v>
      </x:c>
      <x:c r="B1669" s="5" t="str">
        <x:v>HQ</x:v>
      </x:c>
      <x:c r="C1669" s="5" t="str">
        <x:v>5</x:v>
      </x:c>
      <x:c r="D1669" s="5" t="str">
        <x:v>Betriebliches Management</x:v>
      </x:c>
      <x:c r="E1669" s="5" t="str">
        <x:v>Betriebliches Management</x:v>
      </x:c>
      <x:c r="F1669" s="5" t="str">
        <x:v>ui-hq-0016</x:v>
      </x:c>
      <x:c r="G1669" s="5" t="str">
        <x:v>Managementtechniken</x:v>
      </x:c>
      <x:c r="H1669" s="5" t="str">
        <x:v>dg-hq-0090</x:v>
      </x:c>
      <x:c r="I1669" s="5" t="str">
        <x:v>5.4.4</x:v>
      </x:c>
      <x:c r="J1669" s="5" t="str">
        <x:v>Gesprächs- und Kooperationstechniken</x:v>
      </x:c>
      <x:c r="K1669" s="5" t="str"/>
      <x:c r="L1669" s="5" t="str">
        <x:v>Gesprächs- &amp; Kooperationstechniken</x:v>
      </x:c>
      <x:c r="M1669" s="5" t="n">
        <x:v>49</x:v>
      </x:c>
      <x:c r="N1669" s="5" t="n">
        <x:v>18</x:v>
      </x:c>
      <x:c r="O1669" s="5" t="str"/>
      <x:c r="P1669" s="5" t="str">
        <x:v>Zuordnungsvorschlag; Fachfreigabe ausstehend</x:v>
      </x:c>
      <x:c r="Q1669" s="5" t="str">
        <x:v>Bestehendes Lernthema fachlich unter passendem Rahmenplan-Unterbereich behalten</x:v>
      </x:c>
      <x:c r="R1669" s="5" t="str">
        <x:v>Bringen Sie zwölf typische Phasen eines Verkaufsgesprächs in eine sinnvolle Reihenfolge und erläutern Sie die Bedeutung von Vorbereitung und Beziehungsebene.</x:v>
      </x:c>
      <x:c r="S1669" s="5" t="str">
        <x:v>4587baa46a7a2a7f9d7f6f550c33fcc8b2123edd70a0a4b768bd71aa9ba03426</x:v>
      </x:c>
    </x:row>
    <x:row r="1670" ht="36" customHeight="1">
      <x:c r="A1670" s="5" t="str">
        <x:v>BM-0225</x:v>
      </x:c>
      <x:c r="B1670" s="5" t="str">
        <x:v>HQ</x:v>
      </x:c>
      <x:c r="C1670" s="5" t="str">
        <x:v>5</x:v>
      </x:c>
      <x:c r="D1670" s="5" t="str">
        <x:v>Betriebliches Management</x:v>
      </x:c>
      <x:c r="E1670" s="5" t="str">
        <x:v>Betriebliches Management</x:v>
      </x:c>
      <x:c r="F1670" s="5" t="str">
        <x:v>ui-hq-0016</x:v>
      </x:c>
      <x:c r="G1670" s="5" t="str">
        <x:v>Managementtechniken</x:v>
      </x:c>
      <x:c r="H1670" s="5" t="str">
        <x:v>dg-hq-0090</x:v>
      </x:c>
      <x:c r="I1670" s="5" t="str">
        <x:v>5.4.4.1</x:v>
      </x:c>
      <x:c r="J1670" s="5" t="str">
        <x:v>Grundlagen der Kommunikation</x:v>
      </x:c>
      <x:c r="K1670" s="5" t="str"/>
      <x:c r="L1670" s="5" t="str">
        <x:v>Gesprächs- &amp; Kooperationstechniken</x:v>
      </x:c>
      <x:c r="M1670" s="5" t="n">
        <x:v>50</x:v>
      </x:c>
      <x:c r="N1670" s="5" t="n">
        <x:v>19</x:v>
      </x:c>
      <x:c r="O1670" s="5" t="str"/>
      <x:c r="P1670" s="5" t="str">
        <x:v>Zuordnungsvorschlag; Fachfreigabe ausstehend</x:v>
      </x:c>
      <x:c r="Q1670" s="5" t="str">
        <x:v>Bestehendes Lernthema fachlich unter passendem Rahmenplan-Unterbereich behalten</x:v>
      </x:c>
      <x:c r="R1670" s="5" t="str">
        <x:v>Ordnen Sie typische Aussagen im Verkaufsgespräch den Phasen Gesprächseröffnung, Bedarfsermittlung, Nutzenargumentation oder Abschluss zu und nennen Sie Merkmale kundenorientierter Kommunikation.</x:v>
      </x:c>
      <x:c r="S1670" s="5" t="str">
        <x:v>503f5a10b8352eb7896efcfac4b726729c9c5c91b192cc0ab2deda8c02a948be</x:v>
      </x:c>
    </x:row>
    <x:row r="1671" ht="36" customHeight="1">
      <x:c r="A1671" s="5" t="str">
        <x:v>BM-0226</x:v>
      </x:c>
      <x:c r="B1671" s="5" t="str">
        <x:v>HQ</x:v>
      </x:c>
      <x:c r="C1671" s="5" t="str">
        <x:v>5</x:v>
      </x:c>
      <x:c r="D1671" s="5" t="str">
        <x:v>Betriebliches Management</x:v>
      </x:c>
      <x:c r="E1671" s="5" t="str">
        <x:v>Betriebliches Management</x:v>
      </x:c>
      <x:c r="F1671" s="5" t="str">
        <x:v>ui-hq-0013</x:v>
      </x:c>
      <x:c r="G1671" s="5" t="str">
        <x:v>Betriebliche Planungsprozesse</x:v>
      </x:c>
      <x:c r="H1671" s="5" t="str">
        <x:v>dg-hq-0081</x:v>
      </x:c>
      <x:c r="I1671" s="5" t="str">
        <x:v>5.1.3</x:v>
      </x:c>
      <x:c r="J1671" s="5" t="str">
        <x:v>Zusammenhang zwischen strategischer und operativer Planung</x:v>
      </x:c>
      <x:c r="K1671" s="5" t="str"/>
      <x:c r="L1671" s="5" t="str">
        <x:v>Planung, Strategie &amp; Kennzahlen</x:v>
      </x:c>
      <x:c r="M1671" s="5" t="n">
        <x:v>120</x:v>
      </x:c>
      <x:c r="N1671" s="5" t="n">
        <x:v>15</x:v>
      </x:c>
      <x:c r="O1671" s="5" t="str"/>
      <x:c r="P1671" s="5" t="str">
        <x:v>Zuordnungsvorschlag; Fachfreigabe ausstehend</x:v>
      </x:c>
      <x:c r="Q1671" s="5" t="str">
        <x:v>Bestehendes Lernthema fachlich unter passendem Rahmenplan-Unterbereich behalten</x:v>
      </x:c>
      <x:c r="R1671" s="5" t="str">
        <x:v>Fallbezug: Die folgenden betrieblichen Angaben und Situationen beziehen sich auf die Circle Harbor GmbH.
Ein mittelständischer Hersteller möchte neue Auslandsmärkte über lokale Vertriebspartner erschließen. Formulieren Sie zwei komplementäre und zwei konkurrierende strategische Ziele und erläutern Sie jeweils den möglichen Beitrag des Vertriebspartners.</x:v>
      </x:c>
      <x:c r="S1671" s="5" t="str">
        <x:v>634d122c44e8c51528b42b65e290d512ee68c4ee6c7e6b56215e92ccf88826ba</x:v>
      </x:c>
    </x:row>
    <x:row r="1672" ht="36" customHeight="1">
      <x:c r="A1672" s="5" t="str">
        <x:v>BM-0227</x:v>
      </x:c>
      <x:c r="B1672" s="5" t="str">
        <x:v>HQ</x:v>
      </x:c>
      <x:c r="C1672" s="5" t="str">
        <x:v>5</x:v>
      </x:c>
      <x:c r="D1672" s="5" t="str">
        <x:v>Betriebliches Management</x:v>
      </x:c>
      <x:c r="E1672" s="5" t="str">
        <x:v>Betriebliches Management</x:v>
      </x:c>
      <x:c r="F1672" s="5" t="str">
        <x:v>ui-hq-0013</x:v>
      </x:c>
      <x:c r="G1672" s="5" t="str">
        <x:v>Betriebliche Planungsprozesse</x:v>
      </x:c>
      <x:c r="H1672" s="5" t="str">
        <x:v>dg-hq-0081</x:v>
      </x:c>
      <x:c r="I1672" s="5" t="str">
        <x:v>5.1.3</x:v>
      </x:c>
      <x:c r="J1672" s="5" t="str">
        <x:v>Zusammenhang zwischen strategischer und operativer Planung</x:v>
      </x:c>
      <x:c r="K1672" s="5" t="str"/>
      <x:c r="L1672" s="5" t="str">
        <x:v>Planung, Strategie &amp; Kennzahlen</x:v>
      </x:c>
      <x:c r="M1672" s="5" t="n">
        <x:v>121</x:v>
      </x:c>
      <x:c r="N1672" s="5" t="n">
        <x:v>16</x:v>
      </x:c>
      <x:c r="O1672" s="5" t="str"/>
      <x:c r="P1672" s="5" t="str">
        <x:v>Zuordnungsvorschlag; Fachfreigabe ausstehend</x:v>
      </x:c>
      <x:c r="Q1672" s="5" t="str">
        <x:v>Bestehendes Lernthema fachlich unter passendem Rahmenplan-Unterbereich behalten</x:v>
      </x:c>
      <x:c r="R1672" s="5" t="str">
        <x:v>Im betrieblichen Management von Circle Harbor: Wie sollte die Geschäftsführung vorgehen, wenn zwei strategische Ziele miteinander konkurrieren und nicht gleichzeitig vollständig erreicht werden können?</x:v>
      </x:c>
      <x:c r="S1672" s="5" t="str">
        <x:v>428b4cca8611219449759c4de3c90b8c704f2d61c3e55e8d4103957b2cde7d28</x:v>
      </x:c>
    </x:row>
    <x:row r="1673" ht="36" customHeight="1">
      <x:c r="A1673" s="5" t="str">
        <x:v>BM-0228</x:v>
      </x:c>
      <x:c r="B1673" s="5" t="str">
        <x:v>HQ</x:v>
      </x:c>
      <x:c r="C1673" s="5" t="str">
        <x:v>5</x:v>
      </x:c>
      <x:c r="D1673" s="5" t="str">
        <x:v>Betriebliches Management</x:v>
      </x:c>
      <x:c r="E1673" s="5" t="str">
        <x:v>Betriebliches Management</x:v>
      </x:c>
      <x:c r="F1673" s="5" t="str">
        <x:v>ui-hq-0013</x:v>
      </x:c>
      <x:c r="G1673" s="5" t="str">
        <x:v>Betriebliche Planungsprozesse</x:v>
      </x:c>
      <x:c r="H1673" s="5" t="str">
        <x:v>dg-hq-0080</x:v>
      </x:c>
      <x:c r="I1673" s="5" t="str">
        <x:v>5.1.1</x:v>
      </x:c>
      <x:c r="J1673" s="5" t="str">
        <x:v>Betriebliches Zielsystem</x:v>
      </x:c>
      <x:c r="K1673" s="5" t="str"/>
      <x:c r="L1673" s="5" t="str">
        <x:v>Betriebliches Zielsystem &amp; Zielbildung</x:v>
      </x:c>
      <x:c r="M1673" s="5" t="n">
        <x:v>122</x:v>
      </x:c>
      <x:c r="N1673" s="5" t="n">
        <x:v>97</x:v>
      </x:c>
      <x:c r="O1673" s="5" t="str"/>
      <x:c r="P1673" s="5" t="str">
        <x:v>Zuordnungsvorschlag; Fachfreigabe ausstehend</x:v>
      </x:c>
      <x:c r="Q1673" s="5" t="str">
        <x:v>Bestehendes Lernthema fachlich unter passendem Rahmenplan-Unterbereich behalten</x:v>
      </x:c>
      <x:c r="R1673" s="5" t="str">
        <x:v>Nennen Sie für vier typische Stakeholder eines Unternehmens jeweils zwei strategische Zielsetzungen, die diese Anspruchsgruppen verfolgen können.</x:v>
      </x:c>
      <x:c r="S1673" s="5" t="str">
        <x:v>0816912e01ab3e3c444d384629b3272302c2fb38c0f37b5964c5b591f6d6916b</x:v>
      </x:c>
    </x:row>
    <x:row r="1674" ht="36" customHeight="1">
      <x:c r="A1674" s="5" t="str">
        <x:v>BM-0229</x:v>
      </x:c>
      <x:c r="B1674" s="5" t="str">
        <x:v>HQ</x:v>
      </x:c>
      <x:c r="C1674" s="5" t="str">
        <x:v>5</x:v>
      </x:c>
      <x:c r="D1674" s="5" t="str">
        <x:v>Betriebliches Management</x:v>
      </x:c>
      <x:c r="E1674" s="5" t="str">
        <x:v>Betriebliches Management</x:v>
      </x:c>
      <x:c r="F1674" s="5" t="str">
        <x:v>ui-hq-0013</x:v>
      </x:c>
      <x:c r="G1674" s="5" t="str">
        <x:v>Betriebliche Planungsprozesse</x:v>
      </x:c>
      <x:c r="H1674" s="5" t="str">
        <x:v>dg-hq-0081</x:v>
      </x:c>
      <x:c r="I1674" s="5" t="str">
        <x:v>5.1.3</x:v>
      </x:c>
      <x:c r="J1674" s="5" t="str">
        <x:v>Zusammenhang zwischen strategischer und operativer Planung</x:v>
      </x:c>
      <x:c r="K1674" s="5" t="str"/>
      <x:c r="L1674" s="5" t="str">
        <x:v>Planung, Strategie &amp; Kennzahlen</x:v>
      </x:c>
      <x:c r="M1674" s="5" t="n">
        <x:v>123</x:v>
      </x:c>
      <x:c r="N1674" s="5" t="n">
        <x:v>17</x:v>
      </x:c>
      <x:c r="O1674" s="5" t="str"/>
      <x:c r="P1674" s="5" t="str">
        <x:v>Zuordnungsvorschlag; Fachfreigabe ausstehend</x:v>
      </x:c>
      <x:c r="Q1674" s="5" t="str">
        <x:v>Bestehendes Lernthema fachlich unter passendem Rahmenplan-Unterbereich behalten</x:v>
      </x:c>
      <x:c r="R1674" s="5" t="str">
        <x:v>Welche Inhalte sollte ein Strategiepapier enthalten, damit strategische Vorhaben später konkret umgesetzt und kontrolliert werden können? Nennen und erläutern Sie mindestens vier Inhalte.</x:v>
      </x:c>
      <x:c r="S1674" s="5" t="str">
        <x:v>a44ec3945223016b4ef9b63694295a2606c0c2d61c7f176e5f0872f29d76d08c</x:v>
      </x:c>
    </x:row>
    <x:row r="1675" ht="36" customHeight="1">
      <x:c r="A1675" s="5" t="str">
        <x:v>BM-0230</x:v>
      </x:c>
      <x:c r="B1675" s="5" t="str">
        <x:v>HQ</x:v>
      </x:c>
      <x:c r="C1675" s="5" t="str">
        <x:v>5</x:v>
      </x:c>
      <x:c r="D1675" s="5" t="str">
        <x:v>Betriebliches Management</x:v>
      </x:c>
      <x:c r="E1675" s="5" t="str">
        <x:v>Betriebliches Management</x:v>
      </x:c>
      <x:c r="F1675" s="5" t="str">
        <x:v>ui-hq-0014</x:v>
      </x:c>
      <x:c r="G1675" s="5" t="str">
        <x:v>Organisations- und Personalentwicklung</x:v>
      </x:c>
      <x:c r="H1675" s="5" t="str">
        <x:v>dg-hq-0082</x:v>
      </x:c>
      <x:c r="I1675" s="5" t="str">
        <x:v>5.2.2</x:v>
      </x:c>
      <x:c r="J1675" s="5" t="str">
        <x:v>Organisationsentwicklung (OE)</x:v>
      </x:c>
      <x:c r="K1675" s="5" t="str"/>
      <x:c r="L1675" s="5" t="str">
        <x:v>Organisationsentwicklung &amp; Change Management</x:v>
      </x:c>
      <x:c r="M1675" s="5" t="n">
        <x:v>38</x:v>
      </x:c>
      <x:c r="N1675" s="5" t="n">
        <x:v>19</x:v>
      </x:c>
      <x:c r="O1675" s="5" t="str"/>
      <x:c r="P1675" s="5" t="str">
        <x:v>Zuordnungsvorschlag; Fachfreigabe ausstehend</x:v>
      </x:c>
      <x:c r="Q1675" s="5" t="str">
        <x:v>Bestehendes Lernthema fachlich unter passendem Rahmenplan-Unterbereich behalten</x:v>
      </x:c>
      <x:c r="R1675" s="5" t="str">
        <x:v>Fallbezug: Die folgenden betrieblichen Angaben und Situationen beziehen sich auf die Circle Harbor GmbH.
Nach einer Unternehmensübernahme sollen Aufbauorganisation, Teams und Berichtswege neu geordnet werden. Erläutern Sie das Drei-Phasen-Modell nach Lewin und nennen Sie für jede Phase mindestens zwei geeignete Maßnahmen.</x:v>
      </x:c>
      <x:c r="S1675" s="5" t="str">
        <x:v>7fcf2f5829b59f521798fd104298ce7a2a9fe237b5d5d591a3efd22607365233</x:v>
      </x:c>
    </x:row>
    <x:row r="1676" ht="36" customHeight="1">
      <x:c r="A1676" s="5" t="str">
        <x:v>BM-0231</x:v>
      </x:c>
      <x:c r="B1676" s="5" t="str">
        <x:v>HQ</x:v>
      </x:c>
      <x:c r="C1676" s="5" t="str">
        <x:v>5</x:v>
      </x:c>
      <x:c r="D1676" s="5" t="str">
        <x:v>Betriebliches Management</x:v>
      </x:c>
      <x:c r="E1676" s="5" t="str">
        <x:v>Betriebliches Management</x:v>
      </x:c>
      <x:c r="F1676" s="5" t="str">
        <x:v>ui-hq-0014</x:v>
      </x:c>
      <x:c r="G1676" s="5" t="str">
        <x:v>Organisations- und Personalentwicklung</x:v>
      </x:c>
      <x:c r="H1676" s="5" t="str">
        <x:v>dg-hq-0084</x:v>
      </x:c>
      <x:c r="I1676" s="5" t="str">
        <x:v>5.2.3</x:v>
      </x:c>
      <x:c r="J1676" s="5" t="str">
        <x:v>Personalentwicklung (PE)</x:v>
      </x:c>
      <x:c r="K1676" s="5" t="str"/>
      <x:c r="L1676" s="5" t="str">
        <x:v>Personalentwicklung</x:v>
      </x:c>
      <x:c r="M1676" s="5" t="n">
        <x:v>39</x:v>
      </x:c>
      <x:c r="N1676" s="5" t="n">
        <x:v>20</x:v>
      </x:c>
      <x:c r="O1676" s="5" t="str"/>
      <x:c r="P1676" s="5" t="str">
        <x:v>Zuordnungsvorschlag; Fachfreigabe ausstehend</x:v>
      </x:c>
      <x:c r="Q1676" s="5" t="str">
        <x:v>Bestehendes Lernthema fachlich unter passendem Rahmenplan-Unterbereich behalten</x:v>
      </x:c>
      <x:c r="R1676" s="5" t="str">
        <x:v>Circle Harbor möchte eine bald frei werdende Führungsstelle möglichst intern nachbesetzen. Beschreiben Sie einen systematischen Prozess der Nachfolgeplanung in vier Kernschritten.</x:v>
      </x:c>
      <x:c r="S1676" s="5" t="str">
        <x:v>23fd196327325ccaad296c72d18c1d43d1175bc55d84daf87f7a085c94bb4186</x:v>
      </x:c>
    </x:row>
    <x:row r="1677" ht="36" customHeight="1">
      <x:c r="A1677" s="5" t="str">
        <x:v>BM-0232</x:v>
      </x:c>
      <x:c r="B1677" s="5" t="str">
        <x:v>HQ</x:v>
      </x:c>
      <x:c r="C1677" s="5" t="str">
        <x:v>5</x:v>
      </x:c>
      <x:c r="D1677" s="5" t="str">
        <x:v>Betriebliches Management</x:v>
      </x:c>
      <x:c r="E1677" s="5" t="str">
        <x:v>Betriebliches Management</x:v>
      </x:c>
      <x:c r="F1677" s="5" t="str">
        <x:v>ui-hq-0014</x:v>
      </x:c>
      <x:c r="G1677" s="5" t="str">
        <x:v>Organisations- und Personalentwicklung</x:v>
      </x:c>
      <x:c r="H1677" s="5" t="str">
        <x:v>dg-hq-0084</x:v>
      </x:c>
      <x:c r="I1677" s="5" t="str">
        <x:v>5.2.3</x:v>
      </x:c>
      <x:c r="J1677" s="5" t="str">
        <x:v>Personalentwicklung (PE)</x:v>
      </x:c>
      <x:c r="K1677" s="5" t="str"/>
      <x:c r="L1677" s="5" t="str">
        <x:v>Personalentwicklung</x:v>
      </x:c>
      <x:c r="M1677" s="5" t="n">
        <x:v>40</x:v>
      </x:c>
      <x:c r="N1677" s="5" t="n">
        <x:v>21</x:v>
      </x:c>
      <x:c r="O1677" s="5" t="str"/>
      <x:c r="P1677" s="5" t="str">
        <x:v>Zuordnungsvorschlag; Fachfreigabe ausstehend</x:v>
      </x:c>
      <x:c r="Q1677" s="5" t="str">
        <x:v>Bestehendes Lernthema fachlich unter passendem Rahmenplan-Unterbereich behalten</x:v>
      </x:c>
      <x:c r="R1677" s="5" t="str">
        <x:v>Nennen und begründen Sie zwei mögliche Nachteile, wenn eine Führungsposition mit einer Person aus dem bestehenden Team besetzt wird.</x:v>
      </x:c>
      <x:c r="S1677" s="5" t="str">
        <x:v>a7ee4511feac9aff95a68d9fed76bfbeac137a535898d06873501b36057ccd69</x:v>
      </x:c>
    </x:row>
    <x:row r="1678" ht="36" customHeight="1">
      <x:c r="A1678" s="5" t="str">
        <x:v>BM-0233</x:v>
      </x:c>
      <x:c r="B1678" s="5" t="str">
        <x:v>HQ</x:v>
      </x:c>
      <x:c r="C1678" s="5" t="str">
        <x:v>5</x:v>
      </x:c>
      <x:c r="D1678" s="5" t="str">
        <x:v>Betriebliches Management</x:v>
      </x:c>
      <x:c r="E1678" s="5" t="str">
        <x:v>Betriebliches Management</x:v>
      </x:c>
      <x:c r="F1678" s="5" t="str">
        <x:v>ui-hq-0015</x:v>
      </x:c>
      <x:c r="G1678" s="5" t="str">
        <x:v>Informationstechnologie und Wissensmanagement</x:v>
      </x:c>
      <x:c r="H1678" s="5" t="str">
        <x:v>dg-hq-0085</x:v>
      </x:c>
      <x:c r="I1678" s="5" t="str">
        <x:v>5.3.1</x:v>
      </x:c>
      <x:c r="J1678" s="5" t="str">
        <x:v>Wissensmanagement</x:v>
      </x:c>
      <x:c r="K1678" s="5" t="str"/>
      <x:c r="L1678" s="5" t="str">
        <x:v>Wissensmanagement &amp; Informationstechnologie</x:v>
      </x:c>
      <x:c r="M1678" s="5" t="n">
        <x:v>19</x:v>
      </x:c>
      <x:c r="N1678" s="5" t="n">
        <x:v>11</x:v>
      </x:c>
      <x:c r="O1678" s="5" t="str"/>
      <x:c r="P1678" s="5" t="str">
        <x:v>Zuordnungsvorschlag; Fachfreigabe ausstehend</x:v>
      </x:c>
      <x:c r="Q1678" s="5" t="str">
        <x:v>Gezielt geprüfter Einzelbeleg</x:v>
      </x:c>
      <x:c r="R1678" s="5" t="str">
        <x:v>Fallbezug: Die folgenden betrieblichen Angaben und Situationen beziehen sich auf die Circle Harbor Service GmbH.
Ein Dienstleistungsunternehmen möchte Kundenwissen in einem neuen CRM-System sichern. Ordnen Sie je ein passendes Beispiel den Kategorien individuelles, strukturelles, implizites und explizites Wissen zu.</x:v>
      </x:c>
      <x:c r="S1678" s="5" t="str">
        <x:v>3a55b46f85465afd9d273ec8d37b76856aaba0b7b46a01fd7a17eae26b7b7f71</x:v>
      </x:c>
    </x:row>
    <x:row r="1679" ht="36" customHeight="1">
      <x:c r="A1679" s="5" t="str">
        <x:v>BM-0234</x:v>
      </x:c>
      <x:c r="B1679" s="5" t="str">
        <x:v>HQ</x:v>
      </x:c>
      <x:c r="C1679" s="5" t="str">
        <x:v>5</x:v>
      </x:c>
      <x:c r="D1679" s="5" t="str">
        <x:v>Betriebliches Management</x:v>
      </x:c>
      <x:c r="E1679" s="5" t="str">
        <x:v>Betriebliches Management</x:v>
      </x:c>
      <x:c r="F1679" s="5" t="str">
        <x:v>ui-hq-0015</x:v>
      </x:c>
      <x:c r="G1679" s="5" t="str">
        <x:v>Informationstechnologie und Wissensmanagement</x:v>
      </x:c>
      <x:c r="H1679" s="5" t="str">
        <x:v>dg-hq-0085</x:v>
      </x:c>
      <x:c r="I1679" s="5" t="str">
        <x:v>5.3.1</x:v>
      </x:c>
      <x:c r="J1679" s="5" t="str">
        <x:v>Wissensmanagement</x:v>
      </x:c>
      <x:c r="K1679" s="5" t="str"/>
      <x:c r="L1679" s="5" t="str">
        <x:v>Wissensmanagement &amp; Informationstechnologie</x:v>
      </x:c>
      <x:c r="M1679" s="5" t="n">
        <x:v>20</x:v>
      </x:c>
      <x:c r="N1679" s="5" t="n">
        <x:v>12</x:v>
      </x:c>
      <x:c r="O1679" s="5" t="str"/>
      <x:c r="P1679" s="5" t="str">
        <x:v>Zuordnungsvorschlag; Fachfreigabe ausstehend</x:v>
      </x:c>
      <x:c r="Q1679" s="5" t="str">
        <x:v>Bestehendes Lernthema fachlich unter passendem Rahmenplan-Unterbereich behalten</x:v>
      </x:c>
      <x:c r="R1679" s="5" t="str">
        <x:v>Im betrieblichen Management von Circle Harbor: Warum ist es für ein Unternehmen sinnvoll, kritisches individuelles und implizites Wissen soweit möglich in strukturelles und explizites Wissen zu überführen?</x:v>
      </x:c>
      <x:c r="S1679" s="5" t="str">
        <x:v>ac78a2b03182bb259f6f8e53f79ecab5fc6935e60ee4358fdc6078cbb5474b03</x:v>
      </x:c>
    </x:row>
    <x:row r="1680" ht="36" customHeight="1">
      <x:c r="A1680" s="5" t="str">
        <x:v>BM-0235</x:v>
      </x:c>
      <x:c r="B1680" s="5" t="str">
        <x:v>HQ</x:v>
      </x:c>
      <x:c r="C1680" s="5" t="str">
        <x:v>5</x:v>
      </x:c>
      <x:c r="D1680" s="5" t="str">
        <x:v>Betriebliches Management</x:v>
      </x:c>
      <x:c r="E1680" s="5" t="str">
        <x:v>Betriebliches Management</x:v>
      </x:c>
      <x:c r="F1680" s="5" t="str">
        <x:v>ui-hq-0015</x:v>
      </x:c>
      <x:c r="G1680" s="5" t="str">
        <x:v>Informationstechnologie und Wissensmanagement</x:v>
      </x:c>
      <x:c r="H1680" s="5" t="str">
        <x:v>dg-hq-0086</x:v>
      </x:c>
      <x:c r="I1680" s="5" t="str">
        <x:v>5.3.2</x:v>
      </x:c>
      <x:c r="J1680" s="5" t="str">
        <x:v>Informationstechnologie</x:v>
      </x:c>
      <x:c r="K1680" s="5" t="str"/>
      <x:c r="L1680" s="5" t="str">
        <x:v>Wissensmanagement &amp; Informationstechnologie</x:v>
      </x:c>
      <x:c r="M1680" s="5" t="n">
        <x:v>21</x:v>
      </x:c>
      <x:c r="N1680" s="5" t="n">
        <x:v>9</x:v>
      </x:c>
      <x:c r="O1680" s="5" t="str"/>
      <x:c r="P1680" s="5" t="str">
        <x:v>Zuordnungsvorschlag; Fachfreigabe ausstehend</x:v>
      </x:c>
      <x:c r="Q1680" s="5" t="str">
        <x:v>Gezielt geprüfter Einzelbeleg</x:v>
      </x:c>
      <x:c r="R1680" s="5" t="str">
        <x:v>Nennen Sie zwei sinnvolle Ordnungskriterien für Kundendaten in einem CRM-System, die sowohl eine schnelle Suche als auch Auswertungen unterstützen.</x:v>
      </x:c>
      <x:c r="S1680" s="5" t="str">
        <x:v>ccd3af1384bb988d2a2d8f0ac1e606ff560b486e17c31c12f8d78744658ceb7f</x:v>
      </x:c>
    </x:row>
    <x:row r="1681" ht="36" customHeight="1">
      <x:c r="A1681" s="5" t="str">
        <x:v>BM-0236</x:v>
      </x:c>
      <x:c r="B1681" s="5" t="str">
        <x:v>HQ</x:v>
      </x:c>
      <x:c r="C1681" s="5" t="str">
        <x:v>5</x:v>
      </x:c>
      <x:c r="D1681" s="5" t="str">
        <x:v>Betriebliches Management</x:v>
      </x:c>
      <x:c r="E1681" s="5" t="str">
        <x:v>Betriebliches Management</x:v>
      </x:c>
      <x:c r="F1681" s="5" t="str">
        <x:v>ui-hq-0015</x:v>
      </x:c>
      <x:c r="G1681" s="5" t="str">
        <x:v>Informationstechnologie und Wissensmanagement</x:v>
      </x:c>
      <x:c r="H1681" s="5" t="str">
        <x:v>dg-hq-0085</x:v>
      </x:c>
      <x:c r="I1681" s="5" t="str">
        <x:v>5.3.1</x:v>
      </x:c>
      <x:c r="J1681" s="5" t="str">
        <x:v>Wissensmanagement</x:v>
      </x:c>
      <x:c r="K1681" s="5" t="str"/>
      <x:c r="L1681" s="5" t="str">
        <x:v>Wissensmanagement &amp; Informationstechnologie</x:v>
      </x:c>
      <x:c r="M1681" s="5" t="n">
        <x:v>22</x:v>
      </x:c>
      <x:c r="N1681" s="5" t="n">
        <x:v>13</x:v>
      </x:c>
      <x:c r="O1681" s="5" t="str"/>
      <x:c r="P1681" s="5" t="str">
        <x:v>Zuordnungsvorschlag; Fachfreigabe ausstehend</x:v>
      </x:c>
      <x:c r="Q1681" s="5" t="str">
        <x:v>Bestehendes Lernthema fachlich unter passendem Rahmenplan-Unterbereich behalten</x:v>
      </x:c>
      <x:c r="R1681" s="5" t="str">
        <x:v>Fallbezug: Die folgenden betrieblichen Angaben und Situationen beziehen sich auf die Circle Harbor GmbH.
Viele erfahrene Beschäftigte werden in den nächsten Jahren ausscheiden. Beschreiben Sie drei konkrete Ansätze, mit denen ihr Erfahrungswissen für die Organisation gesichert werden kann.</x:v>
      </x:c>
      <x:c r="S1681" s="5" t="str">
        <x:v>cfa8aca6a1accc3e2968f822ba78bd18efae69329c131501150cb6e9c531569c</x:v>
      </x:c>
    </x:row>
    <x:row r="1682" ht="36" customHeight="1">
      <x:c r="A1682" s="5" t="str">
        <x:v>BM-0237</x:v>
      </x:c>
      <x:c r="B1682" s="5" t="str">
        <x:v>HQ</x:v>
      </x:c>
      <x:c r="C1682" s="5" t="str">
        <x:v>5</x:v>
      </x:c>
      <x:c r="D1682" s="5" t="str">
        <x:v>Betriebliches Management</x:v>
      </x:c>
      <x:c r="E1682" s="5" t="str">
        <x:v>Betriebliches Management</x:v>
      </x:c>
      <x:c r="F1682" s="5" t="str">
        <x:v>ui-hq-0016</x:v>
      </x:c>
      <x:c r="G1682" s="5" t="str">
        <x:v>Managementtechniken</x:v>
      </x:c>
      <x:c r="H1682" s="5" t="str">
        <x:v>dg-hq-0088</x:v>
      </x:c>
      <x:c r="I1682" s="5" t="str">
        <x:v>5.4.2.2</x:v>
      </x:c>
      <x:c r="J1682" s="5" t="str">
        <x:v>Kreativitätstechniken</x:v>
      </x:c>
      <x:c r="K1682" s="5" t="str"/>
      <x:c r="L1682" s="5" t="str">
        <x:v>Kreativitäts- &amp; Entscheidungstechniken</x:v>
      </x:c>
      <x:c r="M1682" s="5" t="n">
        <x:v>51</x:v>
      </x:c>
      <x:c r="N1682" s="5" t="n">
        <x:v>17</x:v>
      </x:c>
      <x:c r="O1682" s="5" t="str"/>
      <x:c r="P1682" s="5" t="str">
        <x:v>Zuordnungsvorschlag; Fachfreigabe ausstehend</x:v>
      </x:c>
      <x:c r="Q1682" s="5" t="str">
        <x:v>Bestehendes Lernthema fachlich unter passendem Rahmenplan-Unterbereich behalten</x:v>
      </x:c>
      <x:c r="R1682" s="5" t="str">
        <x:v>Circle Harbor sucht neue Wege, um mehr geeignete Auszubildende zu gewinnen. Stellen Sie drei geeignete Kreativitätstechniken vor und entscheiden Sie begründet, welche Sie für ein moderiertes Teammeeting einsetzen würden.</x:v>
      </x:c>
      <x:c r="S1682" s="5" t="str">
        <x:v>02faebc67594430b29515b7533f11298d99666a3d58312589aa63da2f20fdc1e</x:v>
      </x:c>
    </x:row>
    <x:row r="1683" ht="36" customHeight="1">
      <x:c r="A1683" s="5" t="str">
        <x:v>BM-0238</x:v>
      </x:c>
      <x:c r="B1683" s="5" t="str">
        <x:v>HQ</x:v>
      </x:c>
      <x:c r="C1683" s="5" t="str">
        <x:v>5</x:v>
      </x:c>
      <x:c r="D1683" s="5" t="str">
        <x:v>Betriebliches Management</x:v>
      </x:c>
      <x:c r="E1683" s="5" t="str">
        <x:v>Betriebliches Management</x:v>
      </x:c>
      <x:c r="F1683" s="5" t="str">
        <x:v>ui-hq-0016</x:v>
      </x:c>
      <x:c r="G1683" s="5" t="str">
        <x:v>Managementtechniken</x:v>
      </x:c>
      <x:c r="H1683" s="5" t="str">
        <x:v>dg-hq-0090</x:v>
      </x:c>
      <x:c r="I1683" s="5" t="str">
        <x:v>5.4.4</x:v>
      </x:c>
      <x:c r="J1683" s="5" t="str">
        <x:v>Gesprächs- und Kooperationstechniken</x:v>
      </x:c>
      <x:c r="K1683" s="5" t="str"/>
      <x:c r="L1683" s="5" t="str">
        <x:v>Gesprächs- &amp; Kooperationstechniken</x:v>
      </x:c>
      <x:c r="M1683" s="5" t="n">
        <x:v>52</x:v>
      </x:c>
      <x:c r="N1683" s="5" t="n">
        <x:v>20</x:v>
      </x:c>
      <x:c r="O1683" s="5" t="str"/>
      <x:c r="P1683" s="5" t="str">
        <x:v>Zuordnungsvorschlag; Fachfreigabe ausstehend</x:v>
      </x:c>
      <x:c r="Q1683" s="5" t="str">
        <x:v>Bestehendes Lernthema fachlich unter passendem Rahmenplan-Unterbereich behalten</x:v>
      </x:c>
      <x:c r="R1683" s="5" t="str">
        <x:v>Welche zwei persönlichen Vorbereitungsaspekte sollte eine Moderatorin oder ein Moderator vor einem anspruchsvollen Kreativmeeting besonders berücksichtigen?</x:v>
      </x:c>
      <x:c r="S1683" s="5" t="str">
        <x:v>3a7dbddd235882e79a38cf3d8cc7b11ce88e14c8f5709acaddf138b09f552c7b</x:v>
      </x:c>
    </x:row>
    <x:row r="1684" ht="36" customHeight="1">
      <x:c r="A1684" s="5" t="str">
        <x:v>BM-0239</x:v>
      </x:c>
      <x:c r="B1684" s="5" t="str">
        <x:v>HQ</x:v>
      </x:c>
      <x:c r="C1684" s="5" t="str">
        <x:v>5</x:v>
      </x:c>
      <x:c r="D1684" s="5" t="str">
        <x:v>Betriebliches Management</x:v>
      </x:c>
      <x:c r="E1684" s="5" t="str">
        <x:v>Betriebliches Management</x:v>
      </x:c>
      <x:c r="F1684" s="5" t="str">
        <x:v>ui-hq-0014</x:v>
      </x:c>
      <x:c r="G1684" s="5" t="str">
        <x:v>Organisations- und Personalentwicklung</x:v>
      </x:c>
      <x:c r="H1684" s="5" t="str">
        <x:v>dg-hq-0084</x:v>
      </x:c>
      <x:c r="I1684" s="5" t="str">
        <x:v>5.2.3</x:v>
      </x:c>
      <x:c r="J1684" s="5" t="str">
        <x:v>Personalentwicklung (PE)</x:v>
      </x:c>
      <x:c r="K1684" s="5" t="str"/>
      <x:c r="L1684" s="5" t="str">
        <x:v>Personalentwicklung</x:v>
      </x:c>
      <x:c r="M1684" s="5" t="n">
        <x:v>41</x:v>
      </x:c>
      <x:c r="N1684" s="5" t="n">
        <x:v>22</x:v>
      </x:c>
      <x:c r="O1684" s="5" t="str"/>
      <x:c r="P1684" s="5" t="str">
        <x:v>Zuordnungsvorschlag; Fachfreigabe ausstehend</x:v>
      </x:c>
      <x:c r="Q1684" s="5" t="str">
        <x:v>Bestehendes Lernthema fachlich unter passendem Rahmenplan-Unterbereich behalten</x:v>
      </x:c>
      <x:c r="R1684" s="5" t="str">
        <x:v>Im betrieblichen Management von Circle Harbor: Nennen und erläutern Sie drei grundsätzlich unterschiedliche Online-Wege, mit denen ein Unternehmen gezielt Auszubildende ansprechen kann.</x:v>
      </x:c>
      <x:c r="S1684" s="5" t="str">
        <x:v>5a50877a1d0a9b45481fe772405c983b03ac793a6988552b5ab5ba632b347866</x:v>
      </x:c>
    </x:row>
    <x:row r="1685" ht="36" customHeight="1">
      <x:c r="A1685" s="5" t="str">
        <x:v>BM-0240</x:v>
      </x:c>
      <x:c r="B1685" s="5" t="str">
        <x:v>HQ</x:v>
      </x:c>
      <x:c r="C1685" s="5" t="str">
        <x:v>5</x:v>
      </x:c>
      <x:c r="D1685" s="5" t="str">
        <x:v>Betriebliches Management</x:v>
      </x:c>
      <x:c r="E1685" s="5" t="str">
        <x:v>Betriebliches Management</x:v>
      </x:c>
      <x:c r="F1685" s="5" t="str">
        <x:v>ui-hq-0016</x:v>
      </x:c>
      <x:c r="G1685" s="5" t="str">
        <x:v>Managementtechniken</x:v>
      </x:c>
      <x:c r="H1685" s="5" t="str">
        <x:v>dg-hq-0090</x:v>
      </x:c>
      <x:c r="I1685" s="5" t="str">
        <x:v>5.4.4.1</x:v>
      </x:c>
      <x:c r="J1685" s="5" t="str">
        <x:v>Grundlagen der Kommunikation</x:v>
      </x:c>
      <x:c r="K1685" s="5" t="str"/>
      <x:c r="L1685" s="5" t="str">
        <x:v>Gesprächs- &amp; Kooperationstechniken</x:v>
      </x:c>
      <x:c r="M1685" s="5" t="n">
        <x:v>53</x:v>
      </x:c>
      <x:c r="N1685" s="5" t="n">
        <x:v>21</x:v>
      </x:c>
      <x:c r="O1685" s="5" t="str"/>
      <x:c r="P1685" s="5" t="str">
        <x:v>Zuordnungsvorschlag; Fachfreigabe ausstehend</x:v>
      </x:c>
      <x:c r="Q1685" s="5" t="str">
        <x:v>Bestehendes Lernthema fachlich unter passendem Rahmenplan-Unterbereich behalten</x:v>
      </x:c>
      <x:c r="R1685" s="5" t="str">
        <x:v>Im betrieblichen Management von Circle Harbor: Vor einer Unternehmensübernahme soll die Geschäftsführung die Belegschaft in einer Versammlung informieren und Ängste reduzieren. Nennen und begründen Sie fünf verbale oder nonverbale Kommunikationsgrundsätze, die für die Redner besonders wichtig sind.</x:v>
      </x:c>
      <x:c r="S1685" s="5" t="str">
        <x:v>873fd17c09ff9fdcdaa718b730824e62300d48db0d179f228f7cb5612cfecf43</x:v>
      </x:c>
    </x:row>
    <x:row r="1686" ht="36" customHeight="1">
      <x:c r="A1686" s="5" t="str">
        <x:v>BM-0241</x:v>
      </x:c>
      <x:c r="B1686" s="5" t="str">
        <x:v>HQ</x:v>
      </x:c>
      <x:c r="C1686" s="5" t="str">
        <x:v>5</x:v>
      </x:c>
      <x:c r="D1686" s="5" t="str">
        <x:v>Betriebliches Management</x:v>
      </x:c>
      <x:c r="E1686" s="5" t="str">
        <x:v>Betriebliches Management</x:v>
      </x:c>
      <x:c r="F1686" s="5" t="str">
        <x:v>ui-hq-0013</x:v>
      </x:c>
      <x:c r="G1686" s="5" t="str">
        <x:v>Betriebliche Planungsprozesse</x:v>
      </x:c>
      <x:c r="H1686" s="5" t="str">
        <x:v>dg-hq-0083</x:v>
      </x:c>
      <x:c r="I1686" s="5" t="str">
        <x:v>5.1.4</x:v>
      </x:c>
      <x:c r="J1686" s="5" t="str">
        <x:v>Betriebsstatistik, Vergleichsrechnung, Planungsrechnung als Grundlage betrieblicher Planungsprozesse</x:v>
      </x:c>
      <x:c r="K1686" s="5" t="str"/>
      <x:c r="L1686" s="5" t="str">
        <x:v>Planung, Strategie &amp; Kennzahlen</x:v>
      </x:c>
      <x:c r="M1686" s="5" t="n">
        <x:v>124</x:v>
      </x:c>
      <x:c r="N1686" s="5" t="n">
        <x:v>10</x:v>
      </x:c>
      <x:c r="O1686" s="5" t="str"/>
      <x:c r="P1686" s="5" t="str">
        <x:v>Zuordnungsvorschlag; Fachfreigabe ausstehend</x:v>
      </x:c>
      <x:c r="Q1686" s="5" t="str">
        <x:v>Frageinhalt präzisiert bzw. teilt bisheriges Sammelthema</x:v>
      </x:c>
      <x:c r="R1686" s="5" t="str">
        <x:v>Welche fünf Phasen umfasst ein systematisches Benchmarking, und was geschieht in jeder Phase?</x:v>
      </x:c>
      <x:c r="S1686" s="5" t="str">
        <x:v>cd2c11934c23a6113ea118894e48b99de939c2d3fb809010268087ce796a9cec</x:v>
      </x:c>
    </x:row>
    <x:row r="1687" ht="36" customHeight="1">
      <x:c r="A1687" s="5" t="str">
        <x:v>BM-0242</x:v>
      </x:c>
      <x:c r="B1687" s="5" t="str">
        <x:v>HQ</x:v>
      </x:c>
      <x:c r="C1687" s="5" t="str">
        <x:v>5</x:v>
      </x:c>
      <x:c r="D1687" s="5" t="str">
        <x:v>Betriebliches Management</x:v>
      </x:c>
      <x:c r="E1687" s="5" t="str">
        <x:v>Betriebliches Management</x:v>
      </x:c>
      <x:c r="F1687" s="5" t="str">
        <x:v>ui-hq-0013</x:v>
      </x:c>
      <x:c r="G1687" s="5" t="str">
        <x:v>Betriebliche Planungsprozesse</x:v>
      </x:c>
      <x:c r="H1687" s="5" t="str">
        <x:v>dg-hq-0081</x:v>
      </x:c>
      <x:c r="I1687" s="5" t="str">
        <x:v>5.1.3</x:v>
      </x:c>
      <x:c r="J1687" s="5" t="str">
        <x:v>Zusammenhang zwischen strategischer und operativer Planung</x:v>
      </x:c>
      <x:c r="K1687" s="5" t="str"/>
      <x:c r="L1687" s="5" t="str">
        <x:v>Planung, Strategie &amp; Kennzahlen</x:v>
      </x:c>
      <x:c r="M1687" s="5" t="n">
        <x:v>125</x:v>
      </x:c>
      <x:c r="N1687" s="5" t="n">
        <x:v>18</x:v>
      </x:c>
      <x:c r="O1687" s="5" t="str"/>
      <x:c r="P1687" s="5" t="str">
        <x:v>Zuordnungsvorschlag; Fachfreigabe ausstehend</x:v>
      </x:c>
      <x:c r="Q1687" s="5" t="str">
        <x:v>Bestehendes Lernthema fachlich unter passendem Rahmenplan-Unterbereich behalten</x:v>
      </x:c>
      <x:c r="R1687" s="5" t="str">
        <x:v>Was versteht man unter Operations Research, welches Ziel verfolgt es und in welchen betrieblichen Bereichen kann es eingesetzt werden?</x:v>
      </x:c>
      <x:c r="S1687" s="5" t="str">
        <x:v>0b3b7f323ab3840f718015ec381aeb33c430fe4821c25680983790bd208ccf0c</x:v>
      </x:c>
    </x:row>
    <x:row r="1688" ht="36" customHeight="1">
      <x:c r="A1688" s="5" t="str">
        <x:v>BM-0243</x:v>
      </x:c>
      <x:c r="B1688" s="5" t="str">
        <x:v>HQ</x:v>
      </x:c>
      <x:c r="C1688" s="5" t="str">
        <x:v>5</x:v>
      </x:c>
      <x:c r="D1688" s="5" t="str">
        <x:v>Betriebliches Management</x:v>
      </x:c>
      <x:c r="E1688" s="5" t="str">
        <x:v>Betriebliches Management</x:v>
      </x:c>
      <x:c r="F1688" s="5" t="str">
        <x:v>ui-hq-0014</x:v>
      </x:c>
      <x:c r="G1688" s="5" t="str">
        <x:v>Organisations- und Personalentwicklung</x:v>
      </x:c>
      <x:c r="H1688" s="5" t="str">
        <x:v>dg-hq-0082</x:v>
      </x:c>
      <x:c r="I1688" s="5" t="str">
        <x:v>5.2.2</x:v>
      </x:c>
      <x:c r="J1688" s="5" t="str">
        <x:v>Organisationsentwicklung (OE)</x:v>
      </x:c>
      <x:c r="K1688" s="5" t="str"/>
      <x:c r="L1688" s="5" t="str">
        <x:v>Organisationsentwicklung &amp; Change Management</x:v>
      </x:c>
      <x:c r="M1688" s="5" t="n">
        <x:v>42</x:v>
      </x:c>
      <x:c r="N1688" s="5" t="n">
        <x:v>20</x:v>
      </x:c>
      <x:c r="O1688" s="5" t="str"/>
      <x:c r="P1688" s="5" t="str">
        <x:v>Zuordnungsvorschlag; Fachfreigabe ausstehend</x:v>
      </x:c>
      <x:c r="Q1688" s="5" t="str">
        <x:v>Bestehendes Lernthema fachlich unter passendem Rahmenplan-Unterbereich behalten</x:v>
      </x:c>
      <x:c r="R1688" s="5" t="str">
        <x:v>Unterscheiden Sie Top-down-, Bottom-up- und Gegenstromverfahren bei Organisationsveränderungen und beurteilen Sie ihre typischen Vor- und Nachteile.</x:v>
      </x:c>
      <x:c r="S1688" s="5" t="str">
        <x:v>55897da17e0cd893b75127d053ebf9027875a6f7ce0a9ed9d646cf65f8d38a95</x:v>
      </x:c>
    </x:row>
    <x:row r="1689" ht="36" customHeight="1">
      <x:c r="A1689" s="5" t="str">
        <x:v>BM-0244</x:v>
      </x:c>
      <x:c r="B1689" s="5" t="str">
        <x:v>HQ</x:v>
      </x:c>
      <x:c r="C1689" s="5" t="str">
        <x:v>5</x:v>
      </x:c>
      <x:c r="D1689" s="5" t="str">
        <x:v>Betriebliches Management</x:v>
      </x:c>
      <x:c r="E1689" s="5" t="str">
        <x:v>Betriebliches Management</x:v>
      </x:c>
      <x:c r="F1689" s="5" t="str">
        <x:v>ui-hq-0014</x:v>
      </x:c>
      <x:c r="G1689" s="5" t="str">
        <x:v>Organisations- und Personalentwicklung</x:v>
      </x:c>
      <x:c r="H1689" s="5" t="str">
        <x:v>dg-hq-0084</x:v>
      </x:c>
      <x:c r="I1689" s="5" t="str">
        <x:v>5.2.3</x:v>
      </x:c>
      <x:c r="J1689" s="5" t="str">
        <x:v>Personalentwicklung (PE)</x:v>
      </x:c>
      <x:c r="K1689" s="5" t="str"/>
      <x:c r="L1689" s="5" t="str">
        <x:v>Personalentwicklung</x:v>
      </x:c>
      <x:c r="M1689" s="5" t="n">
        <x:v>43</x:v>
      </x:c>
      <x:c r="N1689" s="5" t="n">
        <x:v>23</x:v>
      </x:c>
      <x:c r="O1689" s="5" t="str"/>
      <x:c r="P1689" s="5" t="str">
        <x:v>Zuordnungsvorschlag; Fachfreigabe ausstehend</x:v>
      </x:c>
      <x:c r="Q1689" s="5" t="str">
        <x:v>Bestehendes Lernthema fachlich unter passendem Rahmenplan-Unterbereich behalten</x:v>
      </x:c>
      <x:c r="R1689" s="5" t="str">
        <x:v>Unterscheiden Sie Upskilling, Reskilling und Deskilling und erläutern Sie jeweils die Bedeutung für die Personalentwicklung.</x:v>
      </x:c>
      <x:c r="S1689" s="5" t="str">
        <x:v>81ef04bca128c8cd7983d03d66691189d66b97518b64d42c6ad787128e7f2149</x:v>
      </x:c>
    </x:row>
    <x:row r="1690" ht="36" customHeight="1">
      <x:c r="A1690" s="5" t="str">
        <x:v>BM-0245</x:v>
      </x:c>
      <x:c r="B1690" s="5" t="str">
        <x:v>HQ</x:v>
      </x:c>
      <x:c r="C1690" s="5" t="str">
        <x:v>5</x:v>
      </x:c>
      <x:c r="D1690" s="5" t="str">
        <x:v>Betriebliches Management</x:v>
      </x:c>
      <x:c r="E1690" s="5" t="str">
        <x:v>Betriebliches Management</x:v>
      </x:c>
      <x:c r="F1690" s="5" t="str">
        <x:v>ui-hq-0015</x:v>
      </x:c>
      <x:c r="G1690" s="5" t="str">
        <x:v>Informationstechnologie und Wissensmanagement</x:v>
      </x:c>
      <x:c r="H1690" s="5" t="str">
        <x:v>dg-hq-0085</x:v>
      </x:c>
      <x:c r="I1690" s="5" t="str">
        <x:v>5.3.1</x:v>
      </x:c>
      <x:c r="J1690" s="5" t="str">
        <x:v>Wissensmanagement</x:v>
      </x:c>
      <x:c r="K1690" s="5" t="str"/>
      <x:c r="L1690" s="5" t="str">
        <x:v>Wissensmanagement &amp; Informationstechnologie</x:v>
      </x:c>
      <x:c r="M1690" s="5" t="n">
        <x:v>23</x:v>
      </x:c>
      <x:c r="N1690" s="5" t="n">
        <x:v>14</x:v>
      </x:c>
      <x:c r="O1690" s="5" t="str"/>
      <x:c r="P1690" s="5" t="str">
        <x:v>Zuordnungsvorschlag; Fachfreigabe ausstehend</x:v>
      </x:c>
      <x:c r="Q1690" s="5" t="str">
        <x:v>Bestehendes Lernthema fachlich unter passendem Rahmenplan-Unterbereich behalten</x:v>
      </x:c>
      <x:c r="R1690" s="5" t="str">
        <x:v>Wie ist systematisches Wissensmanagement aufgebaut? Erläutern Sie die normative, strategische und operative Ebene, nennen Sie mindestens vier Wissensdomänen und beschreiben Sie die fünf Prozessschritte.</x:v>
      </x:c>
      <x:c r="S1690" s="5" t="str">
        <x:v>65bb563aa8d0a3beb6b27b53e39abf3fd9fe6b32a1a3461915f2c59df4d4713a</x:v>
      </x:c>
    </x:row>
    <x:row r="1691" ht="36" customHeight="1">
      <x:c r="A1691" s="5" t="str">
        <x:v>BM-0246</x:v>
      </x:c>
      <x:c r="B1691" s="5" t="str">
        <x:v>HQ</x:v>
      </x:c>
      <x:c r="C1691" s="5" t="str">
        <x:v>5</x:v>
      </x:c>
      <x:c r="D1691" s="5" t="str">
        <x:v>Betriebliches Management</x:v>
      </x:c>
      <x:c r="E1691" s="5" t="str">
        <x:v>Betriebliches Management</x:v>
      </x:c>
      <x:c r="F1691" s="5" t="str">
        <x:v>ui-hq-0015</x:v>
      </x:c>
      <x:c r="G1691" s="5" t="str">
        <x:v>Informationstechnologie und Wissensmanagement</x:v>
      </x:c>
      <x:c r="H1691" s="5" t="str">
        <x:v>dg-hq-0086</x:v>
      </x:c>
      <x:c r="I1691" s="5" t="str">
        <x:v>5.3.2</x:v>
      </x:c>
      <x:c r="J1691" s="5" t="str">
        <x:v>Informationstechnologie</x:v>
      </x:c>
      <x:c r="K1691" s="5" t="str"/>
      <x:c r="L1691" s="5" t="str">
        <x:v>Wissensmanagement &amp; Informationstechnologie</x:v>
      </x:c>
      <x:c r="M1691" s="5" t="n">
        <x:v>24</x:v>
      </x:c>
      <x:c r="N1691" s="5" t="n">
        <x:v>10</x:v>
      </x:c>
      <x:c r="O1691" s="5" t="str"/>
      <x:c r="P1691" s="5" t="str">
        <x:v>Zuordnungsvorschlag; Fachfreigabe ausstehend</x:v>
      </x:c>
      <x:c r="Q1691" s="5" t="str">
        <x:v>Gezielt geprüfter Einzelbeleg</x:v>
      </x:c>
      <x:c r="R1691" s="5" t="str">
        <x:v>Erklären Sie SCM, Employee Self Service, künstliche Intelligenz und Industrie 4.0 und nennen Sie jeweils eine betriebliche Einsatzmöglichkeit.</x:v>
      </x:c>
      <x:c r="S1691" s="5" t="str">
        <x:v>8fe8c21efb850c10a42ab1bf76f5314819e482475a675b9faaf543511c40f796</x:v>
      </x:c>
    </x:row>
    <x:row r="1692" ht="36" customHeight="1">
      <x:c r="A1692" s="5" t="str">
        <x:v>BM-0247</x:v>
      </x:c>
      <x:c r="B1692" s="5" t="str">
        <x:v>HQ</x:v>
      </x:c>
      <x:c r="C1692" s="5" t="str">
        <x:v>5</x:v>
      </x:c>
      <x:c r="D1692" s="5" t="str">
        <x:v>Betriebliches Management</x:v>
      </x:c>
      <x:c r="E1692" s="5" t="str">
        <x:v>Betriebliches Management</x:v>
      </x:c>
      <x:c r="F1692" s="5" t="str">
        <x:v>ui-hq-0016</x:v>
      </x:c>
      <x:c r="G1692" s="5" t="str">
        <x:v>Managementtechniken</x:v>
      </x:c>
      <x:c r="H1692" s="5" t="str">
        <x:v>dg-hq-0088</x:v>
      </x:c>
      <x:c r="I1692" s="5" t="str">
        <x:v>5.4.2</x:v>
      </x:c>
      <x:c r="J1692" s="5" t="str">
        <x:v>Kreativitäts- und Entscheidungstechniken</x:v>
      </x:c>
      <x:c r="K1692" s="5" t="str"/>
      <x:c r="L1692" s="5" t="str">
        <x:v>Kreativitäts- &amp; Entscheidungstechniken</x:v>
      </x:c>
      <x:c r="M1692" s="5" t="n">
        <x:v>54</x:v>
      </x:c>
      <x:c r="N1692" s="5" t="n">
        <x:v>18</x:v>
      </x:c>
      <x:c r="O1692" s="5" t="str"/>
      <x:c r="P1692" s="5" t="str">
        <x:v>Zuordnungsvorschlag; Fachfreigabe ausstehend</x:v>
      </x:c>
      <x:c r="Q1692" s="5" t="str">
        <x:v>Bestehendes Lernthema fachlich unter passendem Rahmenplan-Unterbereich behalten</x:v>
      </x:c>
      <x:c r="R1692" s="5" t="str">
        <x:v>Vergleichen Sie Pro-und-Contra-Liste, Szenarioanalyse, Dot Voting, Entscheidungsmatrix und Nutzwertanalyse hinsichtlich Vorgehen und geeignetem Einsatz.</x:v>
      </x:c>
      <x:c r="S1692" s="5" t="str">
        <x:v>faa69d140cc5172e945b6ff63bae9b79847631cb1708447c2900761e02a4d51a</x:v>
      </x:c>
    </x:row>
    <x:row r="1693" ht="36" customHeight="1">
      <x:c r="A1693" s="5" t="str">
        <x:v>BM-0248</x:v>
      </x:c>
      <x:c r="B1693" s="5" t="str">
        <x:v>HQ</x:v>
      </x:c>
      <x:c r="C1693" s="5" t="str">
        <x:v>5</x:v>
      </x:c>
      <x:c r="D1693" s="5" t="str">
        <x:v>Betriebliches Management</x:v>
      </x:c>
      <x:c r="E1693" s="5" t="str">
        <x:v>Betriebliches Management</x:v>
      </x:c>
      <x:c r="F1693" s="5" t="str">
        <x:v>ui-hq-0016</x:v>
      </x:c>
      <x:c r="G1693" s="5" t="str">
        <x:v>Managementtechniken</x:v>
      </x:c>
      <x:c r="H1693" s="5" t="str">
        <x:v>dg-hq-0089</x:v>
      </x:c>
      <x:c r="I1693" s="5" t="str">
        <x:v>5.4.3</x:v>
      </x:c>
      <x:c r="J1693" s="5" t="str">
        <x:v>Projektmanagement</x:v>
      </x:c>
      <x:c r="K1693" s="5" t="str"/>
      <x:c r="L1693" s="5" t="str">
        <x:v>Projektmanagement</x:v>
      </x:c>
      <x:c r="M1693" s="5" t="n">
        <x:v>55</x:v>
      </x:c>
      <x:c r="N1693" s="5" t="n">
        <x:v>10</x:v>
      </x:c>
      <x:c r="O1693" s="5" t="str"/>
      <x:c r="P1693" s="5" t="str">
        <x:v>Zuordnungsvorschlag; Fachfreigabe ausstehend</x:v>
      </x:c>
      <x:c r="Q1693" s="5" t="str">
        <x:v>Bestehendes Lernthema fachlich unter passendem Rahmenplan-Unterbereich behalten</x:v>
      </x:c>
      <x:c r="R1693" s="5" t="str">
        <x:v>Welche Aufgaben haben Auftraggeber, Projektleitung, Projektteam, Lenkungsausschuss und Fachausschuss, und was beschreibt das Spannungsdreieck des Projektmanagements?</x:v>
      </x:c>
      <x:c r="S1693" s="5" t="str">
        <x:v>f59374b0e783d41276db7ff41b53cce47bebd8632a285093c81ef4dbbe7e84a3</x:v>
      </x:c>
    </x:row>
    <x:row r="1694" ht="36" customHeight="1">
      <x:c r="A1694" s="5" t="str">
        <x:v>BM-0249</x:v>
      </x:c>
      <x:c r="B1694" s="5" t="str">
        <x:v>HQ</x:v>
      </x:c>
      <x:c r="C1694" s="5" t="str">
        <x:v>5</x:v>
      </x:c>
      <x:c r="D1694" s="5" t="str">
        <x:v>Betriebliches Management</x:v>
      </x:c>
      <x:c r="E1694" s="5" t="str">
        <x:v>Betriebliches Management</x:v>
      </x:c>
      <x:c r="F1694" s="5" t="str">
        <x:v>ui-hq-0016</x:v>
      </x:c>
      <x:c r="G1694" s="5" t="str">
        <x:v>Managementtechniken</x:v>
      </x:c>
      <x:c r="H1694" s="5" t="str">
        <x:v>dg-hq-0089</x:v>
      </x:c>
      <x:c r="I1694" s="5" t="str">
        <x:v>5.4.3</x:v>
      </x:c>
      <x:c r="J1694" s="5" t="str">
        <x:v>Projektmanagement</x:v>
      </x:c>
      <x:c r="K1694" s="5" t="str"/>
      <x:c r="L1694" s="5" t="str">
        <x:v>Projektmanagement</x:v>
      </x:c>
      <x:c r="M1694" s="5" t="n">
        <x:v>56</x:v>
      </x:c>
      <x:c r="N1694" s="5" t="n">
        <x:v>11</x:v>
      </x:c>
      <x:c r="O1694" s="5" t="str"/>
      <x:c r="P1694" s="5" t="str">
        <x:v>Zuordnungsvorschlag; Fachfreigabe ausstehend</x:v>
      </x:c>
      <x:c r="Q1694" s="5" t="str">
        <x:v>Bestehendes Lernthema fachlich unter passendem Rahmenplan-Unterbereich behalten</x:v>
      </x:c>
      <x:c r="R1694" s="5" t="str">
        <x:v>Welche Funktionen haben Projektauftrag, Kick-off-Veranstaltung, Lastenheft und Pflichtenheft beim Projektstart?</x:v>
      </x:c>
      <x:c r="S1694" s="5" t="str">
        <x:v>f1426d4abdda09610aa5ed8e9ec337fe77b48349161c134d6f173815ba5c063a</x:v>
      </x:c>
    </x:row>
    <x:row r="1695" ht="36" customHeight="1">
      <x:c r="A1695" s="5" t="str">
        <x:v>BM-0250</x:v>
      </x:c>
      <x:c r="B1695" s="5" t="str">
        <x:v>HQ</x:v>
      </x:c>
      <x:c r="C1695" s="5" t="str">
        <x:v>5</x:v>
      </x:c>
      <x:c r="D1695" s="5" t="str">
        <x:v>Betriebliches Management</x:v>
      </x:c>
      <x:c r="E1695" s="5" t="str">
        <x:v>Betriebliches Management</x:v>
      </x:c>
      <x:c r="F1695" s="5" t="str">
        <x:v>ui-hq-0016</x:v>
      </x:c>
      <x:c r="G1695" s="5" t="str">
        <x:v>Managementtechniken</x:v>
      </x:c>
      <x:c r="H1695" s="5" t="str">
        <x:v>dg-hq-0089</x:v>
      </x:c>
      <x:c r="I1695" s="5" t="str">
        <x:v>5.4.3</x:v>
      </x:c>
      <x:c r="J1695" s="5" t="str">
        <x:v>Projektmanagement</x:v>
      </x:c>
      <x:c r="K1695" s="5" t="str"/>
      <x:c r="L1695" s="5" t="str">
        <x:v>Projektmanagement</x:v>
      </x:c>
      <x:c r="M1695" s="5" t="n">
        <x:v>57</x:v>
      </x:c>
      <x:c r="N1695" s="5" t="n">
        <x:v>12</x:v>
      </x:c>
      <x:c r="O1695" s="5" t="str"/>
      <x:c r="P1695" s="5" t="str">
        <x:v>Zuordnungsvorschlag; Fachfreigabe ausstehend</x:v>
      </x:c>
      <x:c r="Q1695" s="5" t="str">
        <x:v>Bestehendes Lernthema fachlich unter passendem Rahmenplan-Unterbereich behalten</x:v>
      </x:c>
      <x:c r="R1695" s="5" t="str">
        <x:v>Erläutern Sie die Funktionen von Meilensteinplan, Projektstrukturplan, Netzplan, Gantt-Diagramm, Ressourcenplanung und Liquiditätsplanung.</x:v>
      </x:c>
      <x:c r="S1695" s="5" t="str">
        <x:v>e652d99b683cd3e24451e15b56cebdf21e914ae8bd0c0a44732a034e2bbe4bc7</x:v>
      </x:c>
    </x:row>
    <x:row r="1696" ht="36" customHeight="1">
      <x:c r="A1696" s="5" t="str">
        <x:v>BM-0251</x:v>
      </x:c>
      <x:c r="B1696" s="5" t="str">
        <x:v>HQ</x:v>
      </x:c>
      <x:c r="C1696" s="5" t="str">
        <x:v>5</x:v>
      </x:c>
      <x:c r="D1696" s="5" t="str">
        <x:v>Betriebliches Management</x:v>
      </x:c>
      <x:c r="E1696" s="5" t="str">
        <x:v>Betriebliches Management</x:v>
      </x:c>
      <x:c r="F1696" s="5" t="str">
        <x:v>ui-hq-0016</x:v>
      </x:c>
      <x:c r="G1696" s="5" t="str">
        <x:v>Managementtechniken</x:v>
      </x:c>
      <x:c r="H1696" s="5" t="str">
        <x:v>dg-hq-0089</x:v>
      </x:c>
      <x:c r="I1696" s="5" t="str">
        <x:v>5.4.3.3</x:v>
      </x:c>
      <x:c r="J1696" s="5" t="str">
        <x:v>Projektsteuerung</x:v>
      </x:c>
      <x:c r="K1696" s="5" t="str"/>
      <x:c r="L1696" s="5" t="str">
        <x:v>Projektmanagement</x:v>
      </x:c>
      <x:c r="M1696" s="5" t="n">
        <x:v>58</x:v>
      </x:c>
      <x:c r="N1696" s="5" t="n">
        <x:v>13</x:v>
      </x:c>
      <x:c r="O1696" s="5" t="str"/>
      <x:c r="P1696" s="5" t="str">
        <x:v>Zuordnungsvorschlag; Fachfreigabe ausstehend</x:v>
      </x:c>
      <x:c r="Q1696" s="5" t="str">
        <x:v>Bestehendes Lernthema fachlich unter passendem Rahmenplan-Unterbereich behalten</x:v>
      </x:c>
      <x:c r="R1696" s="5" t="str">
        <x:v>Welche Aufgaben umfasst die Projektsteuerung und welche Funktion hat das Berichtswesen?</x:v>
      </x:c>
      <x:c r="S1696" s="5" t="str">
        <x:v>df1905943f39be2190db1a3b06831a2196faece4c946ebfff6c2e5bf40262b5c</x:v>
      </x:c>
    </x:row>
    <x:row r="1697" ht="36" customHeight="1">
      <x:c r="A1697" s="5" t="str">
        <x:v>BM-0252</x:v>
      </x:c>
      <x:c r="B1697" s="5" t="str">
        <x:v>HQ</x:v>
      </x:c>
      <x:c r="C1697" s="5" t="str">
        <x:v>5</x:v>
      </x:c>
      <x:c r="D1697" s="5" t="str">
        <x:v>Betriebliches Management</x:v>
      </x:c>
      <x:c r="E1697" s="5" t="str">
        <x:v>Betriebliches Management</x:v>
      </x:c>
      <x:c r="F1697" s="5" t="str">
        <x:v>ui-hq-0016</x:v>
      </x:c>
      <x:c r="G1697" s="5" t="str">
        <x:v>Managementtechniken</x:v>
      </x:c>
      <x:c r="H1697" s="5" t="str">
        <x:v>dg-hq-0089</x:v>
      </x:c>
      <x:c r="I1697" s="5" t="str">
        <x:v>5.4.3.4</x:v>
      </x:c>
      <x:c r="J1697" s="5" t="str">
        <x:v>Projektdokumentation</x:v>
      </x:c>
      <x:c r="K1697" s="5" t="str"/>
      <x:c r="L1697" s="5" t="str">
        <x:v>Projektmanagement</x:v>
      </x:c>
      <x:c r="M1697" s="5" t="n">
        <x:v>59</x:v>
      </x:c>
      <x:c r="N1697" s="5" t="n">
        <x:v>14</x:v>
      </x:c>
      <x:c r="O1697" s="5" t="str"/>
      <x:c r="P1697" s="5" t="str">
        <x:v>Zuordnungsvorschlag; Fachfreigabe ausstehend</x:v>
      </x:c>
      <x:c r="Q1697" s="5" t="str">
        <x:v>Bestehendes Lernthema fachlich unter passendem Rahmenplan-Unterbereich behalten</x:v>
      </x:c>
      <x:c r="R1697" s="5" t="str">
        <x:v>Welche Bestandteile umfasst die Projektdokumentation, was geschieht bei Projektabnahme und Projektauflösung und wodurch unterscheidet sich Scrum vom klassischen Projektablauf?</x:v>
      </x:c>
      <x:c r="S1697" s="5" t="str">
        <x:v>b9db17a9d3d984592a58fa746b58e96383538e5623f3e137efb8fed5acfdd744</x:v>
      </x:c>
    </x:row>
    <x:row r="1698" ht="36" customHeight="1">
      <x:c r="A1698" s="5" t="str">
        <x:v>BM-0253</x:v>
      </x:c>
      <x:c r="B1698" s="5" t="str">
        <x:v>HQ</x:v>
      </x:c>
      <x:c r="C1698" s="5" t="str">
        <x:v>5</x:v>
      </x:c>
      <x:c r="D1698" s="5" t="str">
        <x:v>Betriebliches Management</x:v>
      </x:c>
      <x:c r="E1698" s="5" t="str">
        <x:v>Betriebliches Management</x:v>
      </x:c>
      <x:c r="F1698" s="5" t="str">
        <x:v>ui-hq-0016</x:v>
      </x:c>
      <x:c r="G1698" s="5" t="str">
        <x:v>Managementtechniken</x:v>
      </x:c>
      <x:c r="H1698" s="5" t="str">
        <x:v>dg-hq-0090</x:v>
      </x:c>
      <x:c r="I1698" s="5" t="str">
        <x:v>5.4.4</x:v>
      </x:c>
      <x:c r="J1698" s="5" t="str">
        <x:v>Gesprächs- und Kooperationstechniken</x:v>
      </x:c>
      <x:c r="K1698" s="5" t="str"/>
      <x:c r="L1698" s="5" t="str">
        <x:v>Gesprächs- &amp; Kooperationstechniken</x:v>
      </x:c>
      <x:c r="M1698" s="5" t="n">
        <x:v>60</x:v>
      </x:c>
      <x:c r="N1698" s="5" t="n">
        <x:v>22</x:v>
      </x:c>
      <x:c r="O1698" s="5" t="str"/>
      <x:c r="P1698" s="5" t="str">
        <x:v>Zuordnungsvorschlag; Fachfreigabe ausstehend</x:v>
      </x:c>
      <x:c r="Q1698" s="5" t="str">
        <x:v>Bestehendes Lernthema fachlich unter passendem Rahmenplan-Unterbereich behalten</x:v>
      </x:c>
      <x:c r="R1698" s="5" t="str">
        <x:v>Welche Fragen sind im Vorstellungsgespräch grundsätzlich zulässig oder unzulässig, und welche Fragearten eignen sich für ein professionelles Interview?</x:v>
      </x:c>
      <x:c r="S1698" s="5" t="str">
        <x:v>7a74357a331d65ede502c15f7180454158011d3925a1375c3b5be8a2947721c8</x:v>
      </x:c>
    </x:row>
    <x:row r="1699" ht="36" customHeight="1">
      <x:c r="A1699" s="5" t="str">
        <x:v>BM-0254</x:v>
      </x:c>
      <x:c r="B1699" s="5" t="str">
        <x:v>HQ</x:v>
      </x:c>
      <x:c r="C1699" s="5" t="str">
        <x:v>5</x:v>
      </x:c>
      <x:c r="D1699" s="5" t="str">
        <x:v>Betriebliches Management</x:v>
      </x:c>
      <x:c r="E1699" s="5" t="str">
        <x:v>Betriebliches Management</x:v>
      </x:c>
      <x:c r="F1699" s="5" t="str">
        <x:v>ui-hq-0016</x:v>
      </x:c>
      <x:c r="G1699" s="5" t="str">
        <x:v>Managementtechniken</x:v>
      </x:c>
      <x:c r="H1699" s="5" t="str">
        <x:v>dg-hq-0090</x:v>
      </x:c>
      <x:c r="I1699" s="5" t="str">
        <x:v>5.4.4</x:v>
      </x:c>
      <x:c r="J1699" s="5" t="str">
        <x:v>Gesprächs- und Kooperationstechniken</x:v>
      </x:c>
      <x:c r="K1699" s="5" t="str"/>
      <x:c r="L1699" s="5" t="str">
        <x:v>Gesprächs- &amp; Kooperationstechniken</x:v>
      </x:c>
      <x:c r="M1699" s="5" t="n">
        <x:v>61</x:v>
      </x:c>
      <x:c r="N1699" s="5" t="n">
        <x:v>23</x:v>
      </x:c>
      <x:c r="O1699" s="5" t="str"/>
      <x:c r="P1699" s="5" t="str">
        <x:v>Zuordnungsvorschlag; Fachfreigabe ausstehend</x:v>
      </x:c>
      <x:c r="Q1699" s="5" t="str">
        <x:v>Bestehendes Lernthema fachlich unter passendem Rahmenplan-Unterbereich behalten</x:v>
      </x:c>
      <x:c r="R1699" s="5" t="str">
        <x:v>Unterscheiden Sie einfaches und qualifiziertes Arbeitszeugnis, erläutern Sie typische Zeugnisformulierungen und nennen Sie Grenzen der Aussagekraft.</x:v>
      </x:c>
      <x:c r="S1699" s="5" t="str">
        <x:v>f85f5fd86e12dfaba42e5a6299edc990cee125763f89eef71ceda7bde514524b</x:v>
      </x:c>
    </x:row>
    <x:row r="1700" ht="36" customHeight="1">
      <x:c r="A1700" s="5" t="str">
        <x:v>BM-0255</x:v>
      </x:c>
      <x:c r="B1700" s="5" t="str">
        <x:v>HQ</x:v>
      </x:c>
      <x:c r="C1700" s="5" t="str">
        <x:v>5</x:v>
      </x:c>
      <x:c r="D1700" s="5" t="str">
        <x:v>Betriebliches Management</x:v>
      </x:c>
      <x:c r="E1700" s="5" t="str">
        <x:v>Betriebliches Management</x:v>
      </x:c>
      <x:c r="F1700" s="5" t="str">
        <x:v>ui-hq-0013</x:v>
      </x:c>
      <x:c r="G1700" s="5" t="str">
        <x:v>Betriebliche Planungsprozesse</x:v>
      </x:c>
      <x:c r="H1700" s="5" t="str">
        <x:v>dg-hq-0080</x:v>
      </x:c>
      <x:c r="I1700" s="5" t="str">
        <x:v>5.1.1</x:v>
      </x:c>
      <x:c r="J1700" s="5" t="str">
        <x:v>Betriebliches Zielsystem</x:v>
      </x:c>
      <x:c r="K1700" s="5" t="str"/>
      <x:c r="L1700" s="5" t="str">
        <x:v>Managementgrundlagen</x:v>
      </x:c>
      <x:c r="M1700" s="5" t="n">
        <x:v>126</x:v>
      </x:c>
      <x:c r="N1700" s="5" t="n">
        <x:v>98</x:v>
      </x:c>
      <x:c r="O1700" s="5" t="str"/>
      <x:c r="P1700" s="5" t="str">
        <x:v>Zuordnungsvorschlag; Fachfreigabe ausstehend</x:v>
      </x:c>
      <x:c r="Q1700" s="5" t="str">
        <x:v>Bestehendes Lernthema fachlich unter passendem Rahmenplan-Unterbereich behalten</x:v>
      </x:c>
      <x:c r="R1700" s="5" t="str">
        <x:v>Die Circle Harbor GmbH analysiert ihren Auftragsprozess vom Einkauf über die Leistungserstellung bis zur Kundenzahlung. Erläutern Sie Güterstrom, Geldstrom und Wertestrom und zeigen Sie, wie diese drei Ströme miteinander zusammenhängen.</x:v>
      </x:c>
      <x:c r="S1700" s="5" t="str">
        <x:v>ee64a2299b00e1bf9701767a118b2d2febfc2709e888774c613fc757731f0961</x:v>
      </x:c>
    </x:row>
    <x:row r="1701" ht="36" customHeight="1">
      <x:c r="A1701" s="5" t="str">
        <x:v>BM-0256</x:v>
      </x:c>
      <x:c r="B1701" s="5" t="str">
        <x:v>HQ</x:v>
      </x:c>
      <x:c r="C1701" s="5" t="str">
        <x:v>5</x:v>
      </x:c>
      <x:c r="D1701" s="5" t="str">
        <x:v>Betriebliches Management</x:v>
      </x:c>
      <x:c r="E1701" s="5" t="str">
        <x:v>Betriebliches Management</x:v>
      </x:c>
      <x:c r="F1701" s="5" t="str">
        <x:v>ui-hq-0013</x:v>
      </x:c>
      <x:c r="G1701" s="5" t="str">
        <x:v>Betriebliche Planungsprozesse</x:v>
      </x:c>
      <x:c r="H1701" s="5" t="str">
        <x:v>dg-hq-0083</x:v>
      </x:c>
      <x:c r="I1701" s="5" t="str">
        <x:v>5.1.4</x:v>
      </x:c>
      <x:c r="J1701" s="5" t="str">
        <x:v>Betriebsstatistik, Vergleichsrechnung, Planungsrechnung als Grundlage betrieblicher Planungsprozesse</x:v>
      </x:c>
      <x:c r="K1701" s="5" t="str"/>
      <x:c r="L1701" s="5" t="str">
        <x:v>Planung, Strategie &amp; Kennzahlen</x:v>
      </x:c>
      <x:c r="M1701" s="5" t="n">
        <x:v>127</x:v>
      </x:c>
      <x:c r="N1701" s="5" t="n">
        <x:v>11</x:v>
      </x:c>
      <x:c r="O1701" s="5" t="str"/>
      <x:c r="P1701" s="5" t="str">
        <x:v>Zuordnungsvorschlag; Fachfreigabe ausstehend</x:v>
      </x:c>
      <x:c r="Q1701" s="5" t="str">
        <x:v>Frageinhalt präzisiert bzw. teilt bisheriges Sammelthema</x:v>
      </x:c>
      <x:c r="R1701" s="5" t="str">
        <x:v>Unterscheiden Sie absolute Kennzahlen, Beziehungszahlen, Gliederungszahlen und Index-/Messzahlen. Ordnen Sie die Beispiele Mitarbeiterzahl, Umsatz je Mitarbeiter, Eigenkapitalquote und Energieverbrauchsindex korrekt zu.</x:v>
      </x:c>
      <x:c r="S1701" s="5" t="str">
        <x:v>227a92914bcd1f696da0201afc82588eaf988acd20feca2e4a0f38d795629c82</x:v>
      </x:c>
    </x:row>
    <x:row r="1702" ht="36" customHeight="1">
      <x:c r="A1702" s="5" t="str">
        <x:v>BM-0257</x:v>
      </x:c>
      <x:c r="B1702" s="5" t="str">
        <x:v>HQ</x:v>
      </x:c>
      <x:c r="C1702" s="5" t="str">
        <x:v>5</x:v>
      </x:c>
      <x:c r="D1702" s="5" t="str">
        <x:v>Betriebliches Management</x:v>
      </x:c>
      <x:c r="E1702" s="5" t="str">
        <x:v>Betriebliches Management</x:v>
      </x:c>
      <x:c r="F1702" s="5" t="str">
        <x:v>ui-hq-0014</x:v>
      </x:c>
      <x:c r="G1702" s="5" t="str">
        <x:v>Organisations- und Personalentwicklung</x:v>
      </x:c>
      <x:c r="H1702" s="5" t="str">
        <x:v>dg-hq-0082</x:v>
      </x:c>
      <x:c r="I1702" s="5" t="str">
        <x:v>5.2.2</x:v>
      </x:c>
      <x:c r="J1702" s="5" t="str">
        <x:v>Organisationsentwicklung (OE)</x:v>
      </x:c>
      <x:c r="K1702" s="5" t="str"/>
      <x:c r="L1702" s="5" t="str">
        <x:v>Organisationsentwicklung &amp; Change Management</x:v>
      </x:c>
      <x:c r="M1702" s="5" t="n">
        <x:v>44</x:v>
      </x:c>
      <x:c r="N1702" s="5" t="n">
        <x:v>21</x:v>
      </x:c>
      <x:c r="O1702" s="5" t="str"/>
      <x:c r="P1702" s="5" t="str">
        <x:v>Zuordnungsvorschlag; Fachfreigabe ausstehend</x:v>
      </x:c>
      <x:c r="Q1702" s="5" t="str">
        <x:v>Bestehendes Lernthema fachlich unter passendem Rahmenplan-Unterbereich behalten</x:v>
      </x:c>
      <x:c r="R1702" s="5" t="str">
        <x:v>Circle Harbor möchte Entscheidungswege verkürzen und die bisher tief gegliederte Hierarchie verschlanken. Beschreiben Sie zwei geeignete organisatorische Maßnahmen und erläutern Sie drei mögliche Folgen für Führungskräfte und Beschäftigte.</x:v>
      </x:c>
      <x:c r="S1702" s="5" t="str">
        <x:v>cb0077138eac21ad7ab5a1ba68f622951ca5892c6c3ec1fdda32d0c294959291</x:v>
      </x:c>
    </x:row>
    <x:row r="1703" ht="36" customHeight="1">
      <x:c r="A1703" s="5" t="str">
        <x:v>BM-0258</x:v>
      </x:c>
      <x:c r="B1703" s="5" t="str">
        <x:v>HQ</x:v>
      </x:c>
      <x:c r="C1703" s="5" t="str">
        <x:v>5</x:v>
      </x:c>
      <x:c r="D1703" s="5" t="str">
        <x:v>Betriebliches Management</x:v>
      </x:c>
      <x:c r="E1703" s="5" t="str">
        <x:v>Betriebliches Management</x:v>
      </x:c>
      <x:c r="F1703" s="5" t="str">
        <x:v>ui-hq-0014</x:v>
      </x:c>
      <x:c r="G1703" s="5" t="str">
        <x:v>Organisations- und Personalentwicklung</x:v>
      </x:c>
      <x:c r="H1703" s="5" t="str">
        <x:v>dg-hq-0082</x:v>
      </x:c>
      <x:c r="I1703" s="5" t="str">
        <x:v>5.2.2.2#2</x:v>
      </x:c>
      <x:c r="J1703" s="5" t="str">
        <x:v>Phasen des OE-Prozesses</x:v>
      </x:c>
      <x:c r="K1703" s="5" t="str"/>
      <x:c r="L1703" s="5" t="str">
        <x:v>Organisationsentwicklung &amp; Change Management</x:v>
      </x:c>
      <x:c r="M1703" s="5" t="n">
        <x:v>45</x:v>
      </x:c>
      <x:c r="N1703" s="5" t="n">
        <x:v>22</x:v>
      </x:c>
      <x:c r="O1703" s="5" t="str"/>
      <x:c r="P1703" s="5" t="str">
        <x:v>Zuordnungsvorschlag; Fachfreigabe ausstehend</x:v>
      </x:c>
      <x:c r="Q1703" s="5" t="str">
        <x:v>Bestehendes Lernthema fachlich unter passendem Rahmenplan-Unterbereich behalten</x:v>
      </x:c>
      <x:c r="R1703" s="5" t="str">
        <x:v>Beschreiben Sie das 7-Phasen-Modell nach Streich und erläutern Sie, wie Führungskräfte den Veränderungsprozess in den einzelnen Phasen unterstützen können. Grenzen Sie das Modell außerdem vom Drei-Phasen-Modell nach Lewin ab.</x:v>
      </x:c>
      <x:c r="S1703" s="5" t="str">
        <x:v>44d4cd5ca75f9585f2963f5f14da8cfc187dbe073784f2ee7f567332bf557b46</x:v>
      </x:c>
    </x:row>
    <x:row r="1704" ht="36" customHeight="1">
      <x:c r="A1704" s="5" t="str">
        <x:v>BM-0259</x:v>
      </x:c>
      <x:c r="B1704" s="5" t="str">
        <x:v>HQ</x:v>
      </x:c>
      <x:c r="C1704" s="5" t="str">
        <x:v>5</x:v>
      </x:c>
      <x:c r="D1704" s="5" t="str">
        <x:v>Betriebliches Management</x:v>
      </x:c>
      <x:c r="E1704" s="5" t="str">
        <x:v>Betriebliches Management</x:v>
      </x:c>
      <x:c r="F1704" s="5" t="str">
        <x:v>ui-hq-0014</x:v>
      </x:c>
      <x:c r="G1704" s="5" t="str">
        <x:v>Organisations- und Personalentwicklung</x:v>
      </x:c>
      <x:c r="H1704" s="5" t="str">
        <x:v>dg-hq-0084</x:v>
      </x:c>
      <x:c r="I1704" s="5" t="str">
        <x:v>5.2.3</x:v>
      </x:c>
      <x:c r="J1704" s="5" t="str">
        <x:v>Personalentwicklung (PE)</x:v>
      </x:c>
      <x:c r="K1704" s="5" t="str"/>
      <x:c r="L1704" s="5" t="str">
        <x:v>Personalentwicklung</x:v>
      </x:c>
      <x:c r="M1704" s="5" t="n">
        <x:v>46</x:v>
      </x:c>
      <x:c r="N1704" s="5" t="n">
        <x:v>24</x:v>
      </x:c>
      <x:c r="O1704" s="5" t="str"/>
      <x:c r="P1704" s="5" t="str">
        <x:v>Zuordnungsvorschlag; Fachfreigabe ausstehend</x:v>
      </x:c>
      <x:c r="Q1704" s="5" t="str">
        <x:v>Bestehendes Lernthema fachlich unter passendem Rahmenplan-Unterbereich behalten</x:v>
      </x:c>
      <x:c r="R1704" s="5" t="str">
        <x:v>Unterscheiden Sie Training into the Job, Training on the Job und Training off the Job und nennen Sie für jede Form ein passendes praktisches Beispiel bei Circle Harbor.</x:v>
      </x:c>
      <x:c r="S1704" s="5" t="str">
        <x:v>3925d67a4d232f53ecc45a83c39c770dbbf410d85c2ae32515e6f0b7f91d09c5</x:v>
      </x:c>
    </x:row>
    <x:row r="1705" ht="36" customHeight="1">
      <x:c r="A1705" s="5" t="str">
        <x:v>BM-0260</x:v>
      </x:c>
      <x:c r="B1705" s="5" t="str">
        <x:v>HQ</x:v>
      </x:c>
      <x:c r="C1705" s="5" t="str">
        <x:v>5</x:v>
      </x:c>
      <x:c r="D1705" s="5" t="str">
        <x:v>Betriebliches Management</x:v>
      </x:c>
      <x:c r="E1705" s="5" t="str">
        <x:v>Betriebliches Management</x:v>
      </x:c>
      <x:c r="F1705" s="5" t="str">
        <x:v>ui-hq-0014</x:v>
      </x:c>
      <x:c r="G1705" s="5" t="str">
        <x:v>Organisations- und Personalentwicklung</x:v>
      </x:c>
      <x:c r="H1705" s="5" t="str">
        <x:v>dg-hq-0084</x:v>
      </x:c>
      <x:c r="I1705" s="5" t="str">
        <x:v>5.2.3</x:v>
      </x:c>
      <x:c r="J1705" s="5" t="str">
        <x:v>Personalentwicklung (PE)</x:v>
      </x:c>
      <x:c r="K1705" s="5" t="str"/>
      <x:c r="L1705" s="5" t="str">
        <x:v>Personalentwicklung</x:v>
      </x:c>
      <x:c r="M1705" s="5" t="n">
        <x:v>47</x:v>
      </x:c>
      <x:c r="N1705" s="5" t="n">
        <x:v>25</x:v>
      </x:c>
      <x:c r="O1705" s="5" t="str"/>
      <x:c r="P1705" s="5" t="str">
        <x:v>Zuordnungsvorschlag; Fachfreigabe ausstehend</x:v>
      </x:c>
      <x:c r="Q1705" s="5" t="str">
        <x:v>Bestehendes Lernthema fachlich unter passendem Rahmenplan-Unterbereich behalten</x:v>
      </x:c>
      <x:c r="R1705" s="5" t="str">
        <x:v>Circle Harbor möchte die Position „Leitung Organisation und Controlling“ neu besetzen. Entwickeln Sie vier zentrale Elemente der Stellenbeschreibung und leiten Sie daraus vier Kompetenzbereiche eines Anforderungsprofils mit jeweils einer kurzen Begründung ab.</x:v>
      </x:c>
      <x:c r="S1705" s="5" t="str">
        <x:v>c935deed5902f84d7a6650c847b5bd99cc0b02379b8fd15ca7e54063285a0355</x:v>
      </x:c>
    </x:row>
    <x:row r="1706" ht="36" customHeight="1">
      <x:c r="A1706" s="5" t="str">
        <x:v>BM-0261</x:v>
      </x:c>
      <x:c r="B1706" s="5" t="str">
        <x:v>HQ</x:v>
      </x:c>
      <x:c r="C1706" s="5" t="str">
        <x:v>5</x:v>
      </x:c>
      <x:c r="D1706" s="5" t="str">
        <x:v>Betriebliches Management</x:v>
      </x:c>
      <x:c r="E1706" s="5" t="str">
        <x:v>Betriebliches Management</x:v>
      </x:c>
      <x:c r="F1706" s="5" t="str">
        <x:v>ui-hq-0015</x:v>
      </x:c>
      <x:c r="G1706" s="5" t="str">
        <x:v>Informationstechnologie und Wissensmanagement</x:v>
      </x:c>
      <x:c r="H1706" s="5" t="str">
        <x:v>dg-hq-0085</x:v>
      </x:c>
      <x:c r="I1706" s="5" t="str">
        <x:v>5.3.1</x:v>
      </x:c>
      <x:c r="J1706" s="5" t="str">
        <x:v>Wissensmanagement</x:v>
      </x:c>
      <x:c r="K1706" s="5" t="str"/>
      <x:c r="L1706" s="5" t="str">
        <x:v>Wissensmanagement &amp; Informationstechnologie</x:v>
      </x:c>
      <x:c r="M1706" s="5" t="n">
        <x:v>25</x:v>
      </x:c>
      <x:c r="N1706" s="5" t="n">
        <x:v>15</x:v>
      </x:c>
      <x:c r="O1706" s="5" t="str"/>
      <x:c r="P1706" s="5" t="str">
        <x:v>Zuordnungsvorschlag; Fachfreigabe ausstehend</x:v>
      </x:c>
      <x:c r="Q1706" s="5" t="str">
        <x:v>Bestehendes Lernthema fachlich unter passendem Rahmenplan-Unterbereich behalten</x:v>
      </x:c>
      <x:c r="R1706" s="5" t="str">
        <x:v>Stellen Sie die Wissenstreppe nach North in der richtigen Reihenfolge dar und erläutern Sie, wodurch aus Daten schließlich Handlungskompetenz entsteht.</x:v>
      </x:c>
      <x:c r="S1706" s="5" t="str">
        <x:v>ce29517989a49ebbc7739b773a2d7de0bab1c90ae74e3dc41af70d5c534c79db</x:v>
      </x:c>
    </x:row>
    <x:row r="1707" ht="36" customHeight="1">
      <x:c r="A1707" s="5" t="str">
        <x:v>BM-0262</x:v>
      </x:c>
      <x:c r="B1707" s="5" t="str">
        <x:v>HQ</x:v>
      </x:c>
      <x:c r="C1707" s="5" t="str">
        <x:v>5</x:v>
      </x:c>
      <x:c r="D1707" s="5" t="str">
        <x:v>Betriebliches Management</x:v>
      </x:c>
      <x:c r="E1707" s="5" t="str">
        <x:v>Betriebliches Management</x:v>
      </x:c>
      <x:c r="F1707" s="5" t="str">
        <x:v>ui-hq-0015</x:v>
      </x:c>
      <x:c r="G1707" s="5" t="str">
        <x:v>Informationstechnologie und Wissensmanagement</x:v>
      </x:c>
      <x:c r="H1707" s="5" t="str">
        <x:v>dg-hq-0085</x:v>
      </x:c>
      <x:c r="I1707" s="5" t="str">
        <x:v>5.3.1</x:v>
      </x:c>
      <x:c r="J1707" s="5" t="str">
        <x:v>Wissensmanagement</x:v>
      </x:c>
      <x:c r="K1707" s="5" t="str"/>
      <x:c r="L1707" s="5" t="str">
        <x:v>Wissensmanagement &amp; Informationstechnologie</x:v>
      </x:c>
      <x:c r="M1707" s="5" t="n">
        <x:v>26</x:v>
      </x:c>
      <x:c r="N1707" s="5" t="n">
        <x:v>16</x:v>
      </x:c>
      <x:c r="O1707" s="5" t="str"/>
      <x:c r="P1707" s="5" t="str">
        <x:v>Zuordnungsvorschlag; Fachfreigabe ausstehend</x:v>
      </x:c>
      <x:c r="Q1707" s="5" t="str">
        <x:v>Bestehendes Lernthema fachlich unter passendem Rahmenplan-Unterbereich behalten</x:v>
      </x:c>
      <x:c r="R1707" s="5" t="str">
        <x:v>Unterscheiden Sie die vier im Dozentenmodell dargestellten Typen wissensbasierter Arbeit A bis D und erläutern Sie, warum ihre Automatisierungs- und Outsourcingfähigkeit unterschiedlich beurteilt wird.</x:v>
      </x:c>
      <x:c r="S1707" s="5" t="str">
        <x:v>87534e32aaac9de9d29313354367adfe52aea5137f8f2bfdddfe753c506cabdb</x:v>
      </x:c>
    </x:row>
    <x:row r="1708" ht="36" customHeight="1">
      <x:c r="A1708" s="5" t="str">
        <x:v>BM-0263</x:v>
      </x:c>
      <x:c r="B1708" s="5" t="str">
        <x:v>HQ</x:v>
      </x:c>
      <x:c r="C1708" s="5" t="str">
        <x:v>5</x:v>
      </x:c>
      <x:c r="D1708" s="5" t="str">
        <x:v>Betriebliches Management</x:v>
      </x:c>
      <x:c r="E1708" s="5" t="str">
        <x:v>Betriebliches Management</x:v>
      </x:c>
      <x:c r="F1708" s="5" t="str">
        <x:v>ui-hq-0016</x:v>
      </x:c>
      <x:c r="G1708" s="5" t="str">
        <x:v>Managementtechniken</x:v>
      </x:c>
      <x:c r="H1708" s="5" t="str">
        <x:v>dg-hq-0087</x:v>
      </x:c>
      <x:c r="I1708" s="5" t="str">
        <x:v>5.4.1</x:v>
      </x:c>
      <x:c r="J1708" s="5" t="str">
        <x:v>Zeit- und Selbstmanagement</x:v>
      </x:c>
      <x:c r="K1708" s="5" t="str"/>
      <x:c r="L1708" s="5" t="str">
        <x:v>Zeit- &amp; Selbstmanagement</x:v>
      </x:c>
      <x:c r="M1708" s="5" t="n">
        <x:v>62</x:v>
      </x:c>
      <x:c r="N1708" s="5" t="n">
        <x:v>7</x:v>
      </x:c>
      <x:c r="O1708" s="5" t="str"/>
      <x:c r="P1708" s="5" t="str">
        <x:v>Zuordnungsvorschlag; Fachfreigabe ausstehend</x:v>
      </x:c>
      <x:c r="Q1708" s="5" t="str">
        <x:v>Bestehendes Lernthema fachlich unter passendem Rahmenplan-Unterbereich behalten</x:v>
      </x:c>
      <x:c r="R1708" s="5" t="str">
        <x:v>Wie kann die laufende Zielverfolgung in einem Projekt wirksam organisiert werden?</x:v>
      </x:c>
      <x:c r="S1708" s="5" t="str">
        <x:v>756e9d5d09af1d0b9b631841a16742238940df1ce1730d99c6358239a39768ae</x:v>
      </x:c>
    </x:row>
    <x:row r="1709" ht="36" customHeight="1">
      <x:c r="A1709" s="5" t="str">
        <x:v>PF-0202</x:v>
      </x:c>
      <x:c r="B1709" s="5" t="str">
        <x:v>HQ</x:v>
      </x:c>
      <x:c r="C1709" s="5" t="str">
        <x:v>5</x:v>
      </x:c>
      <x:c r="D1709" s="5" t="str">
        <x:v>Betriebliches Management</x:v>
      </x:c>
      <x:c r="E1709" s="5" t="str">
        <x:v>Führung und Zusammenarbeit</x:v>
      </x:c>
      <x:c r="F1709" s="5" t="str">
        <x:v>ui-hq-0013</x:v>
      </x:c>
      <x:c r="G1709" s="5" t="str">
        <x:v>Betriebliche Planungsprozesse</x:v>
      </x:c>
      <x:c r="H1709" s="5" t="str">
        <x:v>dg-hq-0025</x:v>
      </x:c>
      <x:c r="I1709" s="5" t="str">
        <x:v>5.1.4</x:v>
      </x:c>
      <x:c r="J1709" s="5" t="str">
        <x:v>Betriebsstatistik, Vergleichsrechnung, Planungsrechnung als Grundlage betrieblicher Planungsprozesse</x:v>
      </x:c>
      <x:c r="K1709" s="5" t="str">
        <x:v>5.2.1; 4.2.5.1</x:v>
      </x:c>
      <x:c r="L1709" s="5" t="str">
        <x:v>Personalbedarfsrechnung</x:v>
      </x:c>
      <x:c r="M1709" s="5" t="n">
        <x:v>128</x:v>
      </x:c>
      <x:c r="N1709" s="5" t="n">
        <x:v>1</x:v>
      </x:c>
      <x:c r="O1709" s="5" t="str">
        <x:v>E04</x:v>
      </x:c>
      <x:c r="P1709" s="5" t="str">
        <x:v>FACHLICHE ENTSCHEIDUNG FREIGEGEBEN; Inhaltsmaßnahme separat offen</x:v>
      </x:c>
      <x:c r="Q1709" s="5" t="str">
        <x:v>Freigegeben: kennzahlengestützte Personalbedarfsplanung im Betrieblichen Management. ID, Quellblatt und historische Leistungen unverändert.</x:v>
      </x:c>
      <x:c r="R1709" s="5" t="str">
        <x:v>Die Circle Harbor GmbH erzielt bisher 3.000.000 € Umsatz bei 200.000 € Umsatz je Beschäftigten. Der Umsatz soll auf 4.000.000 € steigen. a) Wie viele Beschäftigte sind rechnerisch aktuell erforderlich? b) Wie hoch ist der zukünftige Grundbedarf und der zusätzliche Bedarf? c) Auf den zukünftigen Grundbedarf werden in dieser Aufgabe nacheinander 5 % Erholungszeit, 8 % Verteilzeit, 4 % Wartezeit und 6 % Fehlzeit auf die jeweils aktuelle Zwischensumme aufgeschlagen. Runden Sie nach jedem Schritt auf eine Nachkommastelle und ermitteln Sie den endgültigen Planwert.</x:v>
      </x:c>
      <x:c r="S1709" s="5" t="str">
        <x:v>18cb1055724885c049752fc7b154acd9be823aeba2586af51292a2c33405f840</x:v>
      </x:c>
    </x:row>
    <x:row r="1710" ht="36" customHeight="1">
      <x:c r="A1710" s="5" t="str">
        <x:v>PF-0203</x:v>
      </x:c>
      <x:c r="B1710" s="5" t="str">
        <x:v>HQ</x:v>
      </x:c>
      <x:c r="C1710" s="5" t="str">
        <x:v>5</x:v>
      </x:c>
      <x:c r="D1710" s="5" t="str">
        <x:v>Betriebliches Management</x:v>
      </x:c>
      <x:c r="E1710" s="5" t="str">
        <x:v>Führung und Zusammenarbeit</x:v>
      </x:c>
      <x:c r="F1710" s="5" t="str">
        <x:v>ui-hq-0016</x:v>
      </x:c>
      <x:c r="G1710" s="5" t="str">
        <x:v>Managementtechniken</x:v>
      </x:c>
      <x:c r="H1710" s="5" t="str">
        <x:v>dg-hq-0026</x:v>
      </x:c>
      <x:c r="I1710" s="5" t="str">
        <x:v>5.4.3.2</x:v>
      </x:c>
      <x:c r="J1710" s="5" t="str">
        <x:v>Projektplanung</x:v>
      </x:c>
      <x:c r="K1710" s="5" t="str">
        <x:v>9.6.1.2; 9.6.3.1</x:v>
      </x:c>
      <x:c r="L1710" s="5" t="str">
        <x:v>Personalbedarfsrechnung</x:v>
      </x:c>
      <x:c r="M1710" s="5" t="n">
        <x:v>63</x:v>
      </x:c>
      <x:c r="N1710" s="5" t="n">
        <x:v>1</x:v>
      </x:c>
      <x:c r="O1710" s="5" t="str">
        <x:v>E04</x:v>
      </x:c>
      <x:c r="P1710" s="5" t="str">
        <x:v>FACHLICHE ENTSCHEIDUNG FREIGEGEBEN; Inhaltsmaßnahme separat offen</x:v>
      </x:c>
      <x:c r="Q1710" s="5" t="str">
        <x:v>Freigegeben: Projektressourcen- und Personalkapazitätsplanung im Betrieblichen Management. ID, Quellblatt und historische Leistungen unverändert.</x:v>
      </x:c>
      <x:c r="R1710" s="5" t="str">
        <x:v>Für ein Circle-Harbor-Projekt werden 100 Personentage zu je 8 Stunden geplant. Zusätzlich sind in dieser Aufgabe 15 % Verteil- und Fehlzeiten auf den Grundaufwand aufzuschlagen. a) Wie viele rechnerische Vollzeitkräfte werden für eine Durchführung in 15 Arbeitstagen benötigt? b) Wie viele Arbeitsstunden pro Tag müsste jede Person rechnerisch leisten, wenn nur sechs Personen eingesetzt werden und der Endtermin unverändert bleibt? Interpretieren Sie das Ergebnis.</x:v>
      </x:c>
      <x:c r="S1710" s="5" t="str">
        <x:v>d1edf6a601c5784763b985d0324e6ba56e21a957046db3a7ed7dd01b93fa4f62</x:v>
      </x:c>
    </x:row>
    <x:row r="1711" ht="36" customHeight="1">
      <x:c r="A1711" s="5" t="str">
        <x:v>FC-0001</x:v>
      </x:c>
      <x:c r="B1711" s="5" t="str">
        <x:v>HQ</x:v>
      </x:c>
      <x:c r="C1711" s="5" t="str">
        <x:v>6</x:v>
      </x:c>
      <x:c r="D1711" s="5" t="str">
        <x:v>Investition, Finanzierung, betriebliches Rechnungswesen und Controlling</x:v>
      </x:c>
      <x:c r="E1711" s="5" t="str">
        <x:v>Betriebliches Rechnungswesen und Controlling</x:v>
      </x:c>
      <x:c r="F1711" s="5" t="str">
        <x:v>ui-hq-0020</x:v>
      </x:c>
      <x:c r="G1711" s="5" t="str">
        <x:v>Kosten- und Leistungsrechnung</x:v>
      </x:c>
      <x:c r="H1711" s="5" t="str">
        <x:v>dg-hq-0136</x:v>
      </x:c>
      <x:c r="I1711" s="5" t="str">
        <x:v>6.4.1</x:v>
      </x:c>
      <x:c r="J1711" s="5" t="str">
        <x:v>Die Deckungsbeitragsrechnung als Entscheidungsrechnung</x:v>
      </x:c>
      <x:c r="K1711" s="5" t="str"/>
      <x:c r="L1711" s="5" t="str">
        <x:v>Voll- &amp; Teilkostenrechnung</x:v>
      </x:c>
      <x:c r="M1711" s="5" t="n">
        <x:v>1</x:v>
      </x:c>
      <x:c r="N1711" s="5" t="n">
        <x:v>1</x:v>
      </x:c>
      <x:c r="O1711" s="5" t="str"/>
      <x:c r="P1711" s="5" t="str">
        <x:v>Zuordnungsvorschlag; Fachfreigabe ausstehend</x:v>
      </x:c>
      <x:c r="Q1711" s="5" t="str">
        <x:v>Bestehendes Lernthema fachlich unter passendem Rahmenplan-Unterbereich behalten</x:v>
      </x:c>
      <x:c r="R1711" s="5" t="str">
        <x:v>Was gehört zur Vollkostenrechnung?</x:v>
      </x:c>
      <x:c r="S1711" s="5" t="str">
        <x:v>97a278943261898e88b8ae4fe07c02a25aa7db52a26228de2b63ae716bdcff79</x:v>
      </x:c>
    </x:row>
    <x:row r="1712" ht="36" customHeight="1">
      <x:c r="A1712" s="5" t="str">
        <x:v>FC-0002</x:v>
      </x:c>
      <x:c r="B1712" s="5" t="str">
        <x:v>HQ</x:v>
      </x:c>
      <x:c r="C1712" s="5" t="str">
        <x:v>6</x:v>
      </x:c>
      <x:c r="D1712" s="5" t="str">
        <x:v>Investition, Finanzierung, betriebliches Rechnungswesen und Controlling</x:v>
      </x:c>
      <x:c r="E1712" s="5" t="str">
        <x:v>Betriebliches Rechnungswesen und Controlling</x:v>
      </x:c>
      <x:c r="F1712" s="5" t="str">
        <x:v>ui-hq-0020</x:v>
      </x:c>
      <x:c r="G1712" s="5" t="str">
        <x:v>Kosten- und Leistungsrechnung</x:v>
      </x:c>
      <x:c r="H1712" s="5" t="str">
        <x:v>dg-hq-0136</x:v>
      </x:c>
      <x:c r="I1712" s="5" t="str">
        <x:v>6.4.1</x:v>
      </x:c>
      <x:c r="J1712" s="5" t="str">
        <x:v>Die Deckungsbeitragsrechnung als Entscheidungsrechnung</x:v>
      </x:c>
      <x:c r="K1712" s="5" t="str"/>
      <x:c r="L1712" s="5" t="str">
        <x:v>Voll- &amp; Teilkostenrechnung</x:v>
      </x:c>
      <x:c r="M1712" s="5" t="n">
        <x:v>2</x:v>
      </x:c>
      <x:c r="N1712" s="5" t="n">
        <x:v>2</x:v>
      </x:c>
      <x:c r="O1712" s="5" t="str"/>
      <x:c r="P1712" s="5" t="str">
        <x:v>Zuordnungsvorschlag; Fachfreigabe ausstehend</x:v>
      </x:c>
      <x:c r="Q1712" s="5" t="str">
        <x:v>Bestehendes Lernthema fachlich unter passendem Rahmenplan-Unterbereich behalten</x:v>
      </x:c>
      <x:c r="R1712" s="5" t="str">
        <x:v>Erläutern Sie den Unterschied zwischen fixen und variablen Kosten und geben Sie jeweils ein Beispiel.</x:v>
      </x:c>
      <x:c r="S1712" s="5" t="str">
        <x:v>f52787c5765aaf04b3e8f644fc8918c7a070aac2c2be97f9525be18c39e32c8a</x:v>
      </x:c>
    </x:row>
    <x:row r="1713" ht="36" customHeight="1">
      <x:c r="A1713" s="5" t="str">
        <x:v>FC-0003</x:v>
      </x:c>
      <x:c r="B1713" s="5" t="str">
        <x:v>HQ</x:v>
      </x:c>
      <x:c r="C1713" s="5" t="str">
        <x:v>6</x:v>
      </x:c>
      <x:c r="D1713" s="5" t="str">
        <x:v>Investition, Finanzierung, betriebliches Rechnungswesen und Controlling</x:v>
      </x:c>
      <x:c r="E1713" s="5" t="str">
        <x:v>Betriebliches Rechnungswesen und Controlling</x:v>
      </x:c>
      <x:c r="F1713" s="5" t="str">
        <x:v>ui-hq-0020</x:v>
      </x:c>
      <x:c r="G1713" s="5" t="str">
        <x:v>Kosten- und Leistungsrechnung</x:v>
      </x:c>
      <x:c r="H1713" s="5" t="str">
        <x:v>dg-hq-0136</x:v>
      </x:c>
      <x:c r="I1713" s="5" t="str">
        <x:v>6.4.1</x:v>
      </x:c>
      <x:c r="J1713" s="5" t="str">
        <x:v>Die Deckungsbeitragsrechnung als Entscheidungsrechnung</x:v>
      </x:c>
      <x:c r="K1713" s="5" t="str"/>
      <x:c r="L1713" s="5" t="str">
        <x:v>Voll- &amp; Teilkostenrechnung</x:v>
      </x:c>
      <x:c r="M1713" s="5" t="n">
        <x:v>3</x:v>
      </x:c>
      <x:c r="N1713" s="5" t="n">
        <x:v>3</x:v>
      </x:c>
      <x:c r="O1713" s="5" t="str"/>
      <x:c r="P1713" s="5" t="str">
        <x:v>Zuordnungsvorschlag; Fachfreigabe ausstehend</x:v>
      </x:c>
      <x:c r="Q1713" s="5" t="str">
        <x:v>Bestehendes Lernthema fachlich unter passendem Rahmenplan-Unterbereich behalten</x:v>
      </x:c>
      <x:c r="R1713" s="5" t="str">
        <x:v>Nennen und erläutern Sie zwei Vorteile und zwei Nachteile der Teilkostenrechnung gegenüber der Vollkostenrechnung.</x:v>
      </x:c>
      <x:c r="S1713" s="5" t="str">
        <x:v>4d57d3c6d234392fed4746846f32e2f8892fc09f3fbbc316b43712ae76ce308d</x:v>
      </x:c>
    </x:row>
    <x:row r="1714" ht="36" customHeight="1">
      <x:c r="A1714" s="5" t="str">
        <x:v>FC-0004</x:v>
      </x:c>
      <x:c r="B1714" s="5" t="str">
        <x:v>HQ</x:v>
      </x:c>
      <x:c r="C1714" s="5" t="str">
        <x:v>6</x:v>
      </x:c>
      <x:c r="D1714" s="5" t="str">
        <x:v>Investition, Finanzierung, betriebliches Rechnungswesen und Controlling</x:v>
      </x:c>
      <x:c r="E1714" s="5" t="str">
        <x:v>Betriebliches Rechnungswesen und Controlling</x:v>
      </x:c>
      <x:c r="F1714" s="5" t="str">
        <x:v>ui-hq-0020</x:v>
      </x:c>
      <x:c r="G1714" s="5" t="str">
        <x:v>Kosten- und Leistungsrechnung</x:v>
      </x:c>
      <x:c r="H1714" s="5" t="str">
        <x:v>dg-hq-0136</x:v>
      </x:c>
      <x:c r="I1714" s="5" t="str">
        <x:v>6.4.1</x:v>
      </x:c>
      <x:c r="J1714" s="5" t="str">
        <x:v>Die Deckungsbeitragsrechnung als Entscheidungsrechnung</x:v>
      </x:c>
      <x:c r="K1714" s="5" t="str"/>
      <x:c r="L1714" s="5" t="str">
        <x:v>Deckungsbeitragsrechnung, Preisuntergrenzen &amp; Break-even</x:v>
      </x:c>
      <x:c r="M1714" s="5" t="n">
        <x:v>4</x:v>
      </x:c>
      <x:c r="N1714" s="5" t="n">
        <x:v>4</x:v>
      </x:c>
      <x:c r="O1714" s="5" t="str"/>
      <x:c r="P1714" s="5" t="str">
        <x:v>Zuordnungsvorschlag; Fachfreigabe ausstehend</x:v>
      </x:c>
      <x:c r="Q1714" s="5" t="str">
        <x:v>Bestehendes Lernthema fachlich unter passendem Rahmenplan-Unterbereich behalten</x:v>
      </x:c>
      <x:c r="R1714" s="5" t="str">
        <x:v>Fallbezug: Die folgenden betrieblichen Angaben und Situationen beziehen sich auf die Circle Harbor GmbH.
Ein Produkt wird für 50 € verkauft. Die variablen Kosten betragen 30 €. Berechnen Sie den Deckungsbeitrag und interpretieren Sie das Ergebnis.</x:v>
      </x:c>
      <x:c r="S1714" s="5" t="str">
        <x:v>77910990a2595ad34366966ac68780b1ec2d789e84a6c5dce6a0eb3a9d5b04f7</x:v>
      </x:c>
    </x:row>
    <x:row r="1715" ht="36" customHeight="1">
      <x:c r="A1715" s="5" t="str">
        <x:v>FC-0005</x:v>
      </x:c>
      <x:c r="B1715" s="5" t="str">
        <x:v>HQ</x:v>
      </x:c>
      <x:c r="C1715" s="5" t="str">
        <x:v>6</x:v>
      </x:c>
      <x:c r="D1715" s="5" t="str">
        <x:v>Investition, Finanzierung, betriebliches Rechnungswesen und Controlling</x:v>
      </x:c>
      <x:c r="E1715" s="5" t="str">
        <x:v>Betriebliches Rechnungswesen und Controlling</x:v>
      </x:c>
      <x:c r="F1715" s="5" t="str">
        <x:v>ui-hq-0020</x:v>
      </x:c>
      <x:c r="G1715" s="5" t="str">
        <x:v>Kosten- und Leistungsrechnung</x:v>
      </x:c>
      <x:c r="H1715" s="5" t="str">
        <x:v>dg-hq-0136</x:v>
      </x:c>
      <x:c r="I1715" s="5" t="str">
        <x:v>6.4.1</x:v>
      </x:c>
      <x:c r="J1715" s="5" t="str">
        <x:v>Die Deckungsbeitragsrechnung als Entscheidungsrechnung</x:v>
      </x:c>
      <x:c r="K1715" s="5" t="str"/>
      <x:c r="L1715" s="5" t="str">
        <x:v>Make-or-Buy, Auftragsannahme &amp; Engpassplanung</x:v>
      </x:c>
      <x:c r="M1715" s="5" t="n">
        <x:v>5</x:v>
      </x:c>
      <x:c r="N1715" s="5" t="n">
        <x:v>5</x:v>
      </x:c>
      <x:c r="O1715" s="5" t="str"/>
      <x:c r="P1715" s="5" t="str">
        <x:v>Zuordnungsvorschlag; Fachfreigabe ausstehend</x:v>
      </x:c>
      <x:c r="Q1715" s="5" t="str">
        <x:v>Bestehendes Lernthema fachlich unter passendem Rahmenplan-Unterbereich behalten</x:v>
      </x:c>
      <x:c r="R1715" s="5" t="str">
        <x:v>Circle Harbor hat freie Kapazitäten. Ein Zusatzauftrag bringt 40 € Erlös pro Stück, variable Kosten liegen bei 35 €. Fixkosten bleiben unverändert. Sollte der Auftrag angenommen werden?</x:v>
      </x:c>
      <x:c r="S1715" s="5" t="str">
        <x:v>87fd8691b18d215bc60674c752bff5c9944aa16d9541769a0c707ec05ba098bb</x:v>
      </x:c>
    </x:row>
    <x:row r="1716" ht="36" customHeight="1">
      <x:c r="A1716" s="5" t="str">
        <x:v>FC-0006</x:v>
      </x:c>
      <x:c r="B1716" s="5" t="str">
        <x:v>HQ</x:v>
      </x:c>
      <x:c r="C1716" s="5" t="str">
        <x:v>6</x:v>
      </x:c>
      <x:c r="D1716" s="5" t="str">
        <x:v>Investition, Finanzierung, betriebliches Rechnungswesen und Controlling</x:v>
      </x:c>
      <x:c r="E1716" s="5" t="str">
        <x:v>Betriebliches Rechnungswesen und Controlling</x:v>
      </x:c>
      <x:c r="F1716" s="5" t="str">
        <x:v>ui-hq-0020</x:v>
      </x:c>
      <x:c r="G1716" s="5" t="str">
        <x:v>Kosten- und Leistungsrechnung</x:v>
      </x:c>
      <x:c r="H1716" s="5" t="str">
        <x:v>dg-hq-0136</x:v>
      </x:c>
      <x:c r="I1716" s="5" t="str">
        <x:v>6.4.1.2</x:v>
      </x:c>
      <x:c r="J1716" s="5" t="str">
        <x:v>Entscheidungen bezüglich Fremdbezug oder Eigenfertigung</x:v>
      </x:c>
      <x:c r="K1716" s="5" t="str"/>
      <x:c r="L1716" s="5" t="str">
        <x:v>Make-or-Buy, Auftragsannahme &amp; Engpassplanung</x:v>
      </x:c>
      <x:c r="M1716" s="5" t="n">
        <x:v>6</x:v>
      </x:c>
      <x:c r="N1716" s="5" t="n">
        <x:v>6</x:v>
      </x:c>
      <x:c r="O1716" s="5" t="str"/>
      <x:c r="P1716" s="5" t="str">
        <x:v>Zuordnungsvorschlag; Fachfreigabe ausstehend</x:v>
      </x:c>
      <x:c r="Q1716" s="5" t="str">
        <x:v>Bestehendes Lernthema fachlich unter passendem Rahmenplan-Unterbereich behalten</x:v>
      </x:c>
      <x:c r="R1716" s="5" t="str">
        <x:v>Fallbezug: Die folgenden betrieblichen Angaben und Situationen beziehen sich auf die Circle Harbor GmbH.
Ein Bauteil verursacht bei Eigenfertigung variable Kosten von 12 €. Ein Lieferant bietet es für 14 € an. Fixkosten bleiben unverändert. Was ist günstiger?</x:v>
      </x:c>
      <x:c r="S1716" s="5" t="str">
        <x:v>4eafe63cf2664b0263814b53786e23bc66df5c7f2cfea58998d02110d1857840</x:v>
      </x:c>
    </x:row>
    <x:row r="1717" ht="36" customHeight="1">
      <x:c r="A1717" s="5" t="str">
        <x:v>FC-0007</x:v>
      </x:c>
      <x:c r="B1717" s="5" t="str">
        <x:v>HQ</x:v>
      </x:c>
      <x:c r="C1717" s="5" t="str">
        <x:v>6</x:v>
      </x:c>
      <x:c r="D1717" s="5" t="str">
        <x:v>Investition, Finanzierung, betriebliches Rechnungswesen und Controlling</x:v>
      </x:c>
      <x:c r="E1717" s="5" t="str">
        <x:v>Betriebliches Rechnungswesen und Controlling</x:v>
      </x:c>
      <x:c r="F1717" s="5" t="str">
        <x:v>ui-hq-0020</x:v>
      </x:c>
      <x:c r="G1717" s="5" t="str">
        <x:v>Kosten- und Leistungsrechnung</x:v>
      </x:c>
      <x:c r="H1717" s="5" t="str">
        <x:v>dg-hq-0136</x:v>
      </x:c>
      <x:c r="I1717" s="5" t="str">
        <x:v>6.4.1.1</x:v>
      </x:c>
      <x:c r="J1717" s="5" t="str">
        <x:v>Mehrstufige Deckungsbeitragsrechnung</x:v>
      </x:c>
      <x:c r="K1717" s="5" t="str"/>
      <x:c r="L1717" s="5" t="str">
        <x:v>Deckungsbeitragsrechnung, Preisuntergrenzen &amp; Break-even</x:v>
      </x:c>
      <x:c r="M1717" s="5" t="n">
        <x:v>7</x:v>
      </x:c>
      <x:c r="N1717" s="5" t="n">
        <x:v>7</x:v>
      </x:c>
      <x:c r="O1717" s="5" t="str"/>
      <x:c r="P1717" s="5" t="str">
        <x:v>Zuordnungsvorschlag; Fachfreigabe ausstehend</x:v>
      </x:c>
      <x:c r="Q1717" s="5" t="str">
        <x:v>Bestehendes Lernthema fachlich unter passendem Rahmenplan-Unterbereich behalten</x:v>
      </x:c>
      <x:c r="R1717" s="5" t="str">
        <x:v>Erläutern Sie den Zweck der mehrstufigen Deckungsbeitragsrechnung.</x:v>
      </x:c>
      <x:c r="S1717" s="5" t="str">
        <x:v>f48f3373cff348e56c14cb62f530b7204edc5a733a6c441b2248cdb7544752d7</x:v>
      </x:c>
    </x:row>
    <x:row r="1718" ht="36" customHeight="1">
      <x:c r="A1718" s="5" t="str">
        <x:v>FC-0008</x:v>
      </x:c>
      <x:c r="B1718" s="5" t="str">
        <x:v>HQ</x:v>
      </x:c>
      <x:c r="C1718" s="5" t="str">
        <x:v>6</x:v>
      </x:c>
      <x:c r="D1718" s="5" t="str">
        <x:v>Investition, Finanzierung, betriebliches Rechnungswesen und Controlling</x:v>
      </x:c>
      <x:c r="E1718" s="5" t="str">
        <x:v>Betriebliches Rechnungswesen und Controlling</x:v>
      </x:c>
      <x:c r="F1718" s="5" t="str">
        <x:v>ui-hq-0020</x:v>
      </x:c>
      <x:c r="G1718" s="5" t="str">
        <x:v>Kosten- und Leistungsrechnung</x:v>
      </x:c>
      <x:c r="H1718" s="5" t="str">
        <x:v>dg-hq-0136</x:v>
      </x:c>
      <x:c r="I1718" s="5" t="str">
        <x:v>6.4.1</x:v>
      </x:c>
      <x:c r="J1718" s="5" t="str">
        <x:v>Die Deckungsbeitragsrechnung als Entscheidungsrechnung</x:v>
      </x:c>
      <x:c r="K1718" s="5" t="str"/>
      <x:c r="L1718" s="5" t="str">
        <x:v>Make-or-Buy, Auftragsannahme &amp; Engpassplanung</x:v>
      </x:c>
      <x:c r="M1718" s="5" t="n">
        <x:v>8</x:v>
      </x:c>
      <x:c r="N1718" s="5" t="n">
        <x:v>8</x:v>
      </x:c>
      <x:c r="O1718" s="5" t="str"/>
      <x:c r="P1718" s="5" t="str">
        <x:v>Zuordnungsvorschlag; Fachfreigabe ausstehend</x:v>
      </x:c>
      <x:c r="Q1718" s="5" t="str">
        <x:v>Bestehendes Lernthema fachlich unter passendem Rahmenplan-Unterbereich behalten</x:v>
      </x:c>
      <x:c r="R1718" s="5" t="str">
        <x:v>Was versteht man unter einem Engpass in der Produktion?</x:v>
      </x:c>
      <x:c r="S1718" s="5" t="str">
        <x:v>7e40495701f884bc8557b7ff3e4b5dfdbd9ecdce51a1accb44cdb49d037f150f</x:v>
      </x:c>
    </x:row>
    <x:row r="1719" ht="36" customHeight="1">
      <x:c r="A1719" s="5" t="str">
        <x:v>FC-0009</x:v>
      </x:c>
      <x:c r="B1719" s="5" t="str">
        <x:v>HQ</x:v>
      </x:c>
      <x:c r="C1719" s="5" t="str">
        <x:v>6</x:v>
      </x:c>
      <x:c r="D1719" s="5" t="str">
        <x:v>Investition, Finanzierung, betriebliches Rechnungswesen und Controlling</x:v>
      </x:c>
      <x:c r="E1719" s="5" t="str">
        <x:v>Betriebliches Rechnungswesen und Controlling</x:v>
      </x:c>
      <x:c r="F1719" s="5" t="str">
        <x:v>ui-hq-0020</x:v>
      </x:c>
      <x:c r="G1719" s="5" t="str">
        <x:v>Kosten- und Leistungsrechnung</x:v>
      </x:c>
      <x:c r="H1719" s="5" t="str">
        <x:v>dg-hq-0136</x:v>
      </x:c>
      <x:c r="I1719" s="5" t="str">
        <x:v>6.4.1.4</x:v>
      </x:c>
      <x:c r="J1719" s="5" t="str">
        <x:v>Relative Deckungsbeitragsrechnung</x:v>
      </x:c>
      <x:c r="K1719" s="5" t="str"/>
      <x:c r="L1719" s="5" t="str">
        <x:v>Make-or-Buy, Auftragsannahme &amp; Engpassplanung</x:v>
      </x:c>
      <x:c r="M1719" s="5" t="n">
        <x:v>9</x:v>
      </x:c>
      <x:c r="N1719" s="5" t="n">
        <x:v>9</x:v>
      </x:c>
      <x:c r="O1719" s="5" t="str"/>
      <x:c r="P1719" s="5" t="str">
        <x:v>Zuordnungsvorschlag; Fachfreigabe ausstehend</x:v>
      </x:c>
      <x:c r="Q1719" s="5" t="str">
        <x:v>Bestehendes Lernthema fachlich unter passendem Rahmenplan-Unterbereich behalten</x:v>
      </x:c>
      <x:c r="R1719" s="5" t="str">
        <x:v>Warum wird bei Engpässen der relative Deckungsbeitrag verwendet?</x:v>
      </x:c>
      <x:c r="S1719" s="5" t="str">
        <x:v>2feae9940ec8c7d5d5a6c71dd304c2b0e1dac632b3a7fd4320c53bec763f7850</x:v>
      </x:c>
    </x:row>
    <x:row r="1720" ht="36" customHeight="1">
      <x:c r="A1720" s="5" t="str">
        <x:v>FC-0010</x:v>
      </x:c>
      <x:c r="B1720" s="5" t="str">
        <x:v>HQ</x:v>
      </x:c>
      <x:c r="C1720" s="5" t="str">
        <x:v>6</x:v>
      </x:c>
      <x:c r="D1720" s="5" t="str">
        <x:v>Investition, Finanzierung, betriebliches Rechnungswesen und Controlling</x:v>
      </x:c>
      <x:c r="E1720" s="5" t="str">
        <x:v>Betriebliches Rechnungswesen und Controlling</x:v>
      </x:c>
      <x:c r="F1720" s="5" t="str">
        <x:v>ui-hq-0020</x:v>
      </x:c>
      <x:c r="G1720" s="5" t="str">
        <x:v>Kosten- und Leistungsrechnung</x:v>
      </x:c>
      <x:c r="H1720" s="5" t="str">
        <x:v>dg-hq-0136</x:v>
      </x:c>
      <x:c r="I1720" s="5" t="str">
        <x:v>6.4.1</x:v>
      </x:c>
      <x:c r="J1720" s="5" t="str">
        <x:v>Die Deckungsbeitragsrechnung als Entscheidungsrechnung</x:v>
      </x:c>
      <x:c r="K1720" s="5" t="str"/>
      <x:c r="L1720" s="5" t="str">
        <x:v>Make-or-Buy, Auftragsannahme &amp; Engpassplanung</x:v>
      </x:c>
      <x:c r="M1720" s="5" t="n">
        <x:v>10</x:v>
      </x:c>
      <x:c r="N1720" s="5" t="n">
        <x:v>10</x:v>
      </x:c>
      <x:c r="O1720" s="5" t="str"/>
      <x:c r="P1720" s="5" t="str">
        <x:v>Zuordnungsvorschlag; Fachfreigabe ausstehend</x:v>
      </x:c>
      <x:c r="Q1720" s="5" t="str">
        <x:v>Bestehendes Lernthema fachlich unter passendem Rahmenplan-Unterbereich behalten</x:v>
      </x:c>
      <x:c r="R1720" s="5" t="str">
        <x:v>Wie wird das Reihenfolgeproblem bei einem Engpass gelöst?</x:v>
      </x:c>
      <x:c r="S1720" s="5" t="str">
        <x:v>e39b1688572b6fae5b2409fd0f29ae84f0ef4ab63045fa30ed220071784af6df</x:v>
      </x:c>
    </x:row>
    <x:row r="1721" ht="36" customHeight="1">
      <x:c r="A1721" s="5" t="str">
        <x:v>FC-0011</x:v>
      </x:c>
      <x:c r="B1721" s="5" t="str">
        <x:v>HQ</x:v>
      </x:c>
      <x:c r="C1721" s="5" t="str">
        <x:v>6</x:v>
      </x:c>
      <x:c r="D1721" s="5" t="str">
        <x:v>Investition, Finanzierung, betriebliches Rechnungswesen und Controlling</x:v>
      </x:c>
      <x:c r="E1721" s="5" t="str">
        <x:v>Betriebliches Rechnungswesen und Controlling</x:v>
      </x:c>
      <x:c r="F1721" s="5" t="str">
        <x:v>ui-hq-0020</x:v>
      </x:c>
      <x:c r="G1721" s="5" t="str">
        <x:v>Kosten- und Leistungsrechnung</x:v>
      </x:c>
      <x:c r="H1721" s="5" t="str">
        <x:v>dg-hq-0136</x:v>
      </x:c>
      <x:c r="I1721" s="5" t="str">
        <x:v>6.4.1</x:v>
      </x:c>
      <x:c r="J1721" s="5" t="str">
        <x:v>Die Deckungsbeitragsrechnung als Entscheidungsrechnung</x:v>
      </x:c>
      <x:c r="K1721" s="5" t="str"/>
      <x:c r="L1721" s="5" t="str">
        <x:v>Make-or-Buy, Auftragsannahme &amp; Engpassplanung</x:v>
      </x:c>
      <x:c r="M1721" s="5" t="n">
        <x:v>11</x:v>
      </x:c>
      <x:c r="N1721" s="5" t="n">
        <x:v>11</x:v>
      </x:c>
      <x:c r="O1721" s="5" t="str"/>
      <x:c r="P1721" s="5" t="str">
        <x:v>Zuordnungsvorschlag; Fachfreigabe ausstehend</x:v>
      </x:c>
      <x:c r="Q1721" s="5" t="str">
        <x:v>Bestehendes Lernthema fachlich unter passendem Rahmenplan-Unterbereich behalten</x:v>
      </x:c>
      <x:c r="R1721" s="5" t="str">
        <x:v>Circle Harbor hat 100 Maschinenstunden.
Produkt A: DB = 30 €, Bedarf = 2 h
Produkt B: DB = 20 €, Bedarf = 1 h
Welches Produkt wird bevorzugt produziert?</x:v>
      </x:c>
      <x:c r="S1721" s="5" t="str">
        <x:v>6eb9615ec99115bd2d99f4e135248c289a779b5a8f89bec0f44fa4a2adc46f5f</x:v>
      </x:c>
    </x:row>
    <x:row r="1722" ht="36" customHeight="1">
      <x:c r="A1722" s="5" t="str">
        <x:v>FC-0012</x:v>
      </x:c>
      <x:c r="B1722" s="5" t="str">
        <x:v>HQ</x:v>
      </x:c>
      <x:c r="C1722" s="5" t="str">
        <x:v>6</x:v>
      </x:c>
      <x:c r="D1722" s="5" t="str">
        <x:v>Investition, Finanzierung, betriebliches Rechnungswesen und Controlling</x:v>
      </x:c>
      <x:c r="E1722" s="5" t="str">
        <x:v>Betriebliches Rechnungswesen und Controlling</x:v>
      </x:c>
      <x:c r="F1722" s="5" t="str">
        <x:v>ui-hq-0020</x:v>
      </x:c>
      <x:c r="G1722" s="5" t="str">
        <x:v>Kosten- und Leistungsrechnung</x:v>
      </x:c>
      <x:c r="H1722" s="5" t="str">
        <x:v>dg-hq-0136</x:v>
      </x:c>
      <x:c r="I1722" s="5" t="str">
        <x:v>6.4.1</x:v>
      </x:c>
      <x:c r="J1722" s="5" t="str">
        <x:v>Die Deckungsbeitragsrechnung als Entscheidungsrechnung</x:v>
      </x:c>
      <x:c r="K1722" s="5" t="str"/>
      <x:c r="L1722" s="5" t="str">
        <x:v>Deckungsbeitragsrechnung, Preisuntergrenzen &amp; Break-even</x:v>
      </x:c>
      <x:c r="M1722" s="5" t="n">
        <x:v>12</x:v>
      </x:c>
      <x:c r="N1722" s="5" t="n">
        <x:v>12</x:v>
      </x:c>
      <x:c r="O1722" s="5" t="str"/>
      <x:c r="P1722" s="5" t="str">
        <x:v>Zuordnungsvorschlag; Fachfreigabe ausstehend</x:v>
      </x:c>
      <x:c r="Q1722" s="5" t="str">
        <x:v>Bestehendes Lernthema fachlich unter passendem Rahmenplan-Unterbereich behalten</x:v>
      </x:c>
      <x:c r="R1722" s="5" t="str">
        <x:v>Ein Produkt erzielt einen positiven Deckungsbeitrag, deckt aber rechnerisch nicht sämtliche ihm zugerechneten Fixkosten. Darf daraus automatisch die Entscheidung zur Einstellung oder Weiterführung abgeleitet werden?</x:v>
      </x:c>
      <x:c r="S1722" s="5" t="str">
        <x:v>e6ca8d3f0899a413f1dce29a46408b968d12751d491c27e22bf54b692b5b32d2</x:v>
      </x:c>
    </x:row>
    <x:row r="1723" ht="36" customHeight="1">
      <x:c r="A1723" s="5" t="str">
        <x:v>FC-0013</x:v>
      </x:c>
      <x:c r="B1723" s="5" t="str">
        <x:v>HQ</x:v>
      </x:c>
      <x:c r="C1723" s="5" t="str">
        <x:v>6</x:v>
      </x:c>
      <x:c r="D1723" s="5" t="str">
        <x:v>Investition, Finanzierung, betriebliches Rechnungswesen und Controlling</x:v>
      </x:c>
      <x:c r="E1723" s="5" t="str">
        <x:v>Betriebliches Rechnungswesen und Controlling</x:v>
      </x:c>
      <x:c r="F1723" s="5" t="str">
        <x:v>ui-hq-0020</x:v>
      </x:c>
      <x:c r="G1723" s="5" t="str">
        <x:v>Kosten- und Leistungsrechnung</x:v>
      </x:c>
      <x:c r="H1723" s="5" t="str">
        <x:v>dg-hq-0136</x:v>
      </x:c>
      <x:c r="I1723" s="5" t="str">
        <x:v>6.4.1</x:v>
      </x:c>
      <x:c r="J1723" s="5" t="str">
        <x:v>Die Deckungsbeitragsrechnung als Entscheidungsrechnung</x:v>
      </x:c>
      <x:c r="K1723" s="5" t="str"/>
      <x:c r="L1723" s="5" t="str">
        <x:v>Deckungsbeitragsrechnung, Preisuntergrenzen &amp; Break-even</x:v>
      </x:c>
      <x:c r="M1723" s="5" t="n">
        <x:v>13</x:v>
      </x:c>
      <x:c r="N1723" s="5" t="n">
        <x:v>13</x:v>
      </x:c>
      <x:c r="O1723" s="5" t="str"/>
      <x:c r="P1723" s="5" t="str">
        <x:v>Zuordnungsvorschlag; Fachfreigabe ausstehend</x:v>
      </x:c>
      <x:c r="Q1723" s="5" t="str">
        <x:v>Bestehendes Lernthema fachlich unter passendem Rahmenplan-Unterbereich behalten</x:v>
      </x:c>
      <x:c r="R1723" s="5" t="str">
        <x:v>Was ist die kurzfristige Preisuntergrenze?</x:v>
      </x:c>
      <x:c r="S1723" s="5" t="str">
        <x:v>a041bca5898c0ff99632fddf9c12806001e3f4dc8a7db771aba76478ef4414a0</x:v>
      </x:c>
    </x:row>
    <x:row r="1724" ht="36" customHeight="1">
      <x:c r="A1724" s="5" t="str">
        <x:v>FC-0014</x:v>
      </x:c>
      <x:c r="B1724" s="5" t="str">
        <x:v>HQ</x:v>
      </x:c>
      <x:c r="C1724" s="5" t="str">
        <x:v>6</x:v>
      </x:c>
      <x:c r="D1724" s="5" t="str">
        <x:v>Investition, Finanzierung, betriebliches Rechnungswesen und Controlling</x:v>
      </x:c>
      <x:c r="E1724" s="5" t="str">
        <x:v>Betriebliches Rechnungswesen und Controlling</x:v>
      </x:c>
      <x:c r="F1724" s="5" t="str">
        <x:v>ui-hq-0020</x:v>
      </x:c>
      <x:c r="G1724" s="5" t="str">
        <x:v>Kosten- und Leistungsrechnung</x:v>
      </x:c>
      <x:c r="H1724" s="5" t="str">
        <x:v>dg-hq-0136</x:v>
      </x:c>
      <x:c r="I1724" s="5" t="str">
        <x:v>6.4.1</x:v>
      </x:c>
      <x:c r="J1724" s="5" t="str">
        <x:v>Die Deckungsbeitragsrechnung als Entscheidungsrechnung</x:v>
      </x:c>
      <x:c r="K1724" s="5" t="str"/>
      <x:c r="L1724" s="5" t="str">
        <x:v>Voll- &amp; Teilkostenrechnung</x:v>
      </x:c>
      <x:c r="M1724" s="5" t="n">
        <x:v>14</x:v>
      </x:c>
      <x:c r="N1724" s="5" t="n">
        <x:v>14</x:v>
      </x:c>
      <x:c r="O1724" s="5" t="str"/>
      <x:c r="P1724" s="5" t="str">
        <x:v>Zuordnungsvorschlag; Fachfreigabe ausstehend</x:v>
      </x:c>
      <x:c r="Q1724" s="5" t="str">
        <x:v>Bestehendes Lernthema fachlich unter passendem Rahmenplan-Unterbereich behalten</x:v>
      </x:c>
      <x:c r="R1724" s="5" t="str">
        <x:v>Worin unterscheiden sich Vollkostenrechnung und Teilkostenrechnung bei der Kostenzurechnung und bei typischen Entscheidungszwecken?</x:v>
      </x:c>
      <x:c r="S1724" s="5" t="str">
        <x:v>0ad1c6b377f5d6d0a0bf366ad3eddadd8a3c74c83c2b75703c5036f84e01e706</x:v>
      </x:c>
    </x:row>
    <x:row r="1725" ht="36" customHeight="1">
      <x:c r="A1725" s="5" t="str">
        <x:v>FC-0015</x:v>
      </x:c>
      <x:c r="B1725" s="5" t="str">
        <x:v>HQ</x:v>
      </x:c>
      <x:c r="C1725" s="5" t="str">
        <x:v>6</x:v>
      </x:c>
      <x:c r="D1725" s="5" t="str">
        <x:v>Investition, Finanzierung, betriebliches Rechnungswesen und Controlling</x:v>
      </x:c>
      <x:c r="E1725" s="5" t="str">
        <x:v>Betriebliches Rechnungswesen und Controlling</x:v>
      </x:c>
      <x:c r="F1725" s="5" t="str">
        <x:v>ui-hq-0020</x:v>
      </x:c>
      <x:c r="G1725" s="5" t="str">
        <x:v>Kosten- und Leistungsrechnung</x:v>
      </x:c>
      <x:c r="H1725" s="5" t="str">
        <x:v>dg-hq-0136</x:v>
      </x:c>
      <x:c r="I1725" s="5" t="str">
        <x:v>6.4.1</x:v>
      </x:c>
      <x:c r="J1725" s="5" t="str">
        <x:v>Die Deckungsbeitragsrechnung als Entscheidungsrechnung</x:v>
      </x:c>
      <x:c r="K1725" s="5" t="str"/>
      <x:c r="L1725" s="5" t="str">
        <x:v>Voll- &amp; Teilkostenrechnung</x:v>
      </x:c>
      <x:c r="M1725" s="5" t="n">
        <x:v>15</x:v>
      </x:c>
      <x:c r="N1725" s="5" t="n">
        <x:v>15</x:v>
      </x:c>
      <x:c r="O1725" s="5" t="str"/>
      <x:c r="P1725" s="5" t="str">
        <x:v>Zuordnungsvorschlag; Fachfreigabe ausstehend</x:v>
      </x:c>
      <x:c r="Q1725" s="5" t="str">
        <x:v>Bestehendes Lernthema fachlich unter passendem Rahmenplan-Unterbereich behalten</x:v>
      </x:c>
      <x:c r="R1725" s="5" t="str">
        <x:v>Circle Harbor fertigt 1.200 Stück. Die Fixkosten betragen 36.000 € und die variablen Kosten 18,00 € je Stück. Ermitteln Sie variable Gesamtkosten, Gesamtkosten sowie fixe und gesamte Stückkosten.</x:v>
      </x:c>
      <x:c r="S1725" s="5" t="str">
        <x:v>3934fb0e0c2861120aaf72e86430b929a09f73ee29ea88c1e0457336b25ce1dc</x:v>
      </x:c>
    </x:row>
    <x:row r="1726" ht="36" customHeight="1">
      <x:c r="A1726" s="5" t="str">
        <x:v>FC-0016</x:v>
      </x:c>
      <x:c r="B1726" s="5" t="str">
        <x:v>HQ</x:v>
      </x:c>
      <x:c r="C1726" s="5" t="str">
        <x:v>6</x:v>
      </x:c>
      <x:c r="D1726" s="5" t="str">
        <x:v>Investition, Finanzierung, betriebliches Rechnungswesen und Controlling</x:v>
      </x:c>
      <x:c r="E1726" s="5" t="str">
        <x:v>Betriebliches Rechnungswesen und Controlling</x:v>
      </x:c>
      <x:c r="F1726" s="5" t="str">
        <x:v>ui-hq-0020</x:v>
      </x:c>
      <x:c r="G1726" s="5" t="str">
        <x:v>Kosten- und Leistungsrechnung</x:v>
      </x:c>
      <x:c r="H1726" s="5" t="str">
        <x:v>dg-hq-0136</x:v>
      </x:c>
      <x:c r="I1726" s="5" t="str">
        <x:v>6.4.1</x:v>
      </x:c>
      <x:c r="J1726" s="5" t="str">
        <x:v>Die Deckungsbeitragsrechnung als Entscheidungsrechnung</x:v>
      </x:c>
      <x:c r="K1726" s="5" t="str"/>
      <x:c r="L1726" s="5" t="str">
        <x:v>Voll- &amp; Teilkostenrechnung</x:v>
      </x:c>
      <x:c r="M1726" s="5" t="n">
        <x:v>16</x:v>
      </x:c>
      <x:c r="N1726" s="5" t="n">
        <x:v>16</x:v>
      </x:c>
      <x:c r="O1726" s="5" t="str"/>
      <x:c r="P1726" s="5" t="str">
        <x:v>Zuordnungsvorschlag; Fachfreigabe ausstehend</x:v>
      </x:c>
      <x:c r="Q1726" s="5" t="str">
        <x:v>Bestehendes Lernthema fachlich unter passendem Rahmenplan-Unterbereich behalten</x:v>
      </x:c>
      <x:c r="R1726" s="5" t="str">
        <x:v>Vervollständigen Sie zentrale Formeln zum Verhalten fixer und variabler Kosten.</x:v>
      </x:c>
      <x:c r="S1726" s="5" t="str">
        <x:v>b50b495fe16b8bd1a2208294516438948c32da7272ee1dfec5055b04eca74816</x:v>
      </x:c>
    </x:row>
    <x:row r="1727" ht="36" customHeight="1">
      <x:c r="A1727" s="5" t="str">
        <x:v>FC-0017</x:v>
      </x:c>
      <x:c r="B1727" s="5" t="str">
        <x:v>HQ</x:v>
      </x:c>
      <x:c r="C1727" s="5" t="str">
        <x:v>6</x:v>
      </x:c>
      <x:c r="D1727" s="5" t="str">
        <x:v>Investition, Finanzierung, betriebliches Rechnungswesen und Controlling</x:v>
      </x:c>
      <x:c r="E1727" s="5" t="str">
        <x:v>Betriebliches Rechnungswesen und Controlling</x:v>
      </x:c>
      <x:c r="F1727" s="5" t="str">
        <x:v>ui-hq-0020</x:v>
      </x:c>
      <x:c r="G1727" s="5" t="str">
        <x:v>Kosten- und Leistungsrechnung</x:v>
      </x:c>
      <x:c r="H1727" s="5" t="str">
        <x:v>dg-hq-0136</x:v>
      </x:c>
      <x:c r="I1727" s="5" t="str">
        <x:v>6.4.1</x:v>
      </x:c>
      <x:c r="J1727" s="5" t="str">
        <x:v>Die Deckungsbeitragsrechnung als Entscheidungsrechnung</x:v>
      </x:c>
      <x:c r="K1727" s="5" t="str"/>
      <x:c r="L1727" s="5" t="str">
        <x:v>Voll- &amp; Teilkostenrechnung</x:v>
      </x:c>
      <x:c r="M1727" s="5" t="n">
        <x:v>17</x:v>
      </x:c>
      <x:c r="N1727" s="5" t="n">
        <x:v>17</x:v>
      </x:c>
      <x:c r="O1727" s="5" t="str"/>
      <x:c r="P1727" s="5" t="str">
        <x:v>Zuordnungsvorschlag; Fachfreigabe ausstehend</x:v>
      </x:c>
      <x:c r="Q1727" s="5" t="str">
        <x:v>Bestehendes Lernthema fachlich unter passendem Rahmenplan-Unterbereich behalten</x:v>
      </x:c>
      <x:c r="R1727" s="5" t="str">
        <x:v>Beschreiben Sie, wie sich fixe Gesamtkosten, fixe Stückkosten, proportionale variable Gesamtkosten und proportionale variable Stückkosten bei steigender Beschäftigung verhalten.</x:v>
      </x:c>
      <x:c r="S1727" s="5" t="str">
        <x:v>0df0afc23f99261ccce0d0ee83d200f755d2b83cf764ed204dc02f9e6e40f9e8</x:v>
      </x:c>
    </x:row>
    <x:row r="1728" ht="36" customHeight="1">
      <x:c r="A1728" s="5" t="str">
        <x:v>FC-0018</x:v>
      </x:c>
      <x:c r="B1728" s="5" t="str">
        <x:v>HQ</x:v>
      </x:c>
      <x:c r="C1728" s="5" t="str">
        <x:v>6</x:v>
      </x:c>
      <x:c r="D1728" s="5" t="str">
        <x:v>Investition, Finanzierung, betriebliches Rechnungswesen und Controlling</x:v>
      </x:c>
      <x:c r="E1728" s="5" t="str">
        <x:v>Betriebliches Rechnungswesen und Controlling</x:v>
      </x:c>
      <x:c r="F1728" s="5" t="str">
        <x:v>ui-hq-0020</x:v>
      </x:c>
      <x:c r="G1728" s="5" t="str">
        <x:v>Kosten- und Leistungsrechnung</x:v>
      </x:c>
      <x:c r="H1728" s="5" t="str">
        <x:v>dg-hq-0136</x:v>
      </x:c>
      <x:c r="I1728" s="5" t="str">
        <x:v>6.4.1.1</x:v>
      </x:c>
      <x:c r="J1728" s="5" t="str">
        <x:v>Mehrstufige Deckungsbeitragsrechnung</x:v>
      </x:c>
      <x:c r="K1728" s="5" t="str"/>
      <x:c r="L1728" s="5" t="str">
        <x:v>Deckungsbeitragsrechnung, Preisuntergrenzen &amp; Break-even</x:v>
      </x:c>
      <x:c r="M1728" s="5" t="n">
        <x:v>18</x:v>
      </x:c>
      <x:c r="N1728" s="5" t="n">
        <x:v>18</x:v>
      </x:c>
      <x:c r="O1728" s="5" t="str"/>
      <x:c r="P1728" s="5" t="str">
        <x:v>Zuordnungsvorschlag; Fachfreigabe ausstehend</x:v>
      </x:c>
      <x:c r="Q1728" s="5" t="str">
        <x:v>Bestehendes Lernthema fachlich unter passendem Rahmenplan-Unterbereich behalten</x:v>
      </x:c>
      <x:c r="R1728" s="5" t="str">
        <x:v>Wie entsteht aus Umsatzerlösen über die Deckungsbeitragsrechnung das Betriebsergebnis?</x:v>
      </x:c>
      <x:c r="S1728" s="5" t="str">
        <x:v>209a45b77b41b573198eea3cc9eb9c87138e5d8ecfdcfc6133856b6e7578e8cb</x:v>
      </x:c>
    </x:row>
    <x:row r="1729" ht="36" customHeight="1">
      <x:c r="A1729" s="5" t="str">
        <x:v>FC-0019</x:v>
      </x:c>
      <x:c r="B1729" s="5" t="str">
        <x:v>HQ</x:v>
      </x:c>
      <x:c r="C1729" s="5" t="str">
        <x:v>6</x:v>
      </x:c>
      <x:c r="D1729" s="5" t="str">
        <x:v>Investition, Finanzierung, betriebliches Rechnungswesen und Controlling</x:v>
      </x:c>
      <x:c r="E1729" s="5" t="str">
        <x:v>Betriebliches Rechnungswesen und Controlling</x:v>
      </x:c>
      <x:c r="F1729" s="5" t="str">
        <x:v>ui-hq-0020</x:v>
      </x:c>
      <x:c r="G1729" s="5" t="str">
        <x:v>Kosten- und Leistungsrechnung</x:v>
      </x:c>
      <x:c r="H1729" s="5" t="str">
        <x:v>dg-hq-0136</x:v>
      </x:c>
      <x:c r="I1729" s="5" t="str">
        <x:v>6.4.1</x:v>
      </x:c>
      <x:c r="J1729" s="5" t="str">
        <x:v>Die Deckungsbeitragsrechnung als Entscheidungsrechnung</x:v>
      </x:c>
      <x:c r="K1729" s="5" t="str"/>
      <x:c r="L1729" s="5" t="str">
        <x:v>Deckungsbeitragsrechnung, Preisuntergrenzen &amp; Break-even</x:v>
      </x:c>
      <x:c r="M1729" s="5" t="n">
        <x:v>19</x:v>
      </x:c>
      <x:c r="N1729" s="5" t="n">
        <x:v>19</x:v>
      </x:c>
      <x:c r="O1729" s="5" t="str"/>
      <x:c r="P1729" s="5" t="str">
        <x:v>Zuordnungsvorschlag; Fachfreigabe ausstehend</x:v>
      </x:c>
      <x:c r="Q1729" s="5" t="str">
        <x:v>Bestehendes Lernthema fachlich unter passendem Rahmenplan-Unterbereich behalten</x:v>
      </x:c>
      <x:c r="R1729" s="5" t="str">
        <x:v>Circle Harbor verkauft drei Produkte: A mit Preis 75 €, variablen Kosten 42 € und 12.000 Stück Absatz; B mit 110 €, 68 € und 7.000 Stück; C mit 55 €, 31 € und 16.000 Stück. Die periodenbezogenen Fixkosten betragen 720.000 €. Berechnen Sie Stückdeckungsbeiträge, Gesamtdeckungsbeiträge und Betriebsergebnis.</x:v>
      </x:c>
      <x:c r="S1729" s="5" t="str">
        <x:v>21c4873e592e03bbb9f1a415d587813d82f685c5b46f5fe99b1d220d6081eb9b</x:v>
      </x:c>
    </x:row>
    <x:row r="1730" ht="36" customHeight="1">
      <x:c r="A1730" s="5" t="str">
        <x:v>FC-0020</x:v>
      </x:c>
      <x:c r="B1730" s="5" t="str">
        <x:v>HQ</x:v>
      </x:c>
      <x:c r="C1730" s="5" t="str">
        <x:v>6</x:v>
      </x:c>
      <x:c r="D1730" s="5" t="str">
        <x:v>Investition, Finanzierung, betriebliches Rechnungswesen und Controlling</x:v>
      </x:c>
      <x:c r="E1730" s="5" t="str">
        <x:v>Betriebliches Rechnungswesen und Controlling</x:v>
      </x:c>
      <x:c r="F1730" s="5" t="str">
        <x:v>ui-hq-0020</x:v>
      </x:c>
      <x:c r="G1730" s="5" t="str">
        <x:v>Kosten- und Leistungsrechnung</x:v>
      </x:c>
      <x:c r="H1730" s="5" t="str">
        <x:v>dg-hq-0136</x:v>
      </x:c>
      <x:c r="I1730" s="5" t="str">
        <x:v>6.4.1.1</x:v>
      </x:c>
      <x:c r="J1730" s="5" t="str">
        <x:v>Mehrstufige Deckungsbeitragsrechnung</x:v>
      </x:c>
      <x:c r="K1730" s="5" t="str"/>
      <x:c r="L1730" s="5" t="str">
        <x:v>Deckungsbeitragsrechnung, Preisuntergrenzen &amp; Break-even</x:v>
      </x:c>
      <x:c r="M1730" s="5" t="n">
        <x:v>20</x:v>
      </x:c>
      <x:c r="N1730" s="5" t="n">
        <x:v>20</x:v>
      </x:c>
      <x:c r="O1730" s="5" t="str"/>
      <x:c r="P1730" s="5" t="str">
        <x:v>Zuordnungsvorschlag; Fachfreigabe ausstehend</x:v>
      </x:c>
      <x:c r="Q1730" s="5" t="str">
        <x:v>Bestehendes Lernthema fachlich unter passendem Rahmenplan-Unterbereich behalten</x:v>
      </x:c>
      <x:c r="R1730" s="5" t="str">
        <x:v>Ordnen Sie die Positionen einer einstufigen Deckungsbeitragsrechnung in die richtige Reihenfolge.</x:v>
      </x:c>
      <x:c r="S1730" s="5" t="str">
        <x:v>851eee8b35668b91cedaef76bb2e7b7fd4a95d89565daa27f21b9f7408c577fc</x:v>
      </x:c>
    </x:row>
    <x:row r="1731" ht="36" customHeight="1">
      <x:c r="A1731" s="5" t="str">
        <x:v>FC-0021</x:v>
      </x:c>
      <x:c r="B1731" s="5" t="str">
        <x:v>HQ</x:v>
      </x:c>
      <x:c r="C1731" s="5" t="str">
        <x:v>6</x:v>
      </x:c>
      <x:c r="D1731" s="5" t="str">
        <x:v>Investition, Finanzierung, betriebliches Rechnungswesen und Controlling</x:v>
      </x:c>
      <x:c r="E1731" s="5" t="str">
        <x:v>Betriebliches Rechnungswesen und Controlling</x:v>
      </x:c>
      <x:c r="F1731" s="5" t="str">
        <x:v>ui-hq-0020</x:v>
      </x:c>
      <x:c r="G1731" s="5" t="str">
        <x:v>Kosten- und Leistungsrechnung</x:v>
      </x:c>
      <x:c r="H1731" s="5" t="str">
        <x:v>dg-hq-0136</x:v>
      </x:c>
      <x:c r="I1731" s="5" t="str">
        <x:v>6.4.1</x:v>
      </x:c>
      <x:c r="J1731" s="5" t="str">
        <x:v>Die Deckungsbeitragsrechnung als Entscheidungsrechnung</x:v>
      </x:c>
      <x:c r="K1731" s="5" t="str"/>
      <x:c r="L1731" s="5" t="str">
        <x:v>Deckungsbeitragsrechnung, Preisuntergrenzen &amp; Break-even</x:v>
      </x:c>
      <x:c r="M1731" s="5" t="n">
        <x:v>21</x:v>
      </x:c>
      <x:c r="N1731" s="5" t="n">
        <x:v>21</x:v>
      </x:c>
      <x:c r="O1731" s="5" t="str"/>
      <x:c r="P1731" s="5" t="str">
        <x:v>Zuordnungsvorschlag; Fachfreigabe ausstehend</x:v>
      </x:c>
      <x:c r="Q1731" s="5" t="str">
        <x:v>Bestehendes Lernthema fachlich unter passendem Rahmenplan-Unterbereich behalten</x:v>
      </x:c>
      <x:c r="R1731" s="5" t="str">
        <x:v>Fallbezug: Die folgenden betrieblichen Angaben und Situationen beziehen sich auf die Circle Harbor GmbH.
Eine Produktlinie umfasst drei Modelle: Basic (Preis 310 €, variable Kosten 190 €, Jahresabsatz 2.400 Stück), Plus (420 €, 245 €, 1.800 Stück) und Pro (560 €, 330 €, 1.200 Stück). Der Produktlinie werden 520.000 € Fixkosten zugerechnet. Ermitteln Sie das Jahresergebnis der Produktlinie.</x:v>
      </x:c>
      <x:c r="S1731" s="5" t="str">
        <x:v>4a0c0f9854ec482f2e3a896ee84251e163c464c7f4987d375c82414e119a6428</x:v>
      </x:c>
    </x:row>
    <x:row r="1732" ht="36" customHeight="1">
      <x:c r="A1732" s="5" t="str">
        <x:v>FC-0022</x:v>
      </x:c>
      <x:c r="B1732" s="5" t="str">
        <x:v>HQ</x:v>
      </x:c>
      <x:c r="C1732" s="5" t="str">
        <x:v>6</x:v>
      </x:c>
      <x:c r="D1732" s="5" t="str">
        <x:v>Investition, Finanzierung, betriebliches Rechnungswesen und Controlling</x:v>
      </x:c>
      <x:c r="E1732" s="5" t="str">
        <x:v>Betriebliches Rechnungswesen und Controlling</x:v>
      </x:c>
      <x:c r="F1732" s="5" t="str">
        <x:v>ui-hq-0020</x:v>
      </x:c>
      <x:c r="G1732" s="5" t="str">
        <x:v>Kosten- und Leistungsrechnung</x:v>
      </x:c>
      <x:c r="H1732" s="5" t="str">
        <x:v>dg-hq-0136</x:v>
      </x:c>
      <x:c r="I1732" s="5" t="str">
        <x:v>6.4.1</x:v>
      </x:c>
      <x:c r="J1732" s="5" t="str">
        <x:v>Die Deckungsbeitragsrechnung als Entscheidungsrechnung</x:v>
      </x:c>
      <x:c r="K1732" s="5" t="str"/>
      <x:c r="L1732" s="5" t="str">
        <x:v>Deckungsbeitragsrechnung, Preisuntergrenzen &amp; Break-even</x:v>
      </x:c>
      <x:c r="M1732" s="5" t="n">
        <x:v>22</x:v>
      </x:c>
      <x:c r="N1732" s="5" t="n">
        <x:v>22</x:v>
      </x:c>
      <x:c r="O1732" s="5" t="str"/>
      <x:c r="P1732" s="5" t="str">
        <x:v>Zuordnungsvorschlag; Fachfreigabe ausstehend</x:v>
      </x:c>
      <x:c r="Q1732" s="5" t="str">
        <x:v>Bestehendes Lernthema fachlich unter passendem Rahmenplan-Unterbereich behalten</x:v>
      </x:c>
      <x:c r="R1732" s="5" t="str">
        <x:v>Welche Größen müssen in einem klassischen Break-even-Diagramm unterschieden werden und was kennzeichnet den Break-even-Punkt?</x:v>
      </x:c>
      <x:c r="S1732" s="5" t="str">
        <x:v>3c9b9b967728624822c1e191a25e2c8849ee5c25f23fdcbf99074a30ed8ef541</x:v>
      </x:c>
    </x:row>
    <x:row r="1733" ht="36" customHeight="1">
      <x:c r="A1733" s="5" t="str">
        <x:v>FC-0023</x:v>
      </x:c>
      <x:c r="B1733" s="5" t="str">
        <x:v>HQ</x:v>
      </x:c>
      <x:c r="C1733" s="5" t="str">
        <x:v>6</x:v>
      </x:c>
      <x:c r="D1733" s="5" t="str">
        <x:v>Investition, Finanzierung, betriebliches Rechnungswesen und Controlling</x:v>
      </x:c>
      <x:c r="E1733" s="5" t="str">
        <x:v>Betriebliches Rechnungswesen und Controlling</x:v>
      </x:c>
      <x:c r="F1733" s="5" t="str">
        <x:v>ui-hq-0020</x:v>
      </x:c>
      <x:c r="G1733" s="5" t="str">
        <x:v>Kosten- und Leistungsrechnung</x:v>
      </x:c>
      <x:c r="H1733" s="5" t="str">
        <x:v>dg-hq-0136</x:v>
      </x:c>
      <x:c r="I1733" s="5" t="str">
        <x:v>6.4.1</x:v>
      </x:c>
      <x:c r="J1733" s="5" t="str">
        <x:v>Die Deckungsbeitragsrechnung als Entscheidungsrechnung</x:v>
      </x:c>
      <x:c r="K1733" s="5" t="str"/>
      <x:c r="L1733" s="5" t="str">
        <x:v>Deckungsbeitragsrechnung, Preisuntergrenzen &amp; Break-even</x:v>
      </x:c>
      <x:c r="M1733" s="5" t="n">
        <x:v>23</x:v>
      </x:c>
      <x:c r="N1733" s="5" t="n">
        <x:v>23</x:v>
      </x:c>
      <x:c r="O1733" s="5" t="str"/>
      <x:c r="P1733" s="5" t="str">
        <x:v>Zuordnungsvorschlag; Fachfreigabe ausstehend</x:v>
      </x:c>
      <x:c r="Q1733" s="5" t="str">
        <x:v>Bestehendes Lernthema fachlich unter passendem Rahmenplan-Unterbereich behalten</x:v>
      </x:c>
      <x:c r="R1733" s="5" t="str">
        <x:v>Ordnen Sie typische Deckungsbeitragssituationen der kurzfristigen Preisuntergrenze, dem Break-even oder der Verlustmehrung zu.</x:v>
      </x:c>
      <x:c r="S1733" s="5" t="str">
        <x:v>9c78af171adfae77ce085713073c82b04b909d5ec60e540621308f72d770aa87</x:v>
      </x:c>
    </x:row>
    <x:row r="1734" ht="36" customHeight="1">
      <x:c r="A1734" s="5" t="str">
        <x:v>FC-0024</x:v>
      </x:c>
      <x:c r="B1734" s="5" t="str">
        <x:v>HQ</x:v>
      </x:c>
      <x:c r="C1734" s="5" t="str">
        <x:v>6</x:v>
      </x:c>
      <x:c r="D1734" s="5" t="str">
        <x:v>Investition, Finanzierung, betriebliches Rechnungswesen und Controlling</x:v>
      </x:c>
      <x:c r="E1734" s="5" t="str">
        <x:v>Betriebliches Rechnungswesen und Controlling</x:v>
      </x:c>
      <x:c r="F1734" s="5" t="str">
        <x:v>ui-hq-0020</x:v>
      </x:c>
      <x:c r="G1734" s="5" t="str">
        <x:v>Kosten- und Leistungsrechnung</x:v>
      </x:c>
      <x:c r="H1734" s="5" t="str">
        <x:v>dg-hq-0136</x:v>
      </x:c>
      <x:c r="I1734" s="5" t="str">
        <x:v>6.4.1</x:v>
      </x:c>
      <x:c r="J1734" s="5" t="str">
        <x:v>Die Deckungsbeitragsrechnung als Entscheidungsrechnung</x:v>
      </x:c>
      <x:c r="K1734" s="5" t="str"/>
      <x:c r="L1734" s="5" t="str">
        <x:v>Deckungsbeitragsrechnung, Preisuntergrenzen &amp; Break-even</x:v>
      </x:c>
      <x:c r="M1734" s="5" t="n">
        <x:v>24</x:v>
      </x:c>
      <x:c r="N1734" s="5" t="n">
        <x:v>24</x:v>
      </x:c>
      <x:c r="O1734" s="5" t="str"/>
      <x:c r="P1734" s="5" t="str">
        <x:v>Zuordnungsvorschlag; Fachfreigabe ausstehend</x:v>
      </x:c>
      <x:c r="Q1734" s="5" t="str">
        <x:v>Bestehendes Lernthema fachlich unter passendem Rahmenplan-Unterbereich behalten</x:v>
      </x:c>
      <x:c r="R1734" s="5" t="str">
        <x:v>Fallbezug: Die folgenden betrieblichen Angaben und Situationen beziehen sich auf die Circle Harbor GmbH.
Bei 75 % Beschäftigung werden 15.000 Stück verkauft. Der Verkaufspreis beträgt 80 € je Stück, die variablen Kosten 46 € je Stück und die Fixkosten 390.000 €. Wie verändern sich Absatz, Umsatz, variable Kosten, Deckungsbeitrag und Betriebsergebnis bei 90 % Beschäftigung, wenn Preise und Kostenverhalten unverändert bleiben?</x:v>
      </x:c>
      <x:c r="S1734" s="5" t="str">
        <x:v>82fa55b29dafa358b3a15812d7d332381a12512d684a312df79ab040f7211554</x:v>
      </x:c>
    </x:row>
    <x:row r="1735" ht="36" customHeight="1">
      <x:c r="A1735" s="5" t="str">
        <x:v>FC-0025</x:v>
      </x:c>
      <x:c r="B1735" s="5" t="str">
        <x:v>HQ</x:v>
      </x:c>
      <x:c r="C1735" s="5" t="str">
        <x:v>6</x:v>
      </x:c>
      <x:c r="D1735" s="5" t="str">
        <x:v>Investition, Finanzierung, betriebliches Rechnungswesen und Controlling</x:v>
      </x:c>
      <x:c r="E1735" s="5" t="str">
        <x:v>Betriebliches Rechnungswesen und Controlling</x:v>
      </x:c>
      <x:c r="F1735" s="5" t="str">
        <x:v>ui-hq-0020</x:v>
      </x:c>
      <x:c r="G1735" s="5" t="str">
        <x:v>Kosten- und Leistungsrechnung</x:v>
      </x:c>
      <x:c r="H1735" s="5" t="str">
        <x:v>dg-hq-0136</x:v>
      </x:c>
      <x:c r="I1735" s="5" t="str">
        <x:v>6.4.1</x:v>
      </x:c>
      <x:c r="J1735" s="5" t="str">
        <x:v>Die Deckungsbeitragsrechnung als Entscheidungsrechnung</x:v>
      </x:c>
      <x:c r="K1735" s="5" t="str"/>
      <x:c r="L1735" s="5" t="str">
        <x:v>Deckungsbeitragsrechnung, Preisuntergrenzen &amp; Break-even</x:v>
      </x:c>
      <x:c r="M1735" s="5" t="n">
        <x:v>25</x:v>
      </x:c>
      <x:c r="N1735" s="5" t="n">
        <x:v>25</x:v>
      </x:c>
      <x:c r="O1735" s="5" t="str"/>
      <x:c r="P1735" s="5" t="str">
        <x:v>Zuordnungsvorschlag; Fachfreigabe ausstehend</x:v>
      </x:c>
      <x:c r="Q1735" s="5" t="str">
        <x:v>Bestehendes Lernthema fachlich unter passendem Rahmenplan-Unterbereich behalten</x:v>
      </x:c>
      <x:c r="R1735" s="5" t="str">
        <x:v>Fallbezug: Die folgenden betrieblichen Angaben und Situationen beziehen sich auf die Circle Harbor GmbH.
Berechnen Sie für drei Produktbereiche die Break-even-Mengen: X mit 280.000 € Fixkosten, Preis 70 € und variablen Stückkosten 42 €; Y mit 360.000 €, 95 € und 55 €; Z mit 225.000 €, 60 € und 35 €.</x:v>
      </x:c>
      <x:c r="S1735" s="5" t="str">
        <x:v>d2dee49ea4bdebbbe0c987bbbe0d99a646de8963b90ea222ef25be1382b196e1</x:v>
      </x:c>
    </x:row>
    <x:row r="1736" ht="36" customHeight="1">
      <x:c r="A1736" s="5" t="str">
        <x:v>FC-0026</x:v>
      </x:c>
      <x:c r="B1736" s="5" t="str">
        <x:v>HQ</x:v>
      </x:c>
      <x:c r="C1736" s="5" t="str">
        <x:v>6</x:v>
      </x:c>
      <x:c r="D1736" s="5" t="str">
        <x:v>Investition, Finanzierung, betriebliches Rechnungswesen und Controlling</x:v>
      </x:c>
      <x:c r="E1736" s="5" t="str">
        <x:v>Betriebliches Rechnungswesen und Controlling</x:v>
      </x:c>
      <x:c r="F1736" s="5" t="str">
        <x:v>ui-hq-0020</x:v>
      </x:c>
      <x:c r="G1736" s="5" t="str">
        <x:v>Kosten- und Leistungsrechnung</x:v>
      </x:c>
      <x:c r="H1736" s="5" t="str">
        <x:v>dg-hq-0136</x:v>
      </x:c>
      <x:c r="I1736" s="5" t="str">
        <x:v>6.4.1</x:v>
      </x:c>
      <x:c r="J1736" s="5" t="str">
        <x:v>Die Deckungsbeitragsrechnung als Entscheidungsrechnung</x:v>
      </x:c>
      <x:c r="K1736" s="5" t="str"/>
      <x:c r="L1736" s="5" t="str">
        <x:v>Deckungsbeitragsrechnung, Preisuntergrenzen &amp; Break-even</x:v>
      </x:c>
      <x:c r="M1736" s="5" t="n">
        <x:v>26</x:v>
      </x:c>
      <x:c r="N1736" s="5" t="n">
        <x:v>26</x:v>
      </x:c>
      <x:c r="O1736" s="5" t="str"/>
      <x:c r="P1736" s="5" t="str">
        <x:v>Zuordnungsvorschlag; Fachfreigabe ausstehend</x:v>
      </x:c>
      <x:c r="Q1736" s="5" t="str">
        <x:v>Bestehendes Lernthema fachlich unter passendem Rahmenplan-Unterbereich behalten</x:v>
      </x:c>
      <x:c r="R1736" s="5" t="str">
        <x:v>Fallbezug: Die folgenden betrieblichen Angaben und Situationen beziehen sich auf die Circle Harbor GmbH.
In zwei Perioden wurden folgende Werte gemessen: bei 80.000 Stück Gesamtkosten von 600.000 €, bei 100.000 Stück Gesamtkosten von 690.000 €. Der Verkaufspreis beträgt 7,50 € je Stück. Unterstellen Sie lineare variable Kosten. Ermitteln Sie variable Stückkosten, Fixkosten und Break-even-Menge.</x:v>
      </x:c>
      <x:c r="S1736" s="5" t="str">
        <x:v>9dd0388c6602c3cac26d5aabd6e4c8f8f2d6b5938517db7de997ce21c1b050fa</x:v>
      </x:c>
    </x:row>
    <x:row r="1737" ht="36" customHeight="1">
      <x:c r="A1737" s="5" t="str">
        <x:v>FC-0027</x:v>
      </x:c>
      <x:c r="B1737" s="5" t="str">
        <x:v>HQ</x:v>
      </x:c>
      <x:c r="C1737" s="5" t="str">
        <x:v>6</x:v>
      </x:c>
      <x:c r="D1737" s="5" t="str">
        <x:v>Investition, Finanzierung, betriebliches Rechnungswesen und Controlling</x:v>
      </x:c>
      <x:c r="E1737" s="5" t="str">
        <x:v>Betriebliches Rechnungswesen und Controlling</x:v>
      </x:c>
      <x:c r="F1737" s="5" t="str">
        <x:v>ui-hq-0020</x:v>
      </x:c>
      <x:c r="G1737" s="5" t="str">
        <x:v>Kosten- und Leistungsrechnung</x:v>
      </x:c>
      <x:c r="H1737" s="5" t="str">
        <x:v>dg-hq-0136</x:v>
      </x:c>
      <x:c r="I1737" s="5" t="str">
        <x:v>6.4.1</x:v>
      </x:c>
      <x:c r="J1737" s="5" t="str">
        <x:v>Die Deckungsbeitragsrechnung als Entscheidungsrechnung</x:v>
      </x:c>
      <x:c r="K1737" s="5" t="str"/>
      <x:c r="L1737" s="5" t="str">
        <x:v>Deckungsbeitragsrechnung, Preisuntergrenzen &amp; Break-even</x:v>
      </x:c>
      <x:c r="M1737" s="5" t="n">
        <x:v>27</x:v>
      </x:c>
      <x:c r="N1737" s="5" t="n">
        <x:v>27</x:v>
      </x:c>
      <x:c r="O1737" s="5" t="str"/>
      <x:c r="P1737" s="5" t="str">
        <x:v>Zuordnungsvorschlag; Fachfreigabe ausstehend</x:v>
      </x:c>
      <x:c r="Q1737" s="5" t="str">
        <x:v>Bestehendes Lernthema fachlich unter passendem Rahmenplan-Unterbereich behalten</x:v>
      </x:c>
      <x:c r="R1737" s="5" t="str">
        <x:v>Fallbezug: Die folgenden betrieblichen Angaben und Situationen beziehen sich auf die Circle Harbor GmbH.
Im April werden 1.200 Stück verkauft, der Umsatz beträgt 60.000 € und das Betriebsergebnis 6.000 €. Im Mai werden 1.000 Stück verkauft, der Umsatz beträgt 50.000 € und das Betriebsergebnis 3.000 €. Die Fixkosten sind konstant, die variablen Kosten verlaufen proportional. Ermitteln Sie variable Stückkosten und Fixkosten.</x:v>
      </x:c>
      <x:c r="S1737" s="5" t="str">
        <x:v>045457181d055d7f3db8638a1293e3738954ad78240e3e1963f459e993d43270</x:v>
      </x:c>
    </x:row>
    <x:row r="1738" ht="36" customHeight="1">
      <x:c r="A1738" s="5" t="str">
        <x:v>FC-0028</x:v>
      </x:c>
      <x:c r="B1738" s="5" t="str">
        <x:v>HQ</x:v>
      </x:c>
      <x:c r="C1738" s="5" t="str">
        <x:v>6</x:v>
      </x:c>
      <x:c r="D1738" s="5" t="str">
        <x:v>Investition, Finanzierung, betriebliches Rechnungswesen und Controlling</x:v>
      </x:c>
      <x:c r="E1738" s="5" t="str">
        <x:v>Betriebliches Rechnungswesen und Controlling</x:v>
      </x:c>
      <x:c r="F1738" s="5" t="str">
        <x:v>ui-hq-0020</x:v>
      </x:c>
      <x:c r="G1738" s="5" t="str">
        <x:v>Kosten- und Leistungsrechnung</x:v>
      </x:c>
      <x:c r="H1738" s="5" t="str">
        <x:v>dg-hq-0136</x:v>
      </x:c>
      <x:c r="I1738" s="5" t="str">
        <x:v>6.4.1</x:v>
      </x:c>
      <x:c r="J1738" s="5" t="str">
        <x:v>Die Deckungsbeitragsrechnung als Entscheidungsrechnung</x:v>
      </x:c>
      <x:c r="K1738" s="5" t="str"/>
      <x:c r="L1738" s="5" t="str">
        <x:v>Deckungsbeitragsrechnung, Preisuntergrenzen &amp; Break-even</x:v>
      </x:c>
      <x:c r="M1738" s="5" t="n">
        <x:v>28</x:v>
      </x:c>
      <x:c r="N1738" s="5" t="n">
        <x:v>28</x:v>
      </x:c>
      <x:c r="O1738" s="5" t="str"/>
      <x:c r="P1738" s="5" t="str">
        <x:v>Zuordnungsvorschlag; Fachfreigabe ausstehend</x:v>
      </x:c>
      <x:c r="Q1738" s="5" t="str">
        <x:v>Bestehendes Lernthema fachlich unter passendem Rahmenplan-Unterbereich behalten</x:v>
      </x:c>
      <x:c r="R1738" s="5" t="str">
        <x:v>Fallbezug: Die folgenden betrieblichen Angaben und Situationen beziehen sich auf die Circle Harbor GmbH.
Drei Situationen weisen jeweils 180.000 € Fixkosten auf. A: Erlös 240.000 €, variable Kosten 240.000 €. B: Erlös 200.000 €, variable Kosten 240.000 €. C: Erlös 420.000 €, variable Kosten 240.000 €. Berechnen Sie Deckungsbeitrag und Ergebnis und ordnen Sie kurzfristige Preisuntergrenze, Verlustmehrung oder Break-even zu.</x:v>
      </x:c>
      <x:c r="S1738" s="5" t="str">
        <x:v>615a9755959e0e80387e9768ccb57310ee969c501d415d1e362199e6ac850f3c</x:v>
      </x:c>
    </x:row>
    <x:row r="1739" ht="36" customHeight="1">
      <x:c r="A1739" s="5" t="str">
        <x:v>FC-0029</x:v>
      </x:c>
      <x:c r="B1739" s="5" t="str">
        <x:v>HQ</x:v>
      </x:c>
      <x:c r="C1739" s="5" t="str">
        <x:v>6</x:v>
      </x:c>
      <x:c r="D1739" s="5" t="str">
        <x:v>Investition, Finanzierung, betriebliches Rechnungswesen und Controlling</x:v>
      </x:c>
      <x:c r="E1739" s="5" t="str">
        <x:v>Betriebliches Rechnungswesen und Controlling</x:v>
      </x:c>
      <x:c r="F1739" s="5" t="str">
        <x:v>ui-hq-0020</x:v>
      </x:c>
      <x:c r="G1739" s="5" t="str">
        <x:v>Kosten- und Leistungsrechnung</x:v>
      </x:c>
      <x:c r="H1739" s="5" t="str">
        <x:v>dg-hq-0136</x:v>
      </x:c>
      <x:c r="I1739" s="5" t="str">
        <x:v>6.4.1</x:v>
      </x:c>
      <x:c r="J1739" s="5" t="str">
        <x:v>Die Deckungsbeitragsrechnung als Entscheidungsrechnung</x:v>
      </x:c>
      <x:c r="K1739" s="5" t="str"/>
      <x:c r="L1739" s="5" t="str">
        <x:v>Deckungsbeitragsrechnung, Preisuntergrenzen &amp; Break-even</x:v>
      </x:c>
      <x:c r="M1739" s="5" t="n">
        <x:v>29</x:v>
      </x:c>
      <x:c r="N1739" s="5" t="n">
        <x:v>29</x:v>
      </x:c>
      <x:c r="O1739" s="5" t="str"/>
      <x:c r="P1739" s="5" t="str">
        <x:v>Zuordnungsvorschlag; Fachfreigabe ausstehend</x:v>
      </x:c>
      <x:c r="Q1739" s="5" t="str">
        <x:v>Bestehendes Lernthema fachlich unter passendem Rahmenplan-Unterbereich behalten</x:v>
      </x:c>
      <x:c r="R1739" s="5" t="str">
        <x:v>Circle Harbor gliedert vier Produktgruppen in zwei Geschäftsbereiche. Erlöse: 180.000 €, 140.000 €, 220.000 €, 160.000 €; variable Kosten: 90.000 €, 76.000 €, 120.000 €, 85.000 €; fixe Produktgruppenkosten: 40.000 €, 25.000 €, 50.000 €, 30.000 €. Bereich A (Gruppen 1–2) trägt 45.000 €, Bereich B (3–4) 55.000 € fixe Bereichskosten. Zusätzlich fallen 35.000 € Unternehmensfixkosten an. Ermitteln Sie das Betriebsergebnis stufenweise.</x:v>
      </x:c>
      <x:c r="S1739" s="5" t="str">
        <x:v>fc7fb7a646a0522b35b999f716333444606e939fcda04b5ee38fb002eb0242af</x:v>
      </x:c>
    </x:row>
    <x:row r="1740" ht="36" customHeight="1">
      <x:c r="A1740" s="5" t="str">
        <x:v>FC-0030</x:v>
      </x:c>
      <x:c r="B1740" s="5" t="str">
        <x:v>HQ</x:v>
      </x:c>
      <x:c r="C1740" s="5" t="str">
        <x:v>6</x:v>
      </x:c>
      <x:c r="D1740" s="5" t="str">
        <x:v>Investition, Finanzierung, betriebliches Rechnungswesen und Controlling</x:v>
      </x:c>
      <x:c r="E1740" s="5" t="str">
        <x:v>Betriebliches Rechnungswesen und Controlling</x:v>
      </x:c>
      <x:c r="F1740" s="5" t="str">
        <x:v>ui-hq-0020</x:v>
      </x:c>
      <x:c r="G1740" s="5" t="str">
        <x:v>Kosten- und Leistungsrechnung</x:v>
      </x:c>
      <x:c r="H1740" s="5" t="str">
        <x:v>dg-hq-0136</x:v>
      </x:c>
      <x:c r="I1740" s="5" t="str">
        <x:v>6.4.1.1</x:v>
      </x:c>
      <x:c r="J1740" s="5" t="str">
        <x:v>Mehrstufige Deckungsbeitragsrechnung</x:v>
      </x:c>
      <x:c r="K1740" s="5" t="str"/>
      <x:c r="L1740" s="5" t="str">
        <x:v>Deckungsbeitragsrechnung, Preisuntergrenzen &amp; Break-even</x:v>
      </x:c>
      <x:c r="M1740" s="5" t="n">
        <x:v>30</x:v>
      </x:c>
      <x:c r="N1740" s="5" t="n">
        <x:v>30</x:v>
      </x:c>
      <x:c r="O1740" s="5" t="str"/>
      <x:c r="P1740" s="5" t="str">
        <x:v>Zuordnungsvorschlag; Fachfreigabe ausstehend</x:v>
      </x:c>
      <x:c r="Q1740" s="5" t="str">
        <x:v>Bestehendes Lernthema fachlich unter passendem Rahmenplan-Unterbereich behalten</x:v>
      </x:c>
      <x:c r="R1740" s="5" t="str">
        <x:v>Wie werden fixe Kosten in einer mehrstufigen Deckungsbeitragsrechnung nach ihrer Zurechenbarkeit gegliedert?</x:v>
      </x:c>
      <x:c r="S1740" s="5" t="str">
        <x:v>a9b32d16755c636ceb18e8243ec290b947b5275ddf40ae4fb4cac2cae38881e3</x:v>
      </x:c>
    </x:row>
    <x:row r="1741" ht="36" customHeight="1">
      <x:c r="A1741" s="5" t="str">
        <x:v>FC-0031</x:v>
      </x:c>
      <x:c r="B1741" s="5" t="str">
        <x:v>HQ</x:v>
      </x:c>
      <x:c r="C1741" s="5" t="str">
        <x:v>6</x:v>
      </x:c>
      <x:c r="D1741" s="5" t="str">
        <x:v>Investition, Finanzierung, betriebliches Rechnungswesen und Controlling</x:v>
      </x:c>
      <x:c r="E1741" s="5" t="str">
        <x:v>Betriebliches Rechnungswesen und Controlling</x:v>
      </x:c>
      <x:c r="F1741" s="5" t="str">
        <x:v>ui-hq-0020</x:v>
      </x:c>
      <x:c r="G1741" s="5" t="str">
        <x:v>Kosten- und Leistungsrechnung</x:v>
      </x:c>
      <x:c r="H1741" s="5" t="str">
        <x:v>dg-hq-0136</x:v>
      </x:c>
      <x:c r="I1741" s="5" t="str">
        <x:v>6.4.1.1</x:v>
      </x:c>
      <x:c r="J1741" s="5" t="str">
        <x:v>Mehrstufige Deckungsbeitragsrechnung</x:v>
      </x:c>
      <x:c r="K1741" s="5" t="str"/>
      <x:c r="L1741" s="5" t="str">
        <x:v>Deckungsbeitragsrechnung, Preisuntergrenzen &amp; Break-even</x:v>
      </x:c>
      <x:c r="M1741" s="5" t="n">
        <x:v>31</x:v>
      </x:c>
      <x:c r="N1741" s="5" t="n">
        <x:v>31</x:v>
      </x:c>
      <x:c r="O1741" s="5" t="str"/>
      <x:c r="P1741" s="5" t="str">
        <x:v>Zuordnungsvorschlag; Fachfreigabe ausstehend</x:v>
      </x:c>
      <x:c r="Q1741" s="5" t="str">
        <x:v>Bestehendes Lernthema fachlich unter passendem Rahmenplan-Unterbereich behalten</x:v>
      </x:c>
      <x:c r="R1741" s="5" t="str">
        <x:v>Vervollständigen Sie den Aufbau einer mehrstufigen Deckungsbeitragsrechnung von den Erlösen bis zum Betriebsergebnis.</x:v>
      </x:c>
      <x:c r="S1741" s="5" t="str">
        <x:v>8a78789ae5bcd063d40fb87d060063d3331ce3ab72fd3101955772f52d0495fd</x:v>
      </x:c>
    </x:row>
    <x:row r="1742" ht="36" customHeight="1">
      <x:c r="A1742" s="5" t="str">
        <x:v>FC-0032</x:v>
      </x:c>
      <x:c r="B1742" s="5" t="str">
        <x:v>HQ</x:v>
      </x:c>
      <x:c r="C1742" s="5" t="str">
        <x:v>6</x:v>
      </x:c>
      <x:c r="D1742" s="5" t="str">
        <x:v>Investition, Finanzierung, betriebliches Rechnungswesen und Controlling</x:v>
      </x:c>
      <x:c r="E1742" s="5" t="str">
        <x:v>Betriebliches Rechnungswesen und Controlling</x:v>
      </x:c>
      <x:c r="F1742" s="5" t="str">
        <x:v>ui-hq-0020</x:v>
      </x:c>
      <x:c r="G1742" s="5" t="str">
        <x:v>Kosten- und Leistungsrechnung</x:v>
      </x:c>
      <x:c r="H1742" s="5" t="str">
        <x:v>dg-hq-0136</x:v>
      </x:c>
      <x:c r="I1742" s="5" t="str">
        <x:v>6.4.1.1</x:v>
      </x:c>
      <x:c r="J1742" s="5" t="str">
        <x:v>Mehrstufige Deckungsbeitragsrechnung</x:v>
      </x:c>
      <x:c r="K1742" s="5" t="str"/>
      <x:c r="L1742" s="5" t="str">
        <x:v>Deckungsbeitragsrechnung, Preisuntergrenzen &amp; Break-even</x:v>
      </x:c>
      <x:c r="M1742" s="5" t="n">
        <x:v>32</x:v>
      </x:c>
      <x:c r="N1742" s="5" t="n">
        <x:v>32</x:v>
      </x:c>
      <x:c r="O1742" s="5" t="str"/>
      <x:c r="P1742" s="5" t="str">
        <x:v>Zuordnungsvorschlag; Fachfreigabe ausstehend</x:v>
      </x:c>
      <x:c r="Q1742" s="5" t="str">
        <x:v>Bestehendes Lernthema fachlich unter passendem Rahmenplan-Unterbereich behalten</x:v>
      </x:c>
      <x:c r="R1742" s="5" t="str">
        <x:v>Fallbezug: Die folgenden betrieblichen Angaben und Situationen beziehen sich auf die Circle Harbor GmbH.
In einer mehrstufigen Deckungsbeitragsrechnung erzielt Produkt P einen DB 2 von +18.000 €, seine Produktgruppe nach Abzug der Produktgruppenfixkosten jedoch einen DB 3 von −12.000 €. Welche Aussage lässt sich daraus ableiten und warum wäre eine sofortige Einstellung von P nicht automatisch richtig?</x:v>
      </x:c>
      <x:c r="S1742" s="5" t="str">
        <x:v>4bc63f98435703821dcdad45f4fb529ecffebd93ada6ee1edd890fe7e81eb113</x:v>
      </x:c>
    </x:row>
    <x:row r="1743" ht="36" customHeight="1">
      <x:c r="A1743" s="5" t="str">
        <x:v>FC-0033</x:v>
      </x:c>
      <x:c r="B1743" s="5" t="str">
        <x:v>HQ</x:v>
      </x:c>
      <x:c r="C1743" s="5" t="str">
        <x:v>6</x:v>
      </x:c>
      <x:c r="D1743" s="5" t="str">
        <x:v>Investition, Finanzierung, betriebliches Rechnungswesen und Controlling</x:v>
      </x:c>
      <x:c r="E1743" s="5" t="str">
        <x:v>Betriebliches Rechnungswesen und Controlling</x:v>
      </x:c>
      <x:c r="F1743" s="5" t="str">
        <x:v>ui-hq-0020</x:v>
      </x:c>
      <x:c r="G1743" s="5" t="str">
        <x:v>Kosten- und Leistungsrechnung</x:v>
      </x:c>
      <x:c r="H1743" s="5" t="str">
        <x:v>dg-hq-0136</x:v>
      </x:c>
      <x:c r="I1743" s="5" t="str">
        <x:v>6.4.1</x:v>
      </x:c>
      <x:c r="J1743" s="5" t="str">
        <x:v>Die Deckungsbeitragsrechnung als Entscheidungsrechnung</x:v>
      </x:c>
      <x:c r="K1743" s="5" t="str"/>
      <x:c r="L1743" s="5" t="str">
        <x:v>Make-or-Buy, Auftragsannahme &amp; Engpassplanung</x:v>
      </x:c>
      <x:c r="M1743" s="5" t="n">
        <x:v>33</x:v>
      </x:c>
      <x:c r="N1743" s="5" t="n">
        <x:v>33</x:v>
      </x:c>
      <x:c r="O1743" s="5" t="str"/>
      <x:c r="P1743" s="5" t="str">
        <x:v>Zuordnungsvorschlag; Fachfreigabe ausstehend</x:v>
      </x:c>
      <x:c r="Q1743" s="5" t="str">
        <x:v>Bestehendes Lernthema fachlich unter passendem Rahmenplan-Unterbereich behalten</x:v>
      </x:c>
      <x:c r="R1743" s="5" t="str">
        <x:v>Welche qualitativen Faktoren sprechen typischerweise eher für Outsourcing und welche für Insourcing?</x:v>
      </x:c>
      <x:c r="S1743" s="5" t="str">
        <x:v>cb3dcf45d01c132b53e387b40968f1adcabc97869f1831c7f6a9aef08c371ecc</x:v>
      </x:c>
    </x:row>
    <x:row r="1744" ht="36" customHeight="1">
      <x:c r="A1744" s="5" t="str">
        <x:v>FC-0034</x:v>
      </x:c>
      <x:c r="B1744" s="5" t="str">
        <x:v>HQ</x:v>
      </x:c>
      <x:c r="C1744" s="5" t="str">
        <x:v>6</x:v>
      </x:c>
      <x:c r="D1744" s="5" t="str">
        <x:v>Investition, Finanzierung, betriebliches Rechnungswesen und Controlling</x:v>
      </x:c>
      <x:c r="E1744" s="5" t="str">
        <x:v>Betriebliches Rechnungswesen und Controlling</x:v>
      </x:c>
      <x:c r="F1744" s="5" t="str">
        <x:v>ui-hq-0020</x:v>
      </x:c>
      <x:c r="G1744" s="5" t="str">
        <x:v>Kosten- und Leistungsrechnung</x:v>
      </x:c>
      <x:c r="H1744" s="5" t="str">
        <x:v>dg-hq-0136</x:v>
      </x:c>
      <x:c r="I1744" s="5" t="str">
        <x:v>6.4.1.2</x:v>
      </x:c>
      <x:c r="J1744" s="5" t="str">
        <x:v>Entscheidungen bezüglich Fremdbezug oder Eigenfertigung</x:v>
      </x:c>
      <x:c r="K1744" s="5" t="str"/>
      <x:c r="L1744" s="5" t="str">
        <x:v>Make-or-Buy, Auftragsannahme &amp; Engpassplanung</x:v>
      </x:c>
      <x:c r="M1744" s="5" t="n">
        <x:v>34</x:v>
      </x:c>
      <x:c r="N1744" s="5" t="n">
        <x:v>34</x:v>
      </x:c>
      <x:c r="O1744" s="5" t="str"/>
      <x:c r="P1744" s="5" t="str">
        <x:v>Zuordnungsvorschlag; Fachfreigabe ausstehend</x:v>
      </x:c>
      <x:c r="Q1744" s="5" t="str">
        <x:v>Bestehendes Lernthema fachlich unter passendem Rahmenplan-Unterbereich behalten</x:v>
      </x:c>
      <x:c r="R1744" s="5" t="str">
        <x:v>Fallbezug: Die folgenden betrieblichen Angaben und Situationen beziehen sich auf die Circle Harbor GmbH.
Ein Bauteil kann für 42 € je Stück fremdbezogen werden. Bei Eigenfertigung entstehen 54.000 € vermeidbare Fixkosten und 24 € variable Kosten je Stück. Ermitteln Sie die kritische Menge und beurteilen Sie, ab welcher Menge die Eigenfertigung günstiger ist.</x:v>
      </x:c>
      <x:c r="S1744" s="5" t="str">
        <x:v>3132f8d0dbcffaa7e927582ee7535cdd92249ec4c2ef67e87474d72adb432e65</x:v>
      </x:c>
    </x:row>
    <x:row r="1745" ht="36" customHeight="1">
      <x:c r="A1745" s="5" t="str">
        <x:v>FC-0035</x:v>
      </x:c>
      <x:c r="B1745" s="5" t="str">
        <x:v>HQ</x:v>
      </x:c>
      <x:c r="C1745" s="5" t="str">
        <x:v>6</x:v>
      </x:c>
      <x:c r="D1745" s="5" t="str">
        <x:v>Investition, Finanzierung, betriebliches Rechnungswesen und Controlling</x:v>
      </x:c>
      <x:c r="E1745" s="5" t="str">
        <x:v>Betriebliches Rechnungswesen und Controlling</x:v>
      </x:c>
      <x:c r="F1745" s="5" t="str">
        <x:v>ui-hq-0020</x:v>
      </x:c>
      <x:c r="G1745" s="5" t="str">
        <x:v>Kosten- und Leistungsrechnung</x:v>
      </x:c>
      <x:c r="H1745" s="5" t="str">
        <x:v>dg-hq-0136</x:v>
      </x:c>
      <x:c r="I1745" s="5" t="str">
        <x:v>6.4.1</x:v>
      </x:c>
      <x:c r="J1745" s="5" t="str">
        <x:v>Die Deckungsbeitragsrechnung als Entscheidungsrechnung</x:v>
      </x:c>
      <x:c r="K1745" s="5" t="str"/>
      <x:c r="L1745" s="5" t="str">
        <x:v>Make-or-Buy, Auftragsannahme &amp; Engpassplanung</x:v>
      </x:c>
      <x:c r="M1745" s="5" t="n">
        <x:v>35</x:v>
      </x:c>
      <x:c r="N1745" s="5" t="n">
        <x:v>35</x:v>
      </x:c>
      <x:c r="O1745" s="5" t="str"/>
      <x:c r="P1745" s="5" t="str">
        <x:v>Zuordnungsvorschlag; Fachfreigabe ausstehend</x:v>
      </x:c>
      <x:c r="Q1745" s="5" t="str">
        <x:v>Bestehendes Lernthema fachlich unter passendem Rahmenplan-Unterbereich behalten</x:v>
      </x:c>
      <x:c r="R1745" s="5" t="str">
        <x:v>Circle Harbor verfügt über freie Kapazität. Ein einmaliger Zusatzauftrag über 12.000 Stück bietet 32 € Erlös je Stück; die zusätzlichen variablen Kosten betragen 23 €. Fixkosten verändern sich nicht. Der reguläre Verkaufspreis liegt bei 48 €. Soll der Auftrag rein kurzfristig ergebnisorientiert angenommen werden?</x:v>
      </x:c>
      <x:c r="S1745" s="5" t="str">
        <x:v>1dc3edbb4bcab5c74df144008686a4dbd0c1f25503598c2fb6a33f75c7569ae0</x:v>
      </x:c>
    </x:row>
    <x:row r="1746" ht="36" customHeight="1">
      <x:c r="A1746" s="5" t="str">
        <x:v>FC-0036</x:v>
      </x:c>
      <x:c r="B1746" s="5" t="str">
        <x:v>HQ</x:v>
      </x:c>
      <x:c r="C1746" s="5" t="str">
        <x:v>6</x:v>
      </x:c>
      <x:c r="D1746" s="5" t="str">
        <x:v>Investition, Finanzierung, betriebliches Rechnungswesen und Controlling</x:v>
      </x:c>
      <x:c r="E1746" s="5" t="str">
        <x:v>Betriebliches Rechnungswesen und Controlling</x:v>
      </x:c>
      <x:c r="F1746" s="5" t="str">
        <x:v>ui-hq-0020</x:v>
      </x:c>
      <x:c r="G1746" s="5" t="str">
        <x:v>Kosten- und Leistungsrechnung</x:v>
      </x:c>
      <x:c r="H1746" s="5" t="str">
        <x:v>dg-hq-0136</x:v>
      </x:c>
      <x:c r="I1746" s="5" t="str">
        <x:v>6.4.1.4</x:v>
      </x:c>
      <x:c r="J1746" s="5" t="str">
        <x:v>Relative Deckungsbeitragsrechnung</x:v>
      </x:c>
      <x:c r="K1746" s="5" t="str"/>
      <x:c r="L1746" s="5" t="str">
        <x:v>Make-or-Buy, Auftragsannahme &amp; Engpassplanung</x:v>
      </x:c>
      <x:c r="M1746" s="5" t="n">
        <x:v>36</x:v>
      </x:c>
      <x:c r="N1746" s="5" t="n">
        <x:v>36</x:v>
      </x:c>
      <x:c r="O1746" s="5" t="str"/>
      <x:c r="P1746" s="5" t="str">
        <x:v>Zuordnungsvorschlag; Fachfreigabe ausstehend</x:v>
      </x:c>
      <x:c r="Q1746" s="5" t="str">
        <x:v>Bestehendes Lernthema fachlich unter passendem Rahmenplan-Unterbereich behalten</x:v>
      </x:c>
      <x:c r="R1746" s="5" t="str">
        <x:v>Bewerten Sie die Aussagen zur Berechnung des relativen Deckungsbeitrags bei einem Engpass als richtig oder falsch.</x:v>
      </x:c>
      <x:c r="S1746" s="5" t="str">
        <x:v>002a5dbd7886bce6003de51a9d90e59159508c6d07fd2560081ffe5fd7dc967a</x:v>
      </x:c>
    </x:row>
    <x:row r="1747" ht="36" customHeight="1">
      <x:c r="A1747" s="5" t="str">
        <x:v>FC-0037</x:v>
      </x:c>
      <x:c r="B1747" s="5" t="str">
        <x:v>HQ</x:v>
      </x:c>
      <x:c r="C1747" s="5" t="str">
        <x:v>6</x:v>
      </x:c>
      <x:c r="D1747" s="5" t="str">
        <x:v>Investition, Finanzierung, betriebliches Rechnungswesen und Controlling</x:v>
      </x:c>
      <x:c r="E1747" s="5" t="str">
        <x:v>Betriebliches Rechnungswesen und Controlling</x:v>
      </x:c>
      <x:c r="F1747" s="5" t="str">
        <x:v>ui-hq-0020</x:v>
      </x:c>
      <x:c r="G1747" s="5" t="str">
        <x:v>Kosten- und Leistungsrechnung</x:v>
      </x:c>
      <x:c r="H1747" s="5" t="str">
        <x:v>dg-hq-0136</x:v>
      </x:c>
      <x:c r="I1747" s="5" t="str">
        <x:v>6.4.1.4</x:v>
      </x:c>
      <x:c r="J1747" s="5" t="str">
        <x:v>Relative Deckungsbeitragsrechnung</x:v>
      </x:c>
      <x:c r="K1747" s="5" t="str"/>
      <x:c r="L1747" s="5" t="str">
        <x:v>Make-or-Buy, Auftragsannahme &amp; Engpassplanung</x:v>
      </x:c>
      <x:c r="M1747" s="5" t="n">
        <x:v>37</x:v>
      </x:c>
      <x:c r="N1747" s="5" t="n">
        <x:v>37</x:v>
      </x:c>
      <x:c r="O1747" s="5" t="str"/>
      <x:c r="P1747" s="5" t="str">
        <x:v>Zuordnungsvorschlag; Fachfreigabe ausstehend</x:v>
      </x:c>
      <x:c r="Q1747" s="5" t="str">
        <x:v>Bestehendes Lernthema fachlich unter passendem Rahmenplan-Unterbereich behalten</x:v>
      </x:c>
      <x:c r="R1747" s="5" t="str">
        <x:v>Fallbezug: Die folgenden betrieblichen Angaben und Situationen beziehen sich auf die Circle Harbor GmbH.
Eine Engpassmaschine bietet 24.000 Minuten. Produkt A: Nachfrage 10.000 Stück, Stück-DB 12 €, 1 Min./Stück. B: 8.000 Stück, 18 €, 3 Min. C: 6.000 Stück, 15 €, 1,5 Min. D: 4.000 Stück, 30 €, 4 Min. Bestimmen Sie die Rangfolge nach relativem Deckungsbeitrag und das optimale Produktionsprogramm.</x:v>
      </x:c>
      <x:c r="S1747" s="5" t="str">
        <x:v>bc200e8cafee863288a7589efd50ec9fa4d7631e45d983267cd84517dc9b84d7</x:v>
      </x:c>
    </x:row>
    <x:row r="1748" ht="36" customHeight="1">
      <x:c r="A1748" s="5" t="str">
        <x:v>FC-0038</x:v>
      </x:c>
      <x:c r="B1748" s="5" t="str">
        <x:v>HQ</x:v>
      </x:c>
      <x:c r="C1748" s="5" t="str">
        <x:v>6</x:v>
      </x:c>
      <x:c r="D1748" s="5" t="str">
        <x:v>Investition, Finanzierung, betriebliches Rechnungswesen und Controlling</x:v>
      </x:c>
      <x:c r="E1748" s="5" t="str">
        <x:v>Betriebliches Rechnungswesen und Controlling</x:v>
      </x:c>
      <x:c r="F1748" s="5" t="str">
        <x:v>ui-hq-0020</x:v>
      </x:c>
      <x:c r="G1748" s="5" t="str">
        <x:v>Kosten- und Leistungsrechnung</x:v>
      </x:c>
      <x:c r="H1748" s="5" t="str">
        <x:v>dg-hq-0137</x:v>
      </x:c>
      <x:c r="I1748" s="5" t="str">
        <x:v>6.4.2</x:v>
      </x:c>
      <x:c r="J1748" s="5" t="str">
        <x:v>Normalkostenrechnung</x:v>
      </x:c>
      <x:c r="K1748" s="5" t="str"/>
      <x:c r="L1748" s="5" t="str">
        <x:v>Ist- &amp; Normalkostenrechnung</x:v>
      </x:c>
      <x:c r="M1748" s="5" t="n">
        <x:v>38</x:v>
      </x:c>
      <x:c r="N1748" s="5" t="n">
        <x:v>1</x:v>
      </x:c>
      <x:c r="O1748" s="5" t="str"/>
      <x:c r="P1748" s="5" t="str">
        <x:v>Zuordnungsvorschlag; Fachfreigabe ausstehend</x:v>
      </x:c>
      <x:c r="Q1748" s="5" t="str">
        <x:v>Bestehendes Lernthema fachlich unter passendem Rahmenplan-Unterbereich behalten</x:v>
      </x:c>
      <x:c r="R1748" s="5" t="str">
        <x:v>Stellen Sie Istkostenrechnung, Normalkostenrechnung und Plankostenrechnung hinsichtlich Datenbasis und zeitlicher Ausrichtung gegenüber.</x:v>
      </x:c>
      <x:c r="S1748" s="5" t="str">
        <x:v>8e428ef3d40419ceaa8d966f1e563daa74a138031b67df228d9291b12c55332f</x:v>
      </x:c>
    </x:row>
    <x:row r="1749" ht="36" customHeight="1">
      <x:c r="A1749" s="5" t="str">
        <x:v>FC-0039</x:v>
      </x:c>
      <x:c r="B1749" s="5" t="str">
        <x:v>HQ</x:v>
      </x:c>
      <x:c r="C1749" s="5" t="str">
        <x:v>6</x:v>
      </x:c>
      <x:c r="D1749" s="5" t="str">
        <x:v>Investition, Finanzierung, betriebliches Rechnungswesen und Controlling</x:v>
      </x:c>
      <x:c r="E1749" s="5" t="str">
        <x:v>Betriebliches Rechnungswesen und Controlling</x:v>
      </x:c>
      <x:c r="F1749" s="5" t="str">
        <x:v>ui-hq-0020</x:v>
      </x:c>
      <x:c r="G1749" s="5" t="str">
        <x:v>Kosten- und Leistungsrechnung</x:v>
      </x:c>
      <x:c r="H1749" s="5" t="str">
        <x:v>dg-hq-0137</x:v>
      </x:c>
      <x:c r="I1749" s="5" t="str">
        <x:v>6.4.2</x:v>
      </x:c>
      <x:c r="J1749" s="5" t="str">
        <x:v>Normalkostenrechnung</x:v>
      </x:c>
      <x:c r="K1749" s="5" t="str"/>
      <x:c r="L1749" s="5" t="str">
        <x:v>Ist- &amp; Normalkostenrechnung</x:v>
      </x:c>
      <x:c r="M1749" s="5" t="n">
        <x:v>39</x:v>
      </x:c>
      <x:c r="N1749" s="5" t="n">
        <x:v>2</x:v>
      </x:c>
      <x:c r="O1749" s="5" t="str"/>
      <x:c r="P1749" s="5" t="str">
        <x:v>Zuordnungsvorschlag; Fachfreigabe ausstehend</x:v>
      </x:c>
      <x:c r="Q1749" s="5" t="str">
        <x:v>Bestehendes Lernthema fachlich unter passendem Rahmenplan-Unterbereich behalten</x:v>
      </x:c>
      <x:c r="R1749" s="5" t="str">
        <x:v>Fallbezug: Die folgenden betrieblichen Angaben und Situationen beziehen sich auf die Circle Harbor GmbH.
Die Personalkosten der letzten vier Jahre betrugen 480.000 €, 750.000 €, 510.000 € und 510.000 €. Im zweiten Jahr war darin eine einmalige Abfindung von 250.000 € enthalten. Ermitteln Sie die bereinigten jährlichen Normalkosten und erläutern Sie das Vorgehen.</x:v>
      </x:c>
      <x:c r="S1749" s="5" t="str">
        <x:v>4653d4fc2624cce75f25985959a89fb091f09f90ec23cd2a2673b5bf773976aa</x:v>
      </x:c>
    </x:row>
    <x:row r="1750" ht="36" customHeight="1">
      <x:c r="A1750" s="5" t="str">
        <x:v>FC-0040</x:v>
      </x:c>
      <x:c r="B1750" s="5" t="str">
        <x:v>HQ</x:v>
      </x:c>
      <x:c r="C1750" s="5" t="str">
        <x:v>6</x:v>
      </x:c>
      <x:c r="D1750" s="5" t="str">
        <x:v>Investition, Finanzierung, betriebliches Rechnungswesen und Controlling</x:v>
      </x:c>
      <x:c r="E1750" s="5" t="str">
        <x:v>Betriebliches Rechnungswesen und Controlling</x:v>
      </x:c>
      <x:c r="F1750" s="5" t="str">
        <x:v>ui-hq-0020</x:v>
      </x:c>
      <x:c r="G1750" s="5" t="str">
        <x:v>Kosten- und Leistungsrechnung</x:v>
      </x:c>
      <x:c r="H1750" s="5" t="str">
        <x:v>dg-hq-0137</x:v>
      </x:c>
      <x:c r="I1750" s="5" t="str">
        <x:v>6.4.2</x:v>
      </x:c>
      <x:c r="J1750" s="5" t="str">
        <x:v>Normalkostenrechnung</x:v>
      </x:c>
      <x:c r="K1750" s="5" t="str"/>
      <x:c r="L1750" s="5" t="str">
        <x:v>Ist- &amp; Normalkostenrechnung</x:v>
      </x:c>
      <x:c r="M1750" s="5" t="n">
        <x:v>40</x:v>
      </x:c>
      <x:c r="N1750" s="5" t="n">
        <x:v>3</x:v>
      </x:c>
      <x:c r="O1750" s="5" t="str"/>
      <x:c r="P1750" s="5" t="str">
        <x:v>Zuordnungsvorschlag; Fachfreigabe ausstehend</x:v>
      </x:c>
      <x:c r="Q1750" s="5" t="str">
        <x:v>Bestehendes Lernthema fachlich unter passendem Rahmenplan-Unterbereich behalten</x:v>
      </x:c>
      <x:c r="R1750" s="5" t="str">
        <x:v>Circle Harbor stellt 10.000 Geräte her und verkauft davon 8.500. Die Herstellkosten der gesamten Erzeugung betragen 1.200.000 €. Ermitteln Sie Herstellkosten je Stück, Herstellkosten des Umsatzes und die Bestandsmehrung.</x:v>
      </x:c>
      <x:c r="S1750" s="5" t="str">
        <x:v>e7d9cfb27f92a47d09819bffabac75c540486493270959f54eb534eed29d4a9d</x:v>
      </x:c>
    </x:row>
    <x:row r="1751" ht="36" customHeight="1">
      <x:c r="A1751" s="5" t="str">
        <x:v>FC-0041</x:v>
      </x:c>
      <x:c r="B1751" s="5" t="str">
        <x:v>HQ</x:v>
      </x:c>
      <x:c r="C1751" s="5" t="str">
        <x:v>6</x:v>
      </x:c>
      <x:c r="D1751" s="5" t="str">
        <x:v>Investition, Finanzierung, betriebliches Rechnungswesen und Controlling</x:v>
      </x:c>
      <x:c r="E1751" s="5" t="str">
        <x:v>Betriebliches Rechnungswesen und Controlling</x:v>
      </x:c>
      <x:c r="F1751" s="5" t="str">
        <x:v>ui-hq-0020</x:v>
      </x:c>
      <x:c r="G1751" s="5" t="str">
        <x:v>Kosten- und Leistungsrechnung</x:v>
      </x:c>
      <x:c r="H1751" s="5" t="str">
        <x:v>dg-hq-0138</x:v>
      </x:c>
      <x:c r="I1751" s="5" t="str">
        <x:v>6.4.3</x:v>
      </x:c>
      <x:c r="J1751" s="5" t="str">
        <x:v>Plankostenrechnung</x:v>
      </x:c>
      <x:c r="K1751" s="5" t="str"/>
      <x:c r="L1751" s="5" t="str">
        <x:v>Plankostenrechnung &amp; Abweichungsanalyse</x:v>
      </x:c>
      <x:c r="M1751" s="5" t="n">
        <x:v>41</x:v>
      </x:c>
      <x:c r="N1751" s="5" t="n">
        <x:v>1</x:v>
      </x:c>
      <x:c r="O1751" s="5" t="str"/>
      <x:c r="P1751" s="5" t="str">
        <x:v>Zuordnungsvorschlag; Fachfreigabe ausstehend</x:v>
      </x:c>
      <x:c r="Q1751" s="5" t="str">
        <x:v>Bestehendes Lernthema fachlich unter passendem Rahmenplan-Unterbereich behalten</x:v>
      </x:c>
      <x:c r="R1751" s="5" t="str">
        <x:v>Welche Bezugsgrößen eignen sich, um Kosten in der Plankostenrechnung verursachungsnah zu planen?</x:v>
      </x:c>
      <x:c r="S1751" s="5" t="str">
        <x:v>0d319ca3f8aa6fe9791c2eb451e977e350361600960ca0c5f261e2bf7c8afbda</x:v>
      </x:c>
    </x:row>
    <x:row r="1752" ht="36" customHeight="1">
      <x:c r="A1752" s="5" t="str">
        <x:v>FC-0042</x:v>
      </x:c>
      <x:c r="B1752" s="5" t="str">
        <x:v>HQ</x:v>
      </x:c>
      <x:c r="C1752" s="5" t="str">
        <x:v>6</x:v>
      </x:c>
      <x:c r="D1752" s="5" t="str">
        <x:v>Investition, Finanzierung, betriebliches Rechnungswesen und Controlling</x:v>
      </x:c>
      <x:c r="E1752" s="5" t="str">
        <x:v>Betriebliches Rechnungswesen und Controlling</x:v>
      </x:c>
      <x:c r="F1752" s="5" t="str">
        <x:v>ui-hq-0020</x:v>
      </x:c>
      <x:c r="G1752" s="5" t="str">
        <x:v>Kosten- und Leistungsrechnung</x:v>
      </x:c>
      <x:c r="H1752" s="5" t="str">
        <x:v>dg-hq-0138</x:v>
      </x:c>
      <x:c r="I1752" s="5" t="str">
        <x:v>6.4.3</x:v>
      </x:c>
      <x:c r="J1752" s="5" t="str">
        <x:v>Plankostenrechnung</x:v>
      </x:c>
      <x:c r="K1752" s="5" t="str"/>
      <x:c r="L1752" s="5" t="str">
        <x:v>Plankostenrechnung &amp; Abweichungsanalyse</x:v>
      </x:c>
      <x:c r="M1752" s="5" t="n">
        <x:v>42</x:v>
      </x:c>
      <x:c r="N1752" s="5" t="n">
        <x:v>2</x:v>
      </x:c>
      <x:c r="O1752" s="5" t="str"/>
      <x:c r="P1752" s="5" t="str">
        <x:v>Zuordnungsvorschlag; Fachfreigabe ausstehend</x:v>
      </x:c>
      <x:c r="Q1752" s="5" t="str">
        <x:v>Bestehendes Lernthema fachlich unter passendem Rahmenplan-Unterbereich behalten</x:v>
      </x:c>
      <x:c r="R1752" s="5" t="str">
        <x:v>Was ist ein Plankostenverrechnungssatz und wie wird er berechnet?</x:v>
      </x:c>
      <x:c r="S1752" s="5" t="str">
        <x:v>86d8740e8fbe80f8a79280b3782a9fcd06e2ec4e6359a050d31a9be305cce2a9</x:v>
      </x:c>
    </x:row>
    <x:row r="1753" ht="36" customHeight="1">
      <x:c r="A1753" s="5" t="str">
        <x:v>FC-0043</x:v>
      </x:c>
      <x:c r="B1753" s="5" t="str">
        <x:v>HQ</x:v>
      </x:c>
      <x:c r="C1753" s="5" t="str">
        <x:v>6</x:v>
      </x:c>
      <x:c r="D1753" s="5" t="str">
        <x:v>Investition, Finanzierung, betriebliches Rechnungswesen und Controlling</x:v>
      </x:c>
      <x:c r="E1753" s="5" t="str">
        <x:v>Betriebliches Rechnungswesen und Controlling</x:v>
      </x:c>
      <x:c r="F1753" s="5" t="str">
        <x:v>ui-hq-0020</x:v>
      </x:c>
      <x:c r="G1753" s="5" t="str">
        <x:v>Kosten- und Leistungsrechnung</x:v>
      </x:c>
      <x:c r="H1753" s="5" t="str">
        <x:v>dg-hq-0138</x:v>
      </x:c>
      <x:c r="I1753" s="5" t="str">
        <x:v>6.4.3</x:v>
      </x:c>
      <x:c r="J1753" s="5" t="str">
        <x:v>Plankostenrechnung</x:v>
      </x:c>
      <x:c r="K1753" s="5" t="str"/>
      <x:c r="L1753" s="5" t="str">
        <x:v>Plankostenrechnung &amp; Abweichungsanalyse</x:v>
      </x:c>
      <x:c r="M1753" s="5" t="n">
        <x:v>43</x:v>
      </x:c>
      <x:c r="N1753" s="5" t="n">
        <x:v>3</x:v>
      </x:c>
      <x:c r="O1753" s="5" t="str"/>
      <x:c r="P1753" s="5" t="str">
        <x:v>Zuordnungsvorschlag; Fachfreigabe ausstehend</x:v>
      </x:c>
      <x:c r="Q1753" s="5" t="str">
        <x:v>Bestehendes Lernthema fachlich unter passendem Rahmenplan-Unterbereich behalten</x:v>
      </x:c>
      <x:c r="R1753" s="5" t="str">
        <x:v>Fallbezug: Die folgenden betrieblichen Angaben und Situationen beziehen sich auf die Circle Harbor GmbH.
Für eine Kostenstelle sind 1.000 Stück zu je 0,3 Stunden geplant. Plankosten: 180.000 €, davon 60.000 € fix. Tatsächlich werden 900 Stück gefertigt; Istkosten 174.000 €. Ermitteln Sie Planbeschäftigung, Plankostenverrechnungssatz, Sollkosten, verrechnete Plankosten sowie Beschäftigungs-, Verbrauchs- und Gesamtabweichung nach der Fachbuchkonvention: positive Abweichungen = günstig.</x:v>
      </x:c>
      <x:c r="S1753" s="5" t="str">
        <x:v>de8d33869ba1adf091372b8f9588942ae165166f3ce5fcad9a58f8354d96d2d2</x:v>
      </x:c>
    </x:row>
    <x:row r="1754" ht="36" customHeight="1">
      <x:c r="A1754" s="5" t="str">
        <x:v>FC-0044</x:v>
      </x:c>
      <x:c r="B1754" s="5" t="str">
        <x:v>HQ</x:v>
      </x:c>
      <x:c r="C1754" s="5" t="str">
        <x:v>6</x:v>
      </x:c>
      <x:c r="D1754" s="5" t="str">
        <x:v>Investition, Finanzierung, betriebliches Rechnungswesen und Controlling</x:v>
      </x:c>
      <x:c r="E1754" s="5" t="str">
        <x:v>Betriebliches Rechnungswesen und Controlling</x:v>
      </x:c>
      <x:c r="F1754" s="5" t="str">
        <x:v>ui-hq-0020</x:v>
      </x:c>
      <x:c r="G1754" s="5" t="str">
        <x:v>Kosten- und Leistungsrechnung</x:v>
      </x:c>
      <x:c r="H1754" s="5" t="str">
        <x:v>dg-hq-0138</x:v>
      </x:c>
      <x:c r="I1754" s="5" t="str">
        <x:v>6.4.3.2</x:v>
      </x:c>
      <x:c r="J1754" s="5" t="str">
        <x:v>Flexible Plankostenrechnung</x:v>
      </x:c>
      <x:c r="K1754" s="5" t="str"/>
      <x:c r="L1754" s="5" t="str">
        <x:v>Plankostenrechnung &amp; Abweichungsanalyse</x:v>
      </x:c>
      <x:c r="M1754" s="5" t="n">
        <x:v>44</x:v>
      </x:c>
      <x:c r="N1754" s="5" t="n">
        <x:v>4</x:v>
      </x:c>
      <x:c r="O1754" s="5" t="str"/>
      <x:c r="P1754" s="5" t="str">
        <x:v>Zuordnungsvorschlag; Fachfreigabe ausstehend</x:v>
      </x:c>
      <x:c r="Q1754" s="5" t="str">
        <x:v>Bestehendes Lernthema fachlich unter passendem Rahmenplan-Unterbereich behalten</x:v>
      </x:c>
      <x:c r="R1754" s="5" t="str">
        <x:v>Was zeigen Beschäftigungsabweichung, Verbrauchsabweichung und Gesamtabweichung in der flexiblen Plankostenrechnung? Verwenden Sie die Fachbuchkonvention: positive Werte = günstig, negative Werte = ungünstig.</x:v>
      </x:c>
      <x:c r="S1754" s="5" t="str">
        <x:v>3195c7f0894f9fd3a2ad601dc8da3ef0cb218b1f277180a7c7a2c92d6b54cb9e</x:v>
      </x:c>
    </x:row>
    <x:row r="1755" ht="36" customHeight="1">
      <x:c r="A1755" s="5" t="str">
        <x:v>FC-0045</x:v>
      </x:c>
      <x:c r="B1755" s="5" t="str">
        <x:v>HQ</x:v>
      </x:c>
      <x:c r="C1755" s="5" t="str">
        <x:v>6</x:v>
      </x:c>
      <x:c r="D1755" s="5" t="str">
        <x:v>Investition, Finanzierung, betriebliches Rechnungswesen und Controlling</x:v>
      </x:c>
      <x:c r="E1755" s="5" t="str">
        <x:v>Betriebliches Rechnungswesen und Controlling</x:v>
      </x:c>
      <x:c r="F1755" s="5" t="str">
        <x:v>ui-hq-0020</x:v>
      </x:c>
      <x:c r="G1755" s="5" t="str">
        <x:v>Kosten- und Leistungsrechnung</x:v>
      </x:c>
      <x:c r="H1755" s="5" t="str">
        <x:v>dg-hq-0138</x:v>
      </x:c>
      <x:c r="I1755" s="5" t="str">
        <x:v>6.4.3</x:v>
      </x:c>
      <x:c r="J1755" s="5" t="str">
        <x:v>Plankostenrechnung</x:v>
      </x:c>
      <x:c r="K1755" s="5" t="str"/>
      <x:c r="L1755" s="5" t="str">
        <x:v>Plankostenrechnung &amp; Abweichungsanalyse</x:v>
      </x:c>
      <x:c r="M1755" s="5" t="n">
        <x:v>45</x:v>
      </x:c>
      <x:c r="N1755" s="5" t="n">
        <x:v>5</x:v>
      </x:c>
      <x:c r="O1755" s="5" t="str"/>
      <x:c r="P1755" s="5" t="str">
        <x:v>Zuordnungsvorschlag; Fachfreigabe ausstehend</x:v>
      </x:c>
      <x:c r="Q1755" s="5" t="str">
        <x:v>Bestehendes Lernthema fachlich unter passendem Rahmenplan-Unterbereich behalten</x:v>
      </x:c>
      <x:c r="R1755" s="5" t="str">
        <x:v>Im Controlling von Circle Harbor plant eine Kostenstelle bei Vollbeschäftigung 80.000 € variable und 50.000 € fixe Kosten. Die Istbeschäftigung beträgt 92 %, die Istkosten 128.500 €. Berechnen Sie Sollkosten, verrechnete Plankosten sowie Verbrauchs-, Beschäftigungs- und Gesamtabweichung nach der Fachbuchkonvention: positive Abweichungen = günstig.</x:v>
      </x:c>
      <x:c r="S1755" s="5" t="str">
        <x:v>48f1bf83e5349b7f479c01ca760866079f2625a5a3f47eb2e0487f92588a1999</x:v>
      </x:c>
    </x:row>
    <x:row r="1756" ht="36" customHeight="1">
      <x:c r="A1756" s="5" t="str">
        <x:v>FC-0046</x:v>
      </x:c>
      <x:c r="B1756" s="5" t="str">
        <x:v>HQ</x:v>
      </x:c>
      <x:c r="C1756" s="5" t="str">
        <x:v>6</x:v>
      </x:c>
      <x:c r="D1756" s="5" t="str">
        <x:v>Investition, Finanzierung, betriebliches Rechnungswesen und Controlling</x:v>
      </x:c>
      <x:c r="E1756" s="5" t="str">
        <x:v>Betriebliches Rechnungswesen und Controlling</x:v>
      </x:c>
      <x:c r="F1756" s="5" t="str">
        <x:v>ui-hq-0020</x:v>
      </x:c>
      <x:c r="G1756" s="5" t="str">
        <x:v>Kosten- und Leistungsrechnung</x:v>
      </x:c>
      <x:c r="H1756" s="5" t="str">
        <x:v>dg-hq-0139</x:v>
      </x:c>
      <x:c r="I1756" s="5" t="str">
        <x:v>6.4.4.1</x:v>
      </x:c>
      <x:c r="J1756" s="5" t="str">
        <x:v>Target Costing</x:v>
      </x:c>
      <x:c r="K1756" s="5" t="str"/>
      <x:c r="L1756" s="5" t="str">
        <x:v>Target Costing</x:v>
      </x:c>
      <x:c r="M1756" s="5" t="n">
        <x:v>46</x:v>
      </x:c>
      <x:c r="N1756" s="5" t="n">
        <x:v>1</x:v>
      </x:c>
      <x:c r="O1756" s="5" t="str"/>
      <x:c r="P1756" s="5" t="str">
        <x:v>Zuordnungsvorschlag; Fachfreigabe ausstehend</x:v>
      </x:c>
      <x:c r="Q1756" s="5" t="str">
        <x:v>Bestehendes Lernthema fachlich unter passendem Rahmenplan-Unterbereich behalten</x:v>
      </x:c>
      <x:c r="R1756" s="5" t="str">
        <x:v>Beschreiben Sie das Grundprinzip des Target Costing und erklären Sie den Unterschied zwischen erlaubten Kosten und voraussichtlichen Standardkosten.</x:v>
      </x:c>
      <x:c r="S1756" s="5" t="str">
        <x:v>73ac31c6fc514545650284b6a1a5214ba13a2f6850a5a4cc8f7af27b7306e903</x:v>
      </x:c>
    </x:row>
    <x:row r="1757" ht="36" customHeight="1">
      <x:c r="A1757" s="5" t="str">
        <x:v>FC-0047</x:v>
      </x:c>
      <x:c r="B1757" s="5" t="str">
        <x:v>HQ</x:v>
      </x:c>
      <x:c r="C1757" s="5" t="str">
        <x:v>6</x:v>
      </x:c>
      <x:c r="D1757" s="5" t="str">
        <x:v>Investition, Finanzierung, betriebliches Rechnungswesen und Controlling</x:v>
      </x:c>
      <x:c r="E1757" s="5" t="str">
        <x:v>Betriebliches Rechnungswesen und Controlling</x:v>
      </x:c>
      <x:c r="F1757" s="5" t="str">
        <x:v>ui-hq-0020</x:v>
      </x:c>
      <x:c r="G1757" s="5" t="str">
        <x:v>Kosten- und Leistungsrechnung</x:v>
      </x:c>
      <x:c r="H1757" s="5" t="str">
        <x:v>dg-hq-0139</x:v>
      </x:c>
      <x:c r="I1757" s="5" t="str">
        <x:v>6.4.4.1</x:v>
      </x:c>
      <x:c r="J1757" s="5" t="str">
        <x:v>Target Costing</x:v>
      </x:c>
      <x:c r="K1757" s="5" t="str"/>
      <x:c r="L1757" s="5" t="str">
        <x:v>Target Costing</x:v>
      </x:c>
      <x:c r="M1757" s="5" t="n">
        <x:v>47</x:v>
      </x:c>
      <x:c r="N1757" s="5" t="n">
        <x:v>2</x:v>
      </x:c>
      <x:c r="O1757" s="5" t="str"/>
      <x:c r="P1757" s="5" t="str">
        <x:v>Zuordnungsvorschlag; Fachfreigabe ausstehend</x:v>
      </x:c>
      <x:c r="Q1757" s="5" t="str">
        <x:v>Bestehendes Lernthema fachlich unter passendem Rahmenplan-Unterbereich behalten</x:v>
      </x:c>
      <x:c r="R1757" s="5" t="str">
        <x:v>Für ein neues Gerät werden die Kundennutzen mit 50 % Leistung, 30 % Energieeffizienz und 20 % Design gewichtet. Anteil der Komponenten am jeweiligen Teilnutzen: Heizelement 50/20/10 %, Isolierung 20/60/20 %, Gehäuse 30/20/70 %. Die erlaubten Gesamtkosten betragen 900 €. Die derzeitigen Standardkosten liegen bei 340 €, 260 € und 350 €. Ermitteln Sie die Komponentengewichte, Zielkosten und den Kostenanpassungsbedarf.</x:v>
      </x:c>
      <x:c r="S1757" s="5" t="str">
        <x:v>12897ef862787371b4d3db4a919ad5f7d9c0c0985b18ae4523228294ce83caa6</x:v>
      </x:c>
    </x:row>
    <x:row r="1758" ht="36" customHeight="1">
      <x:c r="A1758" s="5" t="str">
        <x:v>FC-0048</x:v>
      </x:c>
      <x:c r="B1758" s="5" t="str">
        <x:v>HQ</x:v>
      </x:c>
      <x:c r="C1758" s="5" t="str">
        <x:v>6</x:v>
      </x:c>
      <x:c r="D1758" s="5" t="str">
        <x:v>Investition, Finanzierung, betriebliches Rechnungswesen und Controlling</x:v>
      </x:c>
      <x:c r="E1758" s="5" t="str">
        <x:v>Betriebliches Rechnungswesen und Controlling</x:v>
      </x:c>
      <x:c r="F1758" s="5" t="str">
        <x:v>ui-hq-0020</x:v>
      </x:c>
      <x:c r="G1758" s="5" t="str">
        <x:v>Kosten- und Leistungsrechnung</x:v>
      </x:c>
      <x:c r="H1758" s="5" t="str">
        <x:v>dg-hq-0139</x:v>
      </x:c>
      <x:c r="I1758" s="5" t="str">
        <x:v>6.4.4.1</x:v>
      </x:c>
      <x:c r="J1758" s="5" t="str">
        <x:v>Target Costing</x:v>
      </x:c>
      <x:c r="K1758" s="5" t="str"/>
      <x:c r="L1758" s="5" t="str">
        <x:v>Target Costing</x:v>
      </x:c>
      <x:c r="M1758" s="5" t="n">
        <x:v>48</x:v>
      </x:c>
      <x:c r="N1758" s="5" t="n">
        <x:v>3</x:v>
      </x:c>
      <x:c r="O1758" s="5" t="str"/>
      <x:c r="P1758" s="5" t="str">
        <x:v>Zuordnungsvorschlag; Fachfreigabe ausstehend</x:v>
      </x:c>
      <x:c r="Q1758" s="5" t="str">
        <x:v>Bestehendes Lernthema fachlich unter passendem Rahmenplan-Unterbereich behalten</x:v>
      </x:c>
      <x:c r="R1758" s="5" t="str">
        <x:v>Fallbezug: Die folgenden betrieblichen Angaben und Situationen beziehen sich auf die Circle Harbor GmbH.
Ein Marktpreis von 4.200 € gilt als realistisch; der gewünschte Gewinn beträgt 12 % des Verkaufspreises. Kundennutzen: Komfort 30 %, Reichweite 45 %, Handhabung 25 %. Komponentenanteile am Teilnutzen: Rahmen 50/10/30 %, Antrieb 20/80/20 %, Fahrwerk 30/10/50 %. Ermitteln Sie die maximal erlaubten Gesamtkosten und die Zielkosten je Komponente.</x:v>
      </x:c>
      <x:c r="S1758" s="5" t="str">
        <x:v>ff692e5c25b9bd2b953ab920462f17b6dc01683f0a6c89e06345e21ec655c9d2</x:v>
      </x:c>
    </x:row>
    <x:row r="1759" ht="36" customHeight="1">
      <x:c r="A1759" s="5" t="str">
        <x:v>FC-0049</x:v>
      </x:c>
      <x:c r="B1759" s="5" t="str">
        <x:v>HQ</x:v>
      </x:c>
      <x:c r="C1759" s="5" t="str">
        <x:v>6</x:v>
      </x:c>
      <x:c r="D1759" s="5" t="str">
        <x:v>Investition, Finanzierung, betriebliches Rechnungswesen und Controlling</x:v>
      </x:c>
      <x:c r="E1759" s="5" t="str">
        <x:v>Betriebliches Rechnungswesen und Controlling</x:v>
      </x:c>
      <x:c r="F1759" s="5" t="str">
        <x:v>ui-hq-0020</x:v>
      </x:c>
      <x:c r="G1759" s="5" t="str">
        <x:v>Kosten- und Leistungsrechnung</x:v>
      </x:c>
      <x:c r="H1759" s="5" t="str">
        <x:v>dg-hq-0140</x:v>
      </x:c>
      <x:c r="I1759" s="5" t="str">
        <x:v>6.4.4.2</x:v>
      </x:c>
      <x:c r="J1759" s="5" t="str">
        <x:v>Prozesskostenrechnung</x:v>
      </x:c>
      <x:c r="K1759" s="5" t="str"/>
      <x:c r="L1759" s="5" t="str">
        <x:v>Prozesskostenrechnung</x:v>
      </x:c>
      <x:c r="M1759" s="5" t="n">
        <x:v>49</x:v>
      </x:c>
      <x:c r="N1759" s="5" t="n">
        <x:v>1</x:v>
      </x:c>
      <x:c r="O1759" s="5" t="str"/>
      <x:c r="P1759" s="5" t="str">
        <x:v>Zuordnungsvorschlag; Fachfreigabe ausstehend</x:v>
      </x:c>
      <x:c r="Q1759" s="5" t="str">
        <x:v>Bestehendes Lernthema fachlich unter passendem Rahmenplan-Unterbereich behalten</x:v>
      </x:c>
      <x:c r="R1759" s="5" t="str">
        <x:v>Ordnen Sie die grundlegenden Arbeitsschritte der Prozesskostenrechnung.</x:v>
      </x:c>
      <x:c r="S1759" s="5" t="str">
        <x:v>dd71e752c47ed1957a643bde93971add37a969d531f5f5f1705c927df765edf5</x:v>
      </x:c>
    </x:row>
    <x:row r="1760" ht="36" customHeight="1">
      <x:c r="A1760" s="5" t="str">
        <x:v>FC-0050</x:v>
      </x:c>
      <x:c r="B1760" s="5" t="str">
        <x:v>HQ</x:v>
      </x:c>
      <x:c r="C1760" s="5" t="str">
        <x:v>6</x:v>
      </x:c>
      <x:c r="D1760" s="5" t="str">
        <x:v>Investition, Finanzierung, betriebliches Rechnungswesen und Controlling</x:v>
      </x:c>
      <x:c r="E1760" s="5" t="str">
        <x:v>Betriebliches Rechnungswesen und Controlling</x:v>
      </x:c>
      <x:c r="F1760" s="5" t="str">
        <x:v>ui-hq-0020</x:v>
      </x:c>
      <x:c r="G1760" s="5" t="str">
        <x:v>Kosten- und Leistungsrechnung</x:v>
      </x:c>
      <x:c r="H1760" s="5" t="str">
        <x:v>dg-hq-0140</x:v>
      </x:c>
      <x:c r="I1760" s="5" t="str">
        <x:v>6.4.4.2</x:v>
      </x:c>
      <x:c r="J1760" s="5" t="str">
        <x:v>Prozesskostenrechnung</x:v>
      </x:c>
      <x:c r="K1760" s="5" t="str"/>
      <x:c r="L1760" s="5" t="str">
        <x:v>Prozesskostenrechnung</x:v>
      </x:c>
      <x:c r="M1760" s="5" t="n">
        <x:v>50</x:v>
      </x:c>
      <x:c r="N1760" s="5" t="n">
        <x:v>2</x:v>
      </x:c>
      <x:c r="O1760" s="5" t="str"/>
      <x:c r="P1760" s="5" t="str">
        <x:v>Zuordnungsvorschlag; Fachfreigabe ausstehend</x:v>
      </x:c>
      <x:c r="Q1760" s="5" t="str">
        <x:v>Bestehendes Lernthema fachlich unter passendem Rahmenplan-Unterbereich behalten</x:v>
      </x:c>
      <x:c r="R1760" s="5" t="str">
        <x:v>Was ist ein Kostentreiber in der Prozesskostenrechnung? Nennen Sie zwei Beispiele.</x:v>
      </x:c>
      <x:c r="S1760" s="5" t="str">
        <x:v>52dc326bde46f54a20d17cc24d47c203f712b9ec10eed98fa71c82bb1d332bb8</x:v>
      </x:c>
    </x:row>
    <x:row r="1761" ht="36" customHeight="1">
      <x:c r="A1761" s="5" t="str">
        <x:v>FC-0051</x:v>
      </x:c>
      <x:c r="B1761" s="5" t="str">
        <x:v>HQ</x:v>
      </x:c>
      <x:c r="C1761" s="5" t="str">
        <x:v>6</x:v>
      </x:c>
      <x:c r="D1761" s="5" t="str">
        <x:v>Investition, Finanzierung, betriebliches Rechnungswesen und Controlling</x:v>
      </x:c>
      <x:c r="E1761" s="5" t="str">
        <x:v>Betriebliches Rechnungswesen und Controlling</x:v>
      </x:c>
      <x:c r="F1761" s="5" t="str">
        <x:v>ui-hq-0020</x:v>
      </x:c>
      <x:c r="G1761" s="5" t="str">
        <x:v>Kosten- und Leistungsrechnung</x:v>
      </x:c>
      <x:c r="H1761" s="5" t="str">
        <x:v>dg-hq-0140</x:v>
      </x:c>
      <x:c r="I1761" s="5" t="str">
        <x:v>6.4.4.2</x:v>
      </x:c>
      <x:c r="J1761" s="5" t="str">
        <x:v>Prozesskostenrechnung</x:v>
      </x:c>
      <x:c r="K1761" s="5" t="str"/>
      <x:c r="L1761" s="5" t="str">
        <x:v>Prozesskostenrechnung</x:v>
      </x:c>
      <x:c r="M1761" s="5" t="n">
        <x:v>51</x:v>
      </x:c>
      <x:c r="N1761" s="5" t="n">
        <x:v>3</x:v>
      </x:c>
      <x:c r="O1761" s="5" t="str"/>
      <x:c r="P1761" s="5" t="str">
        <x:v>Zuordnungsvorschlag; Fachfreigabe ausstehend</x:v>
      </x:c>
      <x:c r="Q1761" s="5" t="str">
        <x:v>Bestehendes Lernthema fachlich unter passendem Rahmenplan-Unterbereich behalten</x:v>
      </x:c>
      <x:c r="R1761" s="5" t="str">
        <x:v>Wie wird der Prozesskostensatz für einen leistungsmengeninduzierten Prozess berechnet?</x:v>
      </x:c>
      <x:c r="S1761" s="5" t="str">
        <x:v>d4dcc1f2f7a6c7eb7b50c21b90ebeb6d34724d0334c50f5350969d3106690d7c</x:v>
      </x:c>
    </x:row>
    <x:row r="1762" ht="36" customHeight="1">
      <x:c r="A1762" s="5" t="str">
        <x:v>FC-0052</x:v>
      </x:c>
      <x:c r="B1762" s="5" t="str">
        <x:v>HQ</x:v>
      </x:c>
      <x:c r="C1762" s="5" t="str">
        <x:v>6</x:v>
      </x:c>
      <x:c r="D1762" s="5" t="str">
        <x:v>Investition, Finanzierung, betriebliches Rechnungswesen und Controlling</x:v>
      </x:c>
      <x:c r="E1762" s="5" t="str">
        <x:v>Betriebliches Rechnungswesen und Controlling</x:v>
      </x:c>
      <x:c r="F1762" s="5" t="str">
        <x:v>ui-hq-0020</x:v>
      </x:c>
      <x:c r="G1762" s="5" t="str">
        <x:v>Kosten- und Leistungsrechnung</x:v>
      </x:c>
      <x:c r="H1762" s="5" t="str">
        <x:v>dg-hq-0140</x:v>
      </x:c>
      <x:c r="I1762" s="5" t="str">
        <x:v>6.4.4.2</x:v>
      </x:c>
      <x:c r="J1762" s="5" t="str">
        <x:v>Prozesskostenrechnung</x:v>
      </x:c>
      <x:c r="K1762" s="5" t="str"/>
      <x:c r="L1762" s="5" t="str">
        <x:v>Prozesskostenrechnung</x:v>
      </x:c>
      <x:c r="M1762" s="5" t="n">
        <x:v>52</x:v>
      </x:c>
      <x:c r="N1762" s="5" t="n">
        <x:v>4</x:v>
      </x:c>
      <x:c r="O1762" s="5" t="str"/>
      <x:c r="P1762" s="5" t="str">
        <x:v>Zuordnungsvorschlag; Fachfreigabe ausstehend</x:v>
      </x:c>
      <x:c r="Q1762" s="5" t="str">
        <x:v>Bestehendes Lernthema fachlich unter passendem Rahmenplan-Unterbereich behalten</x:v>
      </x:c>
      <x:c r="R1762" s="5" t="str">
        <x:v>Wie werden leistungsmengenneutrale bzw. prozessmengenunabhängige Kosten in der Prozesskostenrechnung auf leistungsmengeninduzierte Prozesse verrechnet?</x:v>
      </x:c>
      <x:c r="S1762" s="5" t="str">
        <x:v>06544b1345e1b5cfedf257833e50c2e2c62b137955f195c28272e158a902e18a</x:v>
      </x:c>
    </x:row>
    <x:row r="1763" ht="36" customHeight="1">
      <x:c r="A1763" s="5" t="str">
        <x:v>FC-0053</x:v>
      </x:c>
      <x:c r="B1763" s="5" t="str">
        <x:v>HQ</x:v>
      </x:c>
      <x:c r="C1763" s="5" t="str">
        <x:v>6</x:v>
      </x:c>
      <x:c r="D1763" s="5" t="str">
        <x:v>Investition, Finanzierung, betriebliches Rechnungswesen und Controlling</x:v>
      </x:c>
      <x:c r="E1763" s="5" t="str">
        <x:v>Betriebliches Rechnungswesen und Controlling</x:v>
      </x:c>
      <x:c r="F1763" s="5" t="str">
        <x:v>ui-hq-0020</x:v>
      </x:c>
      <x:c r="G1763" s="5" t="str">
        <x:v>Kosten- und Leistungsrechnung</x:v>
      </x:c>
      <x:c r="H1763" s="5" t="str">
        <x:v>dg-hq-0140</x:v>
      </x:c>
      <x:c r="I1763" s="5" t="str">
        <x:v>6.4.4.2</x:v>
      </x:c>
      <x:c r="J1763" s="5" t="str">
        <x:v>Prozesskostenrechnung</x:v>
      </x:c>
      <x:c r="K1763" s="5" t="str"/>
      <x:c r="L1763" s="5" t="str">
        <x:v>Prozesskostenrechnung</x:v>
      </x:c>
      <x:c r="M1763" s="5" t="n">
        <x:v>53</x:v>
      </x:c>
      <x:c r="N1763" s="5" t="n">
        <x:v>5</x:v>
      </x:c>
      <x:c r="O1763" s="5" t="str"/>
      <x:c r="P1763" s="5" t="str">
        <x:v>Zuordnungsvorschlag; Fachfreigabe ausstehend</x:v>
      </x:c>
      <x:c r="Q1763" s="5" t="str">
        <x:v>Bestehendes Lernthema fachlich unter passendem Rahmenplan-Unterbereich behalten</x:v>
      </x:c>
      <x:c r="R1763" s="5" t="str">
        <x:v>Für welche Arten von Tätigkeiten eignet sich die Prozesskostenrechnung besonders gut?</x:v>
      </x:c>
      <x:c r="S1763" s="5" t="str">
        <x:v>a88034245a99bca16833b8949c406569ee759157ab679acc35c6bee8745948c6</x:v>
      </x:c>
    </x:row>
    <x:row r="1764" ht="36" customHeight="1">
      <x:c r="A1764" s="5" t="str">
        <x:v>FC-0054</x:v>
      </x:c>
      <x:c r="B1764" s="5" t="str">
        <x:v>HQ</x:v>
      </x:c>
      <x:c r="C1764" s="5" t="str">
        <x:v>6</x:v>
      </x:c>
      <x:c r="D1764" s="5" t="str">
        <x:v>Investition, Finanzierung, betriebliches Rechnungswesen und Controlling</x:v>
      </x:c>
      <x:c r="E1764" s="5" t="str">
        <x:v>Betriebliches Rechnungswesen und Controlling</x:v>
      </x:c>
      <x:c r="F1764" s="5" t="str">
        <x:v>ui-hq-0020</x:v>
      </x:c>
      <x:c r="G1764" s="5" t="str">
        <x:v>Kosten- und Leistungsrechnung</x:v>
      </x:c>
      <x:c r="H1764" s="5" t="str">
        <x:v>dg-hq-0140</x:v>
      </x:c>
      <x:c r="I1764" s="5" t="str">
        <x:v>6.4.4.2</x:v>
      </x:c>
      <x:c r="J1764" s="5" t="str">
        <x:v>Prozesskostenrechnung</x:v>
      </x:c>
      <x:c r="K1764" s="5" t="str"/>
      <x:c r="L1764" s="5" t="str">
        <x:v>Prozesskostenrechnung</x:v>
      </x:c>
      <x:c r="M1764" s="5" t="n">
        <x:v>54</x:v>
      </x:c>
      <x:c r="N1764" s="5" t="n">
        <x:v>6</x:v>
      </x:c>
      <x:c r="O1764" s="5" t="str"/>
      <x:c r="P1764" s="5" t="str">
        <x:v>Zuordnungsvorschlag; Fachfreigabe ausstehend</x:v>
      </x:c>
      <x:c r="Q1764" s="5" t="str">
        <x:v>Bestehendes Lernthema fachlich unter passendem Rahmenplan-Unterbereich behalten</x:v>
      </x:c>
      <x:c r="R1764" s="5" t="str">
        <x:v>Fallbezug: Die folgenden betrieblichen Angaben und Situationen beziehen sich auf die Circle Harbor GmbH.
Für drei Prozesse gelten: Prüfung 2.400 € Kosten bei 120 Vorgängen, Verpackung 1.800 € bei 300 Paketen, Kundenabstimmung 900 € bei 60 Gesprächen. Zusätzlich fallen 1.020 € leistungsmengenneutrale Kosten an. Verteilen Sie diese proportional über einen Umlagesatz auf die Prozesskosten und kalkulieren Sie einen Auftrag mit 1 Prüfung, 3 Paketen und 0,5 Gespräch.</x:v>
      </x:c>
      <x:c r="S1764" s="5" t="str">
        <x:v>3b61911342d84ff635fa8505071ffa1289cf797f7fbfda86b91a5795d2493db4</x:v>
      </x:c>
    </x:row>
    <x:row r="1765" ht="36" customHeight="1">
      <x:c r="A1765" s="5" t="str">
        <x:v>FC-0055</x:v>
      </x:c>
      <x:c r="B1765" s="5" t="str">
        <x:v>HQ</x:v>
      </x:c>
      <x:c r="C1765" s="5" t="str">
        <x:v>6</x:v>
      </x:c>
      <x:c r="D1765" s="5" t="str">
        <x:v>Investition, Finanzierung, betriebliches Rechnungswesen und Controlling</x:v>
      </x:c>
      <x:c r="E1765" s="5" t="str">
        <x:v>Betriebliches Rechnungswesen und Controlling</x:v>
      </x:c>
      <x:c r="F1765" s="5" t="str">
        <x:v>ui-hq-0021</x:v>
      </x:c>
      <x:c r="G1765" s="5" t="str">
        <x:v>Controlling</x:v>
      </x:c>
      <x:c r="H1765" s="5" t="str">
        <x:v>dg-hq-0141</x:v>
      </x:c>
      <x:c r="I1765" s="5" t="str">
        <x:v>6.5.1</x:v>
      </x:c>
      <x:c r="J1765" s="5" t="str">
        <x:v>Begriff und Notwendigkeit des Controlling</x:v>
      </x:c>
      <x:c r="K1765" s="5" t="str"/>
      <x:c r="L1765" s="5" t="str">
        <x:v>Controlling-Grundlagen, Aufgaben &amp; Organisation</x:v>
      </x:c>
      <x:c r="M1765" s="5" t="n">
        <x:v>1</x:v>
      </x:c>
      <x:c r="N1765" s="5" t="n">
        <x:v>1</x:v>
      </x:c>
      <x:c r="O1765" s="5" t="str"/>
      <x:c r="P1765" s="5" t="str">
        <x:v>Zuordnungsvorschlag; Fachfreigabe ausstehend</x:v>
      </x:c>
      <x:c r="Q1765" s="5" t="str">
        <x:v>Bestehendes Lernthema fachlich unter passendem Rahmenplan-Unterbereich behalten</x:v>
      </x:c>
      <x:c r="R1765" s="5" t="str">
        <x:v>Welche Aussagen beschreiben Controlling zutreffend und welche greifen zu kurz?</x:v>
      </x:c>
      <x:c r="S1765" s="5" t="str">
        <x:v>59bc797d518d58cde5f401450c1ca189709cd44e6475f53eca9879a213c78b7f</x:v>
      </x:c>
    </x:row>
    <x:row r="1766" ht="36" customHeight="1">
      <x:c r="A1766" s="5" t="str">
        <x:v>FC-0056</x:v>
      </x:c>
      <x:c r="B1766" s="5" t="str">
        <x:v>HQ</x:v>
      </x:c>
      <x:c r="C1766" s="5" t="str">
        <x:v>6</x:v>
      </x:c>
      <x:c r="D1766" s="5" t="str">
        <x:v>Investition, Finanzierung, betriebliches Rechnungswesen und Controlling</x:v>
      </x:c>
      <x:c r="E1766" s="5" t="str">
        <x:v>Betriebliches Rechnungswesen und Controlling</x:v>
      </x:c>
      <x:c r="F1766" s="5" t="str">
        <x:v>ui-hq-0021</x:v>
      </x:c>
      <x:c r="G1766" s="5" t="str">
        <x:v>Controlling</x:v>
      </x:c>
      <x:c r="H1766" s="5" t="str">
        <x:v>dg-hq-0141</x:v>
      </x:c>
      <x:c r="I1766" s="5" t="str">
        <x:v>6.5.1</x:v>
      </x:c>
      <x:c r="J1766" s="5" t="str">
        <x:v>Begriff und Notwendigkeit des Controlling</x:v>
      </x:c>
      <x:c r="K1766" s="5" t="str"/>
      <x:c r="L1766" s="5" t="str">
        <x:v>Controlling-Grundlagen, Aufgaben &amp; Organisation</x:v>
      </x:c>
      <x:c r="M1766" s="5" t="n">
        <x:v>2</x:v>
      </x:c>
      <x:c r="N1766" s="5" t="n">
        <x:v>2</x:v>
      </x:c>
      <x:c r="O1766" s="5" t="str"/>
      <x:c r="P1766" s="5" t="str">
        <x:v>Zuordnungsvorschlag; Fachfreigabe ausstehend</x:v>
      </x:c>
      <x:c r="Q1766" s="5" t="str">
        <x:v>Bestehendes Lernthema fachlich unter passendem Rahmenplan-Unterbereich behalten</x:v>
      </x:c>
      <x:c r="R1766" s="5" t="str">
        <x:v>Wie unterscheiden sich Controlling als Stabsstelle und als Linienstelle hinsichtlich Beratung, Entscheidungs- und Weisungsbefugnissen?</x:v>
      </x:c>
      <x:c r="S1766" s="5" t="str">
        <x:v>e24862647728c1f2d462ddd41f6c5f59c55c8e9a8a4ccf1d49ff3ec3e80985ad</x:v>
      </x:c>
    </x:row>
    <x:row r="1767" ht="36" customHeight="1">
      <x:c r="A1767" s="5" t="str">
        <x:v>FC-0057</x:v>
      </x:c>
      <x:c r="B1767" s="5" t="str">
        <x:v>HQ</x:v>
      </x:c>
      <x:c r="C1767" s="5" t="str">
        <x:v>6</x:v>
      </x:c>
      <x:c r="D1767" s="5" t="str">
        <x:v>Investition, Finanzierung, betriebliches Rechnungswesen und Controlling</x:v>
      </x:c>
      <x:c r="E1767" s="5" t="str">
        <x:v>Betriebliches Rechnungswesen und Controlling</x:v>
      </x:c>
      <x:c r="F1767" s="5" t="str">
        <x:v>ui-hq-0021</x:v>
      </x:c>
      <x:c r="G1767" s="5" t="str">
        <x:v>Controlling</x:v>
      </x:c>
      <x:c r="H1767" s="5" t="str">
        <x:v>dg-hq-0141</x:v>
      </x:c>
      <x:c r="I1767" s="5" t="str">
        <x:v>6.5.1</x:v>
      </x:c>
      <x:c r="J1767" s="5" t="str">
        <x:v>Begriff und Notwendigkeit des Controlling</x:v>
      </x:c>
      <x:c r="K1767" s="5" t="str"/>
      <x:c r="L1767" s="5" t="str">
        <x:v>Controlling-Grundlagen, Aufgaben &amp; Organisation</x:v>
      </x:c>
      <x:c r="M1767" s="5" t="n">
        <x:v>3</x:v>
      </x:c>
      <x:c r="N1767" s="5" t="n">
        <x:v>3</x:v>
      </x:c>
      <x:c r="O1767" s="5" t="str"/>
      <x:c r="P1767" s="5" t="str">
        <x:v>Zuordnungsvorschlag; Fachfreigabe ausstehend</x:v>
      </x:c>
      <x:c r="Q1767" s="5" t="str">
        <x:v>Bestehendes Lernthema fachlich unter passendem Rahmenplan-Unterbereich behalten</x:v>
      </x:c>
      <x:c r="R1767" s="5" t="str">
        <x:v>Unterscheiden Sie zentrale und dezentrale Controllingorganisation. Welche Mischform verbindet beide Ansätze?</x:v>
      </x:c>
      <x:c r="S1767" s="5" t="str">
        <x:v>404da66d60bfd744e2916307a3045bc56616adca4858d499d9cb11a86d171a8a</x:v>
      </x:c>
    </x:row>
    <x:row r="1768" ht="36" customHeight="1">
      <x:c r="A1768" s="5" t="str">
        <x:v>FC-0058</x:v>
      </x:c>
      <x:c r="B1768" s="5" t="str">
        <x:v>HQ</x:v>
      </x:c>
      <x:c r="C1768" s="5" t="str">
        <x:v>6</x:v>
      </x:c>
      <x:c r="D1768" s="5" t="str">
        <x:v>Investition, Finanzierung, betriebliches Rechnungswesen und Controlling</x:v>
      </x:c>
      <x:c r="E1768" s="5" t="str">
        <x:v>Betriebliches Rechnungswesen und Controlling</x:v>
      </x:c>
      <x:c r="F1768" s="5" t="str">
        <x:v>ui-hq-0021</x:v>
      </x:c>
      <x:c r="G1768" s="5" t="str">
        <x:v>Controlling</x:v>
      </x:c>
      <x:c r="H1768" s="5" t="str">
        <x:v>dg-hq-0141</x:v>
      </x:c>
      <x:c r="I1768" s="5" t="str">
        <x:v>6.5.1</x:v>
      </x:c>
      <x:c r="J1768" s="5" t="str">
        <x:v>Begriff und Notwendigkeit des Controlling</x:v>
      </x:c>
      <x:c r="K1768" s="5" t="str"/>
      <x:c r="L1768" s="5" t="str">
        <x:v>Controlling-Grundlagen, Aufgaben &amp; Organisation</x:v>
      </x:c>
      <x:c r="M1768" s="5" t="n">
        <x:v>4</x:v>
      </x:c>
      <x:c r="N1768" s="5" t="n">
        <x:v>4</x:v>
      </x:c>
      <x:c r="O1768" s="5" t="str"/>
      <x:c r="P1768" s="5" t="str">
        <x:v>Zuordnungsvorschlag; Fachfreigabe ausstehend</x:v>
      </x:c>
      <x:c r="Q1768" s="5" t="str">
        <x:v>Bestehendes Lernthema fachlich unter passendem Rahmenplan-Unterbereich behalten</x:v>
      </x:c>
      <x:c r="R1768" s="5" t="str">
        <x:v>Nennen Sie vier zentrale Aufgabenfelder des Controllings für die Unternehmensführung.</x:v>
      </x:c>
      <x:c r="S1768" s="5" t="str">
        <x:v>56a90eac7bd0ca1eddf9ac3a045b525c65f0952961363525321678a9d95778b5</x:v>
      </x:c>
    </x:row>
    <x:row r="1769" ht="36" customHeight="1">
      <x:c r="A1769" s="5" t="str">
        <x:v>FC-0059</x:v>
      </x:c>
      <x:c r="B1769" s="5" t="str">
        <x:v>HQ</x:v>
      </x:c>
      <x:c r="C1769" s="5" t="str">
        <x:v>6</x:v>
      </x:c>
      <x:c r="D1769" s="5" t="str">
        <x:v>Investition, Finanzierung, betriebliches Rechnungswesen und Controlling</x:v>
      </x:c>
      <x:c r="E1769" s="5" t="str">
        <x:v>Betriebliches Rechnungswesen und Controlling</x:v>
      </x:c>
      <x:c r="F1769" s="5" t="str">
        <x:v>ui-hq-0021</x:v>
      </x:c>
      <x:c r="G1769" s="5" t="str">
        <x:v>Controlling</x:v>
      </x:c>
      <x:c r="H1769" s="5" t="str">
        <x:v>dg-hq-0141</x:v>
      </x:c>
      <x:c r="I1769" s="5" t="str">
        <x:v>6.5.1</x:v>
      </x:c>
      <x:c r="J1769" s="5" t="str">
        <x:v>Begriff und Notwendigkeit des Controlling</x:v>
      </x:c>
      <x:c r="K1769" s="5" t="str"/>
      <x:c r="L1769" s="5" t="str">
        <x:v>Controlling-Grundlagen, Aufgaben &amp; Organisation</x:v>
      </x:c>
      <x:c r="M1769" s="5" t="n">
        <x:v>5</x:v>
      </x:c>
      <x:c r="N1769" s="5" t="n">
        <x:v>5</x:v>
      </x:c>
      <x:c r="O1769" s="5" t="str"/>
      <x:c r="P1769" s="5" t="str">
        <x:v>Zuordnungsvorschlag; Fachfreigabe ausstehend</x:v>
      </x:c>
      <x:c r="Q1769" s="5" t="str">
        <x:v>Bestehendes Lernthema fachlich unter passendem Rahmenplan-Unterbereich behalten</x:v>
      </x:c>
      <x:c r="R1769" s="5" t="str">
        <x:v>Woran lassen sich operatives und strategisches Controlling insbesondere anhand des Zeithorizonts und der Betrachtungsobjekte unterscheiden?</x:v>
      </x:c>
      <x:c r="S1769" s="5" t="str">
        <x:v>e85b8167f5fb4bb888c08aa322b56c2425b2452f64edb7eb4bde235e9530fc29</x:v>
      </x:c>
    </x:row>
    <x:row r="1770" ht="36" customHeight="1">
      <x:c r="A1770" s="5" t="str">
        <x:v>FC-0060</x:v>
      </x:c>
      <x:c r="B1770" s="5" t="str">
        <x:v>HQ</x:v>
      </x:c>
      <x:c r="C1770" s="5" t="str">
        <x:v>6</x:v>
      </x:c>
      <x:c r="D1770" s="5" t="str">
        <x:v>Investition, Finanzierung, betriebliches Rechnungswesen und Controlling</x:v>
      </x:c>
      <x:c r="E1770" s="5" t="str">
        <x:v>Betriebliches Rechnungswesen und Controlling</x:v>
      </x:c>
      <x:c r="F1770" s="5" t="str">
        <x:v>ui-hq-0021</x:v>
      </x:c>
      <x:c r="G1770" s="5" t="str">
        <x:v>Controlling</x:v>
      </x:c>
      <x:c r="H1770" s="5" t="str">
        <x:v>dg-hq-0141</x:v>
      </x:c>
      <x:c r="I1770" s="5" t="str">
        <x:v>6.5.1</x:v>
      </x:c>
      <x:c r="J1770" s="5" t="str">
        <x:v>Begriff und Notwendigkeit des Controlling</x:v>
      </x:c>
      <x:c r="K1770" s="5" t="str"/>
      <x:c r="L1770" s="5" t="str">
        <x:v>Controlling-Grundlagen, Aufgaben &amp; Organisation</x:v>
      </x:c>
      <x:c r="M1770" s="5" t="n">
        <x:v>6</x:v>
      </x:c>
      <x:c r="N1770" s="5" t="n">
        <x:v>6</x:v>
      </x:c>
      <x:c r="O1770" s="5" t="str"/>
      <x:c r="P1770" s="5" t="str">
        <x:v>Zuordnungsvorschlag; Fachfreigabe ausstehend</x:v>
      </x:c>
      <x:c r="Q1770" s="5" t="str">
        <x:v>Bestehendes Lernthema fachlich unter passendem Rahmenplan-Unterbereich behalten</x:v>
      </x:c>
      <x:c r="R1770" s="5" t="str">
        <x:v>Stellen Sie operatives und strategisches Controlling anhand von mindestens drei Kriterien gegenüber.</x:v>
      </x:c>
      <x:c r="S1770" s="5" t="str">
        <x:v>09dea57f47af94bf95ffdbe18464ab1598f9a936ed8047e79e4bb101ee11b32f</x:v>
      </x:c>
    </x:row>
    <x:row r="1771" ht="36" customHeight="1">
      <x:c r="A1771" s="5" t="str">
        <x:v>FC-0061</x:v>
      </x:c>
      <x:c r="B1771" s="5" t="str">
        <x:v>HQ</x:v>
      </x:c>
      <x:c r="C1771" s="5" t="str">
        <x:v>6</x:v>
      </x:c>
      <x:c r="D1771" s="5" t="str">
        <x:v>Investition, Finanzierung, betriebliches Rechnungswesen und Controlling</x:v>
      </x:c>
      <x:c r="E1771" s="5" t="str">
        <x:v>Betriebliches Rechnungswesen und Controlling</x:v>
      </x:c>
      <x:c r="F1771" s="5" t="str">
        <x:v>ui-hq-0021</x:v>
      </x:c>
      <x:c r="G1771" s="5" t="str">
        <x:v>Controlling</x:v>
      </x:c>
      <x:c r="H1771" s="5" t="str">
        <x:v>dg-hq-0142</x:v>
      </x:c>
      <x:c r="I1771" s="5" t="str">
        <x:v>6.5.4.1</x:v>
      </x:c>
      <x:c r="J1771" s="5" t="str">
        <x:v>Strategische Controllinginstrumente</x:v>
      </x:c>
      <x:c r="K1771" s="5" t="str"/>
      <x:c r="L1771" s="5" t="str">
        <x:v>Strategische Controllinginstrumente</x:v>
      </x:c>
      <x:c r="M1771" s="5" t="n">
        <x:v>7</x:v>
      </x:c>
      <x:c r="N1771" s="5" t="n">
        <x:v>1</x:v>
      </x:c>
      <x:c r="O1771" s="5" t="str"/>
      <x:c r="P1771" s="5" t="str">
        <x:v>Zuordnungsvorschlag; Fachfreigabe ausstehend</x:v>
      </x:c>
      <x:c r="Q1771" s="5" t="str">
        <x:v>Bestehendes Lernthema fachlich unter passendem Rahmenplan-Unterbereich behalten</x:v>
      </x:c>
      <x:c r="R1771" s="5" t="str">
        <x:v>Wie werden Geschäftsfelder in der BCG-Portfolio-Matrix anhand von Marktwachstum und relativem Marktanteil eingeordnet?</x:v>
      </x:c>
      <x:c r="S1771" s="5" t="str">
        <x:v>033ac8a9e869b571ca1e32583cc8d4d89593e03d5874b5b269ed47e07f7eb39b</x:v>
      </x:c>
    </x:row>
    <x:row r="1772" ht="36" customHeight="1">
      <x:c r="A1772" s="5" t="str">
        <x:v>FC-0062</x:v>
      </x:c>
      <x:c r="B1772" s="5" t="str">
        <x:v>HQ</x:v>
      </x:c>
      <x:c r="C1772" s="5" t="str">
        <x:v>6</x:v>
      </x:c>
      <x:c r="D1772" s="5" t="str">
        <x:v>Investition, Finanzierung, betriebliches Rechnungswesen und Controlling</x:v>
      </x:c>
      <x:c r="E1772" s="5" t="str">
        <x:v>Betriebliches Rechnungswesen und Controlling</x:v>
      </x:c>
      <x:c r="F1772" s="5" t="str">
        <x:v>ui-hq-0021</x:v>
      </x:c>
      <x:c r="G1772" s="5" t="str">
        <x:v>Controlling</x:v>
      </x:c>
      <x:c r="H1772" s="5" t="str">
        <x:v>dg-hq-0142</x:v>
      </x:c>
      <x:c r="I1772" s="5" t="str">
        <x:v>6.5.4.1</x:v>
      </x:c>
      <x:c r="J1772" s="5" t="str">
        <x:v>Strategische Controllinginstrumente</x:v>
      </x:c>
      <x:c r="K1772" s="5" t="str"/>
      <x:c r="L1772" s="5" t="str">
        <x:v>Strategische Controllinginstrumente</x:v>
      </x:c>
      <x:c r="M1772" s="5" t="n">
        <x:v>8</x:v>
      </x:c>
      <x:c r="N1772" s="5" t="n">
        <x:v>2</x:v>
      </x:c>
      <x:c r="O1772" s="5" t="str"/>
      <x:c r="P1772" s="5" t="str">
        <x:v>Zuordnungsvorschlag; Fachfreigabe ausstehend</x:v>
      </x:c>
      <x:c r="Q1772" s="5" t="str">
        <x:v>Bestehendes Lernthema fachlich unter passendem Rahmenplan-Unterbereich behalten</x:v>
      </x:c>
      <x:c r="R1772" s="5" t="str">
        <x:v>Ordnen Sie typischen strategischen Controllingaufgaben die passenden Instrumente zu.</x:v>
      </x:c>
      <x:c r="S1772" s="5" t="str">
        <x:v>44006183a42c4a7b7db74612c4b9de3314665cc758476eed85f04671219647be</x:v>
      </x:c>
    </x:row>
    <x:row r="1773" ht="36" customHeight="1">
      <x:c r="A1773" s="5" t="str">
        <x:v>FC-0063</x:v>
      </x:c>
      <x:c r="B1773" s="5" t="str">
        <x:v>HQ</x:v>
      </x:c>
      <x:c r="C1773" s="5" t="str">
        <x:v>6</x:v>
      </x:c>
      <x:c r="D1773" s="5" t="str">
        <x:v>Investition, Finanzierung, betriebliches Rechnungswesen und Controlling</x:v>
      </x:c>
      <x:c r="E1773" s="5" t="str">
        <x:v>Betriebliches Rechnungswesen und Controlling</x:v>
      </x:c>
      <x:c r="F1773" s="5" t="str">
        <x:v>ui-hq-0021</x:v>
      </x:c>
      <x:c r="G1773" s="5" t="str">
        <x:v>Controlling</x:v>
      </x:c>
      <x:c r="H1773" s="5" t="str">
        <x:v>dg-hq-0142</x:v>
      </x:c>
      <x:c r="I1773" s="5" t="str">
        <x:v>6.5.4.1</x:v>
      </x:c>
      <x:c r="J1773" s="5" t="str">
        <x:v>Strategische Controllinginstrumente</x:v>
      </x:c>
      <x:c r="K1773" s="5" t="str"/>
      <x:c r="L1773" s="5" t="str">
        <x:v>Strategische Controllinginstrumente</x:v>
      </x:c>
      <x:c r="M1773" s="5" t="n">
        <x:v>9</x:v>
      </x:c>
      <x:c r="N1773" s="5" t="n">
        <x:v>3</x:v>
      </x:c>
      <x:c r="O1773" s="5" t="str"/>
      <x:c r="P1773" s="5" t="str">
        <x:v>Zuordnungsvorschlag; Fachfreigabe ausstehend</x:v>
      </x:c>
      <x:c r="Q1773" s="5" t="str">
        <x:v>Bestehendes Lernthema fachlich unter passendem Rahmenplan-Unterbereich behalten</x:v>
      </x:c>
      <x:c r="R1773" s="5" t="str">
        <x:v>Welche vier Perspektiven umfasst die klassische Balanced Scorecard und wie lassen sich typische Kennzahlen zuordnen?</x:v>
      </x:c>
      <x:c r="S1773" s="5" t="str">
        <x:v>37385b6dfd95085f1c2ec03533a0ec5e60d94595c0a1c0844bc6592aeeca9e3a</x:v>
      </x:c>
    </x:row>
    <x:row r="1774" ht="36" customHeight="1">
      <x:c r="A1774" s="5" t="str">
        <x:v>FC-0064</x:v>
      </x:c>
      <x:c r="B1774" s="5" t="str">
        <x:v>HQ</x:v>
      </x:c>
      <x:c r="C1774" s="5" t="str">
        <x:v>6</x:v>
      </x:c>
      <x:c r="D1774" s="5" t="str">
        <x:v>Investition, Finanzierung, betriebliches Rechnungswesen und Controlling</x:v>
      </x:c>
      <x:c r="E1774" s="5" t="str">
        <x:v>Betriebliches Rechnungswesen und Controlling</x:v>
      </x:c>
      <x:c r="F1774" s="5" t="str">
        <x:v>ui-hq-0021</x:v>
      </x:c>
      <x:c r="G1774" s="5" t="str">
        <x:v>Controlling</x:v>
      </x:c>
      <x:c r="H1774" s="5" t="str">
        <x:v>dg-hq-0142</x:v>
      </x:c>
      <x:c r="I1774" s="5" t="str">
        <x:v>6.5.4.1</x:v>
      </x:c>
      <x:c r="J1774" s="5" t="str">
        <x:v>Strategische Controllinginstrumente</x:v>
      </x:c>
      <x:c r="K1774" s="5" t="str"/>
      <x:c r="L1774" s="5" t="str">
        <x:v>Strategische Controllinginstrumente</x:v>
      </x:c>
      <x:c r="M1774" s="5" t="n">
        <x:v>10</x:v>
      </x:c>
      <x:c r="N1774" s="5" t="n">
        <x:v>4</x:v>
      </x:c>
      <x:c r="O1774" s="5" t="str"/>
      <x:c r="P1774" s="5" t="str">
        <x:v>Zuordnungsvorschlag; Fachfreigabe ausstehend</x:v>
      </x:c>
      <x:c r="Q1774" s="5" t="str">
        <x:v>Bestehendes Lernthema fachlich unter passendem Rahmenplan-Unterbereich behalten</x:v>
      </x:c>
      <x:c r="R1774" s="5" t="str">
        <x:v>Welche Phasen durchläuft ein Produkt im typischen Produktlebenszyklus und wie verhalten sich Umsatz und Gewinn grundsätzlich?</x:v>
      </x:c>
      <x:c r="S1774" s="5" t="str">
        <x:v>a72161808e54739226770e0dde6e7134d6aa209506576e85afebe7db582fcbd1</x:v>
      </x:c>
    </x:row>
    <x:row r="1775" ht="36" customHeight="1">
      <x:c r="A1775" s="5" t="str">
        <x:v>FC-0065</x:v>
      </x:c>
      <x:c r="B1775" s="5" t="str">
        <x:v>HQ</x:v>
      </x:c>
      <x:c r="C1775" s="5" t="str">
        <x:v>6</x:v>
      </x:c>
      <x:c r="D1775" s="5" t="str">
        <x:v>Investition, Finanzierung, betriebliches Rechnungswesen und Controlling</x:v>
      </x:c>
      <x:c r="E1775" s="5" t="str">
        <x:v>Betriebliches Rechnungswesen und Controlling</x:v>
      </x:c>
      <x:c r="F1775" s="5" t="str">
        <x:v>ui-hq-0021</x:v>
      </x:c>
      <x:c r="G1775" s="5" t="str">
        <x:v>Controlling</x:v>
      </x:c>
      <x:c r="H1775" s="5" t="str">
        <x:v>dg-hq-0143</x:v>
      </x:c>
      <x:c r="I1775" s="5" t="str">
        <x:v>6.5.4.2</x:v>
      </x:c>
      <x:c r="J1775" s="5" t="str">
        <x:v>Operative Controllinginstrumente</x:v>
      </x:c>
      <x:c r="K1775" s="5" t="str"/>
      <x:c r="L1775" s="5" t="str">
        <x:v>Operatives Controlling, Kennzahlen &amp; Berichtswesen</x:v>
      </x:c>
      <x:c r="M1775" s="5" t="n">
        <x:v>11</x:v>
      </x:c>
      <x:c r="N1775" s="5" t="n">
        <x:v>1</x:v>
      </x:c>
      <x:c r="O1775" s="5" t="str"/>
      <x:c r="P1775" s="5" t="str">
        <x:v>Zuordnungsvorschlag; Fachfreigabe ausstehend</x:v>
      </x:c>
      <x:c r="Q1775" s="5" t="str">
        <x:v>Bestehendes Lernthema fachlich unter passendem Rahmenplan-Unterbereich behalten</x:v>
      </x:c>
      <x:c r="R1775" s="5" t="str">
        <x:v>Unterscheiden Sie Indexzahlen, Beziehungszahlen und Gliederungszahlen anhand typischer Kennzahlenbeispiele.</x:v>
      </x:c>
      <x:c r="S1775" s="5" t="str">
        <x:v>28fa1a42c0ba61c58f239d9516c5bf21fd802e2985a81ab9c0f32d3e639cf53e</x:v>
      </x:c>
    </x:row>
    <x:row r="1776" ht="36" customHeight="1">
      <x:c r="A1776" s="5" t="str">
        <x:v>FC-0066</x:v>
      </x:c>
      <x:c r="B1776" s="5" t="str">
        <x:v>HQ</x:v>
      </x:c>
      <x:c r="C1776" s="5" t="str">
        <x:v>6</x:v>
      </x:c>
      <x:c r="D1776" s="5" t="str">
        <x:v>Investition, Finanzierung, betriebliches Rechnungswesen und Controlling</x:v>
      </x:c>
      <x:c r="E1776" s="5" t="str">
        <x:v>Betriebliches Rechnungswesen und Controlling</x:v>
      </x:c>
      <x:c r="F1776" s="5" t="str">
        <x:v>ui-hq-0021</x:v>
      </x:c>
      <x:c r="G1776" s="5" t="str">
        <x:v>Controlling</x:v>
      </x:c>
      <x:c r="H1776" s="5" t="str">
        <x:v>dg-hq-0143</x:v>
      </x:c>
      <x:c r="I1776" s="5" t="str">
        <x:v>6.5.4.2</x:v>
      </x:c>
      <x:c r="J1776" s="5" t="str">
        <x:v>Operative Controllinginstrumente</x:v>
      </x:c>
      <x:c r="K1776" s="5" t="str"/>
      <x:c r="L1776" s="5" t="str">
        <x:v>Operatives Controlling, Kennzahlen &amp; Berichtswesen</x:v>
      </x:c>
      <x:c r="M1776" s="5" t="n">
        <x:v>12</x:v>
      </x:c>
      <x:c r="N1776" s="5" t="n">
        <x:v>2</x:v>
      </x:c>
      <x:c r="O1776" s="5" t="str"/>
      <x:c r="P1776" s="5" t="str">
        <x:v>Zuordnungsvorschlag; Fachfreigabe ausstehend</x:v>
      </x:c>
      <x:c r="Q1776" s="5" t="str">
        <x:v>Bestehendes Lernthema fachlich unter passendem Rahmenplan-Unterbereich behalten</x:v>
      </x:c>
      <x:c r="R1776" s="5" t="str">
        <x:v>Circle Harbor weist einen Jahresüberschuss von 320.000 €, durchschnittliches Eigenkapital von 2.000.000 €, Gesamtkapital von 5.000.000 €, Fremdkapitalzinsen von 90.000 € und Umsatzerlöse von 8.000.000 € aus. Berechnen Sie Eigenkapitalrentabilität, Gesamtkapitalrentabilität und Umsatzrentabilität.</x:v>
      </x:c>
      <x:c r="S1776" s="5" t="str">
        <x:v>83900d7a279c4bc29b05408159d065e6d0a3bf7d4896e8ecc4d741704d7e686d</x:v>
      </x:c>
    </x:row>
    <x:row r="1777" ht="36" customHeight="1">
      <x:c r="A1777" s="5" t="str">
        <x:v>FC-0067</x:v>
      </x:c>
      <x:c r="B1777" s="5" t="str">
        <x:v>HQ</x:v>
      </x:c>
      <x:c r="C1777" s="5" t="str">
        <x:v>6</x:v>
      </x:c>
      <x:c r="D1777" s="5" t="str">
        <x:v>Investition, Finanzierung, betriebliches Rechnungswesen und Controlling</x:v>
      </x:c>
      <x:c r="E1777" s="5" t="str">
        <x:v>Betriebliches Rechnungswesen und Controlling</x:v>
      </x:c>
      <x:c r="F1777" s="5" t="str">
        <x:v>ui-hq-0020</x:v>
      </x:c>
      <x:c r="G1777" s="5" t="str">
        <x:v>Kosten- und Leistungsrechnung</x:v>
      </x:c>
      <x:c r="H1777" s="5" t="str">
        <x:v>dg-hq-0136</x:v>
      </x:c>
      <x:c r="I1777" s="5" t="str">
        <x:v>6.4.1</x:v>
      </x:c>
      <x:c r="J1777" s="5" t="str">
        <x:v>Die Deckungsbeitragsrechnung als Entscheidungsrechnung</x:v>
      </x:c>
      <x:c r="K1777" s="5" t="str"/>
      <x:c r="L1777" s="5" t="str">
        <x:v>Make-or-Buy, Auftragsannahme &amp; Engpassplanung</x:v>
      </x:c>
      <x:c r="M1777" s="5" t="n">
        <x:v>55</x:v>
      </x:c>
      <x:c r="N1777" s="5" t="n">
        <x:v>38</x:v>
      </x:c>
      <x:c r="O1777" s="5" t="str"/>
      <x:c r="P1777" s="5" t="str">
        <x:v>Zuordnungsvorschlag; Fachfreigabe ausstehend</x:v>
      </x:c>
      <x:c r="Q1777" s="5" t="str">
        <x:v>Bestehendes Lernthema fachlich unter passendem Rahmenplan-Unterbereich behalten</x:v>
      </x:c>
      <x:c r="R1777" s="5" t="str">
        <x:v>Die Engpassmaschine von Circle Harbor ist vollständig ausgelastet. Ein Zusatzauftrag über 1.000 Stück beansprucht 1 Maschinenstunde je Stück, bringt 80 € Erlös je Stück und verursacht 55 € variable Kosten. Dafür müssen 500 Stück eines bisherigen Produkts verdrängt werden, das 2 Maschinenstunden je Stück benötigt und 40 € Stückdeckungsbeitrag erzielt. Ermitteln Sie Opportunitätskosten, kurzfristigen Mindestpreis und Ergebniswirkung. Soll der Auftrag angenommen werden?</x:v>
      </x:c>
      <x:c r="S1777" s="5" t="str">
        <x:v>07473caf716db23cd5fc4c0be4812c9da398e761ef14058687a29116047ecb12</x:v>
      </x:c>
    </x:row>
    <x:row r="1778" ht="36" customHeight="1">
      <x:c r="A1778" s="5" t="str">
        <x:v>FC-0068</x:v>
      </x:c>
      <x:c r="B1778" s="5" t="str">
        <x:v>HQ</x:v>
      </x:c>
      <x:c r="C1778" s="5" t="str">
        <x:v>6</x:v>
      </x:c>
      <x:c r="D1778" s="5" t="str">
        <x:v>Investition, Finanzierung, betriebliches Rechnungswesen und Controlling</x:v>
      </x:c>
      <x:c r="E1778" s="5" t="str">
        <x:v>Betriebliches Rechnungswesen und Controlling</x:v>
      </x:c>
      <x:c r="F1778" s="5" t="str">
        <x:v>ui-hq-0020</x:v>
      </x:c>
      <x:c r="G1778" s="5" t="str">
        <x:v>Kosten- und Leistungsrechnung</x:v>
      </x:c>
      <x:c r="H1778" s="5" t="str">
        <x:v>dg-hq-0136</x:v>
      </x:c>
      <x:c r="I1778" s="5" t="str">
        <x:v>6.4.1</x:v>
      </x:c>
      <x:c r="J1778" s="5" t="str">
        <x:v>Die Deckungsbeitragsrechnung als Entscheidungsrechnung</x:v>
      </x:c>
      <x:c r="K1778" s="5" t="str"/>
      <x:c r="L1778" s="5" t="str">
        <x:v>Make-or-Buy, Auftragsannahme &amp; Engpassplanung</x:v>
      </x:c>
      <x:c r="M1778" s="5" t="n">
        <x:v>56</x:v>
      </x:c>
      <x:c r="N1778" s="5" t="n">
        <x:v>39</x:v>
      </x:c>
      <x:c r="O1778" s="5" t="str"/>
      <x:c r="P1778" s="5" t="str">
        <x:v>Zuordnungsvorschlag; Fachfreigabe ausstehend</x:v>
      </x:c>
      <x:c r="Q1778" s="5" t="str">
        <x:v>Bestehendes Lernthema fachlich unter passendem Rahmenplan-Unterbereich behalten</x:v>
      </x:c>
      <x:c r="R1778" s="5" t="str">
        <x:v>Circle Harbor hat freie Kapazität. Ein Sonderauftrag über 4.000 Stück bietet 46 € je Stück; variable Kosten betragen 34 € je Stück. Für eine einmalige Sonderschicht entstehen zusätzlich 30.000 € auftragsbezogene Fixkosten. Berechnen Sie Ergebniswirkung und kurzfristigen Mindestpreis je Stück.</x:v>
      </x:c>
      <x:c r="S1778" s="5" t="str">
        <x:v>068dbfebc425dc0c646b5f57d13e7706c79e69f1e01ddcc87acd2de2a6037dba</x:v>
      </x:c>
    </x:row>
    <x:row r="1779" ht="36" customHeight="1">
      <x:c r="A1779" s="5" t="str">
        <x:v>FC-0069</x:v>
      </x:c>
      <x:c r="B1779" s="5" t="str">
        <x:v>HQ</x:v>
      </x:c>
      <x:c r="C1779" s="5" t="str">
        <x:v>6</x:v>
      </x:c>
      <x:c r="D1779" s="5" t="str">
        <x:v>Investition, Finanzierung, betriebliches Rechnungswesen und Controlling</x:v>
      </x:c>
      <x:c r="E1779" s="5" t="str">
        <x:v>Betriebliches Rechnungswesen und Controlling</x:v>
      </x:c>
      <x:c r="F1779" s="5" t="str">
        <x:v>ui-hq-0020</x:v>
      </x:c>
      <x:c r="G1779" s="5" t="str">
        <x:v>Kosten- und Leistungsrechnung</x:v>
      </x:c>
      <x:c r="H1779" s="5" t="str">
        <x:v>dg-hq-0136</x:v>
      </x:c>
      <x:c r="I1779" s="5" t="str">
        <x:v>6.4.1</x:v>
      </x:c>
      <x:c r="J1779" s="5" t="str">
        <x:v>Die Deckungsbeitragsrechnung als Entscheidungsrechnung</x:v>
      </x:c>
      <x:c r="K1779" s="5" t="str"/>
      <x:c r="L1779" s="5" t="str">
        <x:v>Make-or-Buy, Auftragsannahme &amp; Engpassplanung</x:v>
      </x:c>
      <x:c r="M1779" s="5" t="n">
        <x:v>57</x:v>
      </x:c>
      <x:c r="N1779" s="5" t="n">
        <x:v>40</x:v>
      </x:c>
      <x:c r="O1779" s="5" t="str"/>
      <x:c r="P1779" s="5" t="str">
        <x:v>Zuordnungsvorschlag; Fachfreigabe ausstehend</x:v>
      </x:c>
      <x:c r="Q1779" s="5" t="str">
        <x:v>Bestehendes Lernthema fachlich unter passendem Rahmenplan-Unterbereich behalten</x:v>
      </x:c>
      <x:c r="R1779" s="5" t="str">
        <x:v>Fallbezug: Die folgenden betrieblichen Angaben und Situationen beziehen sich auf die Circle Harbor GmbH.
Für eine dauerhafte Kapazitätserweiterung entstehen zusätzliche Fixkosten von 120.000 € pro Jahr. Das zusätzliche Produkt kann zu 70 € verkauft werden; die variablen Stückkosten betragen 46 €. Ermitteln Sie die erforderliche Mindestabsatzmenge. Beurteilen Sie eine erwartete Zusatzmenge von 6.200 Stück.</x:v>
      </x:c>
      <x:c r="S1779" s="5" t="str">
        <x:v>efc783206d9f0a0b68be9586081ee81fca2a79843e142b13aacccd3f0feaa4b4</x:v>
      </x:c>
    </x:row>
    <x:row r="1780" ht="36" customHeight="1">
      <x:c r="A1780" s="5" t="str">
        <x:v>FC-0070</x:v>
      </x:c>
      <x:c r="B1780" s="5" t="str">
        <x:v>HQ</x:v>
      </x:c>
      <x:c r="C1780" s="5" t="str">
        <x:v>6</x:v>
      </x:c>
      <x:c r="D1780" s="5" t="str">
        <x:v>Investition, Finanzierung, betriebliches Rechnungswesen und Controlling</x:v>
      </x:c>
      <x:c r="E1780" s="5" t="str">
        <x:v>Betriebliches Rechnungswesen und Controlling</x:v>
      </x:c>
      <x:c r="F1780" s="5" t="str">
        <x:v>ui-hq-0020</x:v>
      </x:c>
      <x:c r="G1780" s="5" t="str">
        <x:v>Kosten- und Leistungsrechnung</x:v>
      </x:c>
      <x:c r="H1780" s="5" t="str">
        <x:v>dg-hq-0137</x:v>
      </x:c>
      <x:c r="I1780" s="5" t="str">
        <x:v>6.4.2</x:v>
      </x:c>
      <x:c r="J1780" s="5" t="str">
        <x:v>Normalkostenrechnung</x:v>
      </x:c>
      <x:c r="K1780" s="5" t="str"/>
      <x:c r="L1780" s="5" t="str">
        <x:v>Ist- &amp; Normalkostenrechnung</x:v>
      </x:c>
      <x:c r="M1780" s="5" t="n">
        <x:v>58</x:v>
      </x:c>
      <x:c r="N1780" s="5" t="n">
        <x:v>4</x:v>
      </x:c>
      <x:c r="O1780" s="5" t="str"/>
      <x:c r="P1780" s="5" t="str">
        <x:v>Zuordnungsvorschlag; Fachfreigabe ausstehend</x:v>
      </x:c>
      <x:c r="Q1780" s="5" t="str">
        <x:v>Bestehendes Lernthema fachlich unter passendem Rahmenplan-Unterbereich behalten</x:v>
      </x:c>
      <x:c r="R1780" s="5" t="str">
        <x:v>Ordnen Sie die Merkmale der starren oder flexiblen Normalkostenrechnung zu.</x:v>
      </x:c>
      <x:c r="S1780" s="5" t="str">
        <x:v>b9124c010d6659532489c0e94f0311fac10e38b281e33c47b2f983a5a2a4e666</x:v>
      </x:c>
    </x:row>
    <x:row r="1781" ht="36" customHeight="1">
      <x:c r="A1781" s="5" t="str">
        <x:v>FC-0071</x:v>
      </x:c>
      <x:c r="B1781" s="5" t="str">
        <x:v>HQ</x:v>
      </x:c>
      <x:c r="C1781" s="5" t="str">
        <x:v>6</x:v>
      </x:c>
      <x:c r="D1781" s="5" t="str">
        <x:v>Investition, Finanzierung, betriebliches Rechnungswesen und Controlling</x:v>
      </x:c>
      <x:c r="E1781" s="5" t="str">
        <x:v>Betriebliches Rechnungswesen und Controlling</x:v>
      </x:c>
      <x:c r="F1781" s="5" t="str">
        <x:v>ui-hq-0020</x:v>
      </x:c>
      <x:c r="G1781" s="5" t="str">
        <x:v>Kosten- und Leistungsrechnung</x:v>
      </x:c>
      <x:c r="H1781" s="5" t="str">
        <x:v>dg-hq-0137</x:v>
      </x:c>
      <x:c r="I1781" s="5" t="str">
        <x:v>6.4.2</x:v>
      </x:c>
      <x:c r="J1781" s="5" t="str">
        <x:v>Normalkostenrechnung</x:v>
      </x:c>
      <x:c r="K1781" s="5" t="str"/>
      <x:c r="L1781" s="5" t="str">
        <x:v>Ist- &amp; Normalkostenrechnung</x:v>
      </x:c>
      <x:c r="M1781" s="5" t="n">
        <x:v>59</x:v>
      </x:c>
      <x:c r="N1781" s="5" t="n">
        <x:v>5</x:v>
      </x:c>
      <x:c r="O1781" s="5" t="str"/>
      <x:c r="P1781" s="5" t="str">
        <x:v>Zuordnungsvorschlag; Fachfreigabe ausstehend</x:v>
      </x:c>
      <x:c r="Q1781" s="5" t="str">
        <x:v>Bestehendes Lernthema fachlich unter passendem Rahmenplan-Unterbereich behalten</x:v>
      </x:c>
      <x:c r="R1781" s="5" t="str">
        <x:v>Fallbezug: Die folgenden betrieblichen Angaben und Situationen beziehen sich auf die Circle Harbor GmbH.
Bei einer Planbeschäftigung von 10.000 Stück betragen die Normalkosten 600.000 €, davon 200.000 € fix. Tatsächlich werden 8.500 Stück gefertigt; die Istkosten betragen 550.000 €. Ermitteln Sie Sollkosten und Verbrauchsabweichung nach der Fachbuchkonvention.</x:v>
      </x:c>
      <x:c r="S1781" s="5" t="str">
        <x:v>f86c08fad5d1ddc3f74e9a5e231a4a029d3b63486856acc0b2b16acfa75d6152</x:v>
      </x:c>
    </x:row>
    <x:row r="1782" ht="36" customHeight="1">
      <x:c r="A1782" s="5" t="str">
        <x:v>FC-0072</x:v>
      </x:c>
      <x:c r="B1782" s="5" t="str">
        <x:v>HQ</x:v>
      </x:c>
      <x:c r="C1782" s="5" t="str">
        <x:v>6</x:v>
      </x:c>
      <x:c r="D1782" s="5" t="str">
        <x:v>Investition, Finanzierung, betriebliches Rechnungswesen und Controlling</x:v>
      </x:c>
      <x:c r="E1782" s="5" t="str">
        <x:v>Betriebliches Rechnungswesen und Controlling</x:v>
      </x:c>
      <x:c r="F1782" s="5" t="str">
        <x:v>ui-hq-0020</x:v>
      </x:c>
      <x:c r="G1782" s="5" t="str">
        <x:v>Kosten- und Leistungsrechnung</x:v>
      </x:c>
      <x:c r="H1782" s="5" t="str">
        <x:v>dg-hq-0137</x:v>
      </x:c>
      <x:c r="I1782" s="5" t="str">
        <x:v>6.4.2</x:v>
      </x:c>
      <x:c r="J1782" s="5" t="str">
        <x:v>Normalkostenrechnung</x:v>
      </x:c>
      <x:c r="K1782" s="5" t="str"/>
      <x:c r="L1782" s="5" t="str">
        <x:v>Ist- &amp; Normalkostenrechnung</x:v>
      </x:c>
      <x:c r="M1782" s="5" t="n">
        <x:v>60</x:v>
      </x:c>
      <x:c r="N1782" s="5" t="n">
        <x:v>6</x:v>
      </x:c>
      <x:c r="O1782" s="5" t="str"/>
      <x:c r="P1782" s="5" t="str">
        <x:v>Zuordnungsvorschlag; Fachfreigabe ausstehend</x:v>
      </x:c>
      <x:c r="Q1782" s="5" t="str">
        <x:v>Bestehendes Lernthema fachlich unter passendem Rahmenplan-Unterbereich behalten</x:v>
      </x:c>
      <x:c r="R1782" s="5" t="str">
        <x:v>Fallbezug: Die folgenden betrieblichen Angaben und Situationen beziehen sich auf die Circle Harbor GmbH.
Für einen Auftrag waren 5.000 kg Material zu 8,00 € je kg vorgesehen. Tatsächlich wurden 5.200 kg zu 8,50 € verbraucht. Zerlegen Sie die Kostenabweichung in Mengen- und Preisabweichung; verwenden Sie positive Werte für günstige Abweichungen.</x:v>
      </x:c>
      <x:c r="S1782" s="5" t="str">
        <x:v>20d376cbe077fb02da50eaab21f6f2e136a9d8039a4a363f1b7822bc1338545c</x:v>
      </x:c>
    </x:row>
    <x:row r="1783" ht="36" customHeight="1">
      <x:c r="A1783" s="5" t="str">
        <x:v>FC-0073</x:v>
      </x:c>
      <x:c r="B1783" s="5" t="str">
        <x:v>HQ</x:v>
      </x:c>
      <x:c r="C1783" s="5" t="str">
        <x:v>6</x:v>
      </x:c>
      <x:c r="D1783" s="5" t="str">
        <x:v>Investition, Finanzierung, betriebliches Rechnungswesen und Controlling</x:v>
      </x:c>
      <x:c r="E1783" s="5" t="str">
        <x:v>Betriebliches Rechnungswesen und Controlling</x:v>
      </x:c>
      <x:c r="F1783" s="5" t="str">
        <x:v>ui-hq-0020</x:v>
      </x:c>
      <x:c r="G1783" s="5" t="str">
        <x:v>Kosten- und Leistungsrechnung</x:v>
      </x:c>
      <x:c r="H1783" s="5" t="str">
        <x:v>dg-hq-0137</x:v>
      </x:c>
      <x:c r="I1783" s="5" t="str">
        <x:v>6.4.2</x:v>
      </x:c>
      <x:c r="J1783" s="5" t="str">
        <x:v>Normalkostenrechnung</x:v>
      </x:c>
      <x:c r="K1783" s="5" t="str"/>
      <x:c r="L1783" s="5" t="str">
        <x:v>Ist- &amp; Normalkostenrechnung</x:v>
      </x:c>
      <x:c r="M1783" s="5" t="n">
        <x:v>61</x:v>
      </x:c>
      <x:c r="N1783" s="5" t="n">
        <x:v>7</x:v>
      </x:c>
      <x:c r="O1783" s="5" t="str"/>
      <x:c r="P1783" s="5" t="str">
        <x:v>Zuordnungsvorschlag; Fachfreigabe ausstehend</x:v>
      </x:c>
      <x:c r="Q1783" s="5" t="str">
        <x:v>Bestehendes Lernthema fachlich unter passendem Rahmenplan-Unterbereich behalten</x:v>
      </x:c>
      <x:c r="R1783" s="5" t="str">
        <x:v>Vervollständigen Sie die Aussagen zu Kostenüber- und Kostenunterdeckung sowie zur Vorzeichenkonvention des Fachbuchs.</x:v>
      </x:c>
      <x:c r="S1783" s="5" t="str">
        <x:v>4a0fdc8a4a3b7b0d9e562a13df640160a211905ea6c1bd17e68f4c10f62289fa</x:v>
      </x:c>
    </x:row>
    <x:row r="1784" ht="36" customHeight="1">
      <x:c r="A1784" s="5" t="str">
        <x:v>FC-0074</x:v>
      </x:c>
      <x:c r="B1784" s="5" t="str">
        <x:v>HQ</x:v>
      </x:c>
      <x:c r="C1784" s="5" t="str">
        <x:v>6</x:v>
      </x:c>
      <x:c r="D1784" s="5" t="str">
        <x:v>Investition, Finanzierung, betriebliches Rechnungswesen und Controlling</x:v>
      </x:c>
      <x:c r="E1784" s="5" t="str">
        <x:v>Betriebliches Rechnungswesen und Controlling</x:v>
      </x:c>
      <x:c r="F1784" s="5" t="str">
        <x:v>ui-hq-0020</x:v>
      </x:c>
      <x:c r="G1784" s="5" t="str">
        <x:v>Kosten- und Leistungsrechnung</x:v>
      </x:c>
      <x:c r="H1784" s="5" t="str">
        <x:v>dg-hq-0137</x:v>
      </x:c>
      <x:c r="I1784" s="5" t="str">
        <x:v>6.4.2</x:v>
      </x:c>
      <x:c r="J1784" s="5" t="str">
        <x:v>Normalkostenrechnung</x:v>
      </x:c>
      <x:c r="K1784" s="5" t="str"/>
      <x:c r="L1784" s="5" t="str">
        <x:v>Ist- &amp; Normalkostenrechnung</x:v>
      </x:c>
      <x:c r="M1784" s="5" t="n">
        <x:v>62</x:v>
      </x:c>
      <x:c r="N1784" s="5" t="n">
        <x:v>8</x:v>
      </x:c>
      <x:c r="O1784" s="5" t="str"/>
      <x:c r="P1784" s="5" t="str">
        <x:v>Zuordnungsvorschlag; Fachfreigabe ausstehend</x:v>
      </x:c>
      <x:c r="Q1784" s="5" t="str">
        <x:v>Bestehendes Lernthema fachlich unter passendem Rahmenplan-Unterbereich behalten</x:v>
      </x:c>
      <x:c r="R1784" s="5" t="str">
        <x:v>Circle Harbor stellt 9.000 Geräte zu Herstellkosten von 80 € je Stück her, verkauft aber 9.600 Geräte. Ermitteln Sie die Herstellkosten der Erzeugung, die Bestandsminderung und die Herstellkosten des Umsatzes.</x:v>
      </x:c>
      <x:c r="S1784" s="5" t="str">
        <x:v>7018d18df117ec8e1cec100a8c3293ec628fa30c6f4413a918fc8582a910f655</x:v>
      </x:c>
    </x:row>
    <x:row r="1785" ht="36" customHeight="1">
      <x:c r="A1785" s="5" t="str">
        <x:v>FC-0075</x:v>
      </x:c>
      <x:c r="B1785" s="5" t="str">
        <x:v>HQ</x:v>
      </x:c>
      <x:c r="C1785" s="5" t="str">
        <x:v>6</x:v>
      </x:c>
      <x:c r="D1785" s="5" t="str">
        <x:v>Investition, Finanzierung, betriebliches Rechnungswesen und Controlling</x:v>
      </x:c>
      <x:c r="E1785" s="5" t="str">
        <x:v>Betriebliches Rechnungswesen und Controlling</x:v>
      </x:c>
      <x:c r="F1785" s="5" t="str">
        <x:v>ui-hq-0020</x:v>
      </x:c>
      <x:c r="G1785" s="5" t="str">
        <x:v>Kosten- und Leistungsrechnung</x:v>
      </x:c>
      <x:c r="H1785" s="5" t="str">
        <x:v>dg-hq-0138</x:v>
      </x:c>
      <x:c r="I1785" s="5" t="str">
        <x:v>6.4.3</x:v>
      </x:c>
      <x:c r="J1785" s="5" t="str">
        <x:v>Plankostenrechnung</x:v>
      </x:c>
      <x:c r="K1785" s="5" t="str"/>
      <x:c r="L1785" s="5" t="str">
        <x:v>Plankostenrechnung &amp; Abweichungsanalyse</x:v>
      </x:c>
      <x:c r="M1785" s="5" t="n">
        <x:v>63</x:v>
      </x:c>
      <x:c r="N1785" s="5" t="n">
        <x:v>6</x:v>
      </x:c>
      <x:c r="O1785" s="5" t="str"/>
      <x:c r="P1785" s="5" t="str">
        <x:v>Zuordnungsvorschlag; Fachfreigabe ausstehend</x:v>
      </x:c>
      <x:c r="Q1785" s="5" t="str">
        <x:v>Bestehendes Lernthema fachlich unter passendem Rahmenplan-Unterbereich behalten</x:v>
      </x:c>
      <x:c r="R1785" s="5" t="str">
        <x:v>Ordnen Sie die Aussagen der starren oder flexiblen Plankostenrechnung zu.</x:v>
      </x:c>
      <x:c r="S1785" s="5" t="str">
        <x:v>0e768947b51297510e5153c341f69c4e0d0ce100709f5573acb4e002ee8f46aa</x:v>
      </x:c>
    </x:row>
    <x:row r="1786" ht="36" customHeight="1">
      <x:c r="A1786" s="5" t="str">
        <x:v>FC-0076</x:v>
      </x:c>
      <x:c r="B1786" s="5" t="str">
        <x:v>HQ</x:v>
      </x:c>
      <x:c r="C1786" s="5" t="str">
        <x:v>6</x:v>
      </x:c>
      <x:c r="D1786" s="5" t="str">
        <x:v>Investition, Finanzierung, betriebliches Rechnungswesen und Controlling</x:v>
      </x:c>
      <x:c r="E1786" s="5" t="str">
        <x:v>Betriebliches Rechnungswesen und Controlling</x:v>
      </x:c>
      <x:c r="F1786" s="5" t="str">
        <x:v>ui-hq-0020</x:v>
      </x:c>
      <x:c r="G1786" s="5" t="str">
        <x:v>Kosten- und Leistungsrechnung</x:v>
      </x:c>
      <x:c r="H1786" s="5" t="str">
        <x:v>dg-hq-0138</x:v>
      </x:c>
      <x:c r="I1786" s="5" t="str">
        <x:v>6.4.3</x:v>
      </x:c>
      <x:c r="J1786" s="5" t="str">
        <x:v>Plankostenrechnung</x:v>
      </x:c>
      <x:c r="K1786" s="5" t="str"/>
      <x:c r="L1786" s="5" t="str">
        <x:v>Plankostenrechnung &amp; Abweichungsanalyse</x:v>
      </x:c>
      <x:c r="M1786" s="5" t="n">
        <x:v>64</x:v>
      </x:c>
      <x:c r="N1786" s="5" t="n">
        <x:v>7</x:v>
      </x:c>
      <x:c r="O1786" s="5" t="str"/>
      <x:c r="P1786" s="5" t="str">
        <x:v>Zuordnungsvorschlag; Fachfreigabe ausstehend</x:v>
      </x:c>
      <x:c r="Q1786" s="5" t="str">
        <x:v>Bestehendes Lernthema fachlich unter passendem Rahmenplan-Unterbereich behalten</x:v>
      </x:c>
      <x:c r="R1786" s="5" t="str">
        <x:v>Fallbezug: Die folgenden betrieblichen Angaben und Situationen beziehen sich auf die Circle Harbor GmbH.
Eine Kostenstelle plant bei 10.000 Stück 210.000 € variable und 90.000 € fixe Kosten. Tatsächlich werden 11.000 Stück gefertigt; die Istkosten betragen 317.000 €. Berechnen Sie Sollkosten, verrechnete Plankosten sowie Verbrauchs-, Beschäftigungs- und Gesamtabweichung nach der Fachbuchkonvention.</x:v>
      </x:c>
      <x:c r="S1786" s="5" t="str">
        <x:v>9e6b832cfb6ddb7e1c15b591ad44b062344baeba11771c72925366927b98a810</x:v>
      </x:c>
    </x:row>
    <x:row r="1787" ht="36" customHeight="1">
      <x:c r="A1787" s="5" t="str">
        <x:v>FC-0077</x:v>
      </x:c>
      <x:c r="B1787" s="5" t="str">
        <x:v>HQ</x:v>
      </x:c>
      <x:c r="C1787" s="5" t="str">
        <x:v>6</x:v>
      </x:c>
      <x:c r="D1787" s="5" t="str">
        <x:v>Investition, Finanzierung, betriebliches Rechnungswesen und Controlling</x:v>
      </x:c>
      <x:c r="E1787" s="5" t="str">
        <x:v>Betriebliches Rechnungswesen und Controlling</x:v>
      </x:c>
      <x:c r="F1787" s="5" t="str">
        <x:v>ui-hq-0020</x:v>
      </x:c>
      <x:c r="G1787" s="5" t="str">
        <x:v>Kosten- und Leistungsrechnung</x:v>
      </x:c>
      <x:c r="H1787" s="5" t="str">
        <x:v>dg-hq-0139</x:v>
      </x:c>
      <x:c r="I1787" s="5" t="str">
        <x:v>6.4.4.1</x:v>
      </x:c>
      <x:c r="J1787" s="5" t="str">
        <x:v>Target Costing</x:v>
      </x:c>
      <x:c r="K1787" s="5" t="str"/>
      <x:c r="L1787" s="5" t="str">
        <x:v>Target Costing</x:v>
      </x:c>
      <x:c r="M1787" s="5" t="n">
        <x:v>65</x:v>
      </x:c>
      <x:c r="N1787" s="5" t="n">
        <x:v>4</x:v>
      </x:c>
      <x:c r="O1787" s="5" t="str"/>
      <x:c r="P1787" s="5" t="str">
        <x:v>Zuordnungsvorschlag; Fachfreigabe ausstehend</x:v>
      </x:c>
      <x:c r="Q1787" s="5" t="str">
        <x:v>Bestehendes Lernthema fachlich unter passendem Rahmenplan-Unterbereich behalten</x:v>
      </x:c>
      <x:c r="R1787" s="5" t="str">
        <x:v>Fallbezug: Die folgenden betrieblichen Angaben und Situationen beziehen sich auf die Circle Harbor GmbH.
Beim Target Costing betragen die Standardkosten der Komponenten A, B und C 180 €, 160 € und 60 €. Die Komponentengewichte aus Kundensicht betragen 45 %, 35 % und 20 %. Berechnen Sie Kostenanteile und Zielkostenindizes und leiten Sie den Anpassungsbedarf ab.</x:v>
      </x:c>
      <x:c r="S1787" s="5" t="str">
        <x:v>584656a5b1a218d9203ae9863bca84b9a3fc0032f296b1ce66209f4cdaa08d90</x:v>
      </x:c>
    </x:row>
    <x:row r="1788" ht="36" customHeight="1">
      <x:c r="A1788" s="5" t="str">
        <x:v>FC-0078</x:v>
      </x:c>
      <x:c r="B1788" s="5" t="str">
        <x:v>HQ</x:v>
      </x:c>
      <x:c r="C1788" s="5" t="str">
        <x:v>6</x:v>
      </x:c>
      <x:c r="D1788" s="5" t="str">
        <x:v>Investition, Finanzierung, betriebliches Rechnungswesen und Controlling</x:v>
      </x:c>
      <x:c r="E1788" s="5" t="str">
        <x:v>Betriebliches Rechnungswesen und Controlling</x:v>
      </x:c>
      <x:c r="F1788" s="5" t="str">
        <x:v>ui-hq-0020</x:v>
      </x:c>
      <x:c r="G1788" s="5" t="str">
        <x:v>Kosten- und Leistungsrechnung</x:v>
      </x:c>
      <x:c r="H1788" s="5" t="str">
        <x:v>dg-hq-0139</x:v>
      </x:c>
      <x:c r="I1788" s="5" t="str">
        <x:v>6.4.4.1</x:v>
      </x:c>
      <x:c r="J1788" s="5" t="str">
        <x:v>Target Costing</x:v>
      </x:c>
      <x:c r="K1788" s="5" t="str"/>
      <x:c r="L1788" s="5" t="str">
        <x:v>Target Costing</x:v>
      </x:c>
      <x:c r="M1788" s="5" t="n">
        <x:v>66</x:v>
      </x:c>
      <x:c r="N1788" s="5" t="n">
        <x:v>5</x:v>
      </x:c>
      <x:c r="O1788" s="5" t="str"/>
      <x:c r="P1788" s="5" t="str">
        <x:v>Zuordnungsvorschlag; Fachfreigabe ausstehend</x:v>
      </x:c>
      <x:c r="Q1788" s="5" t="str">
        <x:v>Bestehendes Lernthema fachlich unter passendem Rahmenplan-Unterbereich behalten</x:v>
      </x:c>
      <x:c r="R1788" s="5" t="str">
        <x:v>Fallbezug: Die folgenden betrieblichen Angaben und Situationen beziehen sich auf die Circle Harbor GmbH.
Das Gehäuse eines Produkts besitzt einen Zielkostenindex von 0,70, die Bedieneinheit einen Index von 1,25. Interpretieren Sie beide Werte und nennen Sie geeignete Maßnahmen. Warum wäre eine gleichmäßige Kürzung aller Komponenten ungeeignet?</x:v>
      </x:c>
      <x:c r="S1788" s="5" t="str">
        <x:v>4ac727e78da03aa10ea627f3e1d6893d1b064ca8947c0da09b3b8eecfc26afd1</x:v>
      </x:c>
    </x:row>
    <x:row r="1789" ht="36" customHeight="1">
      <x:c r="A1789" s="5" t="str">
        <x:v>FC-0079</x:v>
      </x:c>
      <x:c r="B1789" s="5" t="str">
        <x:v>HQ</x:v>
      </x:c>
      <x:c r="C1789" s="5" t="str">
        <x:v>6</x:v>
      </x:c>
      <x:c r="D1789" s="5" t="str">
        <x:v>Investition, Finanzierung, betriebliches Rechnungswesen und Controlling</x:v>
      </x:c>
      <x:c r="E1789" s="5" t="str">
        <x:v>Betriebliches Rechnungswesen und Controlling</x:v>
      </x:c>
      <x:c r="F1789" s="5" t="str">
        <x:v>ui-hq-0021</x:v>
      </x:c>
      <x:c r="G1789" s="5" t="str">
        <x:v>Controlling</x:v>
      </x:c>
      <x:c r="H1789" s="5" t="str">
        <x:v>dg-hq-0141</x:v>
      </x:c>
      <x:c r="I1789" s="5" t="str">
        <x:v>6.5.1</x:v>
      </x:c>
      <x:c r="J1789" s="5" t="str">
        <x:v>Begriff und Notwendigkeit des Controlling</x:v>
      </x:c>
      <x:c r="K1789" s="5" t="str"/>
      <x:c r="L1789" s="5" t="str">
        <x:v>Controlling-Grundlagen, Aufgaben &amp; Organisation</x:v>
      </x:c>
      <x:c r="M1789" s="5" t="n">
        <x:v>13</x:v>
      </x:c>
      <x:c r="N1789" s="5" t="n">
        <x:v>7</x:v>
      </x:c>
      <x:c r="O1789" s="5" t="str"/>
      <x:c r="P1789" s="5" t="str">
        <x:v>Zuordnungsvorschlag; Fachfreigabe ausstehend</x:v>
      </x:c>
      <x:c r="Q1789" s="5" t="str">
        <x:v>Bestehendes Lernthema fachlich unter passendem Rahmenplan-Unterbereich behalten</x:v>
      </x:c>
      <x:c r="R1789" s="5" t="str">
        <x:v>Ordnen Sie typische Merkmale dem Rechnungswesen oder dem Controlling zu.</x:v>
      </x:c>
      <x:c r="S1789" s="5" t="str">
        <x:v>cdaeb0782eb41766ce31c2b703400a023bb2df491154f8765563011c1b8907a6</x:v>
      </x:c>
    </x:row>
    <x:row r="1790" ht="36" customHeight="1">
      <x:c r="A1790" s="5" t="str">
        <x:v>FC-0080</x:v>
      </x:c>
      <x:c r="B1790" s="5" t="str">
        <x:v>HQ</x:v>
      </x:c>
      <x:c r="C1790" s="5" t="str">
        <x:v>6</x:v>
      </x:c>
      <x:c r="D1790" s="5" t="str">
        <x:v>Investition, Finanzierung, betriebliches Rechnungswesen und Controlling</x:v>
      </x:c>
      <x:c r="E1790" s="5" t="str">
        <x:v>Betriebliches Rechnungswesen und Controlling</x:v>
      </x:c>
      <x:c r="F1790" s="5" t="str">
        <x:v>ui-hq-0021</x:v>
      </x:c>
      <x:c r="G1790" s="5" t="str">
        <x:v>Controlling</x:v>
      </x:c>
      <x:c r="H1790" s="5" t="str">
        <x:v>dg-hq-0141</x:v>
      </x:c>
      <x:c r="I1790" s="5" t="str">
        <x:v>6.5.1</x:v>
      </x:c>
      <x:c r="J1790" s="5" t="str">
        <x:v>Begriff und Notwendigkeit des Controlling</x:v>
      </x:c>
      <x:c r="K1790" s="5" t="str"/>
      <x:c r="L1790" s="5" t="str">
        <x:v>Controlling-Grundlagen, Aufgaben &amp; Organisation</x:v>
      </x:c>
      <x:c r="M1790" s="5" t="n">
        <x:v>14</x:v>
      </x:c>
      <x:c r="N1790" s="5" t="n">
        <x:v>8</x:v>
      </x:c>
      <x:c r="O1790" s="5" t="str"/>
      <x:c r="P1790" s="5" t="str">
        <x:v>Zuordnungsvorschlag; Fachfreigabe ausstehend</x:v>
      </x:c>
      <x:c r="Q1790" s="5" t="str">
        <x:v>Bestehendes Lernthema fachlich unter passendem Rahmenplan-Unterbereich behalten</x:v>
      </x:c>
      <x:c r="R1790" s="5" t="str">
        <x:v>Vervollständigen Sie den Controllingkreislauf und sein Lernprinzip.</x:v>
      </x:c>
      <x:c r="S1790" s="5" t="str">
        <x:v>9486a7029b94c333bfd45a2e52ee59151d8d176243a1e221cc1e9d77d4d5269f</x:v>
      </x:c>
    </x:row>
    <x:row r="1791" ht="36" customHeight="1">
      <x:c r="A1791" s="5" t="str">
        <x:v>FC-0081</x:v>
      </x:c>
      <x:c r="B1791" s="5" t="str">
        <x:v>HQ</x:v>
      </x:c>
      <x:c r="C1791" s="5" t="str">
        <x:v>6</x:v>
      </x:c>
      <x:c r="D1791" s="5" t="str">
        <x:v>Investition, Finanzierung, betriebliches Rechnungswesen und Controlling</x:v>
      </x:c>
      <x:c r="E1791" s="5" t="str">
        <x:v>Betriebliches Rechnungswesen und Controlling</x:v>
      </x:c>
      <x:c r="F1791" s="5" t="str">
        <x:v>ui-hq-0021</x:v>
      </x:c>
      <x:c r="G1791" s="5" t="str">
        <x:v>Controlling</x:v>
      </x:c>
      <x:c r="H1791" s="5" t="str">
        <x:v>dg-hq-0141</x:v>
      </x:c>
      <x:c r="I1791" s="5" t="str">
        <x:v>6.5.1</x:v>
      </x:c>
      <x:c r="J1791" s="5" t="str">
        <x:v>Begriff und Notwendigkeit des Controlling</x:v>
      </x:c>
      <x:c r="K1791" s="5" t="str"/>
      <x:c r="L1791" s="5" t="str">
        <x:v>Controlling-Grundlagen, Aufgaben &amp; Organisation</x:v>
      </x:c>
      <x:c r="M1791" s="5" t="n">
        <x:v>15</x:v>
      </x:c>
      <x:c r="N1791" s="5" t="n">
        <x:v>9</x:v>
      </x:c>
      <x:c r="O1791" s="5" t="str"/>
      <x:c r="P1791" s="5" t="str">
        <x:v>Zuordnungsvorschlag; Fachfreigabe ausstehend</x:v>
      </x:c>
      <x:c r="Q1791" s="5" t="str">
        <x:v>Bestehendes Lernthema fachlich unter passendem Rahmenplan-Unterbereich behalten</x:v>
      </x:c>
      <x:c r="R1791" s="5" t="str">
        <x:v>Welche Faktoren beeinflussen die organisatorische Eingliederung des Controllings? Begründen Sie eine eher hohe hierarchische Einordnung und nennen Sie drei mögliche funktionale Controllingbereiche.</x:v>
      </x:c>
      <x:c r="S1791" s="5" t="str">
        <x:v>775d859f0bc86171abfe705ef044f893615c1c10d3b50c55e2999c3a5cf0097f</x:v>
      </x:c>
    </x:row>
    <x:row r="1792" ht="36" customHeight="1">
      <x:c r="A1792" s="5" t="str">
        <x:v>FC-0082</x:v>
      </x:c>
      <x:c r="B1792" s="5" t="str">
        <x:v>HQ</x:v>
      </x:c>
      <x:c r="C1792" s="5" t="str">
        <x:v>6</x:v>
      </x:c>
      <x:c r="D1792" s="5" t="str">
        <x:v>Investition, Finanzierung, betriebliches Rechnungswesen und Controlling</x:v>
      </x:c>
      <x:c r="E1792" s="5" t="str">
        <x:v>Betriebliches Rechnungswesen und Controlling</x:v>
      </x:c>
      <x:c r="F1792" s="5" t="str">
        <x:v>ui-hq-0021</x:v>
      </x:c>
      <x:c r="G1792" s="5" t="str">
        <x:v>Controlling</x:v>
      </x:c>
      <x:c r="H1792" s="5" t="str">
        <x:v>dg-hq-0142</x:v>
      </x:c>
      <x:c r="I1792" s="5" t="str">
        <x:v>6.5.4.1</x:v>
      </x:c>
      <x:c r="J1792" s="5" t="str">
        <x:v>Strategische Controllinginstrumente</x:v>
      </x:c>
      <x:c r="K1792" s="5" t="str"/>
      <x:c r="L1792" s="5" t="str">
        <x:v>Strategische Controllinginstrumente</x:v>
      </x:c>
      <x:c r="M1792" s="5" t="n">
        <x:v>16</x:v>
      </x:c>
      <x:c r="N1792" s="5" t="n">
        <x:v>5</x:v>
      </x:c>
      <x:c r="O1792" s="5" t="str"/>
      <x:c r="P1792" s="5" t="str">
        <x:v>Zuordnungsvorschlag; Fachfreigabe ausstehend</x:v>
      </x:c>
      <x:c r="Q1792" s="5" t="str">
        <x:v>Bestehendes Lernthema fachlich unter passendem Rahmenplan-Unterbereich behalten</x:v>
      </x:c>
      <x:c r="R1792" s="5" t="str">
        <x:v>Circle Harbor strebt für das nächste Jahr 9,2 Mio. € Umsatz an. Bei unverändertem Produktprogramm werden 8,5 Mio. € erwartet. Berechnen und interpretieren Sie die GAP und erläutern Sie die Konsequenz für das strategische Controlling.</x:v>
      </x:c>
      <x:c r="S1792" s="5" t="str">
        <x:v>65c03fa33b2e68a9a369bcb5af83c1fbe61d3dd21084213bcb090ab546210854</x:v>
      </x:c>
    </x:row>
    <x:row r="1793" ht="36" customHeight="1">
      <x:c r="A1793" s="5" t="str">
        <x:v>FC-0083</x:v>
      </x:c>
      <x:c r="B1793" s="5" t="str">
        <x:v>HQ</x:v>
      </x:c>
      <x:c r="C1793" s="5" t="str">
        <x:v>6</x:v>
      </x:c>
      <x:c r="D1793" s="5" t="str">
        <x:v>Investition, Finanzierung, betriebliches Rechnungswesen und Controlling</x:v>
      </x:c>
      <x:c r="E1793" s="5" t="str">
        <x:v>Betriebliches Rechnungswesen und Controlling</x:v>
      </x:c>
      <x:c r="F1793" s="5" t="str">
        <x:v>ui-hq-0021</x:v>
      </x:c>
      <x:c r="G1793" s="5" t="str">
        <x:v>Controlling</x:v>
      </x:c>
      <x:c r="H1793" s="5" t="str">
        <x:v>dg-hq-0142</x:v>
      </x:c>
      <x:c r="I1793" s="5" t="str">
        <x:v>6.5.4.1</x:v>
      </x:c>
      <x:c r="J1793" s="5" t="str">
        <x:v>Strategische Controllinginstrumente</x:v>
      </x:c>
      <x:c r="K1793" s="5" t="str"/>
      <x:c r="L1793" s="5" t="str">
        <x:v>Strategische Controllinginstrumente</x:v>
      </x:c>
      <x:c r="M1793" s="5" t="n">
        <x:v>17</x:v>
      </x:c>
      <x:c r="N1793" s="5" t="n">
        <x:v>6</x:v>
      </x:c>
      <x:c r="O1793" s="5" t="str"/>
      <x:c r="P1793" s="5" t="str">
        <x:v>Zuordnungsvorschlag; Fachfreigabe ausstehend</x:v>
      </x:c>
      <x:c r="Q1793" s="5" t="str">
        <x:v>Bestehendes Lernthema fachlich unter passendem Rahmenplan-Unterbereich behalten</x:v>
      </x:c>
      <x:c r="R1793" s="5" t="str">
        <x:v>Ordnen Sie die grundlegenden Schritte eines Benchmarkings.</x:v>
      </x:c>
      <x:c r="S1793" s="5" t="str">
        <x:v>39114850450904c0687cb5a913249aa358dd24a215feac1488f8392766574a12</x:v>
      </x:c>
    </x:row>
    <x:row r="1794" ht="36" customHeight="1">
      <x:c r="A1794" s="5" t="str">
        <x:v>FC-0084</x:v>
      </x:c>
      <x:c r="B1794" s="5" t="str">
        <x:v>HQ</x:v>
      </x:c>
      <x:c r="C1794" s="5" t="str">
        <x:v>6</x:v>
      </x:c>
      <x:c r="D1794" s="5" t="str">
        <x:v>Investition, Finanzierung, betriebliches Rechnungswesen und Controlling</x:v>
      </x:c>
      <x:c r="E1794" s="5" t="str">
        <x:v>Betriebliches Rechnungswesen und Controlling</x:v>
      </x:c>
      <x:c r="F1794" s="5" t="str">
        <x:v>ui-hq-0021</x:v>
      </x:c>
      <x:c r="G1794" s="5" t="str">
        <x:v>Controlling</x:v>
      </x:c>
      <x:c r="H1794" s="5" t="str">
        <x:v>dg-hq-0142</x:v>
      </x:c>
      <x:c r="I1794" s="5" t="str">
        <x:v>6.5.4.1</x:v>
      </x:c>
      <x:c r="J1794" s="5" t="str">
        <x:v>Strategische Controllinginstrumente</x:v>
      </x:c>
      <x:c r="K1794" s="5" t="str"/>
      <x:c r="L1794" s="5" t="str">
        <x:v>Strategische Controllinginstrumente</x:v>
      </x:c>
      <x:c r="M1794" s="5" t="n">
        <x:v>18</x:v>
      </x:c>
      <x:c r="N1794" s="5" t="n">
        <x:v>7</x:v>
      </x:c>
      <x:c r="O1794" s="5" t="str"/>
      <x:c r="P1794" s="5" t="str">
        <x:v>Zuordnungsvorschlag; Fachfreigabe ausstehend</x:v>
      </x:c>
      <x:c r="Q1794" s="5" t="str">
        <x:v>Bestehendes Lernthema fachlich unter passendem Rahmenplan-Unterbereich behalten</x:v>
      </x:c>
      <x:c r="R1794" s="5" t="str">
        <x:v>Bei einer Stärken-Schwächen-Analyse werden Circle Harbor und der führende Wettbewerb auf einer Skala von 1 bis 6 bewertet: Preis-Leistung 6/6, Service 3/6, Lieferzuverlässigkeit 4/5, Innovation 5/4. Leiten Sie Stärken, Schwächen und sinnvolle Prioritäten ab.</x:v>
      </x:c>
      <x:c r="S1794" s="5" t="str">
        <x:v>4fa0be3faec6bb82883ab73e40a979cd4faf4486c15540597e49de518bf1a846</x:v>
      </x:c>
    </x:row>
    <x:row r="1795" ht="36" customHeight="1">
      <x:c r="A1795" s="5" t="str">
        <x:v>FC-0085</x:v>
      </x:c>
      <x:c r="B1795" s="5" t="str">
        <x:v>HQ</x:v>
      </x:c>
      <x:c r="C1795" s="5" t="str">
        <x:v>6</x:v>
      </x:c>
      <x:c r="D1795" s="5" t="str">
        <x:v>Investition, Finanzierung, betriebliches Rechnungswesen und Controlling</x:v>
      </x:c>
      <x:c r="E1795" s="5" t="str">
        <x:v>Betriebliches Rechnungswesen und Controlling</x:v>
      </x:c>
      <x:c r="F1795" s="5" t="str">
        <x:v>ui-hq-0021</x:v>
      </x:c>
      <x:c r="G1795" s="5" t="str">
        <x:v>Controlling</x:v>
      </x:c>
      <x:c r="H1795" s="5" t="str">
        <x:v>dg-hq-0142</x:v>
      </x:c>
      <x:c r="I1795" s="5" t="str">
        <x:v>6.5.4.1</x:v>
      </x:c>
      <x:c r="J1795" s="5" t="str">
        <x:v>Strategische Controllinginstrumente</x:v>
      </x:c>
      <x:c r="K1795" s="5" t="str"/>
      <x:c r="L1795" s="5" t="str">
        <x:v>Strategische Controllinginstrumente</x:v>
      </x:c>
      <x:c r="M1795" s="5" t="n">
        <x:v>19</x:v>
      </x:c>
      <x:c r="N1795" s="5" t="n">
        <x:v>8</x:v>
      </x:c>
      <x:c r="O1795" s="5" t="str"/>
      <x:c r="P1795" s="5" t="str">
        <x:v>Zuordnungsvorschlag; Fachfreigabe ausstehend</x:v>
      </x:c>
      <x:c r="Q1795" s="5" t="str">
        <x:v>Bestehendes Lernthema fachlich unter passendem Rahmenplan-Unterbereich behalten</x:v>
      </x:c>
      <x:c r="R1795" s="5" t="str">
        <x:v>Eine Potenzialanalyse bewertet fünf Kriterien mit maximal 6 Punkten. Gewichtungen und Circle-Harbor-Bewertungen: Qualität 30×5, Technologie 25×4, Service 20×3, Kostenposition 15×2, Nachhaltigkeit 10×4. Berechnen Sie Gesamtpunktzahl, Erfüllungsgrad und verbleibendes Potenzial.</x:v>
      </x:c>
      <x:c r="S1795" s="5" t="str">
        <x:v>5d03573ddd7b1fb109da1cdb5e43c985b3d456a2595604df36f9c35c3b052cab</x:v>
      </x:c>
    </x:row>
    <x:row r="1796" ht="36" customHeight="1">
      <x:c r="A1796" s="5" t="str">
        <x:v>FC-0086</x:v>
      </x:c>
      <x:c r="B1796" s="5" t="str">
        <x:v>HQ</x:v>
      </x:c>
      <x:c r="C1796" s="5" t="str">
        <x:v>6</x:v>
      </x:c>
      <x:c r="D1796" s="5" t="str">
        <x:v>Investition, Finanzierung, betriebliches Rechnungswesen und Controlling</x:v>
      </x:c>
      <x:c r="E1796" s="5" t="str">
        <x:v>Betriebliches Rechnungswesen und Controlling</x:v>
      </x:c>
      <x:c r="F1796" s="5" t="str">
        <x:v>ui-hq-0021</x:v>
      </x:c>
      <x:c r="G1796" s="5" t="str">
        <x:v>Controlling</x:v>
      </x:c>
      <x:c r="H1796" s="5" t="str">
        <x:v>dg-hq-0142</x:v>
      </x:c>
      <x:c r="I1796" s="5" t="str">
        <x:v>6.5.4.1</x:v>
      </x:c>
      <x:c r="J1796" s="5" t="str">
        <x:v>Strategische Controllinginstrumente</x:v>
      </x:c>
      <x:c r="K1796" s="5" t="str"/>
      <x:c r="L1796" s="5" t="str">
        <x:v>Strategische Controllinginstrumente</x:v>
      </x:c>
      <x:c r="M1796" s="5" t="n">
        <x:v>20</x:v>
      </x:c>
      <x:c r="N1796" s="5" t="n">
        <x:v>9</x:v>
      </x:c>
      <x:c r="O1796" s="5" t="str"/>
      <x:c r="P1796" s="5" t="str">
        <x:v>Zuordnungsvorschlag; Fachfreigabe ausstehend</x:v>
      </x:c>
      <x:c r="Q1796" s="5" t="str">
        <x:v>Bestehendes Lernthema fachlich unter passendem Rahmenplan-Unterbereich behalten</x:v>
      </x:c>
      <x:c r="R1796" s="5" t="str">
        <x:v>Ordnen Sie vier Faktoren der SWOT-Analyse zu.</x:v>
      </x:c>
      <x:c r="S1796" s="5" t="str">
        <x:v>d263ee320e9e2b19b1b641dfe92e6d42214142fdcddd60e267a9a62a961af257</x:v>
      </x:c>
    </x:row>
    <x:row r="1797" ht="36" customHeight="1">
      <x:c r="A1797" s="5" t="str">
        <x:v>FC-0087</x:v>
      </x:c>
      <x:c r="B1797" s="5" t="str">
        <x:v>HQ</x:v>
      </x:c>
      <x:c r="C1797" s="5" t="str">
        <x:v>6</x:v>
      </x:c>
      <x:c r="D1797" s="5" t="str">
        <x:v>Investition, Finanzierung, betriebliches Rechnungswesen und Controlling</x:v>
      </x:c>
      <x:c r="E1797" s="5" t="str">
        <x:v>Betriebliches Rechnungswesen und Controlling</x:v>
      </x:c>
      <x:c r="F1797" s="5" t="str">
        <x:v>ui-hq-0021</x:v>
      </x:c>
      <x:c r="G1797" s="5" t="str">
        <x:v>Controlling</x:v>
      </x:c>
      <x:c r="H1797" s="5" t="str">
        <x:v>dg-hq-0142</x:v>
      </x:c>
      <x:c r="I1797" s="5" t="str">
        <x:v>6.5.4.1</x:v>
      </x:c>
      <x:c r="J1797" s="5" t="str">
        <x:v>Strategische Controllinginstrumente</x:v>
      </x:c>
      <x:c r="K1797" s="5" t="str"/>
      <x:c r="L1797" s="5" t="str">
        <x:v>Strategische Controllinginstrumente</x:v>
      </x:c>
      <x:c r="M1797" s="5" t="n">
        <x:v>21</x:v>
      </x:c>
      <x:c r="N1797" s="5" t="n">
        <x:v>10</x:v>
      </x:c>
      <x:c r="O1797" s="5" t="str"/>
      <x:c r="P1797" s="5" t="str">
        <x:v>Zuordnungsvorschlag; Fachfreigabe ausstehend</x:v>
      </x:c>
      <x:c r="Q1797" s="5" t="str">
        <x:v>Bestehendes Lernthema fachlich unter passendem Rahmenplan-Unterbereich behalten</x:v>
      </x:c>
      <x:c r="R1797" s="5" t="str">
        <x:v>Ordnen Sie den vier Feldern der SWOT-Matrix die passende Normstrategie zu.</x:v>
      </x:c>
      <x:c r="S1797" s="5" t="str">
        <x:v>d68a450a7cc91318c316cd04ebc3afb2a88858cb7c4bc53c475bb30fbb2f0b4c</x:v>
      </x:c>
    </x:row>
    <x:row r="1798" ht="36" customHeight="1">
      <x:c r="A1798" s="5" t="str">
        <x:v>FC-0088</x:v>
      </x:c>
      <x:c r="B1798" s="5" t="str">
        <x:v>HQ</x:v>
      </x:c>
      <x:c r="C1798" s="5" t="str">
        <x:v>6</x:v>
      </x:c>
      <x:c r="D1798" s="5" t="str">
        <x:v>Investition, Finanzierung, betriebliches Rechnungswesen und Controlling</x:v>
      </x:c>
      <x:c r="E1798" s="5" t="str">
        <x:v>Betriebliches Rechnungswesen und Controlling</x:v>
      </x:c>
      <x:c r="F1798" s="5" t="str">
        <x:v>ui-hq-0021</x:v>
      </x:c>
      <x:c r="G1798" s="5" t="str">
        <x:v>Controlling</x:v>
      </x:c>
      <x:c r="H1798" s="5" t="str">
        <x:v>dg-hq-0142</x:v>
      </x:c>
      <x:c r="I1798" s="5" t="str">
        <x:v>6.5.4.1</x:v>
      </x:c>
      <x:c r="J1798" s="5" t="str">
        <x:v>Strategische Controllinginstrumente</x:v>
      </x:c>
      <x:c r="K1798" s="5" t="str"/>
      <x:c r="L1798" s="5" t="str">
        <x:v>Strategische Controllinginstrumente</x:v>
      </x:c>
      <x:c r="M1798" s="5" t="n">
        <x:v>22</x:v>
      </x:c>
      <x:c r="N1798" s="5" t="n">
        <x:v>11</x:v>
      </x:c>
      <x:c r="O1798" s="5" t="str"/>
      <x:c r="P1798" s="5" t="str">
        <x:v>Zuordnungsvorschlag; Fachfreigabe ausstehend</x:v>
      </x:c>
      <x:c r="Q1798" s="5" t="str">
        <x:v>Bestehendes Lernthema fachlich unter passendem Rahmenplan-Unterbereich behalten</x:v>
      </x:c>
      <x:c r="R1798" s="5" t="str">
        <x:v>Fallbezug: Die folgenden betrieblichen Angaben und Situationen beziehen sich auf die Circle Harbor GmbH.
Vier Produkte werden nach Marktwachstum und relativem Marktanteil beurteilt: A hoch/niedrig, B hoch/hoch, C niedrig/hoch, D niedrig/niedrig. Ordnen Sie die BCG-Felder zu und nennen Sie jeweils eine typische strategische Stoßrichtung.</x:v>
      </x:c>
      <x:c r="S1798" s="5" t="str">
        <x:v>b64ceb7d7d570236e389ca38be2b2b86cbf60e19760c2d84b521420042103b7a</x:v>
      </x:c>
    </x:row>
    <x:row r="1799" ht="36" customHeight="1">
      <x:c r="A1799" s="5" t="str">
        <x:v>FC-0089</x:v>
      </x:c>
      <x:c r="B1799" s="5" t="str">
        <x:v>HQ</x:v>
      </x:c>
      <x:c r="C1799" s="5" t="str">
        <x:v>6</x:v>
      </x:c>
      <x:c r="D1799" s="5" t="str">
        <x:v>Investition, Finanzierung, betriebliches Rechnungswesen und Controlling</x:v>
      </x:c>
      <x:c r="E1799" s="5" t="str">
        <x:v>Betriebliches Rechnungswesen und Controlling</x:v>
      </x:c>
      <x:c r="F1799" s="5" t="str">
        <x:v>ui-hq-0021</x:v>
      </x:c>
      <x:c r="G1799" s="5" t="str">
        <x:v>Controlling</x:v>
      </x:c>
      <x:c r="H1799" s="5" t="str">
        <x:v>dg-hq-0142</x:v>
      </x:c>
      <x:c r="I1799" s="5" t="str">
        <x:v>6.5.4.1</x:v>
      </x:c>
      <x:c r="J1799" s="5" t="str">
        <x:v>Strategische Controllinginstrumente</x:v>
      </x:c>
      <x:c r="K1799" s="5" t="str"/>
      <x:c r="L1799" s="5" t="str">
        <x:v>Strategische Controllinginstrumente</x:v>
      </x:c>
      <x:c r="M1799" s="5" t="n">
        <x:v>23</x:v>
      </x:c>
      <x:c r="N1799" s="5" t="n">
        <x:v>12</x:v>
      </x:c>
      <x:c r="O1799" s="5" t="str"/>
      <x:c r="P1799" s="5" t="str">
        <x:v>Zuordnungsvorschlag; Fachfreigabe ausstehend</x:v>
      </x:c>
      <x:c r="Q1799" s="5" t="str">
        <x:v>Bestehendes Lernthema fachlich unter passendem Rahmenplan-Unterbereich behalten</x:v>
      </x:c>
      <x:c r="R1799" s="5" t="str">
        <x:v>Circle Harbor verfolgt die Strategie, die Lieferzuverlässigkeit zu erhöhen und dadurch Kundschaft langfristig zu binden. Leiten Sie für jede Perspektive der Balanced Scorecard jeweils ein geeignetes Ziel, eine Kennzahl und eine Maßnahme ab.</x:v>
      </x:c>
      <x:c r="S1799" s="5" t="str">
        <x:v>a382b052d2b6c61c1bf5ba344396c2bc24daa90d758a1c026809c5c1df24ec84</x:v>
      </x:c>
    </x:row>
    <x:row r="1800" ht="36" customHeight="1">
      <x:c r="A1800" s="5" t="str">
        <x:v>FC-0090</x:v>
      </x:c>
      <x:c r="B1800" s="5" t="str">
        <x:v>HQ</x:v>
      </x:c>
      <x:c r="C1800" s="5" t="str">
        <x:v>6</x:v>
      </x:c>
      <x:c r="D1800" s="5" t="str">
        <x:v>Investition, Finanzierung, betriebliches Rechnungswesen und Controlling</x:v>
      </x:c>
      <x:c r="E1800" s="5" t="str">
        <x:v>Betriebliches Rechnungswesen und Controlling</x:v>
      </x:c>
      <x:c r="F1800" s="5" t="str">
        <x:v>ui-hq-0021</x:v>
      </x:c>
      <x:c r="G1800" s="5" t="str">
        <x:v>Controlling</x:v>
      </x:c>
      <x:c r="H1800" s="5" t="str">
        <x:v>dg-hq-0142</x:v>
      </x:c>
      <x:c r="I1800" s="5" t="str">
        <x:v>6.5.4.1</x:v>
      </x:c>
      <x:c r="J1800" s="5" t="str">
        <x:v>Strategische Controllinginstrumente</x:v>
      </x:c>
      <x:c r="K1800" s="5" t="str"/>
      <x:c r="L1800" s="5" t="str">
        <x:v>Strategische Controllinginstrumente</x:v>
      </x:c>
      <x:c r="M1800" s="5" t="n">
        <x:v>24</x:v>
      </x:c>
      <x:c r="N1800" s="5" t="n">
        <x:v>13</x:v>
      </x:c>
      <x:c r="O1800" s="5" t="str"/>
      <x:c r="P1800" s="5" t="str">
        <x:v>Zuordnungsvorschlag; Fachfreigabe ausstehend</x:v>
      </x:c>
      <x:c r="Q1800" s="5" t="str">
        <x:v>Bestehendes Lernthema fachlich unter passendem Rahmenplan-Unterbereich behalten</x:v>
      </x:c>
      <x:c r="R1800" s="5" t="str">
        <x:v>Welche typischen strategischen Maßnahmen passen zu Einführung, Wachstum, Reife bzw. Sättigung und Rückgang eines Produktlebenszyklus?</x:v>
      </x:c>
      <x:c r="S1800" s="5" t="str">
        <x:v>bcf4c376562db5f9ec4b1aafc861f7ed5e29da802c13c36e1bcbb66ead79ae76</x:v>
      </x:c>
    </x:row>
    <x:row r="1801" ht="36" customHeight="1">
      <x:c r="A1801" s="5" t="str">
        <x:v>FC-0091</x:v>
      </x:c>
      <x:c r="B1801" s="5" t="str">
        <x:v>HQ</x:v>
      </x:c>
      <x:c r="C1801" s="5" t="str">
        <x:v>6</x:v>
      </x:c>
      <x:c r="D1801" s="5" t="str">
        <x:v>Investition, Finanzierung, betriebliches Rechnungswesen und Controlling</x:v>
      </x:c>
      <x:c r="E1801" s="5" t="str">
        <x:v>Betriebliches Rechnungswesen und Controlling</x:v>
      </x:c>
      <x:c r="F1801" s="5" t="str">
        <x:v>ui-hq-0021</x:v>
      </x:c>
      <x:c r="G1801" s="5" t="str">
        <x:v>Controlling</x:v>
      </x:c>
      <x:c r="H1801" s="5" t="str">
        <x:v>dg-hq-0143</x:v>
      </x:c>
      <x:c r="I1801" s="5" t="str">
        <x:v>6.5.4.2</x:v>
      </x:c>
      <x:c r="J1801" s="5" t="str">
        <x:v>Operative Controllinginstrumente</x:v>
      </x:c>
      <x:c r="K1801" s="5" t="str"/>
      <x:c r="L1801" s="5" t="str">
        <x:v>Operatives Controlling, Kennzahlen &amp; Berichtswesen</x:v>
      </x:c>
      <x:c r="M1801" s="5" t="n">
        <x:v>25</x:v>
      </x:c>
      <x:c r="N1801" s="5" t="n">
        <x:v>3</x:v>
      </x:c>
      <x:c r="O1801" s="5" t="str"/>
      <x:c r="P1801" s="5" t="str">
        <x:v>Zuordnungsvorschlag; Fachfreigabe ausstehend</x:v>
      </x:c>
      <x:c r="Q1801" s="5" t="str">
        <x:v>Bestehendes Lernthema fachlich unter passendem Rahmenplan-Unterbereich behalten</x:v>
      </x:c>
      <x:c r="R1801" s="5" t="str">
        <x:v>Vervollständigen Sie die operative Planungskette vom strategischen Ziel bis zur Erfolgsplanung.</x:v>
      </x:c>
      <x:c r="S1801" s="5" t="str">
        <x:v>dffb8dc91f120d00dde0807d7c49a47f3bf9dbd8a5ab4cf7c5288d0575b96308</x:v>
      </x:c>
    </x:row>
    <x:row r="1802" ht="36" customHeight="1">
      <x:c r="A1802" s="5" t="str">
        <x:v>FC-0092</x:v>
      </x:c>
      <x:c r="B1802" s="5" t="str">
        <x:v>HQ</x:v>
      </x:c>
      <x:c r="C1802" s="5" t="str">
        <x:v>6</x:v>
      </x:c>
      <x:c r="D1802" s="5" t="str">
        <x:v>Investition, Finanzierung, betriebliches Rechnungswesen und Controlling</x:v>
      </x:c>
      <x:c r="E1802" s="5" t="str">
        <x:v>Betriebliches Rechnungswesen und Controlling</x:v>
      </x:c>
      <x:c r="F1802" s="5" t="str">
        <x:v>ui-hq-0021</x:v>
      </x:c>
      <x:c r="G1802" s="5" t="str">
        <x:v>Controlling</x:v>
      </x:c>
      <x:c r="H1802" s="5" t="str">
        <x:v>dg-hq-0143</x:v>
      </x:c>
      <x:c r="I1802" s="5" t="str">
        <x:v>6.5.4.2</x:v>
      </x:c>
      <x:c r="J1802" s="5" t="str">
        <x:v>Operative Controllinginstrumente</x:v>
      </x:c>
      <x:c r="K1802" s="5" t="str"/>
      <x:c r="L1802" s="5" t="str">
        <x:v>Operatives Controlling, Kennzahlen &amp; Berichtswesen</x:v>
      </x:c>
      <x:c r="M1802" s="5" t="n">
        <x:v>26</x:v>
      </x:c>
      <x:c r="N1802" s="5" t="n">
        <x:v>4</x:v>
      </x:c>
      <x:c r="O1802" s="5" t="str"/>
      <x:c r="P1802" s="5" t="str">
        <x:v>Zuordnungsvorschlag; Fachfreigabe ausstehend</x:v>
      </x:c>
      <x:c r="Q1802" s="5" t="str">
        <x:v>Bestehendes Lernthema fachlich unter passendem Rahmenplan-Unterbereich behalten</x:v>
      </x:c>
      <x:c r="R1802" s="5" t="str">
        <x:v>Ordnen Sie operativen Controllingaufgaben das passende Instrument zu.</x:v>
      </x:c>
      <x:c r="S1802" s="5" t="str">
        <x:v>d572e6a6863833e70a1f1d08466828deef96f905b5c764bb5f6cd18d721b616f</x:v>
      </x:c>
    </x:row>
    <x:row r="1803" ht="36" customHeight="1">
      <x:c r="A1803" s="5" t="str">
        <x:v>FC-0093</x:v>
      </x:c>
      <x:c r="B1803" s="5" t="str">
        <x:v>HQ</x:v>
      </x:c>
      <x:c r="C1803" s="5" t="str">
        <x:v>6</x:v>
      </x:c>
      <x:c r="D1803" s="5" t="str">
        <x:v>Investition, Finanzierung, betriebliches Rechnungswesen und Controlling</x:v>
      </x:c>
      <x:c r="E1803" s="5" t="str">
        <x:v>Betriebliches Rechnungswesen und Controlling</x:v>
      </x:c>
      <x:c r="F1803" s="5" t="str">
        <x:v>ui-hq-0021</x:v>
      </x:c>
      <x:c r="G1803" s="5" t="str">
        <x:v>Controlling</x:v>
      </x:c>
      <x:c r="H1803" s="5" t="str">
        <x:v>dg-hq-0143</x:v>
      </x:c>
      <x:c r="I1803" s="5" t="str">
        <x:v>6.5.4.2</x:v>
      </x:c>
      <x:c r="J1803" s="5" t="str">
        <x:v>Operative Controllinginstrumente</x:v>
      </x:c>
      <x:c r="K1803" s="5" t="str"/>
      <x:c r="L1803" s="5" t="str">
        <x:v>Operatives Controlling, Kennzahlen &amp; Berichtswesen</x:v>
      </x:c>
      <x:c r="M1803" s="5" t="n">
        <x:v>27</x:v>
      </x:c>
      <x:c r="N1803" s="5" t="n">
        <x:v>5</x:v>
      </x:c>
      <x:c r="O1803" s="5" t="str"/>
      <x:c r="P1803" s="5" t="str">
        <x:v>Zuordnungsvorschlag; Fachfreigabe ausstehend</x:v>
      </x:c>
      <x:c r="Q1803" s="5" t="str">
        <x:v>Bestehendes Lernthema fachlich unter passendem Rahmenplan-Unterbereich behalten</x:v>
      </x:c>
      <x:c r="R1803" s="5" t="str">
        <x:v>Circle Harbor verfügt über 2,0 Mio. € Eigenkapital, 3,0 Mio. € Fremdkapital und 2,5 Mio. € Anlagevermögen. Berechnen und interpretieren Sie Anlagendeckungsgrad, Eigenkapitalquote und Fremdkapitalquote.</x:v>
      </x:c>
      <x:c r="S1803" s="5" t="str">
        <x:v>9771a5cd9648238dd095a8500e76614b146fecdfe530f8ad1ae4c0d3c86ce504</x:v>
      </x:c>
    </x:row>
    <x:row r="1804" ht="36" customHeight="1">
      <x:c r="A1804" s="5" t="str">
        <x:v>FC-0094</x:v>
      </x:c>
      <x:c r="B1804" s="5" t="str">
        <x:v>HQ</x:v>
      </x:c>
      <x:c r="C1804" s="5" t="str">
        <x:v>6</x:v>
      </x:c>
      <x:c r="D1804" s="5" t="str">
        <x:v>Investition, Finanzierung, betriebliches Rechnungswesen und Controlling</x:v>
      </x:c>
      <x:c r="E1804" s="5" t="str">
        <x:v>Betriebliches Rechnungswesen und Controlling</x:v>
      </x:c>
      <x:c r="F1804" s="5" t="str">
        <x:v>ui-hq-0021</x:v>
      </x:c>
      <x:c r="G1804" s="5" t="str">
        <x:v>Controlling</x:v>
      </x:c>
      <x:c r="H1804" s="5" t="str">
        <x:v>dg-hq-0143</x:v>
      </x:c>
      <x:c r="I1804" s="5" t="str">
        <x:v>6.5.4.2</x:v>
      </x:c>
      <x:c r="J1804" s="5" t="str">
        <x:v>Operative Controllinginstrumente</x:v>
      </x:c>
      <x:c r="K1804" s="5" t="str"/>
      <x:c r="L1804" s="5" t="str">
        <x:v>Operatives Controlling, Kennzahlen &amp; Berichtswesen</x:v>
      </x:c>
      <x:c r="M1804" s="5" t="n">
        <x:v>28</x:v>
      </x:c>
      <x:c r="N1804" s="5" t="n">
        <x:v>6</x:v>
      </x:c>
      <x:c r="O1804" s="5" t="str"/>
      <x:c r="P1804" s="5" t="str">
        <x:v>Zuordnungsvorschlag; Fachfreigabe ausstehend</x:v>
      </x:c>
      <x:c r="Q1804" s="5" t="str">
        <x:v>Bestehendes Lernthema fachlich unter passendem Rahmenplan-Unterbereich behalten</x:v>
      </x:c>
      <x:c r="R1804" s="5" t="str">
        <x:v>Circle Harbor erzielt 6.000.000 € Umsatzerlöse bei einem durchschnittlichen Vorratsvermögen von 750.000 €. Berechnen und interpretieren Sie die Umschlagshäufigkeit des Vorratsvermögens nach der Fachbuchformel.</x:v>
      </x:c>
      <x:c r="S1804" s="5" t="str">
        <x:v>cc21ebe2031de18d53bfa8bf8c0dbeee5b1a1e09b3cf46cfb32bb612481920d6</x:v>
      </x:c>
    </x:row>
    <x:row r="1805" ht="36" customHeight="1">
      <x:c r="A1805" s="5" t="str">
        <x:v>FC-0095</x:v>
      </x:c>
      <x:c r="B1805" s="5" t="str">
        <x:v>HQ</x:v>
      </x:c>
      <x:c r="C1805" s="5" t="str">
        <x:v>6</x:v>
      </x:c>
      <x:c r="D1805" s="5" t="str">
        <x:v>Investition, Finanzierung, betriebliches Rechnungswesen und Controlling</x:v>
      </x:c>
      <x:c r="E1805" s="5" t="str">
        <x:v>Betriebliches Rechnungswesen und Controlling</x:v>
      </x:c>
      <x:c r="F1805" s="5" t="str">
        <x:v>ui-hq-0021</x:v>
      </x:c>
      <x:c r="G1805" s="5" t="str">
        <x:v>Controlling</x:v>
      </x:c>
      <x:c r="H1805" s="5" t="str">
        <x:v>dg-hq-0143</x:v>
      </x:c>
      <x:c r="I1805" s="5" t="str">
        <x:v>6.5.4.2</x:v>
      </x:c>
      <x:c r="J1805" s="5" t="str">
        <x:v>Operative Controllinginstrumente</x:v>
      </x:c>
      <x:c r="K1805" s="5" t="str"/>
      <x:c r="L1805" s="5" t="str">
        <x:v>Operatives Controlling, Kennzahlen &amp; Berichtswesen</x:v>
      </x:c>
      <x:c r="M1805" s="5" t="n">
        <x:v>29</x:v>
      </x:c>
      <x:c r="N1805" s="5" t="n">
        <x:v>7</x:v>
      </x:c>
      <x:c r="O1805" s="5" t="str"/>
      <x:c r="P1805" s="5" t="str">
        <x:v>Zuordnungsvorschlag; Fachfreigabe ausstehend</x:v>
      </x:c>
      <x:c r="Q1805" s="5" t="str">
        <x:v>Bestehendes Lernthema fachlich unter passendem Rahmenplan-Unterbereich behalten</x:v>
      </x:c>
      <x:c r="R1805" s="5" t="str">
        <x:v>Fallbezug: Die folgenden betrieblichen Angaben und Situationen beziehen sich auf die Circle Harbor GmbH.
Bei einer Gesamtleistung von 4.000.000 € betragen der Personalaufwand 1.200.000 € und der Materialaufwand 1.600.000 €. Berechnen Sie Personal- und Materialintensität.</x:v>
      </x:c>
      <x:c r="S1805" s="5" t="str">
        <x:v>e076dfe53e86da8679fb351c569b1d62628206b52dba7902d1b1d62e42950a8a</x:v>
      </x:c>
    </x:row>
    <x:row r="1806" ht="36" customHeight="1">
      <x:c r="A1806" s="5" t="str">
        <x:v>FC-0096</x:v>
      </x:c>
      <x:c r="B1806" s="5" t="str">
        <x:v>HQ</x:v>
      </x:c>
      <x:c r="C1806" s="5" t="str">
        <x:v>6</x:v>
      </x:c>
      <x:c r="D1806" s="5" t="str">
        <x:v>Investition, Finanzierung, betriebliches Rechnungswesen und Controlling</x:v>
      </x:c>
      <x:c r="E1806" s="5" t="str">
        <x:v>Betriebliches Rechnungswesen und Controlling</x:v>
      </x:c>
      <x:c r="F1806" s="5" t="str">
        <x:v>ui-hq-0021</x:v>
      </x:c>
      <x:c r="G1806" s="5" t="str">
        <x:v>Controlling</x:v>
      </x:c>
      <x:c r="H1806" s="5" t="str">
        <x:v>dg-hq-0143</x:v>
      </x:c>
      <x:c r="I1806" s="5" t="str">
        <x:v>6.5.4.2</x:v>
      </x:c>
      <x:c r="J1806" s="5" t="str">
        <x:v>Operative Controllinginstrumente</x:v>
      </x:c>
      <x:c r="K1806" s="5" t="str"/>
      <x:c r="L1806" s="5" t="str">
        <x:v>Operatives Controlling, Kennzahlen &amp; Berichtswesen</x:v>
      </x:c>
      <x:c r="M1806" s="5" t="n">
        <x:v>30</x:v>
      </x:c>
      <x:c r="N1806" s="5" t="n">
        <x:v>8</x:v>
      </x:c>
      <x:c r="O1806" s="5" t="str"/>
      <x:c r="P1806" s="5" t="str">
        <x:v>Zuordnungsvorschlag; Fachfreigabe ausstehend</x:v>
      </x:c>
      <x:c r="Q1806" s="5" t="str">
        <x:v>Bestehendes Lernthema fachlich unter passendem Rahmenplan-Unterbereich behalten</x:v>
      </x:c>
      <x:c r="R1806" s="5" t="str">
        <x:v>Circle Harbor erzielt eine Gesamtleistung von 9.000.000 € mit durchschnittlich 60 Beschäftigten. Die Umsatzerlöse betragen 7.500.000 €, das Eigenkapital 2.500.000 €. Berechnen Sie Leistung je Beschäftigtem und Umschlagshäufigkeit des Eigenkapitals.</x:v>
      </x:c>
      <x:c r="S1806" s="5" t="str">
        <x:v>968accd3ff382e6349072e91c776e5424e2f59d7f4f489bb93eeceed1c0d43fe</x:v>
      </x:c>
    </x:row>
    <x:row r="1807" ht="36" customHeight="1">
      <x:c r="A1807" s="5" t="str">
        <x:v>FC-0097</x:v>
      </x:c>
      <x:c r="B1807" s="5" t="str">
        <x:v>HQ</x:v>
      </x:c>
      <x:c r="C1807" s="5" t="str">
        <x:v>6</x:v>
      </x:c>
      <x:c r="D1807" s="5" t="str">
        <x:v>Investition, Finanzierung, betriebliches Rechnungswesen und Controlling</x:v>
      </x:c>
      <x:c r="E1807" s="5" t="str">
        <x:v>Betriebliches Rechnungswesen und Controlling</x:v>
      </x:c>
      <x:c r="F1807" s="5" t="str">
        <x:v>ui-hq-0021</x:v>
      </x:c>
      <x:c r="G1807" s="5" t="str">
        <x:v>Controlling</x:v>
      </x:c>
      <x:c r="H1807" s="5" t="str">
        <x:v>dg-hq-0143</x:v>
      </x:c>
      <x:c r="I1807" s="5" t="str">
        <x:v>6.5.4.2</x:v>
      </x:c>
      <x:c r="J1807" s="5" t="str">
        <x:v>Operative Controllinginstrumente</x:v>
      </x:c>
      <x:c r="K1807" s="5" t="str"/>
      <x:c r="L1807" s="5" t="str">
        <x:v>Operatives Controlling, Kennzahlen &amp; Berichtswesen</x:v>
      </x:c>
      <x:c r="M1807" s="5" t="n">
        <x:v>31</x:v>
      </x:c>
      <x:c r="N1807" s="5" t="n">
        <x:v>9</x:v>
      </x:c>
      <x:c r="O1807" s="5" t="str"/>
      <x:c r="P1807" s="5" t="str">
        <x:v>Zuordnungsvorschlag; Fachfreigabe ausstehend</x:v>
      </x:c>
      <x:c r="Q1807" s="5" t="str">
        <x:v>Bestehendes Lernthema fachlich unter passendem Rahmenplan-Unterbereich behalten</x:v>
      </x:c>
      <x:c r="R1807" s="5" t="str">
        <x:v>Circle Harbor erzielt 300.000 € Jahresergebnis bei 6.000.000 € Umsatz und 2.400.000 € investiertem Kapital. Berechnen Sie Umsatzrentabilität, Kapitalumschlag und ROI nach dem DuPont-Zusammenhang und führen Sie eine Kontrollrechnung durch.</x:v>
      </x:c>
      <x:c r="S1807" s="5" t="str">
        <x:v>135add95b896fbe3836fd46fc88e2ad7c612dfc44f660061a8959114661ae4cc</x:v>
      </x:c>
    </x:row>
    <x:row r="1808" ht="36" customHeight="1">
      <x:c r="A1808" s="5" t="str">
        <x:v>FC-0098</x:v>
      </x:c>
      <x:c r="B1808" s="5" t="str">
        <x:v>HQ</x:v>
      </x:c>
      <x:c r="C1808" s="5" t="str">
        <x:v>6</x:v>
      </x:c>
      <x:c r="D1808" s="5" t="str">
        <x:v>Investition, Finanzierung, betriebliches Rechnungswesen und Controlling</x:v>
      </x:c>
      <x:c r="E1808" s="5" t="str">
        <x:v>Betriebliches Rechnungswesen und Controlling</x:v>
      </x:c>
      <x:c r="F1808" s="5" t="str">
        <x:v>ui-hq-0021</x:v>
      </x:c>
      <x:c r="G1808" s="5" t="str">
        <x:v>Controlling</x:v>
      </x:c>
      <x:c r="H1808" s="5" t="str">
        <x:v>dg-hq-0143</x:v>
      </x:c>
      <x:c r="I1808" s="5" t="str">
        <x:v>6.5.4.2</x:v>
      </x:c>
      <x:c r="J1808" s="5" t="str">
        <x:v>Operative Controllinginstrumente</x:v>
      </x:c>
      <x:c r="K1808" s="5" t="str"/>
      <x:c r="L1808" s="5" t="str">
        <x:v>Operatives Controlling, Kennzahlen &amp; Berichtswesen</x:v>
      </x:c>
      <x:c r="M1808" s="5" t="n">
        <x:v>32</x:v>
      </x:c>
      <x:c r="N1808" s="5" t="n">
        <x:v>10</x:v>
      </x:c>
      <x:c r="O1808" s="5" t="str"/>
      <x:c r="P1808" s="5" t="str">
        <x:v>Zuordnungsvorschlag; Fachfreigabe ausstehend</x:v>
      </x:c>
      <x:c r="Q1808" s="5" t="str">
        <x:v>Bestehendes Lernthema fachlich unter passendem Rahmenplan-Unterbereich behalten</x:v>
      </x:c>
      <x:c r="R1808" s="5" t="str">
        <x:v>Vervollständigen Sie die zentralen Zusammenhänge des DuPont-Kennzahlensystems.</x:v>
      </x:c>
      <x:c r="S1808" s="5" t="str">
        <x:v>7550e40e671d5fc2147c5e2c648e2a930a9a3d7d569404af9d5c1137266c83b4</x:v>
      </x:c>
    </x:row>
    <x:row r="1809" ht="36" customHeight="1">
      <x:c r="A1809" s="5" t="str">
        <x:v>FC-0099</x:v>
      </x:c>
      <x:c r="B1809" s="5" t="str">
        <x:v>HQ</x:v>
      </x:c>
      <x:c r="C1809" s="5" t="str">
        <x:v>6</x:v>
      </x:c>
      <x:c r="D1809" s="5" t="str">
        <x:v>Investition, Finanzierung, betriebliches Rechnungswesen und Controlling</x:v>
      </x:c>
      <x:c r="E1809" s="5" t="str">
        <x:v>Betriebliches Rechnungswesen und Controlling</x:v>
      </x:c>
      <x:c r="F1809" s="5" t="str">
        <x:v>ui-hq-0021</x:v>
      </x:c>
      <x:c r="G1809" s="5" t="str">
        <x:v>Controlling</x:v>
      </x:c>
      <x:c r="H1809" s="5" t="str">
        <x:v>dg-hq-0143</x:v>
      </x:c>
      <x:c r="I1809" s="5" t="str">
        <x:v>6.5.4.2</x:v>
      </x:c>
      <x:c r="J1809" s="5" t="str">
        <x:v>Operative Controllinginstrumente</x:v>
      </x:c>
      <x:c r="K1809" s="5" t="str"/>
      <x:c r="L1809" s="5" t="str">
        <x:v>Operatives Controlling, Kennzahlen &amp; Berichtswesen</x:v>
      </x:c>
      <x:c r="M1809" s="5" t="n">
        <x:v>33</x:v>
      </x:c>
      <x:c r="N1809" s="5" t="n">
        <x:v>11</x:v>
      </x:c>
      <x:c r="O1809" s="5" t="str"/>
      <x:c r="P1809" s="5" t="str">
        <x:v>Zuordnungsvorschlag; Fachfreigabe ausstehend</x:v>
      </x:c>
      <x:c r="Q1809" s="5" t="str">
        <x:v>Bestehendes Lernthema fachlich unter passendem Rahmenplan-Unterbereich behalten</x:v>
      </x:c>
      <x:c r="R1809" s="5" t="str">
        <x:v>Wie sollte das Berichtswesen Informationen für Kostenstellen-, Bereichs- und Unternehmensleitung verdichten? Begründen Sie die unterschiedliche Ausgestaltung.</x:v>
      </x:c>
      <x:c r="S1809" s="5" t="str">
        <x:v>8a8c6348027fcc56a1d2ea845717f2e622bcac93c64d4ee504001fd6f32430e0</x:v>
      </x:c>
    </x:row>
    <x:row r="1810" ht="36" customHeight="1">
      <x:c r="A1810" s="5" t="str">
        <x:v>FC-0101</x:v>
      </x:c>
      <x:c r="B1810" s="5" t="str">
        <x:v>HQ</x:v>
      </x:c>
      <x:c r="C1810" s="5" t="str">
        <x:v>6</x:v>
      </x:c>
      <x:c r="D1810" s="5" t="str">
        <x:v>Investition, Finanzierung, betriebliches Rechnungswesen und Controlling</x:v>
      </x:c>
      <x:c r="E1810" s="5" t="str">
        <x:v>Betriebliches Rechnungswesen und Controlling</x:v>
      </x:c>
      <x:c r="F1810" s="5" t="str">
        <x:v>ui-hq-0020</x:v>
      </x:c>
      <x:c r="G1810" s="5" t="str">
        <x:v>Kosten- und Leistungsrechnung</x:v>
      </x:c>
      <x:c r="H1810" s="5" t="str">
        <x:v>dg-hq-0138</x:v>
      </x:c>
      <x:c r="I1810" s="5" t="str">
        <x:v>6.4.3</x:v>
      </x:c>
      <x:c r="J1810" s="5" t="str">
        <x:v>Plankostenrechnung</x:v>
      </x:c>
      <x:c r="K1810" s="5" t="str"/>
      <x:c r="L1810" s="5" t="str">
        <x:v>Plankostenrechnung &amp; Abweichungsanalyse</x:v>
      </x:c>
      <x:c r="M1810" s="5" t="n">
        <x:v>67</x:v>
      </x:c>
      <x:c r="N1810" s="5" t="n">
        <x:v>8</x:v>
      </x:c>
      <x:c r="O1810" s="5" t="str"/>
      <x:c r="P1810" s="5" t="str">
        <x:v>Zuordnungsvorschlag; Fachfreigabe ausstehend</x:v>
      </x:c>
      <x:c r="Q1810" s="5" t="str">
        <x:v>Bestehendes Lernthema fachlich unter passendem Rahmenplan-Unterbereich behalten</x:v>
      </x:c>
      <x:c r="R1810" s="5" t="str">
        <x:v>Für eine Fertigungskostenstelle der Circle Harbor GmbH sind 3.000 Maschinenstunden als Planbeschäftigung vorgesehen. Die gesamten Plankosten betragen 78.600 €, davon sind 33.000 € fix. Tatsächlich werden 2.500 Maschinenstunden geleistet. Berechnen Sie Beschäftigungsgrad, Unterbeschäftigungsgrad, Leerkosten, Plankostenverrechnungssatz und den Fixkostenanteil je Planstunde. Interpretieren Sie die Leerkosten.</x:v>
      </x:c>
      <x:c r="S1810" s="5" t="str">
        <x:v>f9d67dcc5bcb3ee965d9676e19606cad15f62a291ad29ed8f3f764152f2f7e50</x:v>
      </x:c>
    </x:row>
    <x:row r="1811" ht="36" customHeight="1">
      <x:c r="A1811" s="5" t="str">
        <x:v>FC-0102</x:v>
      </x:c>
      <x:c r="B1811" s="5" t="str">
        <x:v>HQ</x:v>
      </x:c>
      <x:c r="C1811" s="5" t="str">
        <x:v>6</x:v>
      </x:c>
      <x:c r="D1811" s="5" t="str">
        <x:v>Investition, Finanzierung, betriebliches Rechnungswesen und Controlling</x:v>
      </x:c>
      <x:c r="E1811" s="5" t="str">
        <x:v>Betriebliches Rechnungswesen und Controlling</x:v>
      </x:c>
      <x:c r="F1811" s="5" t="str">
        <x:v>ui-hq-0020</x:v>
      </x:c>
      <x:c r="G1811" s="5" t="str">
        <x:v>Kosten- und Leistungsrechnung</x:v>
      </x:c>
      <x:c r="H1811" s="5" t="str">
        <x:v>dg-hq-0136</x:v>
      </x:c>
      <x:c r="I1811" s="5" t="str">
        <x:v>6.4.1.1</x:v>
      </x:c>
      <x:c r="J1811" s="5" t="str">
        <x:v>Mehrstufige Deckungsbeitragsrechnung</x:v>
      </x:c>
      <x:c r="K1811" s="5" t="str"/>
      <x:c r="L1811" s="5" t="str">
        <x:v>Deckungsbeitragsrechnung, Preisuntergrenzen &amp; Break-even</x:v>
      </x:c>
      <x:c r="M1811" s="5" t="n">
        <x:v>68</x:v>
      </x:c>
      <x:c r="N1811" s="5" t="n">
        <x:v>41</x:v>
      </x:c>
      <x:c r="O1811" s="5" t="str"/>
      <x:c r="P1811" s="5" t="str">
        <x:v>Zuordnungsvorschlag; Fachfreigabe ausstehend</x:v>
      </x:c>
      <x:c r="Q1811" s="5" t="str">
        <x:v>Bestehendes Lernthema fachlich unter passendem Rahmenplan-Unterbereich behalten</x:v>
      </x:c>
      <x:c r="R1811" s="5" t="str">
        <x:v>Die Circle Harbor GmbH möchte aus ihrer BWA eine mehrstufige Deckungsbeitragsrechnung aufbauen. Erläutern Sie zunächst, warum die Kostenarten einer BWA nicht unverändert als Produktkosten übernommen werden dürfen. Ordnen Sie anschließend folgende Positionen der passenden Stufe zu: mengenabhängiger Wareneinsatz für Produkt A; Sonderverpackung je verkaufter Einheit; Gehalt einer ausschließlich für Produkt A eingesetzten Fachkraft; gemeinsame Werbekampagne einer Produktgruppe; Gehalt der Bereichsleitung; allgemeine Geschäftsführungskosten.</x:v>
      </x:c>
      <x:c r="S1811" s="5" t="str">
        <x:v>ae59116fbf2d0c1a4d74403577d08c5548693a3a6255cb380016733169a6684d</x:v>
      </x:c>
    </x:row>
    <x:row r="1812" ht="36" customHeight="1">
      <x:c r="A1812" s="5" t="str">
        <x:v>FC-0103</x:v>
      </x:c>
      <x:c r="B1812" s="5" t="str">
        <x:v>HQ</x:v>
      </x:c>
      <x:c r="C1812" s="5" t="str">
        <x:v>6</x:v>
      </x:c>
      <x:c r="D1812" s="5" t="str">
        <x:v>Investition, Finanzierung, betriebliches Rechnungswesen und Controlling</x:v>
      </x:c>
      <x:c r="E1812" s="5" t="str">
        <x:v>Betriebliches Rechnungswesen und Controlling</x:v>
      </x:c>
      <x:c r="F1812" s="5" t="str">
        <x:v>ui-hq-0020</x:v>
      </x:c>
      <x:c r="G1812" s="5" t="str">
        <x:v>Kosten- und Leistungsrechnung</x:v>
      </x:c>
      <x:c r="H1812" s="5" t="str">
        <x:v>dg-hq-0136</x:v>
      </x:c>
      <x:c r="I1812" s="5" t="str">
        <x:v>6.4.1</x:v>
      </x:c>
      <x:c r="J1812" s="5" t="str">
        <x:v>Die Deckungsbeitragsrechnung als Entscheidungsrechnung</x:v>
      </x:c>
      <x:c r="K1812" s="5" t="str"/>
      <x:c r="L1812" s="5" t="str">
        <x:v>Deckungsbeitragsrechnung, Preisuntergrenzen &amp; Break-even</x:v>
      </x:c>
      <x:c r="M1812" s="5" t="n">
        <x:v>69</x:v>
      </x:c>
      <x:c r="N1812" s="5" t="n">
        <x:v>42</x:v>
      </x:c>
      <x:c r="O1812" s="5" t="str"/>
      <x:c r="P1812" s="5" t="str">
        <x:v>Zuordnungsvorschlag; Fachfreigabe ausstehend</x:v>
      </x:c>
      <x:c r="Q1812" s="5" t="str">
        <x:v>Bestehendes Lernthema fachlich unter passendem Rahmenplan-Unterbereich behalten</x:v>
      </x:c>
      <x:c r="R1812" s="5" t="str">
        <x:v>Circle Harbor prüft für ein Produkt einen neuen Vertriebsweg. Bisher werden monatlich 300 Stück direkt an Großkunden zu 700 € verkauft; neben variablen Herstellkosten von 480 € entstehen 70 € Transportkosten je Stück. Weitere 400 Stück gehen über den Großhandel zu 600 €; die Transportkosten betragen hier 50 € je Stück. Der neue Vertriebsweg könnte 700 Stück monatlich abnehmen. Dort entstünden 30 € Transportkosten je Stück sowie zusätzliche fixe Kosten eines Zwischenlagers von 9.250 € pro Monat. Zu welchem Mindestpreis je Stück müsste Circle Harbor über den neuen Vertriebsweg verkaufen, damit dessen Ergebnisbeitrag mindestens so hoch ist wie bei den bisherigen beiden Vertriebswegen zusammen?</x:v>
      </x:c>
      <x:c r="S1812" s="5" t="str">
        <x:v>074bd37866b3e220dd2d280c15ac7f8a51ee45bfe853425131c9bc114b06eeae</x:v>
      </x:c>
    </x:row>
    <x:row r="1813" ht="36" customHeight="1">
      <x:c r="A1813" s="5" t="str">
        <x:v>FC-0104</x:v>
      </x:c>
      <x:c r="B1813" s="5" t="str">
        <x:v>HQ</x:v>
      </x:c>
      <x:c r="C1813" s="5" t="str">
        <x:v>6</x:v>
      </x:c>
      <x:c r="D1813" s="5" t="str">
        <x:v>Investition, Finanzierung, betriebliches Rechnungswesen und Controlling</x:v>
      </x:c>
      <x:c r="E1813" s="5" t="str">
        <x:v>Betriebliches Rechnungswesen und Controlling</x:v>
      </x:c>
      <x:c r="F1813" s="5" t="str">
        <x:v>ui-hq-0020</x:v>
      </x:c>
      <x:c r="G1813" s="5" t="str">
        <x:v>Kosten- und Leistungsrechnung</x:v>
      </x:c>
      <x:c r="H1813" s="5" t="str">
        <x:v>dg-hq-0138</x:v>
      </x:c>
      <x:c r="I1813" s="5" t="str">
        <x:v>6.4.3</x:v>
      </x:c>
      <x:c r="J1813" s="5" t="str">
        <x:v>Plankostenrechnung</x:v>
      </x:c>
      <x:c r="K1813" s="5" t="str"/>
      <x:c r="L1813" s="5" t="str">
        <x:v>Plankostenrechnung &amp; Abweichungsanalyse</x:v>
      </x:c>
      <x:c r="M1813" s="5" t="n">
        <x:v>70</x:v>
      </x:c>
      <x:c r="N1813" s="5" t="n">
        <x:v>9</x:v>
      </x:c>
      <x:c r="O1813" s="5" t="str"/>
      <x:c r="P1813" s="5" t="str">
        <x:v>Zuordnungsvorschlag; Fachfreigabe ausstehend</x:v>
      </x:c>
      <x:c r="Q1813" s="5" t="str">
        <x:v>Bestehendes Lernthema fachlich unter passendem Rahmenplan-Unterbereich behalten</x:v>
      </x:c>
      <x:c r="R1813" s="5" t="str">
        <x:v>Die Circle Harbor GmbH plant für ein Bauteil einen Materialverbrauch von 4 kg je Stück zu 8 € je kg. Tatsächlich werden 100 Stück hergestellt, dafür 430 kg verbraucht und 9 € je kg bezahlt. Berechnen Sie die tatsächlichen Materialkosten, die kontrollfähigen Istkosten und die mengenbedingte Verbrauchsabweichung nach der Fachbuchkonvention. Ermitteln Sie außerdem den zusätzlichen Kosteneffekt der Preisabweichung und erläutern Sie, warum für die Beurteilung der Kostenstellenverantwortlichen kontrollfähige Istkosten sinnvoll sein können.</x:v>
      </x:c>
      <x:c r="S1813" s="5" t="str">
        <x:v>39c059910c3f4f12c999da56a6a100a4e39df63da89784e1fc14e4b2b558c773</x:v>
      </x:c>
    </x:row>
    <x:row r="1814" ht="36" customHeight="1">
      <x:c r="A1814" s="5" t="str">
        <x:v>IF-0001</x:v>
      </x:c>
      <x:c r="B1814" s="5" t="str">
        <x:v>HQ</x:v>
      </x:c>
      <x:c r="C1814" s="5" t="str">
        <x:v>6</x:v>
      </x:c>
      <x:c r="D1814" s="5" t="str">
        <x:v>Investition, Finanzierung, betriebliches Rechnungswesen und Controlling</x:v>
      </x:c>
      <x:c r="E1814" s="5" t="str">
        <x:v>Investition und Finanzierung</x:v>
      </x:c>
      <x:c r="F1814" s="5" t="str">
        <x:v>ui-hq-0018</x:v>
      </x:c>
      <x:c r="G1814" s="5" t="str">
        <x:v>Finanzplanung und Ermittlung des Finanzbedarfs</x:v>
      </x:c>
      <x:c r="H1814" s="5" t="str">
        <x:v>dg-hq-0144</x:v>
      </x:c>
      <x:c r="I1814" s="5" t="str">
        <x:v>6.2.1</x:v>
      </x:c>
      <x:c r="J1814" s="5" t="str">
        <x:v>Kapitalbedarfsplanung</x:v>
      </x:c>
      <x:c r="K1814" s="5" t="str"/>
      <x:c r="L1814" s="5" t="str">
        <x:v>Kapitalbedarfs-, Finanz- &amp; Liquiditätsplanung</x:v>
      </x:c>
      <x:c r="M1814" s="5" t="n">
        <x:v>1</x:v>
      </x:c>
      <x:c r="N1814" s="5" t="n">
        <x:v>1</x:v>
      </x:c>
      <x:c r="O1814" s="5" t="str"/>
      <x:c r="P1814" s="5" t="str">
        <x:v>Zuordnungsvorschlag; Fachfreigabe ausstehend</x:v>
      </x:c>
      <x:c r="Q1814" s="5" t="str">
        <x:v>Bestehendes Lernthema fachlich unter passendem Rahmenplan-Unterbereich behalten</x:v>
      </x:c>
      <x:c r="R1814" s="5" t="str">
        <x:v>Circle Harbor plant mehrere Veränderungen. Nennen Sie typische betriebliche Vorgänge, durch die zusätzlicher Kapitalbedarf entstehen kann.</x:v>
      </x:c>
      <x:c r="S1814" s="5" t="str">
        <x:v>2d719756fd7d1913a3dcd6e46f9a874ce82f80751af693760fba81e86fcaeba3</x:v>
      </x:c>
    </x:row>
    <x:row r="1815" ht="36" customHeight="1">
      <x:c r="A1815" s="5" t="str">
        <x:v>IF-0002</x:v>
      </x:c>
      <x:c r="B1815" s="5" t="str">
        <x:v>HQ</x:v>
      </x:c>
      <x:c r="C1815" s="5" t="str">
        <x:v>6</x:v>
      </x:c>
      <x:c r="D1815" s="5" t="str">
        <x:v>Investition, Finanzierung, betriebliches Rechnungswesen und Controlling</x:v>
      </x:c>
      <x:c r="E1815" s="5" t="str">
        <x:v>Investition und Finanzierung</x:v>
      </x:c>
      <x:c r="F1815" s="5" t="str">
        <x:v>ui-hq-0017</x:v>
      </x:c>
      <x:c r="G1815" s="5" t="str">
        <x:v>Investitionsplanung und -rechnung</x:v>
      </x:c>
      <x:c r="H1815" s="5" t="str">
        <x:v>dg-hq-0145</x:v>
      </x:c>
      <x:c r="I1815" s="5" t="str">
        <x:v>6.1.1.1</x:v>
      </x:c>
      <x:c r="J1815" s="5" t="str">
        <x:v>Zusammenhang von Investition und Finanzierung</x:v>
      </x:c>
      <x:c r="K1815" s="5" t="str"/>
      <x:c r="L1815" s="5" t="str">
        <x:v>Investitionsgrundlagen &amp; -entscheidungen</x:v>
      </x:c>
      <x:c r="M1815" s="5" t="n">
        <x:v>1</x:v>
      </x:c>
      <x:c r="N1815" s="5" t="n">
        <x:v>1</x:v>
      </x:c>
      <x:c r="O1815" s="5" t="str"/>
      <x:c r="P1815" s="5" t="str">
        <x:v>Zuordnungsvorschlag; Fachfreigabe ausstehend</x:v>
      </x:c>
      <x:c r="Q1815" s="5" t="str">
        <x:v>Bestehendes Lernthema fachlich unter passendem Rahmenplan-Unterbereich behalten</x:v>
      </x:c>
      <x:c r="R1815" s="5" t="str">
        <x:v>Welche der folgenden Einflussgrößen einer Investitionsentscheidung sind unmittelbar quantifizierbar und welche eher qualitativ zu beurteilen?</x:v>
      </x:c>
      <x:c r="S1815" s="5" t="str">
        <x:v>68b02d99416b9d53dc2c8de7a587b7c26712bffdae9a3670407654a64c802b0e</x:v>
      </x:c>
    </x:row>
    <x:row r="1816" ht="36" customHeight="1">
      <x:c r="A1816" s="5" t="str">
        <x:v>IF-0003</x:v>
      </x:c>
      <x:c r="B1816" s="5" t="str">
        <x:v>HQ</x:v>
      </x:c>
      <x:c r="C1816" s="5" t="str">
        <x:v>6</x:v>
      </x:c>
      <x:c r="D1816" s="5" t="str">
        <x:v>Investition, Finanzierung, betriebliches Rechnungswesen und Controlling</x:v>
      </x:c>
      <x:c r="E1816" s="5" t="str">
        <x:v>Investition und Finanzierung</x:v>
      </x:c>
      <x:c r="F1816" s="5" t="str">
        <x:v>ui-hq-0017</x:v>
      </x:c>
      <x:c r="G1816" s="5" t="str">
        <x:v>Investitionsplanung und -rechnung</x:v>
      </x:c>
      <x:c r="H1816" s="5" t="str">
        <x:v>dg-hq-0145</x:v>
      </x:c>
      <x:c r="I1816" s="5" t="str">
        <x:v>6.1.1.1</x:v>
      </x:c>
      <x:c r="J1816" s="5" t="str">
        <x:v>Zusammenhang von Investition und Finanzierung</x:v>
      </x:c>
      <x:c r="K1816" s="5" t="str"/>
      <x:c r="L1816" s="5" t="str">
        <x:v>Investitionsgrundlagen &amp; -entscheidungen</x:v>
      </x:c>
      <x:c r="M1816" s="5" t="n">
        <x:v>2</x:v>
      </x:c>
      <x:c r="N1816" s="5" t="n">
        <x:v>2</x:v>
      </x:c>
      <x:c r="O1816" s="5" t="str"/>
      <x:c r="P1816" s="5" t="str">
        <x:v>Zuordnungsvorschlag; Fachfreigabe ausstehend</x:v>
      </x:c>
      <x:c r="Q1816" s="5" t="str">
        <x:v>Bestehendes Lernthema fachlich unter passendem Rahmenplan-Unterbereich behalten</x:v>
      </x:c>
      <x:c r="R1816" s="5" t="str">
        <x:v>Circle Harbor investiert in einem Jahr netto 300.000 € in abnutzbare Sachanlagen. Die Jahresabschreibungen betragen 240.000 €. Berechnen und interpretieren Sie den Investitionsdeckungsgrad (Nettoinvestitionen / Abschreibungen × 100).</x:v>
      </x:c>
      <x:c r="S1816" s="5" t="str">
        <x:v>689dab586cd2625e56dac26023da658c7b4a34ec0612332814e16f4a9f2338a3</x:v>
      </x:c>
    </x:row>
    <x:row r="1817" ht="36" customHeight="1">
      <x:c r="A1817" s="5" t="str">
        <x:v>IF-0004</x:v>
      </x:c>
      <x:c r="B1817" s="5" t="str">
        <x:v>HQ</x:v>
      </x:c>
      <x:c r="C1817" s="5" t="str">
        <x:v>6</x:v>
      </x:c>
      <x:c r="D1817" s="5" t="str">
        <x:v>Investition, Finanzierung, betriebliches Rechnungswesen und Controlling</x:v>
      </x:c>
      <x:c r="E1817" s="5" t="str">
        <x:v>Investition und Finanzierung</x:v>
      </x:c>
      <x:c r="F1817" s="5" t="str">
        <x:v>ui-hq-0017</x:v>
      </x:c>
      <x:c r="G1817" s="5" t="str">
        <x:v>Investitionsplanung und -rechnung</x:v>
      </x:c>
      <x:c r="H1817" s="5" t="str">
        <x:v>dg-hq-0145</x:v>
      </x:c>
      <x:c r="I1817" s="5" t="str">
        <x:v>6.1.1</x:v>
      </x:c>
      <x:c r="J1817" s="5" t="str">
        <x:v>Investition</x:v>
      </x:c>
      <x:c r="K1817" s="5" t="str"/>
      <x:c r="L1817" s="5" t="str">
        <x:v>Investitionsgrundlagen &amp; -entscheidungen</x:v>
      </x:c>
      <x:c r="M1817" s="5" t="n">
        <x:v>3</x:v>
      </x:c>
      <x:c r="N1817" s="5" t="n">
        <x:v>3</x:v>
      </x:c>
      <x:c r="O1817" s="5" t="str"/>
      <x:c r="P1817" s="5" t="str">
        <x:v>Zuordnungsvorschlag; Fachfreigabe ausstehend</x:v>
      </x:c>
      <x:c r="Q1817" s="5" t="str">
        <x:v>Bestehendes Lernthema fachlich unter passendem Rahmenplan-Unterbereich behalten</x:v>
      </x:c>
      <x:c r="R1817" s="5" t="str">
        <x:v>Fallbezug: Die folgenden betrieblichen Angaben und Situationen beziehen sich auf die Circle Harbor GmbH.
Eine Maschine hat einen Listenpreis von 80.000 €. Der Lieferant gewährt 5 % Rabatt und 2 % Skonto auf den rabattierten Preis. Fracht und Montage kosten zusammen 4.500 €. Ermitteln Sie die Anschaffungskosten ohne Umsatzsteuer.</x:v>
      </x:c>
      <x:c r="S1817" s="5" t="str">
        <x:v>cdfe9ed9337179ab8478d377c56a4d7f6243392c5682268b47c452d3bcf4fa0d</x:v>
      </x:c>
    </x:row>
    <x:row r="1818" ht="36" customHeight="1">
      <x:c r="A1818" s="5" t="str">
        <x:v>IF-0005</x:v>
      </x:c>
      <x:c r="B1818" s="5" t="str">
        <x:v>HQ</x:v>
      </x:c>
      <x:c r="C1818" s="5" t="str">
        <x:v>6</x:v>
      </x:c>
      <x:c r="D1818" s="5" t="str">
        <x:v>Investition, Finanzierung, betriebliches Rechnungswesen und Controlling</x:v>
      </x:c>
      <x:c r="E1818" s="5" t="str">
        <x:v>Investition und Finanzierung</x:v>
      </x:c>
      <x:c r="F1818" s="5" t="str">
        <x:v>ui-hq-0017</x:v>
      </x:c>
      <x:c r="G1818" s="5" t="str">
        <x:v>Investitionsplanung und -rechnung</x:v>
      </x:c>
      <x:c r="H1818" s="5" t="str">
        <x:v>dg-hq-0145</x:v>
      </x:c>
      <x:c r="I1818" s="5" t="str">
        <x:v>6.1.1</x:v>
      </x:c>
      <x:c r="J1818" s="5" t="str">
        <x:v>Investition</x:v>
      </x:c>
      <x:c r="K1818" s="5" t="str"/>
      <x:c r="L1818" s="5" t="str">
        <x:v>Investitionsgrundlagen &amp; -entscheidungen</x:v>
      </x:c>
      <x:c r="M1818" s="5" t="n">
        <x:v>4</x:v>
      </x:c>
      <x:c r="N1818" s="5" t="n">
        <x:v>4</x:v>
      </x:c>
      <x:c r="O1818" s="5" t="str"/>
      <x:c r="P1818" s="5" t="str">
        <x:v>Zuordnungsvorschlag; Fachfreigabe ausstehend</x:v>
      </x:c>
      <x:c r="Q1818" s="5" t="str">
        <x:v>Bestehendes Lernthema fachlich unter passendem Rahmenplan-Unterbereich behalten</x:v>
      </x:c>
      <x:c r="R1818" s="5" t="str">
        <x:v>Circle Harbor erwirbt ein bebautes Betriebsgrundstück mit Lagergebäude. Welche Positionen gehören grundsätzlich zu den Anschaffungskosten des Erwerbs und welche sind laufender Aufwand?</x:v>
      </x:c>
      <x:c r="S1818" s="5" t="str">
        <x:v>315b8228772bb7f6230940e6971e7c3aff60966d95080ac4779658e2ba29f5a1</x:v>
      </x:c>
    </x:row>
    <x:row r="1819" ht="36" customHeight="1">
      <x:c r="A1819" s="5" t="str">
        <x:v>IF-0006</x:v>
      </x:c>
      <x:c r="B1819" s="5" t="str">
        <x:v>HQ</x:v>
      </x:c>
      <x:c r="C1819" s="5" t="str">
        <x:v>6</x:v>
      </x:c>
      <x:c r="D1819" s="5" t="str">
        <x:v>Investition, Finanzierung, betriebliches Rechnungswesen und Controlling</x:v>
      </x:c>
      <x:c r="E1819" s="5" t="str">
        <x:v>Investition und Finanzierung</x:v>
      </x:c>
      <x:c r="F1819" s="5" t="str">
        <x:v>ui-hq-0018</x:v>
      </x:c>
      <x:c r="G1819" s="5" t="str">
        <x:v>Finanzplanung und Ermittlung des Finanzbedarfs</x:v>
      </x:c>
      <x:c r="H1819" s="5" t="str">
        <x:v>dg-hq-0144</x:v>
      </x:c>
      <x:c r="I1819" s="5" t="str">
        <x:v>6.2.1</x:v>
      </x:c>
      <x:c r="J1819" s="5" t="str">
        <x:v>Kapitalbedarfsplanung</x:v>
      </x:c>
      <x:c r="K1819" s="5" t="str"/>
      <x:c r="L1819" s="5" t="str">
        <x:v>Kapitalbedarfs-, Finanz- &amp; Liquiditätsplanung</x:v>
      </x:c>
      <x:c r="M1819" s="5" t="n">
        <x:v>2</x:v>
      </x:c>
      <x:c r="N1819" s="5" t="n">
        <x:v>2</x:v>
      </x:c>
      <x:c r="O1819" s="5" t="str"/>
      <x:c r="P1819" s="5" t="str">
        <x:v>Zuordnungsvorschlag; Fachfreigabe ausstehend</x:v>
      </x:c>
      <x:c r="Q1819" s="5" t="str">
        <x:v>Bestehendes Lernthema fachlich unter passendem Rahmenplan-Unterbereich behalten</x:v>
      </x:c>
      <x:c r="R1819" s="5" t="str">
        <x:v>Ordnen Sie typische Einflussfaktoren auf den Kapitalbedarf des Umlaufvermögens danach, ob sie überwiegend intern oder extern bestimmt werden.</x:v>
      </x:c>
      <x:c r="S1819" s="5" t="str">
        <x:v>ec4d1073d1f150491f30bce29f0216d3beffe53f473f99da402630f8ce957fa9</x:v>
      </x:c>
    </x:row>
    <x:row r="1820" ht="36" customHeight="1">
      <x:c r="A1820" s="5" t="str">
        <x:v>IF-0007</x:v>
      </x:c>
      <x:c r="B1820" s="5" t="str">
        <x:v>HQ</x:v>
      </x:c>
      <x:c r="C1820" s="5" t="str">
        <x:v>6</x:v>
      </x:c>
      <x:c r="D1820" s="5" t="str">
        <x:v>Investition, Finanzierung, betriebliches Rechnungswesen und Controlling</x:v>
      </x:c>
      <x:c r="E1820" s="5" t="str">
        <x:v>Investition und Finanzierung</x:v>
      </x:c>
      <x:c r="F1820" s="5" t="str">
        <x:v>ui-hq-0018</x:v>
      </x:c>
      <x:c r="G1820" s="5" t="str">
        <x:v>Finanzplanung und Ermittlung des Finanzbedarfs</x:v>
      </x:c>
      <x:c r="H1820" s="5" t="str">
        <x:v>dg-hq-0144</x:v>
      </x:c>
      <x:c r="I1820" s="5" t="str">
        <x:v>6.2.1</x:v>
      </x:c>
      <x:c r="J1820" s="5" t="str">
        <x:v>Kapitalbedarfsplanung</x:v>
      </x:c>
      <x:c r="K1820" s="5" t="str"/>
      <x:c r="L1820" s="5" t="str">
        <x:v>Kapitalbedarfs-, Finanz- &amp; Liquiditätsplanung</x:v>
      </x:c>
      <x:c r="M1820" s="5" t="n">
        <x:v>3</x:v>
      </x:c>
      <x:c r="N1820" s="5" t="n">
        <x:v>3</x:v>
      </x:c>
      <x:c r="O1820" s="5" t="str"/>
      <x:c r="P1820" s="5" t="str">
        <x:v>Zuordnungsvorschlag; Fachfreigabe ausstehend</x:v>
      </x:c>
      <x:c r="Q1820" s="5" t="str">
        <x:v>Bestehendes Lernthema fachlich unter passendem Rahmenplan-Unterbereich behalten</x:v>
      </x:c>
      <x:c r="R1820" s="5" t="str">
        <x:v>Wie wirken typische Veränderungen im Produktions- und Zahlungsprozess auf den Kapitalbedarf?</x:v>
      </x:c>
      <x:c r="S1820" s="5" t="str">
        <x:v>99424d961e317c67af38e2e7e3e06f9e392c59f13c39f704ed7a0a0e21b78745</x:v>
      </x:c>
    </x:row>
    <x:row r="1821" ht="36" customHeight="1">
      <x:c r="A1821" s="5" t="str">
        <x:v>IF-0008</x:v>
      </x:c>
      <x:c r="B1821" s="5" t="str">
        <x:v>HQ</x:v>
      </x:c>
      <x:c r="C1821" s="5" t="str">
        <x:v>6</x:v>
      </x:c>
      <x:c r="D1821" s="5" t="str">
        <x:v>Investition, Finanzierung, betriebliches Rechnungswesen und Controlling</x:v>
      </x:c>
      <x:c r="E1821" s="5" t="str">
        <x:v>Investition und Finanzierung</x:v>
      </x:c>
      <x:c r="F1821" s="5" t="str">
        <x:v>ui-hq-0017</x:v>
      </x:c>
      <x:c r="G1821" s="5" t="str">
        <x:v>Investitionsplanung und -rechnung</x:v>
      </x:c>
      <x:c r="H1821" s="5" t="str">
        <x:v>dg-hq-0145</x:v>
      </x:c>
      <x:c r="I1821" s="5" t="str">
        <x:v>6.1.1</x:v>
      </x:c>
      <x:c r="J1821" s="5" t="str">
        <x:v>Investition</x:v>
      </x:c>
      <x:c r="K1821" s="5" t="str"/>
      <x:c r="L1821" s="5" t="str">
        <x:v>Investitionsgrundlagen &amp; -entscheidungen</x:v>
      </x:c>
      <x:c r="M1821" s="5" t="n">
        <x:v>5</x:v>
      </x:c>
      <x:c r="N1821" s="5" t="n">
        <x:v>5</x:v>
      </x:c>
      <x:c r="O1821" s="5" t="str"/>
      <x:c r="P1821" s="5" t="str">
        <x:v>Zuordnungsvorschlag; Fachfreigabe ausstehend</x:v>
      </x:c>
      <x:c r="Q1821" s="5" t="str">
        <x:v>Bestehendes Lernthema fachlich unter passendem Rahmenplan-Unterbereich behalten</x:v>
      </x:c>
      <x:c r="R1821" s="5" t="str">
        <x:v>Fallbezug: Die folgenden betrieblichen Angaben und Situationen beziehen sich auf die Circle Harbor GmbH.
Für die Auswahl eines Lieferanten gelten die Gewichte Preis 40 %, Qualität 30 %, Service 20 % und Nachhaltigkeit 10 %. Anbieter A erhält 3/5/4/4 Punkte, Anbieter B 4/4/3/3 und Anbieter C 5/3/2/2. Berechnen Sie die Nutzwerte und wählen Sie den besten Anbieter.</x:v>
      </x:c>
      <x:c r="S1821" s="5" t="str">
        <x:v>6956e0c99ac31d764ba4615515a03190218a68d9468480fa13da19e8abf1b516</x:v>
      </x:c>
    </x:row>
    <x:row r="1822" ht="36" customHeight="1">
      <x:c r="A1822" s="5" t="str">
        <x:v>IF-0009</x:v>
      </x:c>
      <x:c r="B1822" s="5" t="str">
        <x:v>HQ</x:v>
      </x:c>
      <x:c r="C1822" s="5" t="str">
        <x:v>6</x:v>
      </x:c>
      <x:c r="D1822" s="5" t="str">
        <x:v>Investition, Finanzierung, betriebliches Rechnungswesen und Controlling</x:v>
      </x:c>
      <x:c r="E1822" s="5" t="str">
        <x:v>Investition und Finanzierung</x:v>
      </x:c>
      <x:c r="F1822" s="5" t="str">
        <x:v>ui-hq-0017</x:v>
      </x:c>
      <x:c r="G1822" s="5" t="str">
        <x:v>Investitionsplanung und -rechnung</x:v>
      </x:c>
      <x:c r="H1822" s="5" t="str">
        <x:v>dg-hq-0146</x:v>
      </x:c>
      <x:c r="I1822" s="5" t="str">
        <x:v>6.1.2.2</x:v>
      </x:c>
      <x:c r="J1822" s="5" t="str">
        <x:v>Statische Investitionsrechnung</x:v>
      </x:c>
      <x:c r="K1822" s="5" t="str"/>
      <x:c r="L1822" s="5" t="str">
        <x:v>Statische Investitionsrechnung</x:v>
      </x:c>
      <x:c r="M1822" s="5" t="n">
        <x:v>6</x:v>
      </x:c>
      <x:c r="N1822" s="5" t="n">
        <x:v>1</x:v>
      </x:c>
      <x:c r="O1822" s="5" t="str"/>
      <x:c r="P1822" s="5" t="str">
        <x:v>Zuordnungsvorschlag; Fachfreigabe ausstehend</x:v>
      </x:c>
      <x:c r="Q1822" s="5" t="str">
        <x:v>Bestehendes Lernthema fachlich unter passendem Rahmenplan-Unterbereich behalten</x:v>
      </x:c>
      <x:c r="R1822" s="5" t="str">
        <x:v>Welche Kosten- und Leistungsgrößen werden bei statischen Investitionsrechnungen typischerweise benötigt? Nennen Sie mindestens fünf.</x:v>
      </x:c>
      <x:c r="S1822" s="5" t="str">
        <x:v>c64f92aa6c1c65e245fd584e80d29df2ec4a382e0f338c7b1485e228720e7e9e</x:v>
      </x:c>
    </x:row>
    <x:row r="1823" ht="36" customHeight="1">
      <x:c r="A1823" s="5" t="str">
        <x:v>IF-0010</x:v>
      </x:c>
      <x:c r="B1823" s="5" t="str">
        <x:v>HQ</x:v>
      </x:c>
      <x:c r="C1823" s="5" t="str">
        <x:v>6</x:v>
      </x:c>
      <x:c r="D1823" s="5" t="str">
        <x:v>Investition, Finanzierung, betriebliches Rechnungswesen und Controlling</x:v>
      </x:c>
      <x:c r="E1823" s="5" t="str">
        <x:v>Investition und Finanzierung</x:v>
      </x:c>
      <x:c r="F1823" s="5" t="str">
        <x:v>ui-hq-0017</x:v>
      </x:c>
      <x:c r="G1823" s="5" t="str">
        <x:v>Investitionsplanung und -rechnung</x:v>
      </x:c>
      <x:c r="H1823" s="5" t="str">
        <x:v>dg-hq-0146</x:v>
      </x:c>
      <x:c r="I1823" s="5" t="str">
        <x:v>6.1.2.2#1</x:v>
      </x:c>
      <x:c r="J1823" s="5" t="str">
        <x:v>Kostenvergleichsrechnung</x:v>
      </x:c>
      <x:c r="K1823" s="5" t="str"/>
      <x:c r="L1823" s="5" t="str">
        <x:v>Statische Investitionsrechnung</x:v>
      </x:c>
      <x:c r="M1823" s="5" t="n">
        <x:v>7</x:v>
      </x:c>
      <x:c r="N1823" s="5" t="n">
        <x:v>2</x:v>
      </x:c>
      <x:c r="O1823" s="5" t="str"/>
      <x:c r="P1823" s="5" t="str">
        <x:v>Zuordnungsvorschlag; Fachfreigabe ausstehend</x:v>
      </x:c>
      <x:c r="Q1823" s="5" t="str">
        <x:v>Bestehendes Lernthema fachlich unter passendem Rahmenplan-Unterbereich behalten</x:v>
      </x:c>
      <x:c r="R1823" s="5" t="str">
        <x:v>Fallbezug: Die folgenden betrieblichen Angaben und Situationen beziehen sich auf die Circle Harbor GmbH.
Zwei Maschinen liefern je 30.000 Stück pro Jahr. Maschine A kostet 240.000 €, Nutzungsdauer 8 Jahre, Restwert 0 €, Kalkulationszins 6 %, sonstige fixe Kosten 20.000 € und variable Kosten 4,00 € je Stück. Maschine B kostet 300.000 €, Nutzungsdauer 10 Jahre, Restwert 0 €, Kalkulationszins 6 %, fixe Kosten 12.000 € und variable Kosten 3,50 € je Stück. Welche Maschine ist nach der Kostenvergleichsrechnung günstiger?</x:v>
      </x:c>
      <x:c r="S1823" s="5" t="str">
        <x:v>9d3c82a29feec3e89fd6ee09325e235cd3b61aaf6295b562bc784c4a8cbe9548</x:v>
      </x:c>
    </x:row>
    <x:row r="1824" ht="36" customHeight="1">
      <x:c r="A1824" s="5" t="str">
        <x:v>IF-0011</x:v>
      </x:c>
      <x:c r="B1824" s="5" t="str">
        <x:v>HQ</x:v>
      </x:c>
      <x:c r="C1824" s="5" t="str">
        <x:v>6</x:v>
      </x:c>
      <x:c r="D1824" s="5" t="str">
        <x:v>Investition, Finanzierung, betriebliches Rechnungswesen und Controlling</x:v>
      </x:c>
      <x:c r="E1824" s="5" t="str">
        <x:v>Investition und Finanzierung</x:v>
      </x:c>
      <x:c r="F1824" s="5" t="str">
        <x:v>ui-hq-0017</x:v>
      </x:c>
      <x:c r="G1824" s="5" t="str">
        <x:v>Investitionsplanung und -rechnung</x:v>
      </x:c>
      <x:c r="H1824" s="5" t="str">
        <x:v>dg-hq-0146</x:v>
      </x:c>
      <x:c r="I1824" s="5" t="str">
        <x:v>6.1.2.2</x:v>
      </x:c>
      <x:c r="J1824" s="5" t="str">
        <x:v>Statische Investitionsrechnung</x:v>
      </x:c>
      <x:c r="K1824" s="5" t="str"/>
      <x:c r="L1824" s="5" t="str">
        <x:v>Statische Investitionsrechnung</x:v>
      </x:c>
      <x:c r="M1824" s="5" t="n">
        <x:v>8</x:v>
      </x:c>
      <x:c r="N1824" s="5" t="n">
        <x:v>3</x:v>
      </x:c>
      <x:c r="O1824" s="5" t="str"/>
      <x:c r="P1824" s="5" t="str">
        <x:v>Zuordnungsvorschlag; Fachfreigabe ausstehend</x:v>
      </x:c>
      <x:c r="Q1824" s="5" t="str">
        <x:v>Bestehendes Lernthema fachlich unter passendem Rahmenplan-Unterbereich behalten</x:v>
      </x:c>
      <x:c r="R1824" s="5" t="str">
        <x:v>Fallbezug: Die folgenden betrieblichen Angaben und Situationen beziehen sich auf die Circle Harbor GmbH.
Eine alte Anlage hat einen aktuellen Wert von 50.000 €, eine Restnutzungsdauer von 2 Jahren und einen Restwert von 10.000 €. Wartung kostet 5.000 € und Betrieb 150.000 € pro Jahr. Eine neue Anlage kostet 120.000 €, läuft 5 Jahre, hat 10.000 € Restwert, Wartung 3.000 € und Betrieb 140.000 € pro Jahr. Kalkulationszins: 6 %. Welche Alternative verursacht geringere Jahreskosten?</x:v>
      </x:c>
      <x:c r="S1824" s="5" t="str">
        <x:v>e585947a282d6fcbda00c3bd0e1368661a03ef7d2f88dc53dce0534e4ffb8b1d</x:v>
      </x:c>
    </x:row>
    <x:row r="1825" ht="36" customHeight="1">
      <x:c r="A1825" s="5" t="str">
        <x:v>IF-0012</x:v>
      </x:c>
      <x:c r="B1825" s="5" t="str">
        <x:v>HQ</x:v>
      </x:c>
      <x:c r="C1825" s="5" t="str">
        <x:v>6</x:v>
      </x:c>
      <x:c r="D1825" s="5" t="str">
        <x:v>Investition, Finanzierung, betriebliches Rechnungswesen und Controlling</x:v>
      </x:c>
      <x:c r="E1825" s="5" t="str">
        <x:v>Investition und Finanzierung</x:v>
      </x:c>
      <x:c r="F1825" s="5" t="str">
        <x:v>ui-hq-0017</x:v>
      </x:c>
      <x:c r="G1825" s="5" t="str">
        <x:v>Investitionsplanung und -rechnung</x:v>
      </x:c>
      <x:c r="H1825" s="5" t="str">
        <x:v>dg-hq-0146</x:v>
      </x:c>
      <x:c r="I1825" s="5" t="str">
        <x:v>6.1.2.2</x:v>
      </x:c>
      <x:c r="J1825" s="5" t="str">
        <x:v>Statische Investitionsrechnung</x:v>
      </x:c>
      <x:c r="K1825" s="5" t="str"/>
      <x:c r="L1825" s="5" t="str">
        <x:v>Statische Investitionsrechnung</x:v>
      </x:c>
      <x:c r="M1825" s="5" t="n">
        <x:v>9</x:v>
      </x:c>
      <x:c r="N1825" s="5" t="n">
        <x:v>4</x:v>
      </x:c>
      <x:c r="O1825" s="5" t="str"/>
      <x:c r="P1825" s="5" t="str">
        <x:v>Zuordnungsvorschlag; Fachfreigabe ausstehend</x:v>
      </x:c>
      <x:c r="Q1825" s="5" t="str">
        <x:v>Bestehendes Lernthema fachlich unter passendem Rahmenplan-Unterbereich behalten</x:v>
      </x:c>
      <x:c r="R1825" s="5" t="str">
        <x:v>Fallbezug: Die folgenden betrieblichen Angaben und Situationen beziehen sich auf die Circle Harbor GmbH.
Drei Fertigungsvarianten haben folgende jährliche Kosten bei 20.000 Stück: A: fixe Kosten einschließlich Abschreibung/Zinsen 62.000 €, variable Kosten 4,80 €/Stück. B: 78.000 € fix und 3,70 €/Stück. C: 54.000 € fix und 5,30 €/Stück. Welche Alternative ist bei dieser Menge am günstigsten?</x:v>
      </x:c>
      <x:c r="S1825" s="5" t="str">
        <x:v>a7a7a89874ef594115d557e4d850fb3157e8e77f540f8cc962b83eea78c61bc3</x:v>
      </x:c>
    </x:row>
    <x:row r="1826" ht="36" customHeight="1">
      <x:c r="A1826" s="5" t="str">
        <x:v>IF-0013</x:v>
      </x:c>
      <x:c r="B1826" s="5" t="str">
        <x:v>HQ</x:v>
      </x:c>
      <x:c r="C1826" s="5" t="str">
        <x:v>6</x:v>
      </x:c>
      <x:c r="D1826" s="5" t="str">
        <x:v>Investition, Finanzierung, betriebliches Rechnungswesen und Controlling</x:v>
      </x:c>
      <x:c r="E1826" s="5" t="str">
        <x:v>Investition und Finanzierung</x:v>
      </x:c>
      <x:c r="F1826" s="5" t="str">
        <x:v>ui-hq-0017</x:v>
      </x:c>
      <x:c r="G1826" s="5" t="str">
        <x:v>Investitionsplanung und -rechnung</x:v>
      </x:c>
      <x:c r="H1826" s="5" t="str">
        <x:v>dg-hq-0146</x:v>
      </x:c>
      <x:c r="I1826" s="5" t="str">
        <x:v>6.1.2.2</x:v>
      </x:c>
      <x:c r="J1826" s="5" t="str">
        <x:v>Statische Investitionsrechnung</x:v>
      </x:c>
      <x:c r="K1826" s="5" t="str"/>
      <x:c r="L1826" s="5" t="str">
        <x:v>Statische Investitionsrechnung</x:v>
      </x:c>
      <x:c r="M1826" s="5" t="n">
        <x:v>10</x:v>
      </x:c>
      <x:c r="N1826" s="5" t="n">
        <x:v>5</x:v>
      </x:c>
      <x:c r="O1826" s="5" t="str"/>
      <x:c r="P1826" s="5" t="str">
        <x:v>Zuordnungsvorschlag; Fachfreigabe ausstehend</x:v>
      </x:c>
      <x:c r="Q1826" s="5" t="str">
        <x:v>Bestehendes Lernthema fachlich unter passendem Rahmenplan-Unterbereich behalten</x:v>
      </x:c>
      <x:c r="R1826" s="5" t="str">
        <x:v>Fallbezug: Die folgenden betrieblichen Angaben und Situationen beziehen sich auf die Circle Harbor GmbH.
Alternative A verursacht 90.000 € fixe Kosten und 5 € variable Kosten je Stück. Alternative B verursacht 110.000 € fixe Kosten und 4 € variable Kosten je Stück. Der Verkaufspreis beträgt 11 € je Stück. Berechnen Sie bei 25.000 Stück den Gewinn beider Alternativen und die kritische Menge.</x:v>
      </x:c>
      <x:c r="S1826" s="5" t="str">
        <x:v>2f6c3955d2452017020846755b82cd344ee680bdf36d82d46f4ea9a76d354c35</x:v>
      </x:c>
    </x:row>
    <x:row r="1827" ht="36" customHeight="1">
      <x:c r="A1827" s="5" t="str">
        <x:v>IF-0014</x:v>
      </x:c>
      <x:c r="B1827" s="5" t="str">
        <x:v>HQ</x:v>
      </x:c>
      <x:c r="C1827" s="5" t="str">
        <x:v>6</x:v>
      </x:c>
      <x:c r="D1827" s="5" t="str">
        <x:v>Investition, Finanzierung, betriebliches Rechnungswesen und Controlling</x:v>
      </x:c>
      <x:c r="E1827" s="5" t="str">
        <x:v>Investition und Finanzierung</x:v>
      </x:c>
      <x:c r="F1827" s="5" t="str">
        <x:v>ui-hq-0017</x:v>
      </x:c>
      <x:c r="G1827" s="5" t="str">
        <x:v>Investitionsplanung und -rechnung</x:v>
      </x:c>
      <x:c r="H1827" s="5" t="str">
        <x:v>dg-hq-0146</x:v>
      </x:c>
      <x:c r="I1827" s="5" t="str">
        <x:v>6.1.2.2</x:v>
      </x:c>
      <x:c r="J1827" s="5" t="str">
        <x:v>Statische Investitionsrechnung</x:v>
      </x:c>
      <x:c r="K1827" s="5" t="str"/>
      <x:c r="L1827" s="5" t="str">
        <x:v>Statische Investitionsrechnung</x:v>
      </x:c>
      <x:c r="M1827" s="5" t="n">
        <x:v>11</x:v>
      </x:c>
      <x:c r="N1827" s="5" t="n">
        <x:v>6</x:v>
      </x:c>
      <x:c r="O1827" s="5" t="str"/>
      <x:c r="P1827" s="5" t="str">
        <x:v>Zuordnungsvorschlag; Fachfreigabe ausstehend</x:v>
      </x:c>
      <x:c r="Q1827" s="5" t="str">
        <x:v>Bestehendes Lernthema fachlich unter passendem Rahmenplan-Unterbereich behalten</x:v>
      </x:c>
      <x:c r="R1827" s="5" t="str">
        <x:v>Fallbezug: Die folgenden betrieblichen Angaben und Situationen beziehen sich auf die Circle Harbor GmbH.
Eine Investition kostet 100.000 €, hat am Ende einen Restwert von 20.000 € und erwirtschaftet 6.000 € Gewinn pro Jahr. Der Kalkulationszins beträgt 8 %. Berechnen Sie die statische Rentabilität mit (Gewinn + kalkulatorische Zinsen) / durchschnittlich gebundenes Kapital × 100.</x:v>
      </x:c>
      <x:c r="S1827" s="5" t="str">
        <x:v>2fbf52249e12649d3a9528d2347e5ceb3196e7739be160c9648e2f7971dc4646</x:v>
      </x:c>
    </x:row>
    <x:row r="1828" ht="36" customHeight="1">
      <x:c r="A1828" s="5" t="str">
        <x:v>IF-0015</x:v>
      </x:c>
      <x:c r="B1828" s="5" t="str">
        <x:v>HQ</x:v>
      </x:c>
      <x:c r="C1828" s="5" t="str">
        <x:v>6</x:v>
      </x:c>
      <x:c r="D1828" s="5" t="str">
        <x:v>Investition, Finanzierung, betriebliches Rechnungswesen und Controlling</x:v>
      </x:c>
      <x:c r="E1828" s="5" t="str">
        <x:v>Investition und Finanzierung</x:v>
      </x:c>
      <x:c r="F1828" s="5" t="str">
        <x:v>ui-hq-0017</x:v>
      </x:c>
      <x:c r="G1828" s="5" t="str">
        <x:v>Investitionsplanung und -rechnung</x:v>
      </x:c>
      <x:c r="H1828" s="5" t="str">
        <x:v>dg-hq-0146</x:v>
      </x:c>
      <x:c r="I1828" s="5" t="str">
        <x:v>6.1.2.2</x:v>
      </x:c>
      <x:c r="J1828" s="5" t="str">
        <x:v>Statische Investitionsrechnung</x:v>
      </x:c>
      <x:c r="K1828" s="5" t="str"/>
      <x:c r="L1828" s="5" t="str">
        <x:v>Statische Investitionsrechnung</x:v>
      </x:c>
      <x:c r="M1828" s="5" t="n">
        <x:v>12</x:v>
      </x:c>
      <x:c r="N1828" s="5" t="n">
        <x:v>7</x:v>
      </x:c>
      <x:c r="O1828" s="5" t="str"/>
      <x:c r="P1828" s="5" t="str">
        <x:v>Zuordnungsvorschlag; Fachfreigabe ausstehend</x:v>
      </x:c>
      <x:c r="Q1828" s="5" t="str">
        <x:v>Bestehendes Lernthema fachlich unter passendem Rahmenplan-Unterbereich behalten</x:v>
      </x:c>
      <x:c r="R1828" s="5" t="str">
        <x:v>Fallbezug: Die folgenden betrieblichen Angaben und Situationen beziehen sich auf die Circle Harbor GmbH.
Investition A kostet 120.000 € und erzielt 8.000 € Jahresgewinn. Investition B kostet 160.000 € und erzielt 11.000 € Jahresgewinn. Beide haben keinen Restwert; Kalkulationszins 6 %. Welche Investition weist die höhere statische Rentabilität auf?</x:v>
      </x:c>
      <x:c r="S1828" s="5" t="str">
        <x:v>a9203662fded410e58381645453595d96040b5d2191ef3b6e4ff9385a5230df0</x:v>
      </x:c>
    </x:row>
    <x:row r="1829" ht="36" customHeight="1">
      <x:c r="A1829" s="5" t="str">
        <x:v>IF-0016</x:v>
      </x:c>
      <x:c r="B1829" s="5" t="str">
        <x:v>HQ</x:v>
      </x:c>
      <x:c r="C1829" s="5" t="str">
        <x:v>6</x:v>
      </x:c>
      <x:c r="D1829" s="5" t="str">
        <x:v>Investition, Finanzierung, betriebliches Rechnungswesen und Controlling</x:v>
      </x:c>
      <x:c r="E1829" s="5" t="str">
        <x:v>Investition und Finanzierung</x:v>
      </x:c>
      <x:c r="F1829" s="5" t="str">
        <x:v>ui-hq-0017</x:v>
      </x:c>
      <x:c r="G1829" s="5" t="str">
        <x:v>Investitionsplanung und -rechnung</x:v>
      </x:c>
      <x:c r="H1829" s="5" t="str">
        <x:v>dg-hq-0146</x:v>
      </x:c>
      <x:c r="I1829" s="5" t="str">
        <x:v>6.1.2.2</x:v>
      </x:c>
      <x:c r="J1829" s="5" t="str">
        <x:v>Statische Investitionsrechnung</x:v>
      </x:c>
      <x:c r="K1829" s="5" t="str"/>
      <x:c r="L1829" s="5" t="str">
        <x:v>Statische Investitionsrechnung</x:v>
      </x:c>
      <x:c r="M1829" s="5" t="n">
        <x:v>13</x:v>
      </x:c>
      <x:c r="N1829" s="5" t="n">
        <x:v>8</x:v>
      </x:c>
      <x:c r="O1829" s="5" t="str"/>
      <x:c r="P1829" s="5" t="str">
        <x:v>Zuordnungsvorschlag; Fachfreigabe ausstehend</x:v>
      </x:c>
      <x:c r="Q1829" s="5" t="str">
        <x:v>Bestehendes Lernthema fachlich unter passendem Rahmenplan-Unterbereich behalten</x:v>
      </x:c>
      <x:c r="R1829" s="5" t="str">
        <x:v>Fallbezug: Die folgenden betrieblichen Angaben und Situationen beziehen sich auf die Circle Harbor GmbH.
Investition A erfordert 150.000 € und erzielt durchschnittlich 50.000 € Rückfluss pro Jahr. Investition B erfordert 180.000 € und erzielt 45.000 € Rückfluss pro Jahr. Ermitteln Sie die statische Amortisationsdauer.</x:v>
      </x:c>
      <x:c r="S1829" s="5" t="str">
        <x:v>939733564d369b3d6c01c2d7b6cea82ed002abd9d218c7459a0d771dee0849ec</x:v>
      </x:c>
    </x:row>
    <x:row r="1830" ht="36" customHeight="1">
      <x:c r="A1830" s="5" t="str">
        <x:v>IF-0017</x:v>
      </x:c>
      <x:c r="B1830" s="5" t="str">
        <x:v>HQ</x:v>
      </x:c>
      <x:c r="C1830" s="5" t="str">
        <x:v>6</x:v>
      </x:c>
      <x:c r="D1830" s="5" t="str">
        <x:v>Investition, Finanzierung, betriebliches Rechnungswesen und Controlling</x:v>
      </x:c>
      <x:c r="E1830" s="5" t="str">
        <x:v>Investition und Finanzierung</x:v>
      </x:c>
      <x:c r="F1830" s="5" t="str">
        <x:v>ui-hq-0017</x:v>
      </x:c>
      <x:c r="G1830" s="5" t="str">
        <x:v>Investitionsplanung und -rechnung</x:v>
      </x:c>
      <x:c r="H1830" s="5" t="str">
        <x:v>dg-hq-0146</x:v>
      </x:c>
      <x:c r="I1830" s="5" t="str">
        <x:v>6.1.2.2</x:v>
      </x:c>
      <x:c r="J1830" s="5" t="str">
        <x:v>Statische Investitionsrechnung</x:v>
      </x:c>
      <x:c r="K1830" s="5" t="str"/>
      <x:c r="L1830" s="5" t="str">
        <x:v>Statische Investitionsrechnung</x:v>
      </x:c>
      <x:c r="M1830" s="5" t="n">
        <x:v>14</x:v>
      </x:c>
      <x:c r="N1830" s="5" t="n">
        <x:v>9</x:v>
      </x:c>
      <x:c r="O1830" s="5" t="str"/>
      <x:c r="P1830" s="5" t="str">
        <x:v>Zuordnungsvorschlag; Fachfreigabe ausstehend</x:v>
      </x:c>
      <x:c r="Q1830" s="5" t="str">
        <x:v>Bestehendes Lernthema fachlich unter passendem Rahmenplan-Unterbereich behalten</x:v>
      </x:c>
      <x:c r="R1830" s="5" t="str">
        <x:v>Ordnen Sie die vier klassischen statischen Investitionsrechenverfahren ihren Kernaussagen zu.</x:v>
      </x:c>
      <x:c r="S1830" s="5" t="str">
        <x:v>a9b782b50b00090ff2a31b6a39c2463473e7b59c7870297e8c51664d8769f1c9</x:v>
      </x:c>
    </x:row>
    <x:row r="1831" ht="36" customHeight="1">
      <x:c r="A1831" s="5" t="str">
        <x:v>IF-0018</x:v>
      </x:c>
      <x:c r="B1831" s="5" t="str">
        <x:v>HQ</x:v>
      </x:c>
      <x:c r="C1831" s="5" t="str">
        <x:v>6</x:v>
      </x:c>
      <x:c r="D1831" s="5" t="str">
        <x:v>Investition, Finanzierung, betriebliches Rechnungswesen und Controlling</x:v>
      </x:c>
      <x:c r="E1831" s="5" t="str">
        <x:v>Investition und Finanzierung</x:v>
      </x:c>
      <x:c r="F1831" s="5" t="str">
        <x:v>ui-hq-0017</x:v>
      </x:c>
      <x:c r="G1831" s="5" t="str">
        <x:v>Investitionsplanung und -rechnung</x:v>
      </x:c>
      <x:c r="H1831" s="5" t="str">
        <x:v>dg-hq-0146</x:v>
      </x:c>
      <x:c r="I1831" s="5" t="str">
        <x:v>6.1.2.2</x:v>
      </x:c>
      <x:c r="J1831" s="5" t="str">
        <x:v>Statische Investitionsrechnung</x:v>
      </x:c>
      <x:c r="K1831" s="5" t="str"/>
      <x:c r="L1831" s="5" t="str">
        <x:v>Statische Investitionsrechnung</x:v>
      </x:c>
      <x:c r="M1831" s="5" t="n">
        <x:v>15</x:v>
      </x:c>
      <x:c r="N1831" s="5" t="n">
        <x:v>10</x:v>
      </x:c>
      <x:c r="O1831" s="5" t="str"/>
      <x:c r="P1831" s="5" t="str">
        <x:v>Zuordnungsvorschlag; Fachfreigabe ausstehend</x:v>
      </x:c>
      <x:c r="Q1831" s="5" t="str">
        <x:v>Bestehendes Lernthema fachlich unter passendem Rahmenplan-Unterbereich behalten</x:v>
      </x:c>
      <x:c r="R1831" s="5" t="str">
        <x:v>Nennen Sie den wichtigsten Vorteil und den wichtigsten Nachteil statischer Investitionsrechenverfahren.</x:v>
      </x:c>
      <x:c r="S1831" s="5" t="str">
        <x:v>5fd7dd16057c871e7592c98c7de04d4b5b44387eca66949e3355f05a35382480</x:v>
      </x:c>
    </x:row>
    <x:row r="1832" ht="36" customHeight="1">
      <x:c r="A1832" s="5" t="str">
        <x:v>IF-0019</x:v>
      </x:c>
      <x:c r="B1832" s="5" t="str">
        <x:v>HQ</x:v>
      </x:c>
      <x:c r="C1832" s="5" t="str">
        <x:v>6</x:v>
      </x:c>
      <x:c r="D1832" s="5" t="str">
        <x:v>Investition, Finanzierung, betriebliches Rechnungswesen und Controlling</x:v>
      </x:c>
      <x:c r="E1832" s="5" t="str">
        <x:v>Investition und Finanzierung</x:v>
      </x:c>
      <x:c r="F1832" s="5" t="str">
        <x:v>ui-hq-0017</x:v>
      </x:c>
      <x:c r="G1832" s="5" t="str">
        <x:v>Investitionsplanung und -rechnung</x:v>
      </x:c>
      <x:c r="H1832" s="5" t="str">
        <x:v>dg-hq-0146</x:v>
      </x:c>
      <x:c r="I1832" s="5" t="str">
        <x:v>6.1.2.2#4</x:v>
      </x:c>
      <x:c r="J1832" s="5" t="str">
        <x:v>Amortisationsrechnung</x:v>
      </x:c>
      <x:c r="K1832" s="5" t="str"/>
      <x:c r="L1832" s="5" t="str">
        <x:v>Statische Investitionsrechnung</x:v>
      </x:c>
      <x:c r="M1832" s="5" t="n">
        <x:v>16</x:v>
      </x:c>
      <x:c r="N1832" s="5" t="n">
        <x:v>11</x:v>
      </x:c>
      <x:c r="O1832" s="5" t="str"/>
      <x:c r="P1832" s="5" t="str">
        <x:v>Zuordnungsvorschlag; Fachfreigabe ausstehend</x:v>
      </x:c>
      <x:c r="Q1832" s="5" t="str">
        <x:v>Bestehendes Lernthema fachlich unter passendem Rahmenplan-Unterbereich behalten</x:v>
      </x:c>
      <x:c r="R1832" s="5" t="str">
        <x:v>Zwei Investitionsalternativen werden mit Kosten-, Gewinn-, Rentabilitäts- und Amortisationsrechnung bewertet. Die Verfahren führen zu unterschiedlichen Rangfolgen. Warum kann das passieren und wie sollte die Entscheidung vorbereitet werden?</x:v>
      </x:c>
      <x:c r="S1832" s="5" t="str">
        <x:v>258824f21dfc31f84efad14ab3404fa9f679f6299b1f842477969a9bd06a4395</x:v>
      </x:c>
    </x:row>
    <x:row r="1833" ht="36" customHeight="1">
      <x:c r="A1833" s="5" t="str">
        <x:v>IF-0020</x:v>
      </x:c>
      <x:c r="B1833" s="5" t="str">
        <x:v>HQ</x:v>
      </x:c>
      <x:c r="C1833" s="5" t="str">
        <x:v>6</x:v>
      </x:c>
      <x:c r="D1833" s="5" t="str">
        <x:v>Investition, Finanzierung, betriebliches Rechnungswesen und Controlling</x:v>
      </x:c>
      <x:c r="E1833" s="5" t="str">
        <x:v>Investition und Finanzierung</x:v>
      </x:c>
      <x:c r="F1833" s="5" t="str">
        <x:v>ui-hq-0017</x:v>
      </x:c>
      <x:c r="G1833" s="5" t="str">
        <x:v>Investitionsplanung und -rechnung</x:v>
      </x:c>
      <x:c r="H1833" s="5" t="str">
        <x:v>dg-hq-0147</x:v>
      </x:c>
      <x:c r="I1833" s="5" t="str">
        <x:v>6.1.2.3</x:v>
      </x:c>
      <x:c r="J1833" s="5" t="str">
        <x:v>Dynamische Investitionsrechnung</x:v>
      </x:c>
      <x:c r="K1833" s="5" t="str"/>
      <x:c r="L1833" s="5" t="str">
        <x:v>Dynamische Investitionsrechnung &amp; Nutzungsdauer</x:v>
      </x:c>
      <x:c r="M1833" s="5" t="n">
        <x:v>17</x:v>
      </x:c>
      <x:c r="N1833" s="5" t="n">
        <x:v>1</x:v>
      </x:c>
      <x:c r="O1833" s="5" t="str"/>
      <x:c r="P1833" s="5" t="str">
        <x:v>Zuordnungsvorschlag; Fachfreigabe ausstehend</x:v>
      </x:c>
      <x:c r="Q1833" s="5" t="str">
        <x:v>Bestehendes Lernthema fachlich unter passendem Rahmenplan-Unterbereich behalten</x:v>
      </x:c>
      <x:c r="R1833" s="5" t="str">
        <x:v>Definieren Sie die Begriffe Barwert, Endwert und Zeitwert.</x:v>
      </x:c>
      <x:c r="S1833" s="5" t="str">
        <x:v>8641a1df70fccdb83388598bc7f73f551f6d5fbb2ce9932024659955c8ef0522</x:v>
      </x:c>
    </x:row>
    <x:row r="1834" ht="36" customHeight="1">
      <x:c r="A1834" s="5" t="str">
        <x:v>IF-0021</x:v>
      </x:c>
      <x:c r="B1834" s="5" t="str">
        <x:v>HQ</x:v>
      </x:c>
      <x:c r="C1834" s="5" t="str">
        <x:v>6</x:v>
      </x:c>
      <x:c r="D1834" s="5" t="str">
        <x:v>Investition, Finanzierung, betriebliches Rechnungswesen und Controlling</x:v>
      </x:c>
      <x:c r="E1834" s="5" t="str">
        <x:v>Investition und Finanzierung</x:v>
      </x:c>
      <x:c r="F1834" s="5" t="str">
        <x:v>ui-hq-0017</x:v>
      </x:c>
      <x:c r="G1834" s="5" t="str">
        <x:v>Investitionsplanung und -rechnung</x:v>
      </x:c>
      <x:c r="H1834" s="5" t="str">
        <x:v>dg-hq-0147</x:v>
      </x:c>
      <x:c r="I1834" s="5" t="str">
        <x:v>6.1.2.3</x:v>
      </x:c>
      <x:c r="J1834" s="5" t="str">
        <x:v>Dynamische Investitionsrechnung</x:v>
      </x:c>
      <x:c r="K1834" s="5" t="str"/>
      <x:c r="L1834" s="5" t="str">
        <x:v>Dynamische Investitionsrechnung &amp; Nutzungsdauer</x:v>
      </x:c>
      <x:c r="M1834" s="5" t="n">
        <x:v>18</x:v>
      </x:c>
      <x:c r="N1834" s="5" t="n">
        <x:v>2</x:v>
      </x:c>
      <x:c r="O1834" s="5" t="str"/>
      <x:c r="P1834" s="5" t="str">
        <x:v>Zuordnungsvorschlag; Fachfreigabe ausstehend</x:v>
      </x:c>
      <x:c r="Q1834" s="5" t="str">
        <x:v>Bestehendes Lernthema fachlich unter passendem Rahmenplan-Unterbereich behalten</x:v>
      </x:c>
      <x:c r="R1834" s="5" t="str">
        <x:v>Circle Harbor legt heute 10.000 € für vier Jahre zu 5 % p. a. an. Welcher Endwert entsteht? Welcher Barwert entspricht umgekehrt einer in vier Jahren fälligen Zahlung von 12.155,06 € bei 5 %?</x:v>
      </x:c>
      <x:c r="S1834" s="5" t="str">
        <x:v>4e0efa013c07cebf2f221ed08bf22f9d5784a445d0bfbc8393f556a3ed03e37e</x:v>
      </x:c>
    </x:row>
    <x:row r="1835" ht="36" customHeight="1">
      <x:c r="A1835" s="5" t="str">
        <x:v>IF-0022</x:v>
      </x:c>
      <x:c r="B1835" s="5" t="str">
        <x:v>HQ</x:v>
      </x:c>
      <x:c r="C1835" s="5" t="str">
        <x:v>6</x:v>
      </x:c>
      <x:c r="D1835" s="5" t="str">
        <x:v>Investition, Finanzierung, betriebliches Rechnungswesen und Controlling</x:v>
      </x:c>
      <x:c r="E1835" s="5" t="str">
        <x:v>Investition und Finanzierung</x:v>
      </x:c>
      <x:c r="F1835" s="5" t="str">
        <x:v>ui-hq-0017</x:v>
      </x:c>
      <x:c r="G1835" s="5" t="str">
        <x:v>Investitionsplanung und -rechnung</x:v>
      </x:c>
      <x:c r="H1835" s="5" t="str">
        <x:v>dg-hq-0147</x:v>
      </x:c>
      <x:c r="I1835" s="5" t="str">
        <x:v>6.1.2.3</x:v>
      </x:c>
      <x:c r="J1835" s="5" t="str">
        <x:v>Dynamische Investitionsrechnung</x:v>
      </x:c>
      <x:c r="K1835" s="5" t="str"/>
      <x:c r="L1835" s="5" t="str">
        <x:v>Dynamische Investitionsrechnung &amp; Nutzungsdauer</x:v>
      </x:c>
      <x:c r="M1835" s="5" t="n">
        <x:v>19</x:v>
      </x:c>
      <x:c r="N1835" s="5" t="n">
        <x:v>3</x:v>
      </x:c>
      <x:c r="O1835" s="5" t="str"/>
      <x:c r="P1835" s="5" t="str">
        <x:v>Zuordnungsvorschlag; Fachfreigabe ausstehend</x:v>
      </x:c>
      <x:c r="Q1835" s="5" t="str">
        <x:v>Bestehendes Lernthema fachlich unter passendem Rahmenplan-Unterbereich behalten</x:v>
      </x:c>
      <x:c r="R1835" s="5" t="str">
        <x:v>Fallbezug: Die folgenden betrieblichen Angaben und Situationen beziehen sich auf die Circle Harbor GmbH.
Eine Investition kostet heute 200.000 €. Erwartete Einzahlungsüberschüsse: Jahr 1: 60.000 €, Jahr 2: 70.000 €, Jahr 3: 80.000 €, Jahr 4: 50.000 €. Kalkulationszins 5 %. Berechnen Sie den Kapitalwert und beurteilen Sie die Investition.</x:v>
      </x:c>
      <x:c r="S1835" s="5" t="str">
        <x:v>8620e162e8c32aec8af50965d184aa68d03730334c051dc7442d94eb795a4d63</x:v>
      </x:c>
    </x:row>
    <x:row r="1836" ht="36" customHeight="1">
      <x:c r="A1836" s="5" t="str">
        <x:v>IF-0023</x:v>
      </x:c>
      <x:c r="B1836" s="5" t="str">
        <x:v>HQ</x:v>
      </x:c>
      <x:c r="C1836" s="5" t="str">
        <x:v>6</x:v>
      </x:c>
      <x:c r="D1836" s="5" t="str">
        <x:v>Investition, Finanzierung, betriebliches Rechnungswesen und Controlling</x:v>
      </x:c>
      <x:c r="E1836" s="5" t="str">
        <x:v>Investition und Finanzierung</x:v>
      </x:c>
      <x:c r="F1836" s="5" t="str">
        <x:v>ui-hq-0017</x:v>
      </x:c>
      <x:c r="G1836" s="5" t="str">
        <x:v>Investitionsplanung und -rechnung</x:v>
      </x:c>
      <x:c r="H1836" s="5" t="str">
        <x:v>dg-hq-0147</x:v>
      </x:c>
      <x:c r="I1836" s="5" t="str">
        <x:v>6.1.2.3</x:v>
      </x:c>
      <x:c r="J1836" s="5" t="str">
        <x:v>Dynamische Investitionsrechnung</x:v>
      </x:c>
      <x:c r="K1836" s="5" t="str"/>
      <x:c r="L1836" s="5" t="str">
        <x:v>Dynamische Investitionsrechnung &amp; Nutzungsdauer</x:v>
      </x:c>
      <x:c r="M1836" s="5" t="n">
        <x:v>20</x:v>
      </x:c>
      <x:c r="N1836" s="5" t="n">
        <x:v>4</x:v>
      </x:c>
      <x:c r="O1836" s="5" t="str"/>
      <x:c r="P1836" s="5" t="str">
        <x:v>Zuordnungsvorschlag; Fachfreigabe ausstehend</x:v>
      </x:c>
      <x:c r="Q1836" s="5" t="str">
        <x:v>Bestehendes Lernthema fachlich unter passendem Rahmenplan-Unterbereich behalten</x:v>
      </x:c>
      <x:c r="R1836" s="5" t="str">
        <x:v>Fallbezug: Die folgenden betrieblichen Angaben und Situationen beziehen sich auf die Circle Harbor GmbH.
Eine Anlage erfordert 250.000 €. Sie liefert vier Jahre lang jeweils 80.000 €; im vierten Jahr kommen zusätzlich 20.000 € Restwert hinzu. Ermitteln Sie den Kapitalwert bei 6 % und bei 9 % und beurteilen Sie die Zinssensitivität.</x:v>
      </x:c>
      <x:c r="S1836" s="5" t="str">
        <x:v>56ca4646b172ade29a5d1ad2623bcb5399868474db8f73c05f4c4f9fc2b98976</x:v>
      </x:c>
    </x:row>
    <x:row r="1837" ht="36" customHeight="1">
      <x:c r="A1837" s="5" t="str">
        <x:v>IF-0024</x:v>
      </x:c>
      <x:c r="B1837" s="5" t="str">
        <x:v>HQ</x:v>
      </x:c>
      <x:c r="C1837" s="5" t="str">
        <x:v>6</x:v>
      </x:c>
      <x:c r="D1837" s="5" t="str">
        <x:v>Investition, Finanzierung, betriebliches Rechnungswesen und Controlling</x:v>
      </x:c>
      <x:c r="E1837" s="5" t="str">
        <x:v>Investition und Finanzierung</x:v>
      </x:c>
      <x:c r="F1837" s="5" t="str">
        <x:v>ui-hq-0017</x:v>
      </x:c>
      <x:c r="G1837" s="5" t="str">
        <x:v>Investitionsplanung und -rechnung</x:v>
      </x:c>
      <x:c r="H1837" s="5" t="str">
        <x:v>dg-hq-0147</x:v>
      </x:c>
      <x:c r="I1837" s="5" t="str">
        <x:v>6.1.2.3</x:v>
      </x:c>
      <x:c r="J1837" s="5" t="str">
        <x:v>Dynamische Investitionsrechnung</x:v>
      </x:c>
      <x:c r="K1837" s="5" t="str"/>
      <x:c r="L1837" s="5" t="str">
        <x:v>Dynamische Investitionsrechnung &amp; Nutzungsdauer</x:v>
      </x:c>
      <x:c r="M1837" s="5" t="n">
        <x:v>21</x:v>
      </x:c>
      <x:c r="N1837" s="5" t="n">
        <x:v>5</x:v>
      </x:c>
      <x:c r="O1837" s="5" t="str"/>
      <x:c r="P1837" s="5" t="str">
        <x:v>Zuordnungsvorschlag; Fachfreigabe ausstehend</x:v>
      </x:c>
      <x:c r="Q1837" s="5" t="str">
        <x:v>Bestehendes Lernthema fachlich unter passendem Rahmenplan-Unterbereich behalten</x:v>
      </x:c>
      <x:c r="R1837" s="5" t="str">
        <x:v>Fallbezug: Die folgenden betrieblichen Angaben und Situationen beziehen sich auf die Circle Harbor GmbH.
Eine Investition kostet 300.000 €, liefert fünf Jahre lang 85.000 € jährlich und am Ende zusätzlich 20.000 € Restwert. Kalkulationszins 6 %. Der Kapitalwert beträgt rund 72.996 €. Ermitteln Sie daraus die jährliche Annuität mit dem Annuitätenfaktor 0,237396.</x:v>
      </x:c>
      <x:c r="S1837" s="5" t="str">
        <x:v>b6748728d2613922ef0859720e7b0eaf129e22c7d97ec6f30c5974584ec4e759</x:v>
      </x:c>
    </x:row>
    <x:row r="1838" ht="36" customHeight="1">
      <x:c r="A1838" s="5" t="str">
        <x:v>IF-0025</x:v>
      </x:c>
      <x:c r="B1838" s="5" t="str">
        <x:v>HQ</x:v>
      </x:c>
      <x:c r="C1838" s="5" t="str">
        <x:v>6</x:v>
      </x:c>
      <x:c r="D1838" s="5" t="str">
        <x:v>Investition, Finanzierung, betriebliches Rechnungswesen und Controlling</x:v>
      </x:c>
      <x:c r="E1838" s="5" t="str">
        <x:v>Investition und Finanzierung</x:v>
      </x:c>
      <x:c r="F1838" s="5" t="str">
        <x:v>ui-hq-0017</x:v>
      </x:c>
      <x:c r="G1838" s="5" t="str">
        <x:v>Investitionsplanung und -rechnung</x:v>
      </x:c>
      <x:c r="H1838" s="5" t="str">
        <x:v>dg-hq-0147</x:v>
      </x:c>
      <x:c r="I1838" s="5" t="str">
        <x:v>6.1.2.3</x:v>
      </x:c>
      <x:c r="J1838" s="5" t="str">
        <x:v>Dynamische Investitionsrechnung</x:v>
      </x:c>
      <x:c r="K1838" s="5" t="str"/>
      <x:c r="L1838" s="5" t="str">
        <x:v>Dynamische Investitionsrechnung &amp; Nutzungsdauer</x:v>
      </x:c>
      <x:c r="M1838" s="5" t="n">
        <x:v>22</x:v>
      </x:c>
      <x:c r="N1838" s="5" t="n">
        <x:v>6</x:v>
      </x:c>
      <x:c r="O1838" s="5" t="str"/>
      <x:c r="P1838" s="5" t="str">
        <x:v>Zuordnungsvorschlag; Fachfreigabe ausstehend</x:v>
      </x:c>
      <x:c r="Q1838" s="5" t="str">
        <x:v>Bestehendes Lernthema fachlich unter passendem Rahmenplan-Unterbereich behalten</x:v>
      </x:c>
      <x:c r="R1838" s="5" t="str">
        <x:v>Zwei Investitionen haben unterschiedlich hohe Anschaffungsauszahlungen und Laufzeiten. Wie funktioniert die Annuitätenmethode und wann ist eine Alternative vorzuziehen?</x:v>
      </x:c>
      <x:c r="S1838" s="5" t="str">
        <x:v>6f40afb925b6c8b2937dc8582334c31e500a32217d6de698d8890913d9789314</x:v>
      </x:c>
    </x:row>
    <x:row r="1839" ht="36" customHeight="1">
      <x:c r="A1839" s="5" t="str">
        <x:v>IF-0026</x:v>
      </x:c>
      <x:c r="B1839" s="5" t="str">
        <x:v>HQ</x:v>
      </x:c>
      <x:c r="C1839" s="5" t="str">
        <x:v>6</x:v>
      </x:c>
      <x:c r="D1839" s="5" t="str">
        <x:v>Investition, Finanzierung, betriebliches Rechnungswesen und Controlling</x:v>
      </x:c>
      <x:c r="E1839" s="5" t="str">
        <x:v>Investition und Finanzierung</x:v>
      </x:c>
      <x:c r="F1839" s="5" t="str">
        <x:v>ui-hq-0017</x:v>
      </x:c>
      <x:c r="G1839" s="5" t="str">
        <x:v>Investitionsplanung und -rechnung</x:v>
      </x:c>
      <x:c r="H1839" s="5" t="str">
        <x:v>dg-hq-0147</x:v>
      </x:c>
      <x:c r="I1839" s="5" t="str">
        <x:v>6.1.2.3#3</x:v>
      </x:c>
      <x:c r="J1839" s="5" t="str">
        <x:v>Methode des internen Zinsfußes</x:v>
      </x:c>
      <x:c r="K1839" s="5" t="str"/>
      <x:c r="L1839" s="5" t="str">
        <x:v>Dynamische Investitionsrechnung &amp; Nutzungsdauer</x:v>
      </x:c>
      <x:c r="M1839" s="5" t="n">
        <x:v>23</x:v>
      </x:c>
      <x:c r="N1839" s="5" t="n">
        <x:v>7</x:v>
      </x:c>
      <x:c r="O1839" s="5" t="str"/>
      <x:c r="P1839" s="5" t="str">
        <x:v>Zuordnungsvorschlag; Fachfreigabe ausstehend</x:v>
      </x:c>
      <x:c r="Q1839" s="5" t="str">
        <x:v>Bestehendes Lernthema fachlich unter passendem Rahmenplan-Unterbereich behalten</x:v>
      </x:c>
      <x:c r="R1839" s="5" t="str">
        <x:v>Fallbezug: Die folgenden betrieblichen Angaben und Situationen beziehen sich auf die Circle Harbor GmbH.
Für ein Projekt wurde bei 8 % ein Kapitalwert von +12.000 € und bei 12 % ein Kapitalwert von −5.000 € ermittelt. Schätzen Sie den internen Zinsfuß durch lineare Interpolation.</x:v>
      </x:c>
      <x:c r="S1839" s="5" t="str">
        <x:v>9d420a2cd06368edd219c2d7d8af970c67bc76dc75668b718c7b489114fa9e87</x:v>
      </x:c>
    </x:row>
    <x:row r="1840" ht="36" customHeight="1">
      <x:c r="A1840" s="5" t="str">
        <x:v>IF-0027</x:v>
      </x:c>
      <x:c r="B1840" s="5" t="str">
        <x:v>HQ</x:v>
      </x:c>
      <x:c r="C1840" s="5" t="str">
        <x:v>6</x:v>
      </x:c>
      <x:c r="D1840" s="5" t="str">
        <x:v>Investition, Finanzierung, betriebliches Rechnungswesen und Controlling</x:v>
      </x:c>
      <x:c r="E1840" s="5" t="str">
        <x:v>Investition und Finanzierung</x:v>
      </x:c>
      <x:c r="F1840" s="5" t="str">
        <x:v>ui-hq-0017</x:v>
      </x:c>
      <x:c r="G1840" s="5" t="str">
        <x:v>Investitionsplanung und -rechnung</x:v>
      </x:c>
      <x:c r="H1840" s="5" t="str">
        <x:v>dg-hq-0147</x:v>
      </x:c>
      <x:c r="I1840" s="5" t="str">
        <x:v>6.1.2.3</x:v>
      </x:c>
      <x:c r="J1840" s="5" t="str">
        <x:v>Dynamische Investitionsrechnung</x:v>
      </x:c>
      <x:c r="K1840" s="5" t="str"/>
      <x:c r="L1840" s="5" t="str">
        <x:v>Dynamische Investitionsrechnung &amp; Nutzungsdauer</x:v>
      </x:c>
      <x:c r="M1840" s="5" t="n">
        <x:v>24</x:v>
      </x:c>
      <x:c r="N1840" s="5" t="n">
        <x:v>8</x:v>
      </x:c>
      <x:c r="O1840" s="5" t="str"/>
      <x:c r="P1840" s="5" t="str">
        <x:v>Zuordnungsvorschlag; Fachfreigabe ausstehend</x:v>
      </x:c>
      <x:c r="Q1840" s="5" t="str">
        <x:v>Bestehendes Lernthema fachlich unter passendem Rahmenplan-Unterbereich behalten</x:v>
      </x:c>
      <x:c r="R1840" s="5" t="str">
        <x:v>Fallbezug: Die folgenden betrieblichen Angaben und Situationen beziehen sich auf die Circle Harbor GmbH.
Eine Investition verursacht heute 100.000 € Auszahlung und liefert in den nächsten drei Jahren 40.000 €, 45.000 € und 50.000 €. Der interne Zinsfuß beträgt rund 15,98 %. Wie ist das Ergebnis bei einem Kalkulationszins von 10 % zu beurteilen?</x:v>
      </x:c>
      <x:c r="S1840" s="5" t="str">
        <x:v>bc80fd940b02f17e188e8231274d4bffbc43acf49c6d83e0b4fe9a637ef09046</x:v>
      </x:c>
    </x:row>
    <x:row r="1841" ht="36" customHeight="1">
      <x:c r="A1841" s="5" t="str">
        <x:v>IF-0028</x:v>
      </x:c>
      <x:c r="B1841" s="5" t="str">
        <x:v>HQ</x:v>
      </x:c>
      <x:c r="C1841" s="5" t="str">
        <x:v>6</x:v>
      </x:c>
      <x:c r="D1841" s="5" t="str">
        <x:v>Investition, Finanzierung, betriebliches Rechnungswesen und Controlling</x:v>
      </x:c>
      <x:c r="E1841" s="5" t="str">
        <x:v>Investition und Finanzierung</x:v>
      </x:c>
      <x:c r="F1841" s="5" t="str">
        <x:v>ui-hq-0017</x:v>
      </x:c>
      <x:c r="G1841" s="5" t="str">
        <x:v>Investitionsplanung und -rechnung</x:v>
      </x:c>
      <x:c r="H1841" s="5" t="str">
        <x:v>dg-hq-0147</x:v>
      </x:c>
      <x:c r="I1841" s="5" t="str">
        <x:v>6.1.2.3</x:v>
      </x:c>
      <x:c r="J1841" s="5" t="str">
        <x:v>Dynamische Investitionsrechnung</x:v>
      </x:c>
      <x:c r="K1841" s="5" t="str"/>
      <x:c r="L1841" s="5" t="str">
        <x:v>Dynamische Investitionsrechnung &amp; Nutzungsdauer</x:v>
      </x:c>
      <x:c r="M1841" s="5" t="n">
        <x:v>25</x:v>
      </x:c>
      <x:c r="N1841" s="5" t="n">
        <x:v>9</x:v>
      </x:c>
      <x:c r="O1841" s="5" t="str"/>
      <x:c r="P1841" s="5" t="str">
        <x:v>Zuordnungsvorschlag; Fachfreigabe ausstehend</x:v>
      </x:c>
      <x:c r="Q1841" s="5" t="str">
        <x:v>Bestehendes Lernthema fachlich unter passendem Rahmenplan-Unterbereich behalten</x:v>
      </x:c>
      <x:c r="R1841" s="5" t="str">
        <x:v>Nennen Sie mindestens drei wesentliche Unterschiede zwischen statischen und dynamischen Investitionsrechenverfahren.</x:v>
      </x:c>
      <x:c r="S1841" s="5" t="str">
        <x:v>c1f1982024a4b5af85f8969a34c817d2f7d606420913fa4935a47927a034ec2f</x:v>
      </x:c>
    </x:row>
    <x:row r="1842" ht="36" customHeight="1">
      <x:c r="A1842" s="5" t="str">
        <x:v>IF-0029</x:v>
      </x:c>
      <x:c r="B1842" s="5" t="str">
        <x:v>HQ</x:v>
      </x:c>
      <x:c r="C1842" s="5" t="str">
        <x:v>6</x:v>
      </x:c>
      <x:c r="D1842" s="5" t="str">
        <x:v>Investition, Finanzierung, betriebliches Rechnungswesen und Controlling</x:v>
      </x:c>
      <x:c r="E1842" s="5" t="str">
        <x:v>Investition und Finanzierung</x:v>
      </x:c>
      <x:c r="F1842" s="5" t="str">
        <x:v>ui-hq-0017</x:v>
      </x:c>
      <x:c r="G1842" s="5" t="str">
        <x:v>Investitionsplanung und -rechnung</x:v>
      </x:c>
      <x:c r="H1842" s="5" t="str">
        <x:v>dg-hq-0148</x:v>
      </x:c>
      <x:c r="I1842" s="5" t="str">
        <x:v>6.1.2.4</x:v>
      </x:c>
      <x:c r="J1842" s="5" t="str">
        <x:v>Wirtschaftliche Nutzungsdauer</x:v>
      </x:c>
      <x:c r="K1842" s="5" t="str"/>
      <x:c r="L1842" s="5" t="str">
        <x:v>Dynamische Investitionsrechnung &amp; Nutzungsdauer</x:v>
      </x:c>
      <x:c r="M1842" s="5" t="n">
        <x:v>26</x:v>
      </x:c>
      <x:c r="N1842" s="5" t="n">
        <x:v>1</x:v>
      </x:c>
      <x:c r="O1842" s="5" t="str"/>
      <x:c r="P1842" s="5" t="str">
        <x:v>Zuordnungsvorschlag; Fachfreigabe ausstehend</x:v>
      </x:c>
      <x:c r="Q1842" s="5" t="str">
        <x:v>Frageinhalt präzisiert bzw. teilt bisheriges Sammelthema</x:v>
      </x:c>
      <x:c r="R1842" s="5" t="str">
        <x:v>Unterscheiden Sie technische Nutzungsdauer, wirtschaftliche Nutzungsdauer und optimalen Ersatzzeitpunkt.</x:v>
      </x:c>
      <x:c r="S1842" s="5" t="str">
        <x:v>79f7514733ff3abd6957b03f14eba25affa1856cb7307d1e64380268556d4337</x:v>
      </x:c>
    </x:row>
    <x:row r="1843" ht="36" customHeight="1">
      <x:c r="A1843" s="5" t="str">
        <x:v>IF-0030</x:v>
      </x:c>
      <x:c r="B1843" s="5" t="str">
        <x:v>HQ</x:v>
      </x:c>
      <x:c r="C1843" s="5" t="str">
        <x:v>6</x:v>
      </x:c>
      <x:c r="D1843" s="5" t="str">
        <x:v>Investition, Finanzierung, betriebliches Rechnungswesen und Controlling</x:v>
      </x:c>
      <x:c r="E1843" s="5" t="str">
        <x:v>Investition und Finanzierung</x:v>
      </x:c>
      <x:c r="F1843" s="5" t="str">
        <x:v>ui-hq-0017</x:v>
      </x:c>
      <x:c r="G1843" s="5" t="str">
        <x:v>Investitionsplanung und -rechnung</x:v>
      </x:c>
      <x:c r="H1843" s="5" t="str">
        <x:v>dg-hq-0148</x:v>
      </x:c>
      <x:c r="I1843" s="5" t="str">
        <x:v>6.1.2.4</x:v>
      </x:c>
      <x:c r="J1843" s="5" t="str">
        <x:v>Wirtschaftliche Nutzungsdauer</x:v>
      </x:c>
      <x:c r="K1843" s="5" t="str"/>
      <x:c r="L1843" s="5" t="str">
        <x:v>Dynamische Investitionsrechnung &amp; Nutzungsdauer</x:v>
      </x:c>
      <x:c r="M1843" s="5" t="n">
        <x:v>27</x:v>
      </x:c>
      <x:c r="N1843" s="5" t="n">
        <x:v>2</x:v>
      </x:c>
      <x:c r="O1843" s="5" t="str"/>
      <x:c r="P1843" s="5" t="str">
        <x:v>Zuordnungsvorschlag; Fachfreigabe ausstehend</x:v>
      </x:c>
      <x:c r="Q1843" s="5" t="str">
        <x:v>Frageinhalt präzisiert bzw. teilt bisheriges Sammelthema</x:v>
      </x:c>
      <x:c r="R1843" s="5" t="str">
        <x:v>Fallbezug: Die folgenden betrieblichen Angaben und Situationen beziehen sich auf die Circle Harbor GmbH.
Für eine Anlage wurden durchschnittliche Jahreskosten bei unterschiedlicher Nutzungsdauer ermittelt: 1 Jahr 32.000 €, 2 Jahre 27.000 €, 3 Jahre 24.000 €, 4 Jahre 25.000 €, 5 Jahre 28.000 €. Welche wirtschaftliche Nutzungsdauer ist nach dem Durchschnittskostenkriterium optimal?</x:v>
      </x:c>
      <x:c r="S1843" s="5" t="str">
        <x:v>7d4a200f013a08eff5e3a8a0aaea4737446d3338e70c579bb438e2ecabedf8c9</x:v>
      </x:c>
    </x:row>
    <x:row r="1844" ht="36" customHeight="1">
      <x:c r="A1844" s="5" t="str">
        <x:v>IF-0031</x:v>
      </x:c>
      <x:c r="B1844" s="5" t="str">
        <x:v>HQ</x:v>
      </x:c>
      <x:c r="C1844" s="5" t="str">
        <x:v>6</x:v>
      </x:c>
      <x:c r="D1844" s="5" t="str">
        <x:v>Investition, Finanzierung, betriebliches Rechnungswesen und Controlling</x:v>
      </x:c>
      <x:c r="E1844" s="5" t="str">
        <x:v>Investition und Finanzierung</x:v>
      </x:c>
      <x:c r="F1844" s="5" t="str">
        <x:v>ui-hq-0018</x:v>
      </x:c>
      <x:c r="G1844" s="5" t="str">
        <x:v>Finanzplanung und Ermittlung des Finanzbedarfs</x:v>
      </x:c>
      <x:c r="H1844" s="5" t="str">
        <x:v>dg-hq-0144</x:v>
      </x:c>
      <x:c r="I1844" s="5" t="str">
        <x:v>6.2.1</x:v>
      </x:c>
      <x:c r="J1844" s="5" t="str">
        <x:v>Kapitalbedarfsplanung</x:v>
      </x:c>
      <x:c r="K1844" s="5" t="str"/>
      <x:c r="L1844" s="5" t="str">
        <x:v>Kapitalbedarfs-, Finanz- &amp; Liquiditätsplanung</x:v>
      </x:c>
      <x:c r="M1844" s="5" t="n">
        <x:v>4</x:v>
      </x:c>
      <x:c r="N1844" s="5" t="n">
        <x:v>4</x:v>
      </x:c>
      <x:c r="O1844" s="5" t="str"/>
      <x:c r="P1844" s="5" t="str">
        <x:v>Zuordnungsvorschlag; Fachfreigabe ausstehend</x:v>
      </x:c>
      <x:c r="Q1844" s="5" t="str">
        <x:v>Bestehendes Lernthema fachlich unter passendem Rahmenplan-Unterbereich behalten</x:v>
      </x:c>
      <x:c r="R1844" s="5" t="str">
        <x:v>Circle Harbor benötigt 500.000 € betriebsnotwendiges Anlagevermögen und durchschnittlich 220.000 € betriebsnotwendiges Umlaufvermögen. Zinsfrei zur Verfügung stehendes Abzugskapital beträgt 90.000 €. Berechnen Sie das betriebsnotwendige Kapital.</x:v>
      </x:c>
      <x:c r="S1844" s="5" t="str">
        <x:v>44a6eb4b679a40238b8cdf341969f7703dbaa96b6398f4521dc0deda737993fe</x:v>
      </x:c>
    </x:row>
    <x:row r="1845" ht="36" customHeight="1">
      <x:c r="A1845" s="5" t="str">
        <x:v>IF-0032</x:v>
      </x:c>
      <x:c r="B1845" s="5" t="str">
        <x:v>HQ</x:v>
      </x:c>
      <x:c r="C1845" s="5" t="str">
        <x:v>6</x:v>
      </x:c>
      <x:c r="D1845" s="5" t="str">
        <x:v>Investition, Finanzierung, betriebliches Rechnungswesen und Controlling</x:v>
      </x:c>
      <x:c r="E1845" s="5" t="str">
        <x:v>Investition und Finanzierung</x:v>
      </x:c>
      <x:c r="F1845" s="5" t="str">
        <x:v>ui-hq-0018</x:v>
      </x:c>
      <x:c r="G1845" s="5" t="str">
        <x:v>Finanzplanung und Ermittlung des Finanzbedarfs</x:v>
      </x:c>
      <x:c r="H1845" s="5" t="str">
        <x:v>dg-hq-0144</x:v>
      </x:c>
      <x:c r="I1845" s="5" t="str">
        <x:v>6.2.1</x:v>
      </x:c>
      <x:c r="J1845" s="5" t="str">
        <x:v>Kapitalbedarfsplanung</x:v>
      </x:c>
      <x:c r="K1845" s="5" t="str"/>
      <x:c r="L1845" s="5" t="str">
        <x:v>Kapitalbedarfs-, Finanz- &amp; Liquiditätsplanung</x:v>
      </x:c>
      <x:c r="M1845" s="5" t="n">
        <x:v>5</x:v>
      </x:c>
      <x:c r="N1845" s="5" t="n">
        <x:v>5</x:v>
      </x:c>
      <x:c r="O1845" s="5" t="str"/>
      <x:c r="P1845" s="5" t="str">
        <x:v>Zuordnungsvorschlag; Fachfreigabe ausstehend</x:v>
      </x:c>
      <x:c r="Q1845" s="5" t="str">
        <x:v>Bestehendes Lernthema fachlich unter passendem Rahmenplan-Unterbereich behalten</x:v>
      </x:c>
      <x:c r="R1845" s="5" t="str">
        <x:v>Circle Harbor startet mit 20.000 € liquiden Mitteln. Tag 1: Einzahlungen 80.000 €, Auszahlungen 70.000 €. Tag 2: Einzahlungen 50.000 €, Auszahlungen 75.000 €. Tag 3: Einzahlungen 90.000 €, Auszahlungen 60.000 €. Ermitteln Sie die täglichen Schlussbestände.</x:v>
      </x:c>
      <x:c r="S1845" s="5" t="str">
        <x:v>ab3e206d2ac4fc166e39fe99295e7a57662b7329806b7f5bbb857efb7f480438</x:v>
      </x:c>
    </x:row>
    <x:row r="1846" ht="36" customHeight="1">
      <x:c r="A1846" s="5" t="str">
        <x:v>IF-0033</x:v>
      </x:c>
      <x:c r="B1846" s="5" t="str">
        <x:v>HQ</x:v>
      </x:c>
      <x:c r="C1846" s="5" t="str">
        <x:v>6</x:v>
      </x:c>
      <x:c r="D1846" s="5" t="str">
        <x:v>Investition, Finanzierung, betriebliches Rechnungswesen und Controlling</x:v>
      </x:c>
      <x:c r="E1846" s="5" t="str">
        <x:v>Investition und Finanzierung</x:v>
      </x:c>
      <x:c r="F1846" s="5" t="str">
        <x:v>ui-hq-0018</x:v>
      </x:c>
      <x:c r="G1846" s="5" t="str">
        <x:v>Finanzplanung und Ermittlung des Finanzbedarfs</x:v>
      </x:c>
      <x:c r="H1846" s="5" t="str">
        <x:v>dg-hq-0144</x:v>
      </x:c>
      <x:c r="I1846" s="5" t="str">
        <x:v>6.2.1</x:v>
      </x:c>
      <x:c r="J1846" s="5" t="str">
        <x:v>Kapitalbedarfsplanung</x:v>
      </x:c>
      <x:c r="K1846" s="5" t="str"/>
      <x:c r="L1846" s="5" t="str">
        <x:v>Kapitalbedarfs-, Finanz- &amp; Liquiditätsplanung</x:v>
      </x:c>
      <x:c r="M1846" s="5" t="n">
        <x:v>6</x:v>
      </x:c>
      <x:c r="N1846" s="5" t="n">
        <x:v>6</x:v>
      </x:c>
      <x:c r="O1846" s="5" t="str"/>
      <x:c r="P1846" s="5" t="str">
        <x:v>Zuordnungsvorschlag; Fachfreigabe ausstehend</x:v>
      </x:c>
      <x:c r="Q1846" s="5" t="str">
        <x:v>Bestehendes Lernthema fachlich unter passendem Rahmenplan-Unterbereich behalten</x:v>
      </x:c>
      <x:c r="R1846" s="5" t="str">
        <x:v>Beurteilen Sie Aussagen zur Kapitalbedarfsplanung und zur Kapitalbindung.</x:v>
      </x:c>
      <x:c r="S1846" s="5" t="str">
        <x:v>fc902d9c2bb7c5d60e5a7bdea964913c410a0b2251fb92c97ac8c1bd460474ad</x:v>
      </x:c>
    </x:row>
    <x:row r="1847" ht="36" customHeight="1">
      <x:c r="A1847" s="5" t="str">
        <x:v>IF-0034</x:v>
      </x:c>
      <x:c r="B1847" s="5" t="str">
        <x:v>HQ</x:v>
      </x:c>
      <x:c r="C1847" s="5" t="str">
        <x:v>6</x:v>
      </x:c>
      <x:c r="D1847" s="5" t="str">
        <x:v>Investition, Finanzierung, betriebliches Rechnungswesen und Controlling</x:v>
      </x:c>
      <x:c r="E1847" s="5" t="str">
        <x:v>Investition und Finanzierung</x:v>
      </x:c>
      <x:c r="F1847" s="5" t="str">
        <x:v>ui-hq-0018</x:v>
      </x:c>
      <x:c r="G1847" s="5" t="str">
        <x:v>Finanzplanung und Ermittlung des Finanzbedarfs</x:v>
      </x:c>
      <x:c r="H1847" s="5" t="str">
        <x:v>dg-hq-0149</x:v>
      </x:c>
      <x:c r="I1847" s="5" t="str">
        <x:v>6.2.3</x:v>
      </x:c>
      <x:c r="J1847" s="5" t="str">
        <x:v>Liquiditätsplanung</x:v>
      </x:c>
      <x:c r="K1847" s="5" t="str"/>
      <x:c r="L1847" s="5" t="str">
        <x:v>Kapitalbedarfs-, Finanz- &amp; Liquiditätsplanung</x:v>
      </x:c>
      <x:c r="M1847" s="5" t="n">
        <x:v>7</x:v>
      </x:c>
      <x:c r="N1847" s="5" t="n">
        <x:v>1</x:v>
      </x:c>
      <x:c r="O1847" s="5" t="str"/>
      <x:c r="P1847" s="5" t="str">
        <x:v>Zuordnungsvorschlag; Fachfreigabe ausstehend</x:v>
      </x:c>
      <x:c r="Q1847" s="5" t="str">
        <x:v>Frageinhalt präzisiert bzw. teilt bisheriges Sammelthema</x:v>
      </x:c>
      <x:c r="R1847" s="5" t="str">
        <x:v>Fallbezug: Die folgenden betrieblichen Angaben und Situationen beziehen sich auf die Circle Harbor GmbH.
Für einen dreimonatigen Liquiditätsplan stehen zu Beginn 150.000 € zur Verfügung. Juni: Einzahlungen 200.000 €, Auszahlungen 180.000 €. Juli: Einzahlungen 220.000 €, Auszahlungen 250.000 €. August: Einzahlungen 260.000 €, Auszahlungen 210.000 €. Berechnen Sie die Monatsendbestände.</x:v>
      </x:c>
      <x:c r="S1847" s="5" t="str">
        <x:v>3e1408b26962e5f61bc0fcda485fa5bceaefb905b206b5306f9c5162ca5b60f6</x:v>
      </x:c>
    </x:row>
    <x:row r="1848" ht="36" customHeight="1">
      <x:c r="A1848" s="5" t="str">
        <x:v>IF-0035</x:v>
      </x:c>
      <x:c r="B1848" s="5" t="str">
        <x:v>HQ</x:v>
      </x:c>
      <x:c r="C1848" s="5" t="str">
        <x:v>6</x:v>
      </x:c>
      <x:c r="D1848" s="5" t="str">
        <x:v>Investition, Finanzierung, betriebliches Rechnungswesen und Controlling</x:v>
      </x:c>
      <x:c r="E1848" s="5" t="str">
        <x:v>Investition und Finanzierung</x:v>
      </x:c>
      <x:c r="F1848" s="5" t="str">
        <x:v>ui-hq-0018</x:v>
      </x:c>
      <x:c r="G1848" s="5" t="str">
        <x:v>Finanzplanung und Ermittlung des Finanzbedarfs</x:v>
      </x:c>
      <x:c r="H1848" s="5" t="str">
        <x:v>dg-hq-0150</x:v>
      </x:c>
      <x:c r="I1848" s="5" t="str">
        <x:v>6.2.2</x:v>
      </x:c>
      <x:c r="J1848" s="5" t="str">
        <x:v>Finanzierungsplanung</x:v>
      </x:c>
      <x:c r="K1848" s="5" t="str"/>
      <x:c r="L1848" s="5" t="str">
        <x:v>Kapitalstruktur, Finanzierungsregeln &amp; Leverage</x:v>
      </x:c>
      <x:c r="M1848" s="5" t="n">
        <x:v>8</x:v>
      </x:c>
      <x:c r="N1848" s="5" t="n">
        <x:v>1</x:v>
      </x:c>
      <x:c r="O1848" s="5" t="str"/>
      <x:c r="P1848" s="5" t="str">
        <x:v>Zuordnungsvorschlag; Fachfreigabe ausstehend</x:v>
      </x:c>
      <x:c r="Q1848" s="5" t="str">
        <x:v>Bestehendes Lernthema fachlich unter passendem Rahmenplan-Unterbereich behalten</x:v>
      </x:c>
      <x:c r="R1848" s="5" t="str">
        <x:v>Was sagt die Eigenkapitalquote aus und warum kann ein sinnvoller Zielwert je nach Branche unterschiedlich sein?</x:v>
      </x:c>
      <x:c r="S1848" s="5" t="str">
        <x:v>2f363821b3300cd159f1eea0f72dbf38deb88fcfe856a3a57b1ec2d99b07aa29</x:v>
      </x:c>
    </x:row>
    <x:row r="1849" ht="36" customHeight="1">
      <x:c r="A1849" s="5" t="str">
        <x:v>IF-0036</x:v>
      </x:c>
      <x:c r="B1849" s="5" t="str">
        <x:v>HQ</x:v>
      </x:c>
      <x:c r="C1849" s="5" t="str">
        <x:v>6</x:v>
      </x:c>
      <x:c r="D1849" s="5" t="str">
        <x:v>Investition, Finanzierung, betriebliches Rechnungswesen und Controlling</x:v>
      </x:c>
      <x:c r="E1849" s="5" t="str">
        <x:v>Investition und Finanzierung</x:v>
      </x:c>
      <x:c r="F1849" s="5" t="str">
        <x:v>ui-hq-0018</x:v>
      </x:c>
      <x:c r="G1849" s="5" t="str">
        <x:v>Finanzplanung und Ermittlung des Finanzbedarfs</x:v>
      </x:c>
      <x:c r="H1849" s="5" t="str">
        <x:v>dg-hq-0150</x:v>
      </x:c>
      <x:c r="I1849" s="5" t="str">
        <x:v>6.2.2</x:v>
      </x:c>
      <x:c r="J1849" s="5" t="str">
        <x:v>Finanzierungsplanung</x:v>
      </x:c>
      <x:c r="K1849" s="5" t="str"/>
      <x:c r="L1849" s="5" t="str">
        <x:v>Kapitalstruktur, Finanzierungsregeln &amp; Leverage</x:v>
      </x:c>
      <x:c r="M1849" s="5" t="n">
        <x:v>9</x:v>
      </x:c>
      <x:c r="N1849" s="5" t="n">
        <x:v>2</x:v>
      </x:c>
      <x:c r="O1849" s="5" t="str"/>
      <x:c r="P1849" s="5" t="str">
        <x:v>Zuordnungsvorschlag; Fachfreigabe ausstehend</x:v>
      </x:c>
      <x:c r="Q1849" s="5" t="str">
        <x:v>Bestehendes Lernthema fachlich unter passendem Rahmenplan-Unterbereich behalten</x:v>
      </x:c>
      <x:c r="R1849" s="5" t="str">
        <x:v>Welche typischen Merkmale unterscheiden Eigenfinanzierung und Fremdfinanzierung?</x:v>
      </x:c>
      <x:c r="S1849" s="5" t="str">
        <x:v>4eb71367f10d941256fc00b64388a8ec5f91cc7197e2d7d4558159bc85646fc3</x:v>
      </x:c>
    </x:row>
    <x:row r="1850" ht="36" customHeight="1">
      <x:c r="A1850" s="5" t="str">
        <x:v>IF-0037</x:v>
      </x:c>
      <x:c r="B1850" s="5" t="str">
        <x:v>HQ</x:v>
      </x:c>
      <x:c r="C1850" s="5" t="str">
        <x:v>6</x:v>
      </x:c>
      <x:c r="D1850" s="5" t="str">
        <x:v>Investition, Finanzierung, betriebliches Rechnungswesen und Controlling</x:v>
      </x:c>
      <x:c r="E1850" s="5" t="str">
        <x:v>Investition und Finanzierung</x:v>
      </x:c>
      <x:c r="F1850" s="5" t="str">
        <x:v>ui-hq-0018</x:v>
      </x:c>
      <x:c r="G1850" s="5" t="str">
        <x:v>Finanzplanung und Ermittlung des Finanzbedarfs</x:v>
      </x:c>
      <x:c r="H1850" s="5" t="str">
        <x:v>dg-hq-0150</x:v>
      </x:c>
      <x:c r="I1850" s="5" t="str">
        <x:v>6.2.2</x:v>
      </x:c>
      <x:c r="J1850" s="5" t="str">
        <x:v>Finanzierungsplanung</x:v>
      </x:c>
      <x:c r="K1850" s="5" t="str"/>
      <x:c r="L1850" s="5" t="str">
        <x:v>Kapitalstruktur, Finanzierungsregeln &amp; Leverage</x:v>
      </x:c>
      <x:c r="M1850" s="5" t="n">
        <x:v>10</x:v>
      </x:c>
      <x:c r="N1850" s="5" t="n">
        <x:v>3</x:v>
      </x:c>
      <x:c r="O1850" s="5" t="str"/>
      <x:c r="P1850" s="5" t="str">
        <x:v>Zuordnungsvorschlag; Fachfreigabe ausstehend</x:v>
      </x:c>
      <x:c r="Q1850" s="5" t="str">
        <x:v>Bestehendes Lernthema fachlich unter passendem Rahmenplan-Unterbereich behalten</x:v>
      </x:c>
      <x:c r="R1850" s="5" t="str">
        <x:v>Welche typischen Regelungen sind bei der Bereitstellung von Eigenkapital durch Gesellschafter hinsichtlich Haftung, Mitsprache, Laufzeit und Vergütung zu beachten?</x:v>
      </x:c>
      <x:c r="S1850" s="5" t="str">
        <x:v>28c69f48f7c3df77ce9921ce1e36ad253c95814a19c57887457489828fc1fccb</x:v>
      </x:c>
    </x:row>
    <x:row r="1851" ht="36" customHeight="1">
      <x:c r="A1851" s="5" t="str">
        <x:v>IF-0038</x:v>
      </x:c>
      <x:c r="B1851" s="5" t="str">
        <x:v>HQ</x:v>
      </x:c>
      <x:c r="C1851" s="5" t="str">
        <x:v>6</x:v>
      </x:c>
      <x:c r="D1851" s="5" t="str">
        <x:v>Investition, Finanzierung, betriebliches Rechnungswesen und Controlling</x:v>
      </x:c>
      <x:c r="E1851" s="5" t="str">
        <x:v>Investition und Finanzierung</x:v>
      </x:c>
      <x:c r="F1851" s="5" t="str">
        <x:v>ui-hq-0018</x:v>
      </x:c>
      <x:c r="G1851" s="5" t="str">
        <x:v>Finanzplanung und Ermittlung des Finanzbedarfs</x:v>
      </x:c>
      <x:c r="H1851" s="5" t="str">
        <x:v>dg-hq-0151</x:v>
      </x:c>
      <x:c r="I1851" s="5" t="str">
        <x:v>6.2.2.4</x:v>
      </x:c>
      <x:c r="J1851" s="5" t="str">
        <x:v>Sicherheiten</x:v>
      </x:c>
      <x:c r="K1851" s="5" t="str"/>
      <x:c r="L1851" s="5" t="str">
        <x:v>Kreditsicherheiten</x:v>
      </x:c>
      <x:c r="M1851" s="5" t="n">
        <x:v>11</x:v>
      </x:c>
      <x:c r="N1851" s="5" t="n">
        <x:v>1</x:v>
      </x:c>
      <x:c r="O1851" s="5" t="str"/>
      <x:c r="P1851" s="5" t="str">
        <x:v>Zuordnungsvorschlag; Fachfreigabe ausstehend</x:v>
      </x:c>
      <x:c r="Q1851" s="5" t="str">
        <x:v>Bestehendes Lernthema fachlich unter passendem Rahmenplan-Unterbereich behalten</x:v>
      </x:c>
      <x:c r="R1851" s="5" t="str">
        <x:v>Was versteht man unter Kreditsicherheiten und worin unterscheidet sich eine akzessorische von einer nicht akzessorischen Sicherheit?</x:v>
      </x:c>
      <x:c r="S1851" s="5" t="str">
        <x:v>424673ef71cdad49d12436f7a2240119fa8b7cd1802a11ddcbd2ecc05f3593bf</x:v>
      </x:c>
    </x:row>
    <x:row r="1852" ht="36" customHeight="1">
      <x:c r="A1852" s="5" t="str">
        <x:v>IF-0039</x:v>
      </x:c>
      <x:c r="B1852" s="5" t="str">
        <x:v>HQ</x:v>
      </x:c>
      <x:c r="C1852" s="5" t="str">
        <x:v>6</x:v>
      </x:c>
      <x:c r="D1852" s="5" t="str">
        <x:v>Investition, Finanzierung, betriebliches Rechnungswesen und Controlling</x:v>
      </x:c>
      <x:c r="E1852" s="5" t="str">
        <x:v>Investition und Finanzierung</x:v>
      </x:c>
      <x:c r="F1852" s="5" t="str">
        <x:v>ui-hq-0018</x:v>
      </x:c>
      <x:c r="G1852" s="5" t="str">
        <x:v>Finanzplanung und Ermittlung des Finanzbedarfs</x:v>
      </x:c>
      <x:c r="H1852" s="5" t="str">
        <x:v>dg-hq-0151</x:v>
      </x:c>
      <x:c r="I1852" s="5" t="str">
        <x:v>6.2.2.4</x:v>
      </x:c>
      <x:c r="J1852" s="5" t="str">
        <x:v>Sicherheiten</x:v>
      </x:c>
      <x:c r="K1852" s="5" t="str"/>
      <x:c r="L1852" s="5" t="str">
        <x:v>Kreditsicherheiten</x:v>
      </x:c>
      <x:c r="M1852" s="5" t="n">
        <x:v>12</x:v>
      </x:c>
      <x:c r="N1852" s="5" t="n">
        <x:v>2</x:v>
      </x:c>
      <x:c r="O1852" s="5" t="str"/>
      <x:c r="P1852" s="5" t="str">
        <x:v>Zuordnungsvorschlag; Fachfreigabe ausstehend</x:v>
      </x:c>
      <x:c r="Q1852" s="5" t="str">
        <x:v>Bestehendes Lernthema fachlich unter passendem Rahmenplan-Unterbereich behalten</x:v>
      </x:c>
      <x:c r="R1852" s="5" t="str">
        <x:v>Unterscheiden Sie Hypothek und Grundschuld als Grundpfandrechte.</x:v>
      </x:c>
      <x:c r="S1852" s="5" t="str">
        <x:v>0cada180e48a3c71c10faf5fa80a0c7eb6f4ff33cc1e75fff3fc815050982dc6</x:v>
      </x:c>
    </x:row>
    <x:row r="1853" ht="36" customHeight="1">
      <x:c r="A1853" s="5" t="str">
        <x:v>IF-0040</x:v>
      </x:c>
      <x:c r="B1853" s="5" t="str">
        <x:v>HQ</x:v>
      </x:c>
      <x:c r="C1853" s="5" t="str">
        <x:v>6</x:v>
      </x:c>
      <x:c r="D1853" s="5" t="str">
        <x:v>Investition, Finanzierung, betriebliches Rechnungswesen und Controlling</x:v>
      </x:c>
      <x:c r="E1853" s="5" t="str">
        <x:v>Investition und Finanzierung</x:v>
      </x:c>
      <x:c r="F1853" s="5" t="str">
        <x:v>ui-hq-0018</x:v>
      </x:c>
      <x:c r="G1853" s="5" t="str">
        <x:v>Finanzplanung und Ermittlung des Finanzbedarfs</x:v>
      </x:c>
      <x:c r="H1853" s="5" t="str">
        <x:v>dg-hq-0151</x:v>
      </x:c>
      <x:c r="I1853" s="5" t="str">
        <x:v>6.2.2.4#1</x:v>
      </x:c>
      <x:c r="J1853" s="5" t="str">
        <x:v>Sicherungsübereignung</x:v>
      </x:c>
      <x:c r="K1853" s="5" t="str"/>
      <x:c r="L1853" s="5" t="str">
        <x:v>Kreditsicherheiten</x:v>
      </x:c>
      <x:c r="M1853" s="5" t="n">
        <x:v>13</x:v>
      </x:c>
      <x:c r="N1853" s="5" t="n">
        <x:v>3</x:v>
      </x:c>
      <x:c r="O1853" s="5" t="str"/>
      <x:c r="P1853" s="5" t="str">
        <x:v>Zuordnungsvorschlag; Fachfreigabe ausstehend</x:v>
      </x:c>
      <x:c r="Q1853" s="5" t="str">
        <x:v>Bestehendes Lernthema fachlich unter passendem Rahmenplan-Unterbereich behalten</x:v>
      </x:c>
      <x:c r="R1853" s="5" t="str">
        <x:v>Erläutern Sie die Sicherungsübereignung, den Eigentumsvorbehalt und die Sicherungsabtretung jeweils in einem Satz.</x:v>
      </x:c>
      <x:c r="S1853" s="5" t="str">
        <x:v>b970c7e6b1b107ba0949896a6a81430b1e5f3b6fe66ee6037b383349436c1e7e</x:v>
      </x:c>
    </x:row>
    <x:row r="1854" ht="36" customHeight="1">
      <x:c r="A1854" s="5" t="str">
        <x:v>IF-0041</x:v>
      </x:c>
      <x:c r="B1854" s="5" t="str">
        <x:v>HQ</x:v>
      </x:c>
      <x:c r="C1854" s="5" t="str">
        <x:v>6</x:v>
      </x:c>
      <x:c r="D1854" s="5" t="str">
        <x:v>Investition, Finanzierung, betriebliches Rechnungswesen und Controlling</x:v>
      </x:c>
      <x:c r="E1854" s="5" t="str">
        <x:v>Investition und Finanzierung</x:v>
      </x:c>
      <x:c r="F1854" s="5" t="str">
        <x:v>ui-hq-0018</x:v>
      </x:c>
      <x:c r="G1854" s="5" t="str">
        <x:v>Finanzplanung und Ermittlung des Finanzbedarfs</x:v>
      </x:c>
      <x:c r="H1854" s="5" t="str">
        <x:v>dg-hq-0151</x:v>
      </x:c>
      <x:c r="I1854" s="5" t="str">
        <x:v>6.2.2.4</x:v>
      </x:c>
      <x:c r="J1854" s="5" t="str">
        <x:v>Sicherheiten</x:v>
      </x:c>
      <x:c r="K1854" s="5" t="str"/>
      <x:c r="L1854" s="5" t="str">
        <x:v>Kreditsicherheiten</x:v>
      </x:c>
      <x:c r="M1854" s="5" t="n">
        <x:v>14</x:v>
      </x:c>
      <x:c r="N1854" s="5" t="n">
        <x:v>4</x:v>
      </x:c>
      <x:c r="O1854" s="5" t="str"/>
      <x:c r="P1854" s="5" t="str">
        <x:v>Zuordnungsvorschlag; Fachfreigabe ausstehend</x:v>
      </x:c>
      <x:c r="Q1854" s="5" t="str">
        <x:v>Bestehendes Lernthema fachlich unter passendem Rahmenplan-Unterbereich behalten</x:v>
      </x:c>
      <x:c r="R1854" s="5" t="str">
        <x:v>Welche Bilanzpositionen eignen sich typischerweise zur Besicherung eines Kredits? Nennen Sie zu Grundstücken, Maschinen, Wertpapieren und Forderungen jeweils eine passende Sicherungsform.</x:v>
      </x:c>
      <x:c r="S1854" s="5" t="str">
        <x:v>aeeda89177a86fb997e440b4200cc88d14508376320af4f45f76b951e69f689f</x:v>
      </x:c>
    </x:row>
    <x:row r="1855" ht="36" customHeight="1">
      <x:c r="A1855" s="5" t="str">
        <x:v>IF-0042</x:v>
      </x:c>
      <x:c r="B1855" s="5" t="str">
        <x:v>HQ</x:v>
      </x:c>
      <x:c r="C1855" s="5" t="str">
        <x:v>6</x:v>
      </x:c>
      <x:c r="D1855" s="5" t="str">
        <x:v>Investition, Finanzierung, betriebliches Rechnungswesen und Controlling</x:v>
      </x:c>
      <x:c r="E1855" s="5" t="str">
        <x:v>Investition und Finanzierung</x:v>
      </x:c>
      <x:c r="F1855" s="5" t="str">
        <x:v>ui-hq-0018</x:v>
      </x:c>
      <x:c r="G1855" s="5" t="str">
        <x:v>Finanzplanung und Ermittlung des Finanzbedarfs</x:v>
      </x:c>
      <x:c r="H1855" s="5" t="str">
        <x:v>dg-hq-0151</x:v>
      </x:c>
      <x:c r="I1855" s="5" t="str">
        <x:v>6.2.2.4#1</x:v>
      </x:c>
      <x:c r="J1855" s="5" t="str">
        <x:v>Sicherungsübereignung</x:v>
      </x:c>
      <x:c r="K1855" s="5" t="str"/>
      <x:c r="L1855" s="5" t="str">
        <x:v>Kreditsicherheiten</x:v>
      </x:c>
      <x:c r="M1855" s="5" t="n">
        <x:v>15</x:v>
      </x:c>
      <x:c r="N1855" s="5" t="n">
        <x:v>5</x:v>
      </x:c>
      <x:c r="O1855" s="5" t="str"/>
      <x:c r="P1855" s="5" t="str">
        <x:v>Zuordnungsvorschlag; Fachfreigabe ausstehend</x:v>
      </x:c>
      <x:c r="Q1855" s="5" t="str">
        <x:v>Bestehendes Lernthema fachlich unter passendem Rahmenplan-Unterbereich behalten</x:v>
      </x:c>
      <x:c r="R1855" s="5" t="str">
        <x:v>Welche Aussagen zu Verpfändung und Sicherungsübereignung treffen zu?</x:v>
      </x:c>
      <x:c r="S1855" s="5" t="str">
        <x:v>1a3076506ce21360687337c9186adff9acfb1976a84661a7c1e380495fcbb291</x:v>
      </x:c>
    </x:row>
    <x:row r="1856" ht="36" customHeight="1">
      <x:c r="A1856" s="5" t="str">
        <x:v>IF-0043</x:v>
      </x:c>
      <x:c r="B1856" s="5" t="str">
        <x:v>HQ</x:v>
      </x:c>
      <x:c r="C1856" s="5" t="str">
        <x:v>6</x:v>
      </x:c>
      <x:c r="D1856" s="5" t="str">
        <x:v>Investition, Finanzierung, betriebliches Rechnungswesen und Controlling</x:v>
      </x:c>
      <x:c r="E1856" s="5" t="str">
        <x:v>Investition und Finanzierung</x:v>
      </x:c>
      <x:c r="F1856" s="5" t="str">
        <x:v>ui-hq-0018</x:v>
      </x:c>
      <x:c r="G1856" s="5" t="str">
        <x:v>Finanzplanung und Ermittlung des Finanzbedarfs</x:v>
      </x:c>
      <x:c r="H1856" s="5" t="str">
        <x:v>dg-hq-0151</x:v>
      </x:c>
      <x:c r="I1856" s="5" t="str">
        <x:v>6.2.2.4</x:v>
      </x:c>
      <x:c r="J1856" s="5" t="str">
        <x:v>Sicherheiten</x:v>
      </x:c>
      <x:c r="K1856" s="5" t="str"/>
      <x:c r="L1856" s="5" t="str">
        <x:v>Kreditsicherheiten</x:v>
      </x:c>
      <x:c r="M1856" s="5" t="n">
        <x:v>16</x:v>
      </x:c>
      <x:c r="N1856" s="5" t="n">
        <x:v>6</x:v>
      </x:c>
      <x:c r="O1856" s="5" t="str"/>
      <x:c r="P1856" s="5" t="str">
        <x:v>Zuordnungsvorschlag; Fachfreigabe ausstehend</x:v>
      </x:c>
      <x:c r="Q1856" s="5" t="str">
        <x:v>Bestehendes Lernthema fachlich unter passendem Rahmenplan-Unterbereich behalten</x:v>
      </x:c>
      <x:c r="R1856" s="5" t="str">
        <x:v>Erklären Sie einfachen und verlängerten Eigentumsvorbehalt.</x:v>
      </x:c>
      <x:c r="S1856" s="5" t="str">
        <x:v>a51cf4c394399dd6e2f0b78c69517d887b7c644f3f46263c0026d21d13df8a1e</x:v>
      </x:c>
    </x:row>
    <x:row r="1857" ht="36" customHeight="1">
      <x:c r="A1857" s="5" t="str">
        <x:v>IF-0044</x:v>
      </x:c>
      <x:c r="B1857" s="5" t="str">
        <x:v>HQ</x:v>
      </x:c>
      <x:c r="C1857" s="5" t="str">
        <x:v>6</x:v>
      </x:c>
      <x:c r="D1857" s="5" t="str">
        <x:v>Investition, Finanzierung, betriebliches Rechnungswesen und Controlling</x:v>
      </x:c>
      <x:c r="E1857" s="5" t="str">
        <x:v>Investition und Finanzierung</x:v>
      </x:c>
      <x:c r="F1857" s="5" t="str">
        <x:v>ui-hq-0018</x:v>
      </x:c>
      <x:c r="G1857" s="5" t="str">
        <x:v>Finanzplanung und Ermittlung des Finanzbedarfs</x:v>
      </x:c>
      <x:c r="H1857" s="5" t="str">
        <x:v>dg-hq-0151</x:v>
      </x:c>
      <x:c r="I1857" s="5" t="str">
        <x:v>6.2.2.4</x:v>
      </x:c>
      <x:c r="J1857" s="5" t="str">
        <x:v>Sicherheiten</x:v>
      </x:c>
      <x:c r="K1857" s="5" t="str"/>
      <x:c r="L1857" s="5" t="str">
        <x:v>Kreditsicherheiten</x:v>
      </x:c>
      <x:c r="M1857" s="5" t="n">
        <x:v>17</x:v>
      </x:c>
      <x:c r="N1857" s="5" t="n">
        <x:v>7</x:v>
      </x:c>
      <x:c r="O1857" s="5" t="str"/>
      <x:c r="P1857" s="5" t="str">
        <x:v>Zuordnungsvorschlag; Fachfreigabe ausstehend</x:v>
      </x:c>
      <x:c r="Q1857" s="5" t="str">
        <x:v>Bestehendes Lernthema fachlich unter passendem Rahmenplan-Unterbereich behalten</x:v>
      </x:c>
      <x:c r="R1857" s="5" t="str">
        <x:v>Welche Sicherungsform eignet sich typischerweise für Grundstücke, Maschinen, Wertpapiere und Kundenforderungen?</x:v>
      </x:c>
      <x:c r="S1857" s="5" t="str">
        <x:v>70a38f3f2acb57428f1c53584829f67e45e4ba32cba1f6778d28d4ab81e8aec5</x:v>
      </x:c>
    </x:row>
    <x:row r="1858" ht="36" customHeight="1">
      <x:c r="A1858" s="5" t="str">
        <x:v>IF-0045</x:v>
      </x:c>
      <x:c r="B1858" s="5" t="str">
        <x:v>HQ</x:v>
      </x:c>
      <x:c r="C1858" s="5" t="str">
        <x:v>6</x:v>
      </x:c>
      <x:c r="D1858" s="5" t="str">
        <x:v>Investition, Finanzierung, betriebliches Rechnungswesen und Controlling</x:v>
      </x:c>
      <x:c r="E1858" s="5" t="str">
        <x:v>Investition und Finanzierung</x:v>
      </x:c>
      <x:c r="F1858" s="5" t="str">
        <x:v>ui-hq-0018</x:v>
      </x:c>
      <x:c r="G1858" s="5" t="str">
        <x:v>Finanzplanung und Ermittlung des Finanzbedarfs</x:v>
      </x:c>
      <x:c r="H1858" s="5" t="str">
        <x:v>dg-hq-0151</x:v>
      </x:c>
      <x:c r="I1858" s="5" t="str">
        <x:v>6.2.2.4</x:v>
      </x:c>
      <x:c r="J1858" s="5" t="str">
        <x:v>Sicherheiten</x:v>
      </x:c>
      <x:c r="K1858" s="5" t="str"/>
      <x:c r="L1858" s="5" t="str">
        <x:v>Kreditsicherheiten</x:v>
      </x:c>
      <x:c r="M1858" s="5" t="n">
        <x:v>18</x:v>
      </x:c>
      <x:c r="N1858" s="5" t="n">
        <x:v>8</x:v>
      </x:c>
      <x:c r="O1858" s="5" t="str"/>
      <x:c r="P1858" s="5" t="str">
        <x:v>Zuordnungsvorschlag; Fachfreigabe ausstehend</x:v>
      </x:c>
      <x:c r="Q1858" s="5" t="str">
        <x:v>Bestehendes Lernthema fachlich unter passendem Rahmenplan-Unterbereich behalten</x:v>
      </x:c>
      <x:c r="R1858" s="5" t="str">
        <x:v>Ordnen Sie typische Fälle den Sicherungsformen Sicherungsabtretung, Ausfallbürgschaft und selbstschuldnerische Bürgschaft zu.</x:v>
      </x:c>
      <x:c r="S1858" s="5" t="str">
        <x:v>266d01809fcf717bc14633bdfc55cd6a92152695a18613112665421d3c9635a7</x:v>
      </x:c>
    </x:row>
    <x:row r="1859" ht="36" customHeight="1">
      <x:c r="A1859" s="5" t="str">
        <x:v>IF-0046</x:v>
      </x:c>
      <x:c r="B1859" s="5" t="str">
        <x:v>HQ</x:v>
      </x:c>
      <x:c r="C1859" s="5" t="str">
        <x:v>6</x:v>
      </x:c>
      <x:c r="D1859" s="5" t="str">
        <x:v>Investition, Finanzierung, betriebliches Rechnungswesen und Controlling</x:v>
      </x:c>
      <x:c r="E1859" s="5" t="str">
        <x:v>Investition und Finanzierung</x:v>
      </x:c>
      <x:c r="F1859" s="5" t="str">
        <x:v>ui-hq-0018</x:v>
      </x:c>
      <x:c r="G1859" s="5" t="str">
        <x:v>Finanzplanung und Ermittlung des Finanzbedarfs</x:v>
      </x:c>
      <x:c r="H1859" s="5" t="str">
        <x:v>dg-hq-0151</x:v>
      </x:c>
      <x:c r="I1859" s="5" t="str">
        <x:v>6.2.2.4</x:v>
      </x:c>
      <x:c r="J1859" s="5" t="str">
        <x:v>Sicherheiten</x:v>
      </x:c>
      <x:c r="K1859" s="5" t="str"/>
      <x:c r="L1859" s="5" t="str">
        <x:v>Kreditsicherheiten</x:v>
      </x:c>
      <x:c r="M1859" s="5" t="n">
        <x:v>19</x:v>
      </x:c>
      <x:c r="N1859" s="5" t="n">
        <x:v>9</x:v>
      </x:c>
      <x:c r="O1859" s="5" t="str"/>
      <x:c r="P1859" s="5" t="str">
        <x:v>Zuordnungsvorschlag; Fachfreigabe ausstehend</x:v>
      </x:c>
      <x:c r="Q1859" s="5" t="str">
        <x:v>Bestehendes Lernthema fachlich unter passendem Rahmenplan-Unterbereich behalten</x:v>
      </x:c>
      <x:c r="R1859" s="5" t="str">
        <x:v>Ergänzen Sie zentrale Begriffe der Kreditsicherung.</x:v>
      </x:c>
      <x:c r="S1859" s="5" t="str">
        <x:v>eac0c5202936d90dfd19d31b25934a9d33decefb14e179887f63c239406e6533</x:v>
      </x:c>
    </x:row>
    <x:row r="1860" ht="36" customHeight="1">
      <x:c r="A1860" s="5" t="str">
        <x:v>IF-0047</x:v>
      </x:c>
      <x:c r="B1860" s="5" t="str">
        <x:v>HQ</x:v>
      </x:c>
      <x:c r="C1860" s="5" t="str">
        <x:v>6</x:v>
      </x:c>
      <x:c r="D1860" s="5" t="str">
        <x:v>Investition, Finanzierung, betriebliches Rechnungswesen und Controlling</x:v>
      </x:c>
      <x:c r="E1860" s="5" t="str">
        <x:v>Investition und Finanzierung</x:v>
      </x:c>
      <x:c r="F1860" s="5" t="str">
        <x:v>ui-hq-0018</x:v>
      </x:c>
      <x:c r="G1860" s="5" t="str">
        <x:v>Finanzplanung und Ermittlung des Finanzbedarfs</x:v>
      </x:c>
      <x:c r="H1860" s="5" t="str">
        <x:v>dg-hq-0150</x:v>
      </x:c>
      <x:c r="I1860" s="5" t="str">
        <x:v>6.2.2</x:v>
      </x:c>
      <x:c r="J1860" s="5" t="str">
        <x:v>Finanzierungsplanung</x:v>
      </x:c>
      <x:c r="K1860" s="5" t="str"/>
      <x:c r="L1860" s="5" t="str">
        <x:v>Kapitalstruktur, Finanzierungsregeln &amp; Leverage</x:v>
      </x:c>
      <x:c r="M1860" s="5" t="n">
        <x:v>20</x:v>
      </x:c>
      <x:c r="N1860" s="5" t="n">
        <x:v>4</x:v>
      </x:c>
      <x:c r="O1860" s="5" t="str"/>
      <x:c r="P1860" s="5" t="str">
        <x:v>Zuordnungsvorschlag; Fachfreigabe ausstehend</x:v>
      </x:c>
      <x:c r="Q1860" s="5" t="str">
        <x:v>Bestehendes Lernthema fachlich unter passendem Rahmenplan-Unterbereich behalten</x:v>
      </x:c>
      <x:c r="R1860" s="5" t="str">
        <x:v>Circle Harbor weist Eigenkapital von 2 Mio. €, Fremdkapital von 6 Mio. €, Fremdkapitalzinsen von 360.000 €, Jahresgewinn von 640.000 € und Umsatzerlöse von 10 Mio. € aus. Berechnen Sie Eigenkapital-, Gesamtkapital- und Umsatzrentabilität.</x:v>
      </x:c>
      <x:c r="S1860" s="5" t="str">
        <x:v>8d54018dd033c7204c9a622cdb636955a50a9f1ec7ff46471f37f56961b3bacf</x:v>
      </x:c>
    </x:row>
    <x:row r="1861" ht="36" customHeight="1">
      <x:c r="A1861" s="5" t="str">
        <x:v>IF-0048</x:v>
      </x:c>
      <x:c r="B1861" s="5" t="str">
        <x:v>HQ</x:v>
      </x:c>
      <x:c r="C1861" s="5" t="str">
        <x:v>6</x:v>
      </x:c>
      <x:c r="D1861" s="5" t="str">
        <x:v>Investition, Finanzierung, betriebliches Rechnungswesen und Controlling</x:v>
      </x:c>
      <x:c r="E1861" s="5" t="str">
        <x:v>Investition und Finanzierung</x:v>
      </x:c>
      <x:c r="F1861" s="5" t="str">
        <x:v>ui-hq-0018</x:v>
      </x:c>
      <x:c r="G1861" s="5" t="str">
        <x:v>Finanzplanung und Ermittlung des Finanzbedarfs</x:v>
      </x:c>
      <x:c r="H1861" s="5" t="str">
        <x:v>dg-hq-0150</x:v>
      </x:c>
      <x:c r="I1861" s="5" t="str">
        <x:v>6.2.2</x:v>
      </x:c>
      <x:c r="J1861" s="5" t="str">
        <x:v>Finanzierungsplanung</x:v>
      </x:c>
      <x:c r="K1861" s="5" t="str"/>
      <x:c r="L1861" s="5" t="str">
        <x:v>Kapitalstruktur, Finanzierungsregeln &amp; Leverage</x:v>
      </x:c>
      <x:c r="M1861" s="5" t="n">
        <x:v>21</x:v>
      </x:c>
      <x:c r="N1861" s="5" t="n">
        <x:v>5</x:v>
      </x:c>
      <x:c r="O1861" s="5" t="str"/>
      <x:c r="P1861" s="5" t="str">
        <x:v>Zuordnungsvorschlag; Fachfreigabe ausstehend</x:v>
      </x:c>
      <x:c r="Q1861" s="5" t="str">
        <x:v>Bestehendes Lernthema fachlich unter passendem Rahmenplan-Unterbereich behalten</x:v>
      </x:c>
      <x:c r="R1861" s="5" t="str">
        <x:v>Circle Harbor erwirtschaftet auf das Gesamtkapital eine Rendite von 11 %. Eine zusätzliche Investition könnte vollständig mit Fremdkapital zu 7 % finanziert werden und wird voraussichtlich ebenfalls 11 % Gesamtkapitalrendite erzielen. Wie wirkt sich die Finanzierung grundsätzlich auf die Eigenkapitalrentabilität aus?</x:v>
      </x:c>
      <x:c r="S1861" s="5" t="str">
        <x:v>c195112283976b3a24724d8d86b82ed5eac233f2a526eaeef2ff4175ae0a4bb7</x:v>
      </x:c>
    </x:row>
    <x:row r="1862" ht="36" customHeight="1">
      <x:c r="A1862" s="5" t="str">
        <x:v>IF-0049</x:v>
      </x:c>
      <x:c r="B1862" s="5" t="str">
        <x:v>HQ</x:v>
      </x:c>
      <x:c r="C1862" s="5" t="str">
        <x:v>6</x:v>
      </x:c>
      <x:c r="D1862" s="5" t="str">
        <x:v>Investition, Finanzierung, betriebliches Rechnungswesen und Controlling</x:v>
      </x:c>
      <x:c r="E1862" s="5" t="str">
        <x:v>Investition und Finanzierung</x:v>
      </x:c>
      <x:c r="F1862" s="5" t="str">
        <x:v>ui-hq-0018</x:v>
      </x:c>
      <x:c r="G1862" s="5" t="str">
        <x:v>Finanzplanung und Ermittlung des Finanzbedarfs</x:v>
      </x:c>
      <x:c r="H1862" s="5" t="str">
        <x:v>dg-hq-0150</x:v>
      </x:c>
      <x:c r="I1862" s="5" t="str">
        <x:v>6.2.2</x:v>
      </x:c>
      <x:c r="J1862" s="5" t="str">
        <x:v>Finanzierungsplanung</x:v>
      </x:c>
      <x:c r="K1862" s="5" t="str"/>
      <x:c r="L1862" s="5" t="str">
        <x:v>Kapitalstruktur, Finanzierungsregeln &amp; Leverage</x:v>
      </x:c>
      <x:c r="M1862" s="5" t="n">
        <x:v>22</x:v>
      </x:c>
      <x:c r="N1862" s="5" t="n">
        <x:v>6</x:v>
      </x:c>
      <x:c r="O1862" s="5" t="str"/>
      <x:c r="P1862" s="5" t="str">
        <x:v>Zuordnungsvorschlag; Fachfreigabe ausstehend</x:v>
      </x:c>
      <x:c r="Q1862" s="5" t="str">
        <x:v>Bestehendes Lernthema fachlich unter passendem Rahmenplan-Unterbereich behalten</x:v>
      </x:c>
      <x:c r="R1862" s="5" t="str">
        <x:v>Circle Harbor erzielt 180.000 € Gewinn und zahlt 70.000 € Fremdkapitalzinsen. Das durchschnittliche Eigenkapital beträgt 900.000 €, das Fremdkapital 1.100.000 €. Berechnen Sie Eigenkapital- und Gesamtkapitalrentabilität.</x:v>
      </x:c>
      <x:c r="S1862" s="5" t="str">
        <x:v>c5a918bcf35ae2aa4f576bfdbe615148ea3cd5bf9792e8046ae8536482b0980b</x:v>
      </x:c>
    </x:row>
    <x:row r="1863" ht="36" customHeight="1">
      <x:c r="A1863" s="5" t="str">
        <x:v>IF-0050</x:v>
      </x:c>
      <x:c r="B1863" s="5" t="str">
        <x:v>HQ</x:v>
      </x:c>
      <x:c r="C1863" s="5" t="str">
        <x:v>6</x:v>
      </x:c>
      <x:c r="D1863" s="5" t="str">
        <x:v>Investition, Finanzierung, betriebliches Rechnungswesen und Controlling</x:v>
      </x:c>
      <x:c r="E1863" s="5" t="str">
        <x:v>Investition und Finanzierung</x:v>
      </x:c>
      <x:c r="F1863" s="5" t="str">
        <x:v>ui-hq-0018</x:v>
      </x:c>
      <x:c r="G1863" s="5" t="str">
        <x:v>Finanzplanung und Ermittlung des Finanzbedarfs</x:v>
      </x:c>
      <x:c r="H1863" s="5" t="str">
        <x:v>dg-hq-0150</x:v>
      </x:c>
      <x:c r="I1863" s="5" t="str">
        <x:v>6.2.2</x:v>
      </x:c>
      <x:c r="J1863" s="5" t="str">
        <x:v>Finanzierungsplanung</x:v>
      </x:c>
      <x:c r="K1863" s="5" t="str"/>
      <x:c r="L1863" s="5" t="str">
        <x:v>Kapitalstruktur, Finanzierungsregeln &amp; Leverage</x:v>
      </x:c>
      <x:c r="M1863" s="5" t="n">
        <x:v>23</x:v>
      </x:c>
      <x:c r="N1863" s="5" t="n">
        <x:v>7</x:v>
      </x:c>
      <x:c r="O1863" s="5" t="str"/>
      <x:c r="P1863" s="5" t="str">
        <x:v>Zuordnungsvorschlag; Fachfreigabe ausstehend</x:v>
      </x:c>
      <x:c r="Q1863" s="5" t="str">
        <x:v>Bestehendes Lernthema fachlich unter passendem Rahmenplan-Unterbereich behalten</x:v>
      </x:c>
      <x:c r="R1863" s="5" t="str">
        <x:v>Drei Unternehmen haben folgende Werte: A Gewinn 300.000 €, Umsatz 3 Mio. €, Eigenkapital 1 Mio. €; B Gewinn 360.000 €, Umsatz 4,5 Mio. €, Eigenkapital 1,2 Mio. €; C Gewinn 420.000 €, Umsatz 6 Mio. €, Eigenkapital 2 Mio. €. Vergleichen Sie Umsatz- und Eigenkapitalrentabilität.</x:v>
      </x:c>
      <x:c r="S1863" s="5" t="str">
        <x:v>5295b703735d14df28f3604521dd355c321983b2925a488e93901bedbd9a5e54</x:v>
      </x:c>
    </x:row>
    <x:row r="1864" ht="36" customHeight="1">
      <x:c r="A1864" s="5" t="str">
        <x:v>IF-0051</x:v>
      </x:c>
      <x:c r="B1864" s="5" t="str">
        <x:v>HQ</x:v>
      </x:c>
      <x:c r="C1864" s="5" t="str">
        <x:v>6</x:v>
      </x:c>
      <x:c r="D1864" s="5" t="str">
        <x:v>Investition, Finanzierung, betriebliches Rechnungswesen und Controlling</x:v>
      </x:c>
      <x:c r="E1864" s="5" t="str">
        <x:v>Investition und Finanzierung</x:v>
      </x:c>
      <x:c r="F1864" s="5" t="str">
        <x:v>ui-hq-0018</x:v>
      </x:c>
      <x:c r="G1864" s="5" t="str">
        <x:v>Finanzplanung und Ermittlung des Finanzbedarfs</x:v>
      </x:c>
      <x:c r="H1864" s="5" t="str">
        <x:v>dg-hq-0149</x:v>
      </x:c>
      <x:c r="I1864" s="5" t="str">
        <x:v>6.2.3.1</x:v>
      </x:c>
      <x:c r="J1864" s="5" t="str">
        <x:v>Definition der Liquidität</x:v>
      </x:c>
      <x:c r="K1864" s="5" t="str"/>
      <x:c r="L1864" s="5" t="str">
        <x:v>Kapitalbedarfs-, Finanz- &amp; Liquiditätsplanung</x:v>
      </x:c>
      <x:c r="M1864" s="5" t="n">
        <x:v>24</x:v>
      </x:c>
      <x:c r="N1864" s="5" t="n">
        <x:v>2</x:v>
      </x:c>
      <x:c r="O1864" s="5" t="str"/>
      <x:c r="P1864" s="5" t="str">
        <x:v>Zuordnungsvorschlag; Fachfreigabe ausstehend</x:v>
      </x:c>
      <x:c r="Q1864" s="5" t="str">
        <x:v>Frageinhalt präzisiert bzw. teilt bisheriges Sammelthema</x:v>
      </x:c>
      <x:c r="R1864" s="5" t="str">
        <x:v>Circle Harbor verfügt über 100.000 € liquide Mittel, 300.000 € kurzfristige Forderungen und 600.000 € Vorräte. Kurzfristige Verbindlichkeiten betragen 500.000 €. Berechnen Sie Liquidität 1., 2. und 3. Grades.</x:v>
      </x:c>
      <x:c r="S1864" s="5" t="str">
        <x:v>848a2645fb11326a5cd11e4a6d958fc7a75730e77e84698226c5bdcb36906af1</x:v>
      </x:c>
    </x:row>
    <x:row r="1865" ht="36" customHeight="1">
      <x:c r="A1865" s="5" t="str">
        <x:v>IF-0052</x:v>
      </x:c>
      <x:c r="B1865" s="5" t="str">
        <x:v>HQ</x:v>
      </x:c>
      <x:c r="C1865" s="5" t="str">
        <x:v>6</x:v>
      </x:c>
      <x:c r="D1865" s="5" t="str">
        <x:v>Investition, Finanzierung, betriebliches Rechnungswesen und Controlling</x:v>
      </x:c>
      <x:c r="E1865" s="5" t="str">
        <x:v>Investition und Finanzierung</x:v>
      </x:c>
      <x:c r="F1865" s="5" t="str">
        <x:v>ui-hq-0018</x:v>
      </x:c>
      <x:c r="G1865" s="5" t="str">
        <x:v>Finanzplanung und Ermittlung des Finanzbedarfs</x:v>
      </x:c>
      <x:c r="H1865" s="5" t="str">
        <x:v>dg-hq-0150</x:v>
      </x:c>
      <x:c r="I1865" s="5" t="str">
        <x:v>6.2.2</x:v>
      </x:c>
      <x:c r="J1865" s="5" t="str">
        <x:v>Finanzierungsplanung</x:v>
      </x:c>
      <x:c r="K1865" s="5" t="str"/>
      <x:c r="L1865" s="5" t="str">
        <x:v>Kapitalstruktur, Finanzierungsregeln &amp; Leverage</x:v>
      </x:c>
      <x:c r="M1865" s="5" t="n">
        <x:v>25</x:v>
      </x:c>
      <x:c r="N1865" s="5" t="n">
        <x:v>8</x:v>
      </x:c>
      <x:c r="O1865" s="5" t="str"/>
      <x:c r="P1865" s="5" t="str">
        <x:v>Zuordnungsvorschlag; Fachfreigabe ausstehend</x:v>
      </x:c>
      <x:c r="Q1865" s="5" t="str">
        <x:v>Bestehendes Lernthema fachlich unter passendem Rahmenplan-Unterbereich behalten</x:v>
      </x:c>
      <x:c r="R1865" s="5" t="str">
        <x:v>Fallbezug: Die folgenden betrieblichen Angaben und Situationen beziehen sich auf die Circle Harbor GmbH.
Eine Bilanz weist Anlagevermögen 1,2 Mio. €, Umlaufvermögen 0,8 Mio. €, Eigenkapital 0,8 Mio. € und langfristiges Fremdkapital 0,5 Mio. € aus. Berechnen Sie Anlagenintensität, Anlagendeckung I und II und beurteilen Sie die goldene Bilanzregel.</x:v>
      </x:c>
      <x:c r="S1865" s="5" t="str">
        <x:v>9dde460c424f4b1ef979f75e868fdbbc31eb617d1aec669741c98e3097b28d0b</x:v>
      </x:c>
    </x:row>
    <x:row r="1866" ht="36" customHeight="1">
      <x:c r="A1866" s="5" t="str">
        <x:v>IF-0053</x:v>
      </x:c>
      <x:c r="B1866" s="5" t="str">
        <x:v>HQ</x:v>
      </x:c>
      <x:c r="C1866" s="5" t="str">
        <x:v>6</x:v>
      </x:c>
      <x:c r="D1866" s="5" t="str">
        <x:v>Investition, Finanzierung, betriebliches Rechnungswesen und Controlling</x:v>
      </x:c>
      <x:c r="E1866" s="5" t="str">
        <x:v>Investition und Finanzierung</x:v>
      </x:c>
      <x:c r="F1866" s="5" t="str">
        <x:v>ui-hq-0018</x:v>
      </x:c>
      <x:c r="G1866" s="5" t="str">
        <x:v>Finanzplanung und Ermittlung des Finanzbedarfs</x:v>
      </x:c>
      <x:c r="H1866" s="5" t="str">
        <x:v>dg-hq-0150</x:v>
      </x:c>
      <x:c r="I1866" s="5" t="str">
        <x:v>6.2.2</x:v>
      </x:c>
      <x:c r="J1866" s="5" t="str">
        <x:v>Finanzierungsplanung</x:v>
      </x:c>
      <x:c r="K1866" s="5" t="str"/>
      <x:c r="L1866" s="5" t="str">
        <x:v>Kapitalstruktur, Finanzierungsregeln &amp; Leverage</x:v>
      </x:c>
      <x:c r="M1866" s="5" t="n">
        <x:v>26</x:v>
      </x:c>
      <x:c r="N1866" s="5" t="n">
        <x:v>9</x:v>
      </x:c>
      <x:c r="O1866" s="5" t="str"/>
      <x:c r="P1866" s="5" t="str">
        <x:v>Zuordnungsvorschlag; Fachfreigabe ausstehend</x:v>
      </x:c>
      <x:c r="Q1866" s="5" t="str">
        <x:v>Bestehendes Lernthema fachlich unter passendem Rahmenplan-Unterbereich behalten</x:v>
      </x:c>
      <x:c r="R1866" s="5" t="str">
        <x:v>Nennen Sie jeweils mindestens zwei Vor- und Nachteile der Innenfinanzierung gegenüber einer Finanzierung durch externe Kapitalgeber.</x:v>
      </x:c>
      <x:c r="S1866" s="5" t="str">
        <x:v>5bbda93209666903cb4207a7ec7cb7ab008494f3556c5204e157b1e52a5674a4</x:v>
      </x:c>
    </x:row>
    <x:row r="1867" ht="36" customHeight="1">
      <x:c r="A1867" s="5" t="str">
        <x:v>IF-0054</x:v>
      </x:c>
      <x:c r="B1867" s="5" t="str">
        <x:v>HQ</x:v>
      </x:c>
      <x:c r="C1867" s="5" t="str">
        <x:v>6</x:v>
      </x:c>
      <x:c r="D1867" s="5" t="str">
        <x:v>Investition, Finanzierung, betriebliches Rechnungswesen und Controlling</x:v>
      </x:c>
      <x:c r="E1867" s="5" t="str">
        <x:v>Investition und Finanzierung</x:v>
      </x:c>
      <x:c r="F1867" s="5" t="str">
        <x:v>ui-hq-0018</x:v>
      </x:c>
      <x:c r="G1867" s="5" t="str">
        <x:v>Finanzplanung und Ermittlung des Finanzbedarfs</x:v>
      </x:c>
      <x:c r="H1867" s="5" t="str">
        <x:v>dg-hq-0150</x:v>
      </x:c>
      <x:c r="I1867" s="5" t="str">
        <x:v>6.2.2</x:v>
      </x:c>
      <x:c r="J1867" s="5" t="str">
        <x:v>Finanzierungsplanung</x:v>
      </x:c>
      <x:c r="K1867" s="5" t="str"/>
      <x:c r="L1867" s="5" t="str">
        <x:v>Kapitalstruktur, Finanzierungsregeln &amp; Leverage</x:v>
      </x:c>
      <x:c r="M1867" s="5" t="n">
        <x:v>27</x:v>
      </x:c>
      <x:c r="N1867" s="5" t="n">
        <x:v>10</x:v>
      </x:c>
      <x:c r="O1867" s="5" t="str"/>
      <x:c r="P1867" s="5" t="str">
        <x:v>Zuordnungsvorschlag; Fachfreigabe ausstehend</x:v>
      </x:c>
      <x:c r="Q1867" s="5" t="str">
        <x:v>Bestehendes Lernthema fachlich unter passendem Rahmenplan-Unterbereich behalten</x:v>
      </x:c>
      <x:c r="R1867" s="5" t="str">
        <x:v>Ordnen Sie typische Finanzierungsvorgänge der Innen- oder Außenfinanzierung zu.</x:v>
      </x:c>
      <x:c r="S1867" s="5" t="str">
        <x:v>c2de629336e787d89cae57e01897e9b5b151b28faf8034abe1433bba93c8c00e</x:v>
      </x:c>
    </x:row>
    <x:row r="1868" ht="36" customHeight="1">
      <x:c r="A1868" s="5" t="str">
        <x:v>IF-0055</x:v>
      </x:c>
      <x:c r="B1868" s="5" t="str">
        <x:v>HQ</x:v>
      </x:c>
      <x:c r="C1868" s="5" t="str">
        <x:v>6</x:v>
      </x:c>
      <x:c r="D1868" s="5" t="str">
        <x:v>Investition, Finanzierung, betriebliches Rechnungswesen und Controlling</x:v>
      </x:c>
      <x:c r="E1868" s="5" t="str">
        <x:v>Investition und Finanzierung</x:v>
      </x:c>
      <x:c r="F1868" s="5" t="str">
        <x:v>ui-hq-0018</x:v>
      </x:c>
      <x:c r="G1868" s="5" t="str">
        <x:v>Finanzplanung und Ermittlung des Finanzbedarfs</x:v>
      </x:c>
      <x:c r="H1868" s="5" t="str">
        <x:v>dg-hq-0150</x:v>
      </x:c>
      <x:c r="I1868" s="5" t="str">
        <x:v>6.2.2</x:v>
      </x:c>
      <x:c r="J1868" s="5" t="str">
        <x:v>Finanzierungsplanung</x:v>
      </x:c>
      <x:c r="K1868" s="5" t="str"/>
      <x:c r="L1868" s="5" t="str">
        <x:v>Kapitalstruktur, Finanzierungsregeln &amp; Leverage</x:v>
      </x:c>
      <x:c r="M1868" s="5" t="n">
        <x:v>28</x:v>
      </x:c>
      <x:c r="N1868" s="5" t="n">
        <x:v>11</x:v>
      </x:c>
      <x:c r="O1868" s="5" t="str"/>
      <x:c r="P1868" s="5" t="str">
        <x:v>Zuordnungsvorschlag; Fachfreigabe ausstehend</x:v>
      </x:c>
      <x:c r="Q1868" s="5" t="str">
        <x:v>Bestehendes Lernthema fachlich unter passendem Rahmenplan-Unterbereich behalten</x:v>
      </x:c>
      <x:c r="R1868" s="5" t="str">
        <x:v>Beurteilen Sie Aussagen zur goldenen Finanzierungsregel.</x:v>
      </x:c>
      <x:c r="S1868" s="5" t="str">
        <x:v>6ea8f094ece7af096f1d4e54b64d323b60d20f6d6faea6db11d3b6b7e2a4a51d</x:v>
      </x:c>
    </x:row>
    <x:row r="1869" ht="36" customHeight="1">
      <x:c r="A1869" s="5" t="str">
        <x:v>IF-0056</x:v>
      </x:c>
      <x:c r="B1869" s="5" t="str">
        <x:v>HQ</x:v>
      </x:c>
      <x:c r="C1869" s="5" t="str">
        <x:v>6</x:v>
      </x:c>
      <x:c r="D1869" s="5" t="str">
        <x:v>Investition, Finanzierung, betriebliches Rechnungswesen und Controlling</x:v>
      </x:c>
      <x:c r="E1869" s="5" t="str">
        <x:v>Investition und Finanzierung</x:v>
      </x:c>
      <x:c r="F1869" s="5" t="str">
        <x:v>ui-hq-0019</x:v>
      </x:c>
      <x:c r="G1869" s="5" t="str">
        <x:v>Finanzierungsarten</x:v>
      </x:c>
      <x:c r="H1869" s="5" t="str">
        <x:v>dg-hq-0152</x:v>
      </x:c>
      <x:c r="I1869" s="5" t="str">
        <x:v>6.3.3.2</x:v>
      </x:c>
      <x:c r="J1869" s="5" t="str">
        <x:v>Finanzierung aus Abschreibungen</x:v>
      </x:c>
      <x:c r="K1869" s="5" t="str"/>
      <x:c r="L1869" s="5" t="str">
        <x:v>Innenfinanzierung &amp; Kapitalfreisetzung</x:v>
      </x:c>
      <x:c r="M1869" s="5" t="n">
        <x:v>1</x:v>
      </x:c>
      <x:c r="N1869" s="5" t="n">
        <x:v>1</x:v>
      </x:c>
      <x:c r="O1869" s="5" t="str"/>
      <x:c r="P1869" s="5" t="str">
        <x:v>Zuordnungsvorschlag; Fachfreigabe ausstehend</x:v>
      </x:c>
      <x:c r="Q1869" s="5" t="str">
        <x:v>Bestehendes Lernthema fachlich unter passendem Rahmenplan-Unterbereich behalten</x:v>
      </x:c>
      <x:c r="R1869" s="5" t="str">
        <x:v>Was ist der Cashflow und warum werden Abschreibungen bei einer indirekten Cashflow-Berechnung zum Jahresüberschuss wieder hinzugerechnet?</x:v>
      </x:c>
      <x:c r="S1869" s="5" t="str">
        <x:v>4a06a1bf56e7a9f7bc2eea1883b0a53588c40163529c1325c6eb28d32859f816</x:v>
      </x:c>
    </x:row>
    <x:row r="1870" ht="36" customHeight="1">
      <x:c r="A1870" s="5" t="str">
        <x:v>IF-0057</x:v>
      </x:c>
      <x:c r="B1870" s="5" t="str">
        <x:v>HQ</x:v>
      </x:c>
      <x:c r="C1870" s="5" t="str">
        <x:v>6</x:v>
      </x:c>
      <x:c r="D1870" s="5" t="str">
        <x:v>Investition, Finanzierung, betriebliches Rechnungswesen und Controlling</x:v>
      </x:c>
      <x:c r="E1870" s="5" t="str">
        <x:v>Investition und Finanzierung</x:v>
      </x:c>
      <x:c r="F1870" s="5" t="str">
        <x:v>ui-hq-0019</x:v>
      </x:c>
      <x:c r="G1870" s="5" t="str">
        <x:v>Finanzierungsarten</x:v>
      </x:c>
      <x:c r="H1870" s="5" t="str">
        <x:v>dg-hq-0152</x:v>
      </x:c>
      <x:c r="I1870" s="5" t="str">
        <x:v>6.3.3</x:v>
      </x:c>
      <x:c r="J1870" s="5" t="str">
        <x:v>Innenfinanzierung</x:v>
      </x:c>
      <x:c r="K1870" s="5" t="str"/>
      <x:c r="L1870" s="5" t="str">
        <x:v>Innenfinanzierung &amp; Kapitalfreisetzung</x:v>
      </x:c>
      <x:c r="M1870" s="5" t="n">
        <x:v>2</x:v>
      </x:c>
      <x:c r="N1870" s="5" t="n">
        <x:v>2</x:v>
      </x:c>
      <x:c r="O1870" s="5" t="str"/>
      <x:c r="P1870" s="5" t="str">
        <x:v>Zuordnungsvorschlag; Fachfreigabe ausstehend</x:v>
      </x:c>
      <x:c r="Q1870" s="5" t="str">
        <x:v>Bestehendes Lernthema fachlich unter passendem Rahmenplan-Unterbereich behalten</x:v>
      </x:c>
      <x:c r="R1870" s="5" t="str">
        <x:v>Circle Harbor erzielt 400.000 € Jahresüberschuss, nimmt 120.000 € Abschreibungen vor und erhöht seine langfristigen Rückstellungen um 30.000 €. Berechnen Sie einen vereinfachten Cashflow und die Cashflow-Umsatzrate bei 5 Mio. € Umsatz.</x:v>
      </x:c>
      <x:c r="S1870" s="5" t="str">
        <x:v>e1bb46cbe942a1643588d58073aa7b189027c937d10c057617d385bae1d9f1fc</x:v>
      </x:c>
    </x:row>
    <x:row r="1871" ht="36" customHeight="1">
      <x:c r="A1871" s="5" t="str">
        <x:v>IF-0058</x:v>
      </x:c>
      <x:c r="B1871" s="5" t="str">
        <x:v>HQ</x:v>
      </x:c>
      <x:c r="C1871" s="5" t="str">
        <x:v>6</x:v>
      </x:c>
      <x:c r="D1871" s="5" t="str">
        <x:v>Investition, Finanzierung, betriebliches Rechnungswesen und Controlling</x:v>
      </x:c>
      <x:c r="E1871" s="5" t="str">
        <x:v>Investition und Finanzierung</x:v>
      </x:c>
      <x:c r="F1871" s="5" t="str">
        <x:v>ui-hq-0019</x:v>
      </x:c>
      <x:c r="G1871" s="5" t="str">
        <x:v>Finanzierungsarten</x:v>
      </x:c>
      <x:c r="H1871" s="5" t="str">
        <x:v>dg-hq-0152</x:v>
      </x:c>
      <x:c r="I1871" s="5" t="str">
        <x:v>6.3.3</x:v>
      </x:c>
      <x:c r="J1871" s="5" t="str">
        <x:v>Innenfinanzierung</x:v>
      </x:c>
      <x:c r="K1871" s="5" t="str"/>
      <x:c r="L1871" s="5" t="str">
        <x:v>Innenfinanzierung &amp; Kapitalfreisetzung</x:v>
      </x:c>
      <x:c r="M1871" s="5" t="n">
        <x:v>3</x:v>
      </x:c>
      <x:c r="N1871" s="5" t="n">
        <x:v>3</x:v>
      </x:c>
      <x:c r="O1871" s="5" t="str"/>
      <x:c r="P1871" s="5" t="str">
        <x:v>Zuordnungsvorschlag; Fachfreigabe ausstehend</x:v>
      </x:c>
      <x:c r="Q1871" s="5" t="str">
        <x:v>Bestehendes Lernthema fachlich unter passendem Rahmenplan-Unterbereich behalten</x:v>
      </x:c>
      <x:c r="R1871" s="5" t="str">
        <x:v>Wie unterscheidet sich die ertragsteuerliche Behandlung des Gewinns einer Personengesellschaft grundsätzlich von der einer Kapitalgesellschaft in Deutschland?</x:v>
      </x:c>
      <x:c r="S1871" s="5" t="str">
        <x:v>7222df6790c4de65a8b59684fa081ffe0c149e8176d2b51075813d79cbb20032</x:v>
      </x:c>
    </x:row>
    <x:row r="1872" ht="36" customHeight="1">
      <x:c r="A1872" s="5" t="str">
        <x:v>IF-0059</x:v>
      </x:c>
      <x:c r="B1872" s="5" t="str">
        <x:v>HQ</x:v>
      </x:c>
      <x:c r="C1872" s="5" t="str">
        <x:v>6</x:v>
      </x:c>
      <x:c r="D1872" s="5" t="str">
        <x:v>Investition, Finanzierung, betriebliches Rechnungswesen und Controlling</x:v>
      </x:c>
      <x:c r="E1872" s="5" t="str">
        <x:v>Investition und Finanzierung</x:v>
      </x:c>
      <x:c r="F1872" s="5" t="str">
        <x:v>ui-hq-0019</x:v>
      </x:c>
      <x:c r="G1872" s="5" t="str">
        <x:v>Finanzierungsarten</x:v>
      </x:c>
      <x:c r="H1872" s="5" t="str">
        <x:v>dg-hq-0152</x:v>
      </x:c>
      <x:c r="I1872" s="5" t="str">
        <x:v>6.3.3</x:v>
      </x:c>
      <x:c r="J1872" s="5" t="str">
        <x:v>Innenfinanzierung</x:v>
      </x:c>
      <x:c r="K1872" s="5" t="str"/>
      <x:c r="L1872" s="5" t="str">
        <x:v>Innenfinanzierung &amp; Kapitalfreisetzung</x:v>
      </x:c>
      <x:c r="M1872" s="5" t="n">
        <x:v>4</x:v>
      </x:c>
      <x:c r="N1872" s="5" t="n">
        <x:v>4</x:v>
      </x:c>
      <x:c r="O1872" s="5" t="str"/>
      <x:c r="P1872" s="5" t="str">
        <x:v>Zuordnungsvorschlag; Fachfreigabe ausstehend</x:v>
      </x:c>
      <x:c r="Q1872" s="5" t="str">
        <x:v>Bestehendes Lernthema fachlich unter passendem Rahmenplan-Unterbereich behalten</x:v>
      </x:c>
      <x:c r="R1872" s="5" t="str">
        <x:v>Was versteht man unter stiller Selbstfinanzierung und wodurch entsteht der Finanzierungseffekt?</x:v>
      </x:c>
      <x:c r="S1872" s="5" t="str">
        <x:v>c6c329c74cb0256991e530735bbe4a59fde9dc7e948d8021be40c9b0a4a05b31</x:v>
      </x:c>
    </x:row>
    <x:row r="1873" ht="36" customHeight="1">
      <x:c r="A1873" s="5" t="str">
        <x:v>IF-0060</x:v>
      </x:c>
      <x:c r="B1873" s="5" t="str">
        <x:v>HQ</x:v>
      </x:c>
      <x:c r="C1873" s="5" t="str">
        <x:v>6</x:v>
      </x:c>
      <x:c r="D1873" s="5" t="str">
        <x:v>Investition, Finanzierung, betriebliches Rechnungswesen und Controlling</x:v>
      </x:c>
      <x:c r="E1873" s="5" t="str">
        <x:v>Investition und Finanzierung</x:v>
      </x:c>
      <x:c r="F1873" s="5" t="str">
        <x:v>ui-hq-0019</x:v>
      </x:c>
      <x:c r="G1873" s="5" t="str">
        <x:v>Finanzierungsarten</x:v>
      </x:c>
      <x:c r="H1873" s="5" t="str">
        <x:v>dg-hq-0152</x:v>
      </x:c>
      <x:c r="I1873" s="5" t="str">
        <x:v>6.3.3</x:v>
      </x:c>
      <x:c r="J1873" s="5" t="str">
        <x:v>Innenfinanzierung</x:v>
      </x:c>
      <x:c r="K1873" s="5" t="str"/>
      <x:c r="L1873" s="5" t="str">
        <x:v>Innenfinanzierung &amp; Kapitalfreisetzung</x:v>
      </x:c>
      <x:c r="M1873" s="5" t="n">
        <x:v>5</x:v>
      </x:c>
      <x:c r="N1873" s="5" t="n">
        <x:v>5</x:v>
      </x:c>
      <x:c r="O1873" s="5" t="str"/>
      <x:c r="P1873" s="5" t="str">
        <x:v>Zuordnungsvorschlag; Fachfreigabe ausstehend</x:v>
      </x:c>
      <x:c r="Q1873" s="5" t="str">
        <x:v>Bestehendes Lernthema fachlich unter passendem Rahmenplan-Unterbereich behalten</x:v>
      </x:c>
      <x:c r="R1873" s="5" t="str">
        <x:v>Welche Aussagen zur Selbstfinanzierung sind richtig?</x:v>
      </x:c>
      <x:c r="S1873" s="5" t="str">
        <x:v>cfa8a6929c8286af4bbcc9b8da6610fa05eaa1a7200b331938e5b19e82d44501</x:v>
      </x:c>
    </x:row>
    <x:row r="1874" ht="36" customHeight="1">
      <x:c r="A1874" s="5" t="str">
        <x:v>IF-0061</x:v>
      </x:c>
      <x:c r="B1874" s="5" t="str">
        <x:v>HQ</x:v>
      </x:c>
      <x:c r="C1874" s="5" t="str">
        <x:v>6</x:v>
      </x:c>
      <x:c r="D1874" s="5" t="str">
        <x:v>Investition, Finanzierung, betriebliches Rechnungswesen und Controlling</x:v>
      </x:c>
      <x:c r="E1874" s="5" t="str">
        <x:v>Investition und Finanzierung</x:v>
      </x:c>
      <x:c r="F1874" s="5" t="str">
        <x:v>ui-hq-0019</x:v>
      </x:c>
      <x:c r="G1874" s="5" t="str">
        <x:v>Finanzierungsarten</x:v>
      </x:c>
      <x:c r="H1874" s="5" t="str">
        <x:v>dg-hq-0152</x:v>
      </x:c>
      <x:c r="I1874" s="5" t="str">
        <x:v>6.3.3</x:v>
      </x:c>
      <x:c r="J1874" s="5" t="str">
        <x:v>Innenfinanzierung</x:v>
      </x:c>
      <x:c r="K1874" s="5" t="str"/>
      <x:c r="L1874" s="5" t="str">
        <x:v>Innenfinanzierung &amp; Kapitalfreisetzung</x:v>
      </x:c>
      <x:c r="M1874" s="5" t="n">
        <x:v>6</x:v>
      </x:c>
      <x:c r="N1874" s="5" t="n">
        <x:v>6</x:v>
      </x:c>
      <x:c r="O1874" s="5" t="str"/>
      <x:c r="P1874" s="5" t="str">
        <x:v>Zuordnungsvorschlag; Fachfreigabe ausstehend</x:v>
      </x:c>
      <x:c r="Q1874" s="5" t="str">
        <x:v>Bestehendes Lernthema fachlich unter passendem Rahmenplan-Unterbereich behalten</x:v>
      </x:c>
      <x:c r="R1874" s="5" t="str">
        <x:v>Erläutern Sie den Kapazitätserweiterungseffekt nach Lohmann-Ruchti und nennen Sie zentrale Voraussetzungen.</x:v>
      </x:c>
      <x:c r="S1874" s="5" t="str">
        <x:v>fd31ede91cd94b14a08707f8e7adb654094a267eeddb209bc8ab53659b7298a7</x:v>
      </x:c>
    </x:row>
    <x:row r="1875" ht="36" customHeight="1">
      <x:c r="A1875" s="5" t="str">
        <x:v>IF-0062</x:v>
      </x:c>
      <x:c r="B1875" s="5" t="str">
        <x:v>HQ</x:v>
      </x:c>
      <x:c r="C1875" s="5" t="str">
        <x:v>6</x:v>
      </x:c>
      <x:c r="D1875" s="5" t="str">
        <x:v>Investition, Finanzierung, betriebliches Rechnungswesen und Controlling</x:v>
      </x:c>
      <x:c r="E1875" s="5" t="str">
        <x:v>Investition und Finanzierung</x:v>
      </x:c>
      <x:c r="F1875" s="5" t="str">
        <x:v>ui-hq-0019</x:v>
      </x:c>
      <x:c r="G1875" s="5" t="str">
        <x:v>Finanzierungsarten</x:v>
      </x:c>
      <x:c r="H1875" s="5" t="str">
        <x:v>dg-hq-0152</x:v>
      </x:c>
      <x:c r="I1875" s="5" t="str">
        <x:v>6.3.3.2</x:v>
      </x:c>
      <x:c r="J1875" s="5" t="str">
        <x:v>Finanzierung aus Abschreibungen</x:v>
      </x:c>
      <x:c r="K1875" s="5" t="str"/>
      <x:c r="L1875" s="5" t="str">
        <x:v>Innenfinanzierung &amp; Kapitalfreisetzung</x:v>
      </x:c>
      <x:c r="M1875" s="5" t="n">
        <x:v>7</x:v>
      </x:c>
      <x:c r="N1875" s="5" t="n">
        <x:v>7</x:v>
      </x:c>
      <x:c r="O1875" s="5" t="str"/>
      <x:c r="P1875" s="5" t="str">
        <x:v>Zuordnungsvorschlag; Fachfreigabe ausstehend</x:v>
      </x:c>
      <x:c r="Q1875" s="5" t="str">
        <x:v>Bestehendes Lernthema fachlich unter passendem Rahmenplan-Unterbereich behalten</x:v>
      </x:c>
      <x:c r="R1875" s="5" t="str">
        <x:v>Circle Harbor besitzt fünf identische Maschinen zu je 50.000 € mit fünfjähriger linearer Nutzungsdauer und ohne Restwert. Alle Abschreibungsgegenwerte werden sofort in identische neue Maschinen reinvestiert. Wie viele zusätzliche Maschinen können allein aus den jährlichen Abschreibungen des Ausgangsbestands rechnerisch pro Jahr finanziert werden?</x:v>
      </x:c>
      <x:c r="S1875" s="5" t="str">
        <x:v>799a7c2cfb3fb6b23cb4fecda4ec69ca61bafa6d632952c419c280303b16f1ae</x:v>
      </x:c>
    </x:row>
    <x:row r="1876" ht="36" customHeight="1">
      <x:c r="A1876" s="5" t="str">
        <x:v>IF-0063</x:v>
      </x:c>
      <x:c r="B1876" s="5" t="str">
        <x:v>HQ</x:v>
      </x:c>
      <x:c r="C1876" s="5" t="str">
        <x:v>6</x:v>
      </x:c>
      <x:c r="D1876" s="5" t="str">
        <x:v>Investition, Finanzierung, betriebliches Rechnungswesen und Controlling</x:v>
      </x:c>
      <x:c r="E1876" s="5" t="str">
        <x:v>Investition und Finanzierung</x:v>
      </x:c>
      <x:c r="F1876" s="5" t="str">
        <x:v>ui-hq-0019</x:v>
      </x:c>
      <x:c r="G1876" s="5" t="str">
        <x:v>Finanzierungsarten</x:v>
      </x:c>
      <x:c r="H1876" s="5" t="str">
        <x:v>dg-hq-0152</x:v>
      </x:c>
      <x:c r="I1876" s="5" t="str">
        <x:v>6.3.3</x:v>
      </x:c>
      <x:c r="J1876" s="5" t="str">
        <x:v>Innenfinanzierung</x:v>
      </x:c>
      <x:c r="K1876" s="5" t="str"/>
      <x:c r="L1876" s="5" t="str">
        <x:v>Innenfinanzierung &amp; Kapitalfreisetzung</x:v>
      </x:c>
      <x:c r="M1876" s="5" t="n">
        <x:v>8</x:v>
      </x:c>
      <x:c r="N1876" s="5" t="n">
        <x:v>8</x:v>
      </x:c>
      <x:c r="O1876" s="5" t="str"/>
      <x:c r="P1876" s="5" t="str">
        <x:v>Zuordnungsvorschlag; Fachfreigabe ausstehend</x:v>
      </x:c>
      <x:c r="Q1876" s="5" t="str">
        <x:v>Bestehendes Lernthema fachlich unter passendem Rahmenplan-Unterbereich behalten</x:v>
      </x:c>
      <x:c r="R1876" s="5" t="str">
        <x:v>Circle Harbor besitzt acht Maschinen zu je 40.000 € mit vierjähriger linearer Nutzungsdauer. Der Restwert ist null. Wie hoch sind die jährlichen Abschreibungsgegenwerte des Ausgangsbestands und wie viele gleich teure Maschinen könnten daraus jährlich beschafft werden?</x:v>
      </x:c>
      <x:c r="S1876" s="5" t="str">
        <x:v>908dd847ec1caddb8573bb6b45b53ce075bf4c097484a46af412c454c699c1af</x:v>
      </x:c>
    </x:row>
    <x:row r="1877" ht="36" customHeight="1">
      <x:c r="A1877" s="5" t="str">
        <x:v>IF-0064</x:v>
      </x:c>
      <x:c r="B1877" s="5" t="str">
        <x:v>HQ</x:v>
      </x:c>
      <x:c r="C1877" s="5" t="str">
        <x:v>6</x:v>
      </x:c>
      <x:c r="D1877" s="5" t="str">
        <x:v>Investition, Finanzierung, betriebliches Rechnungswesen und Controlling</x:v>
      </x:c>
      <x:c r="E1877" s="5" t="str">
        <x:v>Investition und Finanzierung</x:v>
      </x:c>
      <x:c r="F1877" s="5" t="str">
        <x:v>ui-hq-0019</x:v>
      </x:c>
      <x:c r="G1877" s="5" t="str">
        <x:v>Finanzierungsarten</x:v>
      </x:c>
      <x:c r="H1877" s="5" t="str">
        <x:v>dg-hq-0152</x:v>
      </x:c>
      <x:c r="I1877" s="5" t="str">
        <x:v>6.3.3.3</x:v>
      </x:c>
      <x:c r="J1877" s="5" t="str">
        <x:v>Finanzierung aus Rückstellungen</x:v>
      </x:c>
      <x:c r="K1877" s="5" t="str"/>
      <x:c r="L1877" s="5" t="str">
        <x:v>Innenfinanzierung &amp; Kapitalfreisetzung</x:v>
      </x:c>
      <x:c r="M1877" s="5" t="n">
        <x:v>9</x:v>
      </x:c>
      <x:c r="N1877" s="5" t="n">
        <x:v>9</x:v>
      </x:c>
      <x:c r="O1877" s="5" t="str"/>
      <x:c r="P1877" s="5" t="str">
        <x:v>Zuordnungsvorschlag; Fachfreigabe ausstehend</x:v>
      </x:c>
      <x:c r="Q1877" s="5" t="str">
        <x:v>Bestehendes Lernthema fachlich unter passendem Rahmenplan-Unterbereich behalten</x:v>
      </x:c>
      <x:c r="R1877" s="5" t="str">
        <x:v>Aus welchen Gründen werden Rückstellungen gebildet, wie werden sie bilanziell eingeordnet und wodurch kann ein Finanzierungseffekt entstehen?</x:v>
      </x:c>
      <x:c r="S1877" s="5" t="str">
        <x:v>96126e61c0490b1d3d6111f11d4e7b7937c304dbd2e1e27712eaf8429aa8ce19</x:v>
      </x:c>
    </x:row>
    <x:row r="1878" ht="36" customHeight="1">
      <x:c r="A1878" s="5" t="str">
        <x:v>IF-0065</x:v>
      </x:c>
      <x:c r="B1878" s="5" t="str">
        <x:v>HQ</x:v>
      </x:c>
      <x:c r="C1878" s="5" t="str">
        <x:v>6</x:v>
      </x:c>
      <x:c r="D1878" s="5" t="str">
        <x:v>Investition, Finanzierung, betriebliches Rechnungswesen und Controlling</x:v>
      </x:c>
      <x:c r="E1878" s="5" t="str">
        <x:v>Investition und Finanzierung</x:v>
      </x:c>
      <x:c r="F1878" s="5" t="str">
        <x:v>ui-hq-0019</x:v>
      </x:c>
      <x:c r="G1878" s="5" t="str">
        <x:v>Finanzierungsarten</x:v>
      </x:c>
      <x:c r="H1878" s="5" t="str">
        <x:v>dg-hq-0152</x:v>
      </x:c>
      <x:c r="I1878" s="5" t="str">
        <x:v>6.3.3</x:v>
      </x:c>
      <x:c r="J1878" s="5" t="str">
        <x:v>Innenfinanzierung</x:v>
      </x:c>
      <x:c r="K1878" s="5" t="str"/>
      <x:c r="L1878" s="5" t="str">
        <x:v>Innenfinanzierung &amp; Kapitalfreisetzung</x:v>
      </x:c>
      <x:c r="M1878" s="5" t="n">
        <x:v>10</x:v>
      </x:c>
      <x:c r="N1878" s="5" t="n">
        <x:v>10</x:v>
      </x:c>
      <x:c r="O1878" s="5" t="str"/>
      <x:c r="P1878" s="5" t="str">
        <x:v>Zuordnungsvorschlag; Fachfreigabe ausstehend</x:v>
      </x:c>
      <x:c r="Q1878" s="5" t="str">
        <x:v>Bestehendes Lernthema fachlich unter passendem Rahmenplan-Unterbereich behalten</x:v>
      </x:c>
      <x:c r="R1878" s="5" t="str">
        <x:v>Circle Harbor bildet eine Pensionsrückstellung von 500.000 €. Erläutern Sie den möglichen Finanzierungseffekt dieser Rückstellung.</x:v>
      </x:c>
      <x:c r="S1878" s="5" t="str">
        <x:v>78292f04880b43706a5de793c29498315c9de176dd54ee4c75a61c2a727da803</x:v>
      </x:c>
    </x:row>
    <x:row r="1879" ht="36" customHeight="1">
      <x:c r="A1879" s="5" t="str">
        <x:v>IF-0066</x:v>
      </x:c>
      <x:c r="B1879" s="5" t="str">
        <x:v>HQ</x:v>
      </x:c>
      <x:c r="C1879" s="5" t="str">
        <x:v>6</x:v>
      </x:c>
      <x:c r="D1879" s="5" t="str">
        <x:v>Investition, Finanzierung, betriebliches Rechnungswesen und Controlling</x:v>
      </x:c>
      <x:c r="E1879" s="5" t="str">
        <x:v>Investition und Finanzierung</x:v>
      </x:c>
      <x:c r="F1879" s="5" t="str">
        <x:v>ui-hq-0019</x:v>
      </x:c>
      <x:c r="G1879" s="5" t="str">
        <x:v>Finanzierungsarten</x:v>
      </x:c>
      <x:c r="H1879" s="5" t="str">
        <x:v>dg-hq-0153</x:v>
      </x:c>
      <x:c r="I1879" s="5" t="str">
        <x:v>6.3.4.4</x:v>
      </x:c>
      <x:c r="J1879" s="5" t="str">
        <x:v>Sonderformen der Finanzierung</x:v>
      </x:c>
      <x:c r="K1879" s="5" t="str"/>
      <x:c r="L1879" s="5" t="str">
        <x:v>Sonderformen, Bonität &amp; Rating</x:v>
      </x:c>
      <x:c r="M1879" s="5" t="n">
        <x:v>11</x:v>
      </x:c>
      <x:c r="N1879" s="5" t="n">
        <x:v>1</x:v>
      </x:c>
      <x:c r="O1879" s="5" t="str"/>
      <x:c r="P1879" s="5" t="str">
        <x:v>Zuordnungsvorschlag; Fachfreigabe ausstehend</x:v>
      </x:c>
      <x:c r="Q1879" s="5" t="str">
        <x:v>Bestehendes Lernthema fachlich unter passendem Rahmenplan-Unterbereich behalten</x:v>
      </x:c>
      <x:c r="R1879" s="5" t="str">
        <x:v>Circle Harbor verkauft eine eigene Maschine an eine Leasinggesellschaft und least sie unmittelbar zurück. Welche grundsätzlichen Auswirkungen kann ein Sale-and-Lease-back auf Bilanz und Liquidität haben?</x:v>
      </x:c>
      <x:c r="S1879" s="5" t="str">
        <x:v>8d8602e5c145a7940c5761f0d40fa7f61c94c465fe870e8f61047fa4b32c4ef9</x:v>
      </x:c>
    </x:row>
    <x:row r="1880" ht="36" customHeight="1">
      <x:c r="A1880" s="5" t="str">
        <x:v>IF-0067</x:v>
      </x:c>
      <x:c r="B1880" s="5" t="str">
        <x:v>HQ</x:v>
      </x:c>
      <x:c r="C1880" s="5" t="str">
        <x:v>6</x:v>
      </x:c>
      <x:c r="D1880" s="5" t="str">
        <x:v>Investition, Finanzierung, betriebliches Rechnungswesen und Controlling</x:v>
      </x:c>
      <x:c r="E1880" s="5" t="str">
        <x:v>Investition und Finanzierung</x:v>
      </x:c>
      <x:c r="F1880" s="5" t="str">
        <x:v>ui-hq-0019</x:v>
      </x:c>
      <x:c r="G1880" s="5" t="str">
        <x:v>Finanzierungsarten</x:v>
      </x:c>
      <x:c r="H1880" s="5" t="str">
        <x:v>dg-hq-0153</x:v>
      </x:c>
      <x:c r="I1880" s="5" t="str">
        <x:v>6.3.4.4</x:v>
      </x:c>
      <x:c r="J1880" s="5" t="str">
        <x:v>Sonderformen der Finanzierung</x:v>
      </x:c>
      <x:c r="K1880" s="5" t="str"/>
      <x:c r="L1880" s="5" t="str">
        <x:v>Sonderformen, Bonität &amp; Rating</x:v>
      </x:c>
      <x:c r="M1880" s="5" t="n">
        <x:v>12</x:v>
      </x:c>
      <x:c r="N1880" s="5" t="n">
        <x:v>2</x:v>
      </x:c>
      <x:c r="O1880" s="5" t="str"/>
      <x:c r="P1880" s="5" t="str">
        <x:v>Zuordnungsvorschlag; Fachfreigabe ausstehend</x:v>
      </x:c>
      <x:c r="Q1880" s="5" t="str">
        <x:v>Bestehendes Lernthema fachlich unter passendem Rahmenplan-Unterbereich behalten</x:v>
      </x:c>
      <x:c r="R1880" s="5" t="str">
        <x:v>Circle Harbor verkauft seine kurzfristigen Kundenforderungen an einen Factor. Welche typischen Auswirkungen hat echtes Factoring auf Liquidität, Forderungsbestand und Ausfallrisiko?</x:v>
      </x:c>
      <x:c r="S1880" s="5" t="str">
        <x:v>67a52751bfde0af5b9f7f880e552bfd950b60666b1cb33292743903d9ee6d576</x:v>
      </x:c>
    </x:row>
    <x:row r="1881" ht="36" customHeight="1">
      <x:c r="A1881" s="5" t="str">
        <x:v>IF-0068</x:v>
      </x:c>
      <x:c r="B1881" s="5" t="str">
        <x:v>HQ</x:v>
      </x:c>
      <x:c r="C1881" s="5" t="str">
        <x:v>6</x:v>
      </x:c>
      <x:c r="D1881" s="5" t="str">
        <x:v>Investition, Finanzierung, betriebliches Rechnungswesen und Controlling</x:v>
      </x:c>
      <x:c r="E1881" s="5" t="str">
        <x:v>Investition und Finanzierung</x:v>
      </x:c>
      <x:c r="F1881" s="5" t="str">
        <x:v>ui-hq-0019</x:v>
      </x:c>
      <x:c r="G1881" s="5" t="str">
        <x:v>Finanzierungsarten</x:v>
      </x:c>
      <x:c r="H1881" s="5" t="str">
        <x:v>dg-hq-0153</x:v>
      </x:c>
      <x:c r="I1881" s="5" t="str">
        <x:v>6.3.4.4</x:v>
      </x:c>
      <x:c r="J1881" s="5" t="str">
        <x:v>Sonderformen der Finanzierung</x:v>
      </x:c>
      <x:c r="K1881" s="5" t="str"/>
      <x:c r="L1881" s="5" t="str">
        <x:v>Sonderformen, Bonität &amp; Rating</x:v>
      </x:c>
      <x:c r="M1881" s="5" t="n">
        <x:v>13</x:v>
      </x:c>
      <x:c r="N1881" s="5" t="n">
        <x:v>3</x:v>
      </x:c>
      <x:c r="O1881" s="5" t="str"/>
      <x:c r="P1881" s="5" t="str">
        <x:v>Zuordnungsvorschlag; Fachfreigabe ausstehend</x:v>
      </x:c>
      <x:c r="Q1881" s="5" t="str">
        <x:v>Bestehendes Lernthema fachlich unter passendem Rahmenplan-Unterbereich behalten</x:v>
      </x:c>
      <x:c r="R1881" s="5" t="str">
        <x:v>Circle Harbor hat durchschnittlich 1,5 Mio. € Forderungen. Der Factor zahlt 85 % sofort aus, berechnet 5 % Zinsen auf den Vorschuss und 1,5 % Factoringgebühr auf den Forderungsbestand. Durch Factoring entfallen jährlich 20.000 € Verwaltungskosten und 15.000 € erwartete Forderungsausfälle. Ermitteln Sie die jährliche Nettobelastung vereinfacht.</x:v>
      </x:c>
      <x:c r="S1881" s="5" t="str">
        <x:v>0255a8ecffff433b96df4279a71047a275f45084b0b1b5443054ad9cfa2e12ce</x:v>
      </x:c>
    </x:row>
    <x:row r="1882" ht="36" customHeight="1">
      <x:c r="A1882" s="5" t="str">
        <x:v>IF-0069</x:v>
      </x:c>
      <x:c r="B1882" s="5" t="str">
        <x:v>HQ</x:v>
      </x:c>
      <x:c r="C1882" s="5" t="str">
        <x:v>6</x:v>
      </x:c>
      <x:c r="D1882" s="5" t="str">
        <x:v>Investition, Finanzierung, betriebliches Rechnungswesen und Controlling</x:v>
      </x:c>
      <x:c r="E1882" s="5" t="str">
        <x:v>Investition und Finanzierung</x:v>
      </x:c>
      <x:c r="F1882" s="5" t="str">
        <x:v>ui-hq-0019</x:v>
      </x:c>
      <x:c r="G1882" s="5" t="str">
        <x:v>Finanzierungsarten</x:v>
      </x:c>
      <x:c r="H1882" s="5" t="str">
        <x:v>dg-hq-0154</x:v>
      </x:c>
      <x:c r="I1882" s="5" t="str">
        <x:v>6.3.4.1</x:v>
      </x:c>
      <x:c r="J1882" s="5" t="str">
        <x:v>Beteiligungen</x:v>
      </x:c>
      <x:c r="K1882" s="5" t="str"/>
      <x:c r="L1882" s="5" t="str">
        <x:v>Beteiligungs- &amp; Mezzanine-Finanzierung</x:v>
      </x:c>
      <x:c r="M1882" s="5" t="n">
        <x:v>14</x:v>
      </x:c>
      <x:c r="N1882" s="5" t="n">
        <x:v>1</x:v>
      </x:c>
      <x:c r="O1882" s="5" t="str"/>
      <x:c r="P1882" s="5" t="str">
        <x:v>Zuordnungsvorschlag; Fachfreigabe ausstehend</x:v>
      </x:c>
      <x:c r="Q1882" s="5" t="str">
        <x:v>Bestehendes Lernthema fachlich unter passendem Rahmenplan-Unterbereich behalten</x:v>
      </x:c>
      <x:c r="R1882" s="5" t="str">
        <x:v>Welche Möglichkeiten zur Eigenkapitalerhöhung bestehen typischerweise bei Einzelunternehmen/Personengesellschaften und bei Kapitalgesellschaften?</x:v>
      </x:c>
      <x:c r="S1882" s="5" t="str">
        <x:v>988ab8c76066e80ce327aa2657460d106db7de725c9e4bbeb7241e6b9e2b4245</x:v>
      </x:c>
    </x:row>
    <x:row r="1883" ht="36" customHeight="1">
      <x:c r="A1883" s="5" t="str">
        <x:v>IF-0070</x:v>
      </x:c>
      <x:c r="B1883" s="5" t="str">
        <x:v>HQ</x:v>
      </x:c>
      <x:c r="C1883" s="5" t="str">
        <x:v>6</x:v>
      </x:c>
      <x:c r="D1883" s="5" t="str">
        <x:v>Investition, Finanzierung, betriebliches Rechnungswesen und Controlling</x:v>
      </x:c>
      <x:c r="E1883" s="5" t="str">
        <x:v>Investition und Finanzierung</x:v>
      </x:c>
      <x:c r="F1883" s="5" t="str">
        <x:v>ui-hq-0019</x:v>
      </x:c>
      <x:c r="G1883" s="5" t="str">
        <x:v>Finanzierungsarten</x:v>
      </x:c>
      <x:c r="H1883" s="5" t="str">
        <x:v>dg-hq-0154</x:v>
      </x:c>
      <x:c r="I1883" s="5" t="str">
        <x:v>6.3.4.1</x:v>
      </x:c>
      <x:c r="J1883" s="5" t="str">
        <x:v>Beteiligungen</x:v>
      </x:c>
      <x:c r="K1883" s="5" t="str"/>
      <x:c r="L1883" s="5" t="str">
        <x:v>Beteiligungs- &amp; Mezzanine-Finanzierung</x:v>
      </x:c>
      <x:c r="M1883" s="5" t="n">
        <x:v>15</x:v>
      </x:c>
      <x:c r="N1883" s="5" t="n">
        <x:v>2</x:v>
      </x:c>
      <x:c r="O1883" s="5" t="str"/>
      <x:c r="P1883" s="5" t="str">
        <x:v>Zuordnungsvorschlag; Fachfreigabe ausstehend</x:v>
      </x:c>
      <x:c r="Q1883" s="5" t="str">
        <x:v>Bestehendes Lernthema fachlich unter passendem Rahmenplan-Unterbereich behalten</x:v>
      </x:c>
      <x:c r="R1883" s="5" t="str">
        <x:v>Aus welchen wesentlichen Bestandteilen setzt sich das bilanzielle Eigenkapital einer Kapitalgesellschaft zusammen?</x:v>
      </x:c>
      <x:c r="S1883" s="5" t="str">
        <x:v>44fd7d2b479e2f6ec7a7c28a3938bd99213e9f07c4a76acf883807b57a9e9e54</x:v>
      </x:c>
    </x:row>
    <x:row r="1884" ht="36" customHeight="1">
      <x:c r="A1884" s="5" t="str">
        <x:v>IF-0071</x:v>
      </x:c>
      <x:c r="B1884" s="5" t="str">
        <x:v>HQ</x:v>
      </x:c>
      <x:c r="C1884" s="5" t="str">
        <x:v>6</x:v>
      </x:c>
      <x:c r="D1884" s="5" t="str">
        <x:v>Investition, Finanzierung, betriebliches Rechnungswesen und Controlling</x:v>
      </x:c>
      <x:c r="E1884" s="5" t="str">
        <x:v>Investition und Finanzierung</x:v>
      </x:c>
      <x:c r="F1884" s="5" t="str">
        <x:v>ui-hq-0019</x:v>
      </x:c>
      <x:c r="G1884" s="5" t="str">
        <x:v>Finanzierungsarten</x:v>
      </x:c>
      <x:c r="H1884" s="5" t="str">
        <x:v>dg-hq-0154</x:v>
      </x:c>
      <x:c r="I1884" s="5" t="str">
        <x:v>6.3.4.1</x:v>
      </x:c>
      <x:c r="J1884" s="5" t="str">
        <x:v>Beteiligungen</x:v>
      </x:c>
      <x:c r="K1884" s="5" t="str"/>
      <x:c r="L1884" s="5" t="str">
        <x:v>Beteiligungs- &amp; Mezzanine-Finanzierung</x:v>
      </x:c>
      <x:c r="M1884" s="5" t="n">
        <x:v>16</x:v>
      </x:c>
      <x:c r="N1884" s="5" t="n">
        <x:v>3</x:v>
      </x:c>
      <x:c r="O1884" s="5" t="str"/>
      <x:c r="P1884" s="5" t="str">
        <x:v>Zuordnungsvorschlag; Fachfreigabe ausstehend</x:v>
      </x:c>
      <x:c r="Q1884" s="5" t="str">
        <x:v>Bestehendes Lernthema fachlich unter passendem Rahmenplan-Unterbereich behalten</x:v>
      </x:c>
      <x:c r="R1884" s="5" t="str">
        <x:v>Erklären Sie die Begriffe Private Equity und Venture Capital und grenzen Sie sie voneinander ab.</x:v>
      </x:c>
      <x:c r="S1884" s="5" t="str">
        <x:v>964d487eafe91982f87de0ed6329ecb20d7f4412e0dfff2581a46c0c3085387b</x:v>
      </x:c>
    </x:row>
    <x:row r="1885" ht="36" customHeight="1">
      <x:c r="A1885" s="5" t="str">
        <x:v>IF-0072</x:v>
      </x:c>
      <x:c r="B1885" s="5" t="str">
        <x:v>HQ</x:v>
      </x:c>
      <x:c r="C1885" s="5" t="str">
        <x:v>6</x:v>
      </x:c>
      <x:c r="D1885" s="5" t="str">
        <x:v>Investition, Finanzierung, betriebliches Rechnungswesen und Controlling</x:v>
      </x:c>
      <x:c r="E1885" s="5" t="str">
        <x:v>Investition und Finanzierung</x:v>
      </x:c>
      <x:c r="F1885" s="5" t="str">
        <x:v>ui-hq-0019</x:v>
      </x:c>
      <x:c r="G1885" s="5" t="str">
        <x:v>Finanzierungsarten</x:v>
      </x:c>
      <x:c r="H1885" s="5" t="str">
        <x:v>dg-hq-0154</x:v>
      </x:c>
      <x:c r="I1885" s="5" t="str">
        <x:v>6.3.4.1</x:v>
      </x:c>
      <x:c r="J1885" s="5" t="str">
        <x:v>Beteiligungen</x:v>
      </x:c>
      <x:c r="K1885" s="5" t="str"/>
      <x:c r="L1885" s="5" t="str">
        <x:v>Beteiligungs- &amp; Mezzanine-Finanzierung</x:v>
      </x:c>
      <x:c r="M1885" s="5" t="n">
        <x:v>17</x:v>
      </x:c>
      <x:c r="N1885" s="5" t="n">
        <x:v>4</x:v>
      </x:c>
      <x:c r="O1885" s="5" t="str"/>
      <x:c r="P1885" s="5" t="str">
        <x:v>Zuordnungsvorschlag; Fachfreigabe ausstehend</x:v>
      </x:c>
      <x:c r="Q1885" s="5" t="str">
        <x:v>Bestehendes Lernthema fachlich unter passendem Rahmenplan-Unterbereich behalten</x:v>
      </x:c>
      <x:c r="R1885" s="5" t="str">
        <x:v>Was unterscheidet eine typische von einer atypischen stillen Beteiligung?</x:v>
      </x:c>
      <x:c r="S1885" s="5" t="str">
        <x:v>52463172b34d67d77a3472f3e81835270dfac2d7fbb4807a970aa7b24db75fc4</x:v>
      </x:c>
    </x:row>
    <x:row r="1886" ht="36" customHeight="1">
      <x:c r="A1886" s="5" t="str">
        <x:v>IF-0073</x:v>
      </x:c>
      <x:c r="B1886" s="5" t="str">
        <x:v>HQ</x:v>
      </x:c>
      <x:c r="C1886" s="5" t="str">
        <x:v>6</x:v>
      </x:c>
      <x:c r="D1886" s="5" t="str">
        <x:v>Investition, Finanzierung, betriebliches Rechnungswesen und Controlling</x:v>
      </x:c>
      <x:c r="E1886" s="5" t="str">
        <x:v>Investition und Finanzierung</x:v>
      </x:c>
      <x:c r="F1886" s="5" t="str">
        <x:v>ui-hq-0019</x:v>
      </x:c>
      <x:c r="G1886" s="5" t="str">
        <x:v>Finanzierungsarten</x:v>
      </x:c>
      <x:c r="H1886" s="5" t="str">
        <x:v>dg-hq-0155</x:v>
      </x:c>
      <x:c r="I1886" s="5" t="str">
        <x:v>6.3.4</x:v>
      </x:c>
      <x:c r="J1886" s="5" t="str">
        <x:v>Außenfinanzierung</x:v>
      </x:c>
      <x:c r="K1886" s="5" t="str"/>
      <x:c r="L1886" s="5" t="str">
        <x:v>Kurz- &amp; langfristige Kreditfinanzierung</x:v>
      </x:c>
      <x:c r="M1886" s="5" t="n">
        <x:v>18</x:v>
      </x:c>
      <x:c r="N1886" s="5" t="n">
        <x:v>1</x:v>
      </x:c>
      <x:c r="O1886" s="5" t="str"/>
      <x:c r="P1886" s="5" t="str">
        <x:v>Zuordnungsvorschlag; Fachfreigabe ausstehend</x:v>
      </x:c>
      <x:c r="Q1886" s="5" t="str">
        <x:v>Bestehendes Lernthema fachlich unter passendem Rahmenplan-Unterbereich behalten</x:v>
      </x:c>
      <x:c r="R1886" s="5" t="str">
        <x:v>Fallbezug: Die folgenden betrieblichen Angaben und Situationen beziehen sich auf die Circle Harbor GmbH.
Eine Lieferantenrechnung über 20.000 € ist innerhalb von 10 Tagen mit 2 % Skonto oder nach 30 Tagen ohne Abzug zahlbar. Berechnen Sie den ungefähren effektiven Jahreszins des Lieferantenkredits mit Skonto/(100−Skonto) × 360/(Zahlungsziel−Skontofrist). Sollte bei ausreichender Bonität stattdessen ein Bankkredit zu 8 % genutzt werden?</x:v>
      </x:c>
      <x:c r="S1886" s="5" t="str">
        <x:v>de6c71bb386b0eb1bc37950ddbe22ec3e1913a917b122b56a5fbd11eebb62533</x:v>
      </x:c>
    </x:row>
    <x:row r="1887" ht="36" customHeight="1">
      <x:c r="A1887" s="5" t="str">
        <x:v>IF-0074</x:v>
      </x:c>
      <x:c r="B1887" s="5" t="str">
        <x:v>HQ</x:v>
      </x:c>
      <x:c r="C1887" s="5" t="str">
        <x:v>6</x:v>
      </x:c>
      <x:c r="D1887" s="5" t="str">
        <x:v>Investition, Finanzierung, betriebliches Rechnungswesen und Controlling</x:v>
      </x:c>
      <x:c r="E1887" s="5" t="str">
        <x:v>Investition und Finanzierung</x:v>
      </x:c>
      <x:c r="F1887" s="5" t="str">
        <x:v>ui-hq-0019</x:v>
      </x:c>
      <x:c r="G1887" s="5" t="str">
        <x:v>Finanzierungsarten</x:v>
      </x:c>
      <x:c r="H1887" s="5" t="str">
        <x:v>dg-hq-0155</x:v>
      </x:c>
      <x:c r="I1887" s="5" t="str">
        <x:v>6.3.4.2</x:v>
      </x:c>
      <x:c r="J1887" s="5" t="str">
        <x:v>Kurzfristige Kredite</x:v>
      </x:c>
      <x:c r="K1887" s="5" t="str"/>
      <x:c r="L1887" s="5" t="str">
        <x:v>Kurz- &amp; langfristige Kreditfinanzierung</x:v>
      </x:c>
      <x:c r="M1887" s="5" t="n">
        <x:v>19</x:v>
      </x:c>
      <x:c r="N1887" s="5" t="n">
        <x:v>2</x:v>
      </x:c>
      <x:c r="O1887" s="5" t="str"/>
      <x:c r="P1887" s="5" t="str">
        <x:v>Zuordnungsvorschlag; Fachfreigabe ausstehend</x:v>
      </x:c>
      <x:c r="Q1887" s="5" t="str">
        <x:v>Bestehendes Lernthema fachlich unter passendem Rahmenplan-Unterbereich behalten</x:v>
      </x:c>
      <x:c r="R1887" s="5" t="str">
        <x:v>Warum können Anzahlungen von Kunden als kurzfristige Finanzierung wirken?</x:v>
      </x:c>
      <x:c r="S1887" s="5" t="str">
        <x:v>4c4abc34b83c1f3b4ea82e6295611996e271d9726ca7a369649acb18a674f511</x:v>
      </x:c>
    </x:row>
    <x:row r="1888" ht="36" customHeight="1">
      <x:c r="A1888" s="5" t="str">
        <x:v>IF-0075</x:v>
      </x:c>
      <x:c r="B1888" s="5" t="str">
        <x:v>HQ</x:v>
      </x:c>
      <x:c r="C1888" s="5" t="str">
        <x:v>6</x:v>
      </x:c>
      <x:c r="D1888" s="5" t="str">
        <x:v>Investition, Finanzierung, betriebliches Rechnungswesen und Controlling</x:v>
      </x:c>
      <x:c r="E1888" s="5" t="str">
        <x:v>Investition und Finanzierung</x:v>
      </x:c>
      <x:c r="F1888" s="5" t="str">
        <x:v>ui-hq-0019</x:v>
      </x:c>
      <x:c r="G1888" s="5" t="str">
        <x:v>Finanzierungsarten</x:v>
      </x:c>
      <x:c r="H1888" s="5" t="str">
        <x:v>dg-hq-0155</x:v>
      </x:c>
      <x:c r="I1888" s="5" t="str">
        <x:v>6.3.4</x:v>
      </x:c>
      <x:c r="J1888" s="5" t="str">
        <x:v>Außenfinanzierung</x:v>
      </x:c>
      <x:c r="K1888" s="5" t="str"/>
      <x:c r="L1888" s="5" t="str">
        <x:v>Kurz- &amp; langfristige Kreditfinanzierung</x:v>
      </x:c>
      <x:c r="M1888" s="5" t="n">
        <x:v>20</x:v>
      </x:c>
      <x:c r="N1888" s="5" t="n">
        <x:v>3</x:v>
      </x:c>
      <x:c r="O1888" s="5" t="str"/>
      <x:c r="P1888" s="5" t="str">
        <x:v>Zuordnungsvorschlag; Fachfreigabe ausstehend</x:v>
      </x:c>
      <x:c r="Q1888" s="5" t="str">
        <x:v>Bestehendes Lernthema fachlich unter passendem Rahmenplan-Unterbereich behalten</x:v>
      </x:c>
      <x:c r="R1888" s="5" t="str">
        <x:v>Unterscheiden Sie Tilgungsdarlehen, Annuitätendarlehen und endfälliges Darlehen.</x:v>
      </x:c>
      <x:c r="S1888" s="5" t="str">
        <x:v>ca791f9b3af343a7bdc76cfec55d9e8f959f902e63727e8e6aea5912ce2bc582</x:v>
      </x:c>
    </x:row>
    <x:row r="1889" ht="36" customHeight="1">
      <x:c r="A1889" s="5" t="str">
        <x:v>IF-0076</x:v>
      </x:c>
      <x:c r="B1889" s="5" t="str">
        <x:v>HQ</x:v>
      </x:c>
      <x:c r="C1889" s="5" t="str">
        <x:v>6</x:v>
      </x:c>
      <x:c r="D1889" s="5" t="str">
        <x:v>Investition, Finanzierung, betriebliches Rechnungswesen und Controlling</x:v>
      </x:c>
      <x:c r="E1889" s="5" t="str">
        <x:v>Investition und Finanzierung</x:v>
      </x:c>
      <x:c r="F1889" s="5" t="str">
        <x:v>ui-hq-0019</x:v>
      </x:c>
      <x:c r="G1889" s="5" t="str">
        <x:v>Finanzierungsarten</x:v>
      </x:c>
      <x:c r="H1889" s="5" t="str">
        <x:v>dg-hq-0155</x:v>
      </x:c>
      <x:c r="I1889" s="5" t="str">
        <x:v>6.3.4</x:v>
      </x:c>
      <x:c r="J1889" s="5" t="str">
        <x:v>Außenfinanzierung</x:v>
      </x:c>
      <x:c r="K1889" s="5" t="str"/>
      <x:c r="L1889" s="5" t="str">
        <x:v>Kurz- &amp; langfristige Kreditfinanzierung</x:v>
      </x:c>
      <x:c r="M1889" s="5" t="n">
        <x:v>21</x:v>
      </x:c>
      <x:c r="N1889" s="5" t="n">
        <x:v>4</x:v>
      </x:c>
      <x:c r="O1889" s="5" t="str"/>
      <x:c r="P1889" s="5" t="str">
        <x:v>Zuordnungsvorschlag; Fachfreigabe ausstehend</x:v>
      </x:c>
      <x:c r="Q1889" s="5" t="str">
        <x:v>Bestehendes Lernthema fachlich unter passendem Rahmenplan-Unterbereich behalten</x:v>
      </x:c>
      <x:c r="R1889" s="5" t="str">
        <x:v>Fallbezug: Die folgenden betrieblichen Angaben und Situationen beziehen sich auf die Circle Harbor GmbH.
Ein Annuitätendarlehen über 100.000 € läuft vier Jahre bei 5 % Zins. Die jährliche Annuität beträgt 28.201,18 €. Ermitteln Sie für das erste Jahr Zinsanteil, Tilgungsanteil und Restschuld.</x:v>
      </x:c>
      <x:c r="S1889" s="5" t="str">
        <x:v>94ea61f4963dfd0e2028f565a68fc1d857b4d0a04de5baac722dc42ee3f15276</x:v>
      </x:c>
    </x:row>
    <x:row r="1890" ht="36" customHeight="1">
      <x:c r="A1890" s="5" t="str">
        <x:v>IF-0077</x:v>
      </x:c>
      <x:c r="B1890" s="5" t="str">
        <x:v>HQ</x:v>
      </x:c>
      <x:c r="C1890" s="5" t="str">
        <x:v>6</x:v>
      </x:c>
      <x:c r="D1890" s="5" t="str">
        <x:v>Investition, Finanzierung, betriebliches Rechnungswesen und Controlling</x:v>
      </x:c>
      <x:c r="E1890" s="5" t="str">
        <x:v>Investition und Finanzierung</x:v>
      </x:c>
      <x:c r="F1890" s="5" t="str">
        <x:v>ui-hq-0019</x:v>
      </x:c>
      <x:c r="G1890" s="5" t="str">
        <x:v>Finanzierungsarten</x:v>
      </x:c>
      <x:c r="H1890" s="5" t="str">
        <x:v>dg-hq-0155</x:v>
      </x:c>
      <x:c r="I1890" s="5" t="str">
        <x:v>6.3.4</x:v>
      </x:c>
      <x:c r="J1890" s="5" t="str">
        <x:v>Außenfinanzierung</x:v>
      </x:c>
      <x:c r="K1890" s="5" t="str"/>
      <x:c r="L1890" s="5" t="str">
        <x:v>Kurz- &amp; langfristige Kreditfinanzierung</x:v>
      </x:c>
      <x:c r="M1890" s="5" t="n">
        <x:v>22</x:v>
      </x:c>
      <x:c r="N1890" s="5" t="n">
        <x:v>5</x:v>
      </x:c>
      <x:c r="O1890" s="5" t="str"/>
      <x:c r="P1890" s="5" t="str">
        <x:v>Zuordnungsvorschlag; Fachfreigabe ausstehend</x:v>
      </x:c>
      <x:c r="Q1890" s="5" t="str">
        <x:v>Bestehendes Lernthema fachlich unter passendem Rahmenplan-Unterbereich behalten</x:v>
      </x:c>
      <x:c r="R1890" s="5" t="str">
        <x:v>Warum kann der Effektivzins eines Darlehens höher sein als der Nominalzins? Nennen Sie mindestens drei Einflussgrößen.</x:v>
      </x:c>
      <x:c r="S1890" s="5" t="str">
        <x:v>dfd396079637c0fff5749275c4fa443683f4dcdd3fc3c2ef4401425d5029950f</x:v>
      </x:c>
    </x:row>
    <x:row r="1891" ht="36" customHeight="1">
      <x:c r="A1891" s="5" t="str">
        <x:v>IF-0078</x:v>
      </x:c>
      <x:c r="B1891" s="5" t="str">
        <x:v>HQ</x:v>
      </x:c>
      <x:c r="C1891" s="5" t="str">
        <x:v>6</x:v>
      </x:c>
      <x:c r="D1891" s="5" t="str">
        <x:v>Investition, Finanzierung, betriebliches Rechnungswesen und Controlling</x:v>
      </x:c>
      <x:c r="E1891" s="5" t="str">
        <x:v>Investition und Finanzierung</x:v>
      </x:c>
      <x:c r="F1891" s="5" t="str">
        <x:v>ui-hq-0019</x:v>
      </x:c>
      <x:c r="G1891" s="5" t="str">
        <x:v>Finanzierungsarten</x:v>
      </x:c>
      <x:c r="H1891" s="5" t="str">
        <x:v>dg-hq-0154</x:v>
      </x:c>
      <x:c r="I1891" s="5" t="str">
        <x:v>6.3.4.1</x:v>
      </x:c>
      <x:c r="J1891" s="5" t="str">
        <x:v>Beteiligungen</x:v>
      </x:c>
      <x:c r="K1891" s="5" t="str">
        <x:v>6.2.2.1#2; 6.2.2.2#2</x:v>
      </x:c>
      <x:c r="L1891" s="5" t="str">
        <x:v>Beteiligungs- &amp; Mezzanine-Finanzierung</x:v>
      </x:c>
      <x:c r="M1891" s="5" t="n">
        <x:v>23</x:v>
      </x:c>
      <x:c r="N1891" s="5" t="n">
        <x:v>5</x:v>
      </x:c>
      <x:c r="O1891" s="5" t="str"/>
      <x:c r="P1891" s="5" t="str">
        <x:v>Zuordnungsvorschlag; Fachfreigabe ausstehend</x:v>
      </x:c>
      <x:c r="Q1891" s="5" t="str">
        <x:v>Gezielt geprüfter Einzelbeleg</x:v>
      </x:c>
      <x:c r="R1891" s="5" t="str">
        <x:v>Circle Harbor erwägt entweder die Aufnahme neuer Gesellschafter oder eines langfristigen Bankdarlehens. Welche wesentlichen Rechte erhalten neue Gesellschafter typischerweise und worin unterscheidet sich ihre Finanzierung vom Bankkredit?</x:v>
      </x:c>
      <x:c r="S1891" s="5" t="str">
        <x:v>8d2474ae2c3079a88157c87e29496d05b08745998190b4bfaea43aa1d9cfcea6</x:v>
      </x:c>
    </x:row>
    <x:row r="1892" ht="36" customHeight="1">
      <x:c r="A1892" s="5" t="str">
        <x:v>IF-0079</x:v>
      </x:c>
      <x:c r="B1892" s="5" t="str">
        <x:v>HQ</x:v>
      </x:c>
      <x:c r="C1892" s="5" t="str">
        <x:v>6</x:v>
      </x:c>
      <x:c r="D1892" s="5" t="str">
        <x:v>Investition, Finanzierung, betriebliches Rechnungswesen und Controlling</x:v>
      </x:c>
      <x:c r="E1892" s="5" t="str">
        <x:v>Investition und Finanzierung</x:v>
      </x:c>
      <x:c r="F1892" s="5" t="str">
        <x:v>ui-hq-0019</x:v>
      </x:c>
      <x:c r="G1892" s="5" t="str">
        <x:v>Finanzierungsarten</x:v>
      </x:c>
      <x:c r="H1892" s="5" t="str">
        <x:v>dg-hq-0155</x:v>
      </x:c>
      <x:c r="I1892" s="5" t="str">
        <x:v>6.3.4</x:v>
      </x:c>
      <x:c r="J1892" s="5" t="str">
        <x:v>Außenfinanzierung</x:v>
      </x:c>
      <x:c r="K1892" s="5" t="str"/>
      <x:c r="L1892" s="5" t="str">
        <x:v>Kurz- &amp; langfristige Kreditfinanzierung</x:v>
      </x:c>
      <x:c r="M1892" s="5" t="n">
        <x:v>24</x:v>
      </x:c>
      <x:c r="N1892" s="5" t="n">
        <x:v>6</x:v>
      </x:c>
      <x:c r="O1892" s="5" t="str"/>
      <x:c r="P1892" s="5" t="str">
        <x:v>Zuordnungsvorschlag; Fachfreigabe ausstehend</x:v>
      </x:c>
      <x:c r="Q1892" s="5" t="str">
        <x:v>Bestehendes Lernthema fachlich unter passendem Rahmenplan-Unterbereich behalten</x:v>
      </x:c>
      <x:c r="R1892" s="5" t="str">
        <x:v>Fallbezug: Die folgenden betrieblichen Angaben und Situationen beziehen sich auf die Circle Harbor GmbH.
Ein Darlehen hat einen Nominalbetrag von 120.000 €. Die Bank behält 2 % Disagio und 1,5 % einmalige Bearbeitungsgebühr ein. Wie hoch ist der Auszahlungsbetrag und warum liegt der Effektivzins bei sonst gleichen Bedingungen über dem Nominalzins?</x:v>
      </x:c>
      <x:c r="S1892" s="5" t="str">
        <x:v>725aa098cb570b5eb7d764199f1192391b021a5f6fd30afebe51b884ae2a6da1</x:v>
      </x:c>
    </x:row>
    <x:row r="1893" ht="36" customHeight="1">
      <x:c r="A1893" s="5" t="str">
        <x:v>IF-0080</x:v>
      </x:c>
      <x:c r="B1893" s="5" t="str">
        <x:v>HQ</x:v>
      </x:c>
      <x:c r="C1893" s="5" t="str">
        <x:v>6</x:v>
      </x:c>
      <x:c r="D1893" s="5" t="str">
        <x:v>Investition, Finanzierung, betriebliches Rechnungswesen und Controlling</x:v>
      </x:c>
      <x:c r="E1893" s="5" t="str">
        <x:v>Investition und Finanzierung</x:v>
      </x:c>
      <x:c r="F1893" s="5" t="str">
        <x:v>ui-hq-0019</x:v>
      </x:c>
      <x:c r="G1893" s="5" t="str">
        <x:v>Finanzierungsarten</x:v>
      </x:c>
      <x:c r="H1893" s="5" t="str">
        <x:v>dg-hq-0155</x:v>
      </x:c>
      <x:c r="I1893" s="5" t="str">
        <x:v>6.3.4</x:v>
      </x:c>
      <x:c r="J1893" s="5" t="str">
        <x:v>Außenfinanzierung</x:v>
      </x:c>
      <x:c r="K1893" s="5" t="str"/>
      <x:c r="L1893" s="5" t="str">
        <x:v>Kurz- &amp; langfristige Kreditfinanzierung</x:v>
      </x:c>
      <x:c r="M1893" s="5" t="n">
        <x:v>25</x:v>
      </x:c>
      <x:c r="N1893" s="5" t="n">
        <x:v>7</x:v>
      </x:c>
      <x:c r="O1893" s="5" t="str"/>
      <x:c r="P1893" s="5" t="str">
        <x:v>Zuordnungsvorschlag; Fachfreigabe ausstehend</x:v>
      </x:c>
      <x:c r="Q1893" s="5" t="str">
        <x:v>Bestehendes Lernthema fachlich unter passendem Rahmenplan-Unterbereich behalten</x:v>
      </x:c>
      <x:c r="R1893" s="5" t="str">
        <x:v>Fallbezug: Die folgenden betrieblichen Angaben und Situationen beziehen sich auf die Circle Harbor GmbH.
Ein Darlehen von 200.000 € wird mit einer konstanten Halbjahresrate von 27.000 € bedient. Welche reine Liquiditätsbelastung entsteht pro Jahr durch den Kapitaldienst und was ist bei der Finanzplanung zu beachten?</x:v>
      </x:c>
      <x:c r="S1893" s="5" t="str">
        <x:v>86da352f46495257db1188aade4ba6dcde56c3131f8113f84279ecb010ede686</x:v>
      </x:c>
    </x:row>
    <x:row r="1894" ht="36" customHeight="1">
      <x:c r="A1894" s="5" t="str">
        <x:v>IF-0081</x:v>
      </x:c>
      <x:c r="B1894" s="5" t="str">
        <x:v>HQ</x:v>
      </x:c>
      <x:c r="C1894" s="5" t="str">
        <x:v>6</x:v>
      </x:c>
      <x:c r="D1894" s="5" t="str">
        <x:v>Investition, Finanzierung, betriebliches Rechnungswesen und Controlling</x:v>
      </x:c>
      <x:c r="E1894" s="5" t="str">
        <x:v>Investition und Finanzierung</x:v>
      </x:c>
      <x:c r="F1894" s="5" t="str">
        <x:v>ui-hq-0018</x:v>
      </x:c>
      <x:c r="G1894" s="5" t="str">
        <x:v>Finanzplanung und Ermittlung des Finanzbedarfs</x:v>
      </x:c>
      <x:c r="H1894" s="5" t="str">
        <x:v>dg-hq-0150</x:v>
      </x:c>
      <x:c r="I1894" s="5" t="str">
        <x:v>6.2.2</x:v>
      </x:c>
      <x:c r="J1894" s="5" t="str">
        <x:v>Finanzierungsplanung</x:v>
      </x:c>
      <x:c r="K1894" s="5" t="str"/>
      <x:c r="L1894" s="5" t="str">
        <x:v>Kapitalstruktur, Finanzierungsregeln &amp; Leverage</x:v>
      </x:c>
      <x:c r="M1894" s="5" t="n">
        <x:v>29</x:v>
      </x:c>
      <x:c r="N1894" s="5" t="n">
        <x:v>12</x:v>
      </x:c>
      <x:c r="O1894" s="5" t="str"/>
      <x:c r="P1894" s="5" t="str">
        <x:v>Zuordnungsvorschlag; Fachfreigabe ausstehend</x:v>
      </x:c>
      <x:c r="Q1894" s="5" t="str">
        <x:v>Bestehendes Lernthema fachlich unter passendem Rahmenplan-Unterbereich behalten</x:v>
      </x:c>
      <x:c r="R1894" s="5" t="str">
        <x:v>Nennen Sie jeweils mindestens zwei Vor- und Nachteile der Selbstfinanzierung gegenüber der Finanzierung mit externem Fremdkapital.</x:v>
      </x:c>
      <x:c r="S1894" s="5" t="str">
        <x:v>60bbb260d932a7988b5f985a65eda61191725dad363ca3d09e425f42d244a99c</x:v>
      </x:c>
    </x:row>
    <x:row r="1895" ht="36" customHeight="1">
      <x:c r="A1895" s="5" t="str">
        <x:v>IF-0082</x:v>
      </x:c>
      <x:c r="B1895" s="5" t="str">
        <x:v>HQ</x:v>
      </x:c>
      <x:c r="C1895" s="5" t="str">
        <x:v>6</x:v>
      </x:c>
      <x:c r="D1895" s="5" t="str">
        <x:v>Investition, Finanzierung, betriebliches Rechnungswesen und Controlling</x:v>
      </x:c>
      <x:c r="E1895" s="5" t="str">
        <x:v>Investition und Finanzierung</x:v>
      </x:c>
      <x:c r="F1895" s="5" t="str">
        <x:v>ui-hq-0019</x:v>
      </x:c>
      <x:c r="G1895" s="5" t="str">
        <x:v>Finanzierungsarten</x:v>
      </x:c>
      <x:c r="H1895" s="5" t="str">
        <x:v>dg-hq-0153</x:v>
      </x:c>
      <x:c r="I1895" s="5" t="str">
        <x:v>6.3.4.4</x:v>
      </x:c>
      <x:c r="J1895" s="5" t="str">
        <x:v>Sonderformen der Finanzierung</x:v>
      </x:c>
      <x:c r="K1895" s="5" t="str"/>
      <x:c r="L1895" s="5" t="str">
        <x:v>Sonderformen, Bonität &amp; Rating</x:v>
      </x:c>
      <x:c r="M1895" s="5" t="n">
        <x:v>26</x:v>
      </x:c>
      <x:c r="N1895" s="5" t="n">
        <x:v>4</x:v>
      </x:c>
      <x:c r="O1895" s="5" t="str"/>
      <x:c r="P1895" s="5" t="str">
        <x:v>Zuordnungsvorschlag; Fachfreigabe ausstehend</x:v>
      </x:c>
      <x:c r="Q1895" s="5" t="str">
        <x:v>Bestehendes Lernthema fachlich unter passendem Rahmenplan-Unterbereich behalten</x:v>
      </x:c>
      <x:c r="R1895" s="5" t="str">
        <x:v>Circle Harbor vergleicht Kauf per Bankdarlehen und Leasing einer Maschine. Beim Kauf entstehen Anschaffungskosten 100.000 €, über fünf Jahre insgesamt 15.000 € Zinsen und 10.000 € Wartungskosten; am Ende beträgt der Restwert 20.000 €. Beim Leasing fallen fünf Jahresraten zu je 22.000 € und einmalig 2.000 € Vertragskosten an. Welche Alternative ist bei vereinfachter Gesamtkostenbetrachtung günstiger?</x:v>
      </x:c>
      <x:c r="S1895" s="5" t="str">
        <x:v>8cd94f40b6ea866717f63d0f0753738a839ab90ec4fdb62c371bb7c2e45e46e7</x:v>
      </x:c>
    </x:row>
    <x:row r="1896" ht="36" customHeight="1">
      <x:c r="A1896" s="5" t="str">
        <x:v>IF-0083</x:v>
      </x:c>
      <x:c r="B1896" s="5" t="str">
        <x:v>HQ</x:v>
      </x:c>
      <x:c r="C1896" s="5" t="str">
        <x:v>6</x:v>
      </x:c>
      <x:c r="D1896" s="5" t="str">
        <x:v>Investition, Finanzierung, betriebliches Rechnungswesen und Controlling</x:v>
      </x:c>
      <x:c r="E1896" s="5" t="str">
        <x:v>Investition und Finanzierung</x:v>
      </x:c>
      <x:c r="F1896" s="5" t="str">
        <x:v>ui-hq-0019</x:v>
      </x:c>
      <x:c r="G1896" s="5" t="str">
        <x:v>Finanzierungsarten</x:v>
      </x:c>
      <x:c r="H1896" s="5" t="str">
        <x:v>dg-hq-0153</x:v>
      </x:c>
      <x:c r="I1896" s="5" t="str">
        <x:v>6.3.4.4</x:v>
      </x:c>
      <x:c r="J1896" s="5" t="str">
        <x:v>Sonderformen der Finanzierung</x:v>
      </x:c>
      <x:c r="K1896" s="5" t="str"/>
      <x:c r="L1896" s="5" t="str">
        <x:v>Sonderformen, Bonität &amp; Rating</x:v>
      </x:c>
      <x:c r="M1896" s="5" t="n">
        <x:v>27</x:v>
      </x:c>
      <x:c r="N1896" s="5" t="n">
        <x:v>5</x:v>
      </x:c>
      <x:c r="O1896" s="5" t="str"/>
      <x:c r="P1896" s="5" t="str">
        <x:v>Zuordnungsvorschlag; Fachfreigabe ausstehend</x:v>
      </x:c>
      <x:c r="Q1896" s="5" t="str">
        <x:v>Bestehendes Lernthema fachlich unter passendem Rahmenplan-Unterbereich behalten</x:v>
      </x:c>
      <x:c r="R1896" s="5" t="str">
        <x:v>Nach welchen Kriterien lassen sich Leasingverträge systematisch unterscheiden?</x:v>
      </x:c>
      <x:c r="S1896" s="5" t="str">
        <x:v>ec04868d80fe7f697d99781293f681ae99522d2608ea0ca5355e67bb173f7483</x:v>
      </x:c>
    </x:row>
    <x:row r="1897" ht="36" customHeight="1">
      <x:c r="A1897" s="5" t="str">
        <x:v>IF-0084</x:v>
      </x:c>
      <x:c r="B1897" s="5" t="str">
        <x:v>HQ</x:v>
      </x:c>
      <x:c r="C1897" s="5" t="str">
        <x:v>6</x:v>
      </x:c>
      <x:c r="D1897" s="5" t="str">
        <x:v>Investition, Finanzierung, betriebliches Rechnungswesen und Controlling</x:v>
      </x:c>
      <x:c r="E1897" s="5" t="str">
        <x:v>Investition und Finanzierung</x:v>
      </x:c>
      <x:c r="F1897" s="5" t="str">
        <x:v>ui-hq-0019</x:v>
      </x:c>
      <x:c r="G1897" s="5" t="str">
        <x:v>Finanzierungsarten</x:v>
      </x:c>
      <x:c r="H1897" s="5" t="str">
        <x:v>dg-hq-0153</x:v>
      </x:c>
      <x:c r="I1897" s="5" t="str">
        <x:v>6.3.4.4</x:v>
      </x:c>
      <x:c r="J1897" s="5" t="str">
        <x:v>Sonderformen der Finanzierung</x:v>
      </x:c>
      <x:c r="K1897" s="5" t="str"/>
      <x:c r="L1897" s="5" t="str">
        <x:v>Sonderformen, Bonität &amp; Rating</x:v>
      </x:c>
      <x:c r="M1897" s="5" t="n">
        <x:v>28</x:v>
      </x:c>
      <x:c r="N1897" s="5" t="n">
        <x:v>6</x:v>
      </x:c>
      <x:c r="O1897" s="5" t="str"/>
      <x:c r="P1897" s="5" t="str">
        <x:v>Zuordnungsvorschlag; Fachfreigabe ausstehend</x:v>
      </x:c>
      <x:c r="Q1897" s="5" t="str">
        <x:v>Bestehendes Lernthema fachlich unter passendem Rahmenplan-Unterbereich behalten</x:v>
      </x:c>
      <x:c r="R1897" s="5" t="str">
        <x:v>Nennen Sie mindestens drei Vorteile und drei Nachteile von Leasing aus Sicht eines Unternehmens.</x:v>
      </x:c>
      <x:c r="S1897" s="5" t="str">
        <x:v>0d37ae0468f89ecd5d88ae3d76cdbf0c15a26c816b1e91aee756cf1f3498d0c7</x:v>
      </x:c>
    </x:row>
    <x:row r="1898" ht="36" customHeight="1">
      <x:c r="A1898" s="5" t="str">
        <x:v>IF-0085</x:v>
      </x:c>
      <x:c r="B1898" s="5" t="str">
        <x:v>HQ</x:v>
      </x:c>
      <x:c r="C1898" s="5" t="str">
        <x:v>6</x:v>
      </x:c>
      <x:c r="D1898" s="5" t="str">
        <x:v>Investition, Finanzierung, betriebliches Rechnungswesen und Controlling</x:v>
      </x:c>
      <x:c r="E1898" s="5" t="str">
        <x:v>Investition und Finanzierung</x:v>
      </x:c>
      <x:c r="F1898" s="5" t="str">
        <x:v>ui-hq-0019</x:v>
      </x:c>
      <x:c r="G1898" s="5" t="str">
        <x:v>Finanzierungsarten</x:v>
      </x:c>
      <x:c r="H1898" s="5" t="str">
        <x:v>dg-hq-0153</x:v>
      </x:c>
      <x:c r="I1898" s="5" t="str">
        <x:v>6.3.4.4</x:v>
      </x:c>
      <x:c r="J1898" s="5" t="str">
        <x:v>Sonderformen der Finanzierung</x:v>
      </x:c>
      <x:c r="K1898" s="5" t="str"/>
      <x:c r="L1898" s="5" t="str">
        <x:v>Sonderformen, Bonität &amp; Rating</x:v>
      </x:c>
      <x:c r="M1898" s="5" t="n">
        <x:v>29</x:v>
      </x:c>
      <x:c r="N1898" s="5" t="n">
        <x:v>7</x:v>
      </x:c>
      <x:c r="O1898" s="5" t="str"/>
      <x:c r="P1898" s="5" t="str">
        <x:v>Zuordnungsvorschlag; Fachfreigabe ausstehend</x:v>
      </x:c>
      <x:c r="Q1898" s="5" t="str">
        <x:v>Bestehendes Lernthema fachlich unter passendem Rahmenplan-Unterbereich behalten</x:v>
      </x:c>
      <x:c r="R1898" s="5" t="str">
        <x:v>Welche Funktionen kann ein Factoringunternehmen für seinen Kunden übernehmen und welche Vor- bzw. Nachteile entstehen daraus?</x:v>
      </x:c>
      <x:c r="S1898" s="5" t="str">
        <x:v>82c33c8e430a8b702825d4f1b300e870e0897c2d5e75639f2f3158bea2b1c8b2</x:v>
      </x:c>
    </x:row>
    <x:row r="1899" ht="36" customHeight="1">
      <x:c r="A1899" s="5" t="str">
        <x:v>IF-0086</x:v>
      </x:c>
      <x:c r="B1899" s="5" t="str">
        <x:v>HQ</x:v>
      </x:c>
      <x:c r="C1899" s="5" t="str">
        <x:v>6</x:v>
      </x:c>
      <x:c r="D1899" s="5" t="str">
        <x:v>Investition, Finanzierung, betriebliches Rechnungswesen und Controlling</x:v>
      </x:c>
      <x:c r="E1899" s="5" t="str">
        <x:v>Investition und Finanzierung</x:v>
      </x:c>
      <x:c r="F1899" s="5" t="str">
        <x:v>ui-hq-0019</x:v>
      </x:c>
      <x:c r="G1899" s="5" t="str">
        <x:v>Finanzierungsarten</x:v>
      </x:c>
      <x:c r="H1899" s="5" t="str">
        <x:v>dg-hq-0153</x:v>
      </x:c>
      <x:c r="I1899" s="5" t="str">
        <x:v>6.3.4.4</x:v>
      </x:c>
      <x:c r="J1899" s="5" t="str">
        <x:v>Sonderformen der Finanzierung</x:v>
      </x:c>
      <x:c r="K1899" s="5" t="str"/>
      <x:c r="L1899" s="5" t="str">
        <x:v>Sonderformen, Bonität &amp; Rating</x:v>
      </x:c>
      <x:c r="M1899" s="5" t="n">
        <x:v>30</x:v>
      </x:c>
      <x:c r="N1899" s="5" t="n">
        <x:v>8</x:v>
      </x:c>
      <x:c r="O1899" s="5" t="str"/>
      <x:c r="P1899" s="5" t="str">
        <x:v>Zuordnungsvorschlag; Fachfreigabe ausstehend</x:v>
      </x:c>
      <x:c r="Q1899" s="5" t="str">
        <x:v>Bestehendes Lernthema fachlich unter passendem Rahmenplan-Unterbereich behalten</x:v>
      </x:c>
      <x:c r="R1899" s="5" t="str">
        <x:v>Bringen Sie den typischen Ablauf eines offenen Factorings in die richtige zeitliche Reihenfolge.</x:v>
      </x:c>
      <x:c r="S1899" s="5" t="str">
        <x:v>29f86478736c7797f95f9eb373cecc63ab2b73914ddc7d65f464347db811216b</x:v>
      </x:c>
    </x:row>
    <x:row r="1900" ht="36" customHeight="1">
      <x:c r="A1900" s="5" t="str">
        <x:v>IF-0087</x:v>
      </x:c>
      <x:c r="B1900" s="5" t="str">
        <x:v>HQ</x:v>
      </x:c>
      <x:c r="C1900" s="5" t="str">
        <x:v>6</x:v>
      </x:c>
      <x:c r="D1900" s="5" t="str">
        <x:v>Investition, Finanzierung, betriebliches Rechnungswesen und Controlling</x:v>
      </x:c>
      <x:c r="E1900" s="5" t="str">
        <x:v>Investition und Finanzierung</x:v>
      </x:c>
      <x:c r="F1900" s="5" t="str">
        <x:v>ui-hq-0019</x:v>
      </x:c>
      <x:c r="G1900" s="5" t="str">
        <x:v>Finanzierungsarten</x:v>
      </x:c>
      <x:c r="H1900" s="5" t="str">
        <x:v>dg-hq-0153</x:v>
      </x:c>
      <x:c r="I1900" s="5" t="str">
        <x:v>6.3.4.4</x:v>
      </x:c>
      <x:c r="J1900" s="5" t="str">
        <x:v>Sonderformen der Finanzierung</x:v>
      </x:c>
      <x:c r="K1900" s="5" t="str"/>
      <x:c r="L1900" s="5" t="str">
        <x:v>Sonderformen, Bonität &amp; Rating</x:v>
      </x:c>
      <x:c r="M1900" s="5" t="n">
        <x:v>31</x:v>
      </x:c>
      <x:c r="N1900" s="5" t="n">
        <x:v>9</x:v>
      </x:c>
      <x:c r="O1900" s="5" t="str"/>
      <x:c r="P1900" s="5" t="str">
        <x:v>Zuordnungsvorschlag; Fachfreigabe ausstehend</x:v>
      </x:c>
      <x:c r="Q1900" s="5" t="str">
        <x:v>Bestehendes Lernthema fachlich unter passendem Rahmenplan-Unterbereich behalten</x:v>
      </x:c>
      <x:c r="R1900" s="5" t="str">
        <x:v>Was ist ein Unternehmensrating, welche Bedeutung haben bankaufsichtliche Eigenkapitalanforderungen und welche Folgen kann ein schwaches Rating für einen Kreditnehmer haben?</x:v>
      </x:c>
      <x:c r="S1900" s="5" t="str">
        <x:v>581c46defea560b1f78417d07bf315c3e810893270e85e1b9ce24d492f770375</x:v>
      </x:c>
    </x:row>
    <x:row r="1901" ht="36" customHeight="1">
      <x:c r="A1901" s="5" t="str">
        <x:v>IF-0088</x:v>
      </x:c>
      <x:c r="B1901" s="5" t="str">
        <x:v>HQ</x:v>
      </x:c>
      <x:c r="C1901" s="5" t="str">
        <x:v>6</x:v>
      </x:c>
      <x:c r="D1901" s="5" t="str">
        <x:v>Investition, Finanzierung, betriebliches Rechnungswesen und Controlling</x:v>
      </x:c>
      <x:c r="E1901" s="5" t="str">
        <x:v>Investition und Finanzierung</x:v>
      </x:c>
      <x:c r="F1901" s="5" t="str">
        <x:v>ui-hq-0019</x:v>
      </x:c>
      <x:c r="G1901" s="5" t="str">
        <x:v>Finanzierungsarten</x:v>
      </x:c>
      <x:c r="H1901" s="5" t="str">
        <x:v>dg-hq-0153</x:v>
      </x:c>
      <x:c r="I1901" s="5" t="str">
        <x:v>6.3.4.4</x:v>
      </x:c>
      <x:c r="J1901" s="5" t="str">
        <x:v>Sonderformen der Finanzierung</x:v>
      </x:c>
      <x:c r="K1901" s="5" t="str"/>
      <x:c r="L1901" s="5" t="str">
        <x:v>Sonderformen, Bonität &amp; Rating</x:v>
      </x:c>
      <x:c r="M1901" s="5" t="n">
        <x:v>32</x:v>
      </x:c>
      <x:c r="N1901" s="5" t="n">
        <x:v>10</x:v>
      </x:c>
      <x:c r="O1901" s="5" t="str"/>
      <x:c r="P1901" s="5" t="str">
        <x:v>Zuordnungsvorschlag; Fachfreigabe ausstehend</x:v>
      </x:c>
      <x:c r="Q1901" s="5" t="str">
        <x:v>Bestehendes Lernthema fachlich unter passendem Rahmenplan-Unterbereich behalten</x:v>
      </x:c>
      <x:c r="R1901" s="5" t="str">
        <x:v>Fallbezug: Die folgenden betrieblichen Angaben und Situationen beziehen sich auf die Circle Harbor GmbH.
Was bedeutet ROI (Return on Investment) und wie wird er berechnet? Ein Projekt erzielt 80.000 € Gewinn bei 500.000 € eingesetztem Kapital.</x:v>
      </x:c>
      <x:c r="S1901" s="5" t="str">
        <x:v>5d5cd16fecdca11976d10d9441f83bd54917808cbc54969a8df5c2248e2563ca</x:v>
      </x:c>
    </x:row>
    <x:row r="1902" ht="36" customHeight="1">
      <x:c r="A1902" s="5" t="str">
        <x:v>IF-0089</x:v>
      </x:c>
      <x:c r="B1902" s="5" t="str">
        <x:v>HQ</x:v>
      </x:c>
      <x:c r="C1902" s="5" t="str">
        <x:v>6</x:v>
      </x:c>
      <x:c r="D1902" s="5" t="str">
        <x:v>Investition, Finanzierung, betriebliches Rechnungswesen und Controlling</x:v>
      </x:c>
      <x:c r="E1902" s="5" t="str">
        <x:v>Investition und Finanzierung</x:v>
      </x:c>
      <x:c r="F1902" s="5" t="str">
        <x:v>ui-hq-0018</x:v>
      </x:c>
      <x:c r="G1902" s="5" t="str">
        <x:v>Finanzplanung und Ermittlung des Finanzbedarfs</x:v>
      </x:c>
      <x:c r="H1902" s="5" t="str">
        <x:v>dg-hq-0156</x:v>
      </x:c>
      <x:c r="I1902" s="5" t="str">
        <x:v>6.2.2.5</x:v>
      </x:c>
      <x:c r="J1902" s="5" t="str">
        <x:v>Leverage-Effekt</x:v>
      </x:c>
      <x:c r="K1902" s="5" t="str"/>
      <x:c r="L1902" s="5" t="str">
        <x:v>Kapitalstruktur, Finanzierungsregeln &amp; Leverage</x:v>
      </x:c>
      <x:c r="M1902" s="5" t="n">
        <x:v>30</x:v>
      </x:c>
      <x:c r="N1902" s="5" t="n">
        <x:v>1</x:v>
      </x:c>
      <x:c r="O1902" s="5" t="str"/>
      <x:c r="P1902" s="5" t="str">
        <x:v>Zuordnungsvorschlag; Fachfreigabe ausstehend</x:v>
      </x:c>
      <x:c r="Q1902" s="5" t="str">
        <x:v>Frageinhalt präzisiert bzw. teilt bisheriges Sammelthema</x:v>
      </x:c>
      <x:c r="R1902" s="5" t="str">
        <x:v>Circle Harbor erzielt vor Fremdkapitalzinsen 100.000 € Ergebnis auf 1 Mio. € Gesamtkapital. Davon sind 400.000 € Fremdkapital zu 5 % und 600.000 € Eigenkapital. Berechnen Sie die Eigenkapitalrentabilität und erläutern Sie den Leverage-Effekt.</x:v>
      </x:c>
      <x:c r="S1902" s="5" t="str">
        <x:v>4bc4c2b11f146948bcc8bbc89d3bd4c521306c68207ce6a9fb4338dae8d18279</x:v>
      </x:c>
    </x:row>
    <x:row r="1903" ht="36" customHeight="1">
      <x:c r="A1903" s="5" t="str">
        <x:v>IF-0090</x:v>
      </x:c>
      <x:c r="B1903" s="5" t="str">
        <x:v>HQ</x:v>
      </x:c>
      <x:c r="C1903" s="5" t="str">
        <x:v>6</x:v>
      </x:c>
      <x:c r="D1903" s="5" t="str">
        <x:v>Investition, Finanzierung, betriebliches Rechnungswesen und Controlling</x:v>
      </x:c>
      <x:c r="E1903" s="5" t="str">
        <x:v>Investition und Finanzierung</x:v>
      </x:c>
      <x:c r="F1903" s="5" t="str">
        <x:v>ui-hq-0018</x:v>
      </x:c>
      <x:c r="G1903" s="5" t="str">
        <x:v>Finanzplanung und Ermittlung des Finanzbedarfs</x:v>
      </x:c>
      <x:c r="H1903" s="5" t="str">
        <x:v>dg-hq-0150</x:v>
      </x:c>
      <x:c r="I1903" s="5" t="str">
        <x:v>6.2.2</x:v>
      </x:c>
      <x:c r="J1903" s="5" t="str">
        <x:v>Finanzierungsplanung</x:v>
      </x:c>
      <x:c r="K1903" s="5" t="str"/>
      <x:c r="L1903" s="5" t="str">
        <x:v>Kapitalstruktur, Finanzierungsregeln &amp; Leverage</x:v>
      </x:c>
      <x:c r="M1903" s="5" t="n">
        <x:v>31</x:v>
      </x:c>
      <x:c r="N1903" s="5" t="n">
        <x:v>13</x:v>
      </x:c>
      <x:c r="O1903" s="5" t="str"/>
      <x:c r="P1903" s="5" t="str">
        <x:v>Zuordnungsvorschlag; Fachfreigabe ausstehend</x:v>
      </x:c>
      <x:c r="Q1903" s="5" t="str">
        <x:v>Bestehendes Lernthema fachlich unter passendem Rahmenplan-Unterbereich behalten</x:v>
      </x:c>
      <x:c r="R1903" s="5" t="str">
        <x:v>Drei Unternehmen weisen folgende Werte auf: A Eigenkapital 2 Mio. €, Gesamtkapital 5 Mio. €, Gewinn 700.000 €, Fremdkapitalzinsen 250.000 €, Umsatz 5 Mio. €; B 1,5 Mio. €, 4 Mio. €, 600.000 €, 175.000 €, 4 Mio. €; C 3 Mio. €, 5 Mio. €, 800.000 €, 120.000 €, 6 Mio. €. Berechnen Sie Eigenkapital-, Gesamtkapital- und Umsatzrentabilität und vergleichen Sie.</x:v>
      </x:c>
      <x:c r="S1903" s="5" t="str">
        <x:v>57387e9274d8950acdfec4a4d8b7fc5ff6fd587d56093f703624b850b19eb15e</x:v>
      </x:c>
    </x:row>
    <x:row r="1904" ht="36" customHeight="1">
      <x:c r="A1904" s="5" t="str">
        <x:v>IF-0091</x:v>
      </x:c>
      <x:c r="B1904" s="5" t="str">
        <x:v>HQ</x:v>
      </x:c>
      <x:c r="C1904" s="5" t="str">
        <x:v>6</x:v>
      </x:c>
      <x:c r="D1904" s="5" t="str">
        <x:v>Investition, Finanzierung, betriebliches Rechnungswesen und Controlling</x:v>
      </x:c>
      <x:c r="E1904" s="5" t="str">
        <x:v>Investition und Finanzierung</x:v>
      </x:c>
      <x:c r="F1904" s="5" t="str">
        <x:v>ui-hq-0020</x:v>
      </x:c>
      <x:c r="G1904" s="5" t="str">
        <x:v>Kosten- und Leistungsrechnung</x:v>
      </x:c>
      <x:c r="H1904" s="5" t="str">
        <x:v>dg-hq-0157</x:v>
      </x:c>
      <x:c r="I1904" s="5" t="str">
        <x:v>6.4.1.2</x:v>
      </x:c>
      <x:c r="J1904" s="5" t="str">
        <x:v>Entscheidungen bezüglich Fremdbezug oder Eigenfertigung</x:v>
      </x:c>
      <x:c r="K1904" s="5" t="str">
        <x:v>6.1.2.2#1</x:v>
      </x:c>
      <x:c r="L1904" s="5" t="str">
        <x:v>Statische Investitionsrechnung</x:v>
      </x:c>
      <x:c r="M1904" s="5" t="n">
        <x:v>71</x:v>
      </x:c>
      <x:c r="N1904" s="5" t="n">
        <x:v>1</x:v>
      </x:c>
      <x:c r="O1904" s="5" t="str">
        <x:v>E03</x:v>
      </x:c>
      <x:c r="P1904" s="5" t="str">
        <x:v>FACHLICHE ENTSCHEIDUNG FREIGEGEBEN; Inhaltsmaßnahme separat offen</x:v>
      </x:c>
      <x:c r="Q1904" s="5" t="str">
        <x:v>Freigegeben: Make-or-Buy im KLR-Punkt 6.4.1.2; Quellfach bleibt erhalten. Entscheidungsrelevante Fixkosten später ausdrücklich klarstellen.</x:v>
      </x:c>
      <x:c r="R1904" s="5" t="str">
        <x:v>Circle Harbor kann ein Bauteil selbst herstellen oder zukaufen. Bei Eigenfertigung entstehen jährlich 48.000 € fixe Kosten und 6,50 € variable Kosten je Stück. Der Lieferant verlangt 11,30 € je Stück. a) Berechnen Sie die kritische Menge. b) Welche Alternative ist bei 12.000 Stück kostengünstiger und um wie viel? c) Nennen Sie zwei qualitative Kriterien, die zusätzlich zu prüfen sind.</x:v>
      </x:c>
      <x:c r="S1904" s="5" t="str">
        <x:v>438c647a082d69fd271c1f973aaa09d4443164d2357bb21720b5b309a049abab</x:v>
      </x:c>
    </x:row>
    <x:row r="1905" ht="36" customHeight="1">
      <x:c r="A1905" s="5" t="str">
        <x:v>IF-0092</x:v>
      </x:c>
      <x:c r="B1905" s="5" t="str">
        <x:v>HQ</x:v>
      </x:c>
      <x:c r="C1905" s="5" t="str">
        <x:v>6</x:v>
      </x:c>
      <x:c r="D1905" s="5" t="str">
        <x:v>Investition, Finanzierung, betriebliches Rechnungswesen und Controlling</x:v>
      </x:c>
      <x:c r="E1905" s="5" t="str">
        <x:v>Investition und Finanzierung</x:v>
      </x:c>
      <x:c r="F1905" s="5" t="str">
        <x:v>ui-hq-0017</x:v>
      </x:c>
      <x:c r="G1905" s="5" t="str">
        <x:v>Investitionsplanung und -rechnung</x:v>
      </x:c>
      <x:c r="H1905" s="5" t="str">
        <x:v>dg-hq-0146</x:v>
      </x:c>
      <x:c r="I1905" s="5" t="str">
        <x:v>6.1.2.2</x:v>
      </x:c>
      <x:c r="J1905" s="5" t="str">
        <x:v>Statische Investitionsrechnung</x:v>
      </x:c>
      <x:c r="K1905" s="5" t="str"/>
      <x:c r="L1905" s="5" t="str">
        <x:v>Statische Investitionsrechnung</x:v>
      </x:c>
      <x:c r="M1905" s="5" t="n">
        <x:v>28</x:v>
      </x:c>
      <x:c r="N1905" s="5" t="n">
        <x:v>12</x:v>
      </x:c>
      <x:c r="O1905" s="5" t="str"/>
      <x:c r="P1905" s="5" t="str">
        <x:v>Zuordnungsvorschlag; Fachfreigabe ausstehend</x:v>
      </x:c>
      <x:c r="Q1905" s="5" t="str">
        <x:v>Bestehendes Lernthema fachlich unter passendem Rahmenplan-Unterbereich behalten</x:v>
      </x:c>
      <x:c r="R1905" s="5" t="str">
        <x:v>Fallbezug: Die folgenden betrieblichen Angaben und Situationen beziehen sich auf die Circle Harbor GmbH.
Eine Maschine kostet 500.000 €, hat nach fünf Jahren einen Restwert von 50.000 € und erzielt jährlich 410.000 € Erlöse. Die jährlichen Betriebskosten ohne kalkulatorische Abschreibung und Zinsen betragen 250.000 €. Der kalkulatorische Zinssatz beträgt 6 %. Berechnen Sie kalkulatorische Abschreibung, durchschnittlich gebundenes Kapital, kalkulatorische Zinsen, Gewinn und Rentabilität.</x:v>
      </x:c>
      <x:c r="S1905" s="5" t="str">
        <x:v>df40bfe1b7406743b013f7fb2d911a4a93edbb83237eafb71846514ec8e943c9</x:v>
      </x:c>
    </x:row>
    <x:row r="1906" ht="36" customHeight="1">
      <x:c r="A1906" s="5" t="str">
        <x:v>IF-0093</x:v>
      </x:c>
      <x:c r="B1906" s="5" t="str">
        <x:v>HQ</x:v>
      </x:c>
      <x:c r="C1906" s="5" t="str">
        <x:v>6</x:v>
      </x:c>
      <x:c r="D1906" s="5" t="str">
        <x:v>Investition, Finanzierung, betriebliches Rechnungswesen und Controlling</x:v>
      </x:c>
      <x:c r="E1906" s="5" t="str">
        <x:v>Investition und Finanzierung</x:v>
      </x:c>
      <x:c r="F1906" s="5" t="str">
        <x:v>ui-hq-0017</x:v>
      </x:c>
      <x:c r="G1906" s="5" t="str">
        <x:v>Investitionsplanung und -rechnung</x:v>
      </x:c>
      <x:c r="H1906" s="5" t="str">
        <x:v>dg-hq-0146</x:v>
      </x:c>
      <x:c r="I1906" s="5" t="str">
        <x:v>6.1.2.2</x:v>
      </x:c>
      <x:c r="J1906" s="5" t="str">
        <x:v>Statische Investitionsrechnung</x:v>
      </x:c>
      <x:c r="K1906" s="5" t="str"/>
      <x:c r="L1906" s="5" t="str">
        <x:v>Statische Investitionsrechnung</x:v>
      </x:c>
      <x:c r="M1906" s="5" t="n">
        <x:v>29</x:v>
      </x:c>
      <x:c r="N1906" s="5" t="n">
        <x:v>13</x:v>
      </x:c>
      <x:c r="O1906" s="5" t="str"/>
      <x:c r="P1906" s="5" t="str">
        <x:v>Zuordnungsvorschlag; Fachfreigabe ausstehend</x:v>
      </x:c>
      <x:c r="Q1906" s="5" t="str">
        <x:v>Bestehendes Lernthema fachlich unter passendem Rahmenplan-Unterbereich behalten</x:v>
      </x:c>
      <x:c r="R1906" s="5" t="str">
        <x:v>Fallbezug: Die folgenden betrieblichen Angaben und Situationen beziehen sich auf die Circle Harbor GmbH.
Für eine Investition werden 288.000 € eingesetzt. Sie erzielt durchschnittlich 42.000 € Gewinn pro Jahr; die kalkulatorische Abschreibung beträgt jährlich 54.000 €. Berechnen Sie den durchschnittlichen jährlichen Rückfluss und die statische Amortisationsdauer. Beurteilen Sie das Ergebnis, wenn das Unternehmen höchstens 3,5 Jahre akzeptiert.</x:v>
      </x:c>
      <x:c r="S1906" s="5" t="str">
        <x:v>01b8755a3f1b97dc0c0679f51a7aea686275c607cbd8b0d9de8c5579f0c996fd</x:v>
      </x:c>
    </x:row>
    <x:row r="1907" ht="36" customHeight="1">
      <x:c r="A1907" s="5" t="str">
        <x:v>IF-0094</x:v>
      </x:c>
      <x:c r="B1907" s="5" t="str">
        <x:v>HQ</x:v>
      </x:c>
      <x:c r="C1907" s="5" t="str">
        <x:v>6</x:v>
      </x:c>
      <x:c r="D1907" s="5" t="str">
        <x:v>Investition, Finanzierung, betriebliches Rechnungswesen und Controlling</x:v>
      </x:c>
      <x:c r="E1907" s="5" t="str">
        <x:v>Investition und Finanzierung</x:v>
      </x:c>
      <x:c r="F1907" s="5" t="str">
        <x:v>ui-hq-0017</x:v>
      </x:c>
      <x:c r="G1907" s="5" t="str">
        <x:v>Investitionsplanung und -rechnung</x:v>
      </x:c>
      <x:c r="H1907" s="5" t="str">
        <x:v>dg-hq-0147</x:v>
      </x:c>
      <x:c r="I1907" s="5" t="str">
        <x:v>6.1.2.3</x:v>
      </x:c>
      <x:c r="J1907" s="5" t="str">
        <x:v>Dynamische Investitionsrechnung</x:v>
      </x:c>
      <x:c r="K1907" s="5" t="str"/>
      <x:c r="L1907" s="5" t="str">
        <x:v>Dynamische Investitionsrechnung &amp; Nutzungsdauer</x:v>
      </x:c>
      <x:c r="M1907" s="5" t="n">
        <x:v>30</x:v>
      </x:c>
      <x:c r="N1907" s="5" t="n">
        <x:v>10</x:v>
      </x:c>
      <x:c r="O1907" s="5" t="str"/>
      <x:c r="P1907" s="5" t="str">
        <x:v>Zuordnungsvorschlag; Fachfreigabe ausstehend</x:v>
      </x:c>
      <x:c r="Q1907" s="5" t="str">
        <x:v>Bestehendes Lernthema fachlich unter passendem Rahmenplan-Unterbereich behalten</x:v>
      </x:c>
      <x:c r="R1907" s="5" t="str">
        <x:v>Fallbezug: Die folgenden betrieblichen Angaben und Situationen beziehen sich auf die Circle Harbor GmbH.
Eine Investition erfordert sofort 240.000 €. In den Jahren 1 bis 4 werden jeweils 80.000 € Einzahlungsüberschuss erwartet. Am Ende des 4. Jahres wird zusätzlich ein Restwert von 20.000 € erlöst. Der Kalkulationszins beträgt 8 %. Berechnen Sie den Kapitalwert und beurteilen Sie die Investition.</x:v>
      </x:c>
      <x:c r="S1907" s="5" t="str">
        <x:v>2ce018748f82c2e3a3ca03cc058bac1af681db6c2853c09b606eb4ffd9923aec</x:v>
      </x:c>
    </x:row>
    <x:row r="1908" ht="36" customHeight="1">
      <x:c r="A1908" s="5" t="str">
        <x:v>IF-0095</x:v>
      </x:c>
      <x:c r="B1908" s="5" t="str">
        <x:v>HQ</x:v>
      </x:c>
      <x:c r="C1908" s="5" t="str">
        <x:v>6</x:v>
      </x:c>
      <x:c r="D1908" s="5" t="str">
        <x:v>Investition, Finanzierung, betriebliches Rechnungswesen und Controlling</x:v>
      </x:c>
      <x:c r="E1908" s="5" t="str">
        <x:v>Investition und Finanzierung</x:v>
      </x:c>
      <x:c r="F1908" s="5" t="str">
        <x:v>ui-hq-0017</x:v>
      </x:c>
      <x:c r="G1908" s="5" t="str">
        <x:v>Investitionsplanung und -rechnung</x:v>
      </x:c>
      <x:c r="H1908" s="5" t="str">
        <x:v>dg-hq-0147</x:v>
      </x:c>
      <x:c r="I1908" s="5" t="str">
        <x:v>6.1.2.3</x:v>
      </x:c>
      <x:c r="J1908" s="5" t="str">
        <x:v>Dynamische Investitionsrechnung</x:v>
      </x:c>
      <x:c r="K1908" s="5" t="str"/>
      <x:c r="L1908" s="5" t="str">
        <x:v>Dynamische Investitionsrechnung &amp; Nutzungsdauer</x:v>
      </x:c>
      <x:c r="M1908" s="5" t="n">
        <x:v>31</x:v>
      </x:c>
      <x:c r="N1908" s="5" t="n">
        <x:v>11</x:v>
      </x:c>
      <x:c r="O1908" s="5" t="str"/>
      <x:c r="P1908" s="5" t="str">
        <x:v>Zuordnungsvorschlag; Fachfreigabe ausstehend</x:v>
      </x:c>
      <x:c r="Q1908" s="5" t="str">
        <x:v>Bestehendes Lernthema fachlich unter passendem Rahmenplan-Unterbereich behalten</x:v>
      </x:c>
      <x:c r="R1908" s="5" t="str">
        <x:v>Fallbezug: Die folgenden betrieblichen Angaben und Situationen beziehen sich auf die Circle Harbor GmbH.
Eine Anlage kostet 200.000 €. Die Einzahlungsüberschüsse betragen im 1. Jahr 90.000 €, im 2. Jahr 80.000 € und im 3. Jahr 60.000 €. Bei Verkauf am Ende des jeweiligen Jahres könnten 140.000 €, 80.000 € bzw. 20.000 € erlöst werden. Der Kalkulationszins beträgt 10 %. Berechnen Sie die Kapitalwerte bei einer Nutzungsdauer von 1, 2 und 3 Jahren und bestimmen Sie die wirtschaftlich günstigste Nutzungsdauer.</x:v>
      </x:c>
      <x:c r="S1908" s="5" t="str">
        <x:v>65ab17ee1c584a06e234ae01f8cf4ce1c3a22459bdeed3b19b5d03d07b87f6bd</x:v>
      </x:c>
    </x:row>
    <x:row r="1909" ht="36" customHeight="1">
      <x:c r="A1909" s="5" t="str">
        <x:v>IF-0096</x:v>
      </x:c>
      <x:c r="B1909" s="5" t="str">
        <x:v>HQ</x:v>
      </x:c>
      <x:c r="C1909" s="5" t="str">
        <x:v>6</x:v>
      </x:c>
      <x:c r="D1909" s="5" t="str">
        <x:v>Investition, Finanzierung, betriebliches Rechnungswesen und Controlling</x:v>
      </x:c>
      <x:c r="E1909" s="5" t="str">
        <x:v>Investition und Finanzierung</x:v>
      </x:c>
      <x:c r="F1909" s="5" t="str">
        <x:v>ui-hq-0018</x:v>
      </x:c>
      <x:c r="G1909" s="5" t="str">
        <x:v>Finanzplanung und Ermittlung des Finanzbedarfs</x:v>
      </x:c>
      <x:c r="H1909" s="5" t="str">
        <x:v>dg-hq-0144</x:v>
      </x:c>
      <x:c r="I1909" s="5" t="str">
        <x:v>6.2.1</x:v>
      </x:c>
      <x:c r="J1909" s="5" t="str">
        <x:v>Kapitalbedarfsplanung</x:v>
      </x:c>
      <x:c r="K1909" s="5" t="str"/>
      <x:c r="L1909" s="5" t="str">
        <x:v>Kapitalbedarfs-, Finanz- &amp; Liquiditätsplanung</x:v>
      </x:c>
      <x:c r="M1909" s="5" t="n">
        <x:v>32</x:v>
      </x:c>
      <x:c r="N1909" s="5" t="n">
        <x:v>7</x:v>
      </x:c>
      <x:c r="O1909" s="5" t="str"/>
      <x:c r="P1909" s="5" t="str">
        <x:v>Zuordnungsvorschlag; Fachfreigabe ausstehend</x:v>
      </x:c>
      <x:c r="Q1909" s="5" t="str">
        <x:v>Bestehendes Lernthema fachlich unter passendem Rahmenplan-Unterbereich behalten</x:v>
      </x:c>
      <x:c r="R1909" s="5" t="str">
        <x:v>Circle Harbor hat 160.000 € Vorräte, 120.000 € kurzfristige Forderungen und 20.000 € liquide Mittel. Die kurzfristigen Verbindlichkeiten betragen 150.000 €. a) Berechnen Sie das Working Capital. b) Nach Maßnahmen zur Verringerung der Kapitalbindung werden für die nächste Planbilanz 140.000 € Vorräte, 90.000 € kurzfristige Forderungen und 20.000 € liquide Mittel bei unveränderten kurzfristigen Verbindlichkeiten erwartet. Berechnen Sie das neue Working Capital und die Verringerung der Nettokapitalbindung.</x:v>
      </x:c>
      <x:c r="S1909" s="5" t="str">
        <x:v>d555b6c0cf8645aa0d16bc062d721197f4c1018ed9e8ffa77a56f232be30158c</x:v>
      </x:c>
    </x:row>
    <x:row r="1910" ht="36" customHeight="1">
      <x:c r="A1910" s="5" t="str">
        <x:v>IF-0097</x:v>
      </x:c>
      <x:c r="B1910" s="5" t="str">
        <x:v>HQ</x:v>
      </x:c>
      <x:c r="C1910" s="5" t="str">
        <x:v>6</x:v>
      </x:c>
      <x:c r="D1910" s="5" t="str">
        <x:v>Investition, Finanzierung, betriebliches Rechnungswesen und Controlling</x:v>
      </x:c>
      <x:c r="E1910" s="5" t="str">
        <x:v>Investition und Finanzierung</x:v>
      </x:c>
      <x:c r="F1910" s="5" t="str">
        <x:v>ui-hq-0018</x:v>
      </x:c>
      <x:c r="G1910" s="5" t="str">
        <x:v>Finanzplanung und Ermittlung des Finanzbedarfs</x:v>
      </x:c>
      <x:c r="H1910" s="5" t="str">
        <x:v>dg-hq-0144</x:v>
      </x:c>
      <x:c r="I1910" s="5" t="str">
        <x:v>6.2.1</x:v>
      </x:c>
      <x:c r="J1910" s="5" t="str">
        <x:v>Kapitalbedarfsplanung</x:v>
      </x:c>
      <x:c r="K1910" s="5" t="str"/>
      <x:c r="L1910" s="5" t="str">
        <x:v>Kapitalbedarfs-, Finanz- &amp; Liquiditätsplanung</x:v>
      </x:c>
      <x:c r="M1910" s="5" t="n">
        <x:v>33</x:v>
      </x:c>
      <x:c r="N1910" s="5" t="n">
        <x:v>8</x:v>
      </x:c>
      <x:c r="O1910" s="5" t="str"/>
      <x:c r="P1910" s="5" t="str">
        <x:v>Zuordnungsvorschlag; Fachfreigabe ausstehend</x:v>
      </x:c>
      <x:c r="Q1910" s="5" t="str">
        <x:v>Bestehendes Lernthema fachlich unter passendem Rahmenplan-Unterbereich behalten</x:v>
      </x:c>
      <x:c r="R1910" s="5" t="str">
        <x:v>Circle Harbor startet Monat 1 mit 40.000 € liquiden Mitteln. Im ersten Monat werden 150.000 € Einzahlungen und 180.000 € Auszahlungen erwartet. Im zweiten Monat folgen 120.000 € Einzahlungen und 155.000 € Auszahlungen. Erstellen Sie die Liquiditätsfortschreibung für beide Monate und bestimmen Sie den zusätzlichen Finanzierungsbedarf am Ende von Monat 2.</x:v>
      </x:c>
      <x:c r="S1910" s="5" t="str">
        <x:v>dab988c8f3dc636de0909525179491dccbccdc6e85385295e3d977cdfc6014b2</x:v>
      </x:c>
    </x:row>
    <x:row r="1911" ht="36" customHeight="1">
      <x:c r="A1911" s="5" t="str">
        <x:v>IF-0098</x:v>
      </x:c>
      <x:c r="B1911" s="5" t="str">
        <x:v>HQ</x:v>
      </x:c>
      <x:c r="C1911" s="5" t="str">
        <x:v>6</x:v>
      </x:c>
      <x:c r="D1911" s="5" t="str">
        <x:v>Investition, Finanzierung, betriebliches Rechnungswesen und Controlling</x:v>
      </x:c>
      <x:c r="E1911" s="5" t="str">
        <x:v>Investition und Finanzierung</x:v>
      </x:c>
      <x:c r="F1911" s="5" t="str">
        <x:v>ui-hq-0019</x:v>
      </x:c>
      <x:c r="G1911" s="5" t="str">
        <x:v>Finanzierungsarten</x:v>
      </x:c>
      <x:c r="H1911" s="5" t="str">
        <x:v>dg-hq-0155</x:v>
      </x:c>
      <x:c r="I1911" s="5" t="str">
        <x:v>6.3.4.2</x:v>
      </x:c>
      <x:c r="J1911" s="5" t="str">
        <x:v>Kurzfristige Kredite</x:v>
      </x:c>
      <x:c r="K1911" s="5" t="str"/>
      <x:c r="L1911" s="5" t="str">
        <x:v>Kurz- &amp; langfristige Kreditfinanzierung</x:v>
      </x:c>
      <x:c r="M1911" s="5" t="n">
        <x:v>33</x:v>
      </x:c>
      <x:c r="N1911" s="5" t="n">
        <x:v>8</x:v>
      </x:c>
      <x:c r="O1911" s="5" t="str"/>
      <x:c r="P1911" s="5" t="str">
        <x:v>Zuordnungsvorschlag; Fachfreigabe ausstehend</x:v>
      </x:c>
      <x:c r="Q1911" s="5" t="str">
        <x:v>Bestehendes Lernthema fachlich unter passendem Rahmenplan-Unterbereich behalten</x:v>
      </x:c>
      <x:c r="R1911" s="5" t="str">
        <x:v>Fallbezug: Die folgenden betrieblichen Angaben und Situationen beziehen sich auf die Circle Harbor GmbH.
Ein Lieferant bietet Zahlungsbedingungen von 2 % Skonto bei Zahlung innerhalb von 10 Tagen oder Zahlung des vollen Rechnungsbetrags nach 30 Tagen. Berechnen Sie mit 360 Tagen den näherungsweisen effektiven Jahreszinssatz des Lieferantenkredits bei Skontoverzicht. Beurteilen Sie, ob ein kurzfristiger Bankkredit zu 9 % p. a. für die Skontonutzung wirtschaftlich günstiger wäre, sofern keine weiteren Kosten entstehen.</x:v>
      </x:c>
      <x:c r="S1911" s="5" t="str">
        <x:v>bf84f498c17df18c0ed70fe02242977ecfd43bebf6ea59330a8b4bffc83a8063</x:v>
      </x:c>
    </x:row>
    <x:row r="1912" ht="36" customHeight="1">
      <x:c r="A1912" s="5" t="str">
        <x:v>IF-0099</x:v>
      </x:c>
      <x:c r="B1912" s="5" t="str">
        <x:v>HQ</x:v>
      </x:c>
      <x:c r="C1912" s="5" t="str">
        <x:v>6</x:v>
      </x:c>
      <x:c r="D1912" s="5" t="str">
        <x:v>Investition, Finanzierung, betriebliches Rechnungswesen und Controlling</x:v>
      </x:c>
      <x:c r="E1912" s="5" t="str">
        <x:v>Investition und Finanzierung</x:v>
      </x:c>
      <x:c r="F1912" s="5" t="str">
        <x:v>ui-hq-0019</x:v>
      </x:c>
      <x:c r="G1912" s="5" t="str">
        <x:v>Finanzierungsarten</x:v>
      </x:c>
      <x:c r="H1912" s="5" t="str">
        <x:v>dg-hq-0155</x:v>
      </x:c>
      <x:c r="I1912" s="5" t="str">
        <x:v>6.3.4</x:v>
      </x:c>
      <x:c r="J1912" s="5" t="str">
        <x:v>Außenfinanzierung</x:v>
      </x:c>
      <x:c r="K1912" s="5" t="str"/>
      <x:c r="L1912" s="5" t="str">
        <x:v>Kurz- &amp; langfristige Kreditfinanzierung</x:v>
      </x:c>
      <x:c r="M1912" s="5" t="n">
        <x:v>34</x:v>
      </x:c>
      <x:c r="N1912" s="5" t="n">
        <x:v>9</x:v>
      </x:c>
      <x:c r="O1912" s="5" t="str"/>
      <x:c r="P1912" s="5" t="str">
        <x:v>Zuordnungsvorschlag; Fachfreigabe ausstehend</x:v>
      </x:c>
      <x:c r="Q1912" s="5" t="str">
        <x:v>Bestehendes Lernthema fachlich unter passendem Rahmenplan-Unterbereich behalten</x:v>
      </x:c>
      <x:c r="R1912" s="5" t="str">
        <x:v>Circle Harbor nimmt ein Abzahlungsdarlehen über 120.000 € mit vier Jahren Laufzeit und 6 % Zins p. a. auf. Die Tilgung erfolgt in vier gleich hohen Jahresbeträgen. Ermitteln Sie für jedes Jahr Restschuld zu Jahresbeginn, Zins, Tilgung und Schuldendienst sowie die gesamten Zinsen.</x:v>
      </x:c>
      <x:c r="S1912" s="5" t="str">
        <x:v>30a4aac90ebed487560ac971d8fba530a54d6595e30458f3cf93c92ab7b46dba</x:v>
      </x:c>
    </x:row>
    <x:row r="1913" ht="36" customHeight="1">
      <x:c r="A1913" s="5" t="str">
        <x:v>IF-0100</x:v>
      </x:c>
      <x:c r="B1913" s="5" t="str">
        <x:v>HQ</x:v>
      </x:c>
      <x:c r="C1913" s="5" t="str">
        <x:v>6</x:v>
      </x:c>
      <x:c r="D1913" s="5" t="str">
        <x:v>Investition, Finanzierung, betriebliches Rechnungswesen und Controlling</x:v>
      </x:c>
      <x:c r="E1913" s="5" t="str">
        <x:v>Investition und Finanzierung</x:v>
      </x:c>
      <x:c r="F1913" s="5" t="str">
        <x:v>ui-hq-0019</x:v>
      </x:c>
      <x:c r="G1913" s="5" t="str">
        <x:v>Finanzierungsarten</x:v>
      </x:c>
      <x:c r="H1913" s="5" t="str">
        <x:v>dg-hq-0153</x:v>
      </x:c>
      <x:c r="I1913" s="5" t="str">
        <x:v>6.3.4.4</x:v>
      </x:c>
      <x:c r="J1913" s="5" t="str">
        <x:v>Sonderformen der Finanzierung</x:v>
      </x:c>
      <x:c r="K1913" s="5" t="str"/>
      <x:c r="L1913" s="5" t="str">
        <x:v>Sonderformen, Bonität &amp; Rating</x:v>
      </x:c>
      <x:c r="M1913" s="5" t="n">
        <x:v>35</x:v>
      </x:c>
      <x:c r="N1913" s="5" t="n">
        <x:v>11</x:v>
      </x:c>
      <x:c r="O1913" s="5" t="str"/>
      <x:c r="P1913" s="5" t="str">
        <x:v>Zuordnungsvorschlag; Fachfreigabe ausstehend</x:v>
      </x:c>
      <x:c r="Q1913" s="5" t="str">
        <x:v>Bestehendes Lernthema fachlich unter passendem Rahmenplan-Unterbereich behalten</x:v>
      </x:c>
      <x:c r="R1913" s="5" t="str">
        <x:v>Circle Harbor verkauft Forderungen über 300.000 € an einen Factor. Der Factor zahlt sofort 90 % aus und zieht eine Factoringgebühr von 1,2 % des Forderungsnominalwerts unmittelbar ab. Zinsen bleiben in dieser Aufgabe unberücksichtigt. a) Wie hoch ist die sofort verfügbare Netto-Liquidität? b) Welcher Betrag wird zunächst als Sicherheitseinbehalt zurückgehalten? c) Nennen Sie zwei mögliche weitere Vorteile des Factorings und einen Nachteil.</x:v>
      </x:c>
      <x:c r="S1913" s="5" t="str">
        <x:v>52f8551942f4fdb3498f80e1abb01d8324c4c6830884d890a83887d39cf17d92</x:v>
      </x:c>
    </x:row>
    <x:row r="1914" ht="36" customHeight="1">
      <x:c r="A1914" s="5" t="str">
        <x:v>IF-0101</x:v>
      </x:c>
      <x:c r="B1914" s="5" t="str">
        <x:v>HQ</x:v>
      </x:c>
      <x:c r="C1914" s="5" t="str">
        <x:v>6</x:v>
      </x:c>
      <x:c r="D1914" s="5" t="str">
        <x:v>Investition, Finanzierung, betriebliches Rechnungswesen und Controlling</x:v>
      </x:c>
      <x:c r="E1914" s="5" t="str">
        <x:v>Investition und Finanzierung</x:v>
      </x:c>
      <x:c r="F1914" s="5" t="str">
        <x:v>ui-hq-0017</x:v>
      </x:c>
      <x:c r="G1914" s="5" t="str">
        <x:v>Investitionsplanung und -rechnung</x:v>
      </x:c>
      <x:c r="H1914" s="5" t="str">
        <x:v>dg-hq-0145</x:v>
      </x:c>
      <x:c r="I1914" s="5" t="str">
        <x:v>6.1.1.1</x:v>
      </x:c>
      <x:c r="J1914" s="5" t="str">
        <x:v>Zusammenhang von Investition und Finanzierung</x:v>
      </x:c>
      <x:c r="K1914" s="5" t="str"/>
      <x:c r="L1914" s="5" t="str">
        <x:v>Investitionsgrundlagen &amp; -entscheidungen</x:v>
      </x:c>
      <x:c r="M1914" s="5" t="n">
        <x:v>32</x:v>
      </x:c>
      <x:c r="N1914" s="5" t="n">
        <x:v>6</x:v>
      </x:c>
      <x:c r="O1914" s="5" t="str"/>
      <x:c r="P1914" s="5" t="str">
        <x:v>Zuordnungsvorschlag; Fachfreigabe ausstehend</x:v>
      </x:c>
      <x:c r="Q1914" s="5" t="str">
        <x:v>Bestehendes Lernthema fachlich unter passendem Rahmenplan-Unterbereich behalten</x:v>
      </x:c>
      <x:c r="R1914" s="5" t="str">
        <x:v>Vervollständigen Sie den Zusammenhang zwischen Investition und Finanzierung anhand der Bilanzseiten.</x:v>
      </x:c>
      <x:c r="S1914" s="5" t="str">
        <x:v>0e1858001332e5fee12d40398f1f0a2f7e6689d7f013a3dea04e1cae22ef53f6</x:v>
      </x:c>
    </x:row>
    <x:row r="1915" ht="36" customHeight="1">
      <x:c r="A1915" s="5" t="str">
        <x:v>IF-0102</x:v>
      </x:c>
      <x:c r="B1915" s="5" t="str">
        <x:v>HQ</x:v>
      </x:c>
      <x:c r="C1915" s="5" t="str">
        <x:v>6</x:v>
      </x:c>
      <x:c r="D1915" s="5" t="str">
        <x:v>Investition, Finanzierung, betriebliches Rechnungswesen und Controlling</x:v>
      </x:c>
      <x:c r="E1915" s="5" t="str">
        <x:v>Investition und Finanzierung</x:v>
      </x:c>
      <x:c r="F1915" s="5" t="str">
        <x:v>ui-hq-0017</x:v>
      </x:c>
      <x:c r="G1915" s="5" t="str">
        <x:v>Investitionsplanung und -rechnung</x:v>
      </x:c>
      <x:c r="H1915" s="5" t="str">
        <x:v>dg-hq-0145</x:v>
      </x:c>
      <x:c r="I1915" s="5" t="str">
        <x:v>6.1.1.1</x:v>
      </x:c>
      <x:c r="J1915" s="5" t="str">
        <x:v>Zusammenhang von Investition und Finanzierung</x:v>
      </x:c>
      <x:c r="K1915" s="5" t="str"/>
      <x:c r="L1915" s="5" t="str">
        <x:v>Investitionsgrundlagen &amp; -entscheidungen</x:v>
      </x:c>
      <x:c r="M1915" s="5" t="n">
        <x:v>33</x:v>
      </x:c>
      <x:c r="N1915" s="5" t="n">
        <x:v>7</x:v>
      </x:c>
      <x:c r="O1915" s="5" t="str"/>
      <x:c r="P1915" s="5" t="str">
        <x:v>Zuordnungsvorschlag; Fachfreigabe ausstehend</x:v>
      </x:c>
      <x:c r="Q1915" s="5" t="str">
        <x:v>Bestehendes Lernthema fachlich unter passendem Rahmenplan-Unterbereich behalten</x:v>
      </x:c>
      <x:c r="R1915" s="5" t="str">
        <x:v>Beschreiben Sie den Kreislauf aus Investition, Desinvestition und Reinvestition und erläutern Sie die dabei entstehende Finanzierungsfunktion.</x:v>
      </x:c>
      <x:c r="S1915" s="5" t="str">
        <x:v>249cc3e9da27befb399f0e98ae8b2561c2fe5b44376b2c6d41b9a1be80167a68</x:v>
      </x:c>
    </x:row>
    <x:row r="1916" ht="36" customHeight="1">
      <x:c r="A1916" s="5" t="str">
        <x:v>IF-0103</x:v>
      </x:c>
      <x:c r="B1916" s="5" t="str">
        <x:v>HQ</x:v>
      </x:c>
      <x:c r="C1916" s="5" t="str">
        <x:v>6</x:v>
      </x:c>
      <x:c r="D1916" s="5" t="str">
        <x:v>Investition, Finanzierung, betriebliches Rechnungswesen und Controlling</x:v>
      </x:c>
      <x:c r="E1916" s="5" t="str">
        <x:v>Investition und Finanzierung</x:v>
      </x:c>
      <x:c r="F1916" s="5" t="str">
        <x:v>ui-hq-0017</x:v>
      </x:c>
      <x:c r="G1916" s="5" t="str">
        <x:v>Investitionsplanung und -rechnung</x:v>
      </x:c>
      <x:c r="H1916" s="5" t="str">
        <x:v>dg-hq-0145</x:v>
      </x:c>
      <x:c r="I1916" s="5" t="str">
        <x:v>6.1.1</x:v>
      </x:c>
      <x:c r="J1916" s="5" t="str">
        <x:v>Investition</x:v>
      </x:c>
      <x:c r="K1916" s="5" t="str"/>
      <x:c r="L1916" s="5" t="str">
        <x:v>Investitionsgrundlagen &amp; -entscheidungen</x:v>
      </x:c>
      <x:c r="M1916" s="5" t="n">
        <x:v>34</x:v>
      </x:c>
      <x:c r="N1916" s="5" t="n">
        <x:v>8</x:v>
      </x:c>
      <x:c r="O1916" s="5" t="str"/>
      <x:c r="P1916" s="5" t="str">
        <x:v>Zuordnungsvorschlag; Fachfreigabe ausstehend</x:v>
      </x:c>
      <x:c r="Q1916" s="5" t="str">
        <x:v>Bestehendes Lernthema fachlich unter passendem Rahmenplan-Unterbereich behalten</x:v>
      </x:c>
      <x:c r="R1916" s="5" t="str">
        <x:v>Ordnen Sie typische Investitionen den objektbezogenen Investitionsarten zu.</x:v>
      </x:c>
      <x:c r="S1916" s="5" t="str">
        <x:v>21a36f42260e3a15a11e1c7fe59b0caf5183f5f2ae28cf69c5062bc6a4ea608d</x:v>
      </x:c>
    </x:row>
    <x:row r="1917" ht="36" customHeight="1">
      <x:c r="A1917" s="5" t="str">
        <x:v>IF-0104</x:v>
      </x:c>
      <x:c r="B1917" s="5" t="str">
        <x:v>HQ</x:v>
      </x:c>
      <x:c r="C1917" s="5" t="str">
        <x:v>6</x:v>
      </x:c>
      <x:c r="D1917" s="5" t="str">
        <x:v>Investition, Finanzierung, betriebliches Rechnungswesen und Controlling</x:v>
      </x:c>
      <x:c r="E1917" s="5" t="str">
        <x:v>Investition und Finanzierung</x:v>
      </x:c>
      <x:c r="F1917" s="5" t="str">
        <x:v>ui-hq-0017</x:v>
      </x:c>
      <x:c r="G1917" s="5" t="str">
        <x:v>Investitionsplanung und -rechnung</x:v>
      </x:c>
      <x:c r="H1917" s="5" t="str">
        <x:v>dg-hq-0145</x:v>
      </x:c>
      <x:c r="I1917" s="5" t="str">
        <x:v>6.1.1</x:v>
      </x:c>
      <x:c r="J1917" s="5" t="str">
        <x:v>Investition</x:v>
      </x:c>
      <x:c r="K1917" s="5" t="str"/>
      <x:c r="L1917" s="5" t="str">
        <x:v>Investitionsgrundlagen &amp; -entscheidungen</x:v>
      </x:c>
      <x:c r="M1917" s="5" t="n">
        <x:v>35</x:v>
      </x:c>
      <x:c r="N1917" s="5" t="n">
        <x:v>9</x:v>
      </x:c>
      <x:c r="O1917" s="5" t="str"/>
      <x:c r="P1917" s="5" t="str">
        <x:v>Zuordnungsvorschlag; Fachfreigabe ausstehend</x:v>
      </x:c>
      <x:c r="Q1917" s="5" t="str">
        <x:v>Bestehendes Lernthema fachlich unter passendem Rahmenplan-Unterbereich behalten</x:v>
      </x:c>
      <x:c r="R1917" s="5" t="str">
        <x:v>Ordnen Sie Investitionsanlässe den wirkungsbezogenen Investitionsarten zu.</x:v>
      </x:c>
      <x:c r="S1917" s="5" t="str">
        <x:v>f16ff3958ed78442c8a7249e0739620172d1fbf06ae09d776e554c1f29d67ff9</x:v>
      </x:c>
    </x:row>
    <x:row r="1918" ht="36" customHeight="1">
      <x:c r="A1918" s="5" t="str">
        <x:v>IF-0105</x:v>
      </x:c>
      <x:c r="B1918" s="5" t="str">
        <x:v>HQ</x:v>
      </x:c>
      <x:c r="C1918" s="5" t="str">
        <x:v>6</x:v>
      </x:c>
      <x:c r="D1918" s="5" t="str">
        <x:v>Investition, Finanzierung, betriebliches Rechnungswesen und Controlling</x:v>
      </x:c>
      <x:c r="E1918" s="5" t="str">
        <x:v>Investition und Finanzierung</x:v>
      </x:c>
      <x:c r="F1918" s="5" t="str">
        <x:v>ui-hq-0017</x:v>
      </x:c>
      <x:c r="G1918" s="5" t="str">
        <x:v>Investitionsplanung und -rechnung</x:v>
      </x:c>
      <x:c r="H1918" s="5" t="str">
        <x:v>dg-hq-0145</x:v>
      </x:c>
      <x:c r="I1918" s="5" t="str">
        <x:v>6.1.1.1</x:v>
      </x:c>
      <x:c r="J1918" s="5" t="str">
        <x:v>Zusammenhang von Investition und Finanzierung</x:v>
      </x:c>
      <x:c r="K1918" s="5" t="str"/>
      <x:c r="L1918" s="5" t="str">
        <x:v>Investitionsgrundlagen &amp; -entscheidungen</x:v>
      </x:c>
      <x:c r="M1918" s="5" t="n">
        <x:v>36</x:v>
      </x:c>
      <x:c r="N1918" s="5" t="n">
        <x:v>10</x:v>
      </x:c>
      <x:c r="O1918" s="5" t="str"/>
      <x:c r="P1918" s="5" t="str">
        <x:v>Zuordnungsvorschlag; Fachfreigabe ausstehend</x:v>
      </x:c>
      <x:c r="Q1918" s="5" t="str">
        <x:v>Bestehendes Lernthema fachlich unter passendem Rahmenplan-Unterbereich behalten</x:v>
      </x:c>
      <x:c r="R1918" s="5" t="str">
        <x:v>Erläutern Sie die Anregungsphase und die Suchphase der Investitionsplanung. Nennen Sie jeweils typische Inhalte.</x:v>
      </x:c>
      <x:c r="S1918" s="5" t="str">
        <x:v>5d4e2d25891ad58032b4cb564b521bbd275511d5f69ca2200487ffc688eeccd5</x:v>
      </x:c>
    </x:row>
    <x:row r="1919" ht="36" customHeight="1">
      <x:c r="A1919" s="5" t="str">
        <x:v>IF-0106</x:v>
      </x:c>
      <x:c r="B1919" s="5" t="str">
        <x:v>HQ</x:v>
      </x:c>
      <x:c r="C1919" s="5" t="str">
        <x:v>6</x:v>
      </x:c>
      <x:c r="D1919" s="5" t="str">
        <x:v>Investition, Finanzierung, betriebliches Rechnungswesen und Controlling</x:v>
      </x:c>
      <x:c r="E1919" s="5" t="str">
        <x:v>Investition und Finanzierung</x:v>
      </x:c>
      <x:c r="F1919" s="5" t="str">
        <x:v>ui-hq-0017</x:v>
      </x:c>
      <x:c r="G1919" s="5" t="str">
        <x:v>Investitionsplanung und -rechnung</x:v>
      </x:c>
      <x:c r="H1919" s="5" t="str">
        <x:v>dg-hq-0145</x:v>
      </x:c>
      <x:c r="I1919" s="5" t="str">
        <x:v>6.1.1.1</x:v>
      </x:c>
      <x:c r="J1919" s="5" t="str">
        <x:v>Zusammenhang von Investition und Finanzierung</x:v>
      </x:c>
      <x:c r="K1919" s="5" t="str"/>
      <x:c r="L1919" s="5" t="str">
        <x:v>Investitionsgrundlagen &amp; -entscheidungen</x:v>
      </x:c>
      <x:c r="M1919" s="5" t="n">
        <x:v>37</x:v>
      </x:c>
      <x:c r="N1919" s="5" t="n">
        <x:v>11</x:v>
      </x:c>
      <x:c r="O1919" s="5" t="str"/>
      <x:c r="P1919" s="5" t="str">
        <x:v>Zuordnungsvorschlag; Fachfreigabe ausstehend</x:v>
      </x:c>
      <x:c r="Q1919" s="5" t="str">
        <x:v>Bestehendes Lernthema fachlich unter passendem Rahmenplan-Unterbereich behalten</x:v>
      </x:c>
      <x:c r="R1919" s="5" t="str">
        <x:v>Was versteht man beim Investitionsrisiko unter dem Verfahren der kritischen Werte und wie unterstützt es eine Investitionsentscheidung?</x:v>
      </x:c>
      <x:c r="S1919" s="5" t="str">
        <x:v>6c45ec7ce7656dcba9aaabe4655db27e0cf0629f520489a1f48236b2224ca5b3</x:v>
      </x:c>
    </x:row>
    <x:row r="1920" ht="36" customHeight="1">
      <x:c r="A1920" s="5" t="str">
        <x:v>IF-0107</x:v>
      </x:c>
      <x:c r="B1920" s="5" t="str">
        <x:v>HQ</x:v>
      </x:c>
      <x:c r="C1920" s="5" t="str">
        <x:v>6</x:v>
      </x:c>
      <x:c r="D1920" s="5" t="str">
        <x:v>Investition, Finanzierung, betriebliches Rechnungswesen und Controlling</x:v>
      </x:c>
      <x:c r="E1920" s="5" t="str">
        <x:v>Investition und Finanzierung</x:v>
      </x:c>
      <x:c r="F1920" s="5" t="str">
        <x:v>ui-hq-0017</x:v>
      </x:c>
      <x:c r="G1920" s="5" t="str">
        <x:v>Investitionsplanung und -rechnung</x:v>
      </x:c>
      <x:c r="H1920" s="5" t="str">
        <x:v>dg-hq-0145</x:v>
      </x:c>
      <x:c r="I1920" s="5" t="str">
        <x:v>6.1.1.1</x:v>
      </x:c>
      <x:c r="J1920" s="5" t="str">
        <x:v>Zusammenhang von Investition und Finanzierung</x:v>
      </x:c>
      <x:c r="K1920" s="5" t="str"/>
      <x:c r="L1920" s="5" t="str">
        <x:v>Investitionsgrundlagen &amp; -entscheidungen</x:v>
      </x:c>
      <x:c r="M1920" s="5" t="n">
        <x:v>38</x:v>
      </x:c>
      <x:c r="N1920" s="5" t="n">
        <x:v>12</x:v>
      </x:c>
      <x:c r="O1920" s="5" t="str"/>
      <x:c r="P1920" s="5" t="str">
        <x:v>Zuordnungsvorschlag; Fachfreigabe ausstehend</x:v>
      </x:c>
      <x:c r="Q1920" s="5" t="str">
        <x:v>Bestehendes Lernthema fachlich unter passendem Rahmenplan-Unterbereich behalten</x:v>
      </x:c>
      <x:c r="R1920" s="5" t="str">
        <x:v>Welche Angaben sollte ein Investitionsplan enthalten und welche Steuerungsentscheidungen können bei der Zusammenstellung eines Investitionsprogramms getroffen werden?</x:v>
      </x:c>
      <x:c r="S1920" s="5" t="str">
        <x:v>d758fdd019c6014fee7e2c9570995f6f213b8d20ace7e4df7b443ceb6e57d71f</x:v>
      </x:c>
    </x:row>
    <x:row r="1921" ht="36" customHeight="1">
      <x:c r="A1921" s="5" t="str">
        <x:v>IF-0108</x:v>
      </x:c>
      <x:c r="B1921" s="5" t="str">
        <x:v>HQ</x:v>
      </x:c>
      <x:c r="C1921" s="5" t="str">
        <x:v>6</x:v>
      </x:c>
      <x:c r="D1921" s="5" t="str">
        <x:v>Investition, Finanzierung, betriebliches Rechnungswesen und Controlling</x:v>
      </x:c>
      <x:c r="E1921" s="5" t="str">
        <x:v>Investition und Finanzierung</x:v>
      </x:c>
      <x:c r="F1921" s="5" t="str">
        <x:v>ui-hq-0017</x:v>
      </x:c>
      <x:c r="G1921" s="5" t="str">
        <x:v>Investitionsplanung und -rechnung</x:v>
      </x:c>
      <x:c r="H1921" s="5" t="str">
        <x:v>dg-hq-0145</x:v>
      </x:c>
      <x:c r="I1921" s="5" t="str">
        <x:v>6.1.1.1</x:v>
      </x:c>
      <x:c r="J1921" s="5" t="str">
        <x:v>Zusammenhang von Investition und Finanzierung</x:v>
      </x:c>
      <x:c r="K1921" s="5" t="str"/>
      <x:c r="L1921" s="5" t="str">
        <x:v>Investitionsgrundlagen &amp; -entscheidungen</x:v>
      </x:c>
      <x:c r="M1921" s="5" t="n">
        <x:v>39</x:v>
      </x:c>
      <x:c r="N1921" s="5" t="n">
        <x:v>13</x:v>
      </x:c>
      <x:c r="O1921" s="5" t="str"/>
      <x:c r="P1921" s="5" t="str">
        <x:v>Zuordnungsvorschlag; Fachfreigabe ausstehend</x:v>
      </x:c>
      <x:c r="Q1921" s="5" t="str">
        <x:v>Bestehendes Lernthema fachlich unter passendem Rahmenplan-Unterbereich behalten</x:v>
      </x:c>
      <x:c r="R1921" s="5" t="str">
        <x:v>Nennen und erläutern Sie sechs Kriterien, die neben dem Rechenergebnis vor einer Investitionsentscheidung geprüft werden sollten.</x:v>
      </x:c>
      <x:c r="S1921" s="5" t="str">
        <x:v>5957f17763d1df8766f6e0eaed0185decf8fb864fe008085cebf8f7531536e97</x:v>
      </x:c>
    </x:row>
    <x:row r="1922" ht="36" customHeight="1">
      <x:c r="A1922" s="5" t="str">
        <x:v>IF-0109</x:v>
      </x:c>
      <x:c r="B1922" s="5" t="str">
        <x:v>HQ</x:v>
      </x:c>
      <x:c r="C1922" s="5" t="str">
        <x:v>6</x:v>
      </x:c>
      <x:c r="D1922" s="5" t="str">
        <x:v>Investition, Finanzierung, betriebliches Rechnungswesen und Controlling</x:v>
      </x:c>
      <x:c r="E1922" s="5" t="str">
        <x:v>Investition und Finanzierung</x:v>
      </x:c>
      <x:c r="F1922" s="5" t="str">
        <x:v>ui-hq-0017</x:v>
      </x:c>
      <x:c r="G1922" s="5" t="str">
        <x:v>Investitionsplanung und -rechnung</x:v>
      </x:c>
      <x:c r="H1922" s="5" t="str">
        <x:v>dg-hq-0145</x:v>
      </x:c>
      <x:c r="I1922" s="5" t="str">
        <x:v>6.1.1</x:v>
      </x:c>
      <x:c r="J1922" s="5" t="str">
        <x:v>Investition</x:v>
      </x:c>
      <x:c r="K1922" s="5" t="str"/>
      <x:c r="L1922" s="5" t="str">
        <x:v>Investitionsgrundlagen &amp; -entscheidungen</x:v>
      </x:c>
      <x:c r="M1922" s="5" t="n">
        <x:v>40</x:v>
      </x:c>
      <x:c r="N1922" s="5" t="n">
        <x:v>14</x:v>
      </x:c>
      <x:c r="O1922" s="5" t="str"/>
      <x:c r="P1922" s="5" t="str">
        <x:v>Zuordnungsvorschlag; Fachfreigabe ausstehend</x:v>
      </x:c>
      <x:c r="Q1922" s="5" t="str">
        <x:v>Bestehendes Lernthema fachlich unter passendem Rahmenplan-Unterbereich behalten</x:v>
      </x:c>
      <x:c r="R1922" s="5" t="str">
        <x:v>Stellen Sie die fünf Schritte einer Nutzwertanalyse dar und nennen Sie zwei Grenzen des Verfahrens.</x:v>
      </x:c>
      <x:c r="S1922" s="5" t="str">
        <x:v>80e62e8f8df4b9d8d2ff9a192c848f4fb1a078f0e5b4a15145dec17e2462d640</x:v>
      </x:c>
    </x:row>
    <x:row r="1923" ht="36" customHeight="1">
      <x:c r="A1923" s="5" t="str">
        <x:v>IF-0110</x:v>
      </x:c>
      <x:c r="B1923" s="5" t="str">
        <x:v>HQ</x:v>
      </x:c>
      <x:c r="C1923" s="5" t="str">
        <x:v>6</x:v>
      </x:c>
      <x:c r="D1923" s="5" t="str">
        <x:v>Investition, Finanzierung, betriebliches Rechnungswesen und Controlling</x:v>
      </x:c>
      <x:c r="E1923" s="5" t="str">
        <x:v>Investition und Finanzierung</x:v>
      </x:c>
      <x:c r="F1923" s="5" t="str">
        <x:v>ui-hq-0017</x:v>
      </x:c>
      <x:c r="G1923" s="5" t="str">
        <x:v>Investitionsplanung und -rechnung</x:v>
      </x:c>
      <x:c r="H1923" s="5" t="str">
        <x:v>dg-hq-0145</x:v>
      </x:c>
      <x:c r="I1923" s="5" t="str">
        <x:v>6.1.1.1</x:v>
      </x:c>
      <x:c r="J1923" s="5" t="str">
        <x:v>Zusammenhang von Investition und Finanzierung</x:v>
      </x:c>
      <x:c r="K1923" s="5" t="str"/>
      <x:c r="L1923" s="5" t="str">
        <x:v>Investitionsgrundlagen &amp; -entscheidungen</x:v>
      </x:c>
      <x:c r="M1923" s="5" t="n">
        <x:v>41</x:v>
      </x:c>
      <x:c r="N1923" s="5" t="n">
        <x:v>15</x:v>
      </x:c>
      <x:c r="O1923" s="5" t="str"/>
      <x:c r="P1923" s="5" t="str">
        <x:v>Zuordnungsvorschlag; Fachfreigabe ausstehend</x:v>
      </x:c>
      <x:c r="Q1923" s="5" t="str">
        <x:v>Bestehendes Lernthema fachlich unter passendem Rahmenplan-Unterbereich behalten</x:v>
      </x:c>
      <x:c r="R1923" s="5" t="str">
        <x:v>Circle Harbor investiert netto 300.000 € in Sachanlagen; die Jahresabschreibungen auf Sachanlagen betragen 240.000 €. Berechnen und interpretieren Sie die Investitionsdeckung nach der im Fachbuch zuerst verwendeten Formel Abschreibungen / Nettoinvestitionen × 100. Geben Sie ergänzend die inverse Kennzahl an.</x:v>
      </x:c>
      <x:c r="S1923" s="5" t="str">
        <x:v>d275b32cd3dcc39b78bb16486235cf8f1e286f2182540857e77c5d0f84f18c27</x:v>
      </x:c>
    </x:row>
    <x:row r="1924" ht="36" customHeight="1">
      <x:c r="A1924" s="5" t="str">
        <x:v>IF-0111</x:v>
      </x:c>
      <x:c r="B1924" s="5" t="str">
        <x:v>HQ</x:v>
      </x:c>
      <x:c r="C1924" s="5" t="str">
        <x:v>6</x:v>
      </x:c>
      <x:c r="D1924" s="5" t="str">
        <x:v>Investition, Finanzierung, betriebliches Rechnungswesen und Controlling</x:v>
      </x:c>
      <x:c r="E1924" s="5" t="str">
        <x:v>Investition und Finanzierung</x:v>
      </x:c>
      <x:c r="F1924" s="5" t="str">
        <x:v>ui-hq-0017</x:v>
      </x:c>
      <x:c r="G1924" s="5" t="str">
        <x:v>Investitionsplanung und -rechnung</x:v>
      </x:c>
      <x:c r="H1924" s="5" t="str">
        <x:v>dg-hq-0146</x:v>
      </x:c>
      <x:c r="I1924" s="5" t="str">
        <x:v>6.1.2.2#3</x:v>
      </x:c>
      <x:c r="J1924" s="5" t="str">
        <x:v>Rentabilitätsrechnung</x:v>
      </x:c>
      <x:c r="K1924" s="5" t="str"/>
      <x:c r="L1924" s="5" t="str">
        <x:v>Statische Investitionsrechnung</x:v>
      </x:c>
      <x:c r="M1924" s="5" t="n">
        <x:v>42</x:v>
      </x:c>
      <x:c r="N1924" s="5" t="n">
        <x:v>14</x:v>
      </x:c>
      <x:c r="O1924" s="5" t="str"/>
      <x:c r="P1924" s="5" t="str">
        <x:v>Zuordnungsvorschlag; Fachfreigabe ausstehend</x:v>
      </x:c>
      <x:c r="Q1924" s="5" t="str">
        <x:v>Bestehendes Lernthema fachlich unter passendem Rahmenplan-Unterbereich behalten</x:v>
      </x:c>
      <x:c r="R1924" s="5" t="str">
        <x:v>Fallbezug: Die folgenden betrieblichen Angaben und Situationen beziehen sich auf die Circle Harbor GmbH.
Zwei Maschinen haben unterschiedliche Anschaffungskosten. Maschine A kostet 150.000 € und erzielt für die Rentabilitätsrechnung jährlich 21.000 € aus Gewinn und kalkulatorischen Zinsen. Maschine B kostet 200.000 € und erzielt 28.000 €. Beide haben keinen Restwert. Bei Wahl von A kann die Differenz von 50.000 € zu 5 % angelegt werden. Vergleichen Sie die Alternativen unter Einbeziehung der Differenzinvestition.</x:v>
      </x:c>
      <x:c r="S1924" s="5" t="str">
        <x:v>df439fa459bf398b75057a044fc83c1efbe76804a77bbf8c36b14ff54990b955</x:v>
      </x:c>
    </x:row>
    <x:row r="1925" ht="36" customHeight="1">
      <x:c r="A1925" s="5" t="str">
        <x:v>IF-0112</x:v>
      </x:c>
      <x:c r="B1925" s="5" t="str">
        <x:v>HQ</x:v>
      </x:c>
      <x:c r="C1925" s="5" t="str">
        <x:v>6</x:v>
      </x:c>
      <x:c r="D1925" s="5" t="str">
        <x:v>Investition, Finanzierung, betriebliches Rechnungswesen und Controlling</x:v>
      </x:c>
      <x:c r="E1925" s="5" t="str">
        <x:v>Investition und Finanzierung</x:v>
      </x:c>
      <x:c r="F1925" s="5" t="str">
        <x:v>ui-hq-0017</x:v>
      </x:c>
      <x:c r="G1925" s="5" t="str">
        <x:v>Investitionsplanung und -rechnung</x:v>
      </x:c>
      <x:c r="H1925" s="5" t="str">
        <x:v>dg-hq-0146</x:v>
      </x:c>
      <x:c r="I1925" s="5" t="str">
        <x:v>6.1.2.2</x:v>
      </x:c>
      <x:c r="J1925" s="5" t="str">
        <x:v>Statische Investitionsrechnung</x:v>
      </x:c>
      <x:c r="K1925" s="5" t="str"/>
      <x:c r="L1925" s="5" t="str">
        <x:v>Statische Investitionsrechnung</x:v>
      </x:c>
      <x:c r="M1925" s="5" t="n">
        <x:v>43</x:v>
      </x:c>
      <x:c r="N1925" s="5" t="n">
        <x:v>15</x:v>
      </x:c>
      <x:c r="O1925" s="5" t="str"/>
      <x:c r="P1925" s="5" t="str">
        <x:v>Zuordnungsvorschlag; Fachfreigabe ausstehend</x:v>
      </x:c>
      <x:c r="Q1925" s="5" t="str">
        <x:v>Bestehendes Lernthema fachlich unter passendem Rahmenplan-Unterbereich behalten</x:v>
      </x:c>
      <x:c r="R1925" s="5" t="str">
        <x:v>Fallbezug: Die folgenden betrieblichen Angaben und Situationen beziehen sich auf die Circle Harbor GmbH.
Eine Rationalisierungsinvestition erfordert 120.000 € zusätzlichen Kapitaleinsatz. Für die Altanlage können noch 20.000 € erlöst werden. Die Investition spart jährlich 30.000 € Kosten; die zusätzliche kalkulatorische Abschreibung beträgt 10.000 € jährlich. Berechnen und beurteilen Sie die statische Amortisationsdauer.</x:v>
      </x:c>
      <x:c r="S1925" s="5" t="str">
        <x:v>19027ac8474242aab56a3659d4b5c77a3bb10f6db48a6eeabc4a57819efc9f7b</x:v>
      </x:c>
    </x:row>
    <x:row r="1926" ht="36" customHeight="1">
      <x:c r="A1926" s="5" t="str">
        <x:v>IF-0113</x:v>
      </x:c>
      <x:c r="B1926" s="5" t="str">
        <x:v>HQ</x:v>
      </x:c>
      <x:c r="C1926" s="5" t="str">
        <x:v>6</x:v>
      </x:c>
      <x:c r="D1926" s="5" t="str">
        <x:v>Investition, Finanzierung, betriebliches Rechnungswesen und Controlling</x:v>
      </x:c>
      <x:c r="E1926" s="5" t="str">
        <x:v>Investition und Finanzierung</x:v>
      </x:c>
      <x:c r="F1926" s="5" t="str">
        <x:v>ui-hq-0017</x:v>
      </x:c>
      <x:c r="G1926" s="5" t="str">
        <x:v>Investitionsplanung und -rechnung</x:v>
      </x:c>
      <x:c r="H1926" s="5" t="str">
        <x:v>dg-hq-0147</x:v>
      </x:c>
      <x:c r="I1926" s="5" t="str">
        <x:v>6.1.2.3</x:v>
      </x:c>
      <x:c r="J1926" s="5" t="str">
        <x:v>Dynamische Investitionsrechnung</x:v>
      </x:c>
      <x:c r="K1926" s="5" t="str"/>
      <x:c r="L1926" s="5" t="str">
        <x:v>Dynamische Investitionsrechnung &amp; Nutzungsdauer</x:v>
      </x:c>
      <x:c r="M1926" s="5" t="n">
        <x:v>44</x:v>
      </x:c>
      <x:c r="N1926" s="5" t="n">
        <x:v>12</x:v>
      </x:c>
      <x:c r="O1926" s="5" t="str"/>
      <x:c r="P1926" s="5" t="str">
        <x:v>Zuordnungsvorschlag; Fachfreigabe ausstehend</x:v>
      </x:c>
      <x:c r="Q1926" s="5" t="str">
        <x:v>Bestehendes Lernthema fachlich unter passendem Rahmenplan-Unterbereich behalten</x:v>
      </x:c>
      <x:c r="R1926" s="5" t="str">
        <x:v>Ordnen Sie Merkmale den drei Gruppen von Investitionsrechenverfahren zu.</x:v>
      </x:c>
      <x:c r="S1926" s="5" t="str">
        <x:v>36685660636b7fddeb708cbfe3ed03fd8fea2a8a52767daaa0f409fd9bca85cd</x:v>
      </x:c>
    </x:row>
    <x:row r="1927" ht="36" customHeight="1">
      <x:c r="A1927" s="5" t="str">
        <x:v>IF-0114</x:v>
      </x:c>
      <x:c r="B1927" s="5" t="str">
        <x:v>HQ</x:v>
      </x:c>
      <x:c r="C1927" s="5" t="str">
        <x:v>6</x:v>
      </x:c>
      <x:c r="D1927" s="5" t="str">
        <x:v>Investition, Finanzierung, betriebliches Rechnungswesen und Controlling</x:v>
      </x:c>
      <x:c r="E1927" s="5" t="str">
        <x:v>Investition und Finanzierung</x:v>
      </x:c>
      <x:c r="F1927" s="5" t="str">
        <x:v>ui-hq-0017</x:v>
      </x:c>
      <x:c r="G1927" s="5" t="str">
        <x:v>Investitionsplanung und -rechnung</x:v>
      </x:c>
      <x:c r="H1927" s="5" t="str">
        <x:v>dg-hq-0147</x:v>
      </x:c>
      <x:c r="I1927" s="5" t="str">
        <x:v>6.1.2.3</x:v>
      </x:c>
      <x:c r="J1927" s="5" t="str">
        <x:v>Dynamische Investitionsrechnung</x:v>
      </x:c>
      <x:c r="K1927" s="5" t="str"/>
      <x:c r="L1927" s="5" t="str">
        <x:v>Dynamische Investitionsrechnung &amp; Nutzungsdauer</x:v>
      </x:c>
      <x:c r="M1927" s="5" t="n">
        <x:v>45</x:v>
      </x:c>
      <x:c r="N1927" s="5" t="n">
        <x:v>13</x:v>
      </x:c>
      <x:c r="O1927" s="5" t="str"/>
      <x:c r="P1927" s="5" t="str">
        <x:v>Zuordnungsvorschlag; Fachfreigabe ausstehend</x:v>
      </x:c>
      <x:c r="Q1927" s="5" t="str">
        <x:v>Bestehendes Lernthema fachlich unter passendem Rahmenplan-Unterbereich behalten</x:v>
      </x:c>
      <x:c r="R1927" s="5" t="str">
        <x:v>Welche Faktoren können bei der Festlegung des Kalkulationszinssatzes einer Investition berücksichtigt werden und welche Funktion erfüllt dieser Zinssatz?</x:v>
      </x:c>
      <x:c r="S1927" s="5" t="str">
        <x:v>07f4b914e8d1d5f2241a003f7267032c1b4a7c3f835c5b0cc81aa7755d251e62</x:v>
      </x:c>
    </x:row>
    <x:row r="1928" ht="36" customHeight="1">
      <x:c r="A1928" s="5" t="str">
        <x:v>IF-0115</x:v>
      </x:c>
      <x:c r="B1928" s="5" t="str">
        <x:v>HQ</x:v>
      </x:c>
      <x:c r="C1928" s="5" t="str">
        <x:v>6</x:v>
      </x:c>
      <x:c r="D1928" s="5" t="str">
        <x:v>Investition, Finanzierung, betriebliches Rechnungswesen und Controlling</x:v>
      </x:c>
      <x:c r="E1928" s="5" t="str">
        <x:v>Investition und Finanzierung</x:v>
      </x:c>
      <x:c r="F1928" s="5" t="str">
        <x:v>ui-hq-0017</x:v>
      </x:c>
      <x:c r="G1928" s="5" t="str">
        <x:v>Investitionsplanung und -rechnung</x:v>
      </x:c>
      <x:c r="H1928" s="5" t="str">
        <x:v>dg-hq-0147</x:v>
      </x:c>
      <x:c r="I1928" s="5" t="str">
        <x:v>6.1.2.3</x:v>
      </x:c>
      <x:c r="J1928" s="5" t="str">
        <x:v>Dynamische Investitionsrechnung</x:v>
      </x:c>
      <x:c r="K1928" s="5" t="str"/>
      <x:c r="L1928" s="5" t="str">
        <x:v>Dynamische Investitionsrechnung &amp; Nutzungsdauer</x:v>
      </x:c>
      <x:c r="M1928" s="5" t="n">
        <x:v>46</x:v>
      </x:c>
      <x:c r="N1928" s="5" t="n">
        <x:v>14</x:v>
      </x:c>
      <x:c r="O1928" s="5" t="str"/>
      <x:c r="P1928" s="5" t="str">
        <x:v>Zuordnungsvorschlag; Fachfreigabe ausstehend</x:v>
      </x:c>
      <x:c r="Q1928" s="5" t="str">
        <x:v>Bestehendes Lernthema fachlich unter passendem Rahmenplan-Unterbereich behalten</x:v>
      </x:c>
      <x:c r="R1928" s="5" t="str">
        <x:v>Unterscheiden Sie eine einmalige Investition von einer Investitionskette und erläutern Sie, warum die ursprünglich optimale Nutzungsdauer innerhalb einer Investitionskette später neu geprüft werden muss.</x:v>
      </x:c>
      <x:c r="S1928" s="5" t="str">
        <x:v>18928df034bb7b4431203114440a48c298fcfdebd641abe2bc14a470590c8c31</x:v>
      </x:c>
    </x:row>
    <x:row r="1929" ht="36" customHeight="1">
      <x:c r="A1929" s="5" t="str">
        <x:v>IF-0116</x:v>
      </x:c>
      <x:c r="B1929" s="5" t="str">
        <x:v>HQ</x:v>
      </x:c>
      <x:c r="C1929" s="5" t="str">
        <x:v>6</x:v>
      </x:c>
      <x:c r="D1929" s="5" t="str">
        <x:v>Investition, Finanzierung, betriebliches Rechnungswesen und Controlling</x:v>
      </x:c>
      <x:c r="E1929" s="5" t="str">
        <x:v>Investition und Finanzierung</x:v>
      </x:c>
      <x:c r="F1929" s="5" t="str">
        <x:v>ui-hq-0017</x:v>
      </x:c>
      <x:c r="G1929" s="5" t="str">
        <x:v>Investitionsplanung und -rechnung</x:v>
      </x:c>
      <x:c r="H1929" s="5" t="str">
        <x:v>dg-hq-0147</x:v>
      </x:c>
      <x:c r="I1929" s="5" t="str">
        <x:v>6.1.2.3</x:v>
      </x:c>
      <x:c r="J1929" s="5" t="str">
        <x:v>Dynamische Investitionsrechnung</x:v>
      </x:c>
      <x:c r="K1929" s="5" t="str"/>
      <x:c r="L1929" s="5" t="str">
        <x:v>Dynamische Investitionsrechnung &amp; Nutzungsdauer</x:v>
      </x:c>
      <x:c r="M1929" s="5" t="n">
        <x:v>47</x:v>
      </x:c>
      <x:c r="N1929" s="5" t="n">
        <x:v>15</x:v>
      </x:c>
      <x:c r="O1929" s="5" t="str"/>
      <x:c r="P1929" s="5" t="str">
        <x:v>Zuordnungsvorschlag; Fachfreigabe ausstehend</x:v>
      </x:c>
      <x:c r="Q1929" s="5" t="str">
        <x:v>Bestehendes Lernthema fachlich unter passendem Rahmenplan-Unterbereich behalten</x:v>
      </x:c>
      <x:c r="R1929" s="5" t="str">
        <x:v>Fallbezug: Die folgenden betrieblichen Angaben und Situationen beziehen sich auf die Circle Harbor GmbH.
Alternative A hat einen Kapitalwert von 20.000 € bei vier Jahren Laufzeit; der Annuitätenfaktor beträgt 0,31547. Alternative B hat einen Kapitalwert von 28.000 € bei sechs Jahren Laufzeit; der Annuitätenfaktor beträgt 0,229607. Berechnen Sie die Annuitäten und treffen Sie eine Entscheidung.</x:v>
      </x:c>
      <x:c r="S1929" s="5" t="str">
        <x:v>9d4ed550c267930e85e8631f0ed865968e995e95a9bbe6a30ebaa8889bbc1387</x:v>
      </x:c>
    </x:row>
    <x:row r="1930" ht="36" customHeight="1">
      <x:c r="A1930" s="5" t="str">
        <x:v>IF-0117</x:v>
      </x:c>
      <x:c r="B1930" s="5" t="str">
        <x:v>HQ</x:v>
      </x:c>
      <x:c r="C1930" s="5" t="str">
        <x:v>6</x:v>
      </x:c>
      <x:c r="D1930" s="5" t="str">
        <x:v>Investition, Finanzierung, betriebliches Rechnungswesen und Controlling</x:v>
      </x:c>
      <x:c r="E1930" s="5" t="str">
        <x:v>Investition und Finanzierung</x:v>
      </x:c>
      <x:c r="F1930" s="5" t="str">
        <x:v>ui-hq-0017</x:v>
      </x:c>
      <x:c r="G1930" s="5" t="str">
        <x:v>Investitionsplanung und -rechnung</x:v>
      </x:c>
      <x:c r="H1930" s="5" t="str">
        <x:v>dg-hq-0147</x:v>
      </x:c>
      <x:c r="I1930" s="5" t="str">
        <x:v>6.1.2.3#3</x:v>
      </x:c>
      <x:c r="J1930" s="5" t="str">
        <x:v>Methode des internen Zinsfußes</x:v>
      </x:c>
      <x:c r="K1930" s="5" t="str"/>
      <x:c r="L1930" s="5" t="str">
        <x:v>Dynamische Investitionsrechnung &amp; Nutzungsdauer</x:v>
      </x:c>
      <x:c r="M1930" s="5" t="n">
        <x:v>48</x:v>
      </x:c>
      <x:c r="N1930" s="5" t="n">
        <x:v>16</x:v>
      </x:c>
      <x:c r="O1930" s="5" t="str"/>
      <x:c r="P1930" s="5" t="str">
        <x:v>Zuordnungsvorschlag; Fachfreigabe ausstehend</x:v>
      </x:c>
      <x:c r="Q1930" s="5" t="str">
        <x:v>Bestehendes Lernthema fachlich unter passendem Rahmenplan-Unterbereich behalten</x:v>
      </x:c>
      <x:c r="R1930" s="5" t="str">
        <x:v>Was gibt der interne Zinsfuß an, welche Wiederanlageannahme liegt der Methode zugrunde und wie wird das Ergebnis beurteilt?</x:v>
      </x:c>
      <x:c r="S1930" s="5" t="str">
        <x:v>d330c9f55ea50d5ec88428764ddefb20f25d844d30dda9fff320cd170e12081f</x:v>
      </x:c>
    </x:row>
    <x:row r="1931" ht="36" customHeight="1">
      <x:c r="A1931" s="5" t="str">
        <x:v>IF-0118</x:v>
      </x:c>
      <x:c r="B1931" s="5" t="str">
        <x:v>HQ</x:v>
      </x:c>
      <x:c r="C1931" s="5" t="str">
        <x:v>6</x:v>
      </x:c>
      <x:c r="D1931" s="5" t="str">
        <x:v>Investition, Finanzierung, betriebliches Rechnungswesen und Controlling</x:v>
      </x:c>
      <x:c r="E1931" s="5" t="str">
        <x:v>Investition und Finanzierung</x:v>
      </x:c>
      <x:c r="F1931" s="5" t="str">
        <x:v>ui-hq-0017</x:v>
      </x:c>
      <x:c r="G1931" s="5" t="str">
        <x:v>Investitionsplanung und -rechnung</x:v>
      </x:c>
      <x:c r="H1931" s="5" t="str">
        <x:v>dg-hq-0147</x:v>
      </x:c>
      <x:c r="I1931" s="5" t="str">
        <x:v>6.1.2.3</x:v>
      </x:c>
      <x:c r="J1931" s="5" t="str">
        <x:v>Dynamische Investitionsrechnung</x:v>
      </x:c>
      <x:c r="K1931" s="5" t="str"/>
      <x:c r="L1931" s="5" t="str">
        <x:v>Dynamische Investitionsrechnung &amp; Nutzungsdauer</x:v>
      </x:c>
      <x:c r="M1931" s="5" t="n">
        <x:v>49</x:v>
      </x:c>
      <x:c r="N1931" s="5" t="n">
        <x:v>17</x:v>
      </x:c>
      <x:c r="O1931" s="5" t="str"/>
      <x:c r="P1931" s="5" t="str">
        <x:v>Zuordnungsvorschlag; Fachfreigabe ausstehend</x:v>
      </x:c>
      <x:c r="Q1931" s="5" t="str">
        <x:v>Bestehendes Lernthema fachlich unter passendem Rahmenplan-Unterbereich behalten</x:v>
      </x:c>
      <x:c r="R1931" s="5" t="str">
        <x:v>Fallbezug: Die folgenden betrieblichen Angaben und Situationen beziehen sich auf die Circle Harbor GmbH.
Eine Investition liefert am Ende der nächsten drei Jahre jeweils 50.000 € Einzahlungsüberschuss. Die Mindestverzinsung beträgt 10 %. Wie hoch darf die sofortige Investitionsauszahlung höchstens sein, damit der Kapitalwert nicht negativ wird?</x:v>
      </x:c>
      <x:c r="S1931" s="5" t="str">
        <x:v>ce5ca99676e921c872509b2906cc75a6e8cbf0c95c97008fa0e7bfcd5a0f4f24</x:v>
      </x:c>
    </x:row>
    <x:row r="1932" ht="36" customHeight="1">
      <x:c r="A1932" s="5" t="str">
        <x:v>IF-0119</x:v>
      </x:c>
      <x:c r="B1932" s="5" t="str">
        <x:v>HQ</x:v>
      </x:c>
      <x:c r="C1932" s="5" t="str">
        <x:v>6</x:v>
      </x:c>
      <x:c r="D1932" s="5" t="str">
        <x:v>Investition, Finanzierung, betriebliches Rechnungswesen und Controlling</x:v>
      </x:c>
      <x:c r="E1932" s="5" t="str">
        <x:v>Investition und Finanzierung</x:v>
      </x:c>
      <x:c r="F1932" s="5" t="str">
        <x:v>ui-hq-0018</x:v>
      </x:c>
      <x:c r="G1932" s="5" t="str">
        <x:v>Finanzplanung und Ermittlung des Finanzbedarfs</x:v>
      </x:c>
      <x:c r="H1932" s="5" t="str">
        <x:v>dg-hq-0144</x:v>
      </x:c>
      <x:c r="I1932" s="5" t="str">
        <x:v>6.2.1</x:v>
      </x:c>
      <x:c r="J1932" s="5" t="str">
        <x:v>Kapitalbedarfsplanung</x:v>
      </x:c>
      <x:c r="K1932" s="5" t="str"/>
      <x:c r="L1932" s="5" t="str">
        <x:v>Kapitalbedarfs-, Finanz- &amp; Liquiditätsplanung</x:v>
      </x:c>
      <x:c r="M1932" s="5" t="n">
        <x:v>34</x:v>
      </x:c>
      <x:c r="N1932" s="5" t="n">
        <x:v>9</x:v>
      </x:c>
      <x:c r="O1932" s="5" t="str"/>
      <x:c r="P1932" s="5" t="str">
        <x:v>Zuordnungsvorschlag; Fachfreigabe ausstehend</x:v>
      </x:c>
      <x:c r="Q1932" s="5" t="str">
        <x:v>Bestehendes Lernthema fachlich unter passendem Rahmenplan-Unterbereich behalten</x:v>
      </x:c>
      <x:c r="R1932" s="5" t="str">
        <x:v>Circle Harbor benötigt 750.000 € betriebsnotwendiges Anlagevermögen und 310.000 € betriebsnotwendiges Umlaufvermögen. Zinsfrei überlassenes Abzugskapital beträgt 80.000 €. Berechnen Sie Gesamtkapitalbedarf, betriebsnotwendiges Vermögen und betriebsnotwendiges Kapital.</x:v>
      </x:c>
      <x:c r="S1932" s="5" t="str">
        <x:v>7137f4e3fd07655b310bb0f01e5e7ae15277f096c2490572589e7c0450b75c03</x:v>
      </x:c>
    </x:row>
    <x:row r="1933" ht="36" customHeight="1">
      <x:c r="A1933" s="5" t="str">
        <x:v>IF-0120</x:v>
      </x:c>
      <x:c r="B1933" s="5" t="str">
        <x:v>HQ</x:v>
      </x:c>
      <x:c r="C1933" s="5" t="str">
        <x:v>6</x:v>
      </x:c>
      <x:c r="D1933" s="5" t="str">
        <x:v>Investition, Finanzierung, betriebliches Rechnungswesen und Controlling</x:v>
      </x:c>
      <x:c r="E1933" s="5" t="str">
        <x:v>Investition und Finanzierung</x:v>
      </x:c>
      <x:c r="F1933" s="5" t="str">
        <x:v>ui-hq-0018</x:v>
      </x:c>
      <x:c r="G1933" s="5" t="str">
        <x:v>Finanzplanung und Ermittlung des Finanzbedarfs</x:v>
      </x:c>
      <x:c r="H1933" s="5" t="str">
        <x:v>dg-hq-0144</x:v>
      </x:c>
      <x:c r="I1933" s="5" t="str">
        <x:v>6.2.1</x:v>
      </x:c>
      <x:c r="J1933" s="5" t="str">
        <x:v>Kapitalbedarfsplanung</x:v>
      </x:c>
      <x:c r="K1933" s="5" t="str"/>
      <x:c r="L1933" s="5" t="str">
        <x:v>Kapitalbedarfs-, Finanz- &amp; Liquiditätsplanung</x:v>
      </x:c>
      <x:c r="M1933" s="5" t="n">
        <x:v>35</x:v>
      </x:c>
      <x:c r="N1933" s="5" t="n">
        <x:v>10</x:v>
      </x:c>
      <x:c r="O1933" s="5" t="str"/>
      <x:c r="P1933" s="5" t="str">
        <x:v>Zuordnungsvorschlag; Fachfreigabe ausstehend</x:v>
      </x:c>
      <x:c r="Q1933" s="5" t="str">
        <x:v>Bestehendes Lernthema fachlich unter passendem Rahmenplan-Unterbereich behalten</x:v>
      </x:c>
      <x:c r="R1933" s="5" t="str">
        <x:v>Fallbezug: Die folgenden betrieblichen Angaben und Situationen beziehen sich auf die Circle Harbor GmbH.
Für den Leistungsprozess fallen durchschnittlich täglich 3.000 € ausgabewirksame Materialkosten mit 25 Tagen Bindung, 5.000 € Fertigungskosten mit 12 Tagen Bindung und 4.000 € Kosten fertiger Erzeugnisse mit 10 Tagen Bindung an. Ermitteln Sie den kurzfristigen Kapitalbedarf nach der elektiven Methode.</x:v>
      </x:c>
      <x:c r="S1933" s="5" t="str">
        <x:v>6c100b78506de718b4f9b17a23725d0292f6c387611eeb45190126ccbdc30b4e</x:v>
      </x:c>
    </x:row>
    <x:row r="1934" ht="36" customHeight="1">
      <x:c r="A1934" s="5" t="str">
        <x:v>IF-0121</x:v>
      </x:c>
      <x:c r="B1934" s="5" t="str">
        <x:v>HQ</x:v>
      </x:c>
      <x:c r="C1934" s="5" t="str">
        <x:v>6</x:v>
      </x:c>
      <x:c r="D1934" s="5" t="str">
        <x:v>Investition, Finanzierung, betriebliches Rechnungswesen und Controlling</x:v>
      </x:c>
      <x:c r="E1934" s="5" t="str">
        <x:v>Investition und Finanzierung</x:v>
      </x:c>
      <x:c r="F1934" s="5" t="str">
        <x:v>ui-hq-0018</x:v>
      </x:c>
      <x:c r="G1934" s="5" t="str">
        <x:v>Finanzplanung und Ermittlung des Finanzbedarfs</x:v>
      </x:c>
      <x:c r="H1934" s="5" t="str">
        <x:v>dg-hq-0144</x:v>
      </x:c>
      <x:c r="I1934" s="5" t="str">
        <x:v>6.2.1</x:v>
      </x:c>
      <x:c r="J1934" s="5" t="str">
        <x:v>Kapitalbedarfsplanung</x:v>
      </x:c>
      <x:c r="K1934" s="5" t="str"/>
      <x:c r="L1934" s="5" t="str">
        <x:v>Kapitalbedarfs-, Finanz- &amp; Liquiditätsplanung</x:v>
      </x:c>
      <x:c r="M1934" s="5" t="n">
        <x:v>36</x:v>
      </x:c>
      <x:c r="N1934" s="5" t="n">
        <x:v>11</x:v>
      </x:c>
      <x:c r="O1934" s="5" t="str"/>
      <x:c r="P1934" s="5" t="str">
        <x:v>Zuordnungsvorschlag; Fachfreigabe ausstehend</x:v>
      </x:c>
      <x:c r="Q1934" s="5" t="str">
        <x:v>Bestehendes Lernthema fachlich unter passendem Rahmenplan-Unterbereich behalten</x:v>
      </x:c>
      <x:c r="R1934" s="5" t="str">
        <x:v>Vervollständigen Sie die Definition der Liquidität und nennen Sie die wichtigsten liquiden Mittel.</x:v>
      </x:c>
      <x:c r="S1934" s="5" t="str">
        <x:v>c4b4576b532d1b69c12682b95a591fb49901f8f0e9e94706bebaef5ba1200322</x:v>
      </x:c>
    </x:row>
    <x:row r="1935" ht="36" customHeight="1">
      <x:c r="A1935" s="5" t="str">
        <x:v>IF-0122</x:v>
      </x:c>
      <x:c r="B1935" s="5" t="str">
        <x:v>HQ</x:v>
      </x:c>
      <x:c r="C1935" s="5" t="str">
        <x:v>6</x:v>
      </x:c>
      <x:c r="D1935" s="5" t="str">
        <x:v>Investition, Finanzierung, betriebliches Rechnungswesen und Controlling</x:v>
      </x:c>
      <x:c r="E1935" s="5" t="str">
        <x:v>Investition und Finanzierung</x:v>
      </x:c>
      <x:c r="F1935" s="5" t="str">
        <x:v>ui-hq-0018</x:v>
      </x:c>
      <x:c r="G1935" s="5" t="str">
        <x:v>Finanzplanung und Ermittlung des Finanzbedarfs</x:v>
      </x:c>
      <x:c r="H1935" s="5" t="str">
        <x:v>dg-hq-0149</x:v>
      </x:c>
      <x:c r="I1935" s="5" t="str">
        <x:v>6.2.3.2</x:v>
      </x:c>
      <x:c r="J1935" s="5" t="str">
        <x:v>Statische Liquiditätskennzahlen</x:v>
      </x:c>
      <x:c r="K1935" s="5" t="str"/>
      <x:c r="L1935" s="5" t="str">
        <x:v>Kapitalbedarfs-, Finanz- &amp; Liquiditätsplanung</x:v>
      </x:c>
      <x:c r="M1935" s="5" t="n">
        <x:v>37</x:v>
      </x:c>
      <x:c r="N1935" s="5" t="n">
        <x:v>3</x:v>
      </x:c>
      <x:c r="O1935" s="5" t="str"/>
      <x:c r="P1935" s="5" t="str">
        <x:v>Zuordnungsvorschlag; Fachfreigabe ausstehend</x:v>
      </x:c>
      <x:c r="Q1935" s="5" t="str">
        <x:v>Frageinhalt präzisiert bzw. teilt bisheriges Sammelthema</x:v>
      </x:c>
      <x:c r="R1935" s="5" t="str">
        <x:v>Beurteilen Sie Aussagen zur Aussagekraft statischer Liquiditätskennzahlen.</x:v>
      </x:c>
      <x:c r="S1935" s="5" t="str">
        <x:v>99c78bdf4d25a411f560ed92944d4ea28b4489f2c2122b583648e9047acae84d</x:v>
      </x:c>
    </x:row>
    <x:row r="1936" ht="36" customHeight="1">
      <x:c r="A1936" s="5" t="str">
        <x:v>IF-0123</x:v>
      </x:c>
      <x:c r="B1936" s="5" t="str">
        <x:v>HQ</x:v>
      </x:c>
      <x:c r="C1936" s="5" t="str">
        <x:v>6</x:v>
      </x:c>
      <x:c r="D1936" s="5" t="str">
        <x:v>Investition, Finanzierung, betriebliches Rechnungswesen und Controlling</x:v>
      </x:c>
      <x:c r="E1936" s="5" t="str">
        <x:v>Investition und Finanzierung</x:v>
      </x:c>
      <x:c r="F1936" s="5" t="str">
        <x:v>ui-hq-0018</x:v>
      </x:c>
      <x:c r="G1936" s="5" t="str">
        <x:v>Finanzplanung und Ermittlung des Finanzbedarfs</x:v>
      </x:c>
      <x:c r="H1936" s="5" t="str">
        <x:v>dg-hq-0144</x:v>
      </x:c>
      <x:c r="I1936" s="5" t="str">
        <x:v>6.2.1</x:v>
      </x:c>
      <x:c r="J1936" s="5" t="str">
        <x:v>Kapitalbedarfsplanung</x:v>
      </x:c>
      <x:c r="K1936" s="5" t="str"/>
      <x:c r="L1936" s="5" t="str">
        <x:v>Kapitalbedarfs-, Finanz- &amp; Liquiditätsplanung</x:v>
      </x:c>
      <x:c r="M1936" s="5" t="n">
        <x:v>38</x:v>
      </x:c>
      <x:c r="N1936" s="5" t="n">
        <x:v>12</x:v>
      </x:c>
      <x:c r="O1936" s="5" t="str"/>
      <x:c r="P1936" s="5" t="str">
        <x:v>Zuordnungsvorschlag; Fachfreigabe ausstehend</x:v>
      </x:c>
      <x:c r="Q1936" s="5" t="str">
        <x:v>Bestehendes Lernthema fachlich unter passendem Rahmenplan-Unterbereich behalten</x:v>
      </x:c>
      <x:c r="R1936" s="5" t="str">
        <x:v>Nennen Sie vier mögliche Ursachen einer unzureichenden Liquidität und leiten Sie jeweils eine passende Gegenmaßnahme ab.</x:v>
      </x:c>
      <x:c r="S1936" s="5" t="str">
        <x:v>a7f478a83b7ae7a7256ceac42d7a5dff836ec92753a2b79a8227ed8d3423ed69</x:v>
      </x:c>
    </x:row>
    <x:row r="1937" ht="36" customHeight="1">
      <x:c r="A1937" s="5" t="str">
        <x:v>IF-0124</x:v>
      </x:c>
      <x:c r="B1937" s="5" t="str">
        <x:v>HQ</x:v>
      </x:c>
      <x:c r="C1937" s="5" t="str">
        <x:v>6</x:v>
      </x:c>
      <x:c r="D1937" s="5" t="str">
        <x:v>Investition, Finanzierung, betriebliches Rechnungswesen und Controlling</x:v>
      </x:c>
      <x:c r="E1937" s="5" t="str">
        <x:v>Investition und Finanzierung</x:v>
      </x:c>
      <x:c r="F1937" s="5" t="str">
        <x:v>ui-hq-0018</x:v>
      </x:c>
      <x:c r="G1937" s="5" t="str">
        <x:v>Finanzplanung und Ermittlung des Finanzbedarfs</x:v>
      </x:c>
      <x:c r="H1937" s="5" t="str">
        <x:v>dg-hq-0149</x:v>
      </x:c>
      <x:c r="I1937" s="5" t="str">
        <x:v>6.2.3</x:v>
      </x:c>
      <x:c r="J1937" s="5" t="str">
        <x:v>Liquiditätsplanung</x:v>
      </x:c>
      <x:c r="K1937" s="5" t="str"/>
      <x:c r="L1937" s="5" t="str">
        <x:v>Kapitalbedarfs-, Finanz- &amp; Liquiditätsplanung</x:v>
      </x:c>
      <x:c r="M1937" s="5" t="n">
        <x:v>39</x:v>
      </x:c>
      <x:c r="N1937" s="5" t="n">
        <x:v>4</x:v>
      </x:c>
      <x:c r="O1937" s="5" t="str"/>
      <x:c r="P1937" s="5" t="str">
        <x:v>Zuordnungsvorschlag; Fachfreigabe ausstehend</x:v>
      </x:c>
      <x:c r="Q1937" s="5" t="str">
        <x:v>Frageinhalt präzisiert bzw. teilt bisheriges Sammelthema</x:v>
      </x:c>
      <x:c r="R1937" s="5" t="str">
        <x:v>Circle Harbor erstellt einen Liquiditätsplan für Januar bis März. Anfangsbestand Januar: 30.000 €. Kunden zahlen 40 % des Monatsumsatzes sofort unter 2 % Skonto und 60 % im Folgemonat. Umsätze: Dezember 100.000 €, Januar 120.000 €, Februar 150.000 €, März 180.000 €. Sonstige Einzahlungen: monatlich 10.000 €. Auszahlungen: Januar 110.000 €, Februar 135.000 €, März 150.000 €. Ermitteln Sie die Monatsendbestände.</x:v>
      </x:c>
      <x:c r="S1937" s="5" t="str">
        <x:v>d49a9f0f55b6461ca854d0ce6d9113d93ae6738556520dbb9759c06ddb77630e</x:v>
      </x:c>
    </x:row>
    <x:row r="1938" ht="36" customHeight="1">
      <x:c r="A1938" s="5" t="str">
        <x:v>IF-0125</x:v>
      </x:c>
      <x:c r="B1938" s="5" t="str">
        <x:v>HQ</x:v>
      </x:c>
      <x:c r="C1938" s="5" t="str">
        <x:v>6</x:v>
      </x:c>
      <x:c r="D1938" s="5" t="str">
        <x:v>Investition, Finanzierung, betriebliches Rechnungswesen und Controlling</x:v>
      </x:c>
      <x:c r="E1938" s="5" t="str">
        <x:v>Investition und Finanzierung</x:v>
      </x:c>
      <x:c r="F1938" s="5" t="str">
        <x:v>ui-hq-0018</x:v>
      </x:c>
      <x:c r="G1938" s="5" t="str">
        <x:v>Finanzplanung und Ermittlung des Finanzbedarfs</x:v>
      </x:c>
      <x:c r="H1938" s="5" t="str">
        <x:v>dg-hq-0149</x:v>
      </x:c>
      <x:c r="I1938" s="5" t="str">
        <x:v>6.2.3.1</x:v>
      </x:c>
      <x:c r="J1938" s="5" t="str">
        <x:v>Definition der Liquidität</x:v>
      </x:c>
      <x:c r="K1938" s="5" t="str"/>
      <x:c r="L1938" s="5" t="str">
        <x:v>Kapitalbedarfs-, Finanz- &amp; Liquiditätsplanung</x:v>
      </x:c>
      <x:c r="M1938" s="5" t="n">
        <x:v>40</x:v>
      </x:c>
      <x:c r="N1938" s="5" t="n">
        <x:v>5</x:v>
      </x:c>
      <x:c r="O1938" s="5" t="str"/>
      <x:c r="P1938" s="5" t="str">
        <x:v>Zuordnungsvorschlag; Fachfreigabe ausstehend</x:v>
      </x:c>
      <x:c r="Q1938" s="5" t="str">
        <x:v>Frageinhalt präzisiert bzw. teilt bisheriges Sammelthema</x:v>
      </x:c>
      <x:c r="R1938" s="5" t="str">
        <x:v>Unterscheiden Sie Finanzplanung und Liquiditätsplanung hinsichtlich Zeithorizont und Aufgabe. Warum werden beide Begriffe in der Praxis dennoch teilweise synonym verwendet?</x:v>
      </x:c>
      <x:c r="S1938" s="5" t="str">
        <x:v>9d6be115b3572d4550b57b0375452c99270c1e876d96582ee3faf124e7fda151</x:v>
      </x:c>
    </x:row>
    <x:row r="1939" ht="36" customHeight="1">
      <x:c r="A1939" s="5" t="str">
        <x:v>IF-0126</x:v>
      </x:c>
      <x:c r="B1939" s="5" t="str">
        <x:v>HQ</x:v>
      </x:c>
      <x:c r="C1939" s="5" t="str">
        <x:v>6</x:v>
      </x:c>
      <x:c r="D1939" s="5" t="str">
        <x:v>Investition, Finanzierung, betriebliches Rechnungswesen und Controlling</x:v>
      </x:c>
      <x:c r="E1939" s="5" t="str">
        <x:v>Investition und Finanzierung</x:v>
      </x:c>
      <x:c r="F1939" s="5" t="str">
        <x:v>ui-hq-0018</x:v>
      </x:c>
      <x:c r="G1939" s="5" t="str">
        <x:v>Finanzplanung und Ermittlung des Finanzbedarfs</x:v>
      </x:c>
      <x:c r="H1939" s="5" t="str">
        <x:v>dg-hq-0144</x:v>
      </x:c>
      <x:c r="I1939" s="5" t="str">
        <x:v>6.2.1</x:v>
      </x:c>
      <x:c r="J1939" s="5" t="str">
        <x:v>Kapitalbedarfsplanung</x:v>
      </x:c>
      <x:c r="K1939" s="5" t="str"/>
      <x:c r="L1939" s="5" t="str">
        <x:v>Kapitalbedarfs-, Finanz- &amp; Liquiditätsplanung</x:v>
      </x:c>
      <x:c r="M1939" s="5" t="n">
        <x:v>41</x:v>
      </x:c>
      <x:c r="N1939" s="5" t="n">
        <x:v>13</x:v>
      </x:c>
      <x:c r="O1939" s="5" t="str"/>
      <x:c r="P1939" s="5" t="str">
        <x:v>Zuordnungsvorschlag; Fachfreigabe ausstehend</x:v>
      </x:c>
      <x:c r="Q1939" s="5" t="str">
        <x:v>Bestehendes Lernthema fachlich unter passendem Rahmenplan-Unterbereich behalten</x:v>
      </x:c>
      <x:c r="R1939" s="5" t="str">
        <x:v>Mit welchen Maßnahmen kann Circle Harbor das Working Capital und die Kapitalbindung senken? Erläutern Sie auch zwei mögliche Zielkonflikte.</x:v>
      </x:c>
      <x:c r="S1939" s="5" t="str">
        <x:v>98a07185fb2eff55d1a829641e3c487651a3db7a15dc7ec8bde3c22769f86cb8</x:v>
      </x:c>
    </x:row>
    <x:row r="1940" ht="36" customHeight="1">
      <x:c r="A1940" s="5" t="str">
        <x:v>IF-0127</x:v>
      </x:c>
      <x:c r="B1940" s="5" t="str">
        <x:v>HQ</x:v>
      </x:c>
      <x:c r="C1940" s="5" t="str">
        <x:v>6</x:v>
      </x:c>
      <x:c r="D1940" s="5" t="str">
        <x:v>Investition, Finanzierung, betriebliches Rechnungswesen und Controlling</x:v>
      </x:c>
      <x:c r="E1940" s="5" t="str">
        <x:v>Investition und Finanzierung</x:v>
      </x:c>
      <x:c r="F1940" s="5" t="str">
        <x:v>ui-hq-0018</x:v>
      </x:c>
      <x:c r="G1940" s="5" t="str">
        <x:v>Finanzplanung und Ermittlung des Finanzbedarfs</x:v>
      </x:c>
      <x:c r="H1940" s="5" t="str">
        <x:v>dg-hq-0149</x:v>
      </x:c>
      <x:c r="I1940" s="5" t="str">
        <x:v>6.2.3</x:v>
      </x:c>
      <x:c r="J1940" s="5" t="str">
        <x:v>Liquiditätsplanung</x:v>
      </x:c>
      <x:c r="K1940" s="5" t="str"/>
      <x:c r="L1940" s="5" t="str">
        <x:v>Kapitalbedarfs-, Finanz- &amp; Liquiditätsplanung</x:v>
      </x:c>
      <x:c r="M1940" s="5" t="n">
        <x:v>42</x:v>
      </x:c>
      <x:c r="N1940" s="5" t="n">
        <x:v>6</x:v>
      </x:c>
      <x:c r="O1940" s="5" t="str"/>
      <x:c r="P1940" s="5" t="str">
        <x:v>Zuordnungsvorschlag; Fachfreigabe ausstehend</x:v>
      </x:c>
      <x:c r="Q1940" s="5" t="str">
        <x:v>Frageinhalt präzisiert bzw. teilt bisheriges Sammelthema</x:v>
      </x:c>
      <x:c r="R1940" s="5" t="str">
        <x:v>Warum muss eine Kapitalbedarfs- und Liquiditätsplanung regelmäßig durch Soll-Ist-Vergleiche aktualisiert werden?</x:v>
      </x:c>
      <x:c r="S1940" s="5" t="str">
        <x:v>e856a40bde2bf8e978a02fc20c74a3bc6e5da38549424873a3cd89781c55ccda</x:v>
      </x:c>
    </x:row>
    <x:row r="1941" ht="36" customHeight="1">
      <x:c r="A1941" s="5" t="str">
        <x:v>IF-0128</x:v>
      </x:c>
      <x:c r="B1941" s="5" t="str">
        <x:v>HQ</x:v>
      </x:c>
      <x:c r="C1941" s="5" t="str">
        <x:v>6</x:v>
      </x:c>
      <x:c r="D1941" s="5" t="str">
        <x:v>Investition, Finanzierung, betriebliches Rechnungswesen und Controlling</x:v>
      </x:c>
      <x:c r="E1941" s="5" t="str">
        <x:v>Investition und Finanzierung</x:v>
      </x:c>
      <x:c r="F1941" s="5" t="str">
        <x:v>ui-hq-0018</x:v>
      </x:c>
      <x:c r="G1941" s="5" t="str">
        <x:v>Finanzplanung und Ermittlung des Finanzbedarfs</x:v>
      </x:c>
      <x:c r="H1941" s="5" t="str">
        <x:v>dg-hq-0150</x:v>
      </x:c>
      <x:c r="I1941" s="5" t="str">
        <x:v>6.2.2</x:v>
      </x:c>
      <x:c r="J1941" s="5" t="str">
        <x:v>Finanzierungsplanung</x:v>
      </x:c>
      <x:c r="K1941" s="5" t="str"/>
      <x:c r="L1941" s="5" t="str">
        <x:v>Kapitalstruktur, Finanzierungsregeln &amp; Leverage</x:v>
      </x:c>
      <x:c r="M1941" s="5" t="n">
        <x:v>43</x:v>
      </x:c>
      <x:c r="N1941" s="5" t="n">
        <x:v>14</x:v>
      </x:c>
      <x:c r="O1941" s="5" t="str"/>
      <x:c r="P1941" s="5" t="str">
        <x:v>Zuordnungsvorschlag; Fachfreigabe ausstehend</x:v>
      </x:c>
      <x:c r="Q1941" s="5" t="str">
        <x:v>Bestehendes Lernthema fachlich unter passendem Rahmenplan-Unterbereich behalten</x:v>
      </x:c>
      <x:c r="R1941" s="5" t="str">
        <x:v>Circle Harbor weist 1,2 Mio. € Eigenkapital und 2,8 Mio. € Fremdkapital aus. Berechnen Sie Eigenkapitalquote, Fremdkapitalquote und Verschuldungskoeffizient und interpretieren Sie die Ergebnisse.</x:v>
      </x:c>
      <x:c r="S1941" s="5" t="str">
        <x:v>481c9928c96313f5e17919fb8838679392e7d0da804e6fbd494173c16e2d2fe8</x:v>
      </x:c>
    </x:row>
    <x:row r="1942" ht="36" customHeight="1">
      <x:c r="A1942" s="5" t="str">
        <x:v>IF-0129</x:v>
      </x:c>
      <x:c r="B1942" s="5" t="str">
        <x:v>HQ</x:v>
      </x:c>
      <x:c r="C1942" s="5" t="str">
        <x:v>6</x:v>
      </x:c>
      <x:c r="D1942" s="5" t="str">
        <x:v>Investition, Finanzierung, betriebliches Rechnungswesen und Controlling</x:v>
      </x:c>
      <x:c r="E1942" s="5" t="str">
        <x:v>Investition und Finanzierung</x:v>
      </x:c>
      <x:c r="F1942" s="5" t="str">
        <x:v>ui-hq-0018</x:v>
      </x:c>
      <x:c r="G1942" s="5" t="str">
        <x:v>Finanzplanung und Ermittlung des Finanzbedarfs</x:v>
      </x:c>
      <x:c r="H1942" s="5" t="str">
        <x:v>dg-hq-0150</x:v>
      </x:c>
      <x:c r="I1942" s="5" t="str">
        <x:v>6.2.2</x:v>
      </x:c>
      <x:c r="J1942" s="5" t="str">
        <x:v>Finanzierungsplanung</x:v>
      </x:c>
      <x:c r="K1942" s="5" t="str"/>
      <x:c r="L1942" s="5" t="str">
        <x:v>Kapitalstruktur, Finanzierungsregeln &amp; Leverage</x:v>
      </x:c>
      <x:c r="M1942" s="5" t="n">
        <x:v>44</x:v>
      </x:c>
      <x:c r="N1942" s="5" t="n">
        <x:v>15</x:v>
      </x:c>
      <x:c r="O1942" s="5" t="str"/>
      <x:c r="P1942" s="5" t="str">
        <x:v>Zuordnungsvorschlag; Fachfreigabe ausstehend</x:v>
      </x:c>
      <x:c r="Q1942" s="5" t="str">
        <x:v>Bestehendes Lernthema fachlich unter passendem Rahmenplan-Unterbereich behalten</x:v>
      </x:c>
      <x:c r="R1942" s="5" t="str">
        <x:v>Ordnen Sie Finanzierungsregeln als vertikal oder horizontal ein.</x:v>
      </x:c>
      <x:c r="S1942" s="5" t="str">
        <x:v>26deb925e0e78aecb4651a37050887ccbec657aa1942a25f214a63f5b817e888</x:v>
      </x:c>
    </x:row>
    <x:row r="1943" ht="36" customHeight="1">
      <x:c r="A1943" s="5" t="str">
        <x:v>IF-0130</x:v>
      </x:c>
      <x:c r="B1943" s="5" t="str">
        <x:v>HQ</x:v>
      </x:c>
      <x:c r="C1943" s="5" t="str">
        <x:v>6</x:v>
      </x:c>
      <x:c r="D1943" s="5" t="str">
        <x:v>Investition, Finanzierung, betriebliches Rechnungswesen und Controlling</x:v>
      </x:c>
      <x:c r="E1943" s="5" t="str">
        <x:v>Investition und Finanzierung</x:v>
      </x:c>
      <x:c r="F1943" s="5" t="str">
        <x:v>ui-hq-0018</x:v>
      </x:c>
      <x:c r="G1943" s="5" t="str">
        <x:v>Finanzplanung und Ermittlung des Finanzbedarfs</x:v>
      </x:c>
      <x:c r="H1943" s="5" t="str">
        <x:v>dg-hq-0150</x:v>
      </x:c>
      <x:c r="I1943" s="5" t="str">
        <x:v>6.2.2</x:v>
      </x:c>
      <x:c r="J1943" s="5" t="str">
        <x:v>Finanzierungsplanung</x:v>
      </x:c>
      <x:c r="K1943" s="5" t="str"/>
      <x:c r="L1943" s="5" t="str">
        <x:v>Kapitalstruktur, Finanzierungsregeln &amp; Leverage</x:v>
      </x:c>
      <x:c r="M1943" s="5" t="n">
        <x:v>45</x:v>
      </x:c>
      <x:c r="N1943" s="5" t="n">
        <x:v>16</x:v>
      </x:c>
      <x:c r="O1943" s="5" t="str"/>
      <x:c r="P1943" s="5" t="str">
        <x:v>Zuordnungsvorschlag; Fachfreigabe ausstehend</x:v>
      </x:c>
      <x:c r="Q1943" s="5" t="str">
        <x:v>Bestehendes Lernthema fachlich unter passendem Rahmenplan-Unterbereich behalten</x:v>
      </x:c>
      <x:c r="R1943" s="5" t="str">
        <x:v>Fallbezug: Die folgenden betrieblichen Angaben und Situationen beziehen sich auf die Circle Harbor GmbH.
Eine Bilanz weist 1.000.000 € Anlagevermögen, 100.000 € langfristig gebundenes Umlaufvermögen, 500.000 € Eigenkapital und 400.000 € langfristiges Fremdkapital aus. Berechnen Sie Anlagendeckung I, II und III.</x:v>
      </x:c>
      <x:c r="S1943" s="5" t="str">
        <x:v>65def0314a55ee25df82aa7bfc3f6edb4eada2ac67cbd29cb2bd35a4d4f583c2</x:v>
      </x:c>
    </x:row>
    <x:row r="1944" ht="36" customHeight="1">
      <x:c r="A1944" s="5" t="str">
        <x:v>IF-0131</x:v>
      </x:c>
      <x:c r="B1944" s="5" t="str">
        <x:v>HQ</x:v>
      </x:c>
      <x:c r="C1944" s="5" t="str">
        <x:v>6</x:v>
      </x:c>
      <x:c r="D1944" s="5" t="str">
        <x:v>Investition, Finanzierung, betriebliches Rechnungswesen und Controlling</x:v>
      </x:c>
      <x:c r="E1944" s="5" t="str">
        <x:v>Investition und Finanzierung</x:v>
      </x:c>
      <x:c r="F1944" s="5" t="str">
        <x:v>ui-hq-0018</x:v>
      </x:c>
      <x:c r="G1944" s="5" t="str">
        <x:v>Finanzplanung und Ermittlung des Finanzbedarfs</x:v>
      </x:c>
      <x:c r="H1944" s="5" t="str">
        <x:v>dg-hq-0150</x:v>
      </x:c>
      <x:c r="I1944" s="5" t="str">
        <x:v>6.2.2</x:v>
      </x:c>
      <x:c r="J1944" s="5" t="str">
        <x:v>Finanzierungsplanung</x:v>
      </x:c>
      <x:c r="K1944" s="5" t="str"/>
      <x:c r="L1944" s="5" t="str">
        <x:v>Kapitalstruktur, Finanzierungsregeln &amp; Leverage</x:v>
      </x:c>
      <x:c r="M1944" s="5" t="n">
        <x:v>46</x:v>
      </x:c>
      <x:c r="N1944" s="5" t="n">
        <x:v>17</x:v>
      </x:c>
      <x:c r="O1944" s="5" t="str"/>
      <x:c r="P1944" s="5" t="str">
        <x:v>Zuordnungsvorschlag; Fachfreigabe ausstehend</x:v>
      </x:c>
      <x:c r="Q1944" s="5" t="str">
        <x:v>Bestehendes Lernthema fachlich unter passendem Rahmenplan-Unterbereich behalten</x:v>
      </x:c>
      <x:c r="R1944" s="5" t="str">
        <x:v>Circle Harbor verfügt über 1 Mio. € Eigenkapital und 2 Mio. € Fremdkapital. Die Gesamtkapitalrentabilität beträgt 9 %. Berechnen Sie mit rEK = rGK + FK/EK × (rGK − rFK) die Eigenkapitalrentabilität bei 5 % und bei 11 % Fremdkapitalzins.</x:v>
      </x:c>
      <x:c r="S1944" s="5" t="str">
        <x:v>a083f22233205a427645c1bf905510b6094b04525e458f8db33fcd90b5bfe78d</x:v>
      </x:c>
    </x:row>
    <x:row r="1945" ht="36" customHeight="1">
      <x:c r="A1945" s="5" t="str">
        <x:v>IF-0132</x:v>
      </x:c>
      <x:c r="B1945" s="5" t="str">
        <x:v>HQ</x:v>
      </x:c>
      <x:c r="C1945" s="5" t="str">
        <x:v>6</x:v>
      </x:c>
      <x:c r="D1945" s="5" t="str">
        <x:v>Investition, Finanzierung, betriebliches Rechnungswesen und Controlling</x:v>
      </x:c>
      <x:c r="E1945" s="5" t="str">
        <x:v>Investition und Finanzierung</x:v>
      </x:c>
      <x:c r="F1945" s="5" t="str">
        <x:v>ui-hq-0018</x:v>
      </x:c>
      <x:c r="G1945" s="5" t="str">
        <x:v>Finanzplanung und Ermittlung des Finanzbedarfs</x:v>
      </x:c>
      <x:c r="H1945" s="5" t="str">
        <x:v>dg-hq-0150</x:v>
      </x:c>
      <x:c r="I1945" s="5" t="str">
        <x:v>6.2.2</x:v>
      </x:c>
      <x:c r="J1945" s="5" t="str">
        <x:v>Finanzierungsplanung</x:v>
      </x:c>
      <x:c r="K1945" s="5" t="str"/>
      <x:c r="L1945" s="5" t="str">
        <x:v>Kapitalstruktur, Finanzierungsregeln &amp; Leverage</x:v>
      </x:c>
      <x:c r="M1945" s="5" t="n">
        <x:v>47</x:v>
      </x:c>
      <x:c r="N1945" s="5" t="n">
        <x:v>18</x:v>
      </x:c>
      <x:c r="O1945" s="5" t="str"/>
      <x:c r="P1945" s="5" t="str">
        <x:v>Zuordnungsvorschlag; Fachfreigabe ausstehend</x:v>
      </x:c>
      <x:c r="Q1945" s="5" t="str">
        <x:v>Bestehendes Lernthema fachlich unter passendem Rahmenplan-Unterbereich behalten</x:v>
      </x:c>
      <x:c r="R1945" s="5" t="str">
        <x:v>Warum gibt es keine allgemeingültige optimale Eigen- und Fremdkapitalquote? Erläutern Sie den Zielkonflikt zwischen Liquidität, Rentabilität und Unabhängigkeit.</x:v>
      </x:c>
      <x:c r="S1945" s="5" t="str">
        <x:v>0668585450577c7f79650e0b74cf4d07cd9f92467ee784906d6b23a45092d2d8</x:v>
      </x:c>
    </x:row>
    <x:row r="1946" ht="36" customHeight="1">
      <x:c r="A1946" s="5" t="str">
        <x:v>IF-0133</x:v>
      </x:c>
      <x:c r="B1946" s="5" t="str">
        <x:v>HQ</x:v>
      </x:c>
      <x:c r="C1946" s="5" t="str">
        <x:v>6</x:v>
      </x:c>
      <x:c r="D1946" s="5" t="str">
        <x:v>Investition, Finanzierung, betriebliches Rechnungswesen und Controlling</x:v>
      </x:c>
      <x:c r="E1946" s="5" t="str">
        <x:v>Investition und Finanzierung</x:v>
      </x:c>
      <x:c r="F1946" s="5" t="str">
        <x:v>ui-hq-0018</x:v>
      </x:c>
      <x:c r="G1946" s="5" t="str">
        <x:v>Finanzplanung und Ermittlung des Finanzbedarfs</x:v>
      </x:c>
      <x:c r="H1946" s="5" t="str">
        <x:v>dg-hq-0151</x:v>
      </x:c>
      <x:c r="I1946" s="5" t="str">
        <x:v>6.2.2.4</x:v>
      </x:c>
      <x:c r="J1946" s="5" t="str">
        <x:v>Sicherheiten</x:v>
      </x:c>
      <x:c r="K1946" s="5" t="str"/>
      <x:c r="L1946" s="5" t="str">
        <x:v>Kreditsicherheiten</x:v>
      </x:c>
      <x:c r="M1946" s="5" t="n">
        <x:v>48</x:v>
      </x:c>
      <x:c r="N1946" s="5" t="n">
        <x:v>10</x:v>
      </x:c>
      <x:c r="O1946" s="5" t="str"/>
      <x:c r="P1946" s="5" t="str">
        <x:v>Zuordnungsvorschlag; Fachfreigabe ausstehend</x:v>
      </x:c>
      <x:c r="Q1946" s="5" t="str">
        <x:v>Bestehendes Lernthema fachlich unter passendem Rahmenplan-Unterbereich behalten</x:v>
      </x:c>
      <x:c r="R1946" s="5" t="str">
        <x:v>Warum darf ein Kredit nicht allein aufgrund vorhandener Sicherheiten vergeben werden und welche Probleme bestehen bei Bewertung und Verwertung von Sicherheiten?</x:v>
      </x:c>
      <x:c r="S1946" s="5" t="str">
        <x:v>60c9d232bbd44f0aa451f4bf06a5e5970fe6757aabb92a681def7276bbb98a8e</x:v>
      </x:c>
    </x:row>
    <x:row r="1947" ht="36" customHeight="1">
      <x:c r="A1947" s="5" t="str">
        <x:v>IF-0134</x:v>
      </x:c>
      <x:c r="B1947" s="5" t="str">
        <x:v>HQ</x:v>
      </x:c>
      <x:c r="C1947" s="5" t="str">
        <x:v>6</x:v>
      </x:c>
      <x:c r="D1947" s="5" t="str">
        <x:v>Investition, Finanzierung, betriebliches Rechnungswesen und Controlling</x:v>
      </x:c>
      <x:c r="E1947" s="5" t="str">
        <x:v>Investition und Finanzierung</x:v>
      </x:c>
      <x:c r="F1947" s="5" t="str">
        <x:v>ui-hq-0019</x:v>
      </x:c>
      <x:c r="G1947" s="5" t="str">
        <x:v>Finanzierungsarten</x:v>
      </x:c>
      <x:c r="H1947" s="5" t="str">
        <x:v>dg-hq-0152</x:v>
      </x:c>
      <x:c r="I1947" s="5" t="str">
        <x:v>6.3.3</x:v>
      </x:c>
      <x:c r="J1947" s="5" t="str">
        <x:v>Innenfinanzierung</x:v>
      </x:c>
      <x:c r="K1947" s="5" t="str"/>
      <x:c r="L1947" s="5" t="str">
        <x:v>Innenfinanzierung &amp; Kapitalfreisetzung</x:v>
      </x:c>
      <x:c r="M1947" s="5" t="n">
        <x:v>36</x:v>
      </x:c>
      <x:c r="N1947" s="5" t="n">
        <x:v>11</x:v>
      </x:c>
      <x:c r="O1947" s="5" t="str"/>
      <x:c r="P1947" s="5" t="str">
        <x:v>Zuordnungsvorschlag; Fachfreigabe ausstehend</x:v>
      </x:c>
      <x:c r="Q1947" s="5" t="str">
        <x:v>Bestehendes Lernthema fachlich unter passendem Rahmenplan-Unterbereich behalten</x:v>
      </x:c>
      <x:c r="R1947" s="5" t="str">
        <x:v>Circle Harbor erzielt 300.000 € Jahresüberschuss. Hinzuzurechnen sind 100.000 € Abschreibungen und eine Zunahme langfristiger Rückstellungen um 20.000 €. Forderungen aus Lieferungen und Leistungen steigen um 50.000 €, Verbindlichkeiten aus Lieferungen und Leistungen steigen um 30.000 €. Berechnen Sie den Cashflow nach dem im Fachbuch dargestellten vereinfachten indirekten Schema.</x:v>
      </x:c>
      <x:c r="S1947" s="5" t="str">
        <x:v>e4b30a5cfe8f3a691ddd7f4d63df6a87502696f1d76597f71809cea4b1879ab5</x:v>
      </x:c>
    </x:row>
    <x:row r="1948" ht="36" customHeight="1">
      <x:c r="A1948" s="5" t="str">
        <x:v>IF-0135</x:v>
      </x:c>
      <x:c r="B1948" s="5" t="str">
        <x:v>HQ</x:v>
      </x:c>
      <x:c r="C1948" s="5" t="str">
        <x:v>6</x:v>
      </x:c>
      <x:c r="D1948" s="5" t="str">
        <x:v>Investition, Finanzierung, betriebliches Rechnungswesen und Controlling</x:v>
      </x:c>
      <x:c r="E1948" s="5" t="str">
        <x:v>Investition und Finanzierung</x:v>
      </x:c>
      <x:c r="F1948" s="5" t="str">
        <x:v>ui-hq-0019</x:v>
      </x:c>
      <x:c r="G1948" s="5" t="str">
        <x:v>Finanzierungsarten</x:v>
      </x:c>
      <x:c r="H1948" s="5" t="str">
        <x:v>dg-hq-0152</x:v>
      </x:c>
      <x:c r="I1948" s="5" t="str">
        <x:v>6.3.3</x:v>
      </x:c>
      <x:c r="J1948" s="5" t="str">
        <x:v>Innenfinanzierung</x:v>
      </x:c>
      <x:c r="K1948" s="5" t="str"/>
      <x:c r="L1948" s="5" t="str">
        <x:v>Innenfinanzierung &amp; Kapitalfreisetzung</x:v>
      </x:c>
      <x:c r="M1948" s="5" t="n">
        <x:v>37</x:v>
      </x:c>
      <x:c r="N1948" s="5" t="n">
        <x:v>12</x:v>
      </x:c>
      <x:c r="O1948" s="5" t="str"/>
      <x:c r="P1948" s="5" t="str">
        <x:v>Zuordnungsvorschlag; Fachfreigabe ausstehend</x:v>
      </x:c>
      <x:c r="Q1948" s="5" t="str">
        <x:v>Bestehendes Lernthema fachlich unter passendem Rahmenplan-Unterbereich behalten</x:v>
      </x:c>
      <x:c r="R1948" s="5" t="str">
        <x:v>Circle Harbor hat 2,4 Mio. € Fremdkapital und einen jährlichen Cashflow von 600.000 €. Berechnen und interpretieren Sie den dynamischen Verschuldungsgrad.</x:v>
      </x:c>
      <x:c r="S1948" s="5" t="str">
        <x:v>1bcba8ab211ac14ee5383eef1a46480397b6700922a93641bcbf39154efee59a</x:v>
      </x:c>
    </x:row>
    <x:row r="1949" ht="36" customHeight="1">
      <x:c r="A1949" s="5" t="str">
        <x:v>IF-0136</x:v>
      </x:c>
      <x:c r="B1949" s="5" t="str">
        <x:v>HQ</x:v>
      </x:c>
      <x:c r="C1949" s="5" t="str">
        <x:v>6</x:v>
      </x:c>
      <x:c r="D1949" s="5" t="str">
        <x:v>Investition, Finanzierung, betriebliches Rechnungswesen und Controlling</x:v>
      </x:c>
      <x:c r="E1949" s="5" t="str">
        <x:v>Investition und Finanzierung</x:v>
      </x:c>
      <x:c r="F1949" s="5" t="str">
        <x:v>ui-hq-0019</x:v>
      </x:c>
      <x:c r="G1949" s="5" t="str">
        <x:v>Finanzierungsarten</x:v>
      </x:c>
      <x:c r="H1949" s="5" t="str">
        <x:v>dg-hq-0152</x:v>
      </x:c>
      <x:c r="I1949" s="5" t="str">
        <x:v>6.3.3</x:v>
      </x:c>
      <x:c r="J1949" s="5" t="str">
        <x:v>Innenfinanzierung</x:v>
      </x:c>
      <x:c r="K1949" s="5" t="str"/>
      <x:c r="L1949" s="5" t="str">
        <x:v>Innenfinanzierung &amp; Kapitalfreisetzung</x:v>
      </x:c>
      <x:c r="M1949" s="5" t="n">
        <x:v>38</x:v>
      </x:c>
      <x:c r="N1949" s="5" t="n">
        <x:v>13</x:v>
      </x:c>
      <x:c r="O1949" s="5" t="str"/>
      <x:c r="P1949" s="5" t="str">
        <x:v>Zuordnungsvorschlag; Fachfreigabe ausstehend</x:v>
      </x:c>
      <x:c r="Q1949" s="5" t="str">
        <x:v>Bestehendes Lernthema fachlich unter passendem Rahmenplan-Unterbereich behalten</x:v>
      </x:c>
      <x:c r="R1949" s="5" t="str">
        <x:v>Fallbezug: Die folgenden betrieblichen Angaben und Situationen beziehen sich auf die Circle Harbor GmbH.
Eine Maschine hat eine Nutzungsdauer von fünf Jahren. Berechnen Sie den Kapazitätserweiterungsfaktor nach Lohmann-Ruchti. Auf welche langfristige theoretische Maschinenzahl kann sich ein Ausgangsbestand von zwölf Maschinen einpendeln?</x:v>
      </x:c>
      <x:c r="S1949" s="5" t="str">
        <x:v>575abe6f340fa0aaa06def5b5e8febe849b2abec6437ee810ac7ca33693d8eee</x:v>
      </x:c>
    </x:row>
    <x:row r="1950" ht="36" customHeight="1">
      <x:c r="A1950" s="5" t="str">
        <x:v>IF-0137</x:v>
      </x:c>
      <x:c r="B1950" s="5" t="str">
        <x:v>HQ</x:v>
      </x:c>
      <x:c r="C1950" s="5" t="str">
        <x:v>6</x:v>
      </x:c>
      <x:c r="D1950" s="5" t="str">
        <x:v>Investition, Finanzierung, betriebliches Rechnungswesen und Controlling</x:v>
      </x:c>
      <x:c r="E1950" s="5" t="str">
        <x:v>Investition und Finanzierung</x:v>
      </x:c>
      <x:c r="F1950" s="5" t="str">
        <x:v>ui-hq-0019</x:v>
      </x:c>
      <x:c r="G1950" s="5" t="str">
        <x:v>Finanzierungsarten</x:v>
      </x:c>
      <x:c r="H1950" s="5" t="str">
        <x:v>dg-hq-0152</x:v>
      </x:c>
      <x:c r="I1950" s="5" t="str">
        <x:v>6.3.3</x:v>
      </x:c>
      <x:c r="J1950" s="5" t="str">
        <x:v>Innenfinanzierung</x:v>
      </x:c>
      <x:c r="K1950" s="5" t="str"/>
      <x:c r="L1950" s="5" t="str">
        <x:v>Innenfinanzierung &amp; Kapitalfreisetzung</x:v>
      </x:c>
      <x:c r="M1950" s="5" t="n">
        <x:v>39</x:v>
      </x:c>
      <x:c r="N1950" s="5" t="n">
        <x:v>14</x:v>
      </x:c>
      <x:c r="O1950" s="5" t="str"/>
      <x:c r="P1950" s="5" t="str">
        <x:v>Zuordnungsvorschlag; Fachfreigabe ausstehend</x:v>
      </x:c>
      <x:c r="Q1950" s="5" t="str">
        <x:v>Bestehendes Lernthema fachlich unter passendem Rahmenplan-Unterbereich behalten</x:v>
      </x:c>
      <x:c r="R1950" s="5" t="str">
        <x:v>Nennen Sie vier Möglichkeiten der Finanzierung aus Kapitalfreisetzung und erläutern Sie deren Wirkung sowie mögliche Grenzen.</x:v>
      </x:c>
      <x:c r="S1950" s="5" t="str">
        <x:v>a53aef66a50b58e4097ddc8581e05573f9074a8cb6e65de0edcf8de8bb72e941</x:v>
      </x:c>
    </x:row>
    <x:row r="1951" ht="36" customHeight="1">
      <x:c r="A1951" s="5" t="str">
        <x:v>IF-0138</x:v>
      </x:c>
      <x:c r="B1951" s="5" t="str">
        <x:v>HQ</x:v>
      </x:c>
      <x:c r="C1951" s="5" t="str">
        <x:v>6</x:v>
      </x:c>
      <x:c r="D1951" s="5" t="str">
        <x:v>Investition, Finanzierung, betriebliches Rechnungswesen und Controlling</x:v>
      </x:c>
      <x:c r="E1951" s="5" t="str">
        <x:v>Investition und Finanzierung</x:v>
      </x:c>
      <x:c r="F1951" s="5" t="str">
        <x:v>ui-hq-0019</x:v>
      </x:c>
      <x:c r="G1951" s="5" t="str">
        <x:v>Finanzierungsarten</x:v>
      </x:c>
      <x:c r="H1951" s="5" t="str">
        <x:v>dg-hq-0152</x:v>
      </x:c>
      <x:c r="I1951" s="5" t="str">
        <x:v>6.3.3.3</x:v>
      </x:c>
      <x:c r="J1951" s="5" t="str">
        <x:v>Finanzierung aus Rückstellungen</x:v>
      </x:c>
      <x:c r="K1951" s="5" t="str"/>
      <x:c r="L1951" s="5" t="str">
        <x:v>Innenfinanzierung &amp; Kapitalfreisetzung</x:v>
      </x:c>
      <x:c r="M1951" s="5" t="n">
        <x:v>40</x:v>
      </x:c>
      <x:c r="N1951" s="5" t="n">
        <x:v>15</x:v>
      </x:c>
      <x:c r="O1951" s="5" t="str"/>
      <x:c r="P1951" s="5" t="str">
        <x:v>Zuordnungsvorschlag; Fachfreigabe ausstehend</x:v>
      </x:c>
      <x:c r="Q1951" s="5" t="str">
        <x:v>Bestehendes Lernthema fachlich unter passendem Rahmenplan-Unterbereich behalten</x:v>
      </x:c>
      <x:c r="R1951" s="5" t="str">
        <x:v>Für welche Zwecke dürfen Rückstellungen nach der Darstellung des Fachbuchs gebildet werden und wovon hängt ihre Finanzierungswirkung ab?</x:v>
      </x:c>
      <x:c r="S1951" s="5" t="str">
        <x:v>900fbad1c5f408808245567ddac63b39dea7c058fb1164b7587c95ebffb9a676</x:v>
      </x:c>
    </x:row>
    <x:row r="1952" ht="36" customHeight="1">
      <x:c r="A1952" s="5" t="str">
        <x:v>IF-0139</x:v>
      </x:c>
      <x:c r="B1952" s="5" t="str">
        <x:v>HQ</x:v>
      </x:c>
      <x:c r="C1952" s="5" t="str">
        <x:v>6</x:v>
      </x:c>
      <x:c r="D1952" s="5" t="str">
        <x:v>Investition, Finanzierung, betriebliches Rechnungswesen und Controlling</x:v>
      </x:c>
      <x:c r="E1952" s="5" t="str">
        <x:v>Investition und Finanzierung</x:v>
      </x:c>
      <x:c r="F1952" s="5" t="str">
        <x:v>ui-hq-0019</x:v>
      </x:c>
      <x:c r="G1952" s="5" t="str">
        <x:v>Finanzierungsarten</x:v>
      </x:c>
      <x:c r="H1952" s="5" t="str">
        <x:v>dg-hq-0152</x:v>
      </x:c>
      <x:c r="I1952" s="5" t="str">
        <x:v>6.3.3</x:v>
      </x:c>
      <x:c r="J1952" s="5" t="str">
        <x:v>Innenfinanzierung</x:v>
      </x:c>
      <x:c r="K1952" s="5" t="str"/>
      <x:c r="L1952" s="5" t="str">
        <x:v>Innenfinanzierung &amp; Kapitalfreisetzung</x:v>
      </x:c>
      <x:c r="M1952" s="5" t="n">
        <x:v>41</x:v>
      </x:c>
      <x:c r="N1952" s="5" t="n">
        <x:v>16</x:v>
      </x:c>
      <x:c r="O1952" s="5" t="str"/>
      <x:c r="P1952" s="5" t="str">
        <x:v>Zuordnungsvorschlag; Fachfreigabe ausstehend</x:v>
      </x:c>
      <x:c r="Q1952" s="5" t="str">
        <x:v>Bestehendes Lernthema fachlich unter passendem Rahmenplan-Unterbereich behalten</x:v>
      </x:c>
      <x:c r="R1952" s="5" t="str">
        <x:v>Die Circle Harbor AG hat 2 Mio. € Grundkapital, 120.000 € Kapitalrücklage und 50.000 € gesetzliche Rücklage. Der Jahresüberschuss beträgt 400.000 €, ein Verlustvortrag 20.000 €. Wie viel ist nach der im Fachbuch dargestellten Regel in die gesetzliche Rücklage einzustellen?</x:v>
      </x:c>
      <x:c r="S1952" s="5" t="str">
        <x:v>9ccce78fe0632c4aa9eba2dc7a9f3a7b0a3650d9175f3cf85e88f421030789e2</x:v>
      </x:c>
    </x:row>
    <x:row r="1953" ht="36" customHeight="1">
      <x:c r="A1953" s="5" t="str">
        <x:v>IF-0140</x:v>
      </x:c>
      <x:c r="B1953" s="5" t="str">
        <x:v>HQ</x:v>
      </x:c>
      <x:c r="C1953" s="5" t="str">
        <x:v>6</x:v>
      </x:c>
      <x:c r="D1953" s="5" t="str">
        <x:v>Investition, Finanzierung, betriebliches Rechnungswesen und Controlling</x:v>
      </x:c>
      <x:c r="E1953" s="5" t="str">
        <x:v>Investition und Finanzierung</x:v>
      </x:c>
      <x:c r="F1953" s="5" t="str">
        <x:v>ui-hq-0018</x:v>
      </x:c>
      <x:c r="G1953" s="5" t="str">
        <x:v>Finanzplanung und Ermittlung des Finanzbedarfs</x:v>
      </x:c>
      <x:c r="H1953" s="5" t="str">
        <x:v>dg-hq-0158</x:v>
      </x:c>
      <x:c r="I1953" s="5" t="str">
        <x:v>6.2.2.3</x:v>
      </x:c>
      <x:c r="J1953" s="5" t="str">
        <x:v>Mezzanines Kapital</x:v>
      </x:c>
      <x:c r="K1953" s="5" t="str"/>
      <x:c r="L1953" s="5" t="str">
        <x:v>Beteiligungs- &amp; Mezzanine-Finanzierung</x:v>
      </x:c>
      <x:c r="M1953" s="5" t="n">
        <x:v>49</x:v>
      </x:c>
      <x:c r="N1953" s="5" t="n">
        <x:v>1</x:v>
      </x:c>
      <x:c r="O1953" s="5" t="str"/>
      <x:c r="P1953" s="5" t="str">
        <x:v>Zuordnungsvorschlag; Fachfreigabe ausstehend</x:v>
      </x:c>
      <x:c r="Q1953" s="5" t="str">
        <x:v>Frageinhalt präzisiert bzw. teilt bisheriges Sammelthema</x:v>
      </x:c>
      <x:c r="R1953" s="5" t="str">
        <x:v>Definieren Sie mezzanines Kapital und nennen Sie fünf typische Merkmale.</x:v>
      </x:c>
      <x:c r="S1953" s="5" t="str">
        <x:v>dce79831f43f99817c3034a43a4f6e60ae4fc4f07808847e1fd5fb4308e51192</x:v>
      </x:c>
    </x:row>
    <x:row r="1954" ht="36" customHeight="1">
      <x:c r="A1954" s="5" t="str">
        <x:v>IF-0141</x:v>
      </x:c>
      <x:c r="B1954" s="5" t="str">
        <x:v>HQ</x:v>
      </x:c>
      <x:c r="C1954" s="5" t="str">
        <x:v>6</x:v>
      </x:c>
      <x:c r="D1954" s="5" t="str">
        <x:v>Investition, Finanzierung, betriebliches Rechnungswesen und Controlling</x:v>
      </x:c>
      <x:c r="E1954" s="5" t="str">
        <x:v>Investition und Finanzierung</x:v>
      </x:c>
      <x:c r="F1954" s="5" t="str">
        <x:v>ui-hq-0018</x:v>
      </x:c>
      <x:c r="G1954" s="5" t="str">
        <x:v>Finanzplanung und Ermittlung des Finanzbedarfs</x:v>
      </x:c>
      <x:c r="H1954" s="5" t="str">
        <x:v>dg-hq-0158</x:v>
      </x:c>
      <x:c r="I1954" s="5" t="str">
        <x:v>6.2.2.3</x:v>
      </x:c>
      <x:c r="J1954" s="5" t="str">
        <x:v>Mezzanines Kapital</x:v>
      </x:c>
      <x:c r="K1954" s="5" t="str"/>
      <x:c r="L1954" s="5" t="str">
        <x:v>Beteiligungs- &amp; Mezzanine-Finanzierung</x:v>
      </x:c>
      <x:c r="M1954" s="5" t="n">
        <x:v>50</x:v>
      </x:c>
      <x:c r="N1954" s="5" t="n">
        <x:v>2</x:v>
      </x:c>
      <x:c r="O1954" s="5" t="str"/>
      <x:c r="P1954" s="5" t="str">
        <x:v>Zuordnungsvorschlag; Fachfreigabe ausstehend</x:v>
      </x:c>
      <x:c r="Q1954" s="5" t="str">
        <x:v>Frageinhalt präzisiert bzw. teilt bisheriges Sammelthema</x:v>
      </x:c>
      <x:c r="R1954" s="5" t="str">
        <x:v>Welche Finanzierungsinstrumente zählen typischerweise zum mezzaninen Kapital?</x:v>
      </x:c>
      <x:c r="S1954" s="5" t="str">
        <x:v>c86495c50da44d1a757a179f81f71afb46bbeb50417eb3a5ab5910e7284da30e</x:v>
      </x:c>
    </x:row>
    <x:row r="1955" ht="36" customHeight="1">
      <x:c r="A1955" s="5" t="str">
        <x:v>IF-0142</x:v>
      </x:c>
      <x:c r="B1955" s="5" t="str">
        <x:v>HQ</x:v>
      </x:c>
      <x:c r="C1955" s="5" t="str">
        <x:v>6</x:v>
      </x:c>
      <x:c r="D1955" s="5" t="str">
        <x:v>Investition, Finanzierung, betriebliches Rechnungswesen und Controlling</x:v>
      </x:c>
      <x:c r="E1955" s="5" t="str">
        <x:v>Investition und Finanzierung</x:v>
      </x:c>
      <x:c r="F1955" s="5" t="str">
        <x:v>ui-hq-0019</x:v>
      </x:c>
      <x:c r="G1955" s="5" t="str">
        <x:v>Finanzierungsarten</x:v>
      </x:c>
      <x:c r="H1955" s="5" t="str">
        <x:v>dg-hq-0154</x:v>
      </x:c>
      <x:c r="I1955" s="5" t="str">
        <x:v>6.3.4.1</x:v>
      </x:c>
      <x:c r="J1955" s="5" t="str">
        <x:v>Beteiligungen</x:v>
      </x:c>
      <x:c r="K1955" s="5" t="str"/>
      <x:c r="L1955" s="5" t="str">
        <x:v>Beteiligungs- &amp; Mezzanine-Finanzierung</x:v>
      </x:c>
      <x:c r="M1955" s="5" t="n">
        <x:v>42</x:v>
      </x:c>
      <x:c r="N1955" s="5" t="n">
        <x:v>6</x:v>
      </x:c>
      <x:c r="O1955" s="5" t="str"/>
      <x:c r="P1955" s="5" t="str">
        <x:v>Zuordnungsvorschlag; Fachfreigabe ausstehend</x:v>
      </x:c>
      <x:c r="Q1955" s="5" t="str">
        <x:v>Bestehendes Lernthema fachlich unter passendem Rahmenplan-Unterbereich behalten</x:v>
      </x:c>
      <x:c r="R1955" s="5" t="str">
        <x:v>Die Circle Harbor AG erhöht ihr Kapital. Auf 800.000 alte Aktien werden 200.000 neue Aktien ausgegeben. Der Börsenkurs der alten Aktie beträgt 50 €, der Ausgabekurs der neuen Aktie 38 €. Berechnen Sie Bezugsverhältnis und rechnerischen Bezugsrechtswert.</x:v>
      </x:c>
      <x:c r="S1955" s="5" t="str">
        <x:v>1af45b786730e0bf8eb0453e77eaa5b4de4c4ca20aff10b9f4a5cfacced9bce2</x:v>
      </x:c>
    </x:row>
    <x:row r="1956" ht="36" customHeight="1">
      <x:c r="A1956" s="5" t="str">
        <x:v>IF-0143</x:v>
      </x:c>
      <x:c r="B1956" s="5" t="str">
        <x:v>HQ</x:v>
      </x:c>
      <x:c r="C1956" s="5" t="str">
        <x:v>6</x:v>
      </x:c>
      <x:c r="D1956" s="5" t="str">
        <x:v>Investition, Finanzierung, betriebliches Rechnungswesen und Controlling</x:v>
      </x:c>
      <x:c r="E1956" s="5" t="str">
        <x:v>Investition und Finanzierung</x:v>
      </x:c>
      <x:c r="F1956" s="5" t="str">
        <x:v>ui-hq-0019</x:v>
      </x:c>
      <x:c r="G1956" s="5" t="str">
        <x:v>Finanzierungsarten</x:v>
      </x:c>
      <x:c r="H1956" s="5" t="str">
        <x:v>dg-hq-0154</x:v>
      </x:c>
      <x:c r="I1956" s="5" t="str">
        <x:v>6.3.4.1</x:v>
      </x:c>
      <x:c r="J1956" s="5" t="str">
        <x:v>Beteiligungen</x:v>
      </x:c>
      <x:c r="K1956" s="5" t="str"/>
      <x:c r="L1956" s="5" t="str">
        <x:v>Beteiligungs- &amp; Mezzanine-Finanzierung</x:v>
      </x:c>
      <x:c r="M1956" s="5" t="n">
        <x:v>43</x:v>
      </x:c>
      <x:c r="N1956" s="5" t="n">
        <x:v>7</x:v>
      </x:c>
      <x:c r="O1956" s="5" t="str"/>
      <x:c r="P1956" s="5" t="str">
        <x:v>Zuordnungsvorschlag; Fachfreigabe ausstehend</x:v>
      </x:c>
      <x:c r="Q1956" s="5" t="str">
        <x:v>Bestehendes Lernthema fachlich unter passendem Rahmenplan-Unterbereich behalten</x:v>
      </x:c>
      <x:c r="R1956" s="5" t="str">
        <x:v>Berechnen Sie für die Kapitalerhöhung aus IF-0142 den rechnerischen Mischkurs nach Ausgabe der neuen Aktien und erläutern Sie die Schutzfunktion des Bezugsrechts.</x:v>
      </x:c>
      <x:c r="S1956" s="5" t="str">
        <x:v>e67e2b77c80afea74590f19ebd6488aef470acd6b17d77544f5b21497f263b6c</x:v>
      </x:c>
    </x:row>
    <x:row r="1957" ht="36" customHeight="1">
      <x:c r="A1957" s="5" t="str">
        <x:v>IF-0144</x:v>
      </x:c>
      <x:c r="B1957" s="5" t="str">
        <x:v>HQ</x:v>
      </x:c>
      <x:c r="C1957" s="5" t="str">
        <x:v>6</x:v>
      </x:c>
      <x:c r="D1957" s="5" t="str">
        <x:v>Investition, Finanzierung, betriebliches Rechnungswesen und Controlling</x:v>
      </x:c>
      <x:c r="E1957" s="5" t="str">
        <x:v>Investition und Finanzierung</x:v>
      </x:c>
      <x:c r="F1957" s="5" t="str">
        <x:v>ui-hq-0019</x:v>
      </x:c>
      <x:c r="G1957" s="5" t="str">
        <x:v>Finanzierungsarten</x:v>
      </x:c>
      <x:c r="H1957" s="5" t="str">
        <x:v>dg-hq-0154</x:v>
      </x:c>
      <x:c r="I1957" s="5" t="str">
        <x:v>6.3.4.1</x:v>
      </x:c>
      <x:c r="J1957" s="5" t="str">
        <x:v>Beteiligungen</x:v>
      </x:c>
      <x:c r="K1957" s="5" t="str"/>
      <x:c r="L1957" s="5" t="str">
        <x:v>Beteiligungs- &amp; Mezzanine-Finanzierung</x:v>
      </x:c>
      <x:c r="M1957" s="5" t="n">
        <x:v>44</x:v>
      </x:c>
      <x:c r="N1957" s="5" t="n">
        <x:v>8</x:v>
      </x:c>
      <x:c r="O1957" s="5" t="str"/>
      <x:c r="P1957" s="5" t="str">
        <x:v>Zuordnungsvorschlag; Fachfreigabe ausstehend</x:v>
      </x:c>
      <x:c r="Q1957" s="5" t="str">
        <x:v>Bestehendes Lernthema fachlich unter passendem Rahmenplan-Unterbereich behalten</x:v>
      </x:c>
      <x:c r="R1957" s="5" t="str">
        <x:v>Circle Harbor vergleicht zwei Beteiligungskapitalgeber: Fonds A investiert in ein etabliertes, nicht börsennotiertes Unternehmen; Fonds B finanziert ein junges innovatives Unternehmen mit hohem Wachstumspotenzial und hohem Risiko. Ordnen Sie Private Equity und Venture Capital zu und erläutern Sie typische Erwartungen der Kapitalgeber.</x:v>
      </x:c>
      <x:c r="S1957" s="5" t="str">
        <x:v>5d9088bcc9a223c1d673eb3293b141b175e0cb844885fe3e33750fb36d806519</x:v>
      </x:c>
    </x:row>
    <x:row r="1958" ht="36" customHeight="1">
      <x:c r="A1958" s="5" t="str">
        <x:v>IF-0145</x:v>
      </x:c>
      <x:c r="B1958" s="5" t="str">
        <x:v>HQ</x:v>
      </x:c>
      <x:c r="C1958" s="5" t="str">
        <x:v>6</x:v>
      </x:c>
      <x:c r="D1958" s="5" t="str">
        <x:v>Investition, Finanzierung, betriebliches Rechnungswesen und Controlling</x:v>
      </x:c>
      <x:c r="E1958" s="5" t="str">
        <x:v>Investition und Finanzierung</x:v>
      </x:c>
      <x:c r="F1958" s="5" t="str">
        <x:v>ui-hq-0019</x:v>
      </x:c>
      <x:c r="G1958" s="5" t="str">
        <x:v>Finanzierungsarten</x:v>
      </x:c>
      <x:c r="H1958" s="5" t="str">
        <x:v>dg-hq-0154</x:v>
      </x:c>
      <x:c r="I1958" s="5" t="str">
        <x:v>6.3.4.1</x:v>
      </x:c>
      <x:c r="J1958" s="5" t="str">
        <x:v>Beteiligungen</x:v>
      </x:c>
      <x:c r="K1958" s="5" t="str"/>
      <x:c r="L1958" s="5" t="str">
        <x:v>Beteiligungs- &amp; Mezzanine-Finanzierung</x:v>
      </x:c>
      <x:c r="M1958" s="5" t="n">
        <x:v>45</x:v>
      </x:c>
      <x:c r="N1958" s="5" t="n">
        <x:v>9</x:v>
      </x:c>
      <x:c r="O1958" s="5" t="str"/>
      <x:c r="P1958" s="5" t="str">
        <x:v>Zuordnungsvorschlag; Fachfreigabe ausstehend</x:v>
      </x:c>
      <x:c r="Q1958" s="5" t="str">
        <x:v>Bestehendes Lernthema fachlich unter passendem Rahmenplan-Unterbereich behalten</x:v>
      </x:c>
      <x:c r="R1958" s="5" t="str">
        <x:v>Welche wirtschaftlichen und gesellschaftsrechtlichen Folgen kann die Aufnahme neuer Gesellschafter für ein Unternehmen und die bisherigen Gesellschafter haben?</x:v>
      </x:c>
      <x:c r="S1958" s="5" t="str">
        <x:v>ee05878e834916d419dea4c3f66f5d81e13e001d146143c5cc7dedb2a82af590</x:v>
      </x:c>
    </x:row>
    <x:row r="1959" ht="36" customHeight="1">
      <x:c r="A1959" s="5" t="str">
        <x:v>IF-0146</x:v>
      </x:c>
      <x:c r="B1959" s="5" t="str">
        <x:v>HQ</x:v>
      </x:c>
      <x:c r="C1959" s="5" t="str">
        <x:v>6</x:v>
      </x:c>
      <x:c r="D1959" s="5" t="str">
        <x:v>Investition, Finanzierung, betriebliches Rechnungswesen und Controlling</x:v>
      </x:c>
      <x:c r="E1959" s="5" t="str">
        <x:v>Investition und Finanzierung</x:v>
      </x:c>
      <x:c r="F1959" s="5" t="str">
        <x:v>ui-hq-0019</x:v>
      </x:c>
      <x:c r="G1959" s="5" t="str">
        <x:v>Finanzierungsarten</x:v>
      </x:c>
      <x:c r="H1959" s="5" t="str">
        <x:v>dg-hq-0159</x:v>
      </x:c>
      <x:c r="I1959" s="5" t="str">
        <x:v>6.3.4.2</x:v>
      </x:c>
      <x:c r="J1959" s="5" t="str">
        <x:v>Kurzfristige Kredite</x:v>
      </x:c>
      <x:c r="K1959" s="5" t="str">
        <x:v>6.2.2.1#4</x:v>
      </x:c>
      <x:c r="L1959" s="5" t="str">
        <x:v>Kurz- &amp; langfristige Kreditfinanzierung</x:v>
      </x:c>
      <x:c r="M1959" s="5" t="n">
        <x:v>46</x:v>
      </x:c>
      <x:c r="N1959" s="5" t="n">
        <x:v>1</x:v>
      </x:c>
      <x:c r="O1959" s="5" t="str"/>
      <x:c r="P1959" s="5" t="str">
        <x:v>Zuordnungsvorschlag; Fachfreigabe ausstehend</x:v>
      </x:c>
      <x:c r="Q1959" s="5" t="str">
        <x:v>Gezielt geprüfter Einzelbeleg</x:v>
      </x:c>
      <x:c r="R1959" s="5" t="str">
        <x:v>Erläutern Sie Funktionsweise, Vorteile, Kosten und Risiken eines Kontokorrentkredits. Für welche Finanzierungszwecke ist er geeignet und wofür nicht?</x:v>
      </x:c>
      <x:c r="S1959" s="5" t="str">
        <x:v>694b508e3132de6dfd50cf82bab572607611a4ecda5b3bd5dc31c3072a96319b</x:v>
      </x:c>
    </x:row>
    <x:row r="1960" ht="36" customHeight="1">
      <x:c r="A1960" s="5" t="str">
        <x:v>IF-0147</x:v>
      </x:c>
      <x:c r="B1960" s="5" t="str">
        <x:v>HQ</x:v>
      </x:c>
      <x:c r="C1960" s="5" t="str">
        <x:v>6</x:v>
      </x:c>
      <x:c r="D1960" s="5" t="str">
        <x:v>Investition, Finanzierung, betriebliches Rechnungswesen und Controlling</x:v>
      </x:c>
      <x:c r="E1960" s="5" t="str">
        <x:v>Investition und Finanzierung</x:v>
      </x:c>
      <x:c r="F1960" s="5" t="str">
        <x:v>ui-hq-0019</x:v>
      </x:c>
      <x:c r="G1960" s="5" t="str">
        <x:v>Finanzierungsarten</x:v>
      </x:c>
      <x:c r="H1960" s="5" t="str">
        <x:v>dg-hq-0155</x:v>
      </x:c>
      <x:c r="I1960" s="5" t="str">
        <x:v>6.3.4.2</x:v>
      </x:c>
      <x:c r="J1960" s="5" t="str">
        <x:v>Kurzfristige Kredite</x:v>
      </x:c>
      <x:c r="K1960" s="5" t="str"/>
      <x:c r="L1960" s="5" t="str">
        <x:v>Kurz- &amp; langfristige Kreditfinanzierung</x:v>
      </x:c>
      <x:c r="M1960" s="5" t="n">
        <x:v>47</x:v>
      </x:c>
      <x:c r="N1960" s="5" t="n">
        <x:v>10</x:v>
      </x:c>
      <x:c r="O1960" s="5" t="str"/>
      <x:c r="P1960" s="5" t="str">
        <x:v>Zuordnungsvorschlag; Fachfreigabe ausstehend</x:v>
      </x:c>
      <x:c r="Q1960" s="5" t="str">
        <x:v>Bestehendes Lernthema fachlich unter passendem Rahmenplan-Unterbereich behalten</x:v>
      </x:c>
      <x:c r="R1960" s="5" t="str">
        <x:v>Ordnen Sie typische Sachverhalte den kurzfristigen Kredit- und Zahlungsformen zu.</x:v>
      </x:c>
      <x:c r="S1960" s="5" t="str">
        <x:v>54f6ea233336c4eed43c3c857d283b49958cc7a7af62262f1ef203107004c3ba</x:v>
      </x:c>
    </x:row>
    <x:row r="1961" ht="36" customHeight="1">
      <x:c r="A1961" s="5" t="str">
        <x:v>IF-0148</x:v>
      </x:c>
      <x:c r="B1961" s="5" t="str">
        <x:v>HQ</x:v>
      </x:c>
      <x:c r="C1961" s="5" t="str">
        <x:v>6</x:v>
      </x:c>
      <x:c r="D1961" s="5" t="str">
        <x:v>Investition, Finanzierung, betriebliches Rechnungswesen und Controlling</x:v>
      </x:c>
      <x:c r="E1961" s="5" t="str">
        <x:v>Investition und Finanzierung</x:v>
      </x:c>
      <x:c r="F1961" s="5" t="str">
        <x:v>ui-hq-0019</x:v>
      </x:c>
      <x:c r="G1961" s="5" t="str">
        <x:v>Finanzierungsarten</x:v>
      </x:c>
      <x:c r="H1961" s="5" t="str">
        <x:v>dg-hq-0155</x:v>
      </x:c>
      <x:c r="I1961" s="5" t="str">
        <x:v>6.3.4</x:v>
      </x:c>
      <x:c r="J1961" s="5" t="str">
        <x:v>Außenfinanzierung</x:v>
      </x:c>
      <x:c r="K1961" s="5" t="str"/>
      <x:c r="L1961" s="5" t="str">
        <x:v>Kurz- &amp; langfristige Kreditfinanzierung</x:v>
      </x:c>
      <x:c r="M1961" s="5" t="n">
        <x:v>48</x:v>
      </x:c>
      <x:c r="N1961" s="5" t="n">
        <x:v>11</x:v>
      </x:c>
      <x:c r="O1961" s="5" t="str"/>
      <x:c r="P1961" s="5" t="str">
        <x:v>Zuordnungsvorschlag; Fachfreigabe ausstehend</x:v>
      </x:c>
      <x:c r="Q1961" s="5" t="str">
        <x:v>Bestehendes Lernthema fachlich unter passendem Rahmenplan-Unterbereich behalten</x:v>
      </x:c>
      <x:c r="R1961" s="5" t="str">
        <x:v>Fallbezug: Die folgenden betrieblichen Angaben und Situationen beziehen sich auf die Circle Harbor GmbH.
Ein Wechsel über 100.000 € wird 90 Tage vor Fälligkeit zu 6 % p. a. diskontiert. Gebühren bleiben unberücksichtigt. Berechnen Sie Diskont und Gutschrift.</x:v>
      </x:c>
      <x:c r="S1961" s="5" t="str">
        <x:v>d8cd3df560eab9eab67652e4ccf88abf9df87418340944a9baea5f9e7e6a6cf4</x:v>
      </x:c>
    </x:row>
    <x:row r="1962" ht="36" customHeight="1">
      <x:c r="A1962" s="5" t="str">
        <x:v>IF-0149</x:v>
      </x:c>
      <x:c r="B1962" s="5" t="str">
        <x:v>HQ</x:v>
      </x:c>
      <x:c r="C1962" s="5" t="str">
        <x:v>6</x:v>
      </x:c>
      <x:c r="D1962" s="5" t="str">
        <x:v>Investition, Finanzierung, betriebliches Rechnungswesen und Controlling</x:v>
      </x:c>
      <x:c r="E1962" s="5" t="str">
        <x:v>Investition und Finanzierung</x:v>
      </x:c>
      <x:c r="F1962" s="5" t="str">
        <x:v>ui-hq-0019</x:v>
      </x:c>
      <x:c r="G1962" s="5" t="str">
        <x:v>Finanzierungsarten</x:v>
      </x:c>
      <x:c r="H1962" s="5" t="str">
        <x:v>dg-hq-0155</x:v>
      </x:c>
      <x:c r="I1962" s="5" t="str">
        <x:v>6.3.4</x:v>
      </x:c>
      <x:c r="J1962" s="5" t="str">
        <x:v>Außenfinanzierung</x:v>
      </x:c>
      <x:c r="K1962" s="5" t="str"/>
      <x:c r="L1962" s="5" t="str">
        <x:v>Kurz- &amp; langfristige Kreditfinanzierung</x:v>
      </x:c>
      <x:c r="M1962" s="5" t="n">
        <x:v>49</x:v>
      </x:c>
      <x:c r="N1962" s="5" t="n">
        <x:v>12</x:v>
      </x:c>
      <x:c r="O1962" s="5" t="str"/>
      <x:c r="P1962" s="5" t="str">
        <x:v>Zuordnungsvorschlag; Fachfreigabe ausstehend</x:v>
      </x:c>
      <x:c r="Q1962" s="5" t="str">
        <x:v>Bestehendes Lernthema fachlich unter passendem Rahmenplan-Unterbereich behalten</x:v>
      </x:c>
      <x:c r="R1962" s="5" t="str">
        <x:v>Grenzen Sie Lombardkredit, Avalkredit und Dokumentenakkreditiv voneinander ab.</x:v>
      </x:c>
      <x:c r="S1962" s="5" t="str">
        <x:v>dbca96742595027f78f8b5b5bf5c61eb34700e31bd4bb6f0b4781bfcc8523f29</x:v>
      </x:c>
    </x:row>
    <x:row r="1963" ht="36" customHeight="1">
      <x:c r="A1963" s="5" t="str">
        <x:v>IF-0150</x:v>
      </x:c>
      <x:c r="B1963" s="5" t="str">
        <x:v>HQ</x:v>
      </x:c>
      <x:c r="C1963" s="5" t="str">
        <x:v>6</x:v>
      </x:c>
      <x:c r="D1963" s="5" t="str">
        <x:v>Investition, Finanzierung, betriebliches Rechnungswesen und Controlling</x:v>
      </x:c>
      <x:c r="E1963" s="5" t="str">
        <x:v>Investition und Finanzierung</x:v>
      </x:c>
      <x:c r="F1963" s="5" t="str">
        <x:v>ui-hq-0019</x:v>
      </x:c>
      <x:c r="G1963" s="5" t="str">
        <x:v>Finanzierungsarten</x:v>
      </x:c>
      <x:c r="H1963" s="5" t="str">
        <x:v>dg-hq-0155</x:v>
      </x:c>
      <x:c r="I1963" s="5" t="str">
        <x:v>6.3.4</x:v>
      </x:c>
      <x:c r="J1963" s="5" t="str">
        <x:v>Außenfinanzierung</x:v>
      </x:c>
      <x:c r="K1963" s="5" t="str"/>
      <x:c r="L1963" s="5" t="str">
        <x:v>Kurz- &amp; langfristige Kreditfinanzierung</x:v>
      </x:c>
      <x:c r="M1963" s="5" t="n">
        <x:v>50</x:v>
      </x:c>
      <x:c r="N1963" s="5" t="n">
        <x:v>13</x:v>
      </x:c>
      <x:c r="O1963" s="5" t="str"/>
      <x:c r="P1963" s="5" t="str">
        <x:v>Zuordnungsvorschlag; Fachfreigabe ausstehend</x:v>
      </x:c>
      <x:c r="Q1963" s="5" t="str">
        <x:v>Bestehendes Lernthema fachlich unter passendem Rahmenplan-Unterbereich behalten</x:v>
      </x:c>
      <x:c r="R1963" s="5" t="str">
        <x:v>Fallbezug: Die folgenden betrieblichen Angaben und Situationen beziehen sich auf die Circle Harbor GmbH.
Ein Annuitätendarlehen über 60.000 € läuft drei Jahre bei 5 % Zins. Die konstante Jahresannuität beträgt 22.032,51 €. Erstellen Sie den Zins- und Tilgungsplan; Rundungsdifferenzen dürfen in der letzten Rate ausgeglichen werden.</x:v>
      </x:c>
      <x:c r="S1963" s="5" t="str">
        <x:v>0a204d3e8186bb96601e6d3129fed9d0bd53e252d14d2808f16c2044645f87d5</x:v>
      </x:c>
    </x:row>
    <x:row r="1964" ht="36" customHeight="1">
      <x:c r="A1964" s="5" t="str">
        <x:v>IF-0151</x:v>
      </x:c>
      <x:c r="B1964" s="5" t="str">
        <x:v>HQ</x:v>
      </x:c>
      <x:c r="C1964" s="5" t="str">
        <x:v>6</x:v>
      </x:c>
      <x:c r="D1964" s="5" t="str">
        <x:v>Investition, Finanzierung, betriebliches Rechnungswesen und Controlling</x:v>
      </x:c>
      <x:c r="E1964" s="5" t="str">
        <x:v>Investition und Finanzierung</x:v>
      </x:c>
      <x:c r="F1964" s="5" t="str">
        <x:v>ui-hq-0019</x:v>
      </x:c>
      <x:c r="G1964" s="5" t="str">
        <x:v>Finanzierungsarten</x:v>
      </x:c>
      <x:c r="H1964" s="5" t="str">
        <x:v>dg-hq-0155</x:v>
      </x:c>
      <x:c r="I1964" s="5" t="str">
        <x:v>6.3.4</x:v>
      </x:c>
      <x:c r="J1964" s="5" t="str">
        <x:v>Außenfinanzierung</x:v>
      </x:c>
      <x:c r="K1964" s="5" t="str"/>
      <x:c r="L1964" s="5" t="str">
        <x:v>Kurz- &amp; langfristige Kreditfinanzierung</x:v>
      </x:c>
      <x:c r="M1964" s="5" t="n">
        <x:v>51</x:v>
      </x:c>
      <x:c r="N1964" s="5" t="n">
        <x:v>14</x:v>
      </x:c>
      <x:c r="O1964" s="5" t="str"/>
      <x:c r="P1964" s="5" t="str">
        <x:v>Zuordnungsvorschlag; Fachfreigabe ausstehend</x:v>
      </x:c>
      <x:c r="Q1964" s="5" t="str">
        <x:v>Bestehendes Lernthema fachlich unter passendem Rahmenplan-Unterbereich behalten</x:v>
      </x:c>
      <x:c r="R1964" s="5" t="str">
        <x:v>Welche Auswirkungen hat ein tilgungsfreies erstes Jahr bei einem Annuitätendarlehen auf Liquidität, spätere Annuitäten und Gesamtbelastung?</x:v>
      </x:c>
      <x:c r="S1964" s="5" t="str">
        <x:v>45b9a42776b100fce93d8cf44d6cc6b82c787e7e8a7e110fdf192b0ee3f7356f</x:v>
      </x:c>
    </x:row>
    <x:row r="1965" ht="36" customHeight="1">
      <x:c r="A1965" s="5" t="str">
        <x:v>IF-0152</x:v>
      </x:c>
      <x:c r="B1965" s="5" t="str">
        <x:v>HQ</x:v>
      </x:c>
      <x:c r="C1965" s="5" t="str">
        <x:v>6</x:v>
      </x:c>
      <x:c r="D1965" s="5" t="str">
        <x:v>Investition, Finanzierung, betriebliches Rechnungswesen und Controlling</x:v>
      </x:c>
      <x:c r="E1965" s="5" t="str">
        <x:v>Investition und Finanzierung</x:v>
      </x:c>
      <x:c r="F1965" s="5" t="str">
        <x:v>ui-hq-0019</x:v>
      </x:c>
      <x:c r="G1965" s="5" t="str">
        <x:v>Finanzierungsarten</x:v>
      </x:c>
      <x:c r="H1965" s="5" t="str">
        <x:v>dg-hq-0160</x:v>
      </x:c>
      <x:c r="I1965" s="5" t="str">
        <x:v>6.3.4.3</x:v>
      </x:c>
      <x:c r="J1965" s="5" t="str">
        <x:v>Langfristige Kredite</x:v>
      </x:c>
      <x:c r="K1965" s="5" t="str">
        <x:v>6.2.2.1#3</x:v>
      </x:c>
      <x:c r="L1965" s="5" t="str">
        <x:v>Kurz- &amp; langfristige Kreditfinanzierung</x:v>
      </x:c>
      <x:c r="M1965" s="5" t="n">
        <x:v>52</x:v>
      </x:c>
      <x:c r="N1965" s="5" t="n">
        <x:v>1</x:v>
      </x:c>
      <x:c r="O1965" s="5" t="str"/>
      <x:c r="P1965" s="5" t="str">
        <x:v>Zuordnungsvorschlag; Fachfreigabe ausstehend</x:v>
      </x:c>
      <x:c r="Q1965" s="5" t="str">
        <x:v>Gesellschafterdarlehen als Teilbeleg privater Darlehen; nicht jede private Darlehensquelle abgedeckt.</x:v>
      </x:c>
      <x:c r="R1965" s="5" t="str">
        <x:v>Ordnen Sie Merkmale langfristigen Kreditformen zu.</x:v>
      </x:c>
      <x:c r="S1965" s="5" t="str">
        <x:v>43cd0d715c4388ec705bec0bbc51de80d19144b2290d1dffd21257b9d3abc9f7</x:v>
      </x:c>
    </x:row>
    <x:row r="1966" ht="36" customHeight="1">
      <x:c r="A1966" s="5" t="str">
        <x:v>IF-0153</x:v>
      </x:c>
      <x:c r="B1966" s="5" t="str">
        <x:v>HQ</x:v>
      </x:c>
      <x:c r="C1966" s="5" t="str">
        <x:v>6</x:v>
      </x:c>
      <x:c r="D1966" s="5" t="str">
        <x:v>Investition, Finanzierung, betriebliches Rechnungswesen und Controlling</x:v>
      </x:c>
      <x:c r="E1966" s="5" t="str">
        <x:v>Investition und Finanzierung</x:v>
      </x:c>
      <x:c r="F1966" s="5" t="str">
        <x:v>ui-hq-0019</x:v>
      </x:c>
      <x:c r="G1966" s="5" t="str">
        <x:v>Finanzierungsarten</x:v>
      </x:c>
      <x:c r="H1966" s="5" t="str">
        <x:v>dg-hq-0155</x:v>
      </x:c>
      <x:c r="I1966" s="5" t="str">
        <x:v>6.3.4</x:v>
      </x:c>
      <x:c r="J1966" s="5" t="str">
        <x:v>Außenfinanzierung</x:v>
      </x:c>
      <x:c r="K1966" s="5" t="str"/>
      <x:c r="L1966" s="5" t="str">
        <x:v>Kurz- &amp; langfristige Kreditfinanzierung</x:v>
      </x:c>
      <x:c r="M1966" s="5" t="n">
        <x:v>53</x:v>
      </x:c>
      <x:c r="N1966" s="5" t="n">
        <x:v>15</x:v>
      </x:c>
      <x:c r="O1966" s="5" t="str"/>
      <x:c r="P1966" s="5" t="str">
        <x:v>Zuordnungsvorschlag; Fachfreigabe ausstehend</x:v>
      </x:c>
      <x:c r="Q1966" s="5" t="str">
        <x:v>Bestehendes Lernthema fachlich unter passendem Rahmenplan-Unterbereich behalten</x:v>
      </x:c>
      <x:c r="R1966" s="5" t="str">
        <x:v>Circle Harbor emittiert eine Anleihe mit 2 Mio. € Nominalwert zu einem Ausgabekurs von 98 %. Der Nominalzins beträgt 4 % p. a.; die Rückzahlung erfolgt zu 100 %. Berechnen Sie Emissionserlös, jährliche Zinsen, Rückzahlungsbetrag und Disagio.</x:v>
      </x:c>
      <x:c r="S1966" s="5" t="str">
        <x:v>756515a0711387ad75e2eab0a57c5abae6f9df2eca844a001ea09e7f6d556b21</x:v>
      </x:c>
    </x:row>
    <x:row r="1967" ht="36" customHeight="1">
      <x:c r="A1967" s="5" t="str">
        <x:v>IF-0154</x:v>
      </x:c>
      <x:c r="B1967" s="5" t="str">
        <x:v>HQ</x:v>
      </x:c>
      <x:c r="C1967" s="5" t="str">
        <x:v>6</x:v>
      </x:c>
      <x:c r="D1967" s="5" t="str">
        <x:v>Investition, Finanzierung, betriebliches Rechnungswesen und Controlling</x:v>
      </x:c>
      <x:c r="E1967" s="5" t="str">
        <x:v>Investition und Finanzierung</x:v>
      </x:c>
      <x:c r="F1967" s="5" t="str">
        <x:v>ui-hq-0018</x:v>
      </x:c>
      <x:c r="G1967" s="5" t="str">
        <x:v>Finanzplanung und Ermittlung des Finanzbedarfs</x:v>
      </x:c>
      <x:c r="H1967" s="5" t="str">
        <x:v>dg-hq-0161</x:v>
      </x:c>
      <x:c r="I1967" s="5" t="str">
        <x:v>6.2.2.1#1</x:v>
      </x:c>
      <x:c r="J1967" s="5" t="str">
        <x:v>Förderprogramme</x:v>
      </x:c>
      <x:c r="K1967" s="5" t="str"/>
      <x:c r="L1967" s="5" t="str">
        <x:v>Kurz- &amp; langfristige Kreditfinanzierung</x:v>
      </x:c>
      <x:c r="M1967" s="5" t="n">
        <x:v>51</x:v>
      </x:c>
      <x:c r="N1967" s="5" t="n">
        <x:v>1</x:v>
      </x:c>
      <x:c r="O1967" s="5" t="str"/>
      <x:c r="P1967" s="5" t="str">
        <x:v>Zuordnungsvorschlag; Fachfreigabe ausstehend</x:v>
      </x:c>
      <x:c r="Q1967" s="5" t="str">
        <x:v>Gezielt geprüfter Einzelbeleg</x:v>
      </x:c>
      <x:c r="R1967" s="5" t="str">
        <x:v>Wie werden öffentliche Förderdarlehen der KfW oder einer Landesförderbank typischerweise beantragt und welche Finanzierungsanlässe können damit unterstützt werden?</x:v>
      </x:c>
      <x:c r="S1967" s="5" t="str">
        <x:v>2e16276ee9c709c728a45593018b9a6e0a771bda613fdf2b602087225167e75e</x:v>
      </x:c>
    </x:row>
    <x:row r="1968" ht="36" customHeight="1">
      <x:c r="A1968" s="5" t="str">
        <x:v>IF-0155</x:v>
      </x:c>
      <x:c r="B1968" s="5" t="str">
        <x:v>HQ</x:v>
      </x:c>
      <x:c r="C1968" s="5" t="str">
        <x:v>6</x:v>
      </x:c>
      <x:c r="D1968" s="5" t="str">
        <x:v>Investition, Finanzierung, betriebliches Rechnungswesen und Controlling</x:v>
      </x:c>
      <x:c r="E1968" s="5" t="str">
        <x:v>Investition und Finanzierung</x:v>
      </x:c>
      <x:c r="F1968" s="5" t="str">
        <x:v>ui-hq-0019</x:v>
      </x:c>
      <x:c r="G1968" s="5" t="str">
        <x:v>Finanzierungsarten</x:v>
      </x:c>
      <x:c r="H1968" s="5" t="str">
        <x:v>dg-hq-0153</x:v>
      </x:c>
      <x:c r="I1968" s="5" t="str">
        <x:v>6.3.4.4</x:v>
      </x:c>
      <x:c r="J1968" s="5" t="str">
        <x:v>Sonderformen der Finanzierung</x:v>
      </x:c>
      <x:c r="K1968" s="5" t="str"/>
      <x:c r="L1968" s="5" t="str">
        <x:v>Sonderformen, Bonität &amp; Rating</x:v>
      </x:c>
      <x:c r="M1968" s="5" t="n">
        <x:v>54</x:v>
      </x:c>
      <x:c r="N1968" s="5" t="n">
        <x:v>12</x:v>
      </x:c>
      <x:c r="O1968" s="5" t="str"/>
      <x:c r="P1968" s="5" t="str">
        <x:v>Zuordnungsvorschlag; Fachfreigabe ausstehend</x:v>
      </x:c>
      <x:c r="Q1968" s="5" t="str">
        <x:v>Bestehendes Lernthema fachlich unter passendem Rahmenplan-Unterbereich behalten</x:v>
      </x:c>
      <x:c r="R1968" s="5" t="str">
        <x:v>Erläutern Sie Franchising als Vertriebs- und Finanzierungskonzept. Welche Leistungen und Pflichten haben Franchisegeber und Franchisenehmer?</x:v>
      </x:c>
      <x:c r="S1968" s="5" t="str">
        <x:v>f29acad1fa95842b42963f77588ededd772a451c57eb7a287f42621e2fb61ded</x:v>
      </x:c>
    </x:row>
    <x:row r="1969" ht="36" customHeight="1">
      <x:c r="A1969" s="5" t="str">
        <x:v>IF-0156</x:v>
      </x:c>
      <x:c r="B1969" s="5" t="str">
        <x:v>HQ</x:v>
      </x:c>
      <x:c r="C1969" s="5" t="str">
        <x:v>6</x:v>
      </x:c>
      <x:c r="D1969" s="5" t="str">
        <x:v>Investition, Finanzierung, betriebliches Rechnungswesen und Controlling</x:v>
      </x:c>
      <x:c r="E1969" s="5" t="str">
        <x:v>Investition und Finanzierung</x:v>
      </x:c>
      <x:c r="F1969" s="5" t="str">
        <x:v>ui-hq-0019</x:v>
      </x:c>
      <x:c r="G1969" s="5" t="str">
        <x:v>Finanzierungsarten</x:v>
      </x:c>
      <x:c r="H1969" s="5" t="str">
        <x:v>dg-hq-0153</x:v>
      </x:c>
      <x:c r="I1969" s="5" t="str">
        <x:v>6.3.4.4</x:v>
      </x:c>
      <x:c r="J1969" s="5" t="str">
        <x:v>Sonderformen der Finanzierung</x:v>
      </x:c>
      <x:c r="K1969" s="5" t="str"/>
      <x:c r="L1969" s="5" t="str">
        <x:v>Sonderformen, Bonität &amp; Rating</x:v>
      </x:c>
      <x:c r="M1969" s="5" t="n">
        <x:v>55</x:v>
      </x:c>
      <x:c r="N1969" s="5" t="n">
        <x:v>13</x:v>
      </x:c>
      <x:c r="O1969" s="5" t="str"/>
      <x:c r="P1969" s="5" t="str">
        <x:v>Zuordnungsvorschlag; Fachfreigabe ausstehend</x:v>
      </x:c>
      <x:c r="Q1969" s="5" t="str">
        <x:v>Bestehendes Lernthema fachlich unter passendem Rahmenplan-Unterbereich behalten</x:v>
      </x:c>
      <x:c r="R1969" s="5" t="str">
        <x:v>Beschreiben Sie den Ablauf des Finetradings sowie Vorteile und Kosten für Lieferant, Käufer und Finetrader.</x:v>
      </x:c>
      <x:c r="S1969" s="5" t="str">
        <x:v>78478a720fe7b193cb974f4fca156f39a29c0f75f8a3c6b9e9c3e6532122537e</x:v>
      </x:c>
    </x:row>
    <x:row r="1970" ht="36" customHeight="1">
      <x:c r="A1970" s="5" t="str">
        <x:v>IF-0157</x:v>
      </x:c>
      <x:c r="B1970" s="5" t="str">
        <x:v>HQ</x:v>
      </x:c>
      <x:c r="C1970" s="5" t="str">
        <x:v>6</x:v>
      </x:c>
      <x:c r="D1970" s="5" t="str">
        <x:v>Investition, Finanzierung, betriebliches Rechnungswesen und Controlling</x:v>
      </x:c>
      <x:c r="E1970" s="5" t="str">
        <x:v>Investition und Finanzierung</x:v>
      </x:c>
      <x:c r="F1970" s="5" t="str">
        <x:v>ui-hq-0019</x:v>
      </x:c>
      <x:c r="G1970" s="5" t="str">
        <x:v>Finanzierungsarten</x:v>
      </x:c>
      <x:c r="H1970" s="5" t="str">
        <x:v>dg-hq-0153</x:v>
      </x:c>
      <x:c r="I1970" s="5" t="str">
        <x:v>6.3.4.4</x:v>
      </x:c>
      <x:c r="J1970" s="5" t="str">
        <x:v>Sonderformen der Finanzierung</x:v>
      </x:c>
      <x:c r="K1970" s="5" t="str"/>
      <x:c r="L1970" s="5" t="str">
        <x:v>Sonderformen, Bonität &amp; Rating</x:v>
      </x:c>
      <x:c r="M1970" s="5" t="n">
        <x:v>56</x:v>
      </x:c>
      <x:c r="N1970" s="5" t="n">
        <x:v>14</x:v>
      </x:c>
      <x:c r="O1970" s="5" t="str"/>
      <x:c r="P1970" s="5" t="str">
        <x:v>Zuordnungsvorschlag; Fachfreigabe ausstehend</x:v>
      </x:c>
      <x:c r="Q1970" s="5" t="str">
        <x:v>Bestehendes Lernthema fachlich unter passendem Rahmenplan-Unterbereich behalten</x:v>
      </x:c>
      <x:c r="R1970" s="5" t="str">
        <x:v>Wie funktioniert eine Finanzierung über Asset-backed Securities (ABS)?</x:v>
      </x:c>
      <x:c r="S1970" s="5" t="str">
        <x:v>4b399cab4b6ec5d8f098c98461a7feeedb4d581c7636d8ab71b0ce3b27ff946e</x:v>
      </x:c>
    </x:row>
    <x:row r="1971" ht="36" customHeight="1">
      <x:c r="A1971" s="5" t="str">
        <x:v>IF-0158</x:v>
      </x:c>
      <x:c r="B1971" s="5" t="str">
        <x:v>HQ</x:v>
      </x:c>
      <x:c r="C1971" s="5" t="str">
        <x:v>6</x:v>
      </x:c>
      <x:c r="D1971" s="5" t="str">
        <x:v>Investition, Finanzierung, betriebliches Rechnungswesen und Controlling</x:v>
      </x:c>
      <x:c r="E1971" s="5" t="str">
        <x:v>Investition und Finanzierung</x:v>
      </x:c>
      <x:c r="F1971" s="5" t="str">
        <x:v>ui-hq-0019</x:v>
      </x:c>
      <x:c r="G1971" s="5" t="str">
        <x:v>Finanzierungsarten</x:v>
      </x:c>
      <x:c r="H1971" s="5" t="str">
        <x:v>dg-hq-0153</x:v>
      </x:c>
      <x:c r="I1971" s="5" t="str">
        <x:v>6.3.4.4</x:v>
      </x:c>
      <x:c r="J1971" s="5" t="str">
        <x:v>Sonderformen der Finanzierung</x:v>
      </x:c>
      <x:c r="K1971" s="5" t="str"/>
      <x:c r="L1971" s="5" t="str">
        <x:v>Sonderformen, Bonität &amp; Rating</x:v>
      </x:c>
      <x:c r="M1971" s="5" t="n">
        <x:v>57</x:v>
      </x:c>
      <x:c r="N1971" s="5" t="n">
        <x:v>15</x:v>
      </x:c>
      <x:c r="O1971" s="5" t="str"/>
      <x:c r="P1971" s="5" t="str">
        <x:v>Zuordnungsvorschlag; Fachfreigabe ausstehend</x:v>
      </x:c>
      <x:c r="Q1971" s="5" t="str">
        <x:v>Bestehendes Lernthema fachlich unter passendem Rahmenplan-Unterbereich behalten</x:v>
      </x:c>
      <x:c r="R1971" s="5" t="str">
        <x:v>Vervollständigen Sie die Begriffe der Bonitätsprüfung.</x:v>
      </x:c>
      <x:c r="S1971" s="5" t="str">
        <x:v>8207dc6efd958025d690105d01eb954bf59070802ac85e87555f44f31ea60201</x:v>
      </x:c>
    </x:row>
    <x:row r="1972" ht="36" customHeight="1">
      <x:c r="A1972" s="5" t="str">
        <x:v>IF-0159</x:v>
      </x:c>
      <x:c r="B1972" s="5" t="str">
        <x:v>HQ</x:v>
      </x:c>
      <x:c r="C1972" s="5" t="str">
        <x:v>6</x:v>
      </x:c>
      <x:c r="D1972" s="5" t="str">
        <x:v>Investition, Finanzierung, betriebliches Rechnungswesen und Controlling</x:v>
      </x:c>
      <x:c r="E1972" s="5" t="str">
        <x:v>Investition und Finanzierung</x:v>
      </x:c>
      <x:c r="F1972" s="5" t="str">
        <x:v>ui-hq-0019</x:v>
      </x:c>
      <x:c r="G1972" s="5" t="str">
        <x:v>Finanzierungsarten</x:v>
      </x:c>
      <x:c r="H1972" s="5" t="str">
        <x:v>dg-hq-0153</x:v>
      </x:c>
      <x:c r="I1972" s="5" t="str">
        <x:v>6.3.4.4</x:v>
      </x:c>
      <x:c r="J1972" s="5" t="str">
        <x:v>Sonderformen der Finanzierung</x:v>
      </x:c>
      <x:c r="K1972" s="5" t="str"/>
      <x:c r="L1972" s="5" t="str">
        <x:v>Sonderformen, Bonität &amp; Rating</x:v>
      </x:c>
      <x:c r="M1972" s="5" t="n">
        <x:v>58</x:v>
      </x:c>
      <x:c r="N1972" s="5" t="n">
        <x:v>16</x:v>
      </x:c>
      <x:c r="O1972" s="5" t="str"/>
      <x:c r="P1972" s="5" t="str">
        <x:v>Zuordnungsvorschlag; Fachfreigabe ausstehend</x:v>
      </x:c>
      <x:c r="Q1972" s="5" t="str">
        <x:v>Bestehendes Lernthema fachlich unter passendem Rahmenplan-Unterbereich behalten</x:v>
      </x:c>
      <x:c r="R1972" s="5" t="str">
        <x:v>Ordnen Sie Ratinginformationen den Hard Facts oder Soft Facts zu.</x:v>
      </x:c>
      <x:c r="S1972" s="5" t="str">
        <x:v>186f80e6dceeaafd5c887905cee4288814909e4f5bdd807724e52a0f567fdbe0</x:v>
      </x:c>
    </x:row>
    <x:row r="1973" ht="36" customHeight="1">
      <x:c r="A1973" s="5" t="str">
        <x:v>IF-0160</x:v>
      </x:c>
      <x:c r="B1973" s="5" t="str">
        <x:v>HQ</x:v>
      </x:c>
      <x:c r="C1973" s="5" t="str">
        <x:v>6</x:v>
      </x:c>
      <x:c r="D1973" s="5" t="str">
        <x:v>Investition, Finanzierung, betriebliches Rechnungswesen und Controlling</x:v>
      </x:c>
      <x:c r="E1973" s="5" t="str">
        <x:v>Investition und Finanzierung</x:v>
      </x:c>
      <x:c r="F1973" s="5" t="str">
        <x:v>ui-hq-0019</x:v>
      </x:c>
      <x:c r="G1973" s="5" t="str">
        <x:v>Finanzierungsarten</x:v>
      </x:c>
      <x:c r="H1973" s="5" t="str">
        <x:v>dg-hq-0153</x:v>
      </x:c>
      <x:c r="I1973" s="5" t="str">
        <x:v>6.3.4.4</x:v>
      </x:c>
      <x:c r="J1973" s="5" t="str">
        <x:v>Sonderformen der Finanzierung</x:v>
      </x:c>
      <x:c r="K1973" s="5" t="str"/>
      <x:c r="L1973" s="5" t="str">
        <x:v>Sonderformen, Bonität &amp; Rating</x:v>
      </x:c>
      <x:c r="M1973" s="5" t="n">
        <x:v>59</x:v>
      </x:c>
      <x:c r="N1973" s="5" t="n">
        <x:v>17</x:v>
      </x:c>
      <x:c r="O1973" s="5" t="str"/>
      <x:c r="P1973" s="5" t="str">
        <x:v>Zuordnungsvorschlag; Fachfreigabe ausstehend</x:v>
      </x:c>
      <x:c r="Q1973" s="5" t="str">
        <x:v>Bestehendes Lernthema fachlich unter passendem Rahmenplan-Unterbereich behalten</x:v>
      </x:c>
      <x:c r="R1973" s="5" t="str">
        <x:v>Circle Harbor hat durchschnittlich 900.000 € Forderungen aus Lieferungen und Leistungen und 7,2 Mio. € Jahresumsatz. Berechnen Sie die Debitorenlaufzeit bei 360 Tagen. Im Vorjahr betrug sie 30 Tage. Interpretieren Sie die Veränderung.</x:v>
      </x:c>
      <x:c r="S1973" s="5" t="str">
        <x:v>77b30b80f2fa806f33ad122e2e26147c91f6fc3aadcd72ff43ec337b2e0f221c</x:v>
      </x:c>
    </x:row>
    <x:row r="1974" ht="36" customHeight="1">
      <x:c r="A1974" s="5" t="str">
        <x:v>IF-0161</x:v>
      </x:c>
      <x:c r="B1974" s="5" t="str">
        <x:v>HQ</x:v>
      </x:c>
      <x:c r="C1974" s="5" t="str">
        <x:v>6</x:v>
      </x:c>
      <x:c r="D1974" s="5" t="str">
        <x:v>Investition, Finanzierung, betriebliches Rechnungswesen und Controlling</x:v>
      </x:c>
      <x:c r="E1974" s="5" t="str">
        <x:v>Investition und Finanzierung</x:v>
      </x:c>
      <x:c r="F1974" s="5" t="str">
        <x:v>ui-hq-0019</x:v>
      </x:c>
      <x:c r="G1974" s="5" t="str">
        <x:v>Finanzierungsarten</x:v>
      </x:c>
      <x:c r="H1974" s="5" t="str">
        <x:v>dg-hq-0153</x:v>
      </x:c>
      <x:c r="I1974" s="5" t="str">
        <x:v>6.3.4.4</x:v>
      </x:c>
      <x:c r="J1974" s="5" t="str">
        <x:v>Sonderformen der Finanzierung</x:v>
      </x:c>
      <x:c r="K1974" s="5" t="str"/>
      <x:c r="L1974" s="5" t="str">
        <x:v>Sonderformen, Bonität &amp; Rating</x:v>
      </x:c>
      <x:c r="M1974" s="5" t="n">
        <x:v>60</x:v>
      </x:c>
      <x:c r="N1974" s="5" t="n">
        <x:v>18</x:v>
      </x:c>
      <x:c r="O1974" s="5" t="str"/>
      <x:c r="P1974" s="5" t="str">
        <x:v>Zuordnungsvorschlag; Fachfreigabe ausstehend</x:v>
      </x:c>
      <x:c r="Q1974" s="5" t="str">
        <x:v>Bestehendes Lernthema fachlich unter passendem Rahmenplan-Unterbereich behalten</x:v>
      </x:c>
      <x:c r="R1974" s="5" t="str">
        <x:v>Circle Harbor erzielt 240.000 € Jahresergebnis bei 3 Mio. € Umsatz und 1,5 Mio. € Gesamtkapital. Berechnen Sie Umsatzrentabilität, Kapitalumschlag und ROI nach dem im Fachbuch dargestellten DuPont-Zusammenhang.</x:v>
      </x:c>
      <x:c r="S1974" s="5" t="str">
        <x:v>3f091adfb17a6e1f82630f45217a7bca9a3a80a1b6b5494f4b25122f309eaf7a</x:v>
      </x:c>
    </x:row>
    <x:row r="1975" ht="36" customHeight="1">
      <x:c r="A1975" s="5" t="str">
        <x:v>IF-0162</x:v>
      </x:c>
      <x:c r="B1975" s="5" t="str">
        <x:v>HQ</x:v>
      </x:c>
      <x:c r="C1975" s="5" t="str">
        <x:v>6</x:v>
      </x:c>
      <x:c r="D1975" s="5" t="str">
        <x:v>Investition, Finanzierung, betriebliches Rechnungswesen und Controlling</x:v>
      </x:c>
      <x:c r="E1975" s="5" t="str">
        <x:v>Investition und Finanzierung</x:v>
      </x:c>
      <x:c r="F1975" s="5" t="str">
        <x:v>ui-hq-0018</x:v>
      </x:c>
      <x:c r="G1975" s="5" t="str">
        <x:v>Finanzplanung und Ermittlung des Finanzbedarfs</x:v>
      </x:c>
      <x:c r="H1975" s="5" t="str">
        <x:v>dg-hq-0149</x:v>
      </x:c>
      <x:c r="I1975" s="5" t="str">
        <x:v>6.2.3.1</x:v>
      </x:c>
      <x:c r="J1975" s="5" t="str">
        <x:v>Definition der Liquidität</x:v>
      </x:c>
      <x:c r="K1975" s="5" t="str"/>
      <x:c r="L1975" s="5" t="str">
        <x:v>Sonderformen, Bonität &amp; Rating</x:v>
      </x:c>
      <x:c r="M1975" s="5" t="n">
        <x:v>52</x:v>
      </x:c>
      <x:c r="N1975" s="5" t="n">
        <x:v>7</x:v>
      </x:c>
      <x:c r="O1975" s="5" t="str"/>
      <x:c r="P1975" s="5" t="str">
        <x:v>Zuordnungsvorschlag; Fachfreigabe ausstehend</x:v>
      </x:c>
      <x:c r="Q1975" s="5" t="str">
        <x:v>Frageinhalt präzisiert bzw. teilt bisheriges Sammelthema</x:v>
      </x:c>
      <x:c r="R1975" s="5" t="str">
        <x:v>Ein Ratingbericht zu Circle Harbor zeigt eine Eigenkapitalquote von 18 %, eine Liquidität 2. Grades von 65 %, eine auf 75 Tage gestiegene Debitorenlaufzeit und einen rückläufigen Cashflow. Das Management verfügt über lange Branchenerfahrung und einen dokumentierten Zukunftsplan. Ordnen Sie Hard und Soft Facts ein, beurteilen Sie die wahrscheinlichen Ratingwirkungen und nennen Sie vier Verbesserungsmaßnahmen.</x:v>
      </x:c>
      <x:c r="S1975" s="5" t="str">
        <x:v>b990ce89f6e41cbf6684867a159b387b0adc62aecc28a3648fb5abfb9ccec51b</x:v>
      </x:c>
    </x:row>
    <x:row r="1976" ht="36" customHeight="1">
      <x:c r="A1976" s="5" t="str">
        <x:v>IF-0163</x:v>
      </x:c>
      <x:c r="B1976" s="5" t="str">
        <x:v>HQ</x:v>
      </x:c>
      <x:c r="C1976" s="5" t="str">
        <x:v>6</x:v>
      </x:c>
      <x:c r="D1976" s="5" t="str">
        <x:v>Investition, Finanzierung, betriebliches Rechnungswesen und Controlling</x:v>
      </x:c>
      <x:c r="E1976" s="5" t="str">
        <x:v>Investition und Finanzierung</x:v>
      </x:c>
      <x:c r="F1976" s="5" t="str">
        <x:v>ui-hq-0018</x:v>
      </x:c>
      <x:c r="G1976" s="5" t="str">
        <x:v>Finanzplanung und Ermittlung des Finanzbedarfs</x:v>
      </x:c>
      <x:c r="H1976" s="5" t="str">
        <x:v>dg-hq-0150</x:v>
      </x:c>
      <x:c r="I1976" s="5" t="str">
        <x:v>6.2.2</x:v>
      </x:c>
      <x:c r="J1976" s="5" t="str">
        <x:v>Finanzierungsplanung</x:v>
      </x:c>
      <x:c r="K1976" s="5" t="str"/>
      <x:c r="L1976" s="5" t="str">
        <x:v>Kapitalstruktur, Finanzierungsregeln &amp; Leverage</x:v>
      </x:c>
      <x:c r="M1976" s="5" t="n">
        <x:v>53</x:v>
      </x:c>
      <x:c r="N1976" s="5" t="n">
        <x:v>19</x:v>
      </x:c>
      <x:c r="O1976" s="5" t="str"/>
      <x:c r="P1976" s="5" t="str">
        <x:v>Zuordnungsvorschlag; Fachfreigabe ausstehend</x:v>
      </x:c>
      <x:c r="Q1976" s="5" t="str">
        <x:v>Bestehendes Lernthema fachlich unter passendem Rahmenplan-Unterbereich behalten</x:v>
      </x:c>
      <x:c r="R1976" s="5" t="str">
        <x:v>Die Circle Harbor AG weist 2.000.000 € gezeichnetes Kapital, 200.000 € ausstehende Einlagen, 150.000 € Kapitalrücklage, 350.000 € Gewinnrücklagen und 120.000 € Jahresüberschuss vor Gewinnverwendung aus. Ermitteln Sie das bilanzielle Eigenkapital und erläutern Sie die Behandlung der ausstehenden Einlagen.</x:v>
      </x:c>
      <x:c r="S1976" s="5" t="str">
        <x:v>30946b080e8be9217d0fcc8a0c902f1fd12eb9256018919cfff91b5829fea9c5</x:v>
      </x:c>
    </x:row>
    <x:row r="1977" ht="36" customHeight="1">
      <x:c r="A1977" s="5" t="str">
        <x:v>IF-0164</x:v>
      </x:c>
      <x:c r="B1977" s="5" t="str">
        <x:v>HQ</x:v>
      </x:c>
      <x:c r="C1977" s="5" t="str">
        <x:v>6</x:v>
      </x:c>
      <x:c r="D1977" s="5" t="str">
        <x:v>Investition, Finanzierung, betriebliches Rechnungswesen und Controlling</x:v>
      </x:c>
      <x:c r="E1977" s="5" t="str">
        <x:v>Investition und Finanzierung</x:v>
      </x:c>
      <x:c r="F1977" s="5" t="str">
        <x:v>ui-hq-0018</x:v>
      </x:c>
      <x:c r="G1977" s="5" t="str">
        <x:v>Finanzplanung und Ermittlung des Finanzbedarfs</x:v>
      </x:c>
      <x:c r="H1977" s="5" t="str">
        <x:v>dg-hq-0144</x:v>
      </x:c>
      <x:c r="I1977" s="5" t="str">
        <x:v>6.2.1</x:v>
      </x:c>
      <x:c r="J1977" s="5" t="str">
        <x:v>Kapitalbedarfsplanung</x:v>
      </x:c>
      <x:c r="K1977" s="5" t="str"/>
      <x:c r="L1977" s="5" t="str">
        <x:v>Kapitalbedarfs-, Finanz- &amp; Liquiditätsplanung</x:v>
      </x:c>
      <x:c r="M1977" s="5" t="n">
        <x:v>54</x:v>
      </x:c>
      <x:c r="N1977" s="5" t="n">
        <x:v>14</x:v>
      </x:c>
      <x:c r="O1977" s="5" t="str"/>
      <x:c r="P1977" s="5" t="str">
        <x:v>Zuordnungsvorschlag; Fachfreigabe ausstehend</x:v>
      </x:c>
      <x:c r="Q1977" s="5" t="str">
        <x:v>Bestehendes Lernthema fachlich unter passendem Rahmenplan-Unterbereich behalten</x:v>
      </x:c>
      <x:c r="R1977" s="5" t="str">
        <x:v>Die Circle Harbor GmbH plant den Aufbau eines neuen Geschäftsbereichs. Es fallen 240.000 € Vorbereitungs- und Gründungsaufwand sowie 1.460.000 € für betriebsnotwendiges Anlagevermögen an. Für die Anlaufphase werden 420.000 € Material, 210.000 € Löhne und 90.000 € Gemeinkosten benötigt. Laut Aufgabenannahme soll zusätzlich eine Liquiditätsreserve von 7,5 % des Umlaufkapitalbedarfs eingeplant werden. 900.000 € Eigenmittel stehen zur Verfügung. Ermitteln Sie Anlagenkapitalbedarf, Umlaufkapitalbedarf, Liquiditätsreserve, Gesamtkapitalbedarf und den verbleibenden Fremdkapitalbedarf.</x:v>
      </x:c>
      <x:c r="S1977" s="5" t="str">
        <x:v>edda4054a224f9d8521eafe869e94dbdeaa254d944e0a6b721579728e0ff9e6e</x:v>
      </x:c>
    </x:row>
    <x:row r="1978" ht="36" customHeight="1">
      <x:c r="A1978" s="5" t="str">
        <x:v>IF-0165</x:v>
      </x:c>
      <x:c r="B1978" s="5" t="str">
        <x:v>HQ</x:v>
      </x:c>
      <x:c r="C1978" s="5" t="str">
        <x:v>6</x:v>
      </x:c>
      <x:c r="D1978" s="5" t="str">
        <x:v>Investition, Finanzierung, betriebliches Rechnungswesen und Controlling</x:v>
      </x:c>
      <x:c r="E1978" s="5" t="str">
        <x:v>Investition und Finanzierung</x:v>
      </x:c>
      <x:c r="F1978" s="5" t="str">
        <x:v>ui-hq-0018</x:v>
      </x:c>
      <x:c r="G1978" s="5" t="str">
        <x:v>Finanzplanung und Ermittlung des Finanzbedarfs</x:v>
      </x:c>
      <x:c r="H1978" s="5" t="str">
        <x:v>dg-hq-0144</x:v>
      </x:c>
      <x:c r="I1978" s="5" t="str">
        <x:v>6.2.1</x:v>
      </x:c>
      <x:c r="J1978" s="5" t="str">
        <x:v>Kapitalbedarfsplanung</x:v>
      </x:c>
      <x:c r="K1978" s="5" t="str"/>
      <x:c r="L1978" s="5" t="str">
        <x:v>Kapitalbedarfs-, Finanz- &amp; Liquiditätsplanung</x:v>
      </x:c>
      <x:c r="M1978" s="5" t="n">
        <x:v>55</x:v>
      </x:c>
      <x:c r="N1978" s="5" t="n">
        <x:v>15</x:v>
      </x:c>
      <x:c r="O1978" s="5" t="str"/>
      <x:c r="P1978" s="5" t="str">
        <x:v>Zuordnungsvorschlag; Fachfreigabe ausstehend</x:v>
      </x:c>
      <x:c r="Q1978" s="5" t="str">
        <x:v>Bestehendes Lernthema fachlich unter passendem Rahmenplan-Unterbereich behalten</x:v>
      </x:c>
      <x:c r="R1978" s="5" t="str">
        <x:v>Die Circle Harbor GmbH bereitet einen neuen Standort vor. Erläutern Sie, warum Vorbereitungs- und Gründungsaufwand sowie eine Liquiditätsreserve in einer vollständigen Kapitalbedarfsplanung berücksichtigt werden können. Unterscheiden Sie Anlagenkapitalbedarf, Umlaufkapitalbedarf, Gesamtkapitalbedarf und verbleibenden Finanzierungsbedarf. Begründen Sie außerdem, warum ein Prozentsatz wie 7,5 % für die Liquiditätsreserve nicht allgemein übernommen werden darf.</x:v>
      </x:c>
      <x:c r="S1978" s="5" t="str">
        <x:v>565367741e80b312879690e0313ac0d064ba636b2799f600a2303c6436fb0d9a</x:v>
      </x:c>
    </x:row>
    <x:row r="1979" ht="36" customHeight="1">
      <x:c r="A1979" s="5" t="str">
        <x:v>IF-0166</x:v>
      </x:c>
      <x:c r="B1979" s="5" t="str">
        <x:v>HQ</x:v>
      </x:c>
      <x:c r="C1979" s="5" t="str">
        <x:v>6</x:v>
      </x:c>
      <x:c r="D1979" s="5" t="str">
        <x:v>Investition, Finanzierung, betriebliches Rechnungswesen und Controlling</x:v>
      </x:c>
      <x:c r="E1979" s="5" t="str">
        <x:v>Investition und Finanzierung</x:v>
      </x:c>
      <x:c r="F1979" s="5" t="str">
        <x:v>ui-hq-0017</x:v>
      </x:c>
      <x:c r="G1979" s="5" t="str">
        <x:v>Investitionsplanung und -rechnung</x:v>
      </x:c>
      <x:c r="H1979" s="5" t="str">
        <x:v>dg-hq-0147</x:v>
      </x:c>
      <x:c r="I1979" s="5" t="str">
        <x:v>6.1.2.3</x:v>
      </x:c>
      <x:c r="J1979" s="5" t="str">
        <x:v>Dynamische Investitionsrechnung</x:v>
      </x:c>
      <x:c r="K1979" s="5" t="str"/>
      <x:c r="L1979" s="5" t="str">
        <x:v>Dynamische Investitionsrechnung &amp; Nutzungsdauer</x:v>
      </x:c>
      <x:c r="M1979" s="5" t="n">
        <x:v>50</x:v>
      </x:c>
      <x:c r="N1979" s="5" t="n">
        <x:v>18</x:v>
      </x:c>
      <x:c r="O1979" s="5" t="str"/>
      <x:c r="P1979" s="5" t="str">
        <x:v>Zuordnungsvorschlag; Fachfreigabe ausstehend</x:v>
      </x:c>
      <x:c r="Q1979" s="5" t="str">
        <x:v>Bestehendes Lernthema fachlich unter passendem Rahmenplan-Unterbereich behalten</x:v>
      </x:c>
      <x:c r="R1979" s="5" t="str">
        <x:v>Die Circle Harbor GmbH vergleicht zwei sich gegenseitig ausschließende Investitionsalternativen. Alternative B erfordert gegenüber Alternative A eine zusätzliche Anfangsauszahlung von 150.000 €. Die Differenzüberschüsse von B gegenüber A betragen am Ende der Jahre 1 bis 4: +10.000 €, −70.000 €, −143.000 € und +157.000 €. Zusätzlich erzielt B am Ende des 4. Jahres einen um 285.000 € höheren Liquidationserlös. Der Kalkulationszinssatz beträgt 7 %. Berechnen Sie den Differenzkapitalwert und entscheiden Sie, ob sich der zusätzliche Kapitaleinsatz für Alternative B lohnt.</x:v>
      </x:c>
      <x:c r="S1979" s="5" t="str">
        <x:v>18c40f2b6e27b3828dfbad4711572544d0f212a853f4de1879e65fabba8ad1e9</x:v>
      </x:c>
    </x:row>
    <x:row r="1980" ht="36" customHeight="1">
      <x:c r="A1980" s="5" t="str">
        <x:v>L-0001</x:v>
      </x:c>
      <x:c r="B1980" s="5" t="str">
        <x:v>HQ</x:v>
      </x:c>
      <x:c r="C1980" s="5" t="str">
        <x:v>7</x:v>
      </x:c>
      <x:c r="D1980" s="5" t="str">
        <x:v>Logistik</x:v>
      </x:c>
      <x:c r="E1980" s="5" t="str">
        <x:v>Logistik</x:v>
      </x:c>
      <x:c r="F1980" s="5" t="str">
        <x:v>ui-hq-0022</x:v>
      </x:c>
      <x:c r="G1980" s="5" t="str">
        <x:v>Einkauf und Beschaffung</x:v>
      </x:c>
      <x:c r="H1980" s="5" t="str">
        <x:v>dg-hq-0091</x:v>
      </x:c>
      <x:c r="I1980" s="5" t="str">
        <x:v>7.1.1</x:v>
      </x:c>
      <x:c r="J1980" s="5" t="str">
        <x:v>Grundlagen der Logistik</x:v>
      </x:c>
      <x:c r="K1980" s="5" t="str"/>
      <x:c r="L1980" s="5" t="str">
        <x:v>Logistikgrundlagen, Wertschöpfungskette &amp; SCM</x:v>
      </x:c>
      <x:c r="M1980" s="5" t="n">
        <x:v>1</x:v>
      </x:c>
      <x:c r="N1980" s="5" t="n">
        <x:v>1</x:v>
      </x:c>
      <x:c r="O1980" s="5" t="str"/>
      <x:c r="P1980" s="5" t="str">
        <x:v>Zuordnungsvorschlag; Fachfreigabe ausstehend</x:v>
      </x:c>
      <x:c r="Q1980" s="5" t="str">
        <x:v>Bestehendes Lernthema fachlich unter passendem Rahmenplan-Unterbereich behalten</x:v>
      </x:c>
      <x:c r="R1980" s="5" t="str">
        <x:v>Welche aktuellen Trends und Entwicklungen beeinflussen die Logistik maßgeblich?</x:v>
      </x:c>
      <x:c r="S1980" s="5" t="str">
        <x:v>888578e6033257b4f38159e9984241eb6d5a5842588b8d6e6a275849136d22fd</x:v>
      </x:c>
    </x:row>
    <x:row r="1981" ht="36" customHeight="1">
      <x:c r="A1981" s="5" t="str">
        <x:v>L-0002</x:v>
      </x:c>
      <x:c r="B1981" s="5" t="str">
        <x:v>HQ</x:v>
      </x:c>
      <x:c r="C1981" s="5" t="str">
        <x:v>7</x:v>
      </x:c>
      <x:c r="D1981" s="5" t="str">
        <x:v>Logistik</x:v>
      </x:c>
      <x:c r="E1981" s="5" t="str">
        <x:v>Logistik</x:v>
      </x:c>
      <x:c r="F1981" s="5" t="str">
        <x:v>ui-hq-0022</x:v>
      </x:c>
      <x:c r="G1981" s="5" t="str">
        <x:v>Einkauf und Beschaffung</x:v>
      </x:c>
      <x:c r="H1981" s="5" t="str">
        <x:v>dg-hq-0091</x:v>
      </x:c>
      <x:c r="I1981" s="5" t="str">
        <x:v>7.1.1</x:v>
      </x:c>
      <x:c r="J1981" s="5" t="str">
        <x:v>Grundlagen der Logistik</x:v>
      </x:c>
      <x:c r="K1981" s="5" t="str"/>
      <x:c r="L1981" s="5" t="str">
        <x:v>Logistikgrundlagen, Wertschöpfungskette &amp; SCM</x:v>
      </x:c>
      <x:c r="M1981" s="5" t="n">
        <x:v>2</x:v>
      </x:c>
      <x:c r="N1981" s="5" t="n">
        <x:v>2</x:v>
      </x:c>
      <x:c r="O1981" s="5" t="str"/>
      <x:c r="P1981" s="5" t="str">
        <x:v>Zuordnungsvorschlag; Fachfreigabe ausstehend</x:v>
      </x:c>
      <x:c r="Q1981" s="5" t="str">
        <x:v>Bestehendes Lernthema fachlich unter passendem Rahmenplan-Unterbereich behalten</x:v>
      </x:c>
      <x:c r="R1981" s="5" t="str">
        <x:v>Welche Ziele verfolgt die Logistik und wie lassen sich diese konkret beschreiben?</x:v>
      </x:c>
      <x:c r="S1981" s="5" t="str">
        <x:v>8262d16dc8d8ecd596a45b7df354887ed5a6850f3f6f6ce0e2352b59d2c5d9d4</x:v>
      </x:c>
    </x:row>
    <x:row r="1982" ht="36" customHeight="1">
      <x:c r="A1982" s="5" t="str">
        <x:v>L-0003</x:v>
      </x:c>
      <x:c r="B1982" s="5" t="str">
        <x:v>HQ</x:v>
      </x:c>
      <x:c r="C1982" s="5" t="str">
        <x:v>7</x:v>
      </x:c>
      <x:c r="D1982" s="5" t="str">
        <x:v>Logistik</x:v>
      </x:c>
      <x:c r="E1982" s="5" t="str">
        <x:v>Logistik</x:v>
      </x:c>
      <x:c r="F1982" s="5" t="str">
        <x:v>ui-hq-0022</x:v>
      </x:c>
      <x:c r="G1982" s="5" t="str">
        <x:v>Einkauf und Beschaffung</x:v>
      </x:c>
      <x:c r="H1982" s="5" t="str">
        <x:v>dg-hq-0091</x:v>
      </x:c>
      <x:c r="I1982" s="5" t="str">
        <x:v>7.1.1</x:v>
      </x:c>
      <x:c r="J1982" s="5" t="str">
        <x:v>Grundlagen der Logistik</x:v>
      </x:c>
      <x:c r="K1982" s="5" t="str"/>
      <x:c r="L1982" s="5" t="str">
        <x:v>Logistikgrundlagen, Wertschöpfungskette &amp; SCM</x:v>
      </x:c>
      <x:c r="M1982" s="5" t="n">
        <x:v>3</x:v>
      </x:c>
      <x:c r="N1982" s="5" t="n">
        <x:v>3</x:v>
      </x:c>
      <x:c r="O1982" s="5" t="str"/>
      <x:c r="P1982" s="5" t="str">
        <x:v>Zuordnungsvorschlag; Fachfreigabe ausstehend</x:v>
      </x:c>
      <x:c r="Q1982" s="5" t="str">
        <x:v>Bestehendes Lernthema fachlich unter passendem Rahmenplan-Unterbereich behalten</x:v>
      </x:c>
      <x:c r="R1982" s="5" t="str">
        <x:v>Welche strategischen Entscheidungen trifft die Beschaffungslogistik?</x:v>
      </x:c>
      <x:c r="S1982" s="5" t="str">
        <x:v>32b0e4d45a52d6c4457117ce9198519d351cef147e59d3abaeb38fadda36a056</x:v>
      </x:c>
    </x:row>
    <x:row r="1983" ht="36" customHeight="1">
      <x:c r="A1983" s="5" t="str">
        <x:v>L-0004</x:v>
      </x:c>
      <x:c r="B1983" s="5" t="str">
        <x:v>HQ</x:v>
      </x:c>
      <x:c r="C1983" s="5" t="str">
        <x:v>7</x:v>
      </x:c>
      <x:c r="D1983" s="5" t="str">
        <x:v>Logistik</x:v>
      </x:c>
      <x:c r="E1983" s="5" t="str">
        <x:v>Logistik</x:v>
      </x:c>
      <x:c r="F1983" s="5" t="str">
        <x:v>ui-hq-0022</x:v>
      </x:c>
      <x:c r="G1983" s="5" t="str">
        <x:v>Einkauf und Beschaffung</x:v>
      </x:c>
      <x:c r="H1983" s="5" t="str">
        <x:v>dg-hq-0091</x:v>
      </x:c>
      <x:c r="I1983" s="5" t="str">
        <x:v>7.1.1</x:v>
      </x:c>
      <x:c r="J1983" s="5" t="str">
        <x:v>Grundlagen der Logistik</x:v>
      </x:c>
      <x:c r="K1983" s="5" t="str"/>
      <x:c r="L1983" s="5" t="str">
        <x:v>Logistikgrundlagen, Wertschöpfungskette &amp; SCM</x:v>
      </x:c>
      <x:c r="M1983" s="5" t="n">
        <x:v>4</x:v>
      </x:c>
      <x:c r="N1983" s="5" t="n">
        <x:v>4</x:v>
      </x:c>
      <x:c r="O1983" s="5" t="str"/>
      <x:c r="P1983" s="5" t="str">
        <x:v>Zuordnungsvorschlag; Fachfreigabe ausstehend</x:v>
      </x:c>
      <x:c r="Q1983" s="5" t="str">
        <x:v>Bestehendes Lernthema fachlich unter passendem Rahmenplan-Unterbereich behalten</x:v>
      </x:c>
      <x:c r="R1983" s="5" t="str">
        <x:v>Welche Aufgaben hat die Produktionslogistik?</x:v>
      </x:c>
      <x:c r="S1983" s="5" t="str">
        <x:v>4f3cfad76f4b13bfe523167a14e48c80c05f064d59500c71504113af7dbbea4f</x:v>
      </x:c>
    </x:row>
    <x:row r="1984" ht="36" customHeight="1">
      <x:c r="A1984" s="5" t="str">
        <x:v>L-0005</x:v>
      </x:c>
      <x:c r="B1984" s="5" t="str">
        <x:v>HQ</x:v>
      </x:c>
      <x:c r="C1984" s="5" t="str">
        <x:v>7</x:v>
      </x:c>
      <x:c r="D1984" s="5" t="str">
        <x:v>Logistik</x:v>
      </x:c>
      <x:c r="E1984" s="5" t="str">
        <x:v>Logistik</x:v>
      </x:c>
      <x:c r="F1984" s="5" t="str">
        <x:v>ui-hq-0022</x:v>
      </x:c>
      <x:c r="G1984" s="5" t="str">
        <x:v>Einkauf und Beschaffung</x:v>
      </x:c>
      <x:c r="H1984" s="5" t="str">
        <x:v>dg-hq-0091</x:v>
      </x:c>
      <x:c r="I1984" s="5" t="str">
        <x:v>7.1.1</x:v>
      </x:c>
      <x:c r="J1984" s="5" t="str">
        <x:v>Grundlagen der Logistik</x:v>
      </x:c>
      <x:c r="K1984" s="5" t="str"/>
      <x:c r="L1984" s="5" t="str">
        <x:v>Logistikgrundlagen, Wertschöpfungskette &amp; SCM</x:v>
      </x:c>
      <x:c r="M1984" s="5" t="n">
        <x:v>5</x:v>
      </x:c>
      <x:c r="N1984" s="5" t="n">
        <x:v>5</x:v>
      </x:c>
      <x:c r="O1984" s="5" t="str"/>
      <x:c r="P1984" s="5" t="str">
        <x:v>Zuordnungsvorschlag; Fachfreigabe ausstehend</x:v>
      </x:c>
      <x:c r="Q1984" s="5" t="str">
        <x:v>Bestehendes Lernthema fachlich unter passendem Rahmenplan-Unterbereich behalten</x:v>
      </x:c>
      <x:c r="R1984" s="5" t="str">
        <x:v>Welche Ziele verfolgt die Distributionslogistik?</x:v>
      </x:c>
      <x:c r="S1984" s="5" t="str">
        <x:v>97894331552e80084fb9758884545fe3cb3f9ed794cf8799d93880d0e0c7d12c</x:v>
      </x:c>
    </x:row>
    <x:row r="1985" ht="36" customHeight="1">
      <x:c r="A1985" s="5" t="str">
        <x:v>L-0006</x:v>
      </x:c>
      <x:c r="B1985" s="5" t="str">
        <x:v>HQ</x:v>
      </x:c>
      <x:c r="C1985" s="5" t="str">
        <x:v>7</x:v>
      </x:c>
      <x:c r="D1985" s="5" t="str">
        <x:v>Logistik</x:v>
      </x:c>
      <x:c r="E1985" s="5" t="str">
        <x:v>Logistik</x:v>
      </x:c>
      <x:c r="F1985" s="5" t="str">
        <x:v>ui-hq-0022</x:v>
      </x:c>
      <x:c r="G1985" s="5" t="str">
        <x:v>Einkauf und Beschaffung</x:v>
      </x:c>
      <x:c r="H1985" s="5" t="str">
        <x:v>dg-hq-0091</x:v>
      </x:c>
      <x:c r="I1985" s="5" t="str">
        <x:v>7.1.1</x:v>
      </x:c>
      <x:c r="J1985" s="5" t="str">
        <x:v>Grundlagen der Logistik</x:v>
      </x:c>
      <x:c r="K1985" s="5" t="str"/>
      <x:c r="L1985" s="5" t="str">
        <x:v>Logistikgrundlagen, Wertschöpfungskette &amp; SCM</x:v>
      </x:c>
      <x:c r="M1985" s="5" t="n">
        <x:v>6</x:v>
      </x:c>
      <x:c r="N1985" s="5" t="n">
        <x:v>6</x:v>
      </x:c>
      <x:c r="O1985" s="5" t="str"/>
      <x:c r="P1985" s="5" t="str">
        <x:v>Zuordnungsvorschlag; Fachfreigabe ausstehend</x:v>
      </x:c>
      <x:c r="Q1985" s="5" t="str">
        <x:v>Bestehendes Lernthema fachlich unter passendem Rahmenplan-Unterbereich behalten</x:v>
      </x:c>
      <x:c r="R1985" s="5" t="str">
        <x:v>Welche Probleme können ohne abgestimmtes Supply Chain Management auftreten?</x:v>
      </x:c>
      <x:c r="S1985" s="5" t="str">
        <x:v>a1fa5b4ce463376372a4a7f4cd9617d456f1bc1530f07bae84ee44dc7916797c</x:v>
      </x:c>
    </x:row>
    <x:row r="1986" ht="36" customHeight="1">
      <x:c r="A1986" s="5" t="str">
        <x:v>L-0007</x:v>
      </x:c>
      <x:c r="B1986" s="5" t="str">
        <x:v>HQ</x:v>
      </x:c>
      <x:c r="C1986" s="5" t="str">
        <x:v>7</x:v>
      </x:c>
      <x:c r="D1986" s="5" t="str">
        <x:v>Logistik</x:v>
      </x:c>
      <x:c r="E1986" s="5" t="str">
        <x:v>Logistik</x:v>
      </x:c>
      <x:c r="F1986" s="5" t="str">
        <x:v>ui-hq-0022</x:v>
      </x:c>
      <x:c r="G1986" s="5" t="str">
        <x:v>Einkauf und Beschaffung</x:v>
      </x:c>
      <x:c r="H1986" s="5" t="str">
        <x:v>dg-hq-0091</x:v>
      </x:c>
      <x:c r="I1986" s="5" t="str">
        <x:v>7.1.1</x:v>
      </x:c>
      <x:c r="J1986" s="5" t="str">
        <x:v>Grundlagen der Logistik</x:v>
      </x:c>
      <x:c r="K1986" s="5" t="str"/>
      <x:c r="L1986" s="5" t="str">
        <x:v>Logistikgrundlagen, Wertschöpfungskette &amp; SCM</x:v>
      </x:c>
      <x:c r="M1986" s="5" t="n">
        <x:v>7</x:v>
      </x:c>
      <x:c r="N1986" s="5" t="n">
        <x:v>7</x:v>
      </x:c>
      <x:c r="O1986" s="5" t="str"/>
      <x:c r="P1986" s="5" t="str">
        <x:v>Zuordnungsvorschlag; Fachfreigabe ausstehend</x:v>
      </x:c>
      <x:c r="Q1986" s="5" t="str">
        <x:v>Bestehendes Lernthema fachlich unter passendem Rahmenplan-Unterbereich behalten</x:v>
      </x:c>
      <x:c r="R1986" s="5" t="str">
        <x:v>Warum entstehen im Einkauf Zielkonflikte und welche Beispiele gibt es?</x:v>
      </x:c>
      <x:c r="S1986" s="5" t="str">
        <x:v>97a8a8ed49a36954ceca9e6bb07e5c4adde480e79e1900eeb14fbba13a0d634a</x:v>
      </x:c>
    </x:row>
    <x:row r="1987" ht="36" customHeight="1">
      <x:c r="A1987" s="5" t="str">
        <x:v>L-0008</x:v>
      </x:c>
      <x:c r="B1987" s="5" t="str">
        <x:v>HQ</x:v>
      </x:c>
      <x:c r="C1987" s="5" t="str">
        <x:v>7</x:v>
      </x:c>
      <x:c r="D1987" s="5" t="str">
        <x:v>Logistik</x:v>
      </x:c>
      <x:c r="E1987" s="5" t="str">
        <x:v>Logistik</x:v>
      </x:c>
      <x:c r="F1987" s="5" t="str">
        <x:v>ui-hq-0022</x:v>
      </x:c>
      <x:c r="G1987" s="5" t="str">
        <x:v>Einkauf und Beschaffung</x:v>
      </x:c>
      <x:c r="H1987" s="5" t="str">
        <x:v>dg-hq-0091</x:v>
      </x:c>
      <x:c r="I1987" s="5" t="str">
        <x:v>7.1.1</x:v>
      </x:c>
      <x:c r="J1987" s="5" t="str">
        <x:v>Grundlagen der Logistik</x:v>
      </x:c>
      <x:c r="K1987" s="5" t="str"/>
      <x:c r="L1987" s="5" t="str">
        <x:v>Logistikgrundlagen, Wertschöpfungskette &amp; SCM</x:v>
      </x:c>
      <x:c r="M1987" s="5" t="n">
        <x:v>8</x:v>
      </x:c>
      <x:c r="N1987" s="5" t="n">
        <x:v>8</x:v>
      </x:c>
      <x:c r="O1987" s="5" t="str"/>
      <x:c r="P1987" s="5" t="str">
        <x:v>Zuordnungsvorschlag; Fachfreigabe ausstehend</x:v>
      </x:c>
      <x:c r="Q1987" s="5" t="str">
        <x:v>Bestehendes Lernthema fachlich unter passendem Rahmenplan-Unterbereich behalten</x:v>
      </x:c>
      <x:c r="R1987" s="5" t="str">
        <x:v>Welche Elemente umfasst der Lieferservice und wie können diese konkret ausgestaltet sein?</x:v>
      </x:c>
      <x:c r="S1987" s="5" t="str">
        <x:v>934edcca7e9e76ab5f3e04917de4568122a8d22247b84ff5947dad0b6e7e3c51</x:v>
      </x:c>
    </x:row>
    <x:row r="1988" ht="36" customHeight="1">
      <x:c r="A1988" s="5" t="str">
        <x:v>L-0009</x:v>
      </x:c>
      <x:c r="B1988" s="5" t="str">
        <x:v>HQ</x:v>
      </x:c>
      <x:c r="C1988" s="5" t="str">
        <x:v>7</x:v>
      </x:c>
      <x:c r="D1988" s="5" t="str">
        <x:v>Logistik</x:v>
      </x:c>
      <x:c r="E1988" s="5" t="str">
        <x:v>Logistik</x:v>
      </x:c>
      <x:c r="F1988" s="5" t="str">
        <x:v>ui-hq-0022</x:v>
      </x:c>
      <x:c r="G1988" s="5" t="str">
        <x:v>Einkauf und Beschaffung</x:v>
      </x:c>
      <x:c r="H1988" s="5" t="str">
        <x:v>dg-hq-0091</x:v>
      </x:c>
      <x:c r="I1988" s="5" t="str">
        <x:v>7.1.1</x:v>
      </x:c>
      <x:c r="J1988" s="5" t="str">
        <x:v>Grundlagen der Logistik</x:v>
      </x:c>
      <x:c r="K1988" s="5" t="str"/>
      <x:c r="L1988" s="5" t="str">
        <x:v>Logistikgrundlagen, Wertschöpfungskette &amp; SCM</x:v>
      </x:c>
      <x:c r="M1988" s="5" t="n">
        <x:v>9</x:v>
      </x:c>
      <x:c r="N1988" s="5" t="n">
        <x:v>9</x:v>
      </x:c>
      <x:c r="O1988" s="5" t="str"/>
      <x:c r="P1988" s="5" t="str">
        <x:v>Zuordnungsvorschlag; Fachfreigabe ausstehend</x:v>
      </x:c>
      <x:c r="Q1988" s="5" t="str">
        <x:v>Bestehendes Lernthema fachlich unter passendem Rahmenplan-Unterbereich behalten</x:v>
      </x:c>
      <x:c r="R1988" s="5" t="str">
        <x:v>Was versteht man unter den „6 R der Logistik“?</x:v>
      </x:c>
      <x:c r="S1988" s="5" t="str">
        <x:v>9c3771d301b05d5d04472c28948dcfa46158790e9c26dce9136d628a65fdd340</x:v>
      </x:c>
    </x:row>
    <x:row r="1989" ht="36" customHeight="1">
      <x:c r="A1989" s="5" t="str">
        <x:v>L-0010</x:v>
      </x:c>
      <x:c r="B1989" s="5" t="str">
        <x:v>HQ</x:v>
      </x:c>
      <x:c r="C1989" s="5" t="str">
        <x:v>7</x:v>
      </x:c>
      <x:c r="D1989" s="5" t="str">
        <x:v>Logistik</x:v>
      </x:c>
      <x:c r="E1989" s="5" t="str">
        <x:v>Logistik</x:v>
      </x:c>
      <x:c r="F1989" s="5" t="str">
        <x:v>ui-hq-0022</x:v>
      </x:c>
      <x:c r="G1989" s="5" t="str">
        <x:v>Einkauf und Beschaffung</x:v>
      </x:c>
      <x:c r="H1989" s="5" t="str">
        <x:v>dg-hq-0091</x:v>
      </x:c>
      <x:c r="I1989" s="5" t="str">
        <x:v>7.1.1</x:v>
      </x:c>
      <x:c r="J1989" s="5" t="str">
        <x:v>Grundlagen der Logistik</x:v>
      </x:c>
      <x:c r="K1989" s="5" t="str"/>
      <x:c r="L1989" s="5" t="str">
        <x:v>Logistikgrundlagen, Wertschöpfungskette &amp; SCM</x:v>
      </x:c>
      <x:c r="M1989" s="5" t="n">
        <x:v>10</x:v>
      </x:c>
      <x:c r="N1989" s="5" t="n">
        <x:v>10</x:v>
      </x:c>
      <x:c r="O1989" s="5" t="str"/>
      <x:c r="P1989" s="5" t="str">
        <x:v>Zuordnungsvorschlag; Fachfreigabe ausstehend</x:v>
      </x:c>
      <x:c r="Q1989" s="5" t="str">
        <x:v>Bestehendes Lernthema fachlich unter passendem Rahmenplan-Unterbereich behalten</x:v>
      </x:c>
      <x:c r="R1989" s="5" t="str">
        <x:v>Was ist das Ziel der Logistik?</x:v>
      </x:c>
      <x:c r="S1989" s="5" t="str">
        <x:v>1eca4ec4e21696f1dd71ed01b66170e666957ba9447e4cf0dae323b8285ebc25</x:v>
      </x:c>
    </x:row>
    <x:row r="1990" ht="36" customHeight="1">
      <x:c r="A1990" s="5" t="str">
        <x:v>L-0011</x:v>
      </x:c>
      <x:c r="B1990" s="5" t="str">
        <x:v>HQ</x:v>
      </x:c>
      <x:c r="C1990" s="5" t="str">
        <x:v>7</x:v>
      </x:c>
      <x:c r="D1990" s="5" t="str">
        <x:v>Logistik</x:v>
      </x:c>
      <x:c r="E1990" s="5" t="str">
        <x:v>Logistik</x:v>
      </x:c>
      <x:c r="F1990" s="5" t="str">
        <x:v>ui-hq-0022</x:v>
      </x:c>
      <x:c r="G1990" s="5" t="str">
        <x:v>Einkauf und Beschaffung</x:v>
      </x:c>
      <x:c r="H1990" s="5" t="str">
        <x:v>dg-hq-0091</x:v>
      </x:c>
      <x:c r="I1990" s="5" t="str">
        <x:v>7.1.1</x:v>
      </x:c>
      <x:c r="J1990" s="5" t="str">
        <x:v>Grundlagen der Logistik</x:v>
      </x:c>
      <x:c r="K1990" s="5" t="str"/>
      <x:c r="L1990" s="5" t="str">
        <x:v>Logistikgrundlagen, Wertschöpfungskette &amp; SCM</x:v>
      </x:c>
      <x:c r="M1990" s="5" t="n">
        <x:v>11</x:v>
      </x:c>
      <x:c r="N1990" s="5" t="n">
        <x:v>11</x:v>
      </x:c>
      <x:c r="O1990" s="5" t="str"/>
      <x:c r="P1990" s="5" t="str">
        <x:v>Zuordnungsvorschlag; Fachfreigabe ausstehend</x:v>
      </x:c>
      <x:c r="Q1990" s="5" t="str">
        <x:v>Bestehendes Lernthema fachlich unter passendem Rahmenplan-Unterbereich behalten</x:v>
      </x:c>
      <x:c r="R1990" s="5" t="str">
        <x:v>Nenne die „6 R“ der Logistik.</x:v>
      </x:c>
      <x:c r="S1990" s="5" t="str">
        <x:v>e5a137adde51df077dfd5618ce25f01a7ae7f68515dc8492e328c779eca7550d</x:v>
      </x:c>
    </x:row>
    <x:row r="1991" ht="36" customHeight="1">
      <x:c r="A1991" s="5" t="str">
        <x:v>L-0012</x:v>
      </x:c>
      <x:c r="B1991" s="5" t="str">
        <x:v>HQ</x:v>
      </x:c>
      <x:c r="C1991" s="5" t="str">
        <x:v>7</x:v>
      </x:c>
      <x:c r="D1991" s="5" t="str">
        <x:v>Logistik</x:v>
      </x:c>
      <x:c r="E1991" s="5" t="str">
        <x:v>Logistik</x:v>
      </x:c>
      <x:c r="F1991" s="5" t="str">
        <x:v>ui-hq-0022</x:v>
      </x:c>
      <x:c r="G1991" s="5" t="str">
        <x:v>Einkauf und Beschaffung</x:v>
      </x:c>
      <x:c r="H1991" s="5" t="str">
        <x:v>dg-hq-0091</x:v>
      </x:c>
      <x:c r="I1991" s="5" t="str">
        <x:v>7.1.1</x:v>
      </x:c>
      <x:c r="J1991" s="5" t="str">
        <x:v>Grundlagen der Logistik</x:v>
      </x:c>
      <x:c r="K1991" s="5" t="str"/>
      <x:c r="L1991" s="5" t="str">
        <x:v>Logistikgrundlagen, Wertschöpfungskette &amp; SCM</x:v>
      </x:c>
      <x:c r="M1991" s="5" t="n">
        <x:v>12</x:v>
      </x:c>
      <x:c r="N1991" s="5" t="n">
        <x:v>12</x:v>
      </x:c>
      <x:c r="O1991" s="5" t="str"/>
      <x:c r="P1991" s="5" t="str">
        <x:v>Zuordnungsvorschlag; Fachfreigabe ausstehend</x:v>
      </x:c>
      <x:c r="Q1991" s="5" t="str">
        <x:v>Bestehendes Lernthema fachlich unter passendem Rahmenplan-Unterbereich behalten</x:v>
      </x:c>
      <x:c r="R1991" s="5" t="str">
        <x:v>Welche Ziele verfolgen Logistikprozesse?</x:v>
      </x:c>
      <x:c r="S1991" s="5" t="str">
        <x:v>31ec684b0f27bab713911871bde56a158bf869183fd4fa7a765dc24835e90eb5</x:v>
      </x:c>
    </x:row>
    <x:row r="1992" ht="36" customHeight="1">
      <x:c r="A1992" s="5" t="str">
        <x:v>L-0013</x:v>
      </x:c>
      <x:c r="B1992" s="5" t="str">
        <x:v>HQ</x:v>
      </x:c>
      <x:c r="C1992" s="5" t="str">
        <x:v>7</x:v>
      </x:c>
      <x:c r="D1992" s="5" t="str">
        <x:v>Logistik</x:v>
      </x:c>
      <x:c r="E1992" s="5" t="str">
        <x:v>Logistik</x:v>
      </x:c>
      <x:c r="F1992" s="5" t="str">
        <x:v>ui-hq-0022</x:v>
      </x:c>
      <x:c r="G1992" s="5" t="str">
        <x:v>Einkauf und Beschaffung</x:v>
      </x:c>
      <x:c r="H1992" s="5" t="str">
        <x:v>dg-hq-0091</x:v>
      </x:c>
      <x:c r="I1992" s="5" t="str">
        <x:v>7.1.1</x:v>
      </x:c>
      <x:c r="J1992" s="5" t="str">
        <x:v>Grundlagen der Logistik</x:v>
      </x:c>
      <x:c r="K1992" s="5" t="str"/>
      <x:c r="L1992" s="5" t="str">
        <x:v>Logistikgrundlagen, Wertschöpfungskette &amp; SCM</x:v>
      </x:c>
      <x:c r="M1992" s="5" t="n">
        <x:v>13</x:v>
      </x:c>
      <x:c r="N1992" s="5" t="n">
        <x:v>13</x:v>
      </x:c>
      <x:c r="O1992" s="5" t="str"/>
      <x:c r="P1992" s="5" t="str">
        <x:v>Zuordnungsvorschlag; Fachfreigabe ausstehend</x:v>
      </x:c>
      <x:c r="Q1992" s="5" t="str">
        <x:v>Bestehendes Lernthema fachlich unter passendem Rahmenplan-Unterbereich behalten</x:v>
      </x:c>
      <x:c r="R1992" s="5" t="str">
        <x:v>Wie wird die Logistik im Unternehmen eingeordnet?</x:v>
      </x:c>
      <x:c r="S1992" s="5" t="str">
        <x:v>35bd27eab81c3c3241585d3c342a7cc71068ef448bdc93340f6bf48c005819e6</x:v>
      </x:c>
    </x:row>
    <x:row r="1993" ht="36" customHeight="1">
      <x:c r="A1993" s="5" t="str">
        <x:v>L-0014</x:v>
      </x:c>
      <x:c r="B1993" s="5" t="str">
        <x:v>HQ</x:v>
      </x:c>
      <x:c r="C1993" s="5" t="str">
        <x:v>7</x:v>
      </x:c>
      <x:c r="D1993" s="5" t="str">
        <x:v>Logistik</x:v>
      </x:c>
      <x:c r="E1993" s="5" t="str">
        <x:v>Logistik</x:v>
      </x:c>
      <x:c r="F1993" s="5" t="str">
        <x:v>ui-hq-0022</x:v>
      </x:c>
      <x:c r="G1993" s="5" t="str">
        <x:v>Einkauf und Beschaffung</x:v>
      </x:c>
      <x:c r="H1993" s="5" t="str">
        <x:v>dg-hq-0091</x:v>
      </x:c>
      <x:c r="I1993" s="5" t="str">
        <x:v>7.1.1</x:v>
      </x:c>
      <x:c r="J1993" s="5" t="str">
        <x:v>Grundlagen der Logistik</x:v>
      </x:c>
      <x:c r="K1993" s="5" t="str"/>
      <x:c r="L1993" s="5" t="str">
        <x:v>Logistikgrundlagen, Wertschöpfungskette &amp; SCM</x:v>
      </x:c>
      <x:c r="M1993" s="5" t="n">
        <x:v>14</x:v>
      </x:c>
      <x:c r="N1993" s="5" t="n">
        <x:v>14</x:v>
      </x:c>
      <x:c r="O1993" s="5" t="str"/>
      <x:c r="P1993" s="5" t="str">
        <x:v>Zuordnungsvorschlag; Fachfreigabe ausstehend</x:v>
      </x:c>
      <x:c r="Q1993" s="5" t="str">
        <x:v>Bestehendes Lernthema fachlich unter passendem Rahmenplan-Unterbereich behalten</x:v>
      </x:c>
      <x:c r="R1993" s="5" t="str">
        <x:v>Was ist der Unterschied zwischen Beschaffung und Einkauf?</x:v>
      </x:c>
      <x:c r="S1993" s="5" t="str">
        <x:v>e696ec6330c9079a9dd0de974a567fbd2952bb53d393028449ef5ad7513d6917</x:v>
      </x:c>
    </x:row>
    <x:row r="1994" ht="36" customHeight="1">
      <x:c r="A1994" s="5" t="str">
        <x:v>L-0015</x:v>
      </x:c>
      <x:c r="B1994" s="5" t="str">
        <x:v>HQ</x:v>
      </x:c>
      <x:c r="C1994" s="5" t="str">
        <x:v>7</x:v>
      </x:c>
      <x:c r="D1994" s="5" t="str">
        <x:v>Logistik</x:v>
      </x:c>
      <x:c r="E1994" s="5" t="str">
        <x:v>Logistik</x:v>
      </x:c>
      <x:c r="F1994" s="5" t="str">
        <x:v>ui-hq-0022</x:v>
      </x:c>
      <x:c r="G1994" s="5" t="str">
        <x:v>Einkauf und Beschaffung</x:v>
      </x:c>
      <x:c r="H1994" s="5" t="str">
        <x:v>dg-hq-0091</x:v>
      </x:c>
      <x:c r="I1994" s="5" t="str">
        <x:v>7.1.1</x:v>
      </x:c>
      <x:c r="J1994" s="5" t="str">
        <x:v>Grundlagen der Logistik</x:v>
      </x:c>
      <x:c r="K1994" s="5" t="str"/>
      <x:c r="L1994" s="5" t="str">
        <x:v>Logistikgrundlagen, Wertschöpfungskette &amp; SCM</x:v>
      </x:c>
      <x:c r="M1994" s="5" t="n">
        <x:v>15</x:v>
      </x:c>
      <x:c r="N1994" s="5" t="n">
        <x:v>15</x:v>
      </x:c>
      <x:c r="O1994" s="5" t="str"/>
      <x:c r="P1994" s="5" t="str">
        <x:v>Zuordnungsvorschlag; Fachfreigabe ausstehend</x:v>
      </x:c>
      <x:c r="Q1994" s="5" t="str">
        <x:v>Bestehendes Lernthema fachlich unter passendem Rahmenplan-Unterbereich behalten</x:v>
      </x:c>
      <x:c r="R1994" s="5" t="str">
        <x:v>Was versteht man unter Materialwirtschaft?</x:v>
      </x:c>
      <x:c r="S1994" s="5" t="str">
        <x:v>eb972f04bc339ad8ed7b0b1804d8ecfe40f87593027b8c7c30a65cd7a503daee</x:v>
      </x:c>
    </x:row>
    <x:row r="1995" ht="36" customHeight="1">
      <x:c r="A1995" s="5" t="str">
        <x:v>L-0016</x:v>
      </x:c>
      <x:c r="B1995" s="5" t="str">
        <x:v>HQ</x:v>
      </x:c>
      <x:c r="C1995" s="5" t="str">
        <x:v>7</x:v>
      </x:c>
      <x:c r="D1995" s="5" t="str">
        <x:v>Logistik</x:v>
      </x:c>
      <x:c r="E1995" s="5" t="str">
        <x:v>Logistik</x:v>
      </x:c>
      <x:c r="F1995" s="5" t="str">
        <x:v>ui-hq-0022</x:v>
      </x:c>
      <x:c r="G1995" s="5" t="str">
        <x:v>Einkauf und Beschaffung</x:v>
      </x:c>
      <x:c r="H1995" s="5" t="str">
        <x:v>dg-hq-0091</x:v>
      </x:c>
      <x:c r="I1995" s="5" t="str">
        <x:v>7.1.1</x:v>
      </x:c>
      <x:c r="J1995" s="5" t="str">
        <x:v>Grundlagen der Logistik</x:v>
      </x:c>
      <x:c r="K1995" s="5" t="str"/>
      <x:c r="L1995" s="5" t="str">
        <x:v>Logistikgrundlagen, Wertschöpfungskette &amp; SCM</x:v>
      </x:c>
      <x:c r="M1995" s="5" t="n">
        <x:v>16</x:v>
      </x:c>
      <x:c r="N1995" s="5" t="n">
        <x:v>16</x:v>
      </x:c>
      <x:c r="O1995" s="5" t="str"/>
      <x:c r="P1995" s="5" t="str">
        <x:v>Zuordnungsvorschlag; Fachfreigabe ausstehend</x:v>
      </x:c>
      <x:c r="Q1995" s="5" t="str">
        <x:v>Bestehendes Lernthema fachlich unter passendem Rahmenplan-Unterbereich behalten</x:v>
      </x:c>
      <x:c r="R1995" s="5" t="str">
        <x:v>Welche Hauptstationen durchläuft der Güterfluss im Unternehmen?</x:v>
      </x:c>
      <x:c r="S1995" s="5" t="str">
        <x:v>ad8d2981cffa108613702ff7b7ceffecaf53bb2f130061e35f41138978e00ccc</x:v>
      </x:c>
    </x:row>
    <x:row r="1996" ht="36" customHeight="1">
      <x:c r="A1996" s="5" t="str">
        <x:v>L-0017</x:v>
      </x:c>
      <x:c r="B1996" s="5" t="str">
        <x:v>HQ</x:v>
      </x:c>
      <x:c r="C1996" s="5" t="str">
        <x:v>7</x:v>
      </x:c>
      <x:c r="D1996" s="5" t="str">
        <x:v>Logistik</x:v>
      </x:c>
      <x:c r="E1996" s="5" t="str">
        <x:v>Logistik</x:v>
      </x:c>
      <x:c r="F1996" s="5" t="str">
        <x:v>ui-hq-0022</x:v>
      </x:c>
      <x:c r="G1996" s="5" t="str">
        <x:v>Einkauf und Beschaffung</x:v>
      </x:c>
      <x:c r="H1996" s="5" t="str">
        <x:v>dg-hq-0091</x:v>
      </x:c>
      <x:c r="I1996" s="5" t="str">
        <x:v>7.1.1</x:v>
      </x:c>
      <x:c r="J1996" s="5" t="str">
        <x:v>Grundlagen der Logistik</x:v>
      </x:c>
      <x:c r="K1996" s="5" t="str"/>
      <x:c r="L1996" s="5" t="str">
        <x:v>Logistikgrundlagen, Wertschöpfungskette &amp; SCM</x:v>
      </x:c>
      <x:c r="M1996" s="5" t="n">
        <x:v>17</x:v>
      </x:c>
      <x:c r="N1996" s="5" t="n">
        <x:v>17</x:v>
      </x:c>
      <x:c r="O1996" s="5" t="str"/>
      <x:c r="P1996" s="5" t="str">
        <x:v>Zuordnungsvorschlag; Fachfreigabe ausstehend</x:v>
      </x:c>
      <x:c r="Q1996" s="5" t="str">
        <x:v>Bestehendes Lernthema fachlich unter passendem Rahmenplan-Unterbereich behalten</x:v>
      </x:c>
      <x:c r="R1996" s="5" t="str">
        <x:v>Welche Teilbereiche der Logistik gibt es entlang der Wertschöpfungskette?</x:v>
      </x:c>
      <x:c r="S1996" s="5" t="str">
        <x:v>19985be9fc700c78340992242fab2cd455caad5d17dd2e07560cad4b0db83896</x:v>
      </x:c>
    </x:row>
    <x:row r="1997" ht="36" customHeight="1">
      <x:c r="A1997" s="5" t="str">
        <x:v>L-0018</x:v>
      </x:c>
      <x:c r="B1997" s="5" t="str">
        <x:v>HQ</x:v>
      </x:c>
      <x:c r="C1997" s="5" t="str">
        <x:v>7</x:v>
      </x:c>
      <x:c r="D1997" s="5" t="str">
        <x:v>Logistik</x:v>
      </x:c>
      <x:c r="E1997" s="5" t="str">
        <x:v>Logistik</x:v>
      </x:c>
      <x:c r="F1997" s="5" t="str">
        <x:v>ui-hq-0022</x:v>
      </x:c>
      <x:c r="G1997" s="5" t="str">
        <x:v>Einkauf und Beschaffung</x:v>
      </x:c>
      <x:c r="H1997" s="5" t="str">
        <x:v>dg-hq-0092</x:v>
      </x:c>
      <x:c r="I1997" s="5" t="str">
        <x:v>7.1.2.4</x:v>
      </x:c>
      <x:c r="J1997" s="5" t="str">
        <x:v>Analysetechniken</x:v>
      </x:c>
      <x:c r="K1997" s="5" t="str"/>
      <x:c r="L1997" s="5" t="str">
        <x:v>Analysetechniken &amp; Beschaffungsstrategien</x:v>
      </x:c>
      <x:c r="M1997" s="5" t="n">
        <x:v>18</x:v>
      </x:c>
      <x:c r="N1997" s="5" t="n">
        <x:v>1</x:v>
      </x:c>
      <x:c r="O1997" s="5" t="str"/>
      <x:c r="P1997" s="5" t="str">
        <x:v>Zuordnungsvorschlag; Fachfreigabe ausstehend</x:v>
      </x:c>
      <x:c r="Q1997" s="5" t="str">
        <x:v>Bestehendes Lernthema fachlich unter passendem Rahmenplan-Unterbereich behalten</x:v>
      </x:c>
      <x:c r="R1997" s="5" t="str">
        <x:v>Was bedeutet „Just in Time“ und „Just in Sequence“?</x:v>
      </x:c>
      <x:c r="S1997" s="5" t="str">
        <x:v>9726e3093920c75ea9412a4c2b2dc0c94548b7da5b7853b9254d2e090c97828e</x:v>
      </x:c>
    </x:row>
    <x:row r="1998" ht="36" customHeight="1">
      <x:c r="A1998" s="5" t="str">
        <x:v>L-0019</x:v>
      </x:c>
      <x:c r="B1998" s="5" t="str">
        <x:v>HQ</x:v>
      </x:c>
      <x:c r="C1998" s="5" t="str">
        <x:v>7</x:v>
      </x:c>
      <x:c r="D1998" s="5" t="str">
        <x:v>Logistik</x:v>
      </x:c>
      <x:c r="E1998" s="5" t="str">
        <x:v>Logistik</x:v>
      </x:c>
      <x:c r="F1998" s="5" t="str">
        <x:v>ui-hq-0022</x:v>
      </x:c>
      <x:c r="G1998" s="5" t="str">
        <x:v>Einkauf und Beschaffung</x:v>
      </x:c>
      <x:c r="H1998" s="5" t="str">
        <x:v>dg-hq-0091</x:v>
      </x:c>
      <x:c r="I1998" s="5" t="str">
        <x:v>7.1.1</x:v>
      </x:c>
      <x:c r="J1998" s="5" t="str">
        <x:v>Grundlagen der Logistik</x:v>
      </x:c>
      <x:c r="K1998" s="5" t="str"/>
      <x:c r="L1998" s="5" t="str">
        <x:v>Logistikgrundlagen, Wertschöpfungskette &amp; SCM</x:v>
      </x:c>
      <x:c r="M1998" s="5" t="n">
        <x:v>19</x:v>
      </x:c>
      <x:c r="N1998" s="5" t="n">
        <x:v>18</x:v>
      </x:c>
      <x:c r="O1998" s="5" t="str"/>
      <x:c r="P1998" s="5" t="str">
        <x:v>Zuordnungsvorschlag; Fachfreigabe ausstehend</x:v>
      </x:c>
      <x:c r="Q1998" s="5" t="str">
        <x:v>Bestehendes Lernthema fachlich unter passendem Rahmenplan-Unterbereich behalten</x:v>
      </x:c>
      <x:c r="R1998" s="5" t="str">
        <x:v>Welche Schnittstellen bestehen zwischen Logistik und Beschaffung?</x:v>
      </x:c>
      <x:c r="S1998" s="5" t="str">
        <x:v>33ccd93fcd544f3cb255f71f75acf32bb6e73ad39e22e1c0929e08f2a6094553</x:v>
      </x:c>
    </x:row>
    <x:row r="1999" ht="36" customHeight="1">
      <x:c r="A1999" s="5" t="str">
        <x:v>L-0020</x:v>
      </x:c>
      <x:c r="B1999" s="5" t="str">
        <x:v>HQ</x:v>
      </x:c>
      <x:c r="C1999" s="5" t="str">
        <x:v>7</x:v>
      </x:c>
      <x:c r="D1999" s="5" t="str">
        <x:v>Logistik</x:v>
      </x:c>
      <x:c r="E1999" s="5" t="str">
        <x:v>Logistik</x:v>
      </x:c>
      <x:c r="F1999" s="5" t="str">
        <x:v>ui-hq-0022</x:v>
      </x:c>
      <x:c r="G1999" s="5" t="str">
        <x:v>Einkauf und Beschaffung</x:v>
      </x:c>
      <x:c r="H1999" s="5" t="str">
        <x:v>dg-hq-0091</x:v>
      </x:c>
      <x:c r="I1999" s="5" t="str">
        <x:v>7.1.1</x:v>
      </x:c>
      <x:c r="J1999" s="5" t="str">
        <x:v>Grundlagen der Logistik</x:v>
      </x:c>
      <x:c r="K1999" s="5" t="str"/>
      <x:c r="L1999" s="5" t="str">
        <x:v>Logistikgrundlagen, Wertschöpfungskette &amp; SCM</x:v>
      </x:c>
      <x:c r="M1999" s="5" t="n">
        <x:v>20</x:v>
      </x:c>
      <x:c r="N1999" s="5" t="n">
        <x:v>19</x:v>
      </x:c>
      <x:c r="O1999" s="5" t="str"/>
      <x:c r="P1999" s="5" t="str">
        <x:v>Zuordnungsvorschlag; Fachfreigabe ausstehend</x:v>
      </x:c>
      <x:c r="Q1999" s="5" t="str">
        <x:v>Bestehendes Lernthema fachlich unter passendem Rahmenplan-Unterbereich behalten</x:v>
      </x:c>
      <x:c r="R1999" s="5" t="str">
        <x:v>Erkläre, was unter Supply-Chain-Management verstanden wird.</x:v>
      </x:c>
      <x:c r="S1999" s="5" t="str">
        <x:v>751325859e811fc9ac10e3a7f768380757a3270690ae8b3720b893b8edb650e9</x:v>
      </x:c>
    </x:row>
    <x:row r="2000" ht="36" customHeight="1">
      <x:c r="A2000" s="5" t="str">
        <x:v>L-0021</x:v>
      </x:c>
      <x:c r="B2000" s="5" t="str">
        <x:v>HQ</x:v>
      </x:c>
      <x:c r="C2000" s="5" t="str">
        <x:v>7</x:v>
      </x:c>
      <x:c r="D2000" s="5" t="str">
        <x:v>Logistik</x:v>
      </x:c>
      <x:c r="E2000" s="5" t="str">
        <x:v>Logistik</x:v>
      </x:c>
      <x:c r="F2000" s="5" t="str">
        <x:v>ui-hq-0022</x:v>
      </x:c>
      <x:c r="G2000" s="5" t="str">
        <x:v>Einkauf und Beschaffung</x:v>
      </x:c>
      <x:c r="H2000" s="5" t="str">
        <x:v>dg-hq-0091</x:v>
      </x:c>
      <x:c r="I2000" s="5" t="str">
        <x:v>7.1.1</x:v>
      </x:c>
      <x:c r="J2000" s="5" t="str">
        <x:v>Grundlagen der Logistik</x:v>
      </x:c>
      <x:c r="K2000" s="5" t="str"/>
      <x:c r="L2000" s="5" t="str">
        <x:v>Logistikgrundlagen, Wertschöpfungskette &amp; SCM</x:v>
      </x:c>
      <x:c r="M2000" s="5" t="n">
        <x:v>21</x:v>
      </x:c>
      <x:c r="N2000" s="5" t="n">
        <x:v>20</x:v>
      </x:c>
      <x:c r="O2000" s="5" t="str"/>
      <x:c r="P2000" s="5" t="str">
        <x:v>Zuordnungsvorschlag; Fachfreigabe ausstehend</x:v>
      </x:c>
      <x:c r="Q2000" s="5" t="str">
        <x:v>Bestehendes Lernthema fachlich unter passendem Rahmenplan-Unterbereich behalten</x:v>
      </x:c>
      <x:c r="R2000" s="5" t="str">
        <x:v>Nenne Ziele und Vorteile des Supply-Chain-Managements.</x:v>
      </x:c>
      <x:c r="S2000" s="5" t="str">
        <x:v>ec6a4f89448ab8accf41e1fa37c4f27f87214b4f2e20611ae0c48cb7457e376f</x:v>
      </x:c>
    </x:row>
    <x:row r="2001" ht="36" customHeight="1">
      <x:c r="A2001" s="5" t="str">
        <x:v>L-0022</x:v>
      </x:c>
      <x:c r="B2001" s="5" t="str">
        <x:v>HQ</x:v>
      </x:c>
      <x:c r="C2001" s="5" t="str">
        <x:v>7</x:v>
      </x:c>
      <x:c r="D2001" s="5" t="str">
        <x:v>Logistik</x:v>
      </x:c>
      <x:c r="E2001" s="5" t="str">
        <x:v>Logistik</x:v>
      </x:c>
      <x:c r="F2001" s="5" t="str">
        <x:v>ui-hq-0022</x:v>
      </x:c>
      <x:c r="G2001" s="5" t="str">
        <x:v>Einkauf und Beschaffung</x:v>
      </x:c>
      <x:c r="H2001" s="5" t="str">
        <x:v>dg-hq-0091</x:v>
      </x:c>
      <x:c r="I2001" s="5" t="str">
        <x:v>7.1.1</x:v>
      </x:c>
      <x:c r="J2001" s="5" t="str">
        <x:v>Grundlagen der Logistik</x:v>
      </x:c>
      <x:c r="K2001" s="5" t="str"/>
      <x:c r="L2001" s="5" t="str">
        <x:v>Logistikgrundlagen, Wertschöpfungskette &amp; SCM</x:v>
      </x:c>
      <x:c r="M2001" s="5" t="n">
        <x:v>22</x:v>
      </x:c>
      <x:c r="N2001" s="5" t="n">
        <x:v>21</x:v>
      </x:c>
      <x:c r="O2001" s="5" t="str"/>
      <x:c r="P2001" s="5" t="str">
        <x:v>Zuordnungsvorschlag; Fachfreigabe ausstehend</x:v>
      </x:c>
      <x:c r="Q2001" s="5" t="str">
        <x:v>Bestehendes Lernthema fachlich unter passendem Rahmenplan-Unterbereich behalten</x:v>
      </x:c>
      <x:c r="R2001" s="5" t="str">
        <x:v>Erläutere mögliche Nachteile oder Probleme des Supply-Chain-Managements.</x:v>
      </x:c>
      <x:c r="S2001" s="5" t="str">
        <x:v>86990759fe34a9da3e2084fad99b8da033f16e34dff157b6062ca22a97fb1714</x:v>
      </x:c>
    </x:row>
    <x:row r="2002" ht="36" customHeight="1">
      <x:c r="A2002" s="5" t="str">
        <x:v>L-0023</x:v>
      </x:c>
      <x:c r="B2002" s="5" t="str">
        <x:v>HQ</x:v>
      </x:c>
      <x:c r="C2002" s="5" t="str">
        <x:v>7</x:v>
      </x:c>
      <x:c r="D2002" s="5" t="str">
        <x:v>Logistik</x:v>
      </x:c>
      <x:c r="E2002" s="5" t="str">
        <x:v>Logistik</x:v>
      </x:c>
      <x:c r="F2002" s="5" t="str">
        <x:v>ui-hq-0022</x:v>
      </x:c>
      <x:c r="G2002" s="5" t="str">
        <x:v>Einkauf und Beschaffung</x:v>
      </x:c>
      <x:c r="H2002" s="5" t="str">
        <x:v>dg-hq-0091</x:v>
      </x:c>
      <x:c r="I2002" s="5" t="str">
        <x:v>7.1.1</x:v>
      </x:c>
      <x:c r="J2002" s="5" t="str">
        <x:v>Grundlagen der Logistik</x:v>
      </x:c>
      <x:c r="K2002" s="5" t="str"/>
      <x:c r="L2002" s="5" t="str">
        <x:v>Logistikgrundlagen, Wertschöpfungskette &amp; SCM</x:v>
      </x:c>
      <x:c r="M2002" s="5" t="n">
        <x:v>23</x:v>
      </x:c>
      <x:c r="N2002" s="5" t="n">
        <x:v>22</x:v>
      </x:c>
      <x:c r="O2002" s="5" t="str"/>
      <x:c r="P2002" s="5" t="str">
        <x:v>Zuordnungsvorschlag; Fachfreigabe ausstehend</x:v>
      </x:c>
      <x:c r="Q2002" s="5" t="str">
        <x:v>Bestehendes Lernthema fachlich unter passendem Rahmenplan-Unterbereich behalten</x:v>
      </x:c>
      <x:c r="R2002" s="5" t="str">
        <x:v>Nenne Gründe für die zunehmende Bedeutung der Logistik.</x:v>
      </x:c>
      <x:c r="S2002" s="5" t="str">
        <x:v>56df69609babad3e6a835fc6f42147e1f585a85b8e3faaae94d630e9f122b009</x:v>
      </x:c>
    </x:row>
    <x:row r="2003" ht="36" customHeight="1">
      <x:c r="A2003" s="5" t="str">
        <x:v>L-0024</x:v>
      </x:c>
      <x:c r="B2003" s="5" t="str">
        <x:v>HQ</x:v>
      </x:c>
      <x:c r="C2003" s="5" t="str">
        <x:v>7</x:v>
      </x:c>
      <x:c r="D2003" s="5" t="str">
        <x:v>Logistik</x:v>
      </x:c>
      <x:c r="E2003" s="5" t="str">
        <x:v>Logistik</x:v>
      </x:c>
      <x:c r="F2003" s="5" t="str">
        <x:v>ui-hq-0022</x:v>
      </x:c>
      <x:c r="G2003" s="5" t="str">
        <x:v>Einkauf und Beschaffung</x:v>
      </x:c>
      <x:c r="H2003" s="5" t="str">
        <x:v>dg-hq-0091</x:v>
      </x:c>
      <x:c r="I2003" s="5" t="str">
        <x:v>7.1.1</x:v>
      </x:c>
      <x:c r="J2003" s="5" t="str">
        <x:v>Grundlagen der Logistik</x:v>
      </x:c>
      <x:c r="K2003" s="5" t="str"/>
      <x:c r="L2003" s="5" t="str">
        <x:v>Logistikgrundlagen, Wertschöpfungskette &amp; SCM</x:v>
      </x:c>
      <x:c r="M2003" s="5" t="n">
        <x:v>24</x:v>
      </x:c>
      <x:c r="N2003" s="5" t="n">
        <x:v>23</x:v>
      </x:c>
      <x:c r="O2003" s="5" t="str"/>
      <x:c r="P2003" s="5" t="str">
        <x:v>Zuordnungsvorschlag; Fachfreigabe ausstehend</x:v>
      </x:c>
      <x:c r="Q2003" s="5" t="str">
        <x:v>Bestehendes Lernthema fachlich unter passendem Rahmenplan-Unterbereich behalten</x:v>
      </x:c>
      <x:c r="R2003" s="5" t="str">
        <x:v>Erkläre, warum es in der Logistik zu Zielkonflikten kommt.</x:v>
      </x:c>
      <x:c r="S2003" s="5" t="str">
        <x:v>8a333a320162bf9bfc79d31e71712588eb79901089fcdc2786c756acd77d2af9</x:v>
      </x:c>
    </x:row>
    <x:row r="2004" ht="36" customHeight="1">
      <x:c r="A2004" s="5" t="str">
        <x:v>L-0025</x:v>
      </x:c>
      <x:c r="B2004" s="5" t="str">
        <x:v>HQ</x:v>
      </x:c>
      <x:c r="C2004" s="5" t="str">
        <x:v>7</x:v>
      </x:c>
      <x:c r="D2004" s="5" t="str">
        <x:v>Logistik</x:v>
      </x:c>
      <x:c r="E2004" s="5" t="str">
        <x:v>Logistik</x:v>
      </x:c>
      <x:c r="F2004" s="5" t="str">
        <x:v>ui-hq-0022</x:v>
      </x:c>
      <x:c r="G2004" s="5" t="str">
        <x:v>Einkauf und Beschaffung</x:v>
      </x:c>
      <x:c r="H2004" s="5" t="str">
        <x:v>dg-hq-0091</x:v>
      </x:c>
      <x:c r="I2004" s="5" t="str">
        <x:v>7.1.1</x:v>
      </x:c>
      <x:c r="J2004" s="5" t="str">
        <x:v>Grundlagen der Logistik</x:v>
      </x:c>
      <x:c r="K2004" s="5" t="str"/>
      <x:c r="L2004" s="5" t="str">
        <x:v>Logistikgrundlagen, Wertschöpfungskette &amp; SCM</x:v>
      </x:c>
      <x:c r="M2004" s="5" t="n">
        <x:v>25</x:v>
      </x:c>
      <x:c r="N2004" s="5" t="n">
        <x:v>24</x:v>
      </x:c>
      <x:c r="O2004" s="5" t="str"/>
      <x:c r="P2004" s="5" t="str">
        <x:v>Zuordnungsvorschlag; Fachfreigabe ausstehend</x:v>
      </x:c>
      <x:c r="Q2004" s="5" t="str">
        <x:v>Bestehendes Lernthema fachlich unter passendem Rahmenplan-Unterbereich behalten</x:v>
      </x:c>
      <x:c r="R2004" s="5" t="str">
        <x:v>Beschreibe den Zielkonflikt zwischen Beschaffung und Lagerhaltung.</x:v>
      </x:c>
      <x:c r="S2004" s="5" t="str">
        <x:v>5daaef1d0b8034744445bbffc3d8c0b63cbd8ee1824862c740d4e39ce3d31a39</x:v>
      </x:c>
    </x:row>
    <x:row r="2005" ht="36" customHeight="1">
      <x:c r="A2005" s="5" t="str">
        <x:v>L-0026</x:v>
      </x:c>
      <x:c r="B2005" s="5" t="str">
        <x:v>HQ</x:v>
      </x:c>
      <x:c r="C2005" s="5" t="str">
        <x:v>7</x:v>
      </x:c>
      <x:c r="D2005" s="5" t="str">
        <x:v>Logistik</x:v>
      </x:c>
      <x:c r="E2005" s="5" t="str">
        <x:v>Logistik</x:v>
      </x:c>
      <x:c r="F2005" s="5" t="str">
        <x:v>ui-hq-0022</x:v>
      </x:c>
      <x:c r="G2005" s="5" t="str">
        <x:v>Einkauf und Beschaffung</x:v>
      </x:c>
      <x:c r="H2005" s="5" t="str">
        <x:v>dg-hq-0091</x:v>
      </x:c>
      <x:c r="I2005" s="5" t="str">
        <x:v>7.1.1</x:v>
      </x:c>
      <x:c r="J2005" s="5" t="str">
        <x:v>Grundlagen der Logistik</x:v>
      </x:c>
      <x:c r="K2005" s="5" t="str"/>
      <x:c r="L2005" s="5" t="str">
        <x:v>Logistikgrundlagen, Wertschöpfungskette &amp; SCM</x:v>
      </x:c>
      <x:c r="M2005" s="5" t="n">
        <x:v>26</x:v>
      </x:c>
      <x:c r="N2005" s="5" t="n">
        <x:v>25</x:v>
      </x:c>
      <x:c r="O2005" s="5" t="str"/>
      <x:c r="P2005" s="5" t="str">
        <x:v>Zuordnungsvorschlag; Fachfreigabe ausstehend</x:v>
      </x:c>
      <x:c r="Q2005" s="5" t="str">
        <x:v>Bestehendes Lernthema fachlich unter passendem Rahmenplan-Unterbereich behalten</x:v>
      </x:c>
      <x:c r="R2005" s="5" t="str">
        <x:v>Beschreibe Zielkonflikte zwischen Fertigung, Lagerhaltung und Finanzierung.</x:v>
      </x:c>
      <x:c r="S2005" s="5" t="str">
        <x:v>e18fb241bf7d61c655514ab066a55afc66c43e35ddbefef5d96db880d427ec14</x:v>
      </x:c>
    </x:row>
    <x:row r="2006" ht="36" customHeight="1">
      <x:c r="A2006" s="5" t="str">
        <x:v>L-0027</x:v>
      </x:c>
      <x:c r="B2006" s="5" t="str">
        <x:v>HQ</x:v>
      </x:c>
      <x:c r="C2006" s="5" t="str">
        <x:v>7</x:v>
      </x:c>
      <x:c r="D2006" s="5" t="str">
        <x:v>Logistik</x:v>
      </x:c>
      <x:c r="E2006" s="5" t="str">
        <x:v>Logistik</x:v>
      </x:c>
      <x:c r="F2006" s="5" t="str">
        <x:v>ui-hq-0022</x:v>
      </x:c>
      <x:c r="G2006" s="5" t="str">
        <x:v>Einkauf und Beschaffung</x:v>
      </x:c>
      <x:c r="H2006" s="5" t="str">
        <x:v>dg-hq-0091</x:v>
      </x:c>
      <x:c r="I2006" s="5" t="str">
        <x:v>7.1.1</x:v>
      </x:c>
      <x:c r="J2006" s="5" t="str">
        <x:v>Grundlagen der Logistik</x:v>
      </x:c>
      <x:c r="K2006" s="5" t="str"/>
      <x:c r="L2006" s="5" t="str">
        <x:v>Logistikgrundlagen, Wertschöpfungskette &amp; SCM</x:v>
      </x:c>
      <x:c r="M2006" s="5" t="n">
        <x:v>27</x:v>
      </x:c>
      <x:c r="N2006" s="5" t="n">
        <x:v>26</x:v>
      </x:c>
      <x:c r="O2006" s="5" t="str"/>
      <x:c r="P2006" s="5" t="str">
        <x:v>Zuordnungsvorschlag; Fachfreigabe ausstehend</x:v>
      </x:c>
      <x:c r="Q2006" s="5" t="str">
        <x:v>Bestehendes Lernthema fachlich unter passendem Rahmenplan-Unterbereich behalten</x:v>
      </x:c>
      <x:c r="R2006" s="5" t="str">
        <x:v>Erkläre, was unter Outsourcing der Logistik verstanden wird.</x:v>
      </x:c>
      <x:c r="S2006" s="5" t="str">
        <x:v>7966a8c2acda470730fe63aaca88f4199a7dcd65d1b13562e79596e5cac7abcf</x:v>
      </x:c>
    </x:row>
    <x:row r="2007" ht="36" customHeight="1">
      <x:c r="A2007" s="5" t="str">
        <x:v>L-0028</x:v>
      </x:c>
      <x:c r="B2007" s="5" t="str">
        <x:v>HQ</x:v>
      </x:c>
      <x:c r="C2007" s="5" t="str">
        <x:v>7</x:v>
      </x:c>
      <x:c r="D2007" s="5" t="str">
        <x:v>Logistik</x:v>
      </x:c>
      <x:c r="E2007" s="5" t="str">
        <x:v>Logistik</x:v>
      </x:c>
      <x:c r="F2007" s="5" t="str">
        <x:v>ui-hq-0022</x:v>
      </x:c>
      <x:c r="G2007" s="5" t="str">
        <x:v>Einkauf und Beschaffung</x:v>
      </x:c>
      <x:c r="H2007" s="5" t="str">
        <x:v>dg-hq-0091</x:v>
      </x:c>
      <x:c r="I2007" s="5" t="str">
        <x:v>7.1.1</x:v>
      </x:c>
      <x:c r="J2007" s="5" t="str">
        <x:v>Grundlagen der Logistik</x:v>
      </x:c>
      <x:c r="K2007" s="5" t="str"/>
      <x:c r="L2007" s="5" t="str">
        <x:v>Logistikgrundlagen, Wertschöpfungskette &amp; SCM</x:v>
      </x:c>
      <x:c r="M2007" s="5" t="n">
        <x:v>28</x:v>
      </x:c>
      <x:c r="N2007" s="5" t="n">
        <x:v>27</x:v>
      </x:c>
      <x:c r="O2007" s="5" t="str"/>
      <x:c r="P2007" s="5" t="str">
        <x:v>Zuordnungsvorschlag; Fachfreigabe ausstehend</x:v>
      </x:c>
      <x:c r="Q2007" s="5" t="str">
        <x:v>Bestehendes Lernthema fachlich unter passendem Rahmenplan-Unterbereich behalten</x:v>
      </x:c>
      <x:c r="R2007" s="5" t="str">
        <x:v>Erkläre die Unterschiede zwischen 1PL, 2PL, 3PL, 4PL und 5PL.</x:v>
      </x:c>
      <x:c r="S2007" s="5" t="str">
        <x:v>74b358f703f102e7672c77d93638b304c126b485b816f33edc5e1660fe4744f7</x:v>
      </x:c>
    </x:row>
    <x:row r="2008" ht="36" customHeight="1">
      <x:c r="A2008" s="5" t="str">
        <x:v>L-0029</x:v>
      </x:c>
      <x:c r="B2008" s="5" t="str">
        <x:v>HQ</x:v>
      </x:c>
      <x:c r="C2008" s="5" t="str">
        <x:v>7</x:v>
      </x:c>
      <x:c r="D2008" s="5" t="str">
        <x:v>Logistik</x:v>
      </x:c>
      <x:c r="E2008" s="5" t="str">
        <x:v>Logistik</x:v>
      </x:c>
      <x:c r="F2008" s="5" t="str">
        <x:v>ui-hq-0022</x:v>
      </x:c>
      <x:c r="G2008" s="5" t="str">
        <x:v>Einkauf und Beschaffung</x:v>
      </x:c>
      <x:c r="H2008" s="5" t="str">
        <x:v>dg-hq-0091</x:v>
      </x:c>
      <x:c r="I2008" s="5" t="str">
        <x:v>7.1.1</x:v>
      </x:c>
      <x:c r="J2008" s="5" t="str">
        <x:v>Grundlagen der Logistik</x:v>
      </x:c>
      <x:c r="K2008" s="5" t="str"/>
      <x:c r="L2008" s="5" t="str">
        <x:v>Logistikgrundlagen, Wertschöpfungskette &amp; SCM</x:v>
      </x:c>
      <x:c r="M2008" s="5" t="n">
        <x:v>29</x:v>
      </x:c>
      <x:c r="N2008" s="5" t="n">
        <x:v>28</x:v>
      </x:c>
      <x:c r="O2008" s="5" t="str"/>
      <x:c r="P2008" s="5" t="str">
        <x:v>Zuordnungsvorschlag; Fachfreigabe ausstehend</x:v>
      </x:c>
      <x:c r="Q2008" s="5" t="str">
        <x:v>Bestehendes Lernthema fachlich unter passendem Rahmenplan-Unterbereich behalten</x:v>
      </x:c>
      <x:c r="R2008" s="5" t="str">
        <x:v>Nenne Vor- und Nachteile des Outsourcings von Logistikprozessen.</x:v>
      </x:c>
      <x:c r="S2008" s="5" t="str">
        <x:v>8319122d69803a91d9b180a7982d6d7f86aa3940114bcfac8cda18fef9b53ea3</x:v>
      </x:c>
    </x:row>
    <x:row r="2009" ht="36" customHeight="1">
      <x:c r="A2009" s="5" t="str">
        <x:v>L-0030</x:v>
      </x:c>
      <x:c r="B2009" s="5" t="str">
        <x:v>HQ</x:v>
      </x:c>
      <x:c r="C2009" s="5" t="str">
        <x:v>7</x:v>
      </x:c>
      <x:c r="D2009" s="5" t="str">
        <x:v>Logistik</x:v>
      </x:c>
      <x:c r="E2009" s="5" t="str">
        <x:v>Logistik</x:v>
      </x:c>
      <x:c r="F2009" s="5" t="str">
        <x:v>ui-hq-0022</x:v>
      </x:c>
      <x:c r="G2009" s="5" t="str">
        <x:v>Einkauf und Beschaffung</x:v>
      </x:c>
      <x:c r="H2009" s="5" t="str">
        <x:v>dg-hq-0091</x:v>
      </x:c>
      <x:c r="I2009" s="5" t="str">
        <x:v>7.1.1</x:v>
      </x:c>
      <x:c r="J2009" s="5" t="str">
        <x:v>Grundlagen der Logistik</x:v>
      </x:c>
      <x:c r="K2009" s="5" t="str"/>
      <x:c r="L2009" s="5" t="str">
        <x:v>Logistikgrundlagen, Wertschöpfungskette &amp; SCM</x:v>
      </x:c>
      <x:c r="M2009" s="5" t="n">
        <x:v>30</x:v>
      </x:c>
      <x:c r="N2009" s="5" t="n">
        <x:v>29</x:v>
      </x:c>
      <x:c r="O2009" s="5" t="str"/>
      <x:c r="P2009" s="5" t="str">
        <x:v>Zuordnungsvorschlag; Fachfreigabe ausstehend</x:v>
      </x:c>
      <x:c r="Q2009" s="5" t="str">
        <x:v>Bestehendes Lernthema fachlich unter passendem Rahmenplan-Unterbereich behalten</x:v>
      </x:c>
      <x:c r="R2009" s="5" t="str">
        <x:v>Was versteht man unter den TULK-Tätigkeiten in der Logistik?</x:v>
      </x:c>
      <x:c r="S2009" s="5" t="str">
        <x:v>94e929007799dda403f0d87afe7be6b550d26e0c7d620381470625da03af4b76</x:v>
      </x:c>
    </x:row>
    <x:row r="2010" ht="36" customHeight="1">
      <x:c r="A2010" s="5" t="str">
        <x:v>L-0031</x:v>
      </x:c>
      <x:c r="B2010" s="5" t="str">
        <x:v>HQ</x:v>
      </x:c>
      <x:c r="C2010" s="5" t="str">
        <x:v>7</x:v>
      </x:c>
      <x:c r="D2010" s="5" t="str">
        <x:v>Logistik</x:v>
      </x:c>
      <x:c r="E2010" s="5" t="str">
        <x:v>Logistik</x:v>
      </x:c>
      <x:c r="F2010" s="5" t="str">
        <x:v>ui-hq-0022</x:v>
      </x:c>
      <x:c r="G2010" s="5" t="str">
        <x:v>Einkauf und Beschaffung</x:v>
      </x:c>
      <x:c r="H2010" s="5" t="str">
        <x:v>dg-hq-0091</x:v>
      </x:c>
      <x:c r="I2010" s="5" t="str">
        <x:v>7.1.1</x:v>
      </x:c>
      <x:c r="J2010" s="5" t="str">
        <x:v>Grundlagen der Logistik</x:v>
      </x:c>
      <x:c r="K2010" s="5" t="str"/>
      <x:c r="L2010" s="5" t="str">
        <x:v>Logistikgrundlagen, Wertschöpfungskette &amp; SCM</x:v>
      </x:c>
      <x:c r="M2010" s="5" t="n">
        <x:v>31</x:v>
      </x:c>
      <x:c r="N2010" s="5" t="n">
        <x:v>30</x:v>
      </x:c>
      <x:c r="O2010" s="5" t="str"/>
      <x:c r="P2010" s="5" t="str">
        <x:v>Zuordnungsvorschlag; Fachfreigabe ausstehend</x:v>
      </x:c>
      <x:c r="Q2010" s="5" t="str">
        <x:v>Bestehendes Lernthema fachlich unter passendem Rahmenplan-Unterbereich behalten</x:v>
      </x:c>
      <x:c r="R2010" s="5" t="str">
        <x:v>Nenne und erkläre die vier Hauptbereiche der Logistik.</x:v>
      </x:c>
      <x:c r="S2010" s="5" t="str">
        <x:v>8965b886c995c3df2a9875f93ad5a6e6b2ae83c864690f6fa544909dbc16de65</x:v>
      </x:c>
    </x:row>
    <x:row r="2011" ht="36" customHeight="1">
      <x:c r="A2011" s="5" t="str">
        <x:v>L-0032</x:v>
      </x:c>
      <x:c r="B2011" s="5" t="str">
        <x:v>HQ</x:v>
      </x:c>
      <x:c r="C2011" s="5" t="str">
        <x:v>7</x:v>
      </x:c>
      <x:c r="D2011" s="5" t="str">
        <x:v>Logistik</x:v>
      </x:c>
      <x:c r="E2011" s="5" t="str">
        <x:v>Logistik</x:v>
      </x:c>
      <x:c r="F2011" s="5" t="str">
        <x:v>ui-hq-0022</x:v>
      </x:c>
      <x:c r="G2011" s="5" t="str">
        <x:v>Einkauf und Beschaffung</x:v>
      </x:c>
      <x:c r="H2011" s="5" t="str">
        <x:v>dg-hq-0091</x:v>
      </x:c>
      <x:c r="I2011" s="5" t="str">
        <x:v>7.1.1</x:v>
      </x:c>
      <x:c r="J2011" s="5" t="str">
        <x:v>Grundlagen der Logistik</x:v>
      </x:c>
      <x:c r="K2011" s="5" t="str"/>
      <x:c r="L2011" s="5" t="str">
        <x:v>Logistikgrundlagen, Wertschöpfungskette &amp; SCM</x:v>
      </x:c>
      <x:c r="M2011" s="5" t="n">
        <x:v>32</x:v>
      </x:c>
      <x:c r="N2011" s="5" t="n">
        <x:v>31</x:v>
      </x:c>
      <x:c r="O2011" s="5" t="str"/>
      <x:c r="P2011" s="5" t="str">
        <x:v>Zuordnungsvorschlag; Fachfreigabe ausstehend</x:v>
      </x:c>
      <x:c r="Q2011" s="5" t="str">
        <x:v>Bestehendes Lernthema fachlich unter passendem Rahmenplan-Unterbereich behalten</x:v>
      </x:c>
      <x:c r="R2011" s="5" t="str">
        <x:v>Nenne weitere Anwendungsbereiche der Logistik.</x:v>
      </x:c>
      <x:c r="S2011" s="5" t="str">
        <x:v>a163c9388bbc2ade7fd37a71afb979b286a2caa834e34b44967404d6b7e42d8b</x:v>
      </x:c>
    </x:row>
    <x:row r="2012" ht="36" customHeight="1">
      <x:c r="A2012" s="5" t="str">
        <x:v>L-0033</x:v>
      </x:c>
      <x:c r="B2012" s="5" t="str">
        <x:v>HQ</x:v>
      </x:c>
      <x:c r="C2012" s="5" t="str">
        <x:v>7</x:v>
      </x:c>
      <x:c r="D2012" s="5" t="str">
        <x:v>Logistik</x:v>
      </x:c>
      <x:c r="E2012" s="5" t="str">
        <x:v>Logistik</x:v>
      </x:c>
      <x:c r="F2012" s="5" t="str">
        <x:v>ui-hq-0022</x:v>
      </x:c>
      <x:c r="G2012" s="5" t="str">
        <x:v>Einkauf und Beschaffung</x:v>
      </x:c>
      <x:c r="H2012" s="5" t="str">
        <x:v>dg-hq-0091</x:v>
      </x:c>
      <x:c r="I2012" s="5" t="str">
        <x:v>7.1.1</x:v>
      </x:c>
      <x:c r="J2012" s="5" t="str">
        <x:v>Grundlagen der Logistik</x:v>
      </x:c>
      <x:c r="K2012" s="5" t="str"/>
      <x:c r="L2012" s="5" t="str">
        <x:v>Logistikgrundlagen, Wertschöpfungskette &amp; SCM</x:v>
      </x:c>
      <x:c r="M2012" s="5" t="n">
        <x:v>33</x:v>
      </x:c>
      <x:c r="N2012" s="5" t="n">
        <x:v>32</x:v>
      </x:c>
      <x:c r="O2012" s="5" t="str"/>
      <x:c r="P2012" s="5" t="str">
        <x:v>Zuordnungsvorschlag; Fachfreigabe ausstehend</x:v>
      </x:c>
      <x:c r="Q2012" s="5" t="str">
        <x:v>Bestehendes Lernthema fachlich unter passendem Rahmenplan-Unterbereich behalten</x:v>
      </x:c>
      <x:c r="R2012" s="5" t="str">
        <x:v>Nenne Aufgaben der Beschaffungslogistik.</x:v>
      </x:c>
      <x:c r="S2012" s="5" t="str">
        <x:v>53ad634a620f1e3f10943db5e0a25faa82cbdd6b9c14f193513205151dfb1068</x:v>
      </x:c>
    </x:row>
    <x:row r="2013" ht="36" customHeight="1">
      <x:c r="A2013" s="5" t="str">
        <x:v>L-0034</x:v>
      </x:c>
      <x:c r="B2013" s="5" t="str">
        <x:v>HQ</x:v>
      </x:c>
      <x:c r="C2013" s="5" t="str">
        <x:v>7</x:v>
      </x:c>
      <x:c r="D2013" s="5" t="str">
        <x:v>Logistik</x:v>
      </x:c>
      <x:c r="E2013" s="5" t="str">
        <x:v>Logistik</x:v>
      </x:c>
      <x:c r="F2013" s="5" t="str">
        <x:v>ui-hq-0022</x:v>
      </x:c>
      <x:c r="G2013" s="5" t="str">
        <x:v>Einkauf und Beschaffung</x:v>
      </x:c>
      <x:c r="H2013" s="5" t="str">
        <x:v>dg-hq-0091</x:v>
      </x:c>
      <x:c r="I2013" s="5" t="str">
        <x:v>7.1.1</x:v>
      </x:c>
      <x:c r="J2013" s="5" t="str">
        <x:v>Grundlagen der Logistik</x:v>
      </x:c>
      <x:c r="K2013" s="5" t="str"/>
      <x:c r="L2013" s="5" t="str">
        <x:v>Logistikgrundlagen, Wertschöpfungskette &amp; SCM</x:v>
      </x:c>
      <x:c r="M2013" s="5" t="n">
        <x:v>34</x:v>
      </x:c>
      <x:c r="N2013" s="5" t="n">
        <x:v>33</x:v>
      </x:c>
      <x:c r="O2013" s="5" t="str"/>
      <x:c r="P2013" s="5" t="str">
        <x:v>Zuordnungsvorschlag; Fachfreigabe ausstehend</x:v>
      </x:c>
      <x:c r="Q2013" s="5" t="str">
        <x:v>Bestehendes Lernthema fachlich unter passendem Rahmenplan-Unterbereich behalten</x:v>
      </x:c>
      <x:c r="R2013" s="5" t="str">
        <x:v>Nenne Aufgaben der Fertigungslogistik.</x:v>
      </x:c>
      <x:c r="S2013" s="5" t="str">
        <x:v>c4f08547bb08c0c67b0430a14613c3ea7107ab1bde60db71eecf6e11d96a2d02</x:v>
      </x:c>
    </x:row>
    <x:row r="2014" ht="36" customHeight="1">
      <x:c r="A2014" s="5" t="str">
        <x:v>L-0035</x:v>
      </x:c>
      <x:c r="B2014" s="5" t="str">
        <x:v>HQ</x:v>
      </x:c>
      <x:c r="C2014" s="5" t="str">
        <x:v>7</x:v>
      </x:c>
      <x:c r="D2014" s="5" t="str">
        <x:v>Logistik</x:v>
      </x:c>
      <x:c r="E2014" s="5" t="str">
        <x:v>Logistik</x:v>
      </x:c>
      <x:c r="F2014" s="5" t="str">
        <x:v>ui-hq-0022</x:v>
      </x:c>
      <x:c r="G2014" s="5" t="str">
        <x:v>Einkauf und Beschaffung</x:v>
      </x:c>
      <x:c r="H2014" s="5" t="str">
        <x:v>dg-hq-0091</x:v>
      </x:c>
      <x:c r="I2014" s="5" t="str">
        <x:v>7.1.1</x:v>
      </x:c>
      <x:c r="J2014" s="5" t="str">
        <x:v>Grundlagen der Logistik</x:v>
      </x:c>
      <x:c r="K2014" s="5" t="str"/>
      <x:c r="L2014" s="5" t="str">
        <x:v>Logistikgrundlagen, Wertschöpfungskette &amp; SCM</x:v>
      </x:c>
      <x:c r="M2014" s="5" t="n">
        <x:v>35</x:v>
      </x:c>
      <x:c r="N2014" s="5" t="n">
        <x:v>34</x:v>
      </x:c>
      <x:c r="O2014" s="5" t="str"/>
      <x:c r="P2014" s="5" t="str">
        <x:v>Zuordnungsvorschlag; Fachfreigabe ausstehend</x:v>
      </x:c>
      <x:c r="Q2014" s="5" t="str">
        <x:v>Bestehendes Lernthema fachlich unter passendem Rahmenplan-Unterbereich behalten</x:v>
      </x:c>
      <x:c r="R2014" s="5" t="str">
        <x:v>Nenne Aufgaben der Distributionslogistik.</x:v>
      </x:c>
      <x:c r="S2014" s="5" t="str">
        <x:v>cbd1976ef5941679764ab01d5a8618a81a88af8cb9ee09c118a174085cf306e4</x:v>
      </x:c>
    </x:row>
    <x:row r="2015" ht="36" customHeight="1">
      <x:c r="A2015" s="5" t="str">
        <x:v>L-0036</x:v>
      </x:c>
      <x:c r="B2015" s="5" t="str">
        <x:v>HQ</x:v>
      </x:c>
      <x:c r="C2015" s="5" t="str">
        <x:v>7</x:v>
      </x:c>
      <x:c r="D2015" s="5" t="str">
        <x:v>Logistik</x:v>
      </x:c>
      <x:c r="E2015" s="5" t="str">
        <x:v>Logistik</x:v>
      </x:c>
      <x:c r="F2015" s="5" t="str">
        <x:v>ui-hq-0022</x:v>
      </x:c>
      <x:c r="G2015" s="5" t="str">
        <x:v>Einkauf und Beschaffung</x:v>
      </x:c>
      <x:c r="H2015" s="5" t="str">
        <x:v>dg-hq-0091</x:v>
      </x:c>
      <x:c r="I2015" s="5" t="str">
        <x:v>7.1.1</x:v>
      </x:c>
      <x:c r="J2015" s="5" t="str">
        <x:v>Grundlagen der Logistik</x:v>
      </x:c>
      <x:c r="K2015" s="5" t="str"/>
      <x:c r="L2015" s="5" t="str">
        <x:v>Logistikgrundlagen, Wertschöpfungskette &amp; SCM</x:v>
      </x:c>
      <x:c r="M2015" s="5" t="n">
        <x:v>36</x:v>
      </x:c>
      <x:c r="N2015" s="5" t="n">
        <x:v>35</x:v>
      </x:c>
      <x:c r="O2015" s="5" t="str"/>
      <x:c r="P2015" s="5" t="str">
        <x:v>Zuordnungsvorschlag; Fachfreigabe ausstehend</x:v>
      </x:c>
      <x:c r="Q2015" s="5" t="str">
        <x:v>Bestehendes Lernthema fachlich unter passendem Rahmenplan-Unterbereich behalten</x:v>
      </x:c>
      <x:c r="R2015" s="5" t="str">
        <x:v>In der Logistik von Circle Harbor: Wie kann die Logistik organisatorisch in ein Unternehmen eingeordnet werden?</x:v>
      </x:c>
      <x:c r="S2015" s="5" t="str">
        <x:v>5003dcc74fe4e0e0e81e4f9f275ec52284fe7d0cd0ac62229de24a24227859b3</x:v>
      </x:c>
    </x:row>
    <x:row r="2016" ht="36" customHeight="1">
      <x:c r="A2016" s="5" t="str">
        <x:v>L-0037</x:v>
      </x:c>
      <x:c r="B2016" s="5" t="str">
        <x:v>HQ</x:v>
      </x:c>
      <x:c r="C2016" s="5" t="str">
        <x:v>7</x:v>
      </x:c>
      <x:c r="D2016" s="5" t="str">
        <x:v>Logistik</x:v>
      </x:c>
      <x:c r="E2016" s="5" t="str">
        <x:v>Logistik</x:v>
      </x:c>
      <x:c r="F2016" s="5" t="str">
        <x:v>ui-hq-0024</x:v>
      </x:c>
      <x:c r="G2016" s="5" t="str">
        <x:v>Wertschöpfungskette</x:v>
      </x:c>
      <x:c r="H2016" s="5" t="str">
        <x:v>dg-hq-0093</x:v>
      </x:c>
      <x:c r="I2016" s="5" t="str">
        <x:v>7.3.2.2</x:v>
      </x:c>
      <x:c r="J2016" s="5" t="str">
        <x:v>Extern</x:v>
      </x:c>
      <x:c r="K2016" s="5" t="str"/>
      <x:c r="L2016" s="5" t="str">
        <x:v>Externe Transportsysteme, Verpackung &amp; Distribution</x:v>
      </x:c>
      <x:c r="M2016" s="5" t="n">
        <x:v>1</x:v>
      </x:c>
      <x:c r="N2016" s="5" t="n">
        <x:v>1</x:v>
      </x:c>
      <x:c r="O2016" s="5" t="str"/>
      <x:c r="P2016" s="5" t="str">
        <x:v>Zuordnungsvorschlag; Fachfreigabe ausstehend</x:v>
      </x:c>
      <x:c r="Q2016" s="5" t="str">
        <x:v>Bestehendes Lernthema fachlich unter passendem Rahmenplan-Unterbereich behalten</x:v>
      </x:c>
      <x:c r="R2016" s="5" t="str">
        <x:v>Erkläre das System gleichbleibender Einheiten in der Logistik und nenne Vorteile.</x:v>
      </x:c>
      <x:c r="S2016" s="5" t="str">
        <x:v>9c0e2fe40cdc60761faa679a478346d1591246f7956ba6c798d76d9bfbd84fc1</x:v>
      </x:c>
    </x:row>
    <x:row r="2017" ht="36" customHeight="1">
      <x:c r="A2017" s="5" t="str">
        <x:v>L-0038</x:v>
      </x:c>
      <x:c r="B2017" s="5" t="str">
        <x:v>HQ</x:v>
      </x:c>
      <x:c r="C2017" s="5" t="str">
        <x:v>7</x:v>
      </x:c>
      <x:c r="D2017" s="5" t="str">
        <x:v>Logistik</x:v>
      </x:c>
      <x:c r="E2017" s="5" t="str">
        <x:v>Logistik</x:v>
      </x:c>
      <x:c r="F2017" s="5" t="str">
        <x:v>ui-hq-0024</x:v>
      </x:c>
      <x:c r="G2017" s="5" t="str">
        <x:v>Wertschöpfungskette</x:v>
      </x:c>
      <x:c r="H2017" s="5" t="str">
        <x:v>dg-hq-0093</x:v>
      </x:c>
      <x:c r="I2017" s="5" t="str">
        <x:v>7.3.2.2</x:v>
      </x:c>
      <x:c r="J2017" s="5" t="str">
        <x:v>Extern</x:v>
      </x:c>
      <x:c r="K2017" s="5" t="str"/>
      <x:c r="L2017" s="5" t="str">
        <x:v>Externe Transportsysteme, Verpackung &amp; Distribution</x:v>
      </x:c>
      <x:c r="M2017" s="5" t="n">
        <x:v>2</x:v>
      </x:c>
      <x:c r="N2017" s="5" t="n">
        <x:v>2</x:v>
      </x:c>
      <x:c r="O2017" s="5" t="str"/>
      <x:c r="P2017" s="5" t="str">
        <x:v>Zuordnungsvorschlag; Fachfreigabe ausstehend</x:v>
      </x:c>
      <x:c r="Q2017" s="5" t="str">
        <x:v>Bestehendes Lernthema fachlich unter passendem Rahmenplan-Unterbereich behalten</x:v>
      </x:c>
      <x:c r="R2017" s="5" t="str">
        <x:v>Nenne Nachteile des Systems gleichbleibender Einheiten.</x:v>
      </x:c>
      <x:c r="S2017" s="5" t="str">
        <x:v>042634483c850e073ef31b1247ce51fb9dbc1352b5d002219d9a171cedce42bb</x:v>
      </x:c>
    </x:row>
    <x:row r="2018" ht="36" customHeight="1">
      <x:c r="A2018" s="5" t="str">
        <x:v>L-0039</x:v>
      </x:c>
      <x:c r="B2018" s="5" t="str">
        <x:v>HQ</x:v>
      </x:c>
      <x:c r="C2018" s="5" t="str">
        <x:v>7</x:v>
      </x:c>
      <x:c r="D2018" s="5" t="str">
        <x:v>Logistik</x:v>
      </x:c>
      <x:c r="E2018" s="5" t="str">
        <x:v>Logistik</x:v>
      </x:c>
      <x:c r="F2018" s="5" t="str">
        <x:v>ui-hq-0022</x:v>
      </x:c>
      <x:c r="G2018" s="5" t="str">
        <x:v>Einkauf und Beschaffung</x:v>
      </x:c>
      <x:c r="H2018" s="5" t="str">
        <x:v>dg-hq-0094</x:v>
      </x:c>
      <x:c r="I2018" s="5" t="str">
        <x:v>7.1.2.1</x:v>
      </x:c>
      <x:c r="J2018" s="5" t="str">
        <x:v>Der Ablauf</x:v>
      </x:c>
      <x:c r="K2018" s="5" t="str"/>
      <x:c r="L2018" s="5" t="str">
        <x:v>Einkaufsorganisation &amp; Beschaffungsprozess</x:v>
      </x:c>
      <x:c r="M2018" s="5" t="n">
        <x:v>37</x:v>
      </x:c>
      <x:c r="N2018" s="5" t="n">
        <x:v>1</x:v>
      </x:c>
      <x:c r="O2018" s="5" t="str"/>
      <x:c r="P2018" s="5" t="str">
        <x:v>Zuordnungsvorschlag; Fachfreigabe ausstehend</x:v>
      </x:c>
      <x:c r="Q2018" s="5" t="str">
        <x:v>Bestehendes Lernthema fachlich unter passendem Rahmenplan-Unterbereich behalten</x:v>
      </x:c>
      <x:c r="R2018" s="5" t="str">
        <x:v>Nenne die Phasen des Einkaufsprozesses.</x:v>
      </x:c>
      <x:c r="S2018" s="5" t="str">
        <x:v>698ecc3125930b85eea07f2bdce1fb9de31f687e379cbfcb57dde89f0feda348</x:v>
      </x:c>
    </x:row>
    <x:row r="2019" ht="36" customHeight="1">
      <x:c r="A2019" s="5" t="str">
        <x:v>L-0040</x:v>
      </x:c>
      <x:c r="B2019" s="5" t="str">
        <x:v>HQ</x:v>
      </x:c>
      <x:c r="C2019" s="5" t="str">
        <x:v>7</x:v>
      </x:c>
      <x:c r="D2019" s="5" t="str">
        <x:v>Logistik</x:v>
      </x:c>
      <x:c r="E2019" s="5" t="str">
        <x:v>Logistik</x:v>
      </x:c>
      <x:c r="F2019" s="5" t="str">
        <x:v>ui-hq-0022</x:v>
      </x:c>
      <x:c r="G2019" s="5" t="str">
        <x:v>Einkauf und Beschaffung</x:v>
      </x:c>
      <x:c r="H2019" s="5" t="str">
        <x:v>dg-hq-0094</x:v>
      </x:c>
      <x:c r="I2019" s="5" t="str">
        <x:v>7.1.2.1#1</x:v>
      </x:c>
      <x:c r="J2019" s="5" t="str">
        <x:v>Anfrage</x:v>
      </x:c>
      <x:c r="K2019" s="5" t="str"/>
      <x:c r="L2019" s="5" t="str">
        <x:v>Einkaufsorganisation &amp; Beschaffungsprozess</x:v>
      </x:c>
      <x:c r="M2019" s="5" t="n">
        <x:v>38</x:v>
      </x:c>
      <x:c r="N2019" s="5" t="n">
        <x:v>2</x:v>
      </x:c>
      <x:c r="O2019" s="5" t="str"/>
      <x:c r="P2019" s="5" t="str">
        <x:v>Zuordnungsvorschlag; Fachfreigabe ausstehend</x:v>
      </x:c>
      <x:c r="Q2019" s="5" t="str">
        <x:v>Bestehendes Lernthema fachlich unter passendem Rahmenplan-Unterbereich behalten</x:v>
      </x:c>
      <x:c r="R2019" s="5" t="str">
        <x:v>Welche Möglichkeiten gibt es bei der Lieferantenauswahl im Rahmen der Anfrage?</x:v>
      </x:c>
      <x:c r="S2019" s="5" t="str">
        <x:v>46ee3fc3921d2ff1f80ef309da5466e3799e3b0b20684db2e8a511a3a2c35773</x:v>
      </x:c>
    </x:row>
    <x:row r="2020" ht="36" customHeight="1">
      <x:c r="A2020" s="5" t="str">
        <x:v>L-0041</x:v>
      </x:c>
      <x:c r="B2020" s="5" t="str">
        <x:v>HQ</x:v>
      </x:c>
      <x:c r="C2020" s="5" t="str">
        <x:v>7</x:v>
      </x:c>
      <x:c r="D2020" s="5" t="str">
        <x:v>Logistik</x:v>
      </x:c>
      <x:c r="E2020" s="5" t="str">
        <x:v>Logistik</x:v>
      </x:c>
      <x:c r="F2020" s="5" t="str">
        <x:v>ui-hq-0022</x:v>
      </x:c>
      <x:c r="G2020" s="5" t="str">
        <x:v>Einkauf und Beschaffung</x:v>
      </x:c>
      <x:c r="H2020" s="5" t="str">
        <x:v>dg-hq-0094</x:v>
      </x:c>
      <x:c r="I2020" s="5" t="str">
        <x:v>7.1.2.1#1</x:v>
      </x:c>
      <x:c r="J2020" s="5" t="str">
        <x:v>Anfrage</x:v>
      </x:c>
      <x:c r="K2020" s="5" t="str"/>
      <x:c r="L2020" s="5" t="str">
        <x:v>Einkaufsorganisation &amp; Beschaffungsprozess</x:v>
      </x:c>
      <x:c r="M2020" s="5" t="n">
        <x:v>39</x:v>
      </x:c>
      <x:c r="N2020" s="5" t="n">
        <x:v>3</x:v>
      </x:c>
      <x:c r="O2020" s="5" t="str"/>
      <x:c r="P2020" s="5" t="str">
        <x:v>Zuordnungsvorschlag; Fachfreigabe ausstehend</x:v>
      </x:c>
      <x:c r="Q2020" s="5" t="str">
        <x:v>Bestehendes Lernthema fachlich unter passendem Rahmenplan-Unterbereich behalten</x:v>
      </x:c>
      <x:c r="R2020" s="5" t="str">
        <x:v>Welche Inhalte muss eine Anfrage enthalten?</x:v>
      </x:c>
      <x:c r="S2020" s="5" t="str">
        <x:v>81255f5aee06880b45043d5275097fc0a88f98e329af12c5540f8885f0264f0e</x:v>
      </x:c>
    </x:row>
    <x:row r="2021" ht="36" customHeight="1">
      <x:c r="A2021" s="5" t="str">
        <x:v>L-0042</x:v>
      </x:c>
      <x:c r="B2021" s="5" t="str">
        <x:v>HQ</x:v>
      </x:c>
      <x:c r="C2021" s="5" t="str">
        <x:v>7</x:v>
      </x:c>
      <x:c r="D2021" s="5" t="str">
        <x:v>Logistik</x:v>
      </x:c>
      <x:c r="E2021" s="5" t="str">
        <x:v>Logistik</x:v>
      </x:c>
      <x:c r="F2021" s="5" t="str">
        <x:v>ui-hq-0022</x:v>
      </x:c>
      <x:c r="G2021" s="5" t="str">
        <x:v>Einkauf und Beschaffung</x:v>
      </x:c>
      <x:c r="H2021" s="5" t="str">
        <x:v>dg-hq-0094</x:v>
      </x:c>
      <x:c r="I2021" s="5" t="str">
        <x:v>7.1.2.1#2</x:v>
      </x:c>
      <x:c r="J2021" s="5" t="str">
        <x:v>Angebot</x:v>
      </x:c>
      <x:c r="K2021" s="5" t="str"/>
      <x:c r="L2021" s="5" t="str">
        <x:v>Einkaufsorganisation &amp; Beschaffungsprozess</x:v>
      </x:c>
      <x:c r="M2021" s="5" t="n">
        <x:v>40</x:v>
      </x:c>
      <x:c r="N2021" s="5" t="n">
        <x:v>4</x:v>
      </x:c>
      <x:c r="O2021" s="5" t="str"/>
      <x:c r="P2021" s="5" t="str">
        <x:v>Zuordnungsvorschlag; Fachfreigabe ausstehend</x:v>
      </x:c>
      <x:c r="Q2021" s="5" t="str">
        <x:v>Bestehendes Lernthema fachlich unter passendem Rahmenplan-Unterbereich behalten</x:v>
      </x:c>
      <x:c r="R2021" s="5" t="str">
        <x:v>Warum müssen Angebote verglichen werden?</x:v>
      </x:c>
      <x:c r="S2021" s="5" t="str">
        <x:v>804bddb8ec4c4a3ddcd1d97b384d45b31938e4ba70a685824210157e68e761ed</x:v>
      </x:c>
    </x:row>
    <x:row r="2022" ht="36" customHeight="1">
      <x:c r="A2022" s="5" t="str">
        <x:v>L-0043</x:v>
      </x:c>
      <x:c r="B2022" s="5" t="str">
        <x:v>HQ</x:v>
      </x:c>
      <x:c r="C2022" s="5" t="str">
        <x:v>7</x:v>
      </x:c>
      <x:c r="D2022" s="5" t="str">
        <x:v>Logistik</x:v>
      </x:c>
      <x:c r="E2022" s="5" t="str">
        <x:v>Logistik</x:v>
      </x:c>
      <x:c r="F2022" s="5" t="str">
        <x:v>ui-hq-0022</x:v>
      </x:c>
      <x:c r="G2022" s="5" t="str">
        <x:v>Einkauf und Beschaffung</x:v>
      </x:c>
      <x:c r="H2022" s="5" t="str">
        <x:v>dg-hq-0094</x:v>
      </x:c>
      <x:c r="I2022" s="5" t="str">
        <x:v>7.1.2.1#3</x:v>
      </x:c>
      <x:c r="J2022" s="5" t="str">
        <x:v>Bestellung</x:v>
      </x:c>
      <x:c r="K2022" s="5" t="str"/>
      <x:c r="L2022" s="5" t="str">
        <x:v>Einkaufsorganisation &amp; Beschaffungsprozess</x:v>
      </x:c>
      <x:c r="M2022" s="5" t="n">
        <x:v>41</x:v>
      </x:c>
      <x:c r="N2022" s="5" t="n">
        <x:v>5</x:v>
      </x:c>
      <x:c r="O2022" s="5" t="str"/>
      <x:c r="P2022" s="5" t="str">
        <x:v>Zuordnungsvorschlag; Fachfreigabe ausstehend</x:v>
      </x:c>
      <x:c r="Q2022" s="5" t="str">
        <x:v>Bestehendes Lernthema fachlich unter passendem Rahmenplan-Unterbereich behalten</x:v>
      </x:c>
      <x:c r="R2022" s="5" t="str">
        <x:v>Wann kommt ein Kaufvertrag durch Bestellung zustande?</x:v>
      </x:c>
      <x:c r="S2022" s="5" t="str">
        <x:v>29af5365efdfe2547762565b18fbb3aa125a9ec5f74776dd8575311cb80e8c3e</x:v>
      </x:c>
    </x:row>
    <x:row r="2023" ht="36" customHeight="1">
      <x:c r="A2023" s="5" t="str">
        <x:v>L-0044</x:v>
      </x:c>
      <x:c r="B2023" s="5" t="str">
        <x:v>HQ</x:v>
      </x:c>
      <x:c r="C2023" s="5" t="str">
        <x:v>7</x:v>
      </x:c>
      <x:c r="D2023" s="5" t="str">
        <x:v>Logistik</x:v>
      </x:c>
      <x:c r="E2023" s="5" t="str">
        <x:v>Logistik</x:v>
      </x:c>
      <x:c r="F2023" s="5" t="str">
        <x:v>ui-hq-0022</x:v>
      </x:c>
      <x:c r="G2023" s="5" t="str">
        <x:v>Einkauf und Beschaffung</x:v>
      </x:c>
      <x:c r="H2023" s="5" t="str">
        <x:v>dg-hq-0094</x:v>
      </x:c>
      <x:c r="I2023" s="5" t="str">
        <x:v>7.1.2.1#2</x:v>
      </x:c>
      <x:c r="J2023" s="5" t="str">
        <x:v>Angebot</x:v>
      </x:c>
      <x:c r="K2023" s="5" t="str"/>
      <x:c r="L2023" s="5" t="str">
        <x:v>Einkaufsorganisation &amp; Beschaffungsprozess</x:v>
      </x:c>
      <x:c r="M2023" s="5" t="n">
        <x:v>42</x:v>
      </x:c>
      <x:c r="N2023" s="5" t="n">
        <x:v>6</x:v>
      </x:c>
      <x:c r="O2023" s="5" t="str"/>
      <x:c r="P2023" s="5" t="str">
        <x:v>Zuordnungsvorschlag; Fachfreigabe ausstehend</x:v>
      </x:c>
      <x:c r="Q2023" s="5" t="str">
        <x:v>Bestehendes Lernthema fachlich unter passendem Rahmenplan-Unterbereich behalten</x:v>
      </x:c>
      <x:c r="R2023" s="5" t="str">
        <x:v>Nenne Kriterien beim Lieferanten- bzw. Angebotsvergleich.</x:v>
      </x:c>
      <x:c r="S2023" s="5" t="str">
        <x:v>75966212974614d4310929d5a7d710768a29ae56daa8d200055fef98cbf22a9c</x:v>
      </x:c>
    </x:row>
    <x:row r="2024" ht="36" customHeight="1">
      <x:c r="A2024" s="5" t="str">
        <x:v>L-0045</x:v>
      </x:c>
      <x:c r="B2024" s="5" t="str">
        <x:v>HQ</x:v>
      </x:c>
      <x:c r="C2024" s="5" t="str">
        <x:v>7</x:v>
      </x:c>
      <x:c r="D2024" s="5" t="str">
        <x:v>Logistik</x:v>
      </x:c>
      <x:c r="E2024" s="5" t="str">
        <x:v>Logistik</x:v>
      </x:c>
      <x:c r="F2024" s="5" t="str">
        <x:v>ui-hq-0022</x:v>
      </x:c>
      <x:c r="G2024" s="5" t="str">
        <x:v>Einkauf und Beschaffung</x:v>
      </x:c>
      <x:c r="H2024" s="5" t="str">
        <x:v>dg-hq-0094</x:v>
      </x:c>
      <x:c r="I2024" s="5" t="str">
        <x:v>7.1.2.1</x:v>
      </x:c>
      <x:c r="J2024" s="5" t="str">
        <x:v>Der Ablauf</x:v>
      </x:c>
      <x:c r="K2024" s="5" t="str"/>
      <x:c r="L2024" s="5" t="str">
        <x:v>Einkaufsorganisation &amp; Beschaffungsprozess</x:v>
      </x:c>
      <x:c r="M2024" s="5" t="n">
        <x:v>43</x:v>
      </x:c>
      <x:c r="N2024" s="5" t="n">
        <x:v>7</x:v>
      </x:c>
      <x:c r="O2024" s="5" t="str"/>
      <x:c r="P2024" s="5" t="str">
        <x:v>Zuordnungsvorschlag; Fachfreigabe ausstehend</x:v>
      </x:c>
      <x:c r="Q2024" s="5" t="str">
        <x:v>Bestehendes Lernthema fachlich unter passendem Rahmenplan-Unterbereich behalten</x:v>
      </x:c>
      <x:c r="R2024" s="5" t="str">
        <x:v>Wann ist ein reiner Preisvergleich sinnvoll?</x:v>
      </x:c>
      <x:c r="S2024" s="5" t="str">
        <x:v>045dd60e3b517213eea1c23a08e68389616253e199ed559302a852bd638c5ddb</x:v>
      </x:c>
    </x:row>
    <x:row r="2025" ht="36" customHeight="1">
      <x:c r="A2025" s="5" t="str">
        <x:v>L-0046</x:v>
      </x:c>
      <x:c r="B2025" s="5" t="str">
        <x:v>HQ</x:v>
      </x:c>
      <x:c r="C2025" s="5" t="str">
        <x:v>7</x:v>
      </x:c>
      <x:c r="D2025" s="5" t="str">
        <x:v>Logistik</x:v>
      </x:c>
      <x:c r="E2025" s="5" t="str">
        <x:v>Logistik</x:v>
      </x:c>
      <x:c r="F2025" s="5" t="str">
        <x:v>ui-hq-0022</x:v>
      </x:c>
      <x:c r="G2025" s="5" t="str">
        <x:v>Einkauf und Beschaffung</x:v>
      </x:c>
      <x:c r="H2025" s="5" t="str">
        <x:v>dg-hq-0094</x:v>
      </x:c>
      <x:c r="I2025" s="5" t="str">
        <x:v>7.1.2.1#2</x:v>
      </x:c>
      <x:c r="J2025" s="5" t="str">
        <x:v>Angebot</x:v>
      </x:c>
      <x:c r="K2025" s="5" t="str"/>
      <x:c r="L2025" s="5" t="str">
        <x:v>Einkaufsorganisation &amp; Beschaffungsprozess</x:v>
      </x:c>
      <x:c r="M2025" s="5" t="n">
        <x:v>44</x:v>
      </x:c>
      <x:c r="N2025" s="5" t="n">
        <x:v>8</x:v>
      </x:c>
      <x:c r="O2025" s="5" t="str"/>
      <x:c r="P2025" s="5" t="str">
        <x:v>Zuordnungsvorschlag; Fachfreigabe ausstehend</x:v>
      </x:c>
      <x:c r="Q2025" s="5" t="str">
        <x:v>Bestehendes Lernthema fachlich unter passendem Rahmenplan-Unterbereich behalten</x:v>
      </x:c>
      <x:c r="R2025" s="5" t="str">
        <x:v>Was muss beim Vergleich von Angebotspreisen berücksichtigt werden?</x:v>
      </x:c>
      <x:c r="S2025" s="5" t="str">
        <x:v>03ae9a88423b490b20216ac7ea50550ce6657cb26913973cbdb659202d35c85e</x:v>
      </x:c>
    </x:row>
    <x:row r="2026" ht="36" customHeight="1">
      <x:c r="A2026" s="5" t="str">
        <x:v>L-0047</x:v>
      </x:c>
      <x:c r="B2026" s="5" t="str">
        <x:v>HQ</x:v>
      </x:c>
      <x:c r="C2026" s="5" t="str">
        <x:v>7</x:v>
      </x:c>
      <x:c r="D2026" s="5" t="str">
        <x:v>Logistik</x:v>
      </x:c>
      <x:c r="E2026" s="5" t="str">
        <x:v>Logistik</x:v>
      </x:c>
      <x:c r="F2026" s="5" t="str">
        <x:v>ui-hq-0022</x:v>
      </x:c>
      <x:c r="G2026" s="5" t="str">
        <x:v>Einkauf und Beschaffung</x:v>
      </x:c>
      <x:c r="H2026" s="5" t="str">
        <x:v>dg-hq-0094</x:v>
      </x:c>
      <x:c r="I2026" s="5" t="str">
        <x:v>7.1.2.1</x:v>
      </x:c>
      <x:c r="J2026" s="5" t="str">
        <x:v>Der Ablauf</x:v>
      </x:c>
      <x:c r="K2026" s="5" t="str"/>
      <x:c r="L2026" s="5" t="str">
        <x:v>Einkaufsorganisation &amp; Beschaffungsprozess</x:v>
      </x:c>
      <x:c r="M2026" s="5" t="n">
        <x:v>45</x:v>
      </x:c>
      <x:c r="N2026" s="5" t="n">
        <x:v>9</x:v>
      </x:c>
      <x:c r="O2026" s="5" t="str"/>
      <x:c r="P2026" s="5" t="str">
        <x:v>Zuordnungsvorschlag; Fachfreigabe ausstehend</x:v>
      </x:c>
      <x:c r="Q2026" s="5" t="str">
        <x:v>Bestehendes Lernthema fachlich unter passendem Rahmenplan-Unterbereich behalten</x:v>
      </x:c>
      <x:c r="R2026" s="5" t="str">
        <x:v>Welche Ziele werden bei Einkaufsverhandlungen verfolgt?</x:v>
      </x:c>
      <x:c r="S2026" s="5" t="str">
        <x:v>fe91c151446ae9b2c430ac2b3b81681f0c21da7e27cde2c4bdb306b8762171bb</x:v>
      </x:c>
    </x:row>
    <x:row r="2027" ht="36" customHeight="1">
      <x:c r="A2027" s="5" t="str">
        <x:v>L-0048</x:v>
      </x:c>
      <x:c r="B2027" s="5" t="str">
        <x:v>HQ</x:v>
      </x:c>
      <x:c r="C2027" s="5" t="str">
        <x:v>7</x:v>
      </x:c>
      <x:c r="D2027" s="5" t="str">
        <x:v>Logistik</x:v>
      </x:c>
      <x:c r="E2027" s="5" t="str">
        <x:v>Logistik</x:v>
      </x:c>
      <x:c r="F2027" s="5" t="str">
        <x:v>ui-hq-0022</x:v>
      </x:c>
      <x:c r="G2027" s="5" t="str">
        <x:v>Einkauf und Beschaffung</x:v>
      </x:c>
      <x:c r="H2027" s="5" t="str">
        <x:v>dg-hq-0094</x:v>
      </x:c>
      <x:c r="I2027" s="5" t="str">
        <x:v>7.1.2.1</x:v>
      </x:c>
      <x:c r="J2027" s="5" t="str">
        <x:v>Der Ablauf</x:v>
      </x:c>
      <x:c r="K2027" s="5" t="str"/>
      <x:c r="L2027" s="5" t="str">
        <x:v>Einkaufsorganisation &amp; Beschaffungsprozess</x:v>
      </x:c>
      <x:c r="M2027" s="5" t="n">
        <x:v>46</x:v>
      </x:c>
      <x:c r="N2027" s="5" t="n">
        <x:v>10</x:v>
      </x:c>
      <x:c r="O2027" s="5" t="str"/>
      <x:c r="P2027" s="5" t="str">
        <x:v>Zuordnungsvorschlag; Fachfreigabe ausstehend</x:v>
      </x:c>
      <x:c r="Q2027" s="5" t="str">
        <x:v>Bestehendes Lernthema fachlich unter passendem Rahmenplan-Unterbereich behalten</x:v>
      </x:c>
      <x:c r="R2027" s="5" t="str">
        <x:v>Welche Faktoren sind bei der Vorbereitung von Verhandlungen wichtig?</x:v>
      </x:c>
      <x:c r="S2027" s="5" t="str">
        <x:v>f1e1a17ac4a87a2d70838d60ebbce19a92c3dda925fe128b5e9674a96979109b</x:v>
      </x:c>
    </x:row>
    <x:row r="2028" ht="36" customHeight="1">
      <x:c r="A2028" s="5" t="str">
        <x:v>L-0049</x:v>
      </x:c>
      <x:c r="B2028" s="5" t="str">
        <x:v>HQ</x:v>
      </x:c>
      <x:c r="C2028" s="5" t="str">
        <x:v>7</x:v>
      </x:c>
      <x:c r="D2028" s="5" t="str">
        <x:v>Logistik</x:v>
      </x:c>
      <x:c r="E2028" s="5" t="str">
        <x:v>Logistik</x:v>
      </x:c>
      <x:c r="F2028" s="5" t="str">
        <x:v>ui-hq-0022</x:v>
      </x:c>
      <x:c r="G2028" s="5" t="str">
        <x:v>Einkauf und Beschaffung</x:v>
      </x:c>
      <x:c r="H2028" s="5" t="str">
        <x:v>dg-hq-0094</x:v>
      </x:c>
      <x:c r="I2028" s="5" t="str">
        <x:v>7.1.2.1</x:v>
      </x:c>
      <x:c r="J2028" s="5" t="str">
        <x:v>Der Ablauf</x:v>
      </x:c>
      <x:c r="K2028" s="5" t="str"/>
      <x:c r="L2028" s="5" t="str">
        <x:v>Einkaufsorganisation &amp; Beschaffungsprozess</x:v>
      </x:c>
      <x:c r="M2028" s="5" t="n">
        <x:v>47</x:v>
      </x:c>
      <x:c r="N2028" s="5" t="n">
        <x:v>11</x:v>
      </x:c>
      <x:c r="O2028" s="5" t="str"/>
      <x:c r="P2028" s="5" t="str">
        <x:v>Zuordnungsvorschlag; Fachfreigabe ausstehend</x:v>
      </x:c>
      <x:c r="Q2028" s="5" t="str">
        <x:v>Bestehendes Lernthema fachlich unter passendem Rahmenplan-Unterbereich behalten</x:v>
      </x:c>
      <x:c r="R2028" s="5" t="str">
        <x:v>Welche organisatorischen Fragen müssen vor Verhandlungen geklärt werden?</x:v>
      </x:c>
      <x:c r="S2028" s="5" t="str">
        <x:v>a406115f3bee916fa68352695729431e5a1852ebdb1cfa9c201f695607e2f2c7</x:v>
      </x:c>
    </x:row>
    <x:row r="2029" ht="36" customHeight="1">
      <x:c r="A2029" s="5" t="str">
        <x:v>L-0050</x:v>
      </x:c>
      <x:c r="B2029" s="5" t="str">
        <x:v>HQ</x:v>
      </x:c>
      <x:c r="C2029" s="5" t="str">
        <x:v>7</x:v>
      </x:c>
      <x:c r="D2029" s="5" t="str">
        <x:v>Logistik</x:v>
      </x:c>
      <x:c r="E2029" s="5" t="str">
        <x:v>Logistik</x:v>
      </x:c>
      <x:c r="F2029" s="5" t="str">
        <x:v>ui-hq-0022</x:v>
      </x:c>
      <x:c r="G2029" s="5" t="str">
        <x:v>Einkauf und Beschaffung</x:v>
      </x:c>
      <x:c r="H2029" s="5" t="str">
        <x:v>dg-hq-0094</x:v>
      </x:c>
      <x:c r="I2029" s="5" t="str">
        <x:v>7.1.2.1</x:v>
      </x:c>
      <x:c r="J2029" s="5" t="str">
        <x:v>Der Ablauf</x:v>
      </x:c>
      <x:c r="K2029" s="5" t="str"/>
      <x:c r="L2029" s="5" t="str">
        <x:v>Einkaufsorganisation &amp; Beschaffungsprozess</x:v>
      </x:c>
      <x:c r="M2029" s="5" t="n">
        <x:v>48</x:v>
      </x:c>
      <x:c r="N2029" s="5" t="n">
        <x:v>12</x:v>
      </x:c>
      <x:c r="O2029" s="5" t="str"/>
      <x:c r="P2029" s="5" t="str">
        <x:v>Zuordnungsvorschlag; Fachfreigabe ausstehend</x:v>
      </x:c>
      <x:c r="Q2029" s="5" t="str">
        <x:v>Bestehendes Lernthema fachlich unter passendem Rahmenplan-Unterbereich behalten</x:v>
      </x:c>
      <x:c r="R2029" s="5" t="str">
        <x:v>Wann wird die Nutzwertanalyse eingesetzt?</x:v>
      </x:c>
      <x:c r="S2029" s="5" t="str">
        <x:v>db0a546e8314ec6bd56273f0f88c5237468085d27069f3711409b0ac3b0f36c9</x:v>
      </x:c>
    </x:row>
    <x:row r="2030" ht="36" customHeight="1">
      <x:c r="A2030" s="5" t="str">
        <x:v>L-0051</x:v>
      </x:c>
      <x:c r="B2030" s="5" t="str">
        <x:v>HQ</x:v>
      </x:c>
      <x:c r="C2030" s="5" t="str">
        <x:v>7</x:v>
      </x:c>
      <x:c r="D2030" s="5" t="str">
        <x:v>Logistik</x:v>
      </x:c>
      <x:c r="E2030" s="5" t="str">
        <x:v>Logistik</x:v>
      </x:c>
      <x:c r="F2030" s="5" t="str">
        <x:v>ui-hq-0022</x:v>
      </x:c>
      <x:c r="G2030" s="5" t="str">
        <x:v>Einkauf und Beschaffung</x:v>
      </x:c>
      <x:c r="H2030" s="5" t="str">
        <x:v>dg-hq-0094</x:v>
      </x:c>
      <x:c r="I2030" s="5" t="str">
        <x:v>7.1.2.1</x:v>
      </x:c>
      <x:c r="J2030" s="5" t="str">
        <x:v>Der Ablauf</x:v>
      </x:c>
      <x:c r="K2030" s="5" t="str"/>
      <x:c r="L2030" s="5" t="str">
        <x:v>Einkaufsorganisation &amp; Beschaffungsprozess</x:v>
      </x:c>
      <x:c r="M2030" s="5" t="n">
        <x:v>49</x:v>
      </x:c>
      <x:c r="N2030" s="5" t="n">
        <x:v>13</x:v>
      </x:c>
      <x:c r="O2030" s="5" t="str"/>
      <x:c r="P2030" s="5" t="str">
        <x:v>Zuordnungsvorschlag; Fachfreigabe ausstehend</x:v>
      </x:c>
      <x:c r="Q2030" s="5" t="str">
        <x:v>Bestehendes Lernthema fachlich unter passendem Rahmenplan-Unterbereich behalten</x:v>
      </x:c>
      <x:c r="R2030" s="5" t="str">
        <x:v>Beschreibe die Schritte der Nutzwertanalyse.</x:v>
      </x:c>
      <x:c r="S2030" s="5" t="str">
        <x:v>b547a6cf39101b28c125546ab1477f0c6c0fe5f1dadb87b0254aab3a0cbe4ef0</x:v>
      </x:c>
    </x:row>
    <x:row r="2031" ht="36" customHeight="1">
      <x:c r="A2031" s="5" t="str">
        <x:v>L-0052</x:v>
      </x:c>
      <x:c r="B2031" s="5" t="str">
        <x:v>HQ</x:v>
      </x:c>
      <x:c r="C2031" s="5" t="str">
        <x:v>7</x:v>
      </x:c>
      <x:c r="D2031" s="5" t="str">
        <x:v>Logistik</x:v>
      </x:c>
      <x:c r="E2031" s="5" t="str">
        <x:v>Logistik</x:v>
      </x:c>
      <x:c r="F2031" s="5" t="str">
        <x:v>ui-hq-0022</x:v>
      </x:c>
      <x:c r="G2031" s="5" t="str">
        <x:v>Einkauf und Beschaffung</x:v>
      </x:c>
      <x:c r="H2031" s="5" t="str">
        <x:v>dg-hq-0095</x:v>
      </x:c>
      <x:c r="I2031" s="5" t="str">
        <x:v>7.1.2.3</x:v>
      </x:c>
      <x:c r="J2031" s="5" t="str">
        <x:v>Lieferantenmanagement</x:v>
      </x:c>
      <x:c r="K2031" s="5" t="str"/>
      <x:c r="L2031" s="5" t="str">
        <x:v>Sourcing &amp; Lieferantenmanagement</x:v>
      </x:c>
      <x:c r="M2031" s="5" t="n">
        <x:v>50</x:v>
      </x:c>
      <x:c r="N2031" s="5" t="n">
        <x:v>1</x:v>
      </x:c>
      <x:c r="O2031" s="5" t="str"/>
      <x:c r="P2031" s="5" t="str">
        <x:v>Zuordnungsvorschlag; Fachfreigabe ausstehend</x:v>
      </x:c>
      <x:c r="Q2031" s="5" t="str">
        <x:v>Bestehendes Lernthema fachlich unter passendem Rahmenplan-Unterbereich behalten</x:v>
      </x:c>
      <x:c r="R2031" s="5" t="str">
        <x:v>Welche Fragen stehen im Mittelpunkt von Sourcing-Strategien?</x:v>
      </x:c>
      <x:c r="S2031" s="5" t="str">
        <x:v>e830f395cae9e5ce118dc521679b40ac8fb3389ff3b9c458fb1c93eaf93664cc</x:v>
      </x:c>
    </x:row>
    <x:row r="2032" ht="36" customHeight="1">
      <x:c r="A2032" s="5" t="str">
        <x:v>L-0053</x:v>
      </x:c>
      <x:c r="B2032" s="5" t="str">
        <x:v>HQ</x:v>
      </x:c>
      <x:c r="C2032" s="5" t="str">
        <x:v>7</x:v>
      </x:c>
      <x:c r="D2032" s="5" t="str">
        <x:v>Logistik</x:v>
      </x:c>
      <x:c r="E2032" s="5" t="str">
        <x:v>Logistik</x:v>
      </x:c>
      <x:c r="F2032" s="5" t="str">
        <x:v>ui-hq-0022</x:v>
      </x:c>
      <x:c r="G2032" s="5" t="str">
        <x:v>Einkauf und Beschaffung</x:v>
      </x:c>
      <x:c r="H2032" s="5" t="str">
        <x:v>dg-hq-0095</x:v>
      </x:c>
      <x:c r="I2032" s="5" t="str">
        <x:v>7.1.2.3</x:v>
      </x:c>
      <x:c r="J2032" s="5" t="str">
        <x:v>Lieferantenmanagement</x:v>
      </x:c>
      <x:c r="K2032" s="5" t="str"/>
      <x:c r="L2032" s="5" t="str">
        <x:v>Sourcing &amp; Lieferantenmanagement</x:v>
      </x:c>
      <x:c r="M2032" s="5" t="n">
        <x:v>51</x:v>
      </x:c>
      <x:c r="N2032" s="5" t="n">
        <x:v>2</x:v>
      </x:c>
      <x:c r="O2032" s="5" t="str"/>
      <x:c r="P2032" s="5" t="str">
        <x:v>Zuordnungsvorschlag; Fachfreigabe ausstehend</x:v>
      </x:c>
      <x:c r="Q2032" s="5" t="str">
        <x:v>Bestehendes Lernthema fachlich unter passendem Rahmenplan-Unterbereich behalten</x:v>
      </x:c>
      <x:c r="R2032" s="5" t="str">
        <x:v>Nach welchen Kriterien werden Sourcing-Konzepte unterschieden?</x:v>
      </x:c>
      <x:c r="S2032" s="5" t="str">
        <x:v>51f68d4d54406b51049969dc506d50ef77e3a75c7dc178336a8fe386c6a42362</x:v>
      </x:c>
    </x:row>
    <x:row r="2033" ht="36" customHeight="1">
      <x:c r="A2033" s="5" t="str">
        <x:v>L-0054</x:v>
      </x:c>
      <x:c r="B2033" s="5" t="str">
        <x:v>HQ</x:v>
      </x:c>
      <x:c r="C2033" s="5" t="str">
        <x:v>7</x:v>
      </x:c>
      <x:c r="D2033" s="5" t="str">
        <x:v>Logistik</x:v>
      </x:c>
      <x:c r="E2033" s="5" t="str">
        <x:v>Logistik</x:v>
      </x:c>
      <x:c r="F2033" s="5" t="str">
        <x:v>ui-hq-0022</x:v>
      </x:c>
      <x:c r="G2033" s="5" t="str">
        <x:v>Einkauf und Beschaffung</x:v>
      </x:c>
      <x:c r="H2033" s="5" t="str">
        <x:v>dg-hq-0095</x:v>
      </x:c>
      <x:c r="I2033" s="5" t="str">
        <x:v>7.1.2.3</x:v>
      </x:c>
      <x:c r="J2033" s="5" t="str">
        <x:v>Lieferantenmanagement</x:v>
      </x:c>
      <x:c r="K2033" s="5" t="str"/>
      <x:c r="L2033" s="5" t="str">
        <x:v>Sourcing &amp; Lieferantenmanagement</x:v>
      </x:c>
      <x:c r="M2033" s="5" t="n">
        <x:v>52</x:v>
      </x:c>
      <x:c r="N2033" s="5" t="n">
        <x:v>3</x:v>
      </x:c>
      <x:c r="O2033" s="5" t="str"/>
      <x:c r="P2033" s="5" t="str">
        <x:v>Zuordnungsvorschlag; Fachfreigabe ausstehend</x:v>
      </x:c>
      <x:c r="Q2033" s="5" t="str">
        <x:v>Bestehendes Lernthema fachlich unter passendem Rahmenplan-Unterbereich behalten</x:v>
      </x:c>
      <x:c r="R2033" s="5" t="str">
        <x:v>Was versteht man unter der Make-or-Buy-Entscheidung?</x:v>
      </x:c>
      <x:c r="S2033" s="5" t="str">
        <x:v>ad0cad61723d3b044d9b45e90f37d5997a5dd546f60993128a48587dfadacc92</x:v>
      </x:c>
    </x:row>
    <x:row r="2034" ht="36" customHeight="1">
      <x:c r="A2034" s="5" t="str">
        <x:v>L-0055</x:v>
      </x:c>
      <x:c r="B2034" s="5" t="str">
        <x:v>HQ</x:v>
      </x:c>
      <x:c r="C2034" s="5" t="str">
        <x:v>7</x:v>
      </x:c>
      <x:c r="D2034" s="5" t="str">
        <x:v>Logistik</x:v>
      </x:c>
      <x:c r="E2034" s="5" t="str">
        <x:v>Logistik</x:v>
      </x:c>
      <x:c r="F2034" s="5" t="str">
        <x:v>ui-hq-0022</x:v>
      </x:c>
      <x:c r="G2034" s="5" t="str">
        <x:v>Einkauf und Beschaffung</x:v>
      </x:c>
      <x:c r="H2034" s="5" t="str">
        <x:v>dg-hq-0095</x:v>
      </x:c>
      <x:c r="I2034" s="5" t="str">
        <x:v>7.1.2.3</x:v>
      </x:c>
      <x:c r="J2034" s="5" t="str">
        <x:v>Lieferantenmanagement</x:v>
      </x:c>
      <x:c r="K2034" s="5" t="str"/>
      <x:c r="L2034" s="5" t="str">
        <x:v>Sourcing &amp; Lieferantenmanagement</x:v>
      </x:c>
      <x:c r="M2034" s="5" t="n">
        <x:v>53</x:v>
      </x:c>
      <x:c r="N2034" s="5" t="n">
        <x:v>4</x:v>
      </x:c>
      <x:c r="O2034" s="5" t="str"/>
      <x:c r="P2034" s="5" t="str">
        <x:v>Zuordnungsvorschlag; Fachfreigabe ausstehend</x:v>
      </x:c>
      <x:c r="Q2034" s="5" t="str">
        <x:v>Bestehendes Lernthema fachlich unter passendem Rahmenplan-Unterbereich behalten</x:v>
      </x:c>
      <x:c r="R2034" s="5" t="str">
        <x:v>Nenne Vorteile des Fremdbezugs.</x:v>
      </x:c>
      <x:c r="S2034" s="5" t="str">
        <x:v>bc8e9682d372885da9996566ea127db5365a186050345dd2cd0402b9bb64e1e6</x:v>
      </x:c>
    </x:row>
    <x:row r="2035" ht="36" customHeight="1">
      <x:c r="A2035" s="5" t="str">
        <x:v>L-0056</x:v>
      </x:c>
      <x:c r="B2035" s="5" t="str">
        <x:v>HQ</x:v>
      </x:c>
      <x:c r="C2035" s="5" t="str">
        <x:v>7</x:v>
      </x:c>
      <x:c r="D2035" s="5" t="str">
        <x:v>Logistik</x:v>
      </x:c>
      <x:c r="E2035" s="5" t="str">
        <x:v>Logistik</x:v>
      </x:c>
      <x:c r="F2035" s="5" t="str">
        <x:v>ui-hq-0022</x:v>
      </x:c>
      <x:c r="G2035" s="5" t="str">
        <x:v>Einkauf und Beschaffung</x:v>
      </x:c>
      <x:c r="H2035" s="5" t="str">
        <x:v>dg-hq-0095</x:v>
      </x:c>
      <x:c r="I2035" s="5" t="str">
        <x:v>7.1.2.3</x:v>
      </x:c>
      <x:c r="J2035" s="5" t="str">
        <x:v>Lieferantenmanagement</x:v>
      </x:c>
      <x:c r="K2035" s="5" t="str"/>
      <x:c r="L2035" s="5" t="str">
        <x:v>Sourcing &amp; Lieferantenmanagement</x:v>
      </x:c>
      <x:c r="M2035" s="5" t="n">
        <x:v>54</x:v>
      </x:c>
      <x:c r="N2035" s="5" t="n">
        <x:v>5</x:v>
      </x:c>
      <x:c r="O2035" s="5" t="str"/>
      <x:c r="P2035" s="5" t="str">
        <x:v>Zuordnungsvorschlag; Fachfreigabe ausstehend</x:v>
      </x:c>
      <x:c r="Q2035" s="5" t="str">
        <x:v>Bestehendes Lernthema fachlich unter passendem Rahmenplan-Unterbereich behalten</x:v>
      </x:c>
      <x:c r="R2035" s="5" t="str">
        <x:v>Nenne Nachteile des Fremdbezugs.</x:v>
      </x:c>
      <x:c r="S2035" s="5" t="str">
        <x:v>1054f65a7f30b7cac099c0d2f0854c081fcb53110d933326dd2a6c0a9d13cc26</x:v>
      </x:c>
    </x:row>
    <x:row r="2036" ht="36" customHeight="1">
      <x:c r="A2036" s="5" t="str">
        <x:v>L-0057</x:v>
      </x:c>
      <x:c r="B2036" s="5" t="str">
        <x:v>HQ</x:v>
      </x:c>
      <x:c r="C2036" s="5" t="str">
        <x:v>7</x:v>
      </x:c>
      <x:c r="D2036" s="5" t="str">
        <x:v>Logistik</x:v>
      </x:c>
      <x:c r="E2036" s="5" t="str">
        <x:v>Logistik</x:v>
      </x:c>
      <x:c r="F2036" s="5" t="str">
        <x:v>ui-hq-0022</x:v>
      </x:c>
      <x:c r="G2036" s="5" t="str">
        <x:v>Einkauf und Beschaffung</x:v>
      </x:c>
      <x:c r="H2036" s="5" t="str">
        <x:v>dg-hq-0095</x:v>
      </x:c>
      <x:c r="I2036" s="5" t="str">
        <x:v>7.1.2.3</x:v>
      </x:c>
      <x:c r="J2036" s="5" t="str">
        <x:v>Lieferantenmanagement</x:v>
      </x:c>
      <x:c r="K2036" s="5" t="str"/>
      <x:c r="L2036" s="5" t="str">
        <x:v>Sourcing &amp; Lieferantenmanagement</x:v>
      </x:c>
      <x:c r="M2036" s="5" t="n">
        <x:v>55</x:v>
      </x:c>
      <x:c r="N2036" s="5" t="n">
        <x:v>6</x:v>
      </x:c>
      <x:c r="O2036" s="5" t="str"/>
      <x:c r="P2036" s="5" t="str">
        <x:v>Zuordnungsvorschlag; Fachfreigabe ausstehend</x:v>
      </x:c>
      <x:c r="Q2036" s="5" t="str">
        <x:v>Bestehendes Lernthema fachlich unter passendem Rahmenplan-Unterbereich behalten</x:v>
      </x:c>
      <x:c r="R2036" s="5" t="str">
        <x:v>Erkläre Unit Sourcing.</x:v>
      </x:c>
      <x:c r="S2036" s="5" t="str">
        <x:v>144802a8566bc1791438e4ef17e83ee576c2289c5356d0f02f827949f49f6dc5</x:v>
      </x:c>
    </x:row>
    <x:row r="2037" ht="36" customHeight="1">
      <x:c r="A2037" s="5" t="str">
        <x:v>L-0058</x:v>
      </x:c>
      <x:c r="B2037" s="5" t="str">
        <x:v>HQ</x:v>
      </x:c>
      <x:c r="C2037" s="5" t="str">
        <x:v>7</x:v>
      </x:c>
      <x:c r="D2037" s="5" t="str">
        <x:v>Logistik</x:v>
      </x:c>
      <x:c r="E2037" s="5" t="str">
        <x:v>Logistik</x:v>
      </x:c>
      <x:c r="F2037" s="5" t="str">
        <x:v>ui-hq-0022</x:v>
      </x:c>
      <x:c r="G2037" s="5" t="str">
        <x:v>Einkauf und Beschaffung</x:v>
      </x:c>
      <x:c r="H2037" s="5" t="str">
        <x:v>dg-hq-0095</x:v>
      </x:c>
      <x:c r="I2037" s="5" t="str">
        <x:v>7.1.2.3</x:v>
      </x:c>
      <x:c r="J2037" s="5" t="str">
        <x:v>Lieferantenmanagement</x:v>
      </x:c>
      <x:c r="K2037" s="5" t="str"/>
      <x:c r="L2037" s="5" t="str">
        <x:v>Sourcing &amp; Lieferantenmanagement</x:v>
      </x:c>
      <x:c r="M2037" s="5" t="n">
        <x:v>56</x:v>
      </x:c>
      <x:c r="N2037" s="5" t="n">
        <x:v>7</x:v>
      </x:c>
      <x:c r="O2037" s="5" t="str"/>
      <x:c r="P2037" s="5" t="str">
        <x:v>Zuordnungsvorschlag; Fachfreigabe ausstehend</x:v>
      </x:c>
      <x:c r="Q2037" s="5" t="str">
        <x:v>Bestehendes Lernthema fachlich unter passendem Rahmenplan-Unterbereich behalten</x:v>
      </x:c>
      <x:c r="R2037" s="5" t="str">
        <x:v>Erkläre Modular Sourcing.</x:v>
      </x:c>
      <x:c r="S2037" s="5" t="str">
        <x:v>ecd3a4b90fe3e76d09b5551379454da6e1a5d31655bd3a180a59dd7c650caf10</x:v>
      </x:c>
    </x:row>
    <x:row r="2038" ht="36" customHeight="1">
      <x:c r="A2038" s="5" t="str">
        <x:v>L-0059</x:v>
      </x:c>
      <x:c r="B2038" s="5" t="str">
        <x:v>HQ</x:v>
      </x:c>
      <x:c r="C2038" s="5" t="str">
        <x:v>7</x:v>
      </x:c>
      <x:c r="D2038" s="5" t="str">
        <x:v>Logistik</x:v>
      </x:c>
      <x:c r="E2038" s="5" t="str">
        <x:v>Logistik</x:v>
      </x:c>
      <x:c r="F2038" s="5" t="str">
        <x:v>ui-hq-0022</x:v>
      </x:c>
      <x:c r="G2038" s="5" t="str">
        <x:v>Einkauf und Beschaffung</x:v>
      </x:c>
      <x:c r="H2038" s="5" t="str">
        <x:v>dg-hq-0095</x:v>
      </x:c>
      <x:c r="I2038" s="5" t="str">
        <x:v>7.1.2.3</x:v>
      </x:c>
      <x:c r="J2038" s="5" t="str">
        <x:v>Lieferantenmanagement</x:v>
      </x:c>
      <x:c r="K2038" s="5" t="str"/>
      <x:c r="L2038" s="5" t="str">
        <x:v>Sourcing &amp; Lieferantenmanagement</x:v>
      </x:c>
      <x:c r="M2038" s="5" t="n">
        <x:v>57</x:v>
      </x:c>
      <x:c r="N2038" s="5" t="n">
        <x:v>8</x:v>
      </x:c>
      <x:c r="O2038" s="5" t="str"/>
      <x:c r="P2038" s="5" t="str">
        <x:v>Zuordnungsvorschlag; Fachfreigabe ausstehend</x:v>
      </x:c>
      <x:c r="Q2038" s="5" t="str">
        <x:v>Bestehendes Lernthema fachlich unter passendem Rahmenplan-Unterbereich behalten</x:v>
      </x:c>
      <x:c r="R2038" s="5" t="str">
        <x:v>Unterscheide Individual Sourcing und Collective Sourcing.</x:v>
      </x:c>
      <x:c r="S2038" s="5" t="str">
        <x:v>f947db20c9109d202988e0564c001e2c691be8b74a6315fbd40b01a37b0968cf</x:v>
      </x:c>
    </x:row>
    <x:row r="2039" ht="36" customHeight="1">
      <x:c r="A2039" s="5" t="str">
        <x:v>L-0060</x:v>
      </x:c>
      <x:c r="B2039" s="5" t="str">
        <x:v>HQ</x:v>
      </x:c>
      <x:c r="C2039" s="5" t="str">
        <x:v>7</x:v>
      </x:c>
      <x:c r="D2039" s="5" t="str">
        <x:v>Logistik</x:v>
      </x:c>
      <x:c r="E2039" s="5" t="str">
        <x:v>Logistik</x:v>
      </x:c>
      <x:c r="F2039" s="5" t="str">
        <x:v>ui-hq-0022</x:v>
      </x:c>
      <x:c r="G2039" s="5" t="str">
        <x:v>Einkauf und Beschaffung</x:v>
      </x:c>
      <x:c r="H2039" s="5" t="str">
        <x:v>dg-hq-0095</x:v>
      </x:c>
      <x:c r="I2039" s="5" t="str">
        <x:v>7.1.2.3</x:v>
      </x:c>
      <x:c r="J2039" s="5" t="str">
        <x:v>Lieferantenmanagement</x:v>
      </x:c>
      <x:c r="K2039" s="5" t="str"/>
      <x:c r="L2039" s="5" t="str">
        <x:v>Sourcing &amp; Lieferantenmanagement</x:v>
      </x:c>
      <x:c r="M2039" s="5" t="n">
        <x:v>58</x:v>
      </x:c>
      <x:c r="N2039" s="5" t="n">
        <x:v>9</x:v>
      </x:c>
      <x:c r="O2039" s="5" t="str"/>
      <x:c r="P2039" s="5" t="str">
        <x:v>Zuordnungsvorschlag; Fachfreigabe ausstehend</x:v>
      </x:c>
      <x:c r="Q2039" s="5" t="str">
        <x:v>Bestehendes Lernthema fachlich unter passendem Rahmenplan-Unterbereich behalten</x:v>
      </x:c>
      <x:c r="R2039" s="5" t="str">
        <x:v>Erkläre Local Sourcing.</x:v>
      </x:c>
      <x:c r="S2039" s="5" t="str">
        <x:v>f6f6794711e858219a2fe03ff63bd4806909bf91ed2e034dd35b782cf734a98f</x:v>
      </x:c>
    </x:row>
    <x:row r="2040" ht="36" customHeight="1">
      <x:c r="A2040" s="5" t="str">
        <x:v>L-0061</x:v>
      </x:c>
      <x:c r="B2040" s="5" t="str">
        <x:v>HQ</x:v>
      </x:c>
      <x:c r="C2040" s="5" t="str">
        <x:v>7</x:v>
      </x:c>
      <x:c r="D2040" s="5" t="str">
        <x:v>Logistik</x:v>
      </x:c>
      <x:c r="E2040" s="5" t="str">
        <x:v>Logistik</x:v>
      </x:c>
      <x:c r="F2040" s="5" t="str">
        <x:v>ui-hq-0022</x:v>
      </x:c>
      <x:c r="G2040" s="5" t="str">
        <x:v>Einkauf und Beschaffung</x:v>
      </x:c>
      <x:c r="H2040" s="5" t="str">
        <x:v>dg-hq-0095</x:v>
      </x:c>
      <x:c r="I2040" s="5" t="str">
        <x:v>7.1.2.3</x:v>
      </x:c>
      <x:c r="J2040" s="5" t="str">
        <x:v>Lieferantenmanagement</x:v>
      </x:c>
      <x:c r="K2040" s="5" t="str"/>
      <x:c r="L2040" s="5" t="str">
        <x:v>Sourcing &amp; Lieferantenmanagement</x:v>
      </x:c>
      <x:c r="M2040" s="5" t="n">
        <x:v>59</x:v>
      </x:c>
      <x:c r="N2040" s="5" t="n">
        <x:v>10</x:v>
      </x:c>
      <x:c r="O2040" s="5" t="str"/>
      <x:c r="P2040" s="5" t="str">
        <x:v>Zuordnungsvorschlag; Fachfreigabe ausstehend</x:v>
      </x:c>
      <x:c r="Q2040" s="5" t="str">
        <x:v>Bestehendes Lernthema fachlich unter passendem Rahmenplan-Unterbereich behalten</x:v>
      </x:c>
      <x:c r="R2040" s="5" t="str">
        <x:v>Erklären Sie Domestic Sourcing (auch National Sourcing).</x:v>
      </x:c>
      <x:c r="S2040" s="5" t="str">
        <x:v>43e7db911a1c494059683e84ea8ac1953ddab38c1522f7f7c481283b71f5114d</x:v>
      </x:c>
    </x:row>
    <x:row r="2041" ht="36" customHeight="1">
      <x:c r="A2041" s="5" t="str">
        <x:v>L-0062</x:v>
      </x:c>
      <x:c r="B2041" s="5" t="str">
        <x:v>HQ</x:v>
      </x:c>
      <x:c r="C2041" s="5" t="str">
        <x:v>7</x:v>
      </x:c>
      <x:c r="D2041" s="5" t="str">
        <x:v>Logistik</x:v>
      </x:c>
      <x:c r="E2041" s="5" t="str">
        <x:v>Logistik</x:v>
      </x:c>
      <x:c r="F2041" s="5" t="str">
        <x:v>ui-hq-0025</x:v>
      </x:c>
      <x:c r="G2041" s="5" t="str">
        <x:v>Aspekte der Rationalisierung</x:v>
      </x:c>
      <x:c r="H2041" s="5" t="str">
        <x:v>dg-hq-0096</x:v>
      </x:c>
      <x:c r="I2041" s="5" t="str">
        <x:v>7.4.2</x:v>
      </x:c>
      <x:c r="J2041" s="5" t="str">
        <x:v>Weltweiter Einkauf</x:v>
      </x:c>
      <x:c r="K2041" s="5" t="str"/>
      <x:c r="L2041" s="5" t="str">
        <x:v>Sourcing &amp; Lieferantenmanagement</x:v>
      </x:c>
      <x:c r="M2041" s="5" t="n">
        <x:v>1</x:v>
      </x:c>
      <x:c r="N2041" s="5" t="n">
        <x:v>1</x:v>
      </x:c>
      <x:c r="O2041" s="5" t="str"/>
      <x:c r="P2041" s="5" t="str">
        <x:v>Zuordnungsvorschlag; Fachfreigabe ausstehend</x:v>
      </x:c>
      <x:c r="Q2041" s="5" t="str">
        <x:v>Frageinhalt präzisiert bzw. teilt bisheriges Sammelthema</x:v>
      </x:c>
      <x:c r="R2041" s="5" t="str">
        <x:v>Erkläre Global Sourcing.</x:v>
      </x:c>
      <x:c r="S2041" s="5" t="str">
        <x:v>cd19d2ed4b9325052783a73d301701599b4a4b7b8f84d3a6d036d8558750faba</x:v>
      </x:c>
    </x:row>
    <x:row r="2042" ht="36" customHeight="1">
      <x:c r="A2042" s="5" t="str">
        <x:v>L-0063</x:v>
      </x:c>
      <x:c r="B2042" s="5" t="str">
        <x:v>HQ</x:v>
      </x:c>
      <x:c r="C2042" s="5" t="str">
        <x:v>7</x:v>
      </x:c>
      <x:c r="D2042" s="5" t="str">
        <x:v>Logistik</x:v>
      </x:c>
      <x:c r="E2042" s="5" t="str">
        <x:v>Logistik</x:v>
      </x:c>
      <x:c r="F2042" s="5" t="str">
        <x:v>ui-hq-0022</x:v>
      </x:c>
      <x:c r="G2042" s="5" t="str">
        <x:v>Einkauf und Beschaffung</x:v>
      </x:c>
      <x:c r="H2042" s="5" t="str">
        <x:v>dg-hq-0095</x:v>
      </x:c>
      <x:c r="I2042" s="5" t="str">
        <x:v>7.1.2.3</x:v>
      </x:c>
      <x:c r="J2042" s="5" t="str">
        <x:v>Lieferantenmanagement</x:v>
      </x:c>
      <x:c r="K2042" s="5" t="str"/>
      <x:c r="L2042" s="5" t="str">
        <x:v>Sourcing &amp; Lieferantenmanagement</x:v>
      </x:c>
      <x:c r="M2042" s="5" t="n">
        <x:v>60</x:v>
      </x:c>
      <x:c r="N2042" s="5" t="n">
        <x:v>11</x:v>
      </x:c>
      <x:c r="O2042" s="5" t="str"/>
      <x:c r="P2042" s="5" t="str">
        <x:v>Zuordnungsvorschlag; Fachfreigabe ausstehend</x:v>
      </x:c>
      <x:c r="Q2042" s="5" t="str">
        <x:v>Bestehendes Lernthema fachlich unter passendem Rahmenplan-Unterbereich behalten</x:v>
      </x:c>
      <x:c r="R2042" s="5" t="str">
        <x:v>Erkläre Friendshoring.</x:v>
      </x:c>
      <x:c r="S2042" s="5" t="str">
        <x:v>f80af72ad0ef1a570949a386f4bf58a46c78cc049c9759c6cc388f1b8612fa97</x:v>
      </x:c>
    </x:row>
    <x:row r="2043" ht="36" customHeight="1">
      <x:c r="A2043" s="5" t="str">
        <x:v>L-0064</x:v>
      </x:c>
      <x:c r="B2043" s="5" t="str">
        <x:v>HQ</x:v>
      </x:c>
      <x:c r="C2043" s="5" t="str">
        <x:v>7</x:v>
      </x:c>
      <x:c r="D2043" s="5" t="str">
        <x:v>Logistik</x:v>
      </x:c>
      <x:c r="E2043" s="5" t="str">
        <x:v>Logistik</x:v>
      </x:c>
      <x:c r="F2043" s="5" t="str">
        <x:v>ui-hq-0022</x:v>
      </x:c>
      <x:c r="G2043" s="5" t="str">
        <x:v>Einkauf und Beschaffung</x:v>
      </x:c>
      <x:c r="H2043" s="5" t="str">
        <x:v>dg-hq-0095</x:v>
      </x:c>
      <x:c r="I2043" s="5" t="str">
        <x:v>7.1.2.3</x:v>
      </x:c>
      <x:c r="J2043" s="5" t="str">
        <x:v>Lieferantenmanagement</x:v>
      </x:c>
      <x:c r="K2043" s="5" t="str"/>
      <x:c r="L2043" s="5" t="str">
        <x:v>Sourcing &amp; Lieferantenmanagement</x:v>
      </x:c>
      <x:c r="M2043" s="5" t="n">
        <x:v>61</x:v>
      </x:c>
      <x:c r="N2043" s="5" t="n">
        <x:v>12</x:v>
      </x:c>
      <x:c r="O2043" s="5" t="str"/>
      <x:c r="P2043" s="5" t="str">
        <x:v>Zuordnungsvorschlag; Fachfreigabe ausstehend</x:v>
      </x:c>
      <x:c r="Q2043" s="5" t="str">
        <x:v>Bestehendes Lernthema fachlich unter passendem Rahmenplan-Unterbereich behalten</x:v>
      </x:c>
      <x:c r="R2043" s="5" t="str">
        <x:v>Erkläre Single Sourcing.</x:v>
      </x:c>
      <x:c r="S2043" s="5" t="str">
        <x:v>50be3afd9734ec231e0c726b26a56fb44bf8002f3bafd82a2962f44c6beb6ec5</x:v>
      </x:c>
    </x:row>
    <x:row r="2044" ht="36" customHeight="1">
      <x:c r="A2044" s="5" t="str">
        <x:v>L-0065</x:v>
      </x:c>
      <x:c r="B2044" s="5" t="str">
        <x:v>HQ</x:v>
      </x:c>
      <x:c r="C2044" s="5" t="str">
        <x:v>7</x:v>
      </x:c>
      <x:c r="D2044" s="5" t="str">
        <x:v>Logistik</x:v>
      </x:c>
      <x:c r="E2044" s="5" t="str">
        <x:v>Logistik</x:v>
      </x:c>
      <x:c r="F2044" s="5" t="str">
        <x:v>ui-hq-0022</x:v>
      </x:c>
      <x:c r="G2044" s="5" t="str">
        <x:v>Einkauf und Beschaffung</x:v>
      </x:c>
      <x:c r="H2044" s="5" t="str">
        <x:v>dg-hq-0095</x:v>
      </x:c>
      <x:c r="I2044" s="5" t="str">
        <x:v>7.1.2.3</x:v>
      </x:c>
      <x:c r="J2044" s="5" t="str">
        <x:v>Lieferantenmanagement</x:v>
      </x:c>
      <x:c r="K2044" s="5" t="str"/>
      <x:c r="L2044" s="5" t="str">
        <x:v>Sourcing &amp; Lieferantenmanagement</x:v>
      </x:c>
      <x:c r="M2044" s="5" t="n">
        <x:v>62</x:v>
      </x:c>
      <x:c r="N2044" s="5" t="n">
        <x:v>13</x:v>
      </x:c>
      <x:c r="O2044" s="5" t="str"/>
      <x:c r="P2044" s="5" t="str">
        <x:v>Zuordnungsvorschlag; Fachfreigabe ausstehend</x:v>
      </x:c>
      <x:c r="Q2044" s="5" t="str">
        <x:v>Bestehendes Lernthema fachlich unter passendem Rahmenplan-Unterbereich behalten</x:v>
      </x:c>
      <x:c r="R2044" s="5" t="str">
        <x:v>Erkläre Dual Sourcing.</x:v>
      </x:c>
      <x:c r="S2044" s="5" t="str">
        <x:v>c29a9b5d55eb036571963bba07f151940a8a7e672ce120639ba36c0fb06415ba</x:v>
      </x:c>
    </x:row>
    <x:row r="2045" ht="36" customHeight="1">
      <x:c r="A2045" s="5" t="str">
        <x:v>L-0066</x:v>
      </x:c>
      <x:c r="B2045" s="5" t="str">
        <x:v>HQ</x:v>
      </x:c>
      <x:c r="C2045" s="5" t="str">
        <x:v>7</x:v>
      </x:c>
      <x:c r="D2045" s="5" t="str">
        <x:v>Logistik</x:v>
      </x:c>
      <x:c r="E2045" s="5" t="str">
        <x:v>Logistik</x:v>
      </x:c>
      <x:c r="F2045" s="5" t="str">
        <x:v>ui-hq-0022</x:v>
      </x:c>
      <x:c r="G2045" s="5" t="str">
        <x:v>Einkauf und Beschaffung</x:v>
      </x:c>
      <x:c r="H2045" s="5" t="str">
        <x:v>dg-hq-0095</x:v>
      </x:c>
      <x:c r="I2045" s="5" t="str">
        <x:v>7.1.2.3</x:v>
      </x:c>
      <x:c r="J2045" s="5" t="str">
        <x:v>Lieferantenmanagement</x:v>
      </x:c>
      <x:c r="K2045" s="5" t="str"/>
      <x:c r="L2045" s="5" t="str">
        <x:v>Sourcing &amp; Lieferantenmanagement</x:v>
      </x:c>
      <x:c r="M2045" s="5" t="n">
        <x:v>63</x:v>
      </x:c>
      <x:c r="N2045" s="5" t="n">
        <x:v>14</x:v>
      </x:c>
      <x:c r="O2045" s="5" t="str"/>
      <x:c r="P2045" s="5" t="str">
        <x:v>Zuordnungsvorschlag; Fachfreigabe ausstehend</x:v>
      </x:c>
      <x:c r="Q2045" s="5" t="str">
        <x:v>Bestehendes Lernthema fachlich unter passendem Rahmenplan-Unterbereich behalten</x:v>
      </x:c>
      <x:c r="R2045" s="5" t="str">
        <x:v>Erkläre Multiple Sourcing.</x:v>
      </x:c>
      <x:c r="S2045" s="5" t="str">
        <x:v>7b23ff99f2d6024e245cc873294ae741d56a1d516e6a28c8e35c07d1c368fe7c</x:v>
      </x:c>
    </x:row>
    <x:row r="2046" ht="36" customHeight="1">
      <x:c r="A2046" s="5" t="str">
        <x:v>L-0067</x:v>
      </x:c>
      <x:c r="B2046" s="5" t="str">
        <x:v>HQ</x:v>
      </x:c>
      <x:c r="C2046" s="5" t="str">
        <x:v>7</x:v>
      </x:c>
      <x:c r="D2046" s="5" t="str">
        <x:v>Logistik</x:v>
      </x:c>
      <x:c r="E2046" s="5" t="str">
        <x:v>Logistik</x:v>
      </x:c>
      <x:c r="F2046" s="5" t="str">
        <x:v>ui-hq-0022</x:v>
      </x:c>
      <x:c r="G2046" s="5" t="str">
        <x:v>Einkauf und Beschaffung</x:v>
      </x:c>
      <x:c r="H2046" s="5" t="str">
        <x:v>dg-hq-0095</x:v>
      </x:c>
      <x:c r="I2046" s="5" t="str">
        <x:v>7.1.2.3</x:v>
      </x:c>
      <x:c r="J2046" s="5" t="str">
        <x:v>Lieferantenmanagement</x:v>
      </x:c>
      <x:c r="K2046" s="5" t="str"/>
      <x:c r="L2046" s="5" t="str">
        <x:v>Sourcing &amp; Lieferantenmanagement</x:v>
      </x:c>
      <x:c r="M2046" s="5" t="n">
        <x:v>64</x:v>
      </x:c>
      <x:c r="N2046" s="5" t="n">
        <x:v>15</x:v>
      </x:c>
      <x:c r="O2046" s="5" t="str"/>
      <x:c r="P2046" s="5" t="str">
        <x:v>Zuordnungsvorschlag; Fachfreigabe ausstehend</x:v>
      </x:c>
      <x:c r="Q2046" s="5" t="str">
        <x:v>Bestehendes Lernthema fachlich unter passendem Rahmenplan-Unterbereich behalten</x:v>
      </x:c>
      <x:c r="R2046" s="5" t="str">
        <x:v>Nenne Vorteile von Multiple Sourcing.</x:v>
      </x:c>
      <x:c r="S2046" s="5" t="str">
        <x:v>7a3c911b6dcde16b4ade46d5e5f135fe2c6a438f668182e52ad96ea1bd68f116</x:v>
      </x:c>
    </x:row>
    <x:row r="2047" ht="36" customHeight="1">
      <x:c r="A2047" s="5" t="str">
        <x:v>L-0068</x:v>
      </x:c>
      <x:c r="B2047" s="5" t="str">
        <x:v>HQ</x:v>
      </x:c>
      <x:c r="C2047" s="5" t="str">
        <x:v>7</x:v>
      </x:c>
      <x:c r="D2047" s="5" t="str">
        <x:v>Logistik</x:v>
      </x:c>
      <x:c r="E2047" s="5" t="str">
        <x:v>Logistik</x:v>
      </x:c>
      <x:c r="F2047" s="5" t="str">
        <x:v>ui-hq-0022</x:v>
      </x:c>
      <x:c r="G2047" s="5" t="str">
        <x:v>Einkauf und Beschaffung</x:v>
      </x:c>
      <x:c r="H2047" s="5" t="str">
        <x:v>dg-hq-0095</x:v>
      </x:c>
      <x:c r="I2047" s="5" t="str">
        <x:v>7.1.2.3</x:v>
      </x:c>
      <x:c r="J2047" s="5" t="str">
        <x:v>Lieferantenmanagement</x:v>
      </x:c>
      <x:c r="K2047" s="5" t="str"/>
      <x:c r="L2047" s="5" t="str">
        <x:v>Sourcing &amp; Lieferantenmanagement</x:v>
      </x:c>
      <x:c r="M2047" s="5" t="n">
        <x:v>65</x:v>
      </x:c>
      <x:c r="N2047" s="5" t="n">
        <x:v>16</x:v>
      </x:c>
      <x:c r="O2047" s="5" t="str"/>
      <x:c r="P2047" s="5" t="str">
        <x:v>Zuordnungsvorschlag; Fachfreigabe ausstehend</x:v>
      </x:c>
      <x:c r="Q2047" s="5" t="str">
        <x:v>Bestehendes Lernthema fachlich unter passendem Rahmenplan-Unterbereich behalten</x:v>
      </x:c>
      <x:c r="R2047" s="5" t="str">
        <x:v>Nenne Nachteile von Multiple Sourcing.</x:v>
      </x:c>
      <x:c r="S2047" s="5" t="str">
        <x:v>70a8b316e56d5884ce453e44265d9f2e39dbe38f478cd2dbd5798786a1db70fa</x:v>
      </x:c>
    </x:row>
    <x:row r="2048" ht="36" customHeight="1">
      <x:c r="A2048" s="5" t="str">
        <x:v>L-0069</x:v>
      </x:c>
      <x:c r="B2048" s="5" t="str">
        <x:v>HQ</x:v>
      </x:c>
      <x:c r="C2048" s="5" t="str">
        <x:v>7</x:v>
      </x:c>
      <x:c r="D2048" s="5" t="str">
        <x:v>Logistik</x:v>
      </x:c>
      <x:c r="E2048" s="5" t="str">
        <x:v>Logistik</x:v>
      </x:c>
      <x:c r="F2048" s="5" t="str">
        <x:v>ui-hq-0022</x:v>
      </x:c>
      <x:c r="G2048" s="5" t="str">
        <x:v>Einkauf und Beschaffung</x:v>
      </x:c>
      <x:c r="H2048" s="5" t="str">
        <x:v>dg-hq-0094</x:v>
      </x:c>
      <x:c r="I2048" s="5" t="str">
        <x:v>7.1.2.1</x:v>
      </x:c>
      <x:c r="J2048" s="5" t="str">
        <x:v>Der Ablauf</x:v>
      </x:c>
      <x:c r="K2048" s="5" t="str"/>
      <x:c r="L2048" s="5" t="str">
        <x:v>Einkaufsorganisation &amp; Beschaffungsprozess</x:v>
      </x:c>
      <x:c r="M2048" s="5" t="n">
        <x:v>66</x:v>
      </x:c>
      <x:c r="N2048" s="5" t="n">
        <x:v>14</x:v>
      </x:c>
      <x:c r="O2048" s="5" t="str"/>
      <x:c r="P2048" s="5" t="str">
        <x:v>Zuordnungsvorschlag; Fachfreigabe ausstehend</x:v>
      </x:c>
      <x:c r="Q2048" s="5" t="str">
        <x:v>Bestehendes Lernthema fachlich unter passendem Rahmenplan-Unterbereich behalten</x:v>
      </x:c>
      <x:c r="R2048" s="5" t="str">
        <x:v>Erkläre zentralen Einkauf.</x:v>
      </x:c>
      <x:c r="S2048" s="5" t="str">
        <x:v>f35fdf36fa20d78055ec53d4a32608573cdb2ca11cb9d5b82d9744247785b8c2</x:v>
      </x:c>
    </x:row>
    <x:row r="2049" ht="36" customHeight="1">
      <x:c r="A2049" s="5" t="str">
        <x:v>L-0070</x:v>
      </x:c>
      <x:c r="B2049" s="5" t="str">
        <x:v>HQ</x:v>
      </x:c>
      <x:c r="C2049" s="5" t="str">
        <x:v>7</x:v>
      </x:c>
      <x:c r="D2049" s="5" t="str">
        <x:v>Logistik</x:v>
      </x:c>
      <x:c r="E2049" s="5" t="str">
        <x:v>Logistik</x:v>
      </x:c>
      <x:c r="F2049" s="5" t="str">
        <x:v>ui-hq-0022</x:v>
      </x:c>
      <x:c r="G2049" s="5" t="str">
        <x:v>Einkauf und Beschaffung</x:v>
      </x:c>
      <x:c r="H2049" s="5" t="str">
        <x:v>dg-hq-0095</x:v>
      </x:c>
      <x:c r="I2049" s="5" t="str">
        <x:v>7.1.2.3</x:v>
      </x:c>
      <x:c r="J2049" s="5" t="str">
        <x:v>Lieferantenmanagement</x:v>
      </x:c>
      <x:c r="K2049" s="5" t="str"/>
      <x:c r="L2049" s="5" t="str">
        <x:v>Sourcing &amp; Lieferantenmanagement</x:v>
      </x:c>
      <x:c r="M2049" s="5" t="n">
        <x:v>67</x:v>
      </x:c>
      <x:c r="N2049" s="5" t="n">
        <x:v>17</x:v>
      </x:c>
      <x:c r="O2049" s="5" t="str"/>
      <x:c r="P2049" s="5" t="str">
        <x:v>Zuordnungsvorschlag; Fachfreigabe ausstehend</x:v>
      </x:c>
      <x:c r="Q2049" s="5" t="str">
        <x:v>Bestehendes Lernthema fachlich unter passendem Rahmenplan-Unterbereich behalten</x:v>
      </x:c>
      <x:c r="R2049" s="5" t="str">
        <x:v>Was ist das Ziel des Lieferantenmanagements?</x:v>
      </x:c>
      <x:c r="S2049" s="5" t="str">
        <x:v>97ffdbd0a4230044579359d9724adaab85862534709c94c9d334fc3258e9d619</x:v>
      </x:c>
    </x:row>
    <x:row r="2050" ht="36" customHeight="1">
      <x:c r="A2050" s="5" t="str">
        <x:v>L-0071</x:v>
      </x:c>
      <x:c r="B2050" s="5" t="str">
        <x:v>HQ</x:v>
      </x:c>
      <x:c r="C2050" s="5" t="str">
        <x:v>7</x:v>
      </x:c>
      <x:c r="D2050" s="5" t="str">
        <x:v>Logistik</x:v>
      </x:c>
      <x:c r="E2050" s="5" t="str">
        <x:v>Logistik</x:v>
      </x:c>
      <x:c r="F2050" s="5" t="str">
        <x:v>ui-hq-0022</x:v>
      </x:c>
      <x:c r="G2050" s="5" t="str">
        <x:v>Einkauf und Beschaffung</x:v>
      </x:c>
      <x:c r="H2050" s="5" t="str">
        <x:v>dg-hq-0095</x:v>
      </x:c>
      <x:c r="I2050" s="5" t="str">
        <x:v>7.1.2.3</x:v>
      </x:c>
      <x:c r="J2050" s="5" t="str">
        <x:v>Lieferantenmanagement</x:v>
      </x:c>
      <x:c r="K2050" s="5" t="str"/>
      <x:c r="L2050" s="5" t="str">
        <x:v>Sourcing &amp; Lieferantenmanagement</x:v>
      </x:c>
      <x:c r="M2050" s="5" t="n">
        <x:v>68</x:v>
      </x:c>
      <x:c r="N2050" s="5" t="n">
        <x:v>18</x:v>
      </x:c>
      <x:c r="O2050" s="5" t="str"/>
      <x:c r="P2050" s="5" t="str">
        <x:v>Zuordnungsvorschlag; Fachfreigabe ausstehend</x:v>
      </x:c>
      <x:c r="Q2050" s="5" t="str">
        <x:v>Bestehendes Lernthema fachlich unter passendem Rahmenplan-Unterbereich behalten</x:v>
      </x:c>
      <x:c r="R2050" s="5" t="str">
        <x:v>Beschreibe das Angebotsmonopol der Lieferanten.</x:v>
      </x:c>
      <x:c r="S2050" s="5" t="str">
        <x:v>bb6e375096f71f6d369d967652b8fdbd631c6dd3fb47af8b6d47f54522780ef2</x:v>
      </x:c>
    </x:row>
    <x:row r="2051" ht="36" customHeight="1">
      <x:c r="A2051" s="5" t="str">
        <x:v>L-0072</x:v>
      </x:c>
      <x:c r="B2051" s="5" t="str">
        <x:v>HQ</x:v>
      </x:c>
      <x:c r="C2051" s="5" t="str">
        <x:v>7</x:v>
      </x:c>
      <x:c r="D2051" s="5" t="str">
        <x:v>Logistik</x:v>
      </x:c>
      <x:c r="E2051" s="5" t="str">
        <x:v>Logistik</x:v>
      </x:c>
      <x:c r="F2051" s="5" t="str">
        <x:v>ui-hq-0022</x:v>
      </x:c>
      <x:c r="G2051" s="5" t="str">
        <x:v>Einkauf und Beschaffung</x:v>
      </x:c>
      <x:c r="H2051" s="5" t="str">
        <x:v>dg-hq-0095</x:v>
      </x:c>
      <x:c r="I2051" s="5" t="str">
        <x:v>7.1.2.3</x:v>
      </x:c>
      <x:c r="J2051" s="5" t="str">
        <x:v>Lieferantenmanagement</x:v>
      </x:c>
      <x:c r="K2051" s="5" t="str"/>
      <x:c r="L2051" s="5" t="str">
        <x:v>Sourcing &amp; Lieferantenmanagement</x:v>
      </x:c>
      <x:c r="M2051" s="5" t="n">
        <x:v>69</x:v>
      </x:c>
      <x:c r="N2051" s="5" t="n">
        <x:v>19</x:v>
      </x:c>
      <x:c r="O2051" s="5" t="str"/>
      <x:c r="P2051" s="5" t="str">
        <x:v>Zuordnungsvorschlag; Fachfreigabe ausstehend</x:v>
      </x:c>
      <x:c r="Q2051" s="5" t="str">
        <x:v>Bestehendes Lernthema fachlich unter passendem Rahmenplan-Unterbereich behalten</x:v>
      </x:c>
      <x:c r="R2051" s="5" t="str">
        <x:v>Beschreibe das Angebotsoligopol.</x:v>
      </x:c>
      <x:c r="S2051" s="5" t="str">
        <x:v>5fedfe69e00af0408628eb529d6d3cf1ada67af956f8adca1fdf9d5b064136b6</x:v>
      </x:c>
    </x:row>
    <x:row r="2052" ht="36" customHeight="1">
      <x:c r="A2052" s="5" t="str">
        <x:v>L-0073</x:v>
      </x:c>
      <x:c r="B2052" s="5" t="str">
        <x:v>HQ</x:v>
      </x:c>
      <x:c r="C2052" s="5" t="str">
        <x:v>7</x:v>
      </x:c>
      <x:c r="D2052" s="5" t="str">
        <x:v>Logistik</x:v>
      </x:c>
      <x:c r="E2052" s="5" t="str">
        <x:v>Logistik</x:v>
      </x:c>
      <x:c r="F2052" s="5" t="str">
        <x:v>ui-hq-0022</x:v>
      </x:c>
      <x:c r="G2052" s="5" t="str">
        <x:v>Einkauf und Beschaffung</x:v>
      </x:c>
      <x:c r="H2052" s="5" t="str">
        <x:v>dg-hq-0095</x:v>
      </x:c>
      <x:c r="I2052" s="5" t="str">
        <x:v>7.1.2.3</x:v>
      </x:c>
      <x:c r="J2052" s="5" t="str">
        <x:v>Lieferantenmanagement</x:v>
      </x:c>
      <x:c r="K2052" s="5" t="str"/>
      <x:c r="L2052" s="5" t="str">
        <x:v>Sourcing &amp; Lieferantenmanagement</x:v>
      </x:c>
      <x:c r="M2052" s="5" t="n">
        <x:v>70</x:v>
      </x:c>
      <x:c r="N2052" s="5" t="n">
        <x:v>20</x:v>
      </x:c>
      <x:c r="O2052" s="5" t="str"/>
      <x:c r="P2052" s="5" t="str">
        <x:v>Zuordnungsvorschlag; Fachfreigabe ausstehend</x:v>
      </x:c>
      <x:c r="Q2052" s="5" t="str">
        <x:v>Bestehendes Lernthema fachlich unter passendem Rahmenplan-Unterbereich behalten</x:v>
      </x:c>
      <x:c r="R2052" s="5" t="str">
        <x:v>Beschreibe das Angebotspolypol.</x:v>
      </x:c>
      <x:c r="S2052" s="5" t="str">
        <x:v>6f90909903605b27960423e843636c7a860903a30d75e8d60ea13a9c56151096</x:v>
      </x:c>
    </x:row>
    <x:row r="2053" ht="36" customHeight="1">
      <x:c r="A2053" s="5" t="str">
        <x:v>L-0074</x:v>
      </x:c>
      <x:c r="B2053" s="5" t="str">
        <x:v>HQ</x:v>
      </x:c>
      <x:c r="C2053" s="5" t="str">
        <x:v>7</x:v>
      </x:c>
      <x:c r="D2053" s="5" t="str">
        <x:v>Logistik</x:v>
      </x:c>
      <x:c r="E2053" s="5" t="str">
        <x:v>Logistik</x:v>
      </x:c>
      <x:c r="F2053" s="5" t="str">
        <x:v>ui-hq-0022</x:v>
      </x:c>
      <x:c r="G2053" s="5" t="str">
        <x:v>Einkauf und Beschaffung</x:v>
      </x:c>
      <x:c r="H2053" s="5" t="str">
        <x:v>dg-hq-0095</x:v>
      </x:c>
      <x:c r="I2053" s="5" t="str">
        <x:v>7.1.2.3</x:v>
      </x:c>
      <x:c r="J2053" s="5" t="str">
        <x:v>Lieferantenmanagement</x:v>
      </x:c>
      <x:c r="K2053" s="5" t="str"/>
      <x:c r="L2053" s="5" t="str">
        <x:v>Sourcing &amp; Lieferantenmanagement</x:v>
      </x:c>
      <x:c r="M2053" s="5" t="n">
        <x:v>71</x:v>
      </x:c>
      <x:c r="N2053" s="5" t="n">
        <x:v>21</x:v>
      </x:c>
      <x:c r="O2053" s="5" t="str"/>
      <x:c r="P2053" s="5" t="str">
        <x:v>Zuordnungsvorschlag; Fachfreigabe ausstehend</x:v>
      </x:c>
      <x:c r="Q2053" s="5" t="str">
        <x:v>Bestehendes Lernthema fachlich unter passendem Rahmenplan-Unterbereich behalten</x:v>
      </x:c>
      <x:c r="R2053" s="5" t="str">
        <x:v>Nenne Kriterien zur Lieferantenbeurteilung.</x:v>
      </x:c>
      <x:c r="S2053" s="5" t="str">
        <x:v>f8de3e49046c738d782e2e46b216acdbb8dd9d6692577a84d908465cec4a59e6</x:v>
      </x:c>
    </x:row>
    <x:row r="2054" ht="36" customHeight="1">
      <x:c r="A2054" s="5" t="str">
        <x:v>L-0075</x:v>
      </x:c>
      <x:c r="B2054" s="5" t="str">
        <x:v>HQ</x:v>
      </x:c>
      <x:c r="C2054" s="5" t="str">
        <x:v>7</x:v>
      </x:c>
      <x:c r="D2054" s="5" t="str">
        <x:v>Logistik</x:v>
      </x:c>
      <x:c r="E2054" s="5" t="str">
        <x:v>Logistik</x:v>
      </x:c>
      <x:c r="F2054" s="5" t="str">
        <x:v>ui-hq-0022</x:v>
      </x:c>
      <x:c r="G2054" s="5" t="str">
        <x:v>Einkauf und Beschaffung</x:v>
      </x:c>
      <x:c r="H2054" s="5" t="str">
        <x:v>dg-hq-0095</x:v>
      </x:c>
      <x:c r="I2054" s="5" t="str">
        <x:v>7.1.2.3</x:v>
      </x:c>
      <x:c r="J2054" s="5" t="str">
        <x:v>Lieferantenmanagement</x:v>
      </x:c>
      <x:c r="K2054" s="5" t="str"/>
      <x:c r="L2054" s="5" t="str">
        <x:v>Sourcing &amp; Lieferantenmanagement</x:v>
      </x:c>
      <x:c r="M2054" s="5" t="n">
        <x:v>72</x:v>
      </x:c>
      <x:c r="N2054" s="5" t="n">
        <x:v>22</x:v>
      </x:c>
      <x:c r="O2054" s="5" t="str"/>
      <x:c r="P2054" s="5" t="str">
        <x:v>Zuordnungsvorschlag; Fachfreigabe ausstehend</x:v>
      </x:c>
      <x:c r="Q2054" s="5" t="str">
        <x:v>Bestehendes Lernthema fachlich unter passendem Rahmenplan-Unterbereich behalten</x:v>
      </x:c>
      <x:c r="R2054" s="5" t="str">
        <x:v>Nenne Instrumente zur Lieferantenbewertung.</x:v>
      </x:c>
      <x:c r="S2054" s="5" t="str">
        <x:v>85b001709a9b9ed04f28ebe7c6e8eab8a6d51c5df25f64af3e5475bd1aefff6b</x:v>
      </x:c>
    </x:row>
    <x:row r="2055" ht="36" customHeight="1">
      <x:c r="A2055" s="5" t="str">
        <x:v>L-0076</x:v>
      </x:c>
      <x:c r="B2055" s="5" t="str">
        <x:v>HQ</x:v>
      </x:c>
      <x:c r="C2055" s="5" t="str">
        <x:v>7</x:v>
      </x:c>
      <x:c r="D2055" s="5" t="str">
        <x:v>Logistik</x:v>
      </x:c>
      <x:c r="E2055" s="5" t="str">
        <x:v>Logistik</x:v>
      </x:c>
      <x:c r="F2055" s="5" t="str">
        <x:v>ui-hq-0022</x:v>
      </x:c>
      <x:c r="G2055" s="5" t="str">
        <x:v>Einkauf und Beschaffung</x:v>
      </x:c>
      <x:c r="H2055" s="5" t="str">
        <x:v>dg-hq-0092</x:v>
      </x:c>
      <x:c r="I2055" s="5" t="str">
        <x:v>7.1.2.4</x:v>
      </x:c>
      <x:c r="J2055" s="5" t="str">
        <x:v>Analysetechniken</x:v>
      </x:c>
      <x:c r="K2055" s="5" t="str"/>
      <x:c r="L2055" s="5" t="str">
        <x:v>Analysetechniken &amp; Beschaffungsstrategien</x:v>
      </x:c>
      <x:c r="M2055" s="5" t="n">
        <x:v>73</x:v>
      </x:c>
      <x:c r="N2055" s="5" t="n">
        <x:v>2</x:v>
      </x:c>
      <x:c r="O2055" s="5" t="str"/>
      <x:c r="P2055" s="5" t="str">
        <x:v>Zuordnungsvorschlag; Fachfreigabe ausstehend</x:v>
      </x:c>
      <x:c r="Q2055" s="5" t="str">
        <x:v>Bestehendes Lernthema fachlich unter passendem Rahmenplan-Unterbereich behalten</x:v>
      </x:c>
      <x:c r="R2055" s="5" t="str">
        <x:v>Ziel der ABC-Analyse?</x:v>
      </x:c>
      <x:c r="S2055" s="5" t="str">
        <x:v>b5a47235e655bf8a5f683f5322feadee2f88d38196e31d0f444e0fce6d51b6d7</x:v>
      </x:c>
    </x:row>
    <x:row r="2056" ht="36" customHeight="1">
      <x:c r="A2056" s="5" t="str">
        <x:v>L-0077</x:v>
      </x:c>
      <x:c r="B2056" s="5" t="str">
        <x:v>HQ</x:v>
      </x:c>
      <x:c r="C2056" s="5" t="str">
        <x:v>7</x:v>
      </x:c>
      <x:c r="D2056" s="5" t="str">
        <x:v>Logistik</x:v>
      </x:c>
      <x:c r="E2056" s="5" t="str">
        <x:v>Logistik</x:v>
      </x:c>
      <x:c r="F2056" s="5" t="str">
        <x:v>ui-hq-0022</x:v>
      </x:c>
      <x:c r="G2056" s="5" t="str">
        <x:v>Einkauf und Beschaffung</x:v>
      </x:c>
      <x:c r="H2056" s="5" t="str">
        <x:v>dg-hq-0092</x:v>
      </x:c>
      <x:c r="I2056" s="5" t="str">
        <x:v>7.1.2.4</x:v>
      </x:c>
      <x:c r="J2056" s="5" t="str">
        <x:v>Analysetechniken</x:v>
      </x:c>
      <x:c r="K2056" s="5" t="str"/>
      <x:c r="L2056" s="5" t="str">
        <x:v>Analysetechniken &amp; Beschaffungsstrategien</x:v>
      </x:c>
      <x:c r="M2056" s="5" t="n">
        <x:v>74</x:v>
      </x:c>
      <x:c r="N2056" s="5" t="n">
        <x:v>3</x:v>
      </x:c>
      <x:c r="O2056" s="5" t="str"/>
      <x:c r="P2056" s="5" t="str">
        <x:v>Zuordnungsvorschlag; Fachfreigabe ausstehend</x:v>
      </x:c>
      <x:c r="Q2056" s="5" t="str">
        <x:v>Bestehendes Lernthema fachlich unter passendem Rahmenplan-Unterbereich behalten</x:v>
      </x:c>
      <x:c r="R2056" s="5" t="str">
        <x:v>Beschreibe A-Artikel.</x:v>
      </x:c>
      <x:c r="S2056" s="5" t="str">
        <x:v>24676f36b251512fb7245ba0006ffb803fd83d09f46fc0bae27b2c51367ed357</x:v>
      </x:c>
    </x:row>
    <x:row r="2057" ht="36" customHeight="1">
      <x:c r="A2057" s="5" t="str">
        <x:v>L-0078</x:v>
      </x:c>
      <x:c r="B2057" s="5" t="str">
        <x:v>HQ</x:v>
      </x:c>
      <x:c r="C2057" s="5" t="str">
        <x:v>7</x:v>
      </x:c>
      <x:c r="D2057" s="5" t="str">
        <x:v>Logistik</x:v>
      </x:c>
      <x:c r="E2057" s="5" t="str">
        <x:v>Logistik</x:v>
      </x:c>
      <x:c r="F2057" s="5" t="str">
        <x:v>ui-hq-0022</x:v>
      </x:c>
      <x:c r="G2057" s="5" t="str">
        <x:v>Einkauf und Beschaffung</x:v>
      </x:c>
      <x:c r="H2057" s="5" t="str">
        <x:v>dg-hq-0092</x:v>
      </x:c>
      <x:c r="I2057" s="5" t="str">
        <x:v>7.1.2.4</x:v>
      </x:c>
      <x:c r="J2057" s="5" t="str">
        <x:v>Analysetechniken</x:v>
      </x:c>
      <x:c r="K2057" s="5" t="str"/>
      <x:c r="L2057" s="5" t="str">
        <x:v>Analysetechniken &amp; Beschaffungsstrategien</x:v>
      </x:c>
      <x:c r="M2057" s="5" t="n">
        <x:v>75</x:v>
      </x:c>
      <x:c r="N2057" s="5" t="n">
        <x:v>4</x:v>
      </x:c>
      <x:c r="O2057" s="5" t="str"/>
      <x:c r="P2057" s="5" t="str">
        <x:v>Zuordnungsvorschlag; Fachfreigabe ausstehend</x:v>
      </x:c>
      <x:c r="Q2057" s="5" t="str">
        <x:v>Bestehendes Lernthema fachlich unter passendem Rahmenplan-Unterbereich behalten</x:v>
      </x:c>
      <x:c r="R2057" s="5" t="str">
        <x:v>Beschreibe B-Artikel.</x:v>
      </x:c>
      <x:c r="S2057" s="5" t="str">
        <x:v>a6840f587739f5c1309229cdfa3c60eff92d40b34642730a702bcea22accc408</x:v>
      </x:c>
    </x:row>
    <x:row r="2058" ht="36" customHeight="1">
      <x:c r="A2058" s="5" t="str">
        <x:v>L-0079</x:v>
      </x:c>
      <x:c r="B2058" s="5" t="str">
        <x:v>HQ</x:v>
      </x:c>
      <x:c r="C2058" s="5" t="str">
        <x:v>7</x:v>
      </x:c>
      <x:c r="D2058" s="5" t="str">
        <x:v>Logistik</x:v>
      </x:c>
      <x:c r="E2058" s="5" t="str">
        <x:v>Logistik</x:v>
      </x:c>
      <x:c r="F2058" s="5" t="str">
        <x:v>ui-hq-0022</x:v>
      </x:c>
      <x:c r="G2058" s="5" t="str">
        <x:v>Einkauf und Beschaffung</x:v>
      </x:c>
      <x:c r="H2058" s="5" t="str">
        <x:v>dg-hq-0092</x:v>
      </x:c>
      <x:c r="I2058" s="5" t="str">
        <x:v>7.1.2.4</x:v>
      </x:c>
      <x:c r="J2058" s="5" t="str">
        <x:v>Analysetechniken</x:v>
      </x:c>
      <x:c r="K2058" s="5" t="str"/>
      <x:c r="L2058" s="5" t="str">
        <x:v>Analysetechniken &amp; Beschaffungsstrategien</x:v>
      </x:c>
      <x:c r="M2058" s="5" t="n">
        <x:v>76</x:v>
      </x:c>
      <x:c r="N2058" s="5" t="n">
        <x:v>5</x:v>
      </x:c>
      <x:c r="O2058" s="5" t="str"/>
      <x:c r="P2058" s="5" t="str">
        <x:v>Zuordnungsvorschlag; Fachfreigabe ausstehend</x:v>
      </x:c>
      <x:c r="Q2058" s="5" t="str">
        <x:v>Bestehendes Lernthema fachlich unter passendem Rahmenplan-Unterbereich behalten</x:v>
      </x:c>
      <x:c r="R2058" s="5" t="str">
        <x:v>Beschreibe C-Artikel.</x:v>
      </x:c>
      <x:c r="S2058" s="5" t="str">
        <x:v>4d922af7c241facf7f168ca103d6ca86b005cbed8e9fdef68704a9cb9c0c057d</x:v>
      </x:c>
    </x:row>
    <x:row r="2059" ht="36" customHeight="1">
      <x:c r="A2059" s="5" t="str">
        <x:v>L-0080</x:v>
      </x:c>
      <x:c r="B2059" s="5" t="str">
        <x:v>HQ</x:v>
      </x:c>
      <x:c r="C2059" s="5" t="str">
        <x:v>7</x:v>
      </x:c>
      <x:c r="D2059" s="5" t="str">
        <x:v>Logistik</x:v>
      </x:c>
      <x:c r="E2059" s="5" t="str">
        <x:v>Logistik</x:v>
      </x:c>
      <x:c r="F2059" s="5" t="str">
        <x:v>ui-hq-0022</x:v>
      </x:c>
      <x:c r="G2059" s="5" t="str">
        <x:v>Einkauf und Beschaffung</x:v>
      </x:c>
      <x:c r="H2059" s="5" t="str">
        <x:v>dg-hq-0092</x:v>
      </x:c>
      <x:c r="I2059" s="5" t="str">
        <x:v>7.1.2.4</x:v>
      </x:c>
      <x:c r="J2059" s="5" t="str">
        <x:v>Analysetechniken</x:v>
      </x:c>
      <x:c r="K2059" s="5" t="str"/>
      <x:c r="L2059" s="5" t="str">
        <x:v>Analysetechniken &amp; Beschaffungsstrategien</x:v>
      </x:c>
      <x:c r="M2059" s="5" t="n">
        <x:v>77</x:v>
      </x:c>
      <x:c r="N2059" s="5" t="n">
        <x:v>6</x:v>
      </x:c>
      <x:c r="O2059" s="5" t="str"/>
      <x:c r="P2059" s="5" t="str">
        <x:v>Zuordnungsvorschlag; Fachfreigabe ausstehend</x:v>
      </x:c>
      <x:c r="Q2059" s="5" t="str">
        <x:v>Bestehendes Lernthema fachlich unter passendem Rahmenplan-Unterbereich behalten</x:v>
      </x:c>
      <x:c r="R2059" s="5" t="str">
        <x:v>Wie wird bei der ABC-Analyse vorgegangen?</x:v>
      </x:c>
      <x:c r="S2059" s="5" t="str">
        <x:v>07f9673165af2cf11c88b73d4b9d7915ef9f0684e519135e5a7e04fc6b06d794</x:v>
      </x:c>
    </x:row>
    <x:row r="2060" ht="36" customHeight="1">
      <x:c r="A2060" s="5" t="str">
        <x:v>L-0081</x:v>
      </x:c>
      <x:c r="B2060" s="5" t="str">
        <x:v>HQ</x:v>
      </x:c>
      <x:c r="C2060" s="5" t="str">
        <x:v>7</x:v>
      </x:c>
      <x:c r="D2060" s="5" t="str">
        <x:v>Logistik</x:v>
      </x:c>
      <x:c r="E2060" s="5" t="str">
        <x:v>Logistik</x:v>
      </x:c>
      <x:c r="F2060" s="5" t="str">
        <x:v>ui-hq-0022</x:v>
      </x:c>
      <x:c r="G2060" s="5" t="str">
        <x:v>Einkauf und Beschaffung</x:v>
      </x:c>
      <x:c r="H2060" s="5" t="str">
        <x:v>dg-hq-0092</x:v>
      </x:c>
      <x:c r="I2060" s="5" t="str">
        <x:v>7.1.2.4</x:v>
      </x:c>
      <x:c r="J2060" s="5" t="str">
        <x:v>Analysetechniken</x:v>
      </x:c>
      <x:c r="K2060" s="5" t="str"/>
      <x:c r="L2060" s="5" t="str">
        <x:v>Analysetechniken &amp; Beschaffungsstrategien</x:v>
      </x:c>
      <x:c r="M2060" s="5" t="n">
        <x:v>78</x:v>
      </x:c>
      <x:c r="N2060" s="5" t="n">
        <x:v>7</x:v>
      </x:c>
      <x:c r="O2060" s="5" t="str"/>
      <x:c r="P2060" s="5" t="str">
        <x:v>Zuordnungsvorschlag; Fachfreigabe ausstehend</x:v>
      </x:c>
      <x:c r="Q2060" s="5" t="str">
        <x:v>Bestehendes Lernthema fachlich unter passendem Rahmenplan-Unterbereich behalten</x:v>
      </x:c>
      <x:c r="R2060" s="5" t="str">
        <x:v>Was ist das Ziel der XYZ-Analyse?</x:v>
      </x:c>
      <x:c r="S2060" s="5" t="str">
        <x:v>87780a611ac6e6a5f54866f7d8a3d8c3b3c81b78a143f96ff3ef82c49504969d</x:v>
      </x:c>
    </x:row>
    <x:row r="2061" ht="36" customHeight="1">
      <x:c r="A2061" s="5" t="str">
        <x:v>L-0082</x:v>
      </x:c>
      <x:c r="B2061" s="5" t="str">
        <x:v>HQ</x:v>
      </x:c>
      <x:c r="C2061" s="5" t="str">
        <x:v>7</x:v>
      </x:c>
      <x:c r="D2061" s="5" t="str">
        <x:v>Logistik</x:v>
      </x:c>
      <x:c r="E2061" s="5" t="str">
        <x:v>Logistik</x:v>
      </x:c>
      <x:c r="F2061" s="5" t="str">
        <x:v>ui-hq-0022</x:v>
      </x:c>
      <x:c r="G2061" s="5" t="str">
        <x:v>Einkauf und Beschaffung</x:v>
      </x:c>
      <x:c r="H2061" s="5" t="str">
        <x:v>dg-hq-0092</x:v>
      </x:c>
      <x:c r="I2061" s="5" t="str">
        <x:v>7.1.2.4</x:v>
      </x:c>
      <x:c r="J2061" s="5" t="str">
        <x:v>Analysetechniken</x:v>
      </x:c>
      <x:c r="K2061" s="5" t="str"/>
      <x:c r="L2061" s="5" t="str">
        <x:v>Analysetechniken &amp; Beschaffungsstrategien</x:v>
      </x:c>
      <x:c r="M2061" s="5" t="n">
        <x:v>79</x:v>
      </x:c>
      <x:c r="N2061" s="5" t="n">
        <x:v>8</x:v>
      </x:c>
      <x:c r="O2061" s="5" t="str"/>
      <x:c r="P2061" s="5" t="str">
        <x:v>Zuordnungsvorschlag; Fachfreigabe ausstehend</x:v>
      </x:c>
      <x:c r="Q2061" s="5" t="str">
        <x:v>Bestehendes Lernthema fachlich unter passendem Rahmenplan-Unterbereich behalten</x:v>
      </x:c>
      <x:c r="R2061" s="5" t="str">
        <x:v>Beschreibe X-, Y- und Z-Artikel.</x:v>
      </x:c>
      <x:c r="S2061" s="5" t="str">
        <x:v>8e0f88bda20b593f1400e19a1181a1be2eaffb10435ad73c33ddd281de6b02c8</x:v>
      </x:c>
    </x:row>
    <x:row r="2062" ht="36" customHeight="1">
      <x:c r="A2062" s="5" t="str">
        <x:v>L-0083</x:v>
      </x:c>
      <x:c r="B2062" s="5" t="str">
        <x:v>HQ</x:v>
      </x:c>
      <x:c r="C2062" s="5" t="str">
        <x:v>7</x:v>
      </x:c>
      <x:c r="D2062" s="5" t="str">
        <x:v>Logistik</x:v>
      </x:c>
      <x:c r="E2062" s="5" t="str">
        <x:v>Logistik</x:v>
      </x:c>
      <x:c r="F2062" s="5" t="str">
        <x:v>ui-hq-0022</x:v>
      </x:c>
      <x:c r="G2062" s="5" t="str">
        <x:v>Einkauf und Beschaffung</x:v>
      </x:c>
      <x:c r="H2062" s="5" t="str">
        <x:v>dg-hq-0092</x:v>
      </x:c>
      <x:c r="I2062" s="5" t="str">
        <x:v>7.1.2.4</x:v>
      </x:c>
      <x:c r="J2062" s="5" t="str">
        <x:v>Analysetechniken</x:v>
      </x:c>
      <x:c r="K2062" s="5" t="str"/>
      <x:c r="L2062" s="5" t="str">
        <x:v>Analysetechniken &amp; Beschaffungsstrategien</x:v>
      </x:c>
      <x:c r="M2062" s="5" t="n">
        <x:v>80</x:v>
      </x:c>
      <x:c r="N2062" s="5" t="n">
        <x:v>9</x:v>
      </x:c>
      <x:c r="O2062" s="5" t="str"/>
      <x:c r="P2062" s="5" t="str">
        <x:v>Zuordnungsvorschlag; Fachfreigabe ausstehend</x:v>
      </x:c>
      <x:c r="Q2062" s="5" t="str">
        <x:v>Bestehendes Lernthema fachlich unter passendem Rahmenplan-Unterbereich behalten</x:v>
      </x:c>
      <x:c r="R2062" s="5" t="str">
        <x:v>Warum werden ABC- und XYZ-Analyse kombiniert?</x:v>
      </x:c>
      <x:c r="S2062" s="5" t="str">
        <x:v>058963e37e1a305e1cc3ba7f95a41d358baaf24231860d49a095a5580f1e3848</x:v>
      </x:c>
    </x:row>
    <x:row r="2063" ht="36" customHeight="1">
      <x:c r="A2063" s="5" t="str">
        <x:v>L-0084</x:v>
      </x:c>
      <x:c r="B2063" s="5" t="str">
        <x:v>HQ</x:v>
      </x:c>
      <x:c r="C2063" s="5" t="str">
        <x:v>7</x:v>
      </x:c>
      <x:c r="D2063" s="5" t="str">
        <x:v>Logistik</x:v>
      </x:c>
      <x:c r="E2063" s="5" t="str">
        <x:v>Logistik</x:v>
      </x:c>
      <x:c r="F2063" s="5" t="str">
        <x:v>ui-hq-0022</x:v>
      </x:c>
      <x:c r="G2063" s="5" t="str">
        <x:v>Einkauf und Beschaffung</x:v>
      </x:c>
      <x:c r="H2063" s="5" t="str">
        <x:v>dg-hq-0092</x:v>
      </x:c>
      <x:c r="I2063" s="5" t="str">
        <x:v>7.1.2.4</x:v>
      </x:c>
      <x:c r="J2063" s="5" t="str">
        <x:v>Analysetechniken</x:v>
      </x:c>
      <x:c r="K2063" s="5" t="str"/>
      <x:c r="L2063" s="5" t="str">
        <x:v>Analysetechniken &amp; Beschaffungsstrategien</x:v>
      </x:c>
      <x:c r="M2063" s="5" t="n">
        <x:v>81</x:v>
      </x:c>
      <x:c r="N2063" s="5" t="n">
        <x:v>10</x:v>
      </x:c>
      <x:c r="O2063" s="5" t="str"/>
      <x:c r="P2063" s="5" t="str">
        <x:v>Zuordnungsvorschlag; Fachfreigabe ausstehend</x:v>
      </x:c>
      <x:c r="Q2063" s="5" t="str">
        <x:v>Bestehendes Lernthema fachlich unter passendem Rahmenplan-Unterbereich behalten</x:v>
      </x:c>
      <x:c r="R2063" s="5" t="str">
        <x:v>Welche Strategie gilt für A/X-Artikel?</x:v>
      </x:c>
      <x:c r="S2063" s="5" t="str">
        <x:v>437313edd7bf21b0eaab8ef7683adb0f744a37a848021d887d58799c3a6085ab</x:v>
      </x:c>
    </x:row>
    <x:row r="2064" ht="36" customHeight="1">
      <x:c r="A2064" s="5" t="str">
        <x:v>L-0085</x:v>
      </x:c>
      <x:c r="B2064" s="5" t="str">
        <x:v>HQ</x:v>
      </x:c>
      <x:c r="C2064" s="5" t="str">
        <x:v>7</x:v>
      </x:c>
      <x:c r="D2064" s="5" t="str">
        <x:v>Logistik</x:v>
      </x:c>
      <x:c r="E2064" s="5" t="str">
        <x:v>Logistik</x:v>
      </x:c>
      <x:c r="F2064" s="5" t="str">
        <x:v>ui-hq-0022</x:v>
      </x:c>
      <x:c r="G2064" s="5" t="str">
        <x:v>Einkauf und Beschaffung</x:v>
      </x:c>
      <x:c r="H2064" s="5" t="str">
        <x:v>dg-hq-0092</x:v>
      </x:c>
      <x:c r="I2064" s="5" t="str">
        <x:v>7.1.2.4</x:v>
      </x:c>
      <x:c r="J2064" s="5" t="str">
        <x:v>Analysetechniken</x:v>
      </x:c>
      <x:c r="K2064" s="5" t="str"/>
      <x:c r="L2064" s="5" t="str">
        <x:v>Analysetechniken &amp; Beschaffungsstrategien</x:v>
      </x:c>
      <x:c r="M2064" s="5" t="n">
        <x:v>82</x:v>
      </x:c>
      <x:c r="N2064" s="5" t="n">
        <x:v>11</x:v>
      </x:c>
      <x:c r="O2064" s="5" t="str"/>
      <x:c r="P2064" s="5" t="str">
        <x:v>Zuordnungsvorschlag; Fachfreigabe ausstehend</x:v>
      </x:c>
      <x:c r="Q2064" s="5" t="str">
        <x:v>Bestehendes Lernthema fachlich unter passendem Rahmenplan-Unterbereich behalten</x:v>
      </x:c>
      <x:c r="R2064" s="5" t="str">
        <x:v>Welche Strategie gilt für A/Z-Artikel?</x:v>
      </x:c>
      <x:c r="S2064" s="5" t="str">
        <x:v>6101b7423def8906045ea41fd8a51bac7676935be5a4954d846b8b7059dad895</x:v>
      </x:c>
    </x:row>
    <x:row r="2065" ht="36" customHeight="1">
      <x:c r="A2065" s="5" t="str">
        <x:v>L-0086</x:v>
      </x:c>
      <x:c r="B2065" s="5" t="str">
        <x:v>HQ</x:v>
      </x:c>
      <x:c r="C2065" s="5" t="str">
        <x:v>7</x:v>
      </x:c>
      <x:c r="D2065" s="5" t="str">
        <x:v>Logistik</x:v>
      </x:c>
      <x:c r="E2065" s="5" t="str">
        <x:v>Logistik</x:v>
      </x:c>
      <x:c r="F2065" s="5" t="str">
        <x:v>ui-hq-0022</x:v>
      </x:c>
      <x:c r="G2065" s="5" t="str">
        <x:v>Einkauf und Beschaffung</x:v>
      </x:c>
      <x:c r="H2065" s="5" t="str">
        <x:v>dg-hq-0092</x:v>
      </x:c>
      <x:c r="I2065" s="5" t="str">
        <x:v>7.1.2.4</x:v>
      </x:c>
      <x:c r="J2065" s="5" t="str">
        <x:v>Analysetechniken</x:v>
      </x:c>
      <x:c r="K2065" s="5" t="str"/>
      <x:c r="L2065" s="5" t="str">
        <x:v>Analysetechniken &amp; Beschaffungsstrategien</x:v>
      </x:c>
      <x:c r="M2065" s="5" t="n">
        <x:v>83</x:v>
      </x:c>
      <x:c r="N2065" s="5" t="n">
        <x:v>12</x:v>
      </x:c>
      <x:c r="O2065" s="5" t="str"/>
      <x:c r="P2065" s="5" t="str">
        <x:v>Zuordnungsvorschlag; Fachfreigabe ausstehend</x:v>
      </x:c>
      <x:c r="Q2065" s="5" t="str">
        <x:v>Bestehendes Lernthema fachlich unter passendem Rahmenplan-Unterbereich behalten</x:v>
      </x:c>
      <x:c r="R2065" s="5" t="str">
        <x:v>Welche Strategie gilt für C/X-Artikel?</x:v>
      </x:c>
      <x:c r="S2065" s="5" t="str">
        <x:v>f23409742b8ac4ca372997cc82a996a1abb4f6e3fd93f0bebf50d18d14c1ff9b</x:v>
      </x:c>
    </x:row>
    <x:row r="2066" ht="36" customHeight="1">
      <x:c r="A2066" s="5" t="str">
        <x:v>L-0087</x:v>
      </x:c>
      <x:c r="B2066" s="5" t="str">
        <x:v>HQ</x:v>
      </x:c>
      <x:c r="C2066" s="5" t="str">
        <x:v>7</x:v>
      </x:c>
      <x:c r="D2066" s="5" t="str">
        <x:v>Logistik</x:v>
      </x:c>
      <x:c r="E2066" s="5" t="str">
        <x:v>Logistik</x:v>
      </x:c>
      <x:c r="F2066" s="5" t="str">
        <x:v>ui-hq-0022</x:v>
      </x:c>
      <x:c r="G2066" s="5" t="str">
        <x:v>Einkauf und Beschaffung</x:v>
      </x:c>
      <x:c r="H2066" s="5" t="str">
        <x:v>dg-hq-0092</x:v>
      </x:c>
      <x:c r="I2066" s="5" t="str">
        <x:v>7.1.2.4</x:v>
      </x:c>
      <x:c r="J2066" s="5" t="str">
        <x:v>Analysetechniken</x:v>
      </x:c>
      <x:c r="K2066" s="5" t="str"/>
      <x:c r="L2066" s="5" t="str">
        <x:v>Analysetechniken &amp; Beschaffungsstrategien</x:v>
      </x:c>
      <x:c r="M2066" s="5" t="n">
        <x:v>84</x:v>
      </x:c>
      <x:c r="N2066" s="5" t="n">
        <x:v>13</x:v>
      </x:c>
      <x:c r="O2066" s="5" t="str"/>
      <x:c r="P2066" s="5" t="str">
        <x:v>Zuordnungsvorschlag; Fachfreigabe ausstehend</x:v>
      </x:c>
      <x:c r="Q2066" s="5" t="str">
        <x:v>Bestehendes Lernthema fachlich unter passendem Rahmenplan-Unterbereich behalten</x:v>
      </x:c>
      <x:c r="R2066" s="5" t="str">
        <x:v>Welche Strategie gilt für C/Z-Artikel?</x:v>
      </x:c>
      <x:c r="S2066" s="5" t="str">
        <x:v>1c0bf929c8fd4fdf60f83e9ed3ed5af239258439c89f1a8d710f9d40d4e523de</x:v>
      </x:c>
    </x:row>
    <x:row r="2067" ht="36" customHeight="1">
      <x:c r="A2067" s="5" t="str">
        <x:v>L-0088</x:v>
      </x:c>
      <x:c r="B2067" s="5" t="str">
        <x:v>HQ</x:v>
      </x:c>
      <x:c r="C2067" s="5" t="str">
        <x:v>7</x:v>
      </x:c>
      <x:c r="D2067" s="5" t="str">
        <x:v>Logistik</x:v>
      </x:c>
      <x:c r="E2067" s="5" t="str">
        <x:v>Logistik</x:v>
      </x:c>
      <x:c r="F2067" s="5" t="str">
        <x:v>ui-hq-0022</x:v>
      </x:c>
      <x:c r="G2067" s="5" t="str">
        <x:v>Einkauf und Beschaffung</x:v>
      </x:c>
      <x:c r="H2067" s="5" t="str">
        <x:v>dg-hq-0092</x:v>
      </x:c>
      <x:c r="I2067" s="5" t="str">
        <x:v>7.1.2.4</x:v>
      </x:c>
      <x:c r="J2067" s="5" t="str">
        <x:v>Analysetechniken</x:v>
      </x:c>
      <x:c r="K2067" s="5" t="str"/>
      <x:c r="L2067" s="5" t="str">
        <x:v>Analysetechniken &amp; Beschaffungsstrategien</x:v>
      </x:c>
      <x:c r="M2067" s="5" t="n">
        <x:v>85</x:v>
      </x:c>
      <x:c r="N2067" s="5" t="n">
        <x:v>14</x:v>
      </x:c>
      <x:c r="O2067" s="5" t="str"/>
      <x:c r="P2067" s="5" t="str">
        <x:v>Zuordnungsvorschlag; Fachfreigabe ausstehend</x:v>
      </x:c>
      <x:c r="Q2067" s="5" t="str">
        <x:v>Bestehendes Lernthema fachlich unter passendem Rahmenplan-Unterbereich behalten</x:v>
      </x:c>
      <x:c r="R2067" s="5" t="str">
        <x:v>Welche Schritte dienen der Optimierung des Beschaffungsprozesses?</x:v>
      </x:c>
      <x:c r="S2067" s="5" t="str">
        <x:v>f58252af8a2bd11a1eb329f091ba220cfa61d5fe06a8f69e16548356c63940a2</x:v>
      </x:c>
    </x:row>
    <x:row r="2068" ht="36" customHeight="1">
      <x:c r="A2068" s="5" t="str">
        <x:v>L-0089</x:v>
      </x:c>
      <x:c r="B2068" s="5" t="str">
        <x:v>HQ</x:v>
      </x:c>
      <x:c r="C2068" s="5" t="str">
        <x:v>7</x:v>
      </x:c>
      <x:c r="D2068" s="5" t="str">
        <x:v>Logistik</x:v>
      </x:c>
      <x:c r="E2068" s="5" t="str">
        <x:v>Logistik</x:v>
      </x:c>
      <x:c r="F2068" s="5" t="str">
        <x:v>ui-hq-0022</x:v>
      </x:c>
      <x:c r="G2068" s="5" t="str">
        <x:v>Einkauf und Beschaffung</x:v>
      </x:c>
      <x:c r="H2068" s="5" t="str">
        <x:v>dg-hq-0092</x:v>
      </x:c>
      <x:c r="I2068" s="5" t="str">
        <x:v>7.1.2.4</x:v>
      </x:c>
      <x:c r="J2068" s="5" t="str">
        <x:v>Analysetechniken</x:v>
      </x:c>
      <x:c r="K2068" s="5" t="str"/>
      <x:c r="L2068" s="5" t="str">
        <x:v>Analysetechniken &amp; Beschaffungsstrategien</x:v>
      </x:c>
      <x:c r="M2068" s="5" t="n">
        <x:v>86</x:v>
      </x:c>
      <x:c r="N2068" s="5" t="n">
        <x:v>15</x:v>
      </x:c>
      <x:c r="O2068" s="5" t="str"/>
      <x:c r="P2068" s="5" t="str">
        <x:v>Zuordnungsvorschlag; Fachfreigabe ausstehend</x:v>
      </x:c>
      <x:c r="Q2068" s="5" t="str">
        <x:v>Bestehendes Lernthema fachlich unter passendem Rahmenplan-Unterbereich behalten</x:v>
      </x:c>
      <x:c r="R2068" s="5" t="str">
        <x:v>Was ist das Ziel von Beschaffungsstrategien?</x:v>
      </x:c>
      <x:c r="S2068" s="5" t="str">
        <x:v>de830550c9ff2f7cb3527958c4805dd5f63c6e42ebccb028d22bd51f8af8046f</x:v>
      </x:c>
    </x:row>
    <x:row r="2069" ht="36" customHeight="1">
      <x:c r="A2069" s="5" t="str">
        <x:v>L-0090</x:v>
      </x:c>
      <x:c r="B2069" s="5" t="str">
        <x:v>HQ</x:v>
      </x:c>
      <x:c r="C2069" s="5" t="str">
        <x:v>7</x:v>
      </x:c>
      <x:c r="D2069" s="5" t="str">
        <x:v>Logistik</x:v>
      </x:c>
      <x:c r="E2069" s="5" t="str">
        <x:v>Logistik</x:v>
      </x:c>
      <x:c r="F2069" s="5" t="str">
        <x:v>ui-hq-0022</x:v>
      </x:c>
      <x:c r="G2069" s="5" t="str">
        <x:v>Einkauf und Beschaffung</x:v>
      </x:c>
      <x:c r="H2069" s="5" t="str">
        <x:v>dg-hq-0092</x:v>
      </x:c>
      <x:c r="I2069" s="5" t="str">
        <x:v>7.1.2.4</x:v>
      </x:c>
      <x:c r="J2069" s="5" t="str">
        <x:v>Analysetechniken</x:v>
      </x:c>
      <x:c r="K2069" s="5" t="str"/>
      <x:c r="L2069" s="5" t="str">
        <x:v>Analysetechniken &amp; Beschaffungsstrategien</x:v>
      </x:c>
      <x:c r="M2069" s="5" t="n">
        <x:v>87</x:v>
      </x:c>
      <x:c r="N2069" s="5" t="n">
        <x:v>16</x:v>
      </x:c>
      <x:c r="O2069" s="5" t="str"/>
      <x:c r="P2069" s="5" t="str">
        <x:v>Zuordnungsvorschlag; Fachfreigabe ausstehend</x:v>
      </x:c>
      <x:c r="Q2069" s="5" t="str">
        <x:v>Bestehendes Lernthema fachlich unter passendem Rahmenplan-Unterbereich behalten</x:v>
      </x:c>
      <x:c r="R2069" s="5" t="str">
        <x:v>Erkläre Einzelbeschaffung.</x:v>
      </x:c>
      <x:c r="S2069" s="5" t="str">
        <x:v>352b75ddd9833749f14298e51875fd5eb982b849b39c1c12cbd515a60b861b42</x:v>
      </x:c>
    </x:row>
    <x:row r="2070" ht="36" customHeight="1">
      <x:c r="A2070" s="5" t="str">
        <x:v>L-0091</x:v>
      </x:c>
      <x:c r="B2070" s="5" t="str">
        <x:v>HQ</x:v>
      </x:c>
      <x:c r="C2070" s="5" t="str">
        <x:v>7</x:v>
      </x:c>
      <x:c r="D2070" s="5" t="str">
        <x:v>Logistik</x:v>
      </x:c>
      <x:c r="E2070" s="5" t="str">
        <x:v>Logistik</x:v>
      </x:c>
      <x:c r="F2070" s="5" t="str">
        <x:v>ui-hq-0022</x:v>
      </x:c>
      <x:c r="G2070" s="5" t="str">
        <x:v>Einkauf und Beschaffung</x:v>
      </x:c>
      <x:c r="H2070" s="5" t="str">
        <x:v>dg-hq-0092</x:v>
      </x:c>
      <x:c r="I2070" s="5" t="str">
        <x:v>7.1.2.4</x:v>
      </x:c>
      <x:c r="J2070" s="5" t="str">
        <x:v>Analysetechniken</x:v>
      </x:c>
      <x:c r="K2070" s="5" t="str"/>
      <x:c r="L2070" s="5" t="str">
        <x:v>Analysetechniken &amp; Beschaffungsstrategien</x:v>
      </x:c>
      <x:c r="M2070" s="5" t="n">
        <x:v>88</x:v>
      </x:c>
      <x:c r="N2070" s="5" t="n">
        <x:v>17</x:v>
      </x:c>
      <x:c r="O2070" s="5" t="str"/>
      <x:c r="P2070" s="5" t="str">
        <x:v>Zuordnungsvorschlag; Fachfreigabe ausstehend</x:v>
      </x:c>
      <x:c r="Q2070" s="5" t="str">
        <x:v>Bestehendes Lernthema fachlich unter passendem Rahmenplan-Unterbereich behalten</x:v>
      </x:c>
      <x:c r="R2070" s="5" t="str">
        <x:v>Erkläre Vorratsbeschaffung.</x:v>
      </x:c>
      <x:c r="S2070" s="5" t="str">
        <x:v>94cbd5a9435f397fa6121f341190ead3ebcfe65d6d2822ce6bb3f06cf4d99f12</x:v>
      </x:c>
    </x:row>
    <x:row r="2071" ht="36" customHeight="1">
      <x:c r="A2071" s="5" t="str">
        <x:v>L-0092</x:v>
      </x:c>
      <x:c r="B2071" s="5" t="str">
        <x:v>HQ</x:v>
      </x:c>
      <x:c r="C2071" s="5" t="str">
        <x:v>7</x:v>
      </x:c>
      <x:c r="D2071" s="5" t="str">
        <x:v>Logistik</x:v>
      </x:c>
      <x:c r="E2071" s="5" t="str">
        <x:v>Logistik</x:v>
      </x:c>
      <x:c r="F2071" s="5" t="str">
        <x:v>ui-hq-0022</x:v>
      </x:c>
      <x:c r="G2071" s="5" t="str">
        <x:v>Einkauf und Beschaffung</x:v>
      </x:c>
      <x:c r="H2071" s="5" t="str">
        <x:v>dg-hq-0092</x:v>
      </x:c>
      <x:c r="I2071" s="5" t="str">
        <x:v>7.1.2.4</x:v>
      </x:c>
      <x:c r="J2071" s="5" t="str">
        <x:v>Analysetechniken</x:v>
      </x:c>
      <x:c r="K2071" s="5" t="str"/>
      <x:c r="L2071" s="5" t="str">
        <x:v>Analysetechniken &amp; Beschaffungsstrategien</x:v>
      </x:c>
      <x:c r="M2071" s="5" t="n">
        <x:v>89</x:v>
      </x:c>
      <x:c r="N2071" s="5" t="n">
        <x:v>18</x:v>
      </x:c>
      <x:c r="O2071" s="5" t="str"/>
      <x:c r="P2071" s="5" t="str">
        <x:v>Zuordnungsvorschlag; Fachfreigabe ausstehend</x:v>
      </x:c>
      <x:c r="Q2071" s="5" t="str">
        <x:v>Bestehendes Lernthema fachlich unter passendem Rahmenplan-Unterbereich behalten</x:v>
      </x:c>
      <x:c r="R2071" s="5" t="str">
        <x:v>Erkläre fertigungssynchrone Beschaffung.</x:v>
      </x:c>
      <x:c r="S2071" s="5" t="str">
        <x:v>e05155a4263193f205a48a37b0f70bb334358098f20e0632112ddd463d3d1e78</x:v>
      </x:c>
    </x:row>
    <x:row r="2072" ht="36" customHeight="1">
      <x:c r="A2072" s="5" t="str">
        <x:v>L-0093</x:v>
      </x:c>
      <x:c r="B2072" s="5" t="str">
        <x:v>HQ</x:v>
      </x:c>
      <x:c r="C2072" s="5" t="str">
        <x:v>7</x:v>
      </x:c>
      <x:c r="D2072" s="5" t="str">
        <x:v>Logistik</x:v>
      </x:c>
      <x:c r="E2072" s="5" t="str">
        <x:v>Logistik</x:v>
      </x:c>
      <x:c r="F2072" s="5" t="str">
        <x:v>ui-hq-0022</x:v>
      </x:c>
      <x:c r="G2072" s="5" t="str">
        <x:v>Einkauf und Beschaffung</x:v>
      </x:c>
      <x:c r="H2072" s="5" t="str">
        <x:v>dg-hq-0092</x:v>
      </x:c>
      <x:c r="I2072" s="5" t="str">
        <x:v>7.1.2.4</x:v>
      </x:c>
      <x:c r="J2072" s="5" t="str">
        <x:v>Analysetechniken</x:v>
      </x:c>
      <x:c r="K2072" s="5" t="str"/>
      <x:c r="L2072" s="5" t="str">
        <x:v>Analysetechniken &amp; Beschaffungsstrategien</x:v>
      </x:c>
      <x:c r="M2072" s="5" t="n">
        <x:v>90</x:v>
      </x:c>
      <x:c r="N2072" s="5" t="n">
        <x:v>19</x:v>
      </x:c>
      <x:c r="O2072" s="5" t="str"/>
      <x:c r="P2072" s="5" t="str">
        <x:v>Zuordnungsvorschlag; Fachfreigabe ausstehend</x:v>
      </x:c>
      <x:c r="Q2072" s="5" t="str">
        <x:v>Bestehendes Lernthema fachlich unter passendem Rahmenplan-Unterbereich behalten</x:v>
      </x:c>
      <x:c r="R2072" s="5" t="str">
        <x:v>Nenne Vorteile von Just-in-time.</x:v>
      </x:c>
      <x:c r="S2072" s="5" t="str">
        <x:v>49463043bd9257fb32db3be512c7da982554a3d286a42f266a37fa966318e638</x:v>
      </x:c>
    </x:row>
    <x:row r="2073" ht="36" customHeight="1">
      <x:c r="A2073" s="5" t="str">
        <x:v>L-0094</x:v>
      </x:c>
      <x:c r="B2073" s="5" t="str">
        <x:v>HQ</x:v>
      </x:c>
      <x:c r="C2073" s="5" t="str">
        <x:v>7</x:v>
      </x:c>
      <x:c r="D2073" s="5" t="str">
        <x:v>Logistik</x:v>
      </x:c>
      <x:c r="E2073" s="5" t="str">
        <x:v>Logistik</x:v>
      </x:c>
      <x:c r="F2073" s="5" t="str">
        <x:v>ui-hq-0022</x:v>
      </x:c>
      <x:c r="G2073" s="5" t="str">
        <x:v>Einkauf und Beschaffung</x:v>
      </x:c>
      <x:c r="H2073" s="5" t="str">
        <x:v>dg-hq-0092</x:v>
      </x:c>
      <x:c r="I2073" s="5" t="str">
        <x:v>7.1.2.4</x:v>
      </x:c>
      <x:c r="J2073" s="5" t="str">
        <x:v>Analysetechniken</x:v>
      </x:c>
      <x:c r="K2073" s="5" t="str"/>
      <x:c r="L2073" s="5" t="str">
        <x:v>Analysetechniken &amp; Beschaffungsstrategien</x:v>
      </x:c>
      <x:c r="M2073" s="5" t="n">
        <x:v>91</x:v>
      </x:c>
      <x:c r="N2073" s="5" t="n">
        <x:v>20</x:v>
      </x:c>
      <x:c r="O2073" s="5" t="str"/>
      <x:c r="P2073" s="5" t="str">
        <x:v>Zuordnungsvorschlag; Fachfreigabe ausstehend</x:v>
      </x:c>
      <x:c r="Q2073" s="5" t="str">
        <x:v>Bestehendes Lernthema fachlich unter passendem Rahmenplan-Unterbereich behalten</x:v>
      </x:c>
      <x:c r="R2073" s="5" t="str">
        <x:v>Nenne Nachteile von Just-in-time.</x:v>
      </x:c>
      <x:c r="S2073" s="5" t="str">
        <x:v>467f2714dc4ab46f25b221a88c6dd12280046b7fac625ef640bccb39f1b8d01d</x:v>
      </x:c>
    </x:row>
    <x:row r="2074" ht="36" customHeight="1">
      <x:c r="A2074" s="5" t="str">
        <x:v>L-0095</x:v>
      </x:c>
      <x:c r="B2074" s="5" t="str">
        <x:v>HQ</x:v>
      </x:c>
      <x:c r="C2074" s="5" t="str">
        <x:v>7</x:v>
      </x:c>
      <x:c r="D2074" s="5" t="str">
        <x:v>Logistik</x:v>
      </x:c>
      <x:c r="E2074" s="5" t="str">
        <x:v>Logistik</x:v>
      </x:c>
      <x:c r="F2074" s="5" t="str">
        <x:v>ui-hq-0022</x:v>
      </x:c>
      <x:c r="G2074" s="5" t="str">
        <x:v>Einkauf und Beschaffung</x:v>
      </x:c>
      <x:c r="H2074" s="5" t="str">
        <x:v>dg-hq-0092</x:v>
      </x:c>
      <x:c r="I2074" s="5" t="str">
        <x:v>7.1.2.4</x:v>
      </x:c>
      <x:c r="J2074" s="5" t="str">
        <x:v>Analysetechniken</x:v>
      </x:c>
      <x:c r="K2074" s="5" t="str"/>
      <x:c r="L2074" s="5" t="str">
        <x:v>Analysetechniken &amp; Beschaffungsstrategien</x:v>
      </x:c>
      <x:c r="M2074" s="5" t="n">
        <x:v>92</x:v>
      </x:c>
      <x:c r="N2074" s="5" t="n">
        <x:v>21</x:v>
      </x:c>
      <x:c r="O2074" s="5" t="str"/>
      <x:c r="P2074" s="5" t="str">
        <x:v>Zuordnungsvorschlag; Fachfreigabe ausstehend</x:v>
      </x:c>
      <x:c r="Q2074" s="5" t="str">
        <x:v>Bestehendes Lernthema fachlich unter passendem Rahmenplan-Unterbereich behalten</x:v>
      </x:c>
      <x:c r="R2074" s="5" t="str">
        <x:v>Was versteht man unter Just-in-sequence?</x:v>
      </x:c>
      <x:c r="S2074" s="5" t="str">
        <x:v>3dd10bdc5e86027ccc39a3b6d70949cb45682830f3d653fc7c4d357ad291a66e</x:v>
      </x:c>
    </x:row>
    <x:row r="2075" ht="36" customHeight="1">
      <x:c r="A2075" s="5" t="str">
        <x:v>L-0096</x:v>
      </x:c>
      <x:c r="B2075" s="5" t="str">
        <x:v>HQ</x:v>
      </x:c>
      <x:c r="C2075" s="5" t="str">
        <x:v>7</x:v>
      </x:c>
      <x:c r="D2075" s="5" t="str">
        <x:v>Logistik</x:v>
      </x:c>
      <x:c r="E2075" s="5" t="str">
        <x:v>Logistik</x:v>
      </x:c>
      <x:c r="F2075" s="5" t="str">
        <x:v>ui-hq-0022</x:v>
      </x:c>
      <x:c r="G2075" s="5" t="str">
        <x:v>Einkauf und Beschaffung</x:v>
      </x:c>
      <x:c r="H2075" s="5" t="str">
        <x:v>dg-hq-0097</x:v>
      </x:c>
      <x:c r="I2075" s="5" t="str">
        <x:v>7.1.3</x:v>
      </x:c>
      <x:c r="J2075" s="5" t="str">
        <x:v>Beschaffungsprozess</x:v>
      </x:c>
      <x:c r="K2075" s="5" t="str"/>
      <x:c r="L2075" s="5" t="str">
        <x:v>Bedarfsermittlung, Liefermengen &amp; Lieferzeitpunkte</x:v>
      </x:c>
      <x:c r="M2075" s="5" t="n">
        <x:v>93</x:v>
      </x:c>
      <x:c r="N2075" s="5" t="n">
        <x:v>1</x:v>
      </x:c>
      <x:c r="O2075" s="5" t="str"/>
      <x:c r="P2075" s="5" t="str">
        <x:v>Zuordnungsvorschlag; Fachfreigabe ausstehend</x:v>
      </x:c>
      <x:c r="Q2075" s="5" t="str">
        <x:v>Bestehendes Lernthema fachlich unter passendem Rahmenplan-Unterbereich behalten</x:v>
      </x:c>
      <x:c r="R2075" s="5" t="str">
        <x:v>Was zeigt ein Gozintograph?</x:v>
      </x:c>
      <x:c r="S2075" s="5" t="str">
        <x:v>02d3c2d7581b8e3b2dc039a79ca54fce9f22fa8da211e83669e802346218de1f</x:v>
      </x:c>
    </x:row>
    <x:row r="2076" ht="36" customHeight="1">
      <x:c r="A2076" s="5" t="str">
        <x:v>L-0097</x:v>
      </x:c>
      <x:c r="B2076" s="5" t="str">
        <x:v>HQ</x:v>
      </x:c>
      <x:c r="C2076" s="5" t="str">
        <x:v>7</x:v>
      </x:c>
      <x:c r="D2076" s="5" t="str">
        <x:v>Logistik</x:v>
      </x:c>
      <x:c r="E2076" s="5" t="str">
        <x:v>Logistik</x:v>
      </x:c>
      <x:c r="F2076" s="5" t="str">
        <x:v>ui-hq-0022</x:v>
      </x:c>
      <x:c r="G2076" s="5" t="str">
        <x:v>Einkauf und Beschaffung</x:v>
      </x:c>
      <x:c r="H2076" s="5" t="str">
        <x:v>dg-hq-0097</x:v>
      </x:c>
      <x:c r="I2076" s="5" t="str">
        <x:v>7.1.3</x:v>
      </x:c>
      <x:c r="J2076" s="5" t="str">
        <x:v>Beschaffungsprozess</x:v>
      </x:c>
      <x:c r="K2076" s="5" t="str"/>
      <x:c r="L2076" s="5" t="str">
        <x:v>Bedarfsermittlung, Liefermengen &amp; Lieferzeitpunkte</x:v>
      </x:c>
      <x:c r="M2076" s="5" t="n">
        <x:v>94</x:v>
      </x:c>
      <x:c r="N2076" s="5" t="n">
        <x:v>2</x:v>
      </x:c>
      <x:c r="O2076" s="5" t="str"/>
      <x:c r="P2076" s="5" t="str">
        <x:v>Zuordnungsvorschlag; Fachfreigabe ausstehend</x:v>
      </x:c>
      <x:c r="Q2076" s="5" t="str">
        <x:v>Bestehendes Lernthema fachlich unter passendem Rahmenplan-Unterbereich behalten</x:v>
      </x:c>
      <x:c r="R2076" s="5" t="str">
        <x:v>Was ist eine Strukturstückliste?</x:v>
      </x:c>
      <x:c r="S2076" s="5" t="str">
        <x:v>59571c6d67bb7b2f4b21437b93d501de700e1665d4bcee3a5f38d5e4b64228cb</x:v>
      </x:c>
    </x:row>
    <x:row r="2077" ht="36" customHeight="1">
      <x:c r="A2077" s="5" t="str">
        <x:v>L-0098</x:v>
      </x:c>
      <x:c r="B2077" s="5" t="str">
        <x:v>HQ</x:v>
      </x:c>
      <x:c r="C2077" s="5" t="str">
        <x:v>7</x:v>
      </x:c>
      <x:c r="D2077" s="5" t="str">
        <x:v>Logistik</x:v>
      </x:c>
      <x:c r="E2077" s="5" t="str">
        <x:v>Logistik</x:v>
      </x:c>
      <x:c r="F2077" s="5" t="str">
        <x:v>ui-hq-0022</x:v>
      </x:c>
      <x:c r="G2077" s="5" t="str">
        <x:v>Einkauf und Beschaffung</x:v>
      </x:c>
      <x:c r="H2077" s="5" t="str">
        <x:v>dg-hq-0097</x:v>
      </x:c>
      <x:c r="I2077" s="5" t="str">
        <x:v>7.1.3</x:v>
      </x:c>
      <x:c r="J2077" s="5" t="str">
        <x:v>Beschaffungsprozess</x:v>
      </x:c>
      <x:c r="K2077" s="5" t="str"/>
      <x:c r="L2077" s="5" t="str">
        <x:v>Bedarfsermittlung, Liefermengen &amp; Lieferzeitpunkte</x:v>
      </x:c>
      <x:c r="M2077" s="5" t="n">
        <x:v>95</x:v>
      </x:c>
      <x:c r="N2077" s="5" t="n">
        <x:v>3</x:v>
      </x:c>
      <x:c r="O2077" s="5" t="str"/>
      <x:c r="P2077" s="5" t="str">
        <x:v>Zuordnungsvorschlag; Fachfreigabe ausstehend</x:v>
      </x:c>
      <x:c r="Q2077" s="5" t="str">
        <x:v>Bestehendes Lernthema fachlich unter passendem Rahmenplan-Unterbereich behalten</x:v>
      </x:c>
      <x:c r="R2077" s="5" t="str">
        <x:v>Vergleichen Sie Strukturstückliste, Mengenstückliste und Baukastenstückliste. Worin unterscheiden sie sich hinsichtlich Aufbau und Informationsgehalt?</x:v>
      </x:c>
      <x:c r="S2077" s="5" t="str">
        <x:v>83ec2f03b145c9ee2a7adc29962405d117ca436e384e4282d5150e220a9857b1</x:v>
      </x:c>
    </x:row>
    <x:row r="2078" ht="36" customHeight="1">
      <x:c r="A2078" s="5" t="str">
        <x:v>L-0099</x:v>
      </x:c>
      <x:c r="B2078" s="5" t="str">
        <x:v>HQ</x:v>
      </x:c>
      <x:c r="C2078" s="5" t="str">
        <x:v>7</x:v>
      </x:c>
      <x:c r="D2078" s="5" t="str">
        <x:v>Logistik</x:v>
      </x:c>
      <x:c r="E2078" s="5" t="str">
        <x:v>Logistik</x:v>
      </x:c>
      <x:c r="F2078" s="5" t="str">
        <x:v>ui-hq-0022</x:v>
      </x:c>
      <x:c r="G2078" s="5" t="str">
        <x:v>Einkauf und Beschaffung</x:v>
      </x:c>
      <x:c r="H2078" s="5" t="str">
        <x:v>dg-hq-0097</x:v>
      </x:c>
      <x:c r="I2078" s="5" t="str">
        <x:v>7.1.3</x:v>
      </x:c>
      <x:c r="J2078" s="5" t="str">
        <x:v>Beschaffungsprozess</x:v>
      </x:c>
      <x:c r="K2078" s="5" t="str"/>
      <x:c r="L2078" s="5" t="str">
        <x:v>Bedarfsermittlung, Liefermengen &amp; Lieferzeitpunkte</x:v>
      </x:c>
      <x:c r="M2078" s="5" t="n">
        <x:v>96</x:v>
      </x:c>
      <x:c r="N2078" s="5" t="n">
        <x:v>4</x:v>
      </x:c>
      <x:c r="O2078" s="5" t="str"/>
      <x:c r="P2078" s="5" t="str">
        <x:v>Zuordnungsvorschlag; Fachfreigabe ausstehend</x:v>
      </x:c>
      <x:c r="Q2078" s="5" t="str">
        <x:v>Bestehendes Lernthema fachlich unter passendem Rahmenplan-Unterbereich behalten</x:v>
      </x:c>
      <x:c r="R2078" s="5" t="str">
        <x:v>Was ist eine Mengenstückliste?</x:v>
      </x:c>
      <x:c r="S2078" s="5" t="str">
        <x:v>7a1d096dc03ae186a2f2279e12e6a78b6569758ecb3a602f0fe9243a1a79aa7d</x:v>
      </x:c>
    </x:row>
    <x:row r="2079" ht="36" customHeight="1">
      <x:c r="A2079" s="5" t="str">
        <x:v>L-0100</x:v>
      </x:c>
      <x:c r="B2079" s="5" t="str">
        <x:v>HQ</x:v>
      </x:c>
      <x:c r="C2079" s="5" t="str">
        <x:v>7</x:v>
      </x:c>
      <x:c r="D2079" s="5" t="str">
        <x:v>Logistik</x:v>
      </x:c>
      <x:c r="E2079" s="5" t="str">
        <x:v>Logistik</x:v>
      </x:c>
      <x:c r="F2079" s="5" t="str">
        <x:v>ui-hq-0022</x:v>
      </x:c>
      <x:c r="G2079" s="5" t="str">
        <x:v>Einkauf und Beschaffung</x:v>
      </x:c>
      <x:c r="H2079" s="5" t="str">
        <x:v>dg-hq-0097</x:v>
      </x:c>
      <x:c r="I2079" s="5" t="str">
        <x:v>7.1.3</x:v>
      </x:c>
      <x:c r="J2079" s="5" t="str">
        <x:v>Beschaffungsprozess</x:v>
      </x:c>
      <x:c r="K2079" s="5" t="str"/>
      <x:c r="L2079" s="5" t="str">
        <x:v>Bedarfsermittlung, Liefermengen &amp; Lieferzeitpunkte</x:v>
      </x:c>
      <x:c r="M2079" s="5" t="n">
        <x:v>97</x:v>
      </x:c>
      <x:c r="N2079" s="5" t="n">
        <x:v>5</x:v>
      </x:c>
      <x:c r="O2079" s="5" t="str"/>
      <x:c r="P2079" s="5" t="str">
        <x:v>Zuordnungsvorschlag; Fachfreigabe ausstehend</x:v>
      </x:c>
      <x:c r="Q2079" s="5" t="str">
        <x:v>Bestehendes Lernthema fachlich unter passendem Rahmenplan-Unterbereich behalten</x:v>
      </x:c>
      <x:c r="R2079" s="5" t="str">
        <x:v>Was ist eine Baukastenstückliste?</x:v>
      </x:c>
      <x:c r="S2079" s="5" t="str">
        <x:v>a2f25a9af7d04495cb13881e7944bb457fe593b7d31466110fd53a10b918cc7b</x:v>
      </x:c>
    </x:row>
    <x:row r="2080" ht="36" customHeight="1">
      <x:c r="A2080" s="5" t="str">
        <x:v>L-0101</x:v>
      </x:c>
      <x:c r="B2080" s="5" t="str">
        <x:v>HQ</x:v>
      </x:c>
      <x:c r="C2080" s="5" t="str">
        <x:v>7</x:v>
      </x:c>
      <x:c r="D2080" s="5" t="str">
        <x:v>Logistik</x:v>
      </x:c>
      <x:c r="E2080" s="5" t="str">
        <x:v>Logistik</x:v>
      </x:c>
      <x:c r="F2080" s="5" t="str">
        <x:v>ui-hq-0022</x:v>
      </x:c>
      <x:c r="G2080" s="5" t="str">
        <x:v>Einkauf und Beschaffung</x:v>
      </x:c>
      <x:c r="H2080" s="5" t="str">
        <x:v>dg-hq-0097</x:v>
      </x:c>
      <x:c r="I2080" s="5" t="str">
        <x:v>7.1.3</x:v>
      </x:c>
      <x:c r="J2080" s="5" t="str">
        <x:v>Beschaffungsprozess</x:v>
      </x:c>
      <x:c r="K2080" s="5" t="str"/>
      <x:c r="L2080" s="5" t="str">
        <x:v>Bedarfsermittlung, Liefermengen &amp; Lieferzeitpunkte</x:v>
      </x:c>
      <x:c r="M2080" s="5" t="n">
        <x:v>98</x:v>
      </x:c>
      <x:c r="N2080" s="5" t="n">
        <x:v>6</x:v>
      </x:c>
      <x:c r="O2080" s="5" t="str"/>
      <x:c r="P2080" s="5" t="str">
        <x:v>Zuordnungsvorschlag; Fachfreigabe ausstehend</x:v>
      </x:c>
      <x:c r="Q2080" s="5" t="str">
        <x:v>Bestehendes Lernthema fachlich unter passendem Rahmenplan-Unterbereich behalten</x:v>
      </x:c>
      <x:c r="R2080" s="5" t="str">
        <x:v>Was ist ein Teileverwendungsnachweis?</x:v>
      </x:c>
      <x:c r="S2080" s="5" t="str">
        <x:v>f04ee9db1d4e57b6c56c678b0993fc9cc7a68547139472b5296baa9110773a87</x:v>
      </x:c>
    </x:row>
    <x:row r="2081" ht="36" customHeight="1">
      <x:c r="A2081" s="5" t="str">
        <x:v>L-0102</x:v>
      </x:c>
      <x:c r="B2081" s="5" t="str">
        <x:v>HQ</x:v>
      </x:c>
      <x:c r="C2081" s="5" t="str">
        <x:v>7</x:v>
      </x:c>
      <x:c r="D2081" s="5" t="str">
        <x:v>Logistik</x:v>
      </x:c>
      <x:c r="E2081" s="5" t="str">
        <x:v>Logistik</x:v>
      </x:c>
      <x:c r="F2081" s="5" t="str">
        <x:v>ui-hq-0022</x:v>
      </x:c>
      <x:c r="G2081" s="5" t="str">
        <x:v>Einkauf und Beschaffung</x:v>
      </x:c>
      <x:c r="H2081" s="5" t="str">
        <x:v>dg-hq-0092</x:v>
      </x:c>
      <x:c r="I2081" s="5" t="str">
        <x:v>7.1.2.4</x:v>
      </x:c>
      <x:c r="J2081" s="5" t="str">
        <x:v>Analysetechniken</x:v>
      </x:c>
      <x:c r="K2081" s="5" t="str"/>
      <x:c r="L2081" s="5" t="str">
        <x:v>Analysetechniken &amp; Beschaffungsstrategien</x:v>
      </x:c>
      <x:c r="M2081" s="5" t="n">
        <x:v>99</x:v>
      </x:c>
      <x:c r="N2081" s="5" t="n">
        <x:v>22</x:v>
      </x:c>
      <x:c r="O2081" s="5" t="str"/>
      <x:c r="P2081" s="5" t="str">
        <x:v>Zuordnungsvorschlag; Fachfreigabe ausstehend</x:v>
      </x:c>
      <x:c r="Q2081" s="5" t="str">
        <x:v>Bestehendes Lernthema fachlich unter passendem Rahmenplan-Unterbereich behalten</x:v>
      </x:c>
      <x:c r="R2081" s="5" t="str">
        <x:v>Wie wird die ABC-Analyse durchgeführt?</x:v>
      </x:c>
      <x:c r="S2081" s="5" t="str">
        <x:v>8c321b528aafa180b70cafa2e5d79c3e4f799774a12ba3990f1493eef28583d5</x:v>
      </x:c>
    </x:row>
    <x:row r="2082" ht="36" customHeight="1">
      <x:c r="A2082" s="5" t="str">
        <x:v>L-0103</x:v>
      </x:c>
      <x:c r="B2082" s="5" t="str">
        <x:v>HQ</x:v>
      </x:c>
      <x:c r="C2082" s="5" t="str">
        <x:v>7</x:v>
      </x:c>
      <x:c r="D2082" s="5" t="str">
        <x:v>Logistik</x:v>
      </x:c>
      <x:c r="E2082" s="5" t="str">
        <x:v>Logistik</x:v>
      </x:c>
      <x:c r="F2082" s="5" t="str">
        <x:v>ui-hq-0022</x:v>
      </x:c>
      <x:c r="G2082" s="5" t="str">
        <x:v>Einkauf und Beschaffung</x:v>
      </x:c>
      <x:c r="H2082" s="5" t="str">
        <x:v>dg-hq-0092</x:v>
      </x:c>
      <x:c r="I2082" s="5" t="str">
        <x:v>7.1.2.4</x:v>
      </x:c>
      <x:c r="J2082" s="5" t="str">
        <x:v>Analysetechniken</x:v>
      </x:c>
      <x:c r="K2082" s="5" t="str"/>
      <x:c r="L2082" s="5" t="str">
        <x:v>Analysetechniken &amp; Beschaffungsstrategien</x:v>
      </x:c>
      <x:c r="M2082" s="5" t="n">
        <x:v>100</x:v>
      </x:c>
      <x:c r="N2082" s="5" t="n">
        <x:v>23</x:v>
      </x:c>
      <x:c r="O2082" s="5" t="str"/>
      <x:c r="P2082" s="5" t="str">
        <x:v>Zuordnungsvorschlag; Fachfreigabe ausstehend</x:v>
      </x:c>
      <x:c r="Q2082" s="5" t="str">
        <x:v>Bestehendes Lernthema fachlich unter passendem Rahmenplan-Unterbereich behalten</x:v>
      </x:c>
      <x:c r="R2082" s="5" t="str">
        <x:v>Warum liegt der Fokus auf A-Artikeln?</x:v>
      </x:c>
      <x:c r="S2082" s="5" t="str">
        <x:v>030d4264df68c5f7cb6484db056ba8677e596352cb9db2e4aaef6a36a4c0bd10</x:v>
      </x:c>
    </x:row>
    <x:row r="2083" ht="36" customHeight="1">
      <x:c r="A2083" s="5" t="str">
        <x:v>L-0104</x:v>
      </x:c>
      <x:c r="B2083" s="5" t="str">
        <x:v>HQ</x:v>
      </x:c>
      <x:c r="C2083" s="5" t="str">
        <x:v>7</x:v>
      </x:c>
      <x:c r="D2083" s="5" t="str">
        <x:v>Logistik</x:v>
      </x:c>
      <x:c r="E2083" s="5" t="str">
        <x:v>Logistik</x:v>
      </x:c>
      <x:c r="F2083" s="5" t="str">
        <x:v>ui-hq-0022</x:v>
      </x:c>
      <x:c r="G2083" s="5" t="str">
        <x:v>Einkauf und Beschaffung</x:v>
      </x:c>
      <x:c r="H2083" s="5" t="str">
        <x:v>dg-hq-0091</x:v>
      </x:c>
      <x:c r="I2083" s="5" t="str">
        <x:v>7.1.1</x:v>
      </x:c>
      <x:c r="J2083" s="5" t="str">
        <x:v>Grundlagen der Logistik</x:v>
      </x:c>
      <x:c r="K2083" s="5" t="str"/>
      <x:c r="L2083" s="5" t="str">
        <x:v>Logistikgrundlagen, Wertschöpfungskette &amp; SCM</x:v>
      </x:c>
      <x:c r="M2083" s="5" t="n">
        <x:v>101</x:v>
      </x:c>
      <x:c r="N2083" s="5" t="n">
        <x:v>36</x:v>
      </x:c>
      <x:c r="O2083" s="5" t="str"/>
      <x:c r="P2083" s="5" t="str">
        <x:v>Zuordnungsvorschlag; Fachfreigabe ausstehend</x:v>
      </x:c>
      <x:c r="Q2083" s="5" t="str">
        <x:v>Bestehendes Lernthema fachlich unter passendem Rahmenplan-Unterbereich behalten</x:v>
      </x:c>
      <x:c r="R2083" s="5" t="str">
        <x:v>Welche Aufgaben erfüllt die Beschaffungslogistik innerhalb eines Unternehmens?</x:v>
      </x:c>
      <x:c r="S2083" s="5" t="str">
        <x:v>2b37ac9df6e3752819f5f6f6c655ace38174e6bdbaf6f20aad2f60f9bcd7e3e5</x:v>
      </x:c>
    </x:row>
    <x:row r="2084" ht="36" customHeight="1">
      <x:c r="A2084" s="5" t="str">
        <x:v>L-0105</x:v>
      </x:c>
      <x:c r="B2084" s="5" t="str">
        <x:v>HQ</x:v>
      </x:c>
      <x:c r="C2084" s="5" t="str">
        <x:v>7</x:v>
      </x:c>
      <x:c r="D2084" s="5" t="str">
        <x:v>Logistik</x:v>
      </x:c>
      <x:c r="E2084" s="5" t="str">
        <x:v>Logistik</x:v>
      </x:c>
      <x:c r="F2084" s="5" t="str">
        <x:v>ui-hq-0022</x:v>
      </x:c>
      <x:c r="G2084" s="5" t="str">
        <x:v>Einkauf und Beschaffung</x:v>
      </x:c>
      <x:c r="H2084" s="5" t="str">
        <x:v>dg-hq-0091</x:v>
      </x:c>
      <x:c r="I2084" s="5" t="str">
        <x:v>7.1.1</x:v>
      </x:c>
      <x:c r="J2084" s="5" t="str">
        <x:v>Grundlagen der Logistik</x:v>
      </x:c>
      <x:c r="K2084" s="5" t="str"/>
      <x:c r="L2084" s="5" t="str">
        <x:v>Logistikgrundlagen, Wertschöpfungskette &amp; SCM</x:v>
      </x:c>
      <x:c r="M2084" s="5" t="n">
        <x:v>102</x:v>
      </x:c>
      <x:c r="N2084" s="5" t="n">
        <x:v>37</x:v>
      </x:c>
      <x:c r="O2084" s="5" t="str"/>
      <x:c r="P2084" s="5" t="str">
        <x:v>Zuordnungsvorschlag; Fachfreigabe ausstehend</x:v>
      </x:c>
      <x:c r="Q2084" s="5" t="str">
        <x:v>Bestehendes Lernthema fachlich unter passendem Rahmenplan-Unterbereich behalten</x:v>
      </x:c>
      <x:c r="R2084" s="5" t="str">
        <x:v>Welche Aufgaben erfüllt die Produktionslogistik innerhalb eines Unternehmens?</x:v>
      </x:c>
      <x:c r="S2084" s="5" t="str">
        <x:v>230d8358db8db4a0c634c54d682fb98a5ea65c18a65b6329bd084edb1b614b3c</x:v>
      </x:c>
    </x:row>
    <x:row r="2085" ht="36" customHeight="1">
      <x:c r="A2085" s="5" t="str">
        <x:v>L-0106</x:v>
      </x:c>
      <x:c r="B2085" s="5" t="str">
        <x:v>HQ</x:v>
      </x:c>
      <x:c r="C2085" s="5" t="str">
        <x:v>7</x:v>
      </x:c>
      <x:c r="D2085" s="5" t="str">
        <x:v>Logistik</x:v>
      </x:c>
      <x:c r="E2085" s="5" t="str">
        <x:v>Logistik</x:v>
      </x:c>
      <x:c r="F2085" s="5" t="str">
        <x:v>ui-hq-0022</x:v>
      </x:c>
      <x:c r="G2085" s="5" t="str">
        <x:v>Einkauf und Beschaffung</x:v>
      </x:c>
      <x:c r="H2085" s="5" t="str">
        <x:v>dg-hq-0091</x:v>
      </x:c>
      <x:c r="I2085" s="5" t="str">
        <x:v>7.1.1</x:v>
      </x:c>
      <x:c r="J2085" s="5" t="str">
        <x:v>Grundlagen der Logistik</x:v>
      </x:c>
      <x:c r="K2085" s="5" t="str"/>
      <x:c r="L2085" s="5" t="str">
        <x:v>Logistikgrundlagen, Wertschöpfungskette &amp; SCM</x:v>
      </x:c>
      <x:c r="M2085" s="5" t="n">
        <x:v>103</x:v>
      </x:c>
      <x:c r="N2085" s="5" t="n">
        <x:v>38</x:v>
      </x:c>
      <x:c r="O2085" s="5" t="str"/>
      <x:c r="P2085" s="5" t="str">
        <x:v>Zuordnungsvorschlag; Fachfreigabe ausstehend</x:v>
      </x:c>
      <x:c r="Q2085" s="5" t="str">
        <x:v>Bestehendes Lernthema fachlich unter passendem Rahmenplan-Unterbereich behalten</x:v>
      </x:c>
      <x:c r="R2085" s="5" t="str">
        <x:v>Welche Aufgaben erfüllt die Distributionslogistik innerhalb eines Unternehmens?</x:v>
      </x:c>
      <x:c r="S2085" s="5" t="str">
        <x:v>4e9edd703e58b2af8baaf9b7740da5ed23d19fa37fbfcba7470bdd19f1c0350f</x:v>
      </x:c>
    </x:row>
    <x:row r="2086" ht="36" customHeight="1">
      <x:c r="A2086" s="5" t="str">
        <x:v>L-0107</x:v>
      </x:c>
      <x:c r="B2086" s="5" t="str">
        <x:v>HQ</x:v>
      </x:c>
      <x:c r="C2086" s="5" t="str">
        <x:v>7</x:v>
      </x:c>
      <x:c r="D2086" s="5" t="str">
        <x:v>Logistik</x:v>
      </x:c>
      <x:c r="E2086" s="5" t="str">
        <x:v>Logistik</x:v>
      </x:c>
      <x:c r="F2086" s="5" t="str">
        <x:v>ui-hq-0022</x:v>
      </x:c>
      <x:c r="G2086" s="5" t="str">
        <x:v>Einkauf und Beschaffung</x:v>
      </x:c>
      <x:c r="H2086" s="5" t="str">
        <x:v>dg-hq-0091</x:v>
      </x:c>
      <x:c r="I2086" s="5" t="str">
        <x:v>7.1.1</x:v>
      </x:c>
      <x:c r="J2086" s="5" t="str">
        <x:v>Grundlagen der Logistik</x:v>
      </x:c>
      <x:c r="K2086" s="5" t="str"/>
      <x:c r="L2086" s="5" t="str">
        <x:v>Logistikgrundlagen, Wertschöpfungskette &amp; SCM</x:v>
      </x:c>
      <x:c r="M2086" s="5" t="n">
        <x:v>104</x:v>
      </x:c>
      <x:c r="N2086" s="5" t="n">
        <x:v>39</x:v>
      </x:c>
      <x:c r="O2086" s="5" t="str"/>
      <x:c r="P2086" s="5" t="str">
        <x:v>Zuordnungsvorschlag; Fachfreigabe ausstehend</x:v>
      </x:c>
      <x:c r="Q2086" s="5" t="str">
        <x:v>Bestehendes Lernthema fachlich unter passendem Rahmenplan-Unterbereich behalten</x:v>
      </x:c>
      <x:c r="R2086" s="5" t="str">
        <x:v>Erläutern Sie den Begriff Supply-Chain-Management sowie dessen Ziele und Voraussetzungen.</x:v>
      </x:c>
      <x:c r="S2086" s="5" t="str">
        <x:v>44dc5825754300aed7ee3be2f389c77b39742d7ce29a6d6aabae4ce6aee25be3</x:v>
      </x:c>
    </x:row>
    <x:row r="2087" ht="36" customHeight="1">
      <x:c r="A2087" s="5" t="str">
        <x:v>L-0108</x:v>
      </x:c>
      <x:c r="B2087" s="5" t="str">
        <x:v>HQ</x:v>
      </x:c>
      <x:c r="C2087" s="5" t="str">
        <x:v>7</x:v>
      </x:c>
      <x:c r="D2087" s="5" t="str">
        <x:v>Logistik</x:v>
      </x:c>
      <x:c r="E2087" s="5" t="str">
        <x:v>Logistik</x:v>
      </x:c>
      <x:c r="F2087" s="5" t="str">
        <x:v>ui-hq-0022</x:v>
      </x:c>
      <x:c r="G2087" s="5" t="str">
        <x:v>Einkauf und Beschaffung</x:v>
      </x:c>
      <x:c r="H2087" s="5" t="str">
        <x:v>dg-hq-0094</x:v>
      </x:c>
      <x:c r="I2087" s="5" t="str">
        <x:v>7.1.2.1</x:v>
      </x:c>
      <x:c r="J2087" s="5" t="str">
        <x:v>Der Ablauf</x:v>
      </x:c>
      <x:c r="K2087" s="5" t="str"/>
      <x:c r="L2087" s="5" t="str">
        <x:v>Einkaufsorganisation &amp; Beschaffungsprozess</x:v>
      </x:c>
      <x:c r="M2087" s="5" t="n">
        <x:v>105</x:v>
      </x:c>
      <x:c r="N2087" s="5" t="n">
        <x:v>15</x:v>
      </x:c>
      <x:c r="O2087" s="5" t="str"/>
      <x:c r="P2087" s="5" t="str">
        <x:v>Zuordnungsvorschlag; Fachfreigabe ausstehend</x:v>
      </x:c>
      <x:c r="Q2087" s="5" t="str">
        <x:v>Bestehendes Lernthema fachlich unter passendem Rahmenplan-Unterbereich behalten</x:v>
      </x:c>
      <x:c r="R2087" s="5" t="str">
        <x:v>Ordnen Sie die folgenden Merkmale dem zentralen oder dezentralen Einkauf zu.</x:v>
      </x:c>
      <x:c r="S2087" s="5" t="str">
        <x:v>bdf82710c50343ccdcff03aaf667955f502e21ef5f0a8b9722e5abf23dc44b1c</x:v>
      </x:c>
    </x:row>
    <x:row r="2088" ht="36" customHeight="1">
      <x:c r="A2088" s="5" t="str">
        <x:v>L-0109</x:v>
      </x:c>
      <x:c r="B2088" s="5" t="str">
        <x:v>HQ</x:v>
      </x:c>
      <x:c r="C2088" s="5" t="str">
        <x:v>7</x:v>
      </x:c>
      <x:c r="D2088" s="5" t="str">
        <x:v>Logistik</x:v>
      </x:c>
      <x:c r="E2088" s="5" t="str">
        <x:v>Logistik</x:v>
      </x:c>
      <x:c r="F2088" s="5" t="str">
        <x:v>ui-hq-0022</x:v>
      </x:c>
      <x:c r="G2088" s="5" t="str">
        <x:v>Einkauf und Beschaffung</x:v>
      </x:c>
      <x:c r="H2088" s="5" t="str">
        <x:v>dg-hq-0094</x:v>
      </x:c>
      <x:c r="I2088" s="5" t="str">
        <x:v>7.1.2.1</x:v>
      </x:c>
      <x:c r="J2088" s="5" t="str">
        <x:v>Der Ablauf</x:v>
      </x:c>
      <x:c r="K2088" s="5" t="str"/>
      <x:c r="L2088" s="5" t="str">
        <x:v>Einkaufsorganisation &amp; Beschaffungsprozess</x:v>
      </x:c>
      <x:c r="M2088" s="5" t="n">
        <x:v>106</x:v>
      </x:c>
      <x:c r="N2088" s="5" t="n">
        <x:v>16</x:v>
      </x:c>
      <x:c r="O2088" s="5" t="str"/>
      <x:c r="P2088" s="5" t="str">
        <x:v>Zuordnungsvorschlag; Fachfreigabe ausstehend</x:v>
      </x:c>
      <x:c r="Q2088" s="5" t="str">
        <x:v>Bestehendes Lernthema fachlich unter passendem Rahmenplan-Unterbereich behalten</x:v>
      </x:c>
      <x:c r="R2088" s="5" t="str">
        <x:v>Welche Vor- und Nachteile ergeben sich aus einem dezentralen Einkauf?</x:v>
      </x:c>
      <x:c r="S2088" s="5" t="str">
        <x:v>33f449412cc3146910c3cf2f089d1982ea5437ca15fbd2f03a1f6f49604b0c44</x:v>
      </x:c>
    </x:row>
    <x:row r="2089" ht="36" customHeight="1">
      <x:c r="A2089" s="5" t="str">
        <x:v>L-0110</x:v>
      </x:c>
      <x:c r="B2089" s="5" t="str">
        <x:v>HQ</x:v>
      </x:c>
      <x:c r="C2089" s="5" t="str">
        <x:v>7</x:v>
      </x:c>
      <x:c r="D2089" s="5" t="str">
        <x:v>Logistik</x:v>
      </x:c>
      <x:c r="E2089" s="5" t="str">
        <x:v>Logistik</x:v>
      </x:c>
      <x:c r="F2089" s="5" t="str">
        <x:v>ui-hq-0022</x:v>
      </x:c>
      <x:c r="G2089" s="5" t="str">
        <x:v>Einkauf und Beschaffung</x:v>
      </x:c>
      <x:c r="H2089" s="5" t="str">
        <x:v>dg-hq-0094</x:v>
      </x:c>
      <x:c r="I2089" s="5" t="str">
        <x:v>7.1.2.1</x:v>
      </x:c>
      <x:c r="J2089" s="5" t="str">
        <x:v>Der Ablauf</x:v>
      </x:c>
      <x:c r="K2089" s="5" t="str"/>
      <x:c r="L2089" s="5" t="str">
        <x:v>Einkaufsorganisation &amp; Beschaffungsprozess</x:v>
      </x:c>
      <x:c r="M2089" s="5" t="n">
        <x:v>107</x:v>
      </x:c>
      <x:c r="N2089" s="5" t="n">
        <x:v>17</x:v>
      </x:c>
      <x:c r="O2089" s="5" t="str"/>
      <x:c r="P2089" s="5" t="str">
        <x:v>Zuordnungsvorschlag; Fachfreigabe ausstehend</x:v>
      </x:c>
      <x:c r="Q2089" s="5" t="str">
        <x:v>Bestehendes Lernthema fachlich unter passendem Rahmenplan-Unterbereich behalten</x:v>
      </x:c>
      <x:c r="R2089" s="5" t="str">
        <x:v>Ordnen Sie die folgenden Aufgaben dem strategischen oder operativen Einkauf zu.</x:v>
      </x:c>
      <x:c r="S2089" s="5" t="str">
        <x:v>1c508cf8c1100acb550840ead328649d0964577150cbe8092aad33b5cc457777</x:v>
      </x:c>
    </x:row>
    <x:row r="2090" ht="36" customHeight="1">
      <x:c r="A2090" s="5" t="str">
        <x:v>L-0111</x:v>
      </x:c>
      <x:c r="B2090" s="5" t="str">
        <x:v>HQ</x:v>
      </x:c>
      <x:c r="C2090" s="5" t="str">
        <x:v>7</x:v>
      </x:c>
      <x:c r="D2090" s="5" t="str">
        <x:v>Logistik</x:v>
      </x:c>
      <x:c r="E2090" s="5" t="str">
        <x:v>Logistik</x:v>
      </x:c>
      <x:c r="F2090" s="5" t="str">
        <x:v>ui-hq-0022</x:v>
      </x:c>
      <x:c r="G2090" s="5" t="str">
        <x:v>Einkauf und Beschaffung</x:v>
      </x:c>
      <x:c r="H2090" s="5" t="str">
        <x:v>dg-hq-0094</x:v>
      </x:c>
      <x:c r="I2090" s="5" t="str">
        <x:v>7.1.2.1</x:v>
      </x:c>
      <x:c r="J2090" s="5" t="str">
        <x:v>Der Ablauf</x:v>
      </x:c>
      <x:c r="K2090" s="5" t="str"/>
      <x:c r="L2090" s="5" t="str">
        <x:v>Einkaufsorganisation &amp; Beschaffungsprozess</x:v>
      </x:c>
      <x:c r="M2090" s="5" t="n">
        <x:v>108</x:v>
      </x:c>
      <x:c r="N2090" s="5" t="n">
        <x:v>18</x:v>
      </x:c>
      <x:c r="O2090" s="5" t="str"/>
      <x:c r="P2090" s="5" t="str">
        <x:v>Zuordnungsvorschlag; Fachfreigabe ausstehend</x:v>
      </x:c>
      <x:c r="Q2090" s="5" t="str">
        <x:v>Bestehendes Lernthema fachlich unter passendem Rahmenplan-Unterbereich behalten</x:v>
      </x:c>
      <x:c r="R2090" s="5" t="str">
        <x:v>Welche Schritte umfasst der Beschaffungsprozess von der Bedarfsmeldung bis zur Rechnungsprüfung?</x:v>
      </x:c>
      <x:c r="S2090" s="5" t="str">
        <x:v>d5866494babdb621ef31ac3d86d87a70989c9ff71aa0588e53bfde29e06ff0e8</x:v>
      </x:c>
    </x:row>
    <x:row r="2091" ht="36" customHeight="1">
      <x:c r="A2091" s="5" t="str">
        <x:v>L-0112</x:v>
      </x:c>
      <x:c r="B2091" s="5" t="str">
        <x:v>HQ</x:v>
      </x:c>
      <x:c r="C2091" s="5" t="str">
        <x:v>7</x:v>
      </x:c>
      <x:c r="D2091" s="5" t="str">
        <x:v>Logistik</x:v>
      </x:c>
      <x:c r="E2091" s="5" t="str">
        <x:v>Logistik</x:v>
      </x:c>
      <x:c r="F2091" s="5" t="str">
        <x:v>ui-hq-0022</x:v>
      </x:c>
      <x:c r="G2091" s="5" t="str">
        <x:v>Einkauf und Beschaffung</x:v>
      </x:c>
      <x:c r="H2091" s="5" t="str">
        <x:v>dg-hq-0094</x:v>
      </x:c>
      <x:c r="I2091" s="5" t="str">
        <x:v>7.1.2.1</x:v>
      </x:c>
      <x:c r="J2091" s="5" t="str">
        <x:v>Der Ablauf</x:v>
      </x:c>
      <x:c r="K2091" s="5" t="str"/>
      <x:c r="L2091" s="5" t="str">
        <x:v>Einkaufsorganisation &amp; Beschaffungsprozess</x:v>
      </x:c>
      <x:c r="M2091" s="5" t="n">
        <x:v>109</x:v>
      </x:c>
      <x:c r="N2091" s="5" t="n">
        <x:v>19</x:v>
      </x:c>
      <x:c r="O2091" s="5" t="str"/>
      <x:c r="P2091" s="5" t="str">
        <x:v>Zuordnungsvorschlag; Fachfreigabe ausstehend</x:v>
      </x:c>
      <x:c r="Q2091" s="5" t="str">
        <x:v>Bestehendes Lernthema fachlich unter passendem Rahmenplan-Unterbereich behalten</x:v>
      </x:c>
      <x:c r="R2091" s="5" t="str">
        <x:v>Nennen Sie jeweils zwei Vorteile und zwei Nachteile des zentralen Einkaufs.</x:v>
      </x:c>
      <x:c r="S2091" s="5" t="str">
        <x:v>7dab35d2a9cd823fae017acee65c3558b147a8ba9b36d79be6dd5660f1031510</x:v>
      </x:c>
    </x:row>
    <x:row r="2092" ht="36" customHeight="1">
      <x:c r="A2092" s="5" t="str">
        <x:v>L-0113</x:v>
      </x:c>
      <x:c r="B2092" s="5" t="str">
        <x:v>HQ</x:v>
      </x:c>
      <x:c r="C2092" s="5" t="str">
        <x:v>7</x:v>
      </x:c>
      <x:c r="D2092" s="5" t="str">
        <x:v>Logistik</x:v>
      </x:c>
      <x:c r="E2092" s="5" t="str">
        <x:v>Logistik</x:v>
      </x:c>
      <x:c r="F2092" s="5" t="str">
        <x:v>ui-hq-0022</x:v>
      </x:c>
      <x:c r="G2092" s="5" t="str">
        <x:v>Einkauf und Beschaffung</x:v>
      </x:c>
      <x:c r="H2092" s="5" t="str">
        <x:v>dg-hq-0094</x:v>
      </x:c>
      <x:c r="I2092" s="5" t="str">
        <x:v>7.1.2.1</x:v>
      </x:c>
      <x:c r="J2092" s="5" t="str">
        <x:v>Der Ablauf</x:v>
      </x:c>
      <x:c r="K2092" s="5" t="str"/>
      <x:c r="L2092" s="5" t="str">
        <x:v>Einkaufsorganisation &amp; Beschaffungsprozess</x:v>
      </x:c>
      <x:c r="M2092" s="5" t="n">
        <x:v>110</x:v>
      </x:c>
      <x:c r="N2092" s="5" t="n">
        <x:v>20</x:v>
      </x:c>
      <x:c r="O2092" s="5" t="str"/>
      <x:c r="P2092" s="5" t="str">
        <x:v>Zuordnungsvorschlag; Fachfreigabe ausstehend</x:v>
      </x:c>
      <x:c r="Q2092" s="5" t="str">
        <x:v>Bestehendes Lernthema fachlich unter passendem Rahmenplan-Unterbereich behalten</x:v>
      </x:c>
      <x:c r="R2092" s="5" t="str">
        <x:v>Nennen Sie jeweils zwei Vorteile und zwei Nachteile des dezentralen Einkaufs.</x:v>
      </x:c>
      <x:c r="S2092" s="5" t="str">
        <x:v>9af9fedad58a698f23ee0a1fb2a1de39d1131b81be7ea7460037da3a86c3475c</x:v>
      </x:c>
    </x:row>
    <x:row r="2093" ht="36" customHeight="1">
      <x:c r="A2093" s="5" t="str">
        <x:v>L-0114</x:v>
      </x:c>
      <x:c r="B2093" s="5" t="str">
        <x:v>HQ</x:v>
      </x:c>
      <x:c r="C2093" s="5" t="str">
        <x:v>7</x:v>
      </x:c>
      <x:c r="D2093" s="5" t="str">
        <x:v>Logistik</x:v>
      </x:c>
      <x:c r="E2093" s="5" t="str">
        <x:v>Logistik</x:v>
      </x:c>
      <x:c r="F2093" s="5" t="str">
        <x:v>ui-hq-0022</x:v>
      </x:c>
      <x:c r="G2093" s="5" t="str">
        <x:v>Einkauf und Beschaffung</x:v>
      </x:c>
      <x:c r="H2093" s="5" t="str">
        <x:v>dg-hq-0094</x:v>
      </x:c>
      <x:c r="I2093" s="5" t="str">
        <x:v>7.1.2.1</x:v>
      </x:c>
      <x:c r="J2093" s="5" t="str">
        <x:v>Der Ablauf</x:v>
      </x:c>
      <x:c r="K2093" s="5" t="str"/>
      <x:c r="L2093" s="5" t="str">
        <x:v>Einkaufsorganisation &amp; Beschaffungsprozess</x:v>
      </x:c>
      <x:c r="M2093" s="5" t="n">
        <x:v>111</x:v>
      </x:c>
      <x:c r="N2093" s="5" t="n">
        <x:v>21</x:v>
      </x:c>
      <x:c r="O2093" s="5" t="str"/>
      <x:c r="P2093" s="5" t="str">
        <x:v>Zuordnungsvorschlag; Fachfreigabe ausstehend</x:v>
      </x:c>
      <x:c r="Q2093" s="5" t="str">
        <x:v>Bestehendes Lernthema fachlich unter passendem Rahmenplan-Unterbereich behalten</x:v>
      </x:c>
      <x:c r="R2093" s="5" t="str">
        <x:v>Nennen Sie mindestens ein Argument, das für eine Einteilung des Einkaufs in strategischen und operativen Einkauf spricht.</x:v>
      </x:c>
      <x:c r="S2093" s="5" t="str">
        <x:v>082d62ea531771df4fc1b1ddeec8592e2736d53ac7caa7e7e43de86dd30b3328</x:v>
      </x:c>
    </x:row>
    <x:row r="2094" ht="36" customHeight="1">
      <x:c r="A2094" s="5" t="str">
        <x:v>L-0115</x:v>
      </x:c>
      <x:c r="B2094" s="5" t="str">
        <x:v>HQ</x:v>
      </x:c>
      <x:c r="C2094" s="5" t="str">
        <x:v>7</x:v>
      </x:c>
      <x:c r="D2094" s="5" t="str">
        <x:v>Logistik</x:v>
      </x:c>
      <x:c r="E2094" s="5" t="str">
        <x:v>Logistik</x:v>
      </x:c>
      <x:c r="F2094" s="5" t="str">
        <x:v>ui-hq-0022</x:v>
      </x:c>
      <x:c r="G2094" s="5" t="str">
        <x:v>Einkauf und Beschaffung</x:v>
      </x:c>
      <x:c r="H2094" s="5" t="str">
        <x:v>dg-hq-0094</x:v>
      </x:c>
      <x:c r="I2094" s="5" t="str">
        <x:v>7.1.2.1</x:v>
      </x:c>
      <x:c r="J2094" s="5" t="str">
        <x:v>Der Ablauf</x:v>
      </x:c>
      <x:c r="K2094" s="5" t="str"/>
      <x:c r="L2094" s="5" t="str">
        <x:v>Einkaufsorganisation &amp; Beschaffungsprozess</x:v>
      </x:c>
      <x:c r="M2094" s="5" t="n">
        <x:v>112</x:v>
      </x:c>
      <x:c r="N2094" s="5" t="n">
        <x:v>22</x:v>
      </x:c>
      <x:c r="O2094" s="5" t="str"/>
      <x:c r="P2094" s="5" t="str">
        <x:v>Zuordnungsvorschlag; Fachfreigabe ausstehend</x:v>
      </x:c>
      <x:c r="Q2094" s="5" t="str">
        <x:v>Bestehendes Lernthema fachlich unter passendem Rahmenplan-Unterbereich behalten</x:v>
      </x:c>
      <x:c r="R2094" s="5" t="str">
        <x:v>Ordnen Sie die Aufgaben dem strategischen oder operativen Einkauf zu.</x:v>
      </x:c>
      <x:c r="S2094" s="5" t="str">
        <x:v>82df889ef10219a3339dad53fc4226bad09a7b39538432cfc5b36ea3b877f7d0</x:v>
      </x:c>
    </x:row>
    <x:row r="2095" ht="36" customHeight="1">
      <x:c r="A2095" s="5" t="str">
        <x:v>L-0116</x:v>
      </x:c>
      <x:c r="B2095" s="5" t="str">
        <x:v>HQ</x:v>
      </x:c>
      <x:c r="C2095" s="5" t="str">
        <x:v>7</x:v>
      </x:c>
      <x:c r="D2095" s="5" t="str">
        <x:v>Logistik</x:v>
      </x:c>
      <x:c r="E2095" s="5" t="str">
        <x:v>Logistik</x:v>
      </x:c>
      <x:c r="F2095" s="5" t="str">
        <x:v>ui-hq-0022</x:v>
      </x:c>
      <x:c r="G2095" s="5" t="str">
        <x:v>Einkauf und Beschaffung</x:v>
      </x:c>
      <x:c r="H2095" s="5" t="str">
        <x:v>dg-hq-0094</x:v>
      </x:c>
      <x:c r="I2095" s="5" t="str">
        <x:v>7.1.2.1</x:v>
      </x:c>
      <x:c r="J2095" s="5" t="str">
        <x:v>Der Ablauf</x:v>
      </x:c>
      <x:c r="K2095" s="5" t="str"/>
      <x:c r="L2095" s="5" t="str">
        <x:v>Einkaufsorganisation &amp; Beschaffungsprozess</x:v>
      </x:c>
      <x:c r="M2095" s="5" t="n">
        <x:v>113</x:v>
      </x:c>
      <x:c r="N2095" s="5" t="n">
        <x:v>23</x:v>
      </x:c>
      <x:c r="O2095" s="5" t="str"/>
      <x:c r="P2095" s="5" t="str">
        <x:v>Zuordnungsvorschlag; Fachfreigabe ausstehend</x:v>
      </x:c>
      <x:c r="Q2095" s="5" t="str">
        <x:v>Bestehendes Lernthema fachlich unter passendem Rahmenplan-Unterbereich behalten</x:v>
      </x:c>
      <x:c r="R2095" s="5" t="str">
        <x:v>Bringen Sie die Schritte des Beschaffungsvorgangs in die richtige Reihenfolge.</x:v>
      </x:c>
      <x:c r="S2095" s="5" t="str">
        <x:v>2f4dd9c7a47b0aa48070482741f8c50649861955256c0296871579f9d88f8ba3</x:v>
      </x:c>
    </x:row>
    <x:row r="2096" ht="36" customHeight="1">
      <x:c r="A2096" s="5" t="str">
        <x:v>L-0117</x:v>
      </x:c>
      <x:c r="B2096" s="5" t="str">
        <x:v>HQ</x:v>
      </x:c>
      <x:c r="C2096" s="5" t="str">
        <x:v>7</x:v>
      </x:c>
      <x:c r="D2096" s="5" t="str">
        <x:v>Logistik</x:v>
      </x:c>
      <x:c r="E2096" s="5" t="str">
        <x:v>Logistik</x:v>
      </x:c>
      <x:c r="F2096" s="5" t="str">
        <x:v>ui-hq-0022</x:v>
      </x:c>
      <x:c r="G2096" s="5" t="str">
        <x:v>Einkauf und Beschaffung</x:v>
      </x:c>
      <x:c r="H2096" s="5" t="str">
        <x:v>dg-hq-0094</x:v>
      </x:c>
      <x:c r="I2096" s="5" t="str">
        <x:v>7.1.2.1#2</x:v>
      </x:c>
      <x:c r="J2096" s="5" t="str">
        <x:v>Angebot</x:v>
      </x:c>
      <x:c r="K2096" s="5" t="str"/>
      <x:c r="L2096" s="5" t="str">
        <x:v>Einkaufsorganisation &amp; Beschaffungsprozess</x:v>
      </x:c>
      <x:c r="M2096" s="5" t="n">
        <x:v>114</x:v>
      </x:c>
      <x:c r="N2096" s="5" t="n">
        <x:v>24</x:v>
      </x:c>
      <x:c r="O2096" s="5" t="str"/>
      <x:c r="P2096" s="5" t="str">
        <x:v>Zuordnungsvorschlag; Fachfreigabe ausstehend</x:v>
      </x:c>
      <x:c r="Q2096" s="5" t="str">
        <x:v>Bestehendes Lernthema fachlich unter passendem Rahmenplan-Unterbereich behalten</x:v>
      </x:c>
      <x:c r="R2096" s="5" t="str">
        <x:v>Führen Sie den Angebotsvergleich für 15.000 kg Kunststoffgranulat durch. Ermitteln Sie für die drei Angebote den Bezugspreis und den Preis pro kg. Welches Angebot sollte angenommen werden?</x:v>
      </x:c>
      <x:c r="S2096" s="5" t="str">
        <x:v>a5e8c25f48d6c093fc5e5e7dabebb0186637106eacfea490e2fcf34bdfa36788</x:v>
      </x:c>
    </x:row>
    <x:row r="2097" ht="36" customHeight="1">
      <x:c r="A2097" s="5" t="str">
        <x:v>L-0118</x:v>
      </x:c>
      <x:c r="B2097" s="5" t="str">
        <x:v>HQ</x:v>
      </x:c>
      <x:c r="C2097" s="5" t="str">
        <x:v>7</x:v>
      </x:c>
      <x:c r="D2097" s="5" t="str">
        <x:v>Logistik</x:v>
      </x:c>
      <x:c r="E2097" s="5" t="str">
        <x:v>Logistik</x:v>
      </x:c>
      <x:c r="F2097" s="5" t="str">
        <x:v>ui-hq-0022</x:v>
      </x:c>
      <x:c r="G2097" s="5" t="str">
        <x:v>Einkauf und Beschaffung</x:v>
      </x:c>
      <x:c r="H2097" s="5" t="str">
        <x:v>dg-hq-0094</x:v>
      </x:c>
      <x:c r="I2097" s="5" t="str">
        <x:v>7.1.2.1</x:v>
      </x:c>
      <x:c r="J2097" s="5" t="str">
        <x:v>Der Ablauf</x:v>
      </x:c>
      <x:c r="K2097" s="5" t="str"/>
      <x:c r="L2097" s="5" t="str">
        <x:v>Einkaufsorganisation &amp; Beschaffungsprozess</x:v>
      </x:c>
      <x:c r="M2097" s="5" t="n">
        <x:v>115</x:v>
      </x:c>
      <x:c r="N2097" s="5" t="n">
        <x:v>25</x:v>
      </x:c>
      <x:c r="O2097" s="5" t="str"/>
      <x:c r="P2097" s="5" t="str">
        <x:v>Zuordnungsvorschlag; Fachfreigabe ausstehend</x:v>
      </x:c>
      <x:c r="Q2097" s="5" t="str">
        <x:v>Bestehendes Lernthema fachlich unter passendem Rahmenplan-Unterbereich behalten</x:v>
      </x:c>
      <x:c r="R2097" s="5" t="str">
        <x:v>Erklären Sie den Grundgedanken der Nutzwertanalyse.</x:v>
      </x:c>
      <x:c r="S2097" s="5" t="str">
        <x:v>453485f78d8fa88f8d62828dfe45e52752cabe12a5b9d2ecbc7a6ad7ebaa4e2a</x:v>
      </x:c>
    </x:row>
    <x:row r="2098" ht="36" customHeight="1">
      <x:c r="A2098" s="5" t="str">
        <x:v>L-0119</x:v>
      </x:c>
      <x:c r="B2098" s="5" t="str">
        <x:v>HQ</x:v>
      </x:c>
      <x:c r="C2098" s="5" t="str">
        <x:v>7</x:v>
      </x:c>
      <x:c r="D2098" s="5" t="str">
        <x:v>Logistik</x:v>
      </x:c>
      <x:c r="E2098" s="5" t="str">
        <x:v>Logistik</x:v>
      </x:c>
      <x:c r="F2098" s="5" t="str">
        <x:v>ui-hq-0022</x:v>
      </x:c>
      <x:c r="G2098" s="5" t="str">
        <x:v>Einkauf und Beschaffung</x:v>
      </x:c>
      <x:c r="H2098" s="5" t="str">
        <x:v>dg-hq-0094</x:v>
      </x:c>
      <x:c r="I2098" s="5" t="str">
        <x:v>7.1.2.1</x:v>
      </x:c>
      <x:c r="J2098" s="5" t="str">
        <x:v>Der Ablauf</x:v>
      </x:c>
      <x:c r="K2098" s="5" t="str"/>
      <x:c r="L2098" s="5" t="str">
        <x:v>Einkaufsorganisation &amp; Beschaffungsprozess</x:v>
      </x:c>
      <x:c r="M2098" s="5" t="n">
        <x:v>116</x:v>
      </x:c>
      <x:c r="N2098" s="5" t="n">
        <x:v>26</x:v>
      </x:c>
      <x:c r="O2098" s="5" t="str"/>
      <x:c r="P2098" s="5" t="str">
        <x:v>Zuordnungsvorschlag; Fachfreigabe ausstehend</x:v>
      </x:c>
      <x:c r="Q2098" s="5" t="str">
        <x:v>Bestehendes Lernthema fachlich unter passendem Rahmenplan-Unterbereich behalten</x:v>
      </x:c>
      <x:c r="R2098" s="5" t="str">
        <x:v>Fallbezug: Die folgenden betrieblichen Angaben und Situationen beziehen sich auf die Circle Harbor GmbH.
In einer Nutzwertanalyse erzielt Lieferunternehmen 1 mit 337 Punkten die höchste Gesamtpunktzahl. Welches Lieferunternehmen sollte ausgewählt werden und warum?</x:v>
      </x:c>
      <x:c r="S2098" s="5" t="str">
        <x:v>541e560a98996f2b42b9522f1bacbb5154e433f758526a7f5782755f4b6f991f</x:v>
      </x:c>
    </x:row>
    <x:row r="2099" ht="36" customHeight="1">
      <x:c r="A2099" s="5" t="str">
        <x:v>L-0120</x:v>
      </x:c>
      <x:c r="B2099" s="5" t="str">
        <x:v>HQ</x:v>
      </x:c>
      <x:c r="C2099" s="5" t="str">
        <x:v>7</x:v>
      </x:c>
      <x:c r="D2099" s="5" t="str">
        <x:v>Logistik</x:v>
      </x:c>
      <x:c r="E2099" s="5" t="str">
        <x:v>Logistik</x:v>
      </x:c>
      <x:c r="F2099" s="5" t="str">
        <x:v>ui-hq-0022</x:v>
      </x:c>
      <x:c r="G2099" s="5" t="str">
        <x:v>Einkauf und Beschaffung</x:v>
      </x:c>
      <x:c r="H2099" s="5" t="str">
        <x:v>dg-hq-0094</x:v>
      </x:c>
      <x:c r="I2099" s="5" t="str">
        <x:v>7.1.2.1</x:v>
      </x:c>
      <x:c r="J2099" s="5" t="str">
        <x:v>Der Ablauf</x:v>
      </x:c>
      <x:c r="K2099" s="5" t="str"/>
      <x:c r="L2099" s="5" t="str">
        <x:v>Einkaufsorganisation &amp; Beschaffungsprozess</x:v>
      </x:c>
      <x:c r="M2099" s="5" t="n">
        <x:v>117</x:v>
      </x:c>
      <x:c r="N2099" s="5" t="n">
        <x:v>27</x:v>
      </x:c>
      <x:c r="O2099" s="5" t="str"/>
      <x:c r="P2099" s="5" t="str">
        <x:v>Zuordnungsvorschlag; Fachfreigabe ausstehend</x:v>
      </x:c>
      <x:c r="Q2099" s="5" t="str">
        <x:v>Bestehendes Lernthema fachlich unter passendem Rahmenplan-Unterbereich behalten</x:v>
      </x:c>
      <x:c r="R2099" s="5" t="str">
        <x:v>Nennen Sie mindestens drei organisatorische Maßnahmen zur Vorbereitung einer Einkaufsverhandlung.</x:v>
      </x:c>
      <x:c r="S2099" s="5" t="str">
        <x:v>b2ef30389f9f6f3f7968f849f5de873ba2072a60a9238be1c710f14859131ddc</x:v>
      </x:c>
    </x:row>
    <x:row r="2100" ht="36" customHeight="1">
      <x:c r="A2100" s="5" t="str">
        <x:v>L-0121</x:v>
      </x:c>
      <x:c r="B2100" s="5" t="str">
        <x:v>HQ</x:v>
      </x:c>
      <x:c r="C2100" s="5" t="str">
        <x:v>7</x:v>
      </x:c>
      <x:c r="D2100" s="5" t="str">
        <x:v>Logistik</x:v>
      </x:c>
      <x:c r="E2100" s="5" t="str">
        <x:v>Logistik</x:v>
      </x:c>
      <x:c r="F2100" s="5" t="str">
        <x:v>ui-hq-0022</x:v>
      </x:c>
      <x:c r="G2100" s="5" t="str">
        <x:v>Einkauf und Beschaffung</x:v>
      </x:c>
      <x:c r="H2100" s="5" t="str">
        <x:v>dg-hq-0094</x:v>
      </x:c>
      <x:c r="I2100" s="5" t="str">
        <x:v>7.1.2.1</x:v>
      </x:c>
      <x:c r="J2100" s="5" t="str">
        <x:v>Der Ablauf</x:v>
      </x:c>
      <x:c r="K2100" s="5" t="str"/>
      <x:c r="L2100" s="5" t="str">
        <x:v>Einkaufsorganisation &amp; Beschaffungsprozess</x:v>
      </x:c>
      <x:c r="M2100" s="5" t="n">
        <x:v>118</x:v>
      </x:c>
      <x:c r="N2100" s="5" t="n">
        <x:v>28</x:v>
      </x:c>
      <x:c r="O2100" s="5" t="str"/>
      <x:c r="P2100" s="5" t="str">
        <x:v>Zuordnungsvorschlag; Fachfreigabe ausstehend</x:v>
      </x:c>
      <x:c r="Q2100" s="5" t="str">
        <x:v>Bestehendes Lernthema fachlich unter passendem Rahmenplan-Unterbereich behalten</x:v>
      </x:c>
      <x:c r="R2100" s="5" t="str">
        <x:v>Nennen Sie mindestens drei inhaltliche Maßnahmen zur Vorbereitung einer Einkaufsverhandlung.</x:v>
      </x:c>
      <x:c r="S2100" s="5" t="str">
        <x:v>72e8db8f9d3f18946cbec7aad00f476699a6c3dafd5510ff2c7f258d94ba1ac5</x:v>
      </x:c>
    </x:row>
    <x:row r="2101" ht="36" customHeight="1">
      <x:c r="A2101" s="5" t="str">
        <x:v>L-0122</x:v>
      </x:c>
      <x:c r="B2101" s="5" t="str">
        <x:v>HQ</x:v>
      </x:c>
      <x:c r="C2101" s="5" t="str">
        <x:v>7</x:v>
      </x:c>
      <x:c r="D2101" s="5" t="str">
        <x:v>Logistik</x:v>
      </x:c>
      <x:c r="E2101" s="5" t="str">
        <x:v>Logistik</x:v>
      </x:c>
      <x:c r="F2101" s="5" t="str">
        <x:v>ui-hq-0022</x:v>
      </x:c>
      <x:c r="G2101" s="5" t="str">
        <x:v>Einkauf und Beschaffung</x:v>
      </x:c>
      <x:c r="H2101" s="5" t="str">
        <x:v>dg-hq-0094</x:v>
      </x:c>
      <x:c r="I2101" s="5" t="str">
        <x:v>7.1.2.1</x:v>
      </x:c>
      <x:c r="J2101" s="5" t="str">
        <x:v>Der Ablauf</x:v>
      </x:c>
      <x:c r="K2101" s="5" t="str"/>
      <x:c r="L2101" s="5" t="str">
        <x:v>Einkaufsorganisation &amp; Beschaffungsprozess</x:v>
      </x:c>
      <x:c r="M2101" s="5" t="n">
        <x:v>119</x:v>
      </x:c>
      <x:c r="N2101" s="5" t="n">
        <x:v>29</x:v>
      </x:c>
      <x:c r="O2101" s="5" t="str"/>
      <x:c r="P2101" s="5" t="str">
        <x:v>Zuordnungsvorschlag; Fachfreigabe ausstehend</x:v>
      </x:c>
      <x:c r="Q2101" s="5" t="str">
        <x:v>Bestehendes Lernthema fachlich unter passendem Rahmenplan-Unterbereich behalten</x:v>
      </x:c>
      <x:c r="R2101" s="5" t="str">
        <x:v>Nennen Sie mindestens drei persönliche Maßnahmen zur Vorbereitung einer Einkaufsverhandlung.</x:v>
      </x:c>
      <x:c r="S2101" s="5" t="str">
        <x:v>67adac7a87d8ddebb9b78a1a3273b45012277177f4a7bce23eba41db30a3fbee</x:v>
      </x:c>
    </x:row>
    <x:row r="2102" ht="36" customHeight="1">
      <x:c r="A2102" s="5" t="str">
        <x:v>L-0123</x:v>
      </x:c>
      <x:c r="B2102" s="5" t="str">
        <x:v>HQ</x:v>
      </x:c>
      <x:c r="C2102" s="5" t="str">
        <x:v>7</x:v>
      </x:c>
      <x:c r="D2102" s="5" t="str">
        <x:v>Logistik</x:v>
      </x:c>
      <x:c r="E2102" s="5" t="str">
        <x:v>Logistik</x:v>
      </x:c>
      <x:c r="F2102" s="5" t="str">
        <x:v>ui-hq-0022</x:v>
      </x:c>
      <x:c r="G2102" s="5" t="str">
        <x:v>Einkauf und Beschaffung</x:v>
      </x:c>
      <x:c r="H2102" s="5" t="str">
        <x:v>dg-hq-0095</x:v>
      </x:c>
      <x:c r="I2102" s="5" t="str">
        <x:v>7.1.2.3</x:v>
      </x:c>
      <x:c r="J2102" s="5" t="str">
        <x:v>Lieferantenmanagement</x:v>
      </x:c>
      <x:c r="K2102" s="5" t="str"/>
      <x:c r="L2102" s="5" t="str">
        <x:v>Sourcing &amp; Lieferantenmanagement</x:v>
      </x:c>
      <x:c r="M2102" s="5" t="n">
        <x:v>120</x:v>
      </x:c>
      <x:c r="N2102" s="5" t="n">
        <x:v>23</x:v>
      </x:c>
      <x:c r="O2102" s="5" t="str"/>
      <x:c r="P2102" s="5" t="str">
        <x:v>Zuordnungsvorschlag; Fachfreigabe ausstehend</x:v>
      </x:c>
      <x:c r="Q2102" s="5" t="str">
        <x:v>Bestehendes Lernthema fachlich unter passendem Rahmenplan-Unterbereich behalten</x:v>
      </x:c>
      <x:c r="R2102" s="5" t="str">
        <x:v>Fallbezug: Die folgenden betrieblichen Angaben und Situationen beziehen sich auf die Circle Harbor GmbH.
Für Bauteil 823 kostet der Fremdbezug 9,10 € je Stück. Bei Eigenfertigung fallen jährliche Fixkosten von 18.560 € und variable Stückkosten von 5,90 € an. Ermitteln Sie die kritische Menge, ab der die Eigenfertigung günstiger ist als der Fremdbezug.</x:v>
      </x:c>
      <x:c r="S2102" s="5" t="str">
        <x:v>015934b6559ab6e0f3baf0099bbbf70e6bda3a3754d0fd317877069c7aa7d62b</x:v>
      </x:c>
    </x:row>
    <x:row r="2103" ht="36" customHeight="1">
      <x:c r="A2103" s="5" t="str">
        <x:v>L-0124</x:v>
      </x:c>
      <x:c r="B2103" s="5" t="str">
        <x:v>HQ</x:v>
      </x:c>
      <x:c r="C2103" s="5" t="str">
        <x:v>7</x:v>
      </x:c>
      <x:c r="D2103" s="5" t="str">
        <x:v>Logistik</x:v>
      </x:c>
      <x:c r="E2103" s="5" t="str">
        <x:v>Logistik</x:v>
      </x:c>
      <x:c r="F2103" s="5" t="str">
        <x:v>ui-hq-0022</x:v>
      </x:c>
      <x:c r="G2103" s="5" t="str">
        <x:v>Einkauf und Beschaffung</x:v>
      </x:c>
      <x:c r="H2103" s="5" t="str">
        <x:v>dg-hq-0094</x:v>
      </x:c>
      <x:c r="I2103" s="5" t="str">
        <x:v>7.1.2.1</x:v>
      </x:c>
      <x:c r="J2103" s="5" t="str">
        <x:v>Der Ablauf</x:v>
      </x:c>
      <x:c r="K2103" s="5" t="str"/>
      <x:c r="L2103" s="5" t="str">
        <x:v>Einkaufsorganisation &amp; Beschaffungsprozess</x:v>
      </x:c>
      <x:c r="M2103" s="5" t="n">
        <x:v>121</x:v>
      </x:c>
      <x:c r="N2103" s="5" t="n">
        <x:v>30</x:v>
      </x:c>
      <x:c r="O2103" s="5" t="str"/>
      <x:c r="P2103" s="5" t="str">
        <x:v>Zuordnungsvorschlag; Fachfreigabe ausstehend</x:v>
      </x:c>
      <x:c r="Q2103" s="5" t="str">
        <x:v>Bestehendes Lernthema fachlich unter passendem Rahmenplan-Unterbereich behalten</x:v>
      </x:c>
      <x:c r="R2103" s="5" t="str">
        <x:v>Nennen Sie mindestens fünf wichtige Angaben, die ein vollständiges Bestellformular enthalten sollte.</x:v>
      </x:c>
      <x:c r="S2103" s="5" t="str">
        <x:v>9fa971c3b819c03ab65863692ccd9d3b7351f6fe622715d53294a5f0b05df020</x:v>
      </x:c>
    </x:row>
    <x:row r="2104" ht="36" customHeight="1">
      <x:c r="A2104" s="5" t="str">
        <x:v>L-0125</x:v>
      </x:c>
      <x:c r="B2104" s="5" t="str">
        <x:v>HQ</x:v>
      </x:c>
      <x:c r="C2104" s="5" t="str">
        <x:v>7</x:v>
      </x:c>
      <x:c r="D2104" s="5" t="str">
        <x:v>Logistik</x:v>
      </x:c>
      <x:c r="E2104" s="5" t="str">
        <x:v>Logistik</x:v>
      </x:c>
      <x:c r="F2104" s="5" t="str">
        <x:v>ui-hq-0022</x:v>
      </x:c>
      <x:c r="G2104" s="5" t="str">
        <x:v>Einkauf und Beschaffung</x:v>
      </x:c>
      <x:c r="H2104" s="5" t="str">
        <x:v>dg-hq-0095</x:v>
      </x:c>
      <x:c r="I2104" s="5" t="str">
        <x:v>7.1.2.3</x:v>
      </x:c>
      <x:c r="J2104" s="5" t="str">
        <x:v>Lieferantenmanagement</x:v>
      </x:c>
      <x:c r="K2104" s="5" t="str"/>
      <x:c r="L2104" s="5" t="str">
        <x:v>Sourcing &amp; Lieferantenmanagement</x:v>
      </x:c>
      <x:c r="M2104" s="5" t="n">
        <x:v>122</x:v>
      </x:c>
      <x:c r="N2104" s="5" t="n">
        <x:v>24</x:v>
      </x:c>
      <x:c r="O2104" s="5" t="str"/>
      <x:c r="P2104" s="5" t="str">
        <x:v>Zuordnungsvorschlag; Fachfreigabe ausstehend</x:v>
      </x:c>
      <x:c r="Q2104" s="5" t="str">
        <x:v>Bestehendes Lernthema fachlich unter passendem Rahmenplan-Unterbereich behalten</x:v>
      </x:c>
      <x:c r="R2104" s="5" t="str">
        <x:v>Ordnen Sie die Aussagen dem passenden Sourcingkonzept zu.</x:v>
      </x:c>
      <x:c r="S2104" s="5" t="str">
        <x:v>5b25cb7c4428e533895e4677c2d7659526bb855b11cacf64493e98c7758cc1bb</x:v>
      </x:c>
    </x:row>
    <x:row r="2105" ht="36" customHeight="1">
      <x:c r="A2105" s="5" t="str">
        <x:v>L-0126</x:v>
      </x:c>
      <x:c r="B2105" s="5" t="str">
        <x:v>HQ</x:v>
      </x:c>
      <x:c r="C2105" s="5" t="str">
        <x:v>7</x:v>
      </x:c>
      <x:c r="D2105" s="5" t="str">
        <x:v>Logistik</x:v>
      </x:c>
      <x:c r="E2105" s="5" t="str">
        <x:v>Logistik</x:v>
      </x:c>
      <x:c r="F2105" s="5" t="str">
        <x:v>ui-hq-0022</x:v>
      </x:c>
      <x:c r="G2105" s="5" t="str">
        <x:v>Einkauf und Beschaffung</x:v>
      </x:c>
      <x:c r="H2105" s="5" t="str">
        <x:v>dg-hq-0095</x:v>
      </x:c>
      <x:c r="I2105" s="5" t="str">
        <x:v>7.1.2.3</x:v>
      </x:c>
      <x:c r="J2105" s="5" t="str">
        <x:v>Lieferantenmanagement</x:v>
      </x:c>
      <x:c r="K2105" s="5" t="str"/>
      <x:c r="L2105" s="5" t="str">
        <x:v>Sourcing &amp; Lieferantenmanagement</x:v>
      </x:c>
      <x:c r="M2105" s="5" t="n">
        <x:v>123</x:v>
      </x:c>
      <x:c r="N2105" s="5" t="n">
        <x:v>25</x:v>
      </x:c>
      <x:c r="O2105" s="5" t="str"/>
      <x:c r="P2105" s="5" t="str">
        <x:v>Zuordnungsvorschlag; Fachfreigabe ausstehend</x:v>
      </x:c>
      <x:c r="Q2105" s="5" t="str">
        <x:v>Bestehendes Lernthema fachlich unter passendem Rahmenplan-Unterbereich behalten</x:v>
      </x:c>
      <x:c r="R2105" s="5" t="str">
        <x:v>Nennen Sie mindestens drei Vorteile und drei Nachteile des Fremdbezugs im Rahmen einer Make-or-Buy-Analyse.</x:v>
      </x:c>
      <x:c r="S2105" s="5" t="str">
        <x:v>e30fab22bda304f15f411d25c5c0a0d18c19baf389cf1402c0f749042ff8e31e</x:v>
      </x:c>
    </x:row>
    <x:row r="2106" ht="36" customHeight="1">
      <x:c r="A2106" s="5" t="str">
        <x:v>L-0127</x:v>
      </x:c>
      <x:c r="B2106" s="5" t="str">
        <x:v>HQ</x:v>
      </x:c>
      <x:c r="C2106" s="5" t="str">
        <x:v>7</x:v>
      </x:c>
      <x:c r="D2106" s="5" t="str">
        <x:v>Logistik</x:v>
      </x:c>
      <x:c r="E2106" s="5" t="str">
        <x:v>Logistik</x:v>
      </x:c>
      <x:c r="F2106" s="5" t="str">
        <x:v>ui-hq-0022</x:v>
      </x:c>
      <x:c r="G2106" s="5" t="str">
        <x:v>Einkauf und Beschaffung</x:v>
      </x:c>
      <x:c r="H2106" s="5" t="str">
        <x:v>dg-hq-0095</x:v>
      </x:c>
      <x:c r="I2106" s="5" t="str">
        <x:v>7.1.2.3</x:v>
      </x:c>
      <x:c r="J2106" s="5" t="str">
        <x:v>Lieferantenmanagement</x:v>
      </x:c>
      <x:c r="K2106" s="5" t="str"/>
      <x:c r="L2106" s="5" t="str">
        <x:v>Sourcing &amp; Lieferantenmanagement</x:v>
      </x:c>
      <x:c r="M2106" s="5" t="n">
        <x:v>124</x:v>
      </x:c>
      <x:c r="N2106" s="5" t="n">
        <x:v>26</x:v>
      </x:c>
      <x:c r="O2106" s="5" t="str"/>
      <x:c r="P2106" s="5" t="str">
        <x:v>Zuordnungsvorschlag; Fachfreigabe ausstehend</x:v>
      </x:c>
      <x:c r="Q2106" s="5" t="str">
        <x:v>Bestehendes Lernthema fachlich unter passendem Rahmenplan-Unterbereich behalten</x:v>
      </x:c>
      <x:c r="R2106" s="5" t="str">
        <x:v>Beurteilen Sie die Aussagen hinsichtlich ihrer Zuordnung als Vorteil oder Nachteil des Single Sourcings.</x:v>
      </x:c>
      <x:c r="S2106" s="5" t="str">
        <x:v>137433aaca2cea6c09519ecafd3a58dd1c9affa96e7eccd020d27855731df5c4</x:v>
      </x:c>
    </x:row>
    <x:row r="2107" ht="36" customHeight="1">
      <x:c r="A2107" s="5" t="str">
        <x:v>L-0128</x:v>
      </x:c>
      <x:c r="B2107" s="5" t="str">
        <x:v>HQ</x:v>
      </x:c>
      <x:c r="C2107" s="5" t="str">
        <x:v>7</x:v>
      </x:c>
      <x:c r="D2107" s="5" t="str">
        <x:v>Logistik</x:v>
      </x:c>
      <x:c r="E2107" s="5" t="str">
        <x:v>Logistik</x:v>
      </x:c>
      <x:c r="F2107" s="5" t="str">
        <x:v>ui-hq-0022</x:v>
      </x:c>
      <x:c r="G2107" s="5" t="str">
        <x:v>Einkauf und Beschaffung</x:v>
      </x:c>
      <x:c r="H2107" s="5" t="str">
        <x:v>dg-hq-0095</x:v>
      </x:c>
      <x:c r="I2107" s="5" t="str">
        <x:v>7.1.2.3</x:v>
      </x:c>
      <x:c r="J2107" s="5" t="str">
        <x:v>Lieferantenmanagement</x:v>
      </x:c>
      <x:c r="K2107" s="5" t="str"/>
      <x:c r="L2107" s="5" t="str">
        <x:v>Sourcing &amp; Lieferantenmanagement</x:v>
      </x:c>
      <x:c r="M2107" s="5" t="n">
        <x:v>125</x:v>
      </x:c>
      <x:c r="N2107" s="5" t="n">
        <x:v>27</x:v>
      </x:c>
      <x:c r="O2107" s="5" t="str"/>
      <x:c r="P2107" s="5" t="str">
        <x:v>Zuordnungsvorschlag; Fachfreigabe ausstehend</x:v>
      </x:c>
      <x:c r="Q2107" s="5" t="str">
        <x:v>Bestehendes Lernthema fachlich unter passendem Rahmenplan-Unterbereich behalten</x:v>
      </x:c>
      <x:c r="R2107" s="5" t="str">
        <x:v>Nennen Sie die drei Teilbereiche der Beschaffungsmarktforschung und erläutern Sie diese kurz.</x:v>
      </x:c>
      <x:c r="S2107" s="5" t="str">
        <x:v>d578aeb5c327de51f8efa21e93cb1da5a2a963f52ff6bbc975b23a18362c2d4d</x:v>
      </x:c>
    </x:row>
    <x:row r="2108" ht="36" customHeight="1">
      <x:c r="A2108" s="5" t="str">
        <x:v>L-0129</x:v>
      </x:c>
      <x:c r="B2108" s="5" t="str">
        <x:v>HQ</x:v>
      </x:c>
      <x:c r="C2108" s="5" t="str">
        <x:v>7</x:v>
      </x:c>
      <x:c r="D2108" s="5" t="str">
        <x:v>Logistik</x:v>
      </x:c>
      <x:c r="E2108" s="5" t="str">
        <x:v>Logistik</x:v>
      </x:c>
      <x:c r="F2108" s="5" t="str">
        <x:v>ui-hq-0022</x:v>
      </x:c>
      <x:c r="G2108" s="5" t="str">
        <x:v>Einkauf und Beschaffung</x:v>
      </x:c>
      <x:c r="H2108" s="5" t="str">
        <x:v>dg-hq-0095</x:v>
      </x:c>
      <x:c r="I2108" s="5" t="str">
        <x:v>7.1.2.3</x:v>
      </x:c>
      <x:c r="J2108" s="5" t="str">
        <x:v>Lieferantenmanagement</x:v>
      </x:c>
      <x:c r="K2108" s="5" t="str"/>
      <x:c r="L2108" s="5" t="str">
        <x:v>Sourcing &amp; Lieferantenmanagement</x:v>
      </x:c>
      <x:c r="M2108" s="5" t="n">
        <x:v>126</x:v>
      </x:c>
      <x:c r="N2108" s="5" t="n">
        <x:v>28</x:v>
      </x:c>
      <x:c r="O2108" s="5" t="str"/>
      <x:c r="P2108" s="5" t="str">
        <x:v>Zuordnungsvorschlag; Fachfreigabe ausstehend</x:v>
      </x:c>
      <x:c r="Q2108" s="5" t="str">
        <x:v>Bestehendes Lernthema fachlich unter passendem Rahmenplan-Unterbereich behalten</x:v>
      </x:c>
      <x:c r="R2108" s="5" t="str">
        <x:v>Ordnen Sie die Informationsquellen der Primär- oder Sekundärforschung zu.</x:v>
      </x:c>
      <x:c r="S2108" s="5" t="str">
        <x:v>17ab274ce03f469bcfb61caa0d8bd89a71e25109549bee4a3ccc1dfed343d771</x:v>
      </x:c>
    </x:row>
    <x:row r="2109" ht="36" customHeight="1">
      <x:c r="A2109" s="5" t="str">
        <x:v>L-0130</x:v>
      </x:c>
      <x:c r="B2109" s="5" t="str">
        <x:v>HQ</x:v>
      </x:c>
      <x:c r="C2109" s="5" t="str">
        <x:v>7</x:v>
      </x:c>
      <x:c r="D2109" s="5" t="str">
        <x:v>Logistik</x:v>
      </x:c>
      <x:c r="E2109" s="5" t="str">
        <x:v>Logistik</x:v>
      </x:c>
      <x:c r="F2109" s="5" t="str">
        <x:v>ui-hq-0022</x:v>
      </x:c>
      <x:c r="G2109" s="5" t="str">
        <x:v>Einkauf und Beschaffung</x:v>
      </x:c>
      <x:c r="H2109" s="5" t="str">
        <x:v>dg-hq-0095</x:v>
      </x:c>
      <x:c r="I2109" s="5" t="str">
        <x:v>7.1.2.3</x:v>
      </x:c>
      <x:c r="J2109" s="5" t="str">
        <x:v>Lieferantenmanagement</x:v>
      </x:c>
      <x:c r="K2109" s="5" t="str"/>
      <x:c r="L2109" s="5" t="str">
        <x:v>Sourcing &amp; Lieferantenmanagement</x:v>
      </x:c>
      <x:c r="M2109" s="5" t="n">
        <x:v>127</x:v>
      </x:c>
      <x:c r="N2109" s="5" t="n">
        <x:v>29</x:v>
      </x:c>
      <x:c r="O2109" s="5" t="str"/>
      <x:c r="P2109" s="5" t="str">
        <x:v>Zuordnungsvorschlag; Fachfreigabe ausstehend</x:v>
      </x:c>
      <x:c r="Q2109" s="5" t="str">
        <x:v>Bestehendes Lernthema fachlich unter passendem Rahmenplan-Unterbereich behalten</x:v>
      </x:c>
      <x:c r="R2109" s="5" t="str">
        <x:v>Ordnen Sie die Informationen dem jeweils interessierten Unternehmensbereich zu.</x:v>
      </x:c>
      <x:c r="S2109" s="5" t="str">
        <x:v>b52071dff028ac4b503bc5c8f4f2ff5e6d9ef08aa283b0bad3a91ff1276e369b</x:v>
      </x:c>
    </x:row>
    <x:row r="2110" ht="36" customHeight="1">
      <x:c r="A2110" s="5" t="str">
        <x:v>L-0131</x:v>
      </x:c>
      <x:c r="B2110" s="5" t="str">
        <x:v>HQ</x:v>
      </x:c>
      <x:c r="C2110" s="5" t="str">
        <x:v>7</x:v>
      </x:c>
      <x:c r="D2110" s="5" t="str">
        <x:v>Logistik</x:v>
      </x:c>
      <x:c r="E2110" s="5" t="str">
        <x:v>Logistik</x:v>
      </x:c>
      <x:c r="F2110" s="5" t="str">
        <x:v>ui-hq-0022</x:v>
      </x:c>
      <x:c r="G2110" s="5" t="str">
        <x:v>Einkauf und Beschaffung</x:v>
      </x:c>
      <x:c r="H2110" s="5" t="str">
        <x:v>dg-hq-0095</x:v>
      </x:c>
      <x:c r="I2110" s="5" t="str">
        <x:v>7.1.2.3</x:v>
      </x:c>
      <x:c r="J2110" s="5" t="str">
        <x:v>Lieferantenmanagement</x:v>
      </x:c>
      <x:c r="K2110" s="5" t="str"/>
      <x:c r="L2110" s="5" t="str">
        <x:v>Sourcing &amp; Lieferantenmanagement</x:v>
      </x:c>
      <x:c r="M2110" s="5" t="n">
        <x:v>128</x:v>
      </x:c>
      <x:c r="N2110" s="5" t="n">
        <x:v>30</x:v>
      </x:c>
      <x:c r="O2110" s="5" t="str"/>
      <x:c r="P2110" s="5" t="str">
        <x:v>Zuordnungsvorschlag; Fachfreigabe ausstehend</x:v>
      </x:c>
      <x:c r="Q2110" s="5" t="str">
        <x:v>Bestehendes Lernthema fachlich unter passendem Rahmenplan-Unterbereich behalten</x:v>
      </x:c>
      <x:c r="R2110" s="5" t="str">
        <x:v>Nennen Sie mindestens zwei Möglichkeiten, wie Einkäuferinnen und Einkäufer auf eine Monopolsituation im Beschaffungsmarkt reagieren können.</x:v>
      </x:c>
      <x:c r="S2110" s="5" t="str">
        <x:v>6fc86d57b512cd144a60bb8d07d2a6c6d749fdc89dc1f47c280c8d4981adcde5</x:v>
      </x:c>
    </x:row>
    <x:row r="2111" ht="36" customHeight="1">
      <x:c r="A2111" s="5" t="str">
        <x:v>L-0132</x:v>
      </x:c>
      <x:c r="B2111" s="5" t="str">
        <x:v>HQ</x:v>
      </x:c>
      <x:c r="C2111" s="5" t="str">
        <x:v>7</x:v>
      </x:c>
      <x:c r="D2111" s="5" t="str">
        <x:v>Logistik</x:v>
      </x:c>
      <x:c r="E2111" s="5" t="str">
        <x:v>Logistik</x:v>
      </x:c>
      <x:c r="F2111" s="5" t="str">
        <x:v>ui-hq-0022</x:v>
      </x:c>
      <x:c r="G2111" s="5" t="str">
        <x:v>Einkauf und Beschaffung</x:v>
      </x:c>
      <x:c r="H2111" s="5" t="str">
        <x:v>dg-hq-0095</x:v>
      </x:c>
      <x:c r="I2111" s="5" t="str">
        <x:v>7.1.2.3</x:v>
      </x:c>
      <x:c r="J2111" s="5" t="str">
        <x:v>Lieferantenmanagement</x:v>
      </x:c>
      <x:c r="K2111" s="5" t="str"/>
      <x:c r="L2111" s="5" t="str">
        <x:v>Sourcing &amp; Lieferantenmanagement</x:v>
      </x:c>
      <x:c r="M2111" s="5" t="n">
        <x:v>129</x:v>
      </x:c>
      <x:c r="N2111" s="5" t="n">
        <x:v>31</x:v>
      </x:c>
      <x:c r="O2111" s="5" t="str"/>
      <x:c r="P2111" s="5" t="str">
        <x:v>Zuordnungsvorschlag; Fachfreigabe ausstehend</x:v>
      </x:c>
      <x:c r="Q2111" s="5" t="str">
        <x:v>Bestehendes Lernthema fachlich unter passendem Rahmenplan-Unterbereich behalten</x:v>
      </x:c>
      <x:c r="R2111" s="5" t="str">
        <x:v>Fallbezug: Die folgenden betrieblichen Angaben und Situationen beziehen sich auf die Circle Harbor GmbH.
Bei einer Lieferantenbewertung ergeben sich folgende gewichtete Einzelwerte: Qualität 29,75 Punkte, Preis 23,75 Punkte, Termintreue 12,50 Punkte, Mengentreue 7,00 Punkte und Service 17,60 Punkte. Ermitteln Sie die Gesamtpunktzahl.</x:v>
      </x:c>
      <x:c r="S2111" s="5" t="str">
        <x:v>e990c46fe987498e859d668cf7e618aa94080d1de1178a6318e2139ed4693ce6</x:v>
      </x:c>
    </x:row>
    <x:row r="2112" ht="36" customHeight="1">
      <x:c r="A2112" s="5" t="str">
        <x:v>L-0133</x:v>
      </x:c>
      <x:c r="B2112" s="5" t="str">
        <x:v>HQ</x:v>
      </x:c>
      <x:c r="C2112" s="5" t="str">
        <x:v>7</x:v>
      </x:c>
      <x:c r="D2112" s="5" t="str">
        <x:v>Logistik</x:v>
      </x:c>
      <x:c r="E2112" s="5" t="str">
        <x:v>Logistik</x:v>
      </x:c>
      <x:c r="F2112" s="5" t="str">
        <x:v>ui-hq-0022</x:v>
      </x:c>
      <x:c r="G2112" s="5" t="str">
        <x:v>Einkauf und Beschaffung</x:v>
      </x:c>
      <x:c r="H2112" s="5" t="str">
        <x:v>dg-hq-0092</x:v>
      </x:c>
      <x:c r="I2112" s="5" t="str">
        <x:v>7.1.2.4</x:v>
      </x:c>
      <x:c r="J2112" s="5" t="str">
        <x:v>Analysetechniken</x:v>
      </x:c>
      <x:c r="K2112" s="5" t="str"/>
      <x:c r="L2112" s="5" t="str">
        <x:v>Analysetechniken &amp; Beschaffungsstrategien</x:v>
      </x:c>
      <x:c r="M2112" s="5" t="n">
        <x:v>130</x:v>
      </x:c>
      <x:c r="N2112" s="5" t="n">
        <x:v>24</x:v>
      </x:c>
      <x:c r="O2112" s="5" t="str"/>
      <x:c r="P2112" s="5" t="str">
        <x:v>Zuordnungsvorschlag; Fachfreigabe ausstehend</x:v>
      </x:c>
      <x:c r="Q2112" s="5" t="str">
        <x:v>Bestehendes Lernthema fachlich unter passendem Rahmenplan-Unterbereich behalten</x:v>
      </x:c>
      <x:c r="R2112" s="5" t="str">
        <x:v>Führen Sie eine ABC-Analyse durch. Die Klassifizierung erfolgt mit A = 75 %, B = 20 %, C = 5 %. Artikel A: Einkaufswert 120.000 €, Artikel B: Einkaufswert 96.000 €, Artikel C: Einkaufswert 70.000 €, Artikel D: Einkaufswert 28.600 €, Artikel E: Einkaufswert 16.800 €. Ordnen Sie die Artikel den Klassen A, B oder C zu.</x:v>
      </x:c>
      <x:c r="S2112" s="5" t="str">
        <x:v>2a71c20edf1449811e0505717bc6a0e65a4a8262a22c36a6586a3d567d5d9242</x:v>
      </x:c>
    </x:row>
    <x:row r="2113" ht="36" customHeight="1">
      <x:c r="A2113" s="5" t="str">
        <x:v>L-0134</x:v>
      </x:c>
      <x:c r="B2113" s="5" t="str">
        <x:v>HQ</x:v>
      </x:c>
      <x:c r="C2113" s="5" t="str">
        <x:v>7</x:v>
      </x:c>
      <x:c r="D2113" s="5" t="str">
        <x:v>Logistik</x:v>
      </x:c>
      <x:c r="E2113" s="5" t="str">
        <x:v>Logistik</x:v>
      </x:c>
      <x:c r="F2113" s="5" t="str">
        <x:v>ui-hq-0022</x:v>
      </x:c>
      <x:c r="G2113" s="5" t="str">
        <x:v>Einkauf und Beschaffung</x:v>
      </x:c>
      <x:c r="H2113" s="5" t="str">
        <x:v>dg-hq-0092</x:v>
      </x:c>
      <x:c r="I2113" s="5" t="str">
        <x:v>7.1.2.4</x:v>
      </x:c>
      <x:c r="J2113" s="5" t="str">
        <x:v>Analysetechniken</x:v>
      </x:c>
      <x:c r="K2113" s="5" t="str"/>
      <x:c r="L2113" s="5" t="str">
        <x:v>Analysetechniken &amp; Beschaffungsstrategien</x:v>
      </x:c>
      <x:c r="M2113" s="5" t="n">
        <x:v>131</x:v>
      </x:c>
      <x:c r="N2113" s="5" t="n">
        <x:v>25</x:v>
      </x:c>
      <x:c r="O2113" s="5" t="str"/>
      <x:c r="P2113" s="5" t="str">
        <x:v>Zuordnungsvorschlag; Fachfreigabe ausstehend</x:v>
      </x:c>
      <x:c r="Q2113" s="5" t="str">
        <x:v>Bestehendes Lernthema fachlich unter passendem Rahmenplan-Unterbereich behalten</x:v>
      </x:c>
      <x:c r="R2113" s="5" t="str">
        <x:v>Ordnen Sie die jeweilige Strategie der passenden ABC-Klasse zu.</x:v>
      </x:c>
      <x:c r="S2113" s="5" t="str">
        <x:v>e5d23a85f80ecb5e0fc3b68aef32d5ecf4435a58bbe5245058d9e8aa521c4956</x:v>
      </x:c>
    </x:row>
    <x:row r="2114" ht="36" customHeight="1">
      <x:c r="A2114" s="5" t="str">
        <x:v>L-0135</x:v>
      </x:c>
      <x:c r="B2114" s="5" t="str">
        <x:v>HQ</x:v>
      </x:c>
      <x:c r="C2114" s="5" t="str">
        <x:v>7</x:v>
      </x:c>
      <x:c r="D2114" s="5" t="str">
        <x:v>Logistik</x:v>
      </x:c>
      <x:c r="E2114" s="5" t="str">
        <x:v>Logistik</x:v>
      </x:c>
      <x:c r="F2114" s="5" t="str">
        <x:v>ui-hq-0022</x:v>
      </x:c>
      <x:c r="G2114" s="5" t="str">
        <x:v>Einkauf und Beschaffung</x:v>
      </x:c>
      <x:c r="H2114" s="5" t="str">
        <x:v>dg-hq-0092</x:v>
      </x:c>
      <x:c r="I2114" s="5" t="str">
        <x:v>7.1.2.4</x:v>
      </x:c>
      <x:c r="J2114" s="5" t="str">
        <x:v>Analysetechniken</x:v>
      </x:c>
      <x:c r="K2114" s="5" t="str"/>
      <x:c r="L2114" s="5" t="str">
        <x:v>Analysetechniken &amp; Beschaffungsstrategien</x:v>
      </x:c>
      <x:c r="M2114" s="5" t="n">
        <x:v>132</x:v>
      </x:c>
      <x:c r="N2114" s="5" t="n">
        <x:v>26</x:v>
      </x:c>
      <x:c r="O2114" s="5" t="str"/>
      <x:c r="P2114" s="5" t="str">
        <x:v>Zuordnungsvorschlag; Fachfreigabe ausstehend</x:v>
      </x:c>
      <x:c r="Q2114" s="5" t="str">
        <x:v>Bestehendes Lernthema fachlich unter passendem Rahmenplan-Unterbereich behalten</x:v>
      </x:c>
      <x:c r="R2114" s="5" t="str">
        <x:v>Ordnen Sie die Verbrauchsverläufe und Vorhersagegenauigkeiten den XYZ-Klassen zu.</x:v>
      </x:c>
      <x:c r="S2114" s="5" t="str">
        <x:v>055ee227d687c431abd16446665d4e233469a3fa40fbe54c7f81be5b65cf8dbb</x:v>
      </x:c>
    </x:row>
    <x:row r="2115" ht="36" customHeight="1">
      <x:c r="A2115" s="5" t="str">
        <x:v>L-0136</x:v>
      </x:c>
      <x:c r="B2115" s="5" t="str">
        <x:v>HQ</x:v>
      </x:c>
      <x:c r="C2115" s="5" t="str">
        <x:v>7</x:v>
      </x:c>
      <x:c r="D2115" s="5" t="str">
        <x:v>Logistik</x:v>
      </x:c>
      <x:c r="E2115" s="5" t="str">
        <x:v>Logistik</x:v>
      </x:c>
      <x:c r="F2115" s="5" t="str">
        <x:v>ui-hq-0022</x:v>
      </x:c>
      <x:c r="G2115" s="5" t="str">
        <x:v>Einkauf und Beschaffung</x:v>
      </x:c>
      <x:c r="H2115" s="5" t="str">
        <x:v>dg-hq-0092</x:v>
      </x:c>
      <x:c r="I2115" s="5" t="str">
        <x:v>7.1.2.4</x:v>
      </x:c>
      <x:c r="J2115" s="5" t="str">
        <x:v>Analysetechniken</x:v>
      </x:c>
      <x:c r="K2115" s="5" t="str"/>
      <x:c r="L2115" s="5" t="str">
        <x:v>Analysetechniken &amp; Beschaffungsstrategien</x:v>
      </x:c>
      <x:c r="M2115" s="5" t="n">
        <x:v>133</x:v>
      </x:c>
      <x:c r="N2115" s="5" t="n">
        <x:v>27</x:v>
      </x:c>
      <x:c r="O2115" s="5" t="str"/>
      <x:c r="P2115" s="5" t="str">
        <x:v>Zuordnungsvorschlag; Fachfreigabe ausstehend</x:v>
      </x:c>
      <x:c r="Q2115" s="5" t="str">
        <x:v>Bestehendes Lernthema fachlich unter passendem Rahmenplan-Unterbereich behalten</x:v>
      </x:c>
      <x:c r="R2115" s="5" t="str">
        <x:v>Bringen Sie die Arbeitsschritte der Wertanalyse nach DIN 12973 in die richtige Reihenfolge von 0 bis 9.</x:v>
      </x:c>
      <x:c r="S2115" s="5" t="str">
        <x:v>a0e6f716926aeb574715b770ace47341347292b2f242f31bebbd3056df2411e0</x:v>
      </x:c>
    </x:row>
    <x:row r="2116" ht="36" customHeight="1">
      <x:c r="A2116" s="5" t="str">
        <x:v>L-0137</x:v>
      </x:c>
      <x:c r="B2116" s="5" t="str">
        <x:v>HQ</x:v>
      </x:c>
      <x:c r="C2116" s="5" t="str">
        <x:v>7</x:v>
      </x:c>
      <x:c r="D2116" s="5" t="str">
        <x:v>Logistik</x:v>
      </x:c>
      <x:c r="E2116" s="5" t="str">
        <x:v>Logistik</x:v>
      </x:c>
      <x:c r="F2116" s="5" t="str">
        <x:v>ui-hq-0022</x:v>
      </x:c>
      <x:c r="G2116" s="5" t="str">
        <x:v>Einkauf und Beschaffung</x:v>
      </x:c>
      <x:c r="H2116" s="5" t="str">
        <x:v>dg-hq-0092</x:v>
      </x:c>
      <x:c r="I2116" s="5" t="str">
        <x:v>7.1.2.4</x:v>
      </x:c>
      <x:c r="J2116" s="5" t="str">
        <x:v>Analysetechniken</x:v>
      </x:c>
      <x:c r="K2116" s="5" t="str"/>
      <x:c r="L2116" s="5" t="str">
        <x:v>Analysetechniken &amp; Beschaffungsstrategien</x:v>
      </x:c>
      <x:c r="M2116" s="5" t="n">
        <x:v>134</x:v>
      </x:c>
      <x:c r="N2116" s="5" t="n">
        <x:v>28</x:v>
      </x:c>
      <x:c r="O2116" s="5" t="str"/>
      <x:c r="P2116" s="5" t="str">
        <x:v>Zuordnungsvorschlag; Fachfreigabe ausstehend</x:v>
      </x:c>
      <x:c r="Q2116" s="5" t="str">
        <x:v>Bestehendes Lernthema fachlich unter passendem Rahmenplan-Unterbereich behalten</x:v>
      </x:c>
      <x:c r="R2116" s="5" t="str">
        <x:v>Nennen Sie jeweils mindestens einen Vorteil der Einzelbeschaffung, Vorratsbeschaffung und fertigungssynchronen Beschaffung.</x:v>
      </x:c>
      <x:c r="S2116" s="5" t="str">
        <x:v>a7dd0058c7aafa5af58228d302a37c209f518932d3933f5cc5788aa105d5c3b4</x:v>
      </x:c>
    </x:row>
    <x:row r="2117" ht="36" customHeight="1">
      <x:c r="A2117" s="5" t="str">
        <x:v>L-0138</x:v>
      </x:c>
      <x:c r="B2117" s="5" t="str">
        <x:v>HQ</x:v>
      </x:c>
      <x:c r="C2117" s="5" t="str">
        <x:v>7</x:v>
      </x:c>
      <x:c r="D2117" s="5" t="str">
        <x:v>Logistik</x:v>
      </x:c>
      <x:c r="E2117" s="5" t="str">
        <x:v>Logistik</x:v>
      </x:c>
      <x:c r="F2117" s="5" t="str">
        <x:v>ui-hq-0022</x:v>
      </x:c>
      <x:c r="G2117" s="5" t="str">
        <x:v>Einkauf und Beschaffung</x:v>
      </x:c>
      <x:c r="H2117" s="5" t="str">
        <x:v>dg-hq-0097</x:v>
      </x:c>
      <x:c r="I2117" s="5" t="str">
        <x:v>7.1.3</x:v>
      </x:c>
      <x:c r="J2117" s="5" t="str">
        <x:v>Beschaffungsprozess</x:v>
      </x:c>
      <x:c r="K2117" s="5" t="str"/>
      <x:c r="L2117" s="5" t="str">
        <x:v>Bedarfsermittlung, Liefermengen &amp; Lieferzeitpunkte</x:v>
      </x:c>
      <x:c r="M2117" s="5" t="n">
        <x:v>135</x:v>
      </x:c>
      <x:c r="N2117" s="5" t="n">
        <x:v>7</x:v>
      </x:c>
      <x:c r="O2117" s="5" t="str"/>
      <x:c r="P2117" s="5" t="str">
        <x:v>Zuordnungsvorschlag; Fachfreigabe ausstehend</x:v>
      </x:c>
      <x:c r="Q2117" s="5" t="str">
        <x:v>Bestehendes Lernthema fachlich unter passendem Rahmenplan-Unterbereich behalten</x:v>
      </x:c>
      <x:c r="R2117" s="5" t="str">
        <x:v>Ordnen Sie die Fachbegriffe den drei Arbeitsschritten der Materialdisposition zu.</x:v>
      </x:c>
      <x:c r="S2117" s="5" t="str">
        <x:v>dcfcb3380de5ee4b1699256e2c21e2003be65cb09d879194595b0a6b76758419</x:v>
      </x:c>
    </x:row>
    <x:row r="2118" ht="36" customHeight="1">
      <x:c r="A2118" s="5" t="str">
        <x:v>L-0139</x:v>
      </x:c>
      <x:c r="B2118" s="5" t="str">
        <x:v>HQ</x:v>
      </x:c>
      <x:c r="C2118" s="5" t="str">
        <x:v>7</x:v>
      </x:c>
      <x:c r="D2118" s="5" t="str">
        <x:v>Logistik</x:v>
      </x:c>
      <x:c r="E2118" s="5" t="str">
        <x:v>Logistik</x:v>
      </x:c>
      <x:c r="F2118" s="5" t="str">
        <x:v>ui-hq-0022</x:v>
      </x:c>
      <x:c r="G2118" s="5" t="str">
        <x:v>Einkauf und Beschaffung</x:v>
      </x:c>
      <x:c r="H2118" s="5" t="str">
        <x:v>dg-hq-0097</x:v>
      </x:c>
      <x:c r="I2118" s="5" t="str">
        <x:v>7.1.3</x:v>
      </x:c>
      <x:c r="J2118" s="5" t="str">
        <x:v>Beschaffungsprozess</x:v>
      </x:c>
      <x:c r="K2118" s="5" t="str"/>
      <x:c r="L2118" s="5" t="str">
        <x:v>Bedarfsermittlung, Liefermengen &amp; Lieferzeitpunkte</x:v>
      </x:c>
      <x:c r="M2118" s="5" t="n">
        <x:v>136</x:v>
      </x:c>
      <x:c r="N2118" s="5" t="n">
        <x:v>8</x:v>
      </x:c>
      <x:c r="O2118" s="5" t="str"/>
      <x:c r="P2118" s="5" t="str">
        <x:v>Zuordnungsvorschlag; Fachfreigabe ausstehend</x:v>
      </x:c>
      <x:c r="Q2118" s="5" t="str">
        <x:v>Bestehendes Lernthema fachlich unter passendem Rahmenplan-Unterbereich behalten</x:v>
      </x:c>
      <x:c r="R2118" s="5" t="str">
        <x:v>Erläutern Sie, was eine Mengenübersichtsstückliste darstellt und wie sie sich von einer Strukturstückliste unterscheidet.</x:v>
      </x:c>
      <x:c r="S2118" s="5" t="str">
        <x:v>98941f00c3cf1ddf45b12d2fc0b1f3cb0c61223cfb20801bcc145142129fa2e9</x:v>
      </x:c>
    </x:row>
    <x:row r="2119" ht="36" customHeight="1">
      <x:c r="A2119" s="5" t="str">
        <x:v>L-0140</x:v>
      </x:c>
      <x:c r="B2119" s="5" t="str">
        <x:v>HQ</x:v>
      </x:c>
      <x:c r="C2119" s="5" t="str">
        <x:v>7</x:v>
      </x:c>
      <x:c r="D2119" s="5" t="str">
        <x:v>Logistik</x:v>
      </x:c>
      <x:c r="E2119" s="5" t="str">
        <x:v>Logistik</x:v>
      </x:c>
      <x:c r="F2119" s="5" t="str">
        <x:v>ui-hq-0022</x:v>
      </x:c>
      <x:c r="G2119" s="5" t="str">
        <x:v>Einkauf und Beschaffung</x:v>
      </x:c>
      <x:c r="H2119" s="5" t="str">
        <x:v>dg-hq-0097</x:v>
      </x:c>
      <x:c r="I2119" s="5" t="str">
        <x:v>7.1.3</x:v>
      </x:c>
      <x:c r="J2119" s="5" t="str">
        <x:v>Beschaffungsprozess</x:v>
      </x:c>
      <x:c r="K2119" s="5" t="str"/>
      <x:c r="L2119" s="5" t="str">
        <x:v>Bedarfsermittlung, Liefermengen &amp; Lieferzeitpunkte</x:v>
      </x:c>
      <x:c r="M2119" s="5" t="n">
        <x:v>137</x:v>
      </x:c>
      <x:c r="N2119" s="5" t="n">
        <x:v>9</x:v>
      </x:c>
      <x:c r="O2119" s="5" t="str"/>
      <x:c r="P2119" s="5" t="str">
        <x:v>Zuordnungsvorschlag; Fachfreigabe ausstehend</x:v>
      </x:c>
      <x:c r="Q2119" s="5" t="str">
        <x:v>Bestehendes Lernthema fachlich unter passendem Rahmenplan-Unterbereich behalten</x:v>
      </x:c>
      <x:c r="R2119" s="5" t="str">
        <x:v>Ergänzen Sie die Fachbegriffe zur Bedarfsermittlung anhand der Beschreibungen.</x:v>
      </x:c>
      <x:c r="S2119" s="5" t="str">
        <x:v>7890b0dbae17ddb81d18c21403caeaf5da2428d140770bbb7a18d3b715b14dd5</x:v>
      </x:c>
    </x:row>
    <x:row r="2120" ht="36" customHeight="1">
      <x:c r="A2120" s="5" t="str">
        <x:v>L-0141</x:v>
      </x:c>
      <x:c r="B2120" s="5" t="str">
        <x:v>HQ</x:v>
      </x:c>
      <x:c r="C2120" s="5" t="str">
        <x:v>7</x:v>
      </x:c>
      <x:c r="D2120" s="5" t="str">
        <x:v>Logistik</x:v>
      </x:c>
      <x:c r="E2120" s="5" t="str">
        <x:v>Logistik</x:v>
      </x:c>
      <x:c r="F2120" s="5" t="str">
        <x:v>ui-hq-0022</x:v>
      </x:c>
      <x:c r="G2120" s="5" t="str">
        <x:v>Einkauf und Beschaffung</x:v>
      </x:c>
      <x:c r="H2120" s="5" t="str">
        <x:v>dg-hq-0097</x:v>
      </x:c>
      <x:c r="I2120" s="5" t="str">
        <x:v>7.1.3</x:v>
      </x:c>
      <x:c r="J2120" s="5" t="str">
        <x:v>Beschaffungsprozess</x:v>
      </x:c>
      <x:c r="K2120" s="5" t="str"/>
      <x:c r="L2120" s="5" t="str">
        <x:v>Bedarfsermittlung, Liefermengen &amp; Lieferzeitpunkte</x:v>
      </x:c>
      <x:c r="M2120" s="5" t="n">
        <x:v>138</x:v>
      </x:c>
      <x:c r="N2120" s="5" t="n">
        <x:v>10</x:v>
      </x:c>
      <x:c r="O2120" s="5" t="str"/>
      <x:c r="P2120" s="5" t="str">
        <x:v>Zuordnungsvorschlag; Fachfreigabe ausstehend</x:v>
      </x:c>
      <x:c r="Q2120" s="5" t="str">
        <x:v>Bestehendes Lernthema fachlich unter passendem Rahmenplan-Unterbereich behalten</x:v>
      </x:c>
      <x:c r="R2120" s="5" t="str">
        <x:v>Circle Harbor plant die Produktion von 300 Cargo-Bikes des Modells „Harbor Cargo“. Für jedes Fahrzeug werden zwei Bremsscheiben benötigt. Zusätzlich ist mit einem Ausschuss von 5 % zu rechnen. Vorhanden sind ein Lagerbestand von 180 Bremsscheiben, ein Bestellbestand von 120 und ein Werkstattbestand von 60. Für ein anderes Modell sind bereits 65 Bremsscheiben reserviert. Der Sicherheitsbestand soll 50 Stück betragen. Ermitteln Sie den Nettobedarf an Bremsscheiben.</x:v>
      </x:c>
      <x:c r="S2120" s="5" t="str">
        <x:v>69fda75a8fb52d26e782013368ff1cb8a6b949f4b39799aa269046f7f92f1820</x:v>
      </x:c>
    </x:row>
    <x:row r="2121" ht="36" customHeight="1">
      <x:c r="A2121" s="5" t="str">
        <x:v>L-0142</x:v>
      </x:c>
      <x:c r="B2121" s="5" t="str">
        <x:v>HQ</x:v>
      </x:c>
      <x:c r="C2121" s="5" t="str">
        <x:v>7</x:v>
      </x:c>
      <x:c r="D2121" s="5" t="str">
        <x:v>Logistik</x:v>
      </x:c>
      <x:c r="E2121" s="5" t="str">
        <x:v>Logistik</x:v>
      </x:c>
      <x:c r="F2121" s="5" t="str">
        <x:v>ui-hq-0022</x:v>
      </x:c>
      <x:c r="G2121" s="5" t="str">
        <x:v>Einkauf und Beschaffung</x:v>
      </x:c>
      <x:c r="H2121" s="5" t="str">
        <x:v>dg-hq-0097</x:v>
      </x:c>
      <x:c r="I2121" s="5" t="str">
        <x:v>7.1.3</x:v>
      </x:c>
      <x:c r="J2121" s="5" t="str">
        <x:v>Beschaffungsprozess</x:v>
      </x:c>
      <x:c r="K2121" s="5" t="str"/>
      <x:c r="L2121" s="5" t="str">
        <x:v>Bedarfsermittlung, Liefermengen &amp; Lieferzeitpunkte</x:v>
      </x:c>
      <x:c r="M2121" s="5" t="n">
        <x:v>139</x:v>
      </x:c>
      <x:c r="N2121" s="5" t="n">
        <x:v>11</x:v>
      </x:c>
      <x:c r="O2121" s="5" t="str"/>
      <x:c r="P2121" s="5" t="str">
        <x:v>Zuordnungsvorschlag; Fachfreigabe ausstehend</x:v>
      </x:c>
      <x:c r="Q2121" s="5" t="str">
        <x:v>Bestehendes Lernthema fachlich unter passendem Rahmenplan-Unterbereich behalten</x:v>
      </x:c>
      <x:c r="R2121" s="5" t="str">
        <x:v>Der Schrank „Rom“ enthält 3 Scharniere der Materialnummer 321. Der Primärbedarf verteilt sich auf sechs Perioden mit 300, 350, 320, 350, 300 und 340 Stück. Der Zusatzbedarf beträgt in jeder Periode 80 Scharniere. Zu Beginn der ersten Periode befindet sich ein Lagerbestand von 1.200 Scharnieren im Lager. In Periode 4 wird ein Bestellzugang von 1.500 Scharnieren erwartet. Ein Sicherheitsbestand wird nicht vorgehalten. Ermitteln Sie den Nettobedarf der Scharniere 321 für die Perioden 1 bis 6.</x:v>
      </x:c>
      <x:c r="S2121" s="5" t="str">
        <x:v>91d5f37f385cd7ac9b9d599e7fc9e2e794abccefbd4573f31d5afd3fcbcf3c31</x:v>
      </x:c>
    </x:row>
    <x:row r="2122" ht="36" customHeight="1">
      <x:c r="A2122" s="5" t="str">
        <x:v>L-0143</x:v>
      </x:c>
      <x:c r="B2122" s="5" t="str">
        <x:v>HQ</x:v>
      </x:c>
      <x:c r="C2122" s="5" t="str">
        <x:v>7</x:v>
      </x:c>
      <x:c r="D2122" s="5" t="str">
        <x:v>Logistik</x:v>
      </x:c>
      <x:c r="E2122" s="5" t="str">
        <x:v>Logistik</x:v>
      </x:c>
      <x:c r="F2122" s="5" t="str">
        <x:v>ui-hq-0022</x:v>
      </x:c>
      <x:c r="G2122" s="5" t="str">
        <x:v>Einkauf und Beschaffung</x:v>
      </x:c>
      <x:c r="H2122" s="5" t="str">
        <x:v>dg-hq-0097</x:v>
      </x:c>
      <x:c r="I2122" s="5" t="str">
        <x:v>7.1.3</x:v>
      </x:c>
      <x:c r="J2122" s="5" t="str">
        <x:v>Beschaffungsprozess</x:v>
      </x:c>
      <x:c r="K2122" s="5" t="str"/>
      <x:c r="L2122" s="5" t="str">
        <x:v>Bedarfsermittlung, Liefermengen &amp; Lieferzeitpunkte</x:v>
      </x:c>
      <x:c r="M2122" s="5" t="n">
        <x:v>140</x:v>
      </x:c>
      <x:c r="N2122" s="5" t="n">
        <x:v>12</x:v>
      </x:c>
      <x:c r="O2122" s="5" t="str"/>
      <x:c r="P2122" s="5" t="str">
        <x:v>Zuordnungsvorschlag; Fachfreigabe ausstehend</x:v>
      </x:c>
      <x:c r="Q2122" s="5" t="str">
        <x:v>Bestehendes Lernthema fachlich unter passendem Rahmenplan-Unterbereich behalten</x:v>
      </x:c>
      <x:c r="R2122" s="5" t="str">
        <x:v>Nennen Sie die drei Phasen der Beschaffungszeit und geben Sie jeweils mindestens drei Beispiele.</x:v>
      </x:c>
      <x:c r="S2122" s="5" t="str">
        <x:v>b7cc1b5870edc7c810fde1602c8d827cfaf5ed0957b09311f3f2b11b9994f7c5</x:v>
      </x:c>
    </x:row>
    <x:row r="2123" ht="36" customHeight="1">
      <x:c r="A2123" s="5" t="str">
        <x:v>L-0144</x:v>
      </x:c>
      <x:c r="B2123" s="5" t="str">
        <x:v>HQ</x:v>
      </x:c>
      <x:c r="C2123" s="5" t="str">
        <x:v>7</x:v>
      </x:c>
      <x:c r="D2123" s="5" t="str">
        <x:v>Logistik</x:v>
      </x:c>
      <x:c r="E2123" s="5" t="str">
        <x:v>Logistik</x:v>
      </x:c>
      <x:c r="F2123" s="5" t="str">
        <x:v>ui-hq-0022</x:v>
      </x:c>
      <x:c r="G2123" s="5" t="str">
        <x:v>Einkauf und Beschaffung</x:v>
      </x:c>
      <x:c r="H2123" s="5" t="str">
        <x:v>dg-hq-0097</x:v>
      </x:c>
      <x:c r="I2123" s="5" t="str">
        <x:v>7.1.3</x:v>
      </x:c>
      <x:c r="J2123" s="5" t="str">
        <x:v>Beschaffungsprozess</x:v>
      </x:c>
      <x:c r="K2123" s="5" t="str"/>
      <x:c r="L2123" s="5" t="str">
        <x:v>Bedarfsermittlung, Liefermengen &amp; Lieferzeitpunkte</x:v>
      </x:c>
      <x:c r="M2123" s="5" t="n">
        <x:v>141</x:v>
      </x:c>
      <x:c r="N2123" s="5" t="n">
        <x:v>13</x:v>
      </x:c>
      <x:c r="O2123" s="5" t="str"/>
      <x:c r="P2123" s="5" t="str">
        <x:v>Zuordnungsvorschlag; Fachfreigabe ausstehend</x:v>
      </x:c>
      <x:c r="Q2123" s="5" t="str">
        <x:v>Bestehendes Lernthema fachlich unter passendem Rahmenplan-Unterbereich behalten</x:v>
      </x:c>
      <x:c r="R2123" s="5" t="str">
        <x:v>Fallbezug: Die folgenden betrieblichen Angaben und Situationen beziehen sich auf die Circle Harbor GmbH.
Für Teil T1 liegt ein Teileverwendungsnachweis vor: Für Erzeugnis E1 werden 6 Stück T1 benötigt, für E2 werden 2 Stück T1 benötigt und für E3 werden 0 Stück T1 benötigt. Geplant sind 100 Stück E1, 200 Stück E2 und 50 Stück E3. Ermitteln Sie den Materialbedarf für Teil T1.</x:v>
      </x:c>
      <x:c r="S2123" s="5" t="str">
        <x:v>f9efa896d27dff5310cbdf0fc897c9ef432209ac77edd49bfb2ef24ebda462be</x:v>
      </x:c>
    </x:row>
    <x:row r="2124" ht="36" customHeight="1">
      <x:c r="A2124" s="5" t="str">
        <x:v>L-0145</x:v>
      </x:c>
      <x:c r="B2124" s="5" t="str">
        <x:v>HQ</x:v>
      </x:c>
      <x:c r="C2124" s="5" t="str">
        <x:v>7</x:v>
      </x:c>
      <x:c r="D2124" s="5" t="str">
        <x:v>Logistik</x:v>
      </x:c>
      <x:c r="E2124" s="5" t="str">
        <x:v>Logistik</x:v>
      </x:c>
      <x:c r="F2124" s="5" t="str">
        <x:v>ui-hq-0022</x:v>
      </x:c>
      <x:c r="G2124" s="5" t="str">
        <x:v>Einkauf und Beschaffung</x:v>
      </x:c>
      <x:c r="H2124" s="5" t="str">
        <x:v>dg-hq-0097</x:v>
      </x:c>
      <x:c r="I2124" s="5" t="str">
        <x:v>7.1.3</x:v>
      </x:c>
      <x:c r="J2124" s="5" t="str">
        <x:v>Beschaffungsprozess</x:v>
      </x:c>
      <x:c r="K2124" s="5" t="str"/>
      <x:c r="L2124" s="5" t="str">
        <x:v>Bedarfsermittlung, Liefermengen &amp; Lieferzeitpunkte</x:v>
      </x:c>
      <x:c r="M2124" s="5" t="n">
        <x:v>142</x:v>
      </x:c>
      <x:c r="N2124" s="5" t="n">
        <x:v>14</x:v>
      </x:c>
      <x:c r="O2124" s="5" t="str"/>
      <x:c r="P2124" s="5" t="str">
        <x:v>Zuordnungsvorschlag; Fachfreigabe ausstehend</x:v>
      </x:c>
      <x:c r="Q2124" s="5" t="str">
        <x:v>Bestehendes Lernthema fachlich unter passendem Rahmenplan-Unterbereich behalten</x:v>
      </x:c>
      <x:c r="R2124" s="5" t="str">
        <x:v>Erklären Sie den Unterschied zwischen Fertigungsstufenverfahren und Dispositionsstufenverfahren.</x:v>
      </x:c>
      <x:c r="S2124" s="5" t="str">
        <x:v>0daa695cbb985b2671af7523215c2827a7910d7d55537002d890203777199297</x:v>
      </x:c>
    </x:row>
    <x:row r="2125" ht="36" customHeight="1">
      <x:c r="A2125" s="5" t="str">
        <x:v>L-0146</x:v>
      </x:c>
      <x:c r="B2125" s="5" t="str">
        <x:v>HQ</x:v>
      </x:c>
      <x:c r="C2125" s="5" t="str">
        <x:v>7</x:v>
      </x:c>
      <x:c r="D2125" s="5" t="str">
        <x:v>Logistik</x:v>
      </x:c>
      <x:c r="E2125" s="5" t="str">
        <x:v>Logistik</x:v>
      </x:c>
      <x:c r="F2125" s="5" t="str">
        <x:v>ui-hq-0022</x:v>
      </x:c>
      <x:c r="G2125" s="5" t="str">
        <x:v>Einkauf und Beschaffung</x:v>
      </x:c>
      <x:c r="H2125" s="5" t="str">
        <x:v>dg-hq-0097</x:v>
      </x:c>
      <x:c r="I2125" s="5" t="str">
        <x:v>7.1.3</x:v>
      </x:c>
      <x:c r="J2125" s="5" t="str">
        <x:v>Beschaffungsprozess</x:v>
      </x:c>
      <x:c r="K2125" s="5" t="str"/>
      <x:c r="L2125" s="5" t="str">
        <x:v>Bedarfsermittlung, Liefermengen &amp; Lieferzeitpunkte</x:v>
      </x:c>
      <x:c r="M2125" s="5" t="n">
        <x:v>143</x:v>
      </x:c>
      <x:c r="N2125" s="5" t="n">
        <x:v>15</x:v>
      </x:c>
      <x:c r="O2125" s="5" t="str"/>
      <x:c r="P2125" s="5" t="str">
        <x:v>Zuordnungsvorschlag; Fachfreigabe ausstehend</x:v>
      </x:c>
      <x:c r="Q2125" s="5" t="str">
        <x:v>Bestehendes Lernthema fachlich unter passendem Rahmenplan-Unterbereich behalten</x:v>
      </x:c>
      <x:c r="R2125" s="5" t="str">
        <x:v>Nennen Sie mindestens zwei Vorteile und zwei Nachteile des Dispositionsstufenverfahrens.</x:v>
      </x:c>
      <x:c r="S2125" s="5" t="str">
        <x:v>84c652dded05947bd9eda0aae70eb11bbe52b5cc918853aec8c40d8b16e21f24</x:v>
      </x:c>
    </x:row>
    <x:row r="2126" ht="36" customHeight="1">
      <x:c r="A2126" s="5" t="str">
        <x:v>L-0147</x:v>
      </x:c>
      <x:c r="B2126" s="5" t="str">
        <x:v>HQ</x:v>
      </x:c>
      <x:c r="C2126" s="5" t="str">
        <x:v>7</x:v>
      </x:c>
      <x:c r="D2126" s="5" t="str">
        <x:v>Logistik</x:v>
      </x:c>
      <x:c r="E2126" s="5" t="str">
        <x:v>Logistik</x:v>
      </x:c>
      <x:c r="F2126" s="5" t="str">
        <x:v>ui-hq-0022</x:v>
      </x:c>
      <x:c r="G2126" s="5" t="str">
        <x:v>Einkauf und Beschaffung</x:v>
      </x:c>
      <x:c r="H2126" s="5" t="str">
        <x:v>dg-hq-0097</x:v>
      </x:c>
      <x:c r="I2126" s="5" t="str">
        <x:v>7.1.3</x:v>
      </x:c>
      <x:c r="J2126" s="5" t="str">
        <x:v>Beschaffungsprozess</x:v>
      </x:c>
      <x:c r="K2126" s="5" t="str"/>
      <x:c r="L2126" s="5" t="str">
        <x:v>Bedarfsermittlung, Liefermengen &amp; Lieferzeitpunkte</x:v>
      </x:c>
      <x:c r="M2126" s="5" t="n">
        <x:v>144</x:v>
      </x:c>
      <x:c r="N2126" s="5" t="n">
        <x:v>16</x:v>
      </x:c>
      <x:c r="O2126" s="5" t="str"/>
      <x:c r="P2126" s="5" t="str">
        <x:v>Zuordnungsvorschlag; Fachfreigabe ausstehend</x:v>
      </x:c>
      <x:c r="Q2126" s="5" t="str">
        <x:v>Bestehendes Lernthema fachlich unter passendem Rahmenplan-Unterbereich behalten</x:v>
      </x:c>
      <x:c r="R2126" s="5" t="str">
        <x:v>Nennen Sie mindestens drei Gründe oder Situationen, bei denen die stochastische beziehungsweise verbrauchsgesteuerte Bedarfsermittlung zum Einsatz kommt.</x:v>
      </x:c>
      <x:c r="S2126" s="5" t="str">
        <x:v>3f330bc3af0a4338c60e7c54723ac416ffc35f2eeca7adac17185008c0b5a144</x:v>
      </x:c>
    </x:row>
    <x:row r="2127" ht="36" customHeight="1">
      <x:c r="A2127" s="5" t="str">
        <x:v>L-0148</x:v>
      </x:c>
      <x:c r="B2127" s="5" t="str">
        <x:v>HQ</x:v>
      </x:c>
      <x:c r="C2127" s="5" t="str">
        <x:v>7</x:v>
      </x:c>
      <x:c r="D2127" s="5" t="str">
        <x:v>Logistik</x:v>
      </x:c>
      <x:c r="E2127" s="5" t="str">
        <x:v>Logistik</x:v>
      </x:c>
      <x:c r="F2127" s="5" t="str">
        <x:v>ui-hq-0022</x:v>
      </x:c>
      <x:c r="G2127" s="5" t="str">
        <x:v>Einkauf und Beschaffung</x:v>
      </x:c>
      <x:c r="H2127" s="5" t="str">
        <x:v>dg-hq-0097</x:v>
      </x:c>
      <x:c r="I2127" s="5" t="str">
        <x:v>7.1.3</x:v>
      </x:c>
      <x:c r="J2127" s="5" t="str">
        <x:v>Beschaffungsprozess</x:v>
      </x:c>
      <x:c r="K2127" s="5" t="str"/>
      <x:c r="L2127" s="5" t="str">
        <x:v>Bedarfsermittlung, Liefermengen &amp; Lieferzeitpunkte</x:v>
      </x:c>
      <x:c r="M2127" s="5" t="n">
        <x:v>145</x:v>
      </x:c>
      <x:c r="N2127" s="5" t="n">
        <x:v>17</x:v>
      </x:c>
      <x:c r="O2127" s="5" t="str"/>
      <x:c r="P2127" s="5" t="str">
        <x:v>Zuordnungsvorschlag; Fachfreigabe ausstehend</x:v>
      </x:c>
      <x:c r="Q2127" s="5" t="str">
        <x:v>Bestehendes Lernthema fachlich unter passendem Rahmenplan-Unterbereich behalten</x:v>
      </x:c>
      <x:c r="R2127" s="5" t="str">
        <x:v>Ordnen Sie die Verbrauchsverläufe den passenden Beschreibungen zu: konstanter Verbrauchsverlauf, trendförmiger Verbrauchsverlauf, saisonaler Verbrauchsverlauf und sporadischer Verbrauchsverlauf.</x:v>
      </x:c>
      <x:c r="S2127" s="5" t="str">
        <x:v>ee1f118996793745eb92e1e9692317d6a1890fd156dc34458f458f38ef283bfe</x:v>
      </x:c>
    </x:row>
    <x:row r="2128" ht="36" customHeight="1">
      <x:c r="A2128" s="5" t="str">
        <x:v>L-0149</x:v>
      </x:c>
      <x:c r="B2128" s="5" t="str">
        <x:v>HQ</x:v>
      </x:c>
      <x:c r="C2128" s="5" t="str">
        <x:v>7</x:v>
      </x:c>
      <x:c r="D2128" s="5" t="str">
        <x:v>Logistik</x:v>
      </x:c>
      <x:c r="E2128" s="5" t="str">
        <x:v>Logistik</x:v>
      </x:c>
      <x:c r="F2128" s="5" t="str">
        <x:v>ui-hq-0022</x:v>
      </x:c>
      <x:c r="G2128" s="5" t="str">
        <x:v>Einkauf und Beschaffung</x:v>
      </x:c>
      <x:c r="H2128" s="5" t="str">
        <x:v>dg-hq-0097</x:v>
      </x:c>
      <x:c r="I2128" s="5" t="str">
        <x:v>7.1.3</x:v>
      </x:c>
      <x:c r="J2128" s="5" t="str">
        <x:v>Beschaffungsprozess</x:v>
      </x:c>
      <x:c r="K2128" s="5" t="str"/>
      <x:c r="L2128" s="5" t="str">
        <x:v>Bedarfsermittlung, Liefermengen &amp; Lieferzeitpunkte</x:v>
      </x:c>
      <x:c r="M2128" s="5" t="n">
        <x:v>146</x:v>
      </x:c>
      <x:c r="N2128" s="5" t="n">
        <x:v>18</x:v>
      </x:c>
      <x:c r="O2128" s="5" t="str"/>
      <x:c r="P2128" s="5" t="str">
        <x:v>Zuordnungsvorschlag; Fachfreigabe ausstehend</x:v>
      </x:c>
      <x:c r="Q2128" s="5" t="str">
        <x:v>Bestehendes Lernthema fachlich unter passendem Rahmenplan-Unterbereich behalten</x:v>
      </x:c>
      <x:c r="R2128" s="5" t="str">
        <x:v>Fallbezug: Die folgenden betrieblichen Angaben und Situationen beziehen sich auf die Circle Harbor GmbH.
Für die Monate Januar bis August liegen folgende Verbrauchswerte vor: Januar 34, Februar 28, März 31, April 33, Mai 21, Juni 26, Juli 23, August 31. Ermitteln Sie den Vorhersagewert für September mit drei Mittelwertmethoden: a) arithmetischer Mittelwert aller acht Monate, b) gleitender Mittelwert der letzten vier Monate, c) gewogener gleitender Mittelwert der letzten vier Monate mit Gewichtung 10/20/30/40.</x:v>
      </x:c>
      <x:c r="S2128" s="5" t="str">
        <x:v>3e3ba687ebf1ab27fd83b45143df0365a6c93ce66e1c8d31b1818686a5a144ce</x:v>
      </x:c>
    </x:row>
    <x:row r="2129" ht="36" customHeight="1">
      <x:c r="A2129" s="5" t="str">
        <x:v>L-0150</x:v>
      </x:c>
      <x:c r="B2129" s="5" t="str">
        <x:v>HQ</x:v>
      </x:c>
      <x:c r="C2129" s="5" t="str">
        <x:v>7</x:v>
      </x:c>
      <x:c r="D2129" s="5" t="str">
        <x:v>Logistik</x:v>
      </x:c>
      <x:c r="E2129" s="5" t="str">
        <x:v>Logistik</x:v>
      </x:c>
      <x:c r="F2129" s="5" t="str">
        <x:v>ui-hq-0022</x:v>
      </x:c>
      <x:c r="G2129" s="5" t="str">
        <x:v>Einkauf und Beschaffung</x:v>
      </x:c>
      <x:c r="H2129" s="5" t="str">
        <x:v>dg-hq-0097</x:v>
      </x:c>
      <x:c r="I2129" s="5" t="str">
        <x:v>7.1.3</x:v>
      </x:c>
      <x:c r="J2129" s="5" t="str">
        <x:v>Beschaffungsprozess</x:v>
      </x:c>
      <x:c r="K2129" s="5" t="str"/>
      <x:c r="L2129" s="5" t="str">
        <x:v>Bedarfsermittlung, Liefermengen &amp; Lieferzeitpunkte</x:v>
      </x:c>
      <x:c r="M2129" s="5" t="n">
        <x:v>147</x:v>
      </x:c>
      <x:c r="N2129" s="5" t="n">
        <x:v>19</x:v>
      </x:c>
      <x:c r="O2129" s="5" t="str"/>
      <x:c r="P2129" s="5" t="str">
        <x:v>Zuordnungsvorschlag; Fachfreigabe ausstehend</x:v>
      </x:c>
      <x:c r="Q2129" s="5" t="str">
        <x:v>Bestehendes Lernthema fachlich unter passendem Rahmenplan-Unterbereich behalten</x:v>
      </x:c>
      <x:c r="R2129" s="5" t="str">
        <x:v>Welche Formel zur Berechnung der exponentiellen Glättung ist korrekt?</x:v>
      </x:c>
      <x:c r="S2129" s="5" t="str">
        <x:v>247c80ca69f1db4019bb00f71b09e206fe4b52ce62070b18bd7f73ef0f27362d</x:v>
      </x:c>
    </x:row>
    <x:row r="2130" ht="36" customHeight="1">
      <x:c r="A2130" s="5" t="str">
        <x:v>L-0151</x:v>
      </x:c>
      <x:c r="B2130" s="5" t="str">
        <x:v>HQ</x:v>
      </x:c>
      <x:c r="C2130" s="5" t="str">
        <x:v>7</x:v>
      </x:c>
      <x:c r="D2130" s="5" t="str">
        <x:v>Logistik</x:v>
      </x:c>
      <x:c r="E2130" s="5" t="str">
        <x:v>Logistik</x:v>
      </x:c>
      <x:c r="F2130" s="5" t="str">
        <x:v>ui-hq-0022</x:v>
      </x:c>
      <x:c r="G2130" s="5" t="str">
        <x:v>Einkauf und Beschaffung</x:v>
      </x:c>
      <x:c r="H2130" s="5" t="str">
        <x:v>dg-hq-0097</x:v>
      </x:c>
      <x:c r="I2130" s="5" t="str">
        <x:v>7.1.3</x:v>
      </x:c>
      <x:c r="J2130" s="5" t="str">
        <x:v>Beschaffungsprozess</x:v>
      </x:c>
      <x:c r="K2130" s="5" t="str"/>
      <x:c r="L2130" s="5" t="str">
        <x:v>Bedarfsermittlung, Liefermengen &amp; Lieferzeitpunkte</x:v>
      </x:c>
      <x:c r="M2130" s="5" t="n">
        <x:v>148</x:v>
      </x:c>
      <x:c r="N2130" s="5" t="n">
        <x:v>20</x:v>
      </x:c>
      <x:c r="O2130" s="5" t="str"/>
      <x:c r="P2130" s="5" t="str">
        <x:v>Zuordnungsvorschlag; Fachfreigabe ausstehend</x:v>
      </x:c>
      <x:c r="Q2130" s="5" t="str">
        <x:v>Bestehendes Lernthema fachlich unter passendem Rahmenplan-Unterbereich behalten</x:v>
      </x:c>
      <x:c r="R2130" s="5" t="str">
        <x:v>Ordnen Sie den beiden dargestellten Verläufen den passenden Glättungsfaktor α zu. Ein hoher Glättungsfaktor reagiert stärker auf aktuelle Verbrauchsschwankungen, ein niedriger Glättungsfaktor glättet stärker. Tragen Sie für Diagramm a und Diagramm b jeweils 0,8 oder 0,3 ein.</x:v>
      </x:c>
      <x:c r="S2130" s="5" t="str">
        <x:v>ab59c9ee26b9995e41ce747f51d36153e1cfdc36202f44f43c19eb02eeab94b1</x:v>
      </x:c>
    </x:row>
    <x:row r="2131" ht="36" customHeight="1">
      <x:c r="A2131" s="5" t="str">
        <x:v>L-0152</x:v>
      </x:c>
      <x:c r="B2131" s="5" t="str">
        <x:v>HQ</x:v>
      </x:c>
      <x:c r="C2131" s="5" t="str">
        <x:v>7</x:v>
      </x:c>
      <x:c r="D2131" s="5" t="str">
        <x:v>Logistik</x:v>
      </x:c>
      <x:c r="E2131" s="5" t="str">
        <x:v>Logistik</x:v>
      </x:c>
      <x:c r="F2131" s="5" t="str">
        <x:v>ui-hq-0022</x:v>
      </x:c>
      <x:c r="G2131" s="5" t="str">
        <x:v>Einkauf und Beschaffung</x:v>
      </x:c>
      <x:c r="H2131" s="5" t="str">
        <x:v>dg-hq-0097</x:v>
      </x:c>
      <x:c r="I2131" s="5" t="str">
        <x:v>7.1.3</x:v>
      </x:c>
      <x:c r="J2131" s="5" t="str">
        <x:v>Beschaffungsprozess</x:v>
      </x:c>
      <x:c r="K2131" s="5" t="str"/>
      <x:c r="L2131" s="5" t="str">
        <x:v>Bedarfsermittlung, Liefermengen &amp; Lieferzeitpunkte</x:v>
      </x:c>
      <x:c r="M2131" s="5" t="n">
        <x:v>149</x:v>
      </x:c>
      <x:c r="N2131" s="5" t="n">
        <x:v>21</x:v>
      </x:c>
      <x:c r="O2131" s="5" t="str"/>
      <x:c r="P2131" s="5" t="str">
        <x:v>Zuordnungsvorschlag; Fachfreigabe ausstehend</x:v>
      </x:c>
      <x:c r="Q2131" s="5" t="str">
        <x:v>Bestehendes Lernthema fachlich unter passendem Rahmenplan-Unterbereich behalten</x:v>
      </x:c>
      <x:c r="R2131" s="5" t="str">
        <x:v>Die Circle Harbor GmbH weist einen Inventurwert zum 31.12.2022 von 16.320.000 € aus. Im Jahr 2023 werden Zugänge von 182.300.000 € und Abgänge von 186.420.000 € gebucht. Lagerbezogene Kosten: Wartung/Instandhaltung 72.000 €, Lagergemeinkosten 129.000 €, Abschreibungen Lager 86.000 €, Personalkosten Lagerwirtschaft 426.000 €. Der Zinssatz für die Kapitalbindung beträgt 4 %. Ermitteln Sie den Lagerkostensatz iL2 und den Lagerhaltungskostensatz iL.</x:v>
      </x:c>
      <x:c r="S2131" s="5" t="str">
        <x:v>22282d54d7bafb01cfedc9064d7a806a08228199b9be86991e7a74876bc356b2</x:v>
      </x:c>
    </x:row>
    <x:row r="2132" ht="36" customHeight="1">
      <x:c r="A2132" s="5" t="str">
        <x:v>L-0153</x:v>
      </x:c>
      <x:c r="B2132" s="5" t="str">
        <x:v>HQ</x:v>
      </x:c>
      <x:c r="C2132" s="5" t="str">
        <x:v>7</x:v>
      </x:c>
      <x:c r="D2132" s="5" t="str">
        <x:v>Logistik</x:v>
      </x:c>
      <x:c r="E2132" s="5" t="str">
        <x:v>Logistik</x:v>
      </x:c>
      <x:c r="F2132" s="5" t="str">
        <x:v>ui-hq-0022</x:v>
      </x:c>
      <x:c r="G2132" s="5" t="str">
        <x:v>Einkauf und Beschaffung</x:v>
      </x:c>
      <x:c r="H2132" s="5" t="str">
        <x:v>dg-hq-0097</x:v>
      </x:c>
      <x:c r="I2132" s="5" t="str">
        <x:v>7.1.3</x:v>
      </x:c>
      <x:c r="J2132" s="5" t="str">
        <x:v>Beschaffungsprozess</x:v>
      </x:c>
      <x:c r="K2132" s="5" t="str"/>
      <x:c r="L2132" s="5" t="str">
        <x:v>Bedarfsermittlung, Liefermengen &amp; Lieferzeitpunkte</x:v>
      </x:c>
      <x:c r="M2132" s="5" t="n">
        <x:v>150</x:v>
      </x:c>
      <x:c r="N2132" s="5" t="n">
        <x:v>22</x:v>
      </x:c>
      <x:c r="O2132" s="5" t="str"/>
      <x:c r="P2132" s="5" t="str">
        <x:v>Zuordnungsvorschlag; Fachfreigabe ausstehend</x:v>
      </x:c>
      <x:c r="Q2132" s="5" t="str">
        <x:v>Bestehendes Lernthema fachlich unter passendem Rahmenplan-Unterbereich behalten</x:v>
      </x:c>
      <x:c r="R2132" s="5" t="str">
        <x:v>Circle Harbor benötigt jährlich 1.000 Spezialpaletten. Der Einstandspreis je Palette beträgt 12,50 €. Die fixen Bestellkosten betragen 40 € je Bestellung. Der Lagerhaltungskostensatz beträgt 16 %. Ermitteln Sie nach der Andler-Formel a) die optimale Bestellmenge und b) die optimale Bestellhäufigkeit pro Jahr.</x:v>
      </x:c>
      <x:c r="S2132" s="5" t="str">
        <x:v>2bf2f528413a8bbc9c8524cf2423b00b41ca6c106137ff078d713f932513f184</x:v>
      </x:c>
    </x:row>
    <x:row r="2133" ht="36" customHeight="1">
      <x:c r="A2133" s="5" t="str">
        <x:v>L-0154</x:v>
      </x:c>
      <x:c r="B2133" s="5" t="str">
        <x:v>HQ</x:v>
      </x:c>
      <x:c r="C2133" s="5" t="str">
        <x:v>7</x:v>
      </x:c>
      <x:c r="D2133" s="5" t="str">
        <x:v>Logistik</x:v>
      </x:c>
      <x:c r="E2133" s="5" t="str">
        <x:v>Logistik</x:v>
      </x:c>
      <x:c r="F2133" s="5" t="str">
        <x:v>ui-hq-0022</x:v>
      </x:c>
      <x:c r="G2133" s="5" t="str">
        <x:v>Einkauf und Beschaffung</x:v>
      </x:c>
      <x:c r="H2133" s="5" t="str">
        <x:v>dg-hq-0097</x:v>
      </x:c>
      <x:c r="I2133" s="5" t="str">
        <x:v>7.1.3</x:v>
      </x:c>
      <x:c r="J2133" s="5" t="str">
        <x:v>Beschaffungsprozess</x:v>
      </x:c>
      <x:c r="K2133" s="5" t="str"/>
      <x:c r="L2133" s="5" t="str">
        <x:v>Bedarfsermittlung, Liefermengen &amp; Lieferzeitpunkte</x:v>
      </x:c>
      <x:c r="M2133" s="5" t="n">
        <x:v>151</x:v>
      </x:c>
      <x:c r="N2133" s="5" t="n">
        <x:v>23</x:v>
      </x:c>
      <x:c r="O2133" s="5" t="str"/>
      <x:c r="P2133" s="5" t="str">
        <x:v>Zuordnungsvorschlag; Fachfreigabe ausstehend</x:v>
      </x:c>
      <x:c r="Q2133" s="5" t="str">
        <x:v>Bestehendes Lernthema fachlich unter passendem Rahmenplan-Unterbereich behalten</x:v>
      </x:c>
      <x:c r="R2133" s="5" t="str">
        <x:v>Die Circle Harbor GmbH weist einen Inventurwert zum 31.12.2022 von 16.320.000 € aus. Im Jahr 2023 werden Zugänge von 182.300.000 € und Abgänge von 186.420.000 € gebucht. Lagerbezogene Kosten: Wartung/Instandhaltung 72.000 €, Lagergemeinkosten 129.000 €, Abschreibungen Lager 86.000 €, Personalkosten Lagerwirtschaft 426.000 €. Ermitteln Sie den Lagerkostensatz iL₂.</x:v>
      </x:c>
      <x:c r="S2133" s="5" t="str">
        <x:v>1f6fbdc60bc7f9513dd1696eba2796715c1df9e4bbf272bc72388c169b587283</x:v>
      </x:c>
    </x:row>
    <x:row r="2134" ht="36" customHeight="1">
      <x:c r="A2134" s="5" t="str">
        <x:v>L-0155</x:v>
      </x:c>
      <x:c r="B2134" s="5" t="str">
        <x:v>HQ</x:v>
      </x:c>
      <x:c r="C2134" s="5" t="str">
        <x:v>7</x:v>
      </x:c>
      <x:c r="D2134" s="5" t="str">
        <x:v>Logistik</x:v>
      </x:c>
      <x:c r="E2134" s="5" t="str">
        <x:v>Logistik</x:v>
      </x:c>
      <x:c r="F2134" s="5" t="str">
        <x:v>ui-hq-0022</x:v>
      </x:c>
      <x:c r="G2134" s="5" t="str">
        <x:v>Einkauf und Beschaffung</x:v>
      </x:c>
      <x:c r="H2134" s="5" t="str">
        <x:v>dg-hq-0097</x:v>
      </x:c>
      <x:c r="I2134" s="5" t="str">
        <x:v>7.1.3</x:v>
      </x:c>
      <x:c r="J2134" s="5" t="str">
        <x:v>Beschaffungsprozess</x:v>
      </x:c>
      <x:c r="K2134" s="5" t="str"/>
      <x:c r="L2134" s="5" t="str">
        <x:v>Bedarfsermittlung, Liefermengen &amp; Lieferzeitpunkte</x:v>
      </x:c>
      <x:c r="M2134" s="5" t="n">
        <x:v>152</x:v>
      </x:c>
      <x:c r="N2134" s="5" t="n">
        <x:v>24</x:v>
      </x:c>
      <x:c r="O2134" s="5" t="str"/>
      <x:c r="P2134" s="5" t="str">
        <x:v>Zuordnungsvorschlag; Fachfreigabe ausstehend</x:v>
      </x:c>
      <x:c r="Q2134" s="5" t="str">
        <x:v>Bestehendes Lernthema fachlich unter passendem Rahmenplan-Unterbereich behalten</x:v>
      </x:c>
      <x:c r="R2134" s="5" t="str">
        <x:v>Die Circle Harbor GmbH weist einen Inventurwert zum 31.12.2022 von 16.320.000 € aus. Im Jahr 2023 werden Zugänge von 182.300.000 € und Abgänge von 186.420.000 € gebucht. Lagerbezogene Kosten: Wartung/Instandhaltung 72.000 €, Lagergemeinkosten 129.000 €, Abschreibungen Lager 86.000 €, Personalkosten Lagerwirtschaft 426.000 €. Der Zinssatz für die Kapitalbindung beträgt 4 %. Der Lagerkostensatz iL₂ beträgt 5 %. Ermitteln Sie den Lagerhaltungskostensatz iL.</x:v>
      </x:c>
      <x:c r="S2134" s="5" t="str">
        <x:v>488578f29fe6e2b14b876644e8d0e20dff3a0b4c724abb486295cc1fbfa8a7c3</x:v>
      </x:c>
    </x:row>
    <x:row r="2135" ht="36" customHeight="1">
      <x:c r="A2135" s="5" t="str">
        <x:v>L-0156</x:v>
      </x:c>
      <x:c r="B2135" s="5" t="str">
        <x:v>HQ</x:v>
      </x:c>
      <x:c r="C2135" s="5" t="str">
        <x:v>7</x:v>
      </x:c>
      <x:c r="D2135" s="5" t="str">
        <x:v>Logistik</x:v>
      </x:c>
      <x:c r="E2135" s="5" t="str">
        <x:v>Logistik</x:v>
      </x:c>
      <x:c r="F2135" s="5" t="str">
        <x:v>ui-hq-0022</x:v>
      </x:c>
      <x:c r="G2135" s="5" t="str">
        <x:v>Einkauf und Beschaffung</x:v>
      </x:c>
      <x:c r="H2135" s="5" t="str">
        <x:v>dg-hq-0097</x:v>
      </x:c>
      <x:c r="I2135" s="5" t="str">
        <x:v>7.1.3</x:v>
      </x:c>
      <x:c r="J2135" s="5" t="str">
        <x:v>Beschaffungsprozess</x:v>
      </x:c>
      <x:c r="K2135" s="5" t="str"/>
      <x:c r="L2135" s="5" t="str">
        <x:v>Bedarfsermittlung, Liefermengen &amp; Lieferzeitpunkte</x:v>
      </x:c>
      <x:c r="M2135" s="5" t="n">
        <x:v>153</x:v>
      </x:c>
      <x:c r="N2135" s="5" t="n">
        <x:v>25</x:v>
      </x:c>
      <x:c r="O2135" s="5" t="str"/>
      <x:c r="P2135" s="5" t="str">
        <x:v>Zuordnungsvorschlag; Fachfreigabe ausstehend</x:v>
      </x:c>
      <x:c r="Q2135" s="5" t="str">
        <x:v>Bestehendes Lernthema fachlich unter passendem Rahmenplan-Unterbereich behalten</x:v>
      </x:c>
      <x:c r="R2135" s="5" t="str">
        <x:v>Circle Harbor benötigt jährlich 1.000 Spezialpaletten. Der Einstandspreis je Palette beträgt 12,50 €. Die fixen Bestellkosten betragen 40 € je Bestellung. Der Lagerhaltungskostensatz beträgt 16 %. Ermitteln Sie anhand der gegebenen Bestellhäufigkeiten (jährlich, halbjährlich, vierteljährlich, zweimonatlich, monatlich), bei welcher Bestellhäufigkeit die geringsten Gesamtkosten entstehen.</x:v>
      </x:c>
      <x:c r="S2135" s="5" t="str">
        <x:v>ad8e877f4787481749bd986f4b5c756e7f79b68de56e4626a5b5c20ee155b84f</x:v>
      </x:c>
    </x:row>
    <x:row r="2136" ht="36" customHeight="1">
      <x:c r="A2136" s="5" t="str">
        <x:v>L-0157</x:v>
      </x:c>
      <x:c r="B2136" s="5" t="str">
        <x:v>HQ</x:v>
      </x:c>
      <x:c r="C2136" s="5" t="str">
        <x:v>7</x:v>
      </x:c>
      <x:c r="D2136" s="5" t="str">
        <x:v>Logistik</x:v>
      </x:c>
      <x:c r="E2136" s="5" t="str">
        <x:v>Logistik</x:v>
      </x:c>
      <x:c r="F2136" s="5" t="str">
        <x:v>ui-hq-0022</x:v>
      </x:c>
      <x:c r="G2136" s="5" t="str">
        <x:v>Einkauf und Beschaffung</x:v>
      </x:c>
      <x:c r="H2136" s="5" t="str">
        <x:v>dg-hq-0097</x:v>
      </x:c>
      <x:c r="I2136" s="5" t="str">
        <x:v>7.1.3</x:v>
      </x:c>
      <x:c r="J2136" s="5" t="str">
        <x:v>Beschaffungsprozess</x:v>
      </x:c>
      <x:c r="K2136" s="5" t="str"/>
      <x:c r="L2136" s="5" t="str">
        <x:v>Bedarfsermittlung, Liefermengen &amp; Lieferzeitpunkte</x:v>
      </x:c>
      <x:c r="M2136" s="5" t="n">
        <x:v>154</x:v>
      </x:c>
      <x:c r="N2136" s="5" t="n">
        <x:v>26</x:v>
      </x:c>
      <x:c r="O2136" s="5" t="str"/>
      <x:c r="P2136" s="5" t="str">
        <x:v>Zuordnungsvorschlag; Fachfreigabe ausstehend</x:v>
      </x:c>
      <x:c r="Q2136" s="5" t="str">
        <x:v>Bestehendes Lernthema fachlich unter passendem Rahmenplan-Unterbereich behalten</x:v>
      </x:c>
      <x:c r="R2136" s="5" t="str">
        <x:v>Circle Harbor benötigt jährlich 1.000 Spezialpaletten. Der Einstandspreis je Palette beträgt 12,50 €. Die fixen Bestellkosten betragen 40 € je Bestellung. Der Lagerhaltungskostensatz beträgt 16 %. Berechnen Sie nach der Andler-Formel die optimale Bestellmenge.</x:v>
      </x:c>
      <x:c r="S2136" s="5" t="str">
        <x:v>4b34dcde038833ae4f73e5e6d979d62175daeed9a4c725e8ed7a21b766632aa0</x:v>
      </x:c>
    </x:row>
    <x:row r="2137" ht="36" customHeight="1">
      <x:c r="A2137" s="5" t="str">
        <x:v>L-0158</x:v>
      </x:c>
      <x:c r="B2137" s="5" t="str">
        <x:v>HQ</x:v>
      </x:c>
      <x:c r="C2137" s="5" t="str">
        <x:v>7</x:v>
      </x:c>
      <x:c r="D2137" s="5" t="str">
        <x:v>Logistik</x:v>
      </x:c>
      <x:c r="E2137" s="5" t="str">
        <x:v>Logistik</x:v>
      </x:c>
      <x:c r="F2137" s="5" t="str">
        <x:v>ui-hq-0022</x:v>
      </x:c>
      <x:c r="G2137" s="5" t="str">
        <x:v>Einkauf und Beschaffung</x:v>
      </x:c>
      <x:c r="H2137" s="5" t="str">
        <x:v>dg-hq-0097</x:v>
      </x:c>
      <x:c r="I2137" s="5" t="str">
        <x:v>7.1.3</x:v>
      </x:c>
      <x:c r="J2137" s="5" t="str">
        <x:v>Beschaffungsprozess</x:v>
      </x:c>
      <x:c r="K2137" s="5" t="str"/>
      <x:c r="L2137" s="5" t="str">
        <x:v>Bedarfsermittlung, Liefermengen &amp; Lieferzeitpunkte</x:v>
      </x:c>
      <x:c r="M2137" s="5" t="n">
        <x:v>155</x:v>
      </x:c>
      <x:c r="N2137" s="5" t="n">
        <x:v>27</x:v>
      </x:c>
      <x:c r="O2137" s="5" t="str"/>
      <x:c r="P2137" s="5" t="str">
        <x:v>Zuordnungsvorschlag; Fachfreigabe ausstehend</x:v>
      </x:c>
      <x:c r="Q2137" s="5" t="str">
        <x:v>Bestehendes Lernthema fachlich unter passendem Rahmenplan-Unterbereich behalten</x:v>
      </x:c>
      <x:c r="R2137" s="5" t="str">
        <x:v>Circle Harbor benötigt jährlich 1.000 Spezialpaletten. Die optimale Bestellmenge beträgt 200 Stück. Berechnen Sie die optimale Bestellhäufigkeit pro Jahr.</x:v>
      </x:c>
      <x:c r="S2137" s="5" t="str">
        <x:v>9b5ca064030b925a377d68891099f9ebe24609e91d6c12d0b57190ffcfc2b408</x:v>
      </x:c>
    </x:row>
    <x:row r="2138" ht="36" customHeight="1">
      <x:c r="A2138" s="5" t="str">
        <x:v>L-0159</x:v>
      </x:c>
      <x:c r="B2138" s="5" t="str">
        <x:v>HQ</x:v>
      </x:c>
      <x:c r="C2138" s="5" t="str">
        <x:v>7</x:v>
      </x:c>
      <x:c r="D2138" s="5" t="str">
        <x:v>Logistik</x:v>
      </x:c>
      <x:c r="E2138" s="5" t="str">
        <x:v>Logistik</x:v>
      </x:c>
      <x:c r="F2138" s="5" t="str">
        <x:v>ui-hq-0022</x:v>
      </x:c>
      <x:c r="G2138" s="5" t="str">
        <x:v>Einkauf und Beschaffung</x:v>
      </x:c>
      <x:c r="H2138" s="5" t="str">
        <x:v>dg-hq-0097</x:v>
      </x:c>
      <x:c r="I2138" s="5" t="str">
        <x:v>7.1.3</x:v>
      </x:c>
      <x:c r="J2138" s="5" t="str">
        <x:v>Beschaffungsprozess</x:v>
      </x:c>
      <x:c r="K2138" s="5" t="str"/>
      <x:c r="L2138" s="5" t="str">
        <x:v>Bedarfsermittlung, Liefermengen &amp; Lieferzeitpunkte</x:v>
      </x:c>
      <x:c r="M2138" s="5" t="n">
        <x:v>156</x:v>
      </x:c>
      <x:c r="N2138" s="5" t="n">
        <x:v>28</x:v>
      </x:c>
      <x:c r="O2138" s="5" t="str"/>
      <x:c r="P2138" s="5" t="str">
        <x:v>Zuordnungsvorschlag; Fachfreigabe ausstehend</x:v>
      </x:c>
      <x:c r="Q2138" s="5" t="str">
        <x:v>Bestehendes Lernthema fachlich unter passendem Rahmenplan-Unterbereich behalten</x:v>
      </x:c>
      <x:c r="R2138" s="5" t="str">
        <x:v>Fallbezug: Die folgenden betrieblichen Angaben und Situationen beziehen sich auf die Circle Harbor GmbH.
Die monatlichen Vergangenheitsverbräuche lauten: Januar 34, Februar 28, März 31, April 33, Mai 21, Juni 26, Juli 23, August 31. Ermitteln Sie den Vorhersagewert für September mit dem arithmetischen Mittelwert.</x:v>
      </x:c>
      <x:c r="S2138" s="5" t="str">
        <x:v>38b69b7909165d00cd27374c5010c393e65d2d624472d9338f8aaec4d1e35143</x:v>
      </x:c>
    </x:row>
    <x:row r="2139" ht="36" customHeight="1">
      <x:c r="A2139" s="5" t="str">
        <x:v>L-0160</x:v>
      </x:c>
      <x:c r="B2139" s="5" t="str">
        <x:v>HQ</x:v>
      </x:c>
      <x:c r="C2139" s="5" t="str">
        <x:v>7</x:v>
      </x:c>
      <x:c r="D2139" s="5" t="str">
        <x:v>Logistik</x:v>
      </x:c>
      <x:c r="E2139" s="5" t="str">
        <x:v>Logistik</x:v>
      </x:c>
      <x:c r="F2139" s="5" t="str">
        <x:v>ui-hq-0022</x:v>
      </x:c>
      <x:c r="G2139" s="5" t="str">
        <x:v>Einkauf und Beschaffung</x:v>
      </x:c>
      <x:c r="H2139" s="5" t="str">
        <x:v>dg-hq-0097</x:v>
      </x:c>
      <x:c r="I2139" s="5" t="str">
        <x:v>7.1.3</x:v>
      </x:c>
      <x:c r="J2139" s="5" t="str">
        <x:v>Beschaffungsprozess</x:v>
      </x:c>
      <x:c r="K2139" s="5" t="str"/>
      <x:c r="L2139" s="5" t="str">
        <x:v>Bedarfsermittlung, Liefermengen &amp; Lieferzeitpunkte</x:v>
      </x:c>
      <x:c r="M2139" s="5" t="n">
        <x:v>157</x:v>
      </x:c>
      <x:c r="N2139" s="5" t="n">
        <x:v>29</x:v>
      </x:c>
      <x:c r="O2139" s="5" t="str"/>
      <x:c r="P2139" s="5" t="str">
        <x:v>Zuordnungsvorschlag; Fachfreigabe ausstehend</x:v>
      </x:c>
      <x:c r="Q2139" s="5" t="str">
        <x:v>Bestehendes Lernthema fachlich unter passendem Rahmenplan-Unterbereich behalten</x:v>
      </x:c>
      <x:c r="R2139" s="5" t="str">
        <x:v>Fallbezug: Die folgenden betrieblichen Angaben und Situationen beziehen sich auf die Circle Harbor GmbH.
Die monatlichen Vergangenheitsverbräuche lauten: Januar 34, Februar 28, März 31, April 33, Mai 21, Juni 26, Juli 23, August 31. Es sollen die letzten vier Perioden verwendet werden. Ermitteln Sie den Vorhersagewert für September mit dem gleitenden Mittelwert.</x:v>
      </x:c>
      <x:c r="S2139" s="5" t="str">
        <x:v>449ca5ed168e7cc7bebbcf11ca6ef5c7be760e81812ef83892c193d84324d8de</x:v>
      </x:c>
    </x:row>
    <x:row r="2140" ht="36" customHeight="1">
      <x:c r="A2140" s="5" t="str">
        <x:v>L-0161</x:v>
      </x:c>
      <x:c r="B2140" s="5" t="str">
        <x:v>HQ</x:v>
      </x:c>
      <x:c r="C2140" s="5" t="str">
        <x:v>7</x:v>
      </x:c>
      <x:c r="D2140" s="5" t="str">
        <x:v>Logistik</x:v>
      </x:c>
      <x:c r="E2140" s="5" t="str">
        <x:v>Logistik</x:v>
      </x:c>
      <x:c r="F2140" s="5" t="str">
        <x:v>ui-hq-0022</x:v>
      </x:c>
      <x:c r="G2140" s="5" t="str">
        <x:v>Einkauf und Beschaffung</x:v>
      </x:c>
      <x:c r="H2140" s="5" t="str">
        <x:v>dg-hq-0097</x:v>
      </x:c>
      <x:c r="I2140" s="5" t="str">
        <x:v>7.1.3</x:v>
      </x:c>
      <x:c r="J2140" s="5" t="str">
        <x:v>Beschaffungsprozess</x:v>
      </x:c>
      <x:c r="K2140" s="5" t="str"/>
      <x:c r="L2140" s="5" t="str">
        <x:v>Bedarfsermittlung, Liefermengen &amp; Lieferzeitpunkte</x:v>
      </x:c>
      <x:c r="M2140" s="5" t="n">
        <x:v>158</x:v>
      </x:c>
      <x:c r="N2140" s="5" t="n">
        <x:v>30</x:v>
      </x:c>
      <x:c r="O2140" s="5" t="str"/>
      <x:c r="P2140" s="5" t="str">
        <x:v>Zuordnungsvorschlag; Fachfreigabe ausstehend</x:v>
      </x:c>
      <x:c r="Q2140" s="5" t="str">
        <x:v>Bestehendes Lernthema fachlich unter passendem Rahmenplan-Unterbereich behalten</x:v>
      </x:c>
      <x:c r="R2140" s="5" t="str">
        <x:v>Fallbezug: Die folgenden betrieblichen Angaben und Situationen beziehen sich auf die Circle Harbor GmbH.
Die monatlichen Vergangenheitsverbräuche lauten: Mai 21, Juni 26, Juli 23, August 31. Die Gewichtung beträgt 10/20/30/40. Ermitteln Sie den Vorhersagewert für September mit dem gewichteten gleitenden Mittelwert.</x:v>
      </x:c>
      <x:c r="S2140" s="5" t="str">
        <x:v>a914db48fe437c32fc75d38438ad247852ebd4ead4703a4de89f324e813a72e0</x:v>
      </x:c>
    </x:row>
    <x:row r="2141" ht="36" customHeight="1">
      <x:c r="A2141" s="5" t="str">
        <x:v>L-0162</x:v>
      </x:c>
      <x:c r="B2141" s="5" t="str">
        <x:v>HQ</x:v>
      </x:c>
      <x:c r="C2141" s="5" t="str">
        <x:v>7</x:v>
      </x:c>
      <x:c r="D2141" s="5" t="str">
        <x:v>Logistik</x:v>
      </x:c>
      <x:c r="E2141" s="5" t="str">
        <x:v>Logistik</x:v>
      </x:c>
      <x:c r="F2141" s="5" t="str">
        <x:v>ui-hq-0022</x:v>
      </x:c>
      <x:c r="G2141" s="5" t="str">
        <x:v>Einkauf und Beschaffung</x:v>
      </x:c>
      <x:c r="H2141" s="5" t="str">
        <x:v>dg-hq-0097</x:v>
      </x:c>
      <x:c r="I2141" s="5" t="str">
        <x:v>7.1.3</x:v>
      </x:c>
      <x:c r="J2141" s="5" t="str">
        <x:v>Beschaffungsprozess</x:v>
      </x:c>
      <x:c r="K2141" s="5" t="str"/>
      <x:c r="L2141" s="5" t="str">
        <x:v>Bedarfsermittlung, Liefermengen &amp; Lieferzeitpunkte</x:v>
      </x:c>
      <x:c r="M2141" s="5" t="n">
        <x:v>159</x:v>
      </x:c>
      <x:c r="N2141" s="5" t="n">
        <x:v>31</x:v>
      </x:c>
      <x:c r="O2141" s="5" t="str"/>
      <x:c r="P2141" s="5" t="str">
        <x:v>Zuordnungsvorschlag; Fachfreigabe ausstehend</x:v>
      </x:c>
      <x:c r="Q2141" s="5" t="str">
        <x:v>Bestehendes Lernthema fachlich unter passendem Rahmenplan-Unterbereich behalten</x:v>
      </x:c>
      <x:c r="R2141" s="5" t="str">
        <x:v>Nennen Sie mindestens vier Gründe, warum der Einkauf von der optimalen Bestellmenge abweichen kann.</x:v>
      </x:c>
      <x:c r="S2141" s="5" t="str">
        <x:v>ae3d9df24436838e994c6f25f81bc5640a0f1477c9d745e2dd8f8c8b6cb24110</x:v>
      </x:c>
    </x:row>
    <x:row r="2142" ht="36" customHeight="1">
      <x:c r="A2142" s="5" t="str">
        <x:v>L-0163</x:v>
      </x:c>
      <x:c r="B2142" s="5" t="str">
        <x:v>HQ</x:v>
      </x:c>
      <x:c r="C2142" s="5" t="str">
        <x:v>7</x:v>
      </x:c>
      <x:c r="D2142" s="5" t="str">
        <x:v>Logistik</x:v>
      </x:c>
      <x:c r="E2142" s="5" t="str">
        <x:v>Logistik</x:v>
      </x:c>
      <x:c r="F2142" s="5" t="str">
        <x:v>ui-hq-0022</x:v>
      </x:c>
      <x:c r="G2142" s="5" t="str">
        <x:v>Einkauf und Beschaffung</x:v>
      </x:c>
      <x:c r="H2142" s="5" t="str">
        <x:v>dg-hq-0097</x:v>
      </x:c>
      <x:c r="I2142" s="5" t="str">
        <x:v>7.1.3</x:v>
      </x:c>
      <x:c r="J2142" s="5" t="str">
        <x:v>Beschaffungsprozess</x:v>
      </x:c>
      <x:c r="K2142" s="5" t="str"/>
      <x:c r="L2142" s="5" t="str">
        <x:v>Bedarfsermittlung, Liefermengen &amp; Lieferzeitpunkte</x:v>
      </x:c>
      <x:c r="M2142" s="5" t="n">
        <x:v>160</x:v>
      </x:c>
      <x:c r="N2142" s="5" t="n">
        <x:v>32</x:v>
      </x:c>
      <x:c r="O2142" s="5" t="str"/>
      <x:c r="P2142" s="5" t="str">
        <x:v>Zuordnungsvorschlag; Fachfreigabe ausstehend</x:v>
      </x:c>
      <x:c r="Q2142" s="5" t="str">
        <x:v>Bestehendes Lernthema fachlich unter passendem Rahmenplan-Unterbereich behalten</x:v>
      </x:c>
      <x:c r="R2142" s="5" t="str">
        <x:v>Die Circle Harbor GmbH disponiert Rahmen D-1216 verbrauchsgesteuert über das Bestellpunktverfahren. Der Monatsverbrauch beträgt 322 Stück bei 23 Arbeitstagen. Die Lieferzeit beträgt 6 Tage, die Bestellprüfung 1 Tag und die Einlagerzeit 1 Tag. Der Sicherheitsbestand soll einem Verbrauch während der Wiederbeschaffungszeit entsprechen. Ermitteln Sie den Meldebestand.</x:v>
      </x:c>
      <x:c r="S2142" s="5" t="str">
        <x:v>c51dfa8b7a2a6af04d2a4212e8a6411ff9d10671eff4e3a343423ff0933a0470</x:v>
      </x:c>
    </x:row>
    <x:row r="2143" ht="36" customHeight="1">
      <x:c r="A2143" s="5" t="str">
        <x:v>L-0164</x:v>
      </x:c>
      <x:c r="B2143" s="5" t="str">
        <x:v>HQ</x:v>
      </x:c>
      <x:c r="C2143" s="5" t="str">
        <x:v>7</x:v>
      </x:c>
      <x:c r="D2143" s="5" t="str">
        <x:v>Logistik</x:v>
      </x:c>
      <x:c r="E2143" s="5" t="str">
        <x:v>Logistik</x:v>
      </x:c>
      <x:c r="F2143" s="5" t="str">
        <x:v>ui-hq-0022</x:v>
      </x:c>
      <x:c r="G2143" s="5" t="str">
        <x:v>Einkauf und Beschaffung</x:v>
      </x:c>
      <x:c r="H2143" s="5" t="str">
        <x:v>dg-hq-0097</x:v>
      </x:c>
      <x:c r="I2143" s="5" t="str">
        <x:v>7.1.3</x:v>
      </x:c>
      <x:c r="J2143" s="5" t="str">
        <x:v>Beschaffungsprozess</x:v>
      </x:c>
      <x:c r="K2143" s="5" t="str"/>
      <x:c r="L2143" s="5" t="str">
        <x:v>Bedarfsermittlung, Liefermengen &amp; Lieferzeitpunkte</x:v>
      </x:c>
      <x:c r="M2143" s="5" t="n">
        <x:v>161</x:v>
      </x:c>
      <x:c r="N2143" s="5" t="n">
        <x:v>33</x:v>
      </x:c>
      <x:c r="O2143" s="5" t="str"/>
      <x:c r="P2143" s="5" t="str">
        <x:v>Zuordnungsvorschlag; Fachfreigabe ausstehend</x:v>
      </x:c>
      <x:c r="Q2143" s="5" t="str">
        <x:v>Bestehendes Lernthema fachlich unter passendem Rahmenplan-Unterbereich behalten</x:v>
      </x:c>
      <x:c r="R2143" s="5" t="str">
        <x:v>Fallbezug: Die folgenden betrieblichen Angaben und Situationen beziehen sich auf die Circle Harbor GmbH.
Beim Bestellpunktverfahren wurde für Rahmen D-1216 ein Tagesverbrauch von 14 Stück, ein Sicherheitsbestand von 112 Stück und ein Meldebestand von 224 Stück ermittelt. Zeichnen Sie schematisch ein Bestandsverlaufsdiagramm. Beschriften Sie die Achsen, tragen Sie Sicherheitsbestand und Meldebestand als waagerechte Linien ein, stellen Sie den täglichen Verbrauch von 14 Stück als fallenden Bestandsverlauf dar und markieren Sie den Bestellpunkt beim Erreichen des Meldebestands.</x:v>
      </x:c>
      <x:c r="S2143" s="5" t="str">
        <x:v>c30331d35850734a73581d55d289462ba03316978511deb1cb6a0482c9d65adf</x:v>
      </x:c>
    </x:row>
    <x:row r="2144" ht="36" customHeight="1">
      <x:c r="A2144" s="5" t="str">
        <x:v>L-0165</x:v>
      </x:c>
      <x:c r="B2144" s="5" t="str">
        <x:v>HQ</x:v>
      </x:c>
      <x:c r="C2144" s="5" t="str">
        <x:v>7</x:v>
      </x:c>
      <x:c r="D2144" s="5" t="str">
        <x:v>Logistik</x:v>
      </x:c>
      <x:c r="E2144" s="5" t="str">
        <x:v>Logistik</x:v>
      </x:c>
      <x:c r="F2144" s="5" t="str">
        <x:v>ui-hq-0022</x:v>
      </x:c>
      <x:c r="G2144" s="5" t="str">
        <x:v>Einkauf und Beschaffung</x:v>
      </x:c>
      <x:c r="H2144" s="5" t="str">
        <x:v>dg-hq-0097</x:v>
      </x:c>
      <x:c r="I2144" s="5" t="str">
        <x:v>7.1.3</x:v>
      </x:c>
      <x:c r="J2144" s="5" t="str">
        <x:v>Beschaffungsprozess</x:v>
      </x:c>
      <x:c r="K2144" s="5" t="str"/>
      <x:c r="L2144" s="5" t="str">
        <x:v>Bedarfsermittlung, Liefermengen &amp; Lieferzeitpunkte</x:v>
      </x:c>
      <x:c r="M2144" s="5" t="n">
        <x:v>162</x:v>
      </x:c>
      <x:c r="N2144" s="5" t="n">
        <x:v>34</x:v>
      </x:c>
      <x:c r="O2144" s="5" t="str"/>
      <x:c r="P2144" s="5" t="str">
        <x:v>Zuordnungsvorschlag; Fachfreigabe ausstehend</x:v>
      </x:c>
      <x:c r="Q2144" s="5" t="str">
        <x:v>Bestehendes Lernthema fachlich unter passendem Rahmenplan-Unterbereich behalten</x:v>
      </x:c>
      <x:c r="R2144" s="5" t="str">
        <x:v>Fallbezug: Die folgenden betrieblichen Angaben und Situationen beziehen sich auf die Circle Harbor GmbH.
Der aktuelle Bestand beträgt 308 Stück. Der Meldebestand beträgt 224 Stück. Der Tagesverbrauch beträgt 14 Stück. In wie vielen Tagen muss voraussichtlich nachbestellt werden?</x:v>
      </x:c>
      <x:c r="S2144" s="5" t="str">
        <x:v>34b227ecc28b51eb7b96e01c394af4b73c06867a2969e69e1dade2f4d466cd4b</x:v>
      </x:c>
    </x:row>
    <x:row r="2145" ht="36" customHeight="1">
      <x:c r="A2145" s="5" t="str">
        <x:v>L-0166</x:v>
      </x:c>
      <x:c r="B2145" s="5" t="str">
        <x:v>HQ</x:v>
      </x:c>
      <x:c r="C2145" s="5" t="str">
        <x:v>7</x:v>
      </x:c>
      <x:c r="D2145" s="5" t="str">
        <x:v>Logistik</x:v>
      </x:c>
      <x:c r="E2145" s="5" t="str">
        <x:v>Logistik</x:v>
      </x:c>
      <x:c r="F2145" s="5" t="str">
        <x:v>ui-hq-0022</x:v>
      </x:c>
      <x:c r="G2145" s="5" t="str">
        <x:v>Einkauf und Beschaffung</x:v>
      </x:c>
      <x:c r="H2145" s="5" t="str">
        <x:v>dg-hq-0097</x:v>
      </x:c>
      <x:c r="I2145" s="5" t="str">
        <x:v>7.1.3</x:v>
      </x:c>
      <x:c r="J2145" s="5" t="str">
        <x:v>Beschaffungsprozess</x:v>
      </x:c>
      <x:c r="K2145" s="5" t="str"/>
      <x:c r="L2145" s="5" t="str">
        <x:v>Bedarfsermittlung, Liefermengen &amp; Lieferzeitpunkte</x:v>
      </x:c>
      <x:c r="M2145" s="5" t="n">
        <x:v>163</x:v>
      </x:c>
      <x:c r="N2145" s="5" t="n">
        <x:v>35</x:v>
      </x:c>
      <x:c r="O2145" s="5" t="str"/>
      <x:c r="P2145" s="5" t="str">
        <x:v>Zuordnungsvorschlag; Fachfreigabe ausstehend</x:v>
      </x:c>
      <x:c r="Q2145" s="5" t="str">
        <x:v>Bestehendes Lernthema fachlich unter passendem Rahmenplan-Unterbereich behalten</x:v>
      </x:c>
      <x:c r="R2145" s="5" t="str">
        <x:v>Fallbezug: Die folgenden betrieblichen Angaben und Situationen beziehen sich auf die Circle Harbor GmbH.
Ein neues gleichpreisiges Lieferunternehmen bietet eine 48-Stunden-Lieferung an, verlangt aber eine Mindestbestellmenge von 400 Stück. Der Sicherheitsbestand beträgt 112 Stück. Im Lager ist maximal Platz für 500 Stück. Prüfen Sie, ob das Angebot angenommen werden kann.</x:v>
      </x:c>
      <x:c r="S2145" s="5" t="str">
        <x:v>784080c08ebf74db1c3b3c43827724074227889f72d88de29417060f3c272547</x:v>
      </x:c>
    </x:row>
    <x:row r="2146" ht="36" customHeight="1">
      <x:c r="A2146" s="5" t="str">
        <x:v>L-0167</x:v>
      </x:c>
      <x:c r="B2146" s="5" t="str">
        <x:v>HQ</x:v>
      </x:c>
      <x:c r="C2146" s="5" t="str">
        <x:v>7</x:v>
      </x:c>
      <x:c r="D2146" s="5" t="str">
        <x:v>Logistik</x:v>
      </x:c>
      <x:c r="E2146" s="5" t="str">
        <x:v>Logistik</x:v>
      </x:c>
      <x:c r="F2146" s="5" t="str">
        <x:v>ui-hq-0022</x:v>
      </x:c>
      <x:c r="G2146" s="5" t="str">
        <x:v>Einkauf und Beschaffung</x:v>
      </x:c>
      <x:c r="H2146" s="5" t="str">
        <x:v>dg-hq-0097</x:v>
      </x:c>
      <x:c r="I2146" s="5" t="str">
        <x:v>7.1.3</x:v>
      </x:c>
      <x:c r="J2146" s="5" t="str">
        <x:v>Beschaffungsprozess</x:v>
      </x:c>
      <x:c r="K2146" s="5" t="str"/>
      <x:c r="L2146" s="5" t="str">
        <x:v>Bedarfsermittlung, Liefermengen &amp; Lieferzeitpunkte</x:v>
      </x:c>
      <x:c r="M2146" s="5" t="n">
        <x:v>164</x:v>
      </x:c>
      <x:c r="N2146" s="5" t="n">
        <x:v>36</x:v>
      </x:c>
      <x:c r="O2146" s="5" t="str"/>
      <x:c r="P2146" s="5" t="str">
        <x:v>Zuordnungsvorschlag; Fachfreigabe ausstehend</x:v>
      </x:c>
      <x:c r="Q2146" s="5" t="str">
        <x:v>Bestehendes Lernthema fachlich unter passendem Rahmenplan-Unterbereich behalten</x:v>
      </x:c>
      <x:c r="R2146" s="5" t="str">
        <x:v>Beurteilen Sie die Aussagen danach, ob der Meldebestand steigt, sinkt oder unverändert bleibt.</x:v>
      </x:c>
      <x:c r="S2146" s="5" t="str">
        <x:v>40c607d1f7e6114339dffae984e920c9f24eae60d005c8705d02ee42e426a1b0</x:v>
      </x:c>
    </x:row>
    <x:row r="2147" ht="36" customHeight="1">
      <x:c r="A2147" s="5" t="str">
        <x:v>L-0168</x:v>
      </x:c>
      <x:c r="B2147" s="5" t="str">
        <x:v>HQ</x:v>
      </x:c>
      <x:c r="C2147" s="5" t="str">
        <x:v>7</x:v>
      </x:c>
      <x:c r="D2147" s="5" t="str">
        <x:v>Logistik</x:v>
      </x:c>
      <x:c r="E2147" s="5" t="str">
        <x:v>Logistik</x:v>
      </x:c>
      <x:c r="F2147" s="5" t="str">
        <x:v>ui-hq-0022</x:v>
      </x:c>
      <x:c r="G2147" s="5" t="str">
        <x:v>Einkauf und Beschaffung</x:v>
      </x:c>
      <x:c r="H2147" s="5" t="str">
        <x:v>dg-hq-0097</x:v>
      </x:c>
      <x:c r="I2147" s="5" t="str">
        <x:v>7.1.3</x:v>
      </x:c>
      <x:c r="J2147" s="5" t="str">
        <x:v>Beschaffungsprozess</x:v>
      </x:c>
      <x:c r="K2147" s="5" t="str"/>
      <x:c r="L2147" s="5" t="str">
        <x:v>Bedarfsermittlung, Liefermengen &amp; Lieferzeitpunkte</x:v>
      </x:c>
      <x:c r="M2147" s="5" t="n">
        <x:v>165</x:v>
      </x:c>
      <x:c r="N2147" s="5" t="n">
        <x:v>37</x:v>
      </x:c>
      <x:c r="O2147" s="5" t="str"/>
      <x:c r="P2147" s="5" t="str">
        <x:v>Zuordnungsvorschlag; Fachfreigabe ausstehend</x:v>
      </x:c>
      <x:c r="Q2147" s="5" t="str">
        <x:v>Bestehendes Lernthema fachlich unter passendem Rahmenplan-Unterbereich behalten</x:v>
      </x:c>
      <x:c r="R2147" s="5" t="str">
        <x:v>Erläutern Sie den wesentlichen Unterschied zwischen dem Bestellrhythmusverfahren und dem Bestellpunktverfahren.</x:v>
      </x:c>
      <x:c r="S2147" s="5" t="str">
        <x:v>49bec14312f8639c3c987675047f55303a1a90fbe1cf7c6a1af3cae7eb8e828e</x:v>
      </x:c>
    </x:row>
    <x:row r="2148" ht="36" customHeight="1">
      <x:c r="A2148" s="5" t="str">
        <x:v>L-0169</x:v>
      </x:c>
      <x:c r="B2148" s="5" t="str">
        <x:v>HQ</x:v>
      </x:c>
      <x:c r="C2148" s="5" t="str">
        <x:v>7</x:v>
      </x:c>
      <x:c r="D2148" s="5" t="str">
        <x:v>Logistik</x:v>
      </x:c>
      <x:c r="E2148" s="5" t="str">
        <x:v>Logistik</x:v>
      </x:c>
      <x:c r="F2148" s="5" t="str">
        <x:v>ui-hq-0022</x:v>
      </x:c>
      <x:c r="G2148" s="5" t="str">
        <x:v>Einkauf und Beschaffung</x:v>
      </x:c>
      <x:c r="H2148" s="5" t="str">
        <x:v>dg-hq-0097</x:v>
      </x:c>
      <x:c r="I2148" s="5" t="str">
        <x:v>7.1.3</x:v>
      </x:c>
      <x:c r="J2148" s="5" t="str">
        <x:v>Beschaffungsprozess</x:v>
      </x:c>
      <x:c r="K2148" s="5" t="str"/>
      <x:c r="L2148" s="5" t="str">
        <x:v>Bedarfsermittlung, Liefermengen &amp; Lieferzeitpunkte</x:v>
      </x:c>
      <x:c r="M2148" s="5" t="n">
        <x:v>166</x:v>
      </x:c>
      <x:c r="N2148" s="5" t="n">
        <x:v>38</x:v>
      </x:c>
      <x:c r="O2148" s="5" t="str"/>
      <x:c r="P2148" s="5" t="str">
        <x:v>Zuordnungsvorschlag; Fachfreigabe ausstehend</x:v>
      </x:c>
      <x:c r="Q2148" s="5" t="str">
        <x:v>Bestehendes Lernthema fachlich unter passendem Rahmenplan-Unterbereich behalten</x:v>
      </x:c>
      <x:c r="R2148" s="5" t="str">
        <x:v>Warum sind die Lagerbestände beim Bestellrhythmusverfahren in der Regel höher als beim Bestellpunktverfahren?</x:v>
      </x:c>
      <x:c r="S2148" s="5" t="str">
        <x:v>892d60b012ddd54f235f930833e2866a95ee36a4f8bc4a20a5517142c93c3bb9</x:v>
      </x:c>
    </x:row>
    <x:row r="2149" ht="36" customHeight="1">
      <x:c r="A2149" s="5" t="str">
        <x:v>L-0170</x:v>
      </x:c>
      <x:c r="B2149" s="5" t="str">
        <x:v>HQ</x:v>
      </x:c>
      <x:c r="C2149" s="5" t="str">
        <x:v>7</x:v>
      </x:c>
      <x:c r="D2149" s="5" t="str">
        <x:v>Logistik</x:v>
      </x:c>
      <x:c r="E2149" s="5" t="str">
        <x:v>Logistik</x:v>
      </x:c>
      <x:c r="F2149" s="5" t="str">
        <x:v>ui-hq-0022</x:v>
      </x:c>
      <x:c r="G2149" s="5" t="str">
        <x:v>Einkauf und Beschaffung</x:v>
      </x:c>
      <x:c r="H2149" s="5" t="str">
        <x:v>dg-hq-0097</x:v>
      </x:c>
      <x:c r="I2149" s="5" t="str">
        <x:v>7.1.3</x:v>
      </x:c>
      <x:c r="J2149" s="5" t="str">
        <x:v>Beschaffungsprozess</x:v>
      </x:c>
      <x:c r="K2149" s="5" t="str"/>
      <x:c r="L2149" s="5" t="str">
        <x:v>Bedarfsermittlung, Liefermengen &amp; Lieferzeitpunkte</x:v>
      </x:c>
      <x:c r="M2149" s="5" t="n">
        <x:v>167</x:v>
      </x:c>
      <x:c r="N2149" s="5" t="n">
        <x:v>39</x:v>
      </x:c>
      <x:c r="O2149" s="5" t="str"/>
      <x:c r="P2149" s="5" t="str">
        <x:v>Zuordnungsvorschlag; Fachfreigabe ausstehend</x:v>
      </x:c>
      <x:c r="Q2149" s="5" t="str">
        <x:v>Bestehendes Lernthema fachlich unter passendem Rahmenplan-Unterbereich behalten</x:v>
      </x:c>
      <x:c r="R2149" s="5" t="str">
        <x:v>Ergänzen Sie die drei Arten von Unsicherheiten, die einen Sicherheitsbestand erforderlich machen, und erläutern Sie diese kurz.</x:v>
      </x:c>
      <x:c r="S2149" s="5" t="str">
        <x:v>5c7f06c1b4c70af26c5ff2ca3ead4aa5e6c7c399f0ba409cbd0a1295a8e32ceb</x:v>
      </x:c>
    </x:row>
    <x:row r="2150" ht="36" customHeight="1">
      <x:c r="A2150" s="5" t="str">
        <x:v>L-0171</x:v>
      </x:c>
      <x:c r="B2150" s="5" t="str">
        <x:v>HQ</x:v>
      </x:c>
      <x:c r="C2150" s="5" t="str">
        <x:v>7</x:v>
      </x:c>
      <x:c r="D2150" s="5" t="str">
        <x:v>Logistik</x:v>
      </x:c>
      <x:c r="E2150" s="5" t="str">
        <x:v>Logistik</x:v>
      </x:c>
      <x:c r="F2150" s="5" t="str">
        <x:v>ui-hq-0022</x:v>
      </x:c>
      <x:c r="G2150" s="5" t="str">
        <x:v>Einkauf und Beschaffung</x:v>
      </x:c>
      <x:c r="H2150" s="5" t="str">
        <x:v>dg-hq-0097</x:v>
      </x:c>
      <x:c r="I2150" s="5" t="str">
        <x:v>7.1.3</x:v>
      </x:c>
      <x:c r="J2150" s="5" t="str">
        <x:v>Beschaffungsprozess</x:v>
      </x:c>
      <x:c r="K2150" s="5" t="str"/>
      <x:c r="L2150" s="5" t="str">
        <x:v>Bedarfsermittlung, Liefermengen &amp; Lieferzeitpunkte</x:v>
      </x:c>
      <x:c r="M2150" s="5" t="n">
        <x:v>168</x:v>
      </x:c>
      <x:c r="N2150" s="5" t="n">
        <x:v>40</x:v>
      </x:c>
      <x:c r="O2150" s="5" t="str"/>
      <x:c r="P2150" s="5" t="str">
        <x:v>Zuordnungsvorschlag; Fachfreigabe ausstehend</x:v>
      </x:c>
      <x:c r="Q2150" s="5" t="str">
        <x:v>Bestehendes Lernthema fachlich unter passendem Rahmenplan-Unterbereich behalten</x:v>
      </x:c>
      <x:c r="R2150" s="5" t="str">
        <x:v>Kreuzen Sie alle Kostenarten an, die zu den Fehlmengenkosten gehören.</x:v>
      </x:c>
      <x:c r="S2150" s="5" t="str">
        <x:v>9cd41a669b811d742641025fde9ce17d79689c232603f77d23ff280d2c4f6156</x:v>
      </x:c>
    </x:row>
    <x:row r="2151" ht="36" customHeight="1">
      <x:c r="A2151" s="5" t="str">
        <x:v>L-0172</x:v>
      </x:c>
      <x:c r="B2151" s="5" t="str">
        <x:v>HQ</x:v>
      </x:c>
      <x:c r="C2151" s="5" t="str">
        <x:v>7</x:v>
      </x:c>
      <x:c r="D2151" s="5" t="str">
        <x:v>Logistik</x:v>
      </x:c>
      <x:c r="E2151" s="5" t="str">
        <x:v>Logistik</x:v>
      </x:c>
      <x:c r="F2151" s="5" t="str">
        <x:v>ui-hq-0023</x:v>
      </x:c>
      <x:c r="G2151" s="5" t="str">
        <x:v>Materialwirtschaft und Lagerhaltung</x:v>
      </x:c>
      <x:c r="H2151" s="5" t="str">
        <x:v>dg-hq-0098</x:v>
      </x:c>
      <x:c r="I2151" s="5" t="str">
        <x:v>7.2.1.1#3</x:v>
      </x:c>
      <x:c r="J2151" s="5" t="str">
        <x:v>Ident-, Mengen- und Qualitätsprüfung</x:v>
      </x:c>
      <x:c r="K2151" s="5" t="str"/>
      <x:c r="L2151" s="5" t="str">
        <x:v>Materialwirtschaft, Lagerung &amp; Kommissionierung</x:v>
      </x:c>
      <x:c r="M2151" s="5" t="n">
        <x:v>1</x:v>
      </x:c>
      <x:c r="N2151" s="5" t="n">
        <x:v>1</x:v>
      </x:c>
      <x:c r="O2151" s="5" t="str"/>
      <x:c r="P2151" s="5" t="str">
        <x:v>Zuordnungsvorschlag; Fachfreigabe ausstehend</x:v>
      </x:c>
      <x:c r="Q2151" s="5" t="str">
        <x:v>Frageinhalt präzisiert bzw. teilt bisheriges Sammelthema</x:v>
      </x:c>
      <x:c r="R2151" s="5" t="str">
        <x:v>Bringen Sie die folgenden Schritte des Wareneingangs in die richtige Reihenfolge: Annahme des Materials, Materialidentifizierung, Art- und Mengenprüfung, Entladung, Auspacken, Qualitätsprüfung, Vorbereiten der Einlagerung, Verbuchung Wareneingang, Einlagerung.</x:v>
      </x:c>
      <x:c r="S2151" s="5" t="str">
        <x:v>ba849171ee03e69d4a4e60e5a3b520fae2e013b11c4b8af6dd7ccd7a412b6058</x:v>
      </x:c>
    </x:row>
    <x:row r="2152" ht="36" customHeight="1">
      <x:c r="A2152" s="5" t="str">
        <x:v>L-0173</x:v>
      </x:c>
      <x:c r="B2152" s="5" t="str">
        <x:v>HQ</x:v>
      </x:c>
      <x:c r="C2152" s="5" t="str">
        <x:v>7</x:v>
      </x:c>
      <x:c r="D2152" s="5" t="str">
        <x:v>Logistik</x:v>
      </x:c>
      <x:c r="E2152" s="5" t="str">
        <x:v>Logistik</x:v>
      </x:c>
      <x:c r="F2152" s="5" t="str">
        <x:v>ui-hq-0023</x:v>
      </x:c>
      <x:c r="G2152" s="5" t="str">
        <x:v>Materialwirtschaft und Lagerhaltung</x:v>
      </x:c>
      <x:c r="H2152" s="5" t="str">
        <x:v>dg-hq-0099</x:v>
      </x:c>
      <x:c r="I2152" s="5" t="str">
        <x:v>7.2.2</x:v>
      </x:c>
      <x:c r="J2152" s="5" t="str">
        <x:v>Lagerhaltung</x:v>
      </x:c>
      <x:c r="K2152" s="5" t="str"/>
      <x:c r="L2152" s="5" t="str">
        <x:v>Materialwirtschaft, Lagerung &amp; Kommissionierung</x:v>
      </x:c>
      <x:c r="M2152" s="5" t="n">
        <x:v>2</x:v>
      </x:c>
      <x:c r="N2152" s="5" t="n">
        <x:v>1</x:v>
      </x:c>
      <x:c r="O2152" s="5" t="str"/>
      <x:c r="P2152" s="5" t="str">
        <x:v>Zuordnungsvorschlag; Fachfreigabe ausstehend</x:v>
      </x:c>
      <x:c r="Q2152" s="5" t="str">
        <x:v>Bestehendes Lernthema fachlich unter passendem Rahmenplan-Unterbereich behalten</x:v>
      </x:c>
      <x:c r="R2152" s="5" t="str">
        <x:v>Gemäß § 438 HGB müssen äußerlich nicht erkennbare Transportschäden innerhalb welcher Frist angezeigt werden?</x:v>
      </x:c>
      <x:c r="S2152" s="5" t="str">
        <x:v>b30fd2cc4d1c9c5f2ae5e934341bbc08a0c432e4109cbb52a6e2aaa4b919de03</x:v>
      </x:c>
    </x:row>
    <x:row r="2153" ht="36" customHeight="1">
      <x:c r="A2153" s="5" t="str">
        <x:v>L-0174</x:v>
      </x:c>
      <x:c r="B2153" s="5" t="str">
        <x:v>HQ</x:v>
      </x:c>
      <x:c r="C2153" s="5" t="str">
        <x:v>7</x:v>
      </x:c>
      <x:c r="D2153" s="5" t="str">
        <x:v>Logistik</x:v>
      </x:c>
      <x:c r="E2153" s="5" t="str">
        <x:v>Logistik</x:v>
      </x:c>
      <x:c r="F2153" s="5" t="str">
        <x:v>ui-hq-0023</x:v>
      </x:c>
      <x:c r="G2153" s="5" t="str">
        <x:v>Materialwirtschaft und Lagerhaltung</x:v>
      </x:c>
      <x:c r="H2153" s="5" t="str">
        <x:v>dg-hq-0098</x:v>
      </x:c>
      <x:c r="I2153" s="5" t="str">
        <x:v>7.2.1.1#2</x:v>
      </x:c>
      <x:c r="J2153" s="5" t="str">
        <x:v>Gestaltung des Wareneingang</x:v>
      </x:c>
      <x:c r="K2153" s="5" t="str"/>
      <x:c r="L2153" s="5" t="str">
        <x:v>Materialwirtschaft, Lagerung &amp; Kommissionierung</x:v>
      </x:c>
      <x:c r="M2153" s="5" t="n">
        <x:v>3</x:v>
      </x:c>
      <x:c r="N2153" s="5" t="n">
        <x:v>2</x:v>
      </x:c>
      <x:c r="O2153" s="5" t="str"/>
      <x:c r="P2153" s="5" t="str">
        <x:v>Zuordnungsvorschlag; Fachfreigabe ausstehend</x:v>
      </x:c>
      <x:c r="Q2153" s="5" t="str">
        <x:v>Frageinhalt präzisiert bzw. teilt bisheriges Sammelthema</x:v>
      </x:c>
      <x:c r="R2153" s="5" t="str">
        <x:v>Fallbezug: Die folgenden betrieblichen Angaben und Situationen beziehen sich auf die Circle Harbor GmbH.
Sie stellen als Lagerleiterin bzw. Lagerleiter eine ungleichmäßige Auslastung im Wareneingang fest. Nennen Sie mindestens vier Maßnahmen zur Verbesserung des Prozesses.</x:v>
      </x:c>
      <x:c r="S2153" s="5" t="str">
        <x:v>1e29055f487d30bd86b16bce58fe4307a0424d148a5d0a523ecbf67cc88ba155</x:v>
      </x:c>
    </x:row>
    <x:row r="2154" ht="36" customHeight="1">
      <x:c r="A2154" s="5" t="str">
        <x:v>L-0175</x:v>
      </x:c>
      <x:c r="B2154" s="5" t="str">
        <x:v>HQ</x:v>
      </x:c>
      <x:c r="C2154" s="5" t="str">
        <x:v>7</x:v>
      </x:c>
      <x:c r="D2154" s="5" t="str">
        <x:v>Logistik</x:v>
      </x:c>
      <x:c r="E2154" s="5" t="str">
        <x:v>Logistik</x:v>
      </x:c>
      <x:c r="F2154" s="5" t="str">
        <x:v>ui-hq-0023</x:v>
      </x:c>
      <x:c r="G2154" s="5" t="str">
        <x:v>Materialwirtschaft und Lagerhaltung</x:v>
      </x:c>
      <x:c r="H2154" s="5" t="str">
        <x:v>dg-hq-0098</x:v>
      </x:c>
      <x:c r="I2154" s="5" t="str">
        <x:v>7.2.1</x:v>
      </x:c>
      <x:c r="J2154" s="5" t="str">
        <x:v>Materialwirtschaft</x:v>
      </x:c>
      <x:c r="K2154" s="5" t="str"/>
      <x:c r="L2154" s="5" t="str">
        <x:v>Materialwirtschaft, Lagerung &amp; Kommissionierung</x:v>
      </x:c>
      <x:c r="M2154" s="5" t="n">
        <x:v>4</x:v>
      </x:c>
      <x:c r="N2154" s="5" t="n">
        <x:v>3</x:v>
      </x:c>
      <x:c r="O2154" s="5" t="str"/>
      <x:c r="P2154" s="5" t="str">
        <x:v>Zuordnungsvorschlag; Fachfreigabe ausstehend</x:v>
      </x:c>
      <x:c r="Q2154" s="5" t="str">
        <x:v>Frageinhalt präzisiert bzw. teilt bisheriges Sammelthema</x:v>
      </x:c>
      <x:c r="R2154" s="5" t="str">
        <x:v>In der Logistik von Circle Harbor: Nennen Sie mindestens drei Gründe, warum ein Unternehmen auf eine Qualitätsprüfung beim Wareneingang verzichten könnte.</x:v>
      </x:c>
      <x:c r="S2154" s="5" t="str">
        <x:v>e477b340124211e15f1084a5444c2264f73f090f07fa1bcc4bd4b81ddb8673b2</x:v>
      </x:c>
    </x:row>
    <x:row r="2155" ht="36" customHeight="1">
      <x:c r="A2155" s="5" t="str">
        <x:v>L-0176</x:v>
      </x:c>
      <x:c r="B2155" s="5" t="str">
        <x:v>HQ</x:v>
      </x:c>
      <x:c r="C2155" s="5" t="str">
        <x:v>7</x:v>
      </x:c>
      <x:c r="D2155" s="5" t="str">
        <x:v>Logistik</x:v>
      </x:c>
      <x:c r="E2155" s="5" t="str">
        <x:v>Logistik</x:v>
      </x:c>
      <x:c r="F2155" s="5" t="str">
        <x:v>ui-hq-0023</x:v>
      </x:c>
      <x:c r="G2155" s="5" t="str">
        <x:v>Materialwirtschaft und Lagerhaltung</x:v>
      </x:c>
      <x:c r="H2155" s="5" t="str">
        <x:v>dg-hq-0099</x:v>
      </x:c>
      <x:c r="I2155" s="5" t="str">
        <x:v>7.2.2</x:v>
      </x:c>
      <x:c r="J2155" s="5" t="str">
        <x:v>Lagerhaltung</x:v>
      </x:c>
      <x:c r="K2155" s="5" t="str"/>
      <x:c r="L2155" s="5" t="str">
        <x:v>Materialwirtschaft, Lagerung &amp; Kommissionierung</x:v>
      </x:c>
      <x:c r="M2155" s="5" t="n">
        <x:v>5</x:v>
      </x:c>
      <x:c r="N2155" s="5" t="n">
        <x:v>2</x:v>
      </x:c>
      <x:c r="O2155" s="5" t="str"/>
      <x:c r="P2155" s="5" t="str">
        <x:v>Zuordnungsvorschlag; Fachfreigabe ausstehend</x:v>
      </x:c>
      <x:c r="Q2155" s="5" t="str">
        <x:v>Bestehendes Lernthema fachlich unter passendem Rahmenplan-Unterbereich behalten</x:v>
      </x:c>
      <x:c r="R2155" s="5" t="str">
        <x:v>Wie wird die Materialintensität berechnet und was sagt die Kennzahl aus?</x:v>
      </x:c>
      <x:c r="S2155" s="5" t="str">
        <x:v>4c252fd5a08f89c33883bf6d5b80506ebbf972f4e8b5bbe5273257b456fc79d1</x:v>
      </x:c>
    </x:row>
    <x:row r="2156" ht="36" customHeight="1">
      <x:c r="A2156" s="5" t="str">
        <x:v>L-0177</x:v>
      </x:c>
      <x:c r="B2156" s="5" t="str">
        <x:v>HQ</x:v>
      </x:c>
      <x:c r="C2156" s="5" t="str">
        <x:v>7</x:v>
      </x:c>
      <x:c r="D2156" s="5" t="str">
        <x:v>Logistik</x:v>
      </x:c>
      <x:c r="E2156" s="5" t="str">
        <x:v>Logistik</x:v>
      </x:c>
      <x:c r="F2156" s="5" t="str">
        <x:v>ui-hq-0023</x:v>
      </x:c>
      <x:c r="G2156" s="5" t="str">
        <x:v>Materialwirtschaft und Lagerhaltung</x:v>
      </x:c>
      <x:c r="H2156" s="5" t="str">
        <x:v>dg-hq-0099</x:v>
      </x:c>
      <x:c r="I2156" s="5" t="str">
        <x:v>7.2.2</x:v>
      </x:c>
      <x:c r="J2156" s="5" t="str">
        <x:v>Lagerhaltung</x:v>
      </x:c>
      <x:c r="K2156" s="5" t="str"/>
      <x:c r="L2156" s="5" t="str">
        <x:v>Materialwirtschaft, Lagerung &amp; Kommissionierung</x:v>
      </x:c>
      <x:c r="M2156" s="5" t="n">
        <x:v>6</x:v>
      </x:c>
      <x:c r="N2156" s="5" t="n">
        <x:v>3</x:v>
      </x:c>
      <x:c r="O2156" s="5" t="str"/>
      <x:c r="P2156" s="5" t="str">
        <x:v>Zuordnungsvorschlag; Fachfreigabe ausstehend</x:v>
      </x:c>
      <x:c r="Q2156" s="5" t="str">
        <x:v>Bestehendes Lernthema fachlich unter passendem Rahmenplan-Unterbereich behalten</x:v>
      </x:c>
      <x:c r="R2156" s="5" t="str">
        <x:v>Wie wird der Servicegrad berechnet und was sagt die Kennzahl aus?</x:v>
      </x:c>
      <x:c r="S2156" s="5" t="str">
        <x:v>120704876ef44d497f6f0f0ca3b82ec49503ae77c8d2e203c4f73fa7dd2a2e93</x:v>
      </x:c>
    </x:row>
    <x:row r="2157" ht="36" customHeight="1">
      <x:c r="A2157" s="5" t="str">
        <x:v>L-0178</x:v>
      </x:c>
      <x:c r="B2157" s="5" t="str">
        <x:v>HQ</x:v>
      </x:c>
      <x:c r="C2157" s="5" t="str">
        <x:v>7</x:v>
      </x:c>
      <x:c r="D2157" s="5" t="str">
        <x:v>Logistik</x:v>
      </x:c>
      <x:c r="E2157" s="5" t="str">
        <x:v>Logistik</x:v>
      </x:c>
      <x:c r="F2157" s="5" t="str">
        <x:v>ui-hq-0023</x:v>
      </x:c>
      <x:c r="G2157" s="5" t="str">
        <x:v>Materialwirtschaft und Lagerhaltung</x:v>
      </x:c>
      <x:c r="H2157" s="5" t="str">
        <x:v>dg-hq-0099</x:v>
      </x:c>
      <x:c r="I2157" s="5" t="str">
        <x:v>7.2.2</x:v>
      </x:c>
      <x:c r="J2157" s="5" t="str">
        <x:v>Lagerhaltung</x:v>
      </x:c>
      <x:c r="K2157" s="5" t="str"/>
      <x:c r="L2157" s="5" t="str">
        <x:v>Materialwirtschaft, Lagerung &amp; Kommissionierung</x:v>
      </x:c>
      <x:c r="M2157" s="5" t="n">
        <x:v>7</x:v>
      </x:c>
      <x:c r="N2157" s="5" t="n">
        <x:v>4</x:v>
      </x:c>
      <x:c r="O2157" s="5" t="str"/>
      <x:c r="P2157" s="5" t="str">
        <x:v>Zuordnungsvorschlag; Fachfreigabe ausstehend</x:v>
      </x:c>
      <x:c r="Q2157" s="5" t="str">
        <x:v>Bestehendes Lernthema fachlich unter passendem Rahmenplan-Unterbereich behalten</x:v>
      </x:c>
      <x:c r="R2157" s="5" t="str">
        <x:v>Wie wird der Sicherheitskoeffizient berechnet und was sagt die Kennzahl aus?</x:v>
      </x:c>
      <x:c r="S2157" s="5" t="str">
        <x:v>672c427945cd73c9825dc599d79ecf956e3b079bf80ac6602544a02fb3371d6c</x:v>
      </x:c>
    </x:row>
    <x:row r="2158" ht="36" customHeight="1">
      <x:c r="A2158" s="5" t="str">
        <x:v>L-0179</x:v>
      </x:c>
      <x:c r="B2158" s="5" t="str">
        <x:v>HQ</x:v>
      </x:c>
      <x:c r="C2158" s="5" t="str">
        <x:v>7</x:v>
      </x:c>
      <x:c r="D2158" s="5" t="str">
        <x:v>Logistik</x:v>
      </x:c>
      <x:c r="E2158" s="5" t="str">
        <x:v>Logistik</x:v>
      </x:c>
      <x:c r="F2158" s="5" t="str">
        <x:v>ui-hq-0023</x:v>
      </x:c>
      <x:c r="G2158" s="5" t="str">
        <x:v>Materialwirtschaft und Lagerhaltung</x:v>
      </x:c>
      <x:c r="H2158" s="5" t="str">
        <x:v>dg-hq-0099</x:v>
      </x:c>
      <x:c r="I2158" s="5" t="str">
        <x:v>7.2.2</x:v>
      </x:c>
      <x:c r="J2158" s="5" t="str">
        <x:v>Lagerhaltung</x:v>
      </x:c>
      <x:c r="K2158" s="5" t="str"/>
      <x:c r="L2158" s="5" t="str">
        <x:v>Materialwirtschaft, Lagerung &amp; Kommissionierung</x:v>
      </x:c>
      <x:c r="M2158" s="5" t="n">
        <x:v>8</x:v>
      </x:c>
      <x:c r="N2158" s="5" t="n">
        <x:v>5</x:v>
      </x:c>
      <x:c r="O2158" s="5" t="str"/>
      <x:c r="P2158" s="5" t="str">
        <x:v>Zuordnungsvorschlag; Fachfreigabe ausstehend</x:v>
      </x:c>
      <x:c r="Q2158" s="5" t="str">
        <x:v>Bestehendes Lernthema fachlich unter passendem Rahmenplan-Unterbereich behalten</x:v>
      </x:c>
      <x:c r="R2158" s="5" t="str">
        <x:v>Wie wird die Lagerumschlagshäufigkeit berechnet und was sagt die Kennzahl aus?</x:v>
      </x:c>
      <x:c r="S2158" s="5" t="str">
        <x:v>f729412cd9b7834f9a2eb7824eaf4f6ce9b124ee6c8cf43d25c1e6bfee4edf10</x:v>
      </x:c>
    </x:row>
    <x:row r="2159" ht="36" customHeight="1">
      <x:c r="A2159" s="5" t="str">
        <x:v>L-0180</x:v>
      </x:c>
      <x:c r="B2159" s="5" t="str">
        <x:v>HQ</x:v>
      </x:c>
      <x:c r="C2159" s="5" t="str">
        <x:v>7</x:v>
      </x:c>
      <x:c r="D2159" s="5" t="str">
        <x:v>Logistik</x:v>
      </x:c>
      <x:c r="E2159" s="5" t="str">
        <x:v>Logistik</x:v>
      </x:c>
      <x:c r="F2159" s="5" t="str">
        <x:v>ui-hq-0023</x:v>
      </x:c>
      <x:c r="G2159" s="5" t="str">
        <x:v>Materialwirtschaft und Lagerhaltung</x:v>
      </x:c>
      <x:c r="H2159" s="5" t="str">
        <x:v>dg-hq-0099</x:v>
      </x:c>
      <x:c r="I2159" s="5" t="str">
        <x:v>7.2.2</x:v>
      </x:c>
      <x:c r="J2159" s="5" t="str">
        <x:v>Lagerhaltung</x:v>
      </x:c>
      <x:c r="K2159" s="5" t="str"/>
      <x:c r="L2159" s="5" t="str">
        <x:v>Materialwirtschaft, Lagerung &amp; Kommissionierung</x:v>
      </x:c>
      <x:c r="M2159" s="5" t="n">
        <x:v>9</x:v>
      </x:c>
      <x:c r="N2159" s="5" t="n">
        <x:v>6</x:v>
      </x:c>
      <x:c r="O2159" s="5" t="str"/>
      <x:c r="P2159" s="5" t="str">
        <x:v>Zuordnungsvorschlag; Fachfreigabe ausstehend</x:v>
      </x:c>
      <x:c r="Q2159" s="5" t="str">
        <x:v>Bestehendes Lernthema fachlich unter passendem Rahmenplan-Unterbereich behalten</x:v>
      </x:c>
      <x:c r="R2159" s="5" t="str">
        <x:v>Wie wird die durchschnittliche Lagerreichweite in Tagen berechnet und was sagt die Kennzahl aus?</x:v>
      </x:c>
      <x:c r="S2159" s="5" t="str">
        <x:v>ff3a17fef94efe308d6e055650e8749d3702f3cb35d114853acae1864e94ef56</x:v>
      </x:c>
    </x:row>
    <x:row r="2160" ht="36" customHeight="1">
      <x:c r="A2160" s="5" t="str">
        <x:v>L-0181</x:v>
      </x:c>
      <x:c r="B2160" s="5" t="str">
        <x:v>HQ</x:v>
      </x:c>
      <x:c r="C2160" s="5" t="str">
        <x:v>7</x:v>
      </x:c>
      <x:c r="D2160" s="5" t="str">
        <x:v>Logistik</x:v>
      </x:c>
      <x:c r="E2160" s="5" t="str">
        <x:v>Logistik</x:v>
      </x:c>
      <x:c r="F2160" s="5" t="str">
        <x:v>ui-hq-0023</x:v>
      </x:c>
      <x:c r="G2160" s="5" t="str">
        <x:v>Materialwirtschaft und Lagerhaltung</x:v>
      </x:c>
      <x:c r="H2160" s="5" t="str">
        <x:v>dg-hq-0099</x:v>
      </x:c>
      <x:c r="I2160" s="5" t="str">
        <x:v>7.2.2</x:v>
      </x:c>
      <x:c r="J2160" s="5" t="str">
        <x:v>Lagerhaltung</x:v>
      </x:c>
      <x:c r="K2160" s="5" t="str"/>
      <x:c r="L2160" s="5" t="str">
        <x:v>Materialwirtschaft, Lagerung &amp; Kommissionierung</x:v>
      </x:c>
      <x:c r="M2160" s="5" t="n">
        <x:v>10</x:v>
      </x:c>
      <x:c r="N2160" s="5" t="n">
        <x:v>7</x:v>
      </x:c>
      <x:c r="O2160" s="5" t="str"/>
      <x:c r="P2160" s="5" t="str">
        <x:v>Zuordnungsvorschlag; Fachfreigabe ausstehend</x:v>
      </x:c>
      <x:c r="Q2160" s="5" t="str">
        <x:v>Bestehendes Lernthema fachlich unter passendem Rahmenplan-Unterbereich behalten</x:v>
      </x:c>
      <x:c r="R2160" s="5" t="str">
        <x:v>Fallbezug: Die folgenden betrieblichen Angaben und Situationen beziehen sich auf die Circle Harbor GmbH.
Ermitteln Sie den durchschnittlichen Lagerbestand für das Ersatzteil 455 aus Anfangsbestand und Quartalsendbeständen. Anfangsbestand 300 Stück, Quartalsendbestände 180 Stück, 380 Stück, 430 Stück und 570 Stück.</x:v>
      </x:c>
      <x:c r="S2160" s="5" t="str">
        <x:v>5936704d379e8559f30e59a7d0d85f588a0b6e507f08a8c2bb9e06d3f2a7680c</x:v>
      </x:c>
    </x:row>
    <x:row r="2161" ht="36" customHeight="1">
      <x:c r="A2161" s="5" t="str">
        <x:v>L-0182</x:v>
      </x:c>
      <x:c r="B2161" s="5" t="str">
        <x:v>HQ</x:v>
      </x:c>
      <x:c r="C2161" s="5" t="str">
        <x:v>7</x:v>
      </x:c>
      <x:c r="D2161" s="5" t="str">
        <x:v>Logistik</x:v>
      </x:c>
      <x:c r="E2161" s="5" t="str">
        <x:v>Logistik</x:v>
      </x:c>
      <x:c r="F2161" s="5" t="str">
        <x:v>ui-hq-0023</x:v>
      </x:c>
      <x:c r="G2161" s="5" t="str">
        <x:v>Materialwirtschaft und Lagerhaltung</x:v>
      </x:c>
      <x:c r="H2161" s="5" t="str">
        <x:v>dg-hq-0099</x:v>
      </x:c>
      <x:c r="I2161" s="5" t="str">
        <x:v>7.2.2</x:v>
      </x:c>
      <x:c r="J2161" s="5" t="str">
        <x:v>Lagerhaltung</x:v>
      </x:c>
      <x:c r="K2161" s="5" t="str"/>
      <x:c r="L2161" s="5" t="str">
        <x:v>Materialwirtschaft, Lagerung &amp; Kommissionierung</x:v>
      </x:c>
      <x:c r="M2161" s="5" t="n">
        <x:v>11</x:v>
      </x:c>
      <x:c r="N2161" s="5" t="n">
        <x:v>8</x:v>
      </x:c>
      <x:c r="O2161" s="5" t="str"/>
      <x:c r="P2161" s="5" t="str">
        <x:v>Zuordnungsvorschlag; Fachfreigabe ausstehend</x:v>
      </x:c>
      <x:c r="Q2161" s="5" t="str">
        <x:v>Bestehendes Lernthema fachlich unter passendem Rahmenplan-Unterbereich behalten</x:v>
      </x:c>
      <x:c r="R2161" s="5" t="str">
        <x:v>Fallbezug: Die folgenden betrieblichen Angaben und Situationen beziehen sich auf die Circle Harbor GmbH.
Ermitteln Sie die Lagerumschlagshäufigkeit. Verbrauch pro Jahr: 120 + 120 + 80 + 30 + 160 + 40 Stück. Durchschnittlicher Lagerbestand: 372 Stück.</x:v>
      </x:c>
      <x:c r="S2161" s="5" t="str">
        <x:v>5a40a23faf336efd6c46918cd78e666212cacd2818d52f5427fffac60dcafc1a</x:v>
      </x:c>
    </x:row>
    <x:row r="2162" ht="36" customHeight="1">
      <x:c r="A2162" s="5" t="str">
        <x:v>L-0183</x:v>
      </x:c>
      <x:c r="B2162" s="5" t="str">
        <x:v>HQ</x:v>
      </x:c>
      <x:c r="C2162" s="5" t="str">
        <x:v>7</x:v>
      </x:c>
      <x:c r="D2162" s="5" t="str">
        <x:v>Logistik</x:v>
      </x:c>
      <x:c r="E2162" s="5" t="str">
        <x:v>Logistik</x:v>
      </x:c>
      <x:c r="F2162" s="5" t="str">
        <x:v>ui-hq-0023</x:v>
      </x:c>
      <x:c r="G2162" s="5" t="str">
        <x:v>Materialwirtschaft und Lagerhaltung</x:v>
      </x:c>
      <x:c r="H2162" s="5" t="str">
        <x:v>dg-hq-0099</x:v>
      </x:c>
      <x:c r="I2162" s="5" t="str">
        <x:v>7.2.2</x:v>
      </x:c>
      <x:c r="J2162" s="5" t="str">
        <x:v>Lagerhaltung</x:v>
      </x:c>
      <x:c r="K2162" s="5" t="str"/>
      <x:c r="L2162" s="5" t="str">
        <x:v>Materialwirtschaft, Lagerung &amp; Kommissionierung</x:v>
      </x:c>
      <x:c r="M2162" s="5" t="n">
        <x:v>12</x:v>
      </x:c>
      <x:c r="N2162" s="5" t="n">
        <x:v>9</x:v>
      </x:c>
      <x:c r="O2162" s="5" t="str"/>
      <x:c r="P2162" s="5" t="str">
        <x:v>Zuordnungsvorschlag; Fachfreigabe ausstehend</x:v>
      </x:c>
      <x:c r="Q2162" s="5" t="str">
        <x:v>Bestehendes Lernthema fachlich unter passendem Rahmenplan-Unterbereich behalten</x:v>
      </x:c>
      <x:c r="R2162" s="5" t="str">
        <x:v>Fallbezug: Die folgenden betrieblichen Angaben und Situationen beziehen sich auf die Circle Harbor GmbH.
Ermitteln Sie die durchschnittliche Lagerdauer in Tagen bei einer Lagerumschlagshäufigkeit von 1,5.</x:v>
      </x:c>
      <x:c r="S2162" s="5" t="str">
        <x:v>01c2d02b6bd4eab725da590662026f325f65ddf64a85d4d5594dc0b98131e4ae</x:v>
      </x:c>
    </x:row>
    <x:row r="2163" ht="36" customHeight="1">
      <x:c r="A2163" s="5" t="str">
        <x:v>L-0184</x:v>
      </x:c>
      <x:c r="B2163" s="5" t="str">
        <x:v>HQ</x:v>
      </x:c>
      <x:c r="C2163" s="5" t="str">
        <x:v>7</x:v>
      </x:c>
      <x:c r="D2163" s="5" t="str">
        <x:v>Logistik</x:v>
      </x:c>
      <x:c r="E2163" s="5" t="str">
        <x:v>Logistik</x:v>
      </x:c>
      <x:c r="F2163" s="5" t="str">
        <x:v>ui-hq-0023</x:v>
      </x:c>
      <x:c r="G2163" s="5" t="str">
        <x:v>Materialwirtschaft und Lagerhaltung</x:v>
      </x:c>
      <x:c r="H2163" s="5" t="str">
        <x:v>dg-hq-0099</x:v>
      </x:c>
      <x:c r="I2163" s="5" t="str">
        <x:v>7.2.2</x:v>
      </x:c>
      <x:c r="J2163" s="5" t="str">
        <x:v>Lagerhaltung</x:v>
      </x:c>
      <x:c r="K2163" s="5" t="str"/>
      <x:c r="L2163" s="5" t="str">
        <x:v>Materialwirtschaft, Lagerung &amp; Kommissionierung</x:v>
      </x:c>
      <x:c r="M2163" s="5" t="n">
        <x:v>13</x:v>
      </x:c>
      <x:c r="N2163" s="5" t="n">
        <x:v>10</x:v>
      </x:c>
      <x:c r="O2163" s="5" t="str"/>
      <x:c r="P2163" s="5" t="str">
        <x:v>Zuordnungsvorschlag; Fachfreigabe ausstehend</x:v>
      </x:c>
      <x:c r="Q2163" s="5" t="str">
        <x:v>Bestehendes Lernthema fachlich unter passendem Rahmenplan-Unterbereich behalten</x:v>
      </x:c>
      <x:c r="R2163" s="5" t="str">
        <x:v>Welche Maßnahmen führen zu einer Erhöhung der Lagerumschlagshäufigkeit? Kreuzen Sie alle richtigen Aussagen an.</x:v>
      </x:c>
      <x:c r="S2163" s="5" t="str">
        <x:v>422e275763370b8e4649dbf912a039c52efd47b38453cf2d7923f79bdfb1a329</x:v>
      </x:c>
    </x:row>
    <x:row r="2164" ht="36" customHeight="1">
      <x:c r="A2164" s="5" t="str">
        <x:v>L-0185</x:v>
      </x:c>
      <x:c r="B2164" s="5" t="str">
        <x:v>HQ</x:v>
      </x:c>
      <x:c r="C2164" s="5" t="str">
        <x:v>7</x:v>
      </x:c>
      <x:c r="D2164" s="5" t="str">
        <x:v>Logistik</x:v>
      </x:c>
      <x:c r="E2164" s="5" t="str">
        <x:v>Logistik</x:v>
      </x:c>
      <x:c r="F2164" s="5" t="str">
        <x:v>ui-hq-0023</x:v>
      </x:c>
      <x:c r="G2164" s="5" t="str">
        <x:v>Materialwirtschaft und Lagerhaltung</x:v>
      </x:c>
      <x:c r="H2164" s="5" t="str">
        <x:v>dg-hq-0099</x:v>
      </x:c>
      <x:c r="I2164" s="5" t="str">
        <x:v>7.2.2.1#1</x:v>
      </x:c>
      <x:c r="J2164" s="5" t="str">
        <x:v>Funktionen des Lagers</x:v>
      </x:c>
      <x:c r="K2164" s="5" t="str"/>
      <x:c r="L2164" s="5" t="str">
        <x:v>Materialwirtschaft, Lagerung &amp; Kommissionierung</x:v>
      </x:c>
      <x:c r="M2164" s="5" t="n">
        <x:v>14</x:v>
      </x:c>
      <x:c r="N2164" s="5" t="n">
        <x:v>11</x:v>
      </x:c>
      <x:c r="O2164" s="5" t="str"/>
      <x:c r="P2164" s="5" t="str">
        <x:v>Zuordnungsvorschlag; Fachfreigabe ausstehend</x:v>
      </x:c>
      <x:c r="Q2164" s="5" t="str">
        <x:v>Bestehendes Lernthema fachlich unter passendem Rahmenplan-Unterbereich behalten</x:v>
      </x:c>
      <x:c r="R2164" s="5" t="str">
        <x:v>Nennen Sie die fünf grundlegenden Funktionen der Lagerhaltung.</x:v>
      </x:c>
      <x:c r="S2164" s="5" t="str">
        <x:v>933d4db9debec2cd3a7b34e5bd52f5be0e342c8ab74d20d4b3d6b5a5b630b7cd</x:v>
      </x:c>
    </x:row>
    <x:row r="2165" ht="36" customHeight="1">
      <x:c r="A2165" s="5" t="str">
        <x:v>L-0186</x:v>
      </x:c>
      <x:c r="B2165" s="5" t="str">
        <x:v>HQ</x:v>
      </x:c>
      <x:c r="C2165" s="5" t="str">
        <x:v>7</x:v>
      </x:c>
      <x:c r="D2165" s="5" t="str">
        <x:v>Logistik</x:v>
      </x:c>
      <x:c r="E2165" s="5" t="str">
        <x:v>Logistik</x:v>
      </x:c>
      <x:c r="F2165" s="5" t="str">
        <x:v>ui-hq-0023</x:v>
      </x:c>
      <x:c r="G2165" s="5" t="str">
        <x:v>Materialwirtschaft und Lagerhaltung</x:v>
      </x:c>
      <x:c r="H2165" s="5" t="str">
        <x:v>dg-hq-0099</x:v>
      </x:c>
      <x:c r="I2165" s="5" t="str">
        <x:v>7.2.2</x:v>
      </x:c>
      <x:c r="J2165" s="5" t="str">
        <x:v>Lagerhaltung</x:v>
      </x:c>
      <x:c r="K2165" s="5" t="str"/>
      <x:c r="L2165" s="5" t="str">
        <x:v>Materialwirtschaft, Lagerung &amp; Kommissionierung</x:v>
      </x:c>
      <x:c r="M2165" s="5" t="n">
        <x:v>15</x:v>
      </x:c>
      <x:c r="N2165" s="5" t="n">
        <x:v>12</x:v>
      </x:c>
      <x:c r="O2165" s="5" t="str"/>
      <x:c r="P2165" s="5" t="str">
        <x:v>Zuordnungsvorschlag; Fachfreigabe ausstehend</x:v>
      </x:c>
      <x:c r="Q2165" s="5" t="str">
        <x:v>Bestehendes Lernthema fachlich unter passendem Rahmenplan-Unterbereich behalten</x:v>
      </x:c>
      <x:c r="R2165" s="5" t="str">
        <x:v>Erläutern Sie die Pufferfunktion der Lagerhaltung.</x:v>
      </x:c>
      <x:c r="S2165" s="5" t="str">
        <x:v>ee73f9662bb8bf3c60930ba1e6da6ae7e2bec1d7fb3a9369ed6bd4d92b3bd956</x:v>
      </x:c>
    </x:row>
    <x:row r="2166" ht="36" customHeight="1">
      <x:c r="A2166" s="5" t="str">
        <x:v>L-0187</x:v>
      </x:c>
      <x:c r="B2166" s="5" t="str">
        <x:v>HQ</x:v>
      </x:c>
      <x:c r="C2166" s="5" t="str">
        <x:v>7</x:v>
      </x:c>
      <x:c r="D2166" s="5" t="str">
        <x:v>Logistik</x:v>
      </x:c>
      <x:c r="E2166" s="5" t="str">
        <x:v>Logistik</x:v>
      </x:c>
      <x:c r="F2166" s="5" t="str">
        <x:v>ui-hq-0023</x:v>
      </x:c>
      <x:c r="G2166" s="5" t="str">
        <x:v>Materialwirtschaft und Lagerhaltung</x:v>
      </x:c>
      <x:c r="H2166" s="5" t="str">
        <x:v>dg-hq-0099</x:v>
      </x:c>
      <x:c r="I2166" s="5" t="str">
        <x:v>7.2.2</x:v>
      </x:c>
      <x:c r="J2166" s="5" t="str">
        <x:v>Lagerhaltung</x:v>
      </x:c>
      <x:c r="K2166" s="5" t="str"/>
      <x:c r="L2166" s="5" t="str">
        <x:v>Materialwirtschaft, Lagerung &amp; Kommissionierung</x:v>
      </x:c>
      <x:c r="M2166" s="5" t="n">
        <x:v>16</x:v>
      </x:c>
      <x:c r="N2166" s="5" t="n">
        <x:v>13</x:v>
      </x:c>
      <x:c r="O2166" s="5" t="str"/>
      <x:c r="P2166" s="5" t="str">
        <x:v>Zuordnungsvorschlag; Fachfreigabe ausstehend</x:v>
      </x:c>
      <x:c r="Q2166" s="5" t="str">
        <x:v>Bestehendes Lernthema fachlich unter passendem Rahmenplan-Unterbereich behalten</x:v>
      </x:c>
      <x:c r="R2166" s="5" t="str">
        <x:v>Erläutern Sie die Sicherheitsfunktion der Lagerhaltung.</x:v>
      </x:c>
      <x:c r="S2166" s="5" t="str">
        <x:v>28da99a8e5878ae05813a6811b12a21d164495d89e99f96330c95dd5ea15c7c5</x:v>
      </x:c>
    </x:row>
    <x:row r="2167" ht="36" customHeight="1">
      <x:c r="A2167" s="5" t="str">
        <x:v>L-0188</x:v>
      </x:c>
      <x:c r="B2167" s="5" t="str">
        <x:v>HQ</x:v>
      </x:c>
      <x:c r="C2167" s="5" t="str">
        <x:v>7</x:v>
      </x:c>
      <x:c r="D2167" s="5" t="str">
        <x:v>Logistik</x:v>
      </x:c>
      <x:c r="E2167" s="5" t="str">
        <x:v>Logistik</x:v>
      </x:c>
      <x:c r="F2167" s="5" t="str">
        <x:v>ui-hq-0023</x:v>
      </x:c>
      <x:c r="G2167" s="5" t="str">
        <x:v>Materialwirtschaft und Lagerhaltung</x:v>
      </x:c>
      <x:c r="H2167" s="5" t="str">
        <x:v>dg-hq-0099</x:v>
      </x:c>
      <x:c r="I2167" s="5" t="str">
        <x:v>7.2.2</x:v>
      </x:c>
      <x:c r="J2167" s="5" t="str">
        <x:v>Lagerhaltung</x:v>
      </x:c>
      <x:c r="K2167" s="5" t="str"/>
      <x:c r="L2167" s="5" t="str">
        <x:v>Materialwirtschaft, Lagerung &amp; Kommissionierung</x:v>
      </x:c>
      <x:c r="M2167" s="5" t="n">
        <x:v>17</x:v>
      </x:c>
      <x:c r="N2167" s="5" t="n">
        <x:v>14</x:v>
      </x:c>
      <x:c r="O2167" s="5" t="str"/>
      <x:c r="P2167" s="5" t="str">
        <x:v>Zuordnungsvorschlag; Fachfreigabe ausstehend</x:v>
      </x:c>
      <x:c r="Q2167" s="5" t="str">
        <x:v>Bestehendes Lernthema fachlich unter passendem Rahmenplan-Unterbereich behalten</x:v>
      </x:c>
      <x:c r="R2167" s="5" t="str">
        <x:v>Erläutern Sie die Spekulationsfunktion der Lagerhaltung.</x:v>
      </x:c>
      <x:c r="S2167" s="5" t="str">
        <x:v>d3f9fc91a55426abdea40b0d5919957329dc224d32bfa6238e70a2dd6ebb11b6</x:v>
      </x:c>
    </x:row>
    <x:row r="2168" ht="36" customHeight="1">
      <x:c r="A2168" s="5" t="str">
        <x:v>L-0189</x:v>
      </x:c>
      <x:c r="B2168" s="5" t="str">
        <x:v>HQ</x:v>
      </x:c>
      <x:c r="C2168" s="5" t="str">
        <x:v>7</x:v>
      </x:c>
      <x:c r="D2168" s="5" t="str">
        <x:v>Logistik</x:v>
      </x:c>
      <x:c r="E2168" s="5" t="str">
        <x:v>Logistik</x:v>
      </x:c>
      <x:c r="F2168" s="5" t="str">
        <x:v>ui-hq-0023</x:v>
      </x:c>
      <x:c r="G2168" s="5" t="str">
        <x:v>Materialwirtschaft und Lagerhaltung</x:v>
      </x:c>
      <x:c r="H2168" s="5" t="str">
        <x:v>dg-hq-0099</x:v>
      </x:c>
      <x:c r="I2168" s="5" t="str">
        <x:v>7.2.2.1#1</x:v>
      </x:c>
      <x:c r="J2168" s="5" t="str">
        <x:v>Funktionen des Lagers</x:v>
      </x:c>
      <x:c r="K2168" s="5" t="str"/>
      <x:c r="L2168" s="5" t="str">
        <x:v>Materialwirtschaft, Lagerung &amp; Kommissionierung</x:v>
      </x:c>
      <x:c r="M2168" s="5" t="n">
        <x:v>18</x:v>
      </x:c>
      <x:c r="N2168" s="5" t="n">
        <x:v>15</x:v>
      </x:c>
      <x:c r="O2168" s="5" t="str"/>
      <x:c r="P2168" s="5" t="str">
        <x:v>Zuordnungsvorschlag; Fachfreigabe ausstehend</x:v>
      </x:c>
      <x:c r="Q2168" s="5" t="str">
        <x:v>Bestehendes Lernthema fachlich unter passendem Rahmenplan-Unterbereich behalten</x:v>
      </x:c>
      <x:c r="R2168" s="5" t="str">
        <x:v>Nennen Sie mindestens acht Faktoren, die bei der Planung und Errichtung eines neuen Lagers berücksichtigt werden müssen.</x:v>
      </x:c>
      <x:c r="S2168" s="5" t="str">
        <x:v>8a7284bd2066630fc5c3b7773af10a5be5b7b4a1a5c396767ecab9d99577acb2</x:v>
      </x:c>
    </x:row>
    <x:row r="2169" ht="36" customHeight="1">
      <x:c r="A2169" s="5" t="str">
        <x:v>L-0190</x:v>
      </x:c>
      <x:c r="B2169" s="5" t="str">
        <x:v>HQ</x:v>
      </x:c>
      <x:c r="C2169" s="5" t="str">
        <x:v>7</x:v>
      </x:c>
      <x:c r="D2169" s="5" t="str">
        <x:v>Logistik</x:v>
      </x:c>
      <x:c r="E2169" s="5" t="str">
        <x:v>Logistik</x:v>
      </x:c>
      <x:c r="F2169" s="5" t="str">
        <x:v>ui-hq-0023</x:v>
      </x:c>
      <x:c r="G2169" s="5" t="str">
        <x:v>Materialwirtschaft und Lagerhaltung</x:v>
      </x:c>
      <x:c r="H2169" s="5" t="str">
        <x:v>dg-hq-0099</x:v>
      </x:c>
      <x:c r="I2169" s="5" t="str">
        <x:v>7.2.2</x:v>
      </x:c>
      <x:c r="J2169" s="5" t="str">
        <x:v>Lagerhaltung</x:v>
      </x:c>
      <x:c r="K2169" s="5" t="str"/>
      <x:c r="L2169" s="5" t="str">
        <x:v>Materialwirtschaft, Lagerung &amp; Kommissionierung</x:v>
      </x:c>
      <x:c r="M2169" s="5" t="n">
        <x:v>19</x:v>
      </x:c>
      <x:c r="N2169" s="5" t="n">
        <x:v>16</x:v>
      </x:c>
      <x:c r="O2169" s="5" t="str"/>
      <x:c r="P2169" s="5" t="str">
        <x:v>Zuordnungsvorschlag; Fachfreigabe ausstehend</x:v>
      </x:c>
      <x:c r="Q2169" s="5" t="str">
        <x:v>Bestehendes Lernthema fachlich unter passendem Rahmenplan-Unterbereich behalten</x:v>
      </x:c>
      <x:c r="R2169" s="5" t="str">
        <x:v>Nennen Sie mindestens zwei Vorteile einer dezentralen Lagerhaltung.</x:v>
      </x:c>
      <x:c r="S2169" s="5" t="str">
        <x:v>dcdd0fb8f7b59075762f6d59b13582cb429a478e088952f2ee9a26fe57b5325d</x:v>
      </x:c>
    </x:row>
    <x:row r="2170" ht="36" customHeight="1">
      <x:c r="A2170" s="5" t="str">
        <x:v>L-0191</x:v>
      </x:c>
      <x:c r="B2170" s="5" t="str">
        <x:v>HQ</x:v>
      </x:c>
      <x:c r="C2170" s="5" t="str">
        <x:v>7</x:v>
      </x:c>
      <x:c r="D2170" s="5" t="str">
        <x:v>Logistik</x:v>
      </x:c>
      <x:c r="E2170" s="5" t="str">
        <x:v>Logistik</x:v>
      </x:c>
      <x:c r="F2170" s="5" t="str">
        <x:v>ui-hq-0023</x:v>
      </x:c>
      <x:c r="G2170" s="5" t="str">
        <x:v>Materialwirtschaft und Lagerhaltung</x:v>
      </x:c>
      <x:c r="H2170" s="5" t="str">
        <x:v>dg-hq-0099</x:v>
      </x:c>
      <x:c r="I2170" s="5" t="str">
        <x:v>7.2.2</x:v>
      </x:c>
      <x:c r="J2170" s="5" t="str">
        <x:v>Lagerhaltung</x:v>
      </x:c>
      <x:c r="K2170" s="5" t="str"/>
      <x:c r="L2170" s="5" t="str">
        <x:v>Materialwirtschaft, Lagerung &amp; Kommissionierung</x:v>
      </x:c>
      <x:c r="M2170" s="5" t="n">
        <x:v>20</x:v>
      </x:c>
      <x:c r="N2170" s="5" t="n">
        <x:v>17</x:v>
      </x:c>
      <x:c r="O2170" s="5" t="str"/>
      <x:c r="P2170" s="5" t="str">
        <x:v>Zuordnungsvorschlag; Fachfreigabe ausstehend</x:v>
      </x:c>
      <x:c r="Q2170" s="5" t="str">
        <x:v>Bestehendes Lernthema fachlich unter passendem Rahmenplan-Unterbereich behalten</x:v>
      </x:c>
      <x:c r="R2170" s="5" t="str">
        <x:v>Nennen Sie mindestens zwei Vorteile einer zentralen Lagerhaltung.</x:v>
      </x:c>
      <x:c r="S2170" s="5" t="str">
        <x:v>4fff94d91e70512102f4c258869539b75685b97f6fef0c186564c41825a6757a</x:v>
      </x:c>
    </x:row>
    <x:row r="2171" ht="36" customHeight="1">
      <x:c r="A2171" s="5" t="str">
        <x:v>L-0192</x:v>
      </x:c>
      <x:c r="B2171" s="5" t="str">
        <x:v>HQ</x:v>
      </x:c>
      <x:c r="C2171" s="5" t="str">
        <x:v>7</x:v>
      </x:c>
      <x:c r="D2171" s="5" t="str">
        <x:v>Logistik</x:v>
      </x:c>
      <x:c r="E2171" s="5" t="str">
        <x:v>Logistik</x:v>
      </x:c>
      <x:c r="F2171" s="5" t="str">
        <x:v>ui-hq-0023</x:v>
      </x:c>
      <x:c r="G2171" s="5" t="str">
        <x:v>Materialwirtschaft und Lagerhaltung</x:v>
      </x:c>
      <x:c r="H2171" s="5" t="str">
        <x:v>dg-hq-0099</x:v>
      </x:c>
      <x:c r="I2171" s="5" t="str">
        <x:v>7.2.2</x:v>
      </x:c>
      <x:c r="J2171" s="5" t="str">
        <x:v>Lagerhaltung</x:v>
      </x:c>
      <x:c r="K2171" s="5" t="str"/>
      <x:c r="L2171" s="5" t="str">
        <x:v>Materialwirtschaft, Lagerung &amp; Kommissionierung</x:v>
      </x:c>
      <x:c r="M2171" s="5" t="n">
        <x:v>21</x:v>
      </x:c>
      <x:c r="N2171" s="5" t="n">
        <x:v>18</x:v>
      </x:c>
      <x:c r="O2171" s="5" t="str"/>
      <x:c r="P2171" s="5" t="str">
        <x:v>Zuordnungsvorschlag; Fachfreigabe ausstehend</x:v>
      </x:c>
      <x:c r="Q2171" s="5" t="str">
        <x:v>Bestehendes Lernthema fachlich unter passendem Rahmenplan-Unterbereich behalten</x:v>
      </x:c>
      <x:c r="R2171" s="5" t="str">
        <x:v>Welche Faktoren sind bei der Entscheidung zu berücksichtigen, ob Lageraktivitäten ausgelagert werden sollen?</x:v>
      </x:c>
      <x:c r="S2171" s="5" t="str">
        <x:v>94c0d8cb509d5cdfee407dbbc1c126a6db05fa2df39f33fc8df9eea1c4bd4032</x:v>
      </x:c>
    </x:row>
    <x:row r="2172" ht="36" customHeight="1">
      <x:c r="A2172" s="5" t="str">
        <x:v>L-0193</x:v>
      </x:c>
      <x:c r="B2172" s="5" t="str">
        <x:v>HQ</x:v>
      </x:c>
      <x:c r="C2172" s="5" t="str">
        <x:v>7</x:v>
      </x:c>
      <x:c r="D2172" s="5" t="str">
        <x:v>Logistik</x:v>
      </x:c>
      <x:c r="E2172" s="5" t="str">
        <x:v>Logistik</x:v>
      </x:c>
      <x:c r="F2172" s="5" t="str">
        <x:v>ui-hq-0023</x:v>
      </x:c>
      <x:c r="G2172" s="5" t="str">
        <x:v>Materialwirtschaft und Lagerhaltung</x:v>
      </x:c>
      <x:c r="H2172" s="5" t="str">
        <x:v>dg-hq-0099</x:v>
      </x:c>
      <x:c r="I2172" s="5" t="str">
        <x:v>7.2.2</x:v>
      </x:c>
      <x:c r="J2172" s="5" t="str">
        <x:v>Lagerhaltung</x:v>
      </x:c>
      <x:c r="K2172" s="5" t="str"/>
      <x:c r="L2172" s="5" t="str">
        <x:v>Materialwirtschaft, Lagerung &amp; Kommissionierung</x:v>
      </x:c>
      <x:c r="M2172" s="5" t="n">
        <x:v>22</x:v>
      </x:c>
      <x:c r="N2172" s="5" t="n">
        <x:v>19</x:v>
      </x:c>
      <x:c r="O2172" s="5" t="str"/>
      <x:c r="P2172" s="5" t="str">
        <x:v>Zuordnungsvorschlag; Fachfreigabe ausstehend</x:v>
      </x:c>
      <x:c r="Q2172" s="5" t="str">
        <x:v>Bestehendes Lernthema fachlich unter passendem Rahmenplan-Unterbereich behalten</x:v>
      </x:c>
      <x:c r="R2172" s="5" t="str">
        <x:v>Fallbezug: Die folgenden betrieblichen Angaben und Situationen beziehen sich auf die Circle Harbor GmbH.
Für acht Produkte wurden die benötigten Lagerkapazitäten ermittelt: Bei chaotischer Lagerhaltung werden maximal 44 Palettenstellplätze benötigt, bei Festplatzlagerung 65. Ordnen Sie den beiden Lagerarten die jeweils benötigte Anzahl an Palettenstellplätzen zu.</x:v>
      </x:c>
      <x:c r="S2172" s="5" t="str">
        <x:v>e84e5dead0989b8d3f23fa275eab0b0d8e4af5bd0071f752b998c0f4fa54e724</x:v>
      </x:c>
    </x:row>
    <x:row r="2173" ht="36" customHeight="1">
      <x:c r="A2173" s="5" t="str">
        <x:v>L-0194</x:v>
      </x:c>
      <x:c r="B2173" s="5" t="str">
        <x:v>HQ</x:v>
      </x:c>
      <x:c r="C2173" s="5" t="str">
        <x:v>7</x:v>
      </x:c>
      <x:c r="D2173" s="5" t="str">
        <x:v>Logistik</x:v>
      </x:c>
      <x:c r="E2173" s="5" t="str">
        <x:v>Logistik</x:v>
      </x:c>
      <x:c r="F2173" s="5" t="str">
        <x:v>ui-hq-0023</x:v>
      </x:c>
      <x:c r="G2173" s="5" t="str">
        <x:v>Materialwirtschaft und Lagerhaltung</x:v>
      </x:c>
      <x:c r="H2173" s="5" t="str">
        <x:v>dg-hq-0099</x:v>
      </x:c>
      <x:c r="I2173" s="5" t="str">
        <x:v>7.2.2.1</x:v>
      </x:c>
      <x:c r="J2173" s="5" t="str">
        <x:v>Lagerung</x:v>
      </x:c>
      <x:c r="K2173" s="5" t="str"/>
      <x:c r="L2173" s="5" t="str">
        <x:v>Materialwirtschaft, Lagerung &amp; Kommissionierung</x:v>
      </x:c>
      <x:c r="M2173" s="5" t="n">
        <x:v>23</x:v>
      </x:c>
      <x:c r="N2173" s="5" t="n">
        <x:v>20</x:v>
      </x:c>
      <x:c r="O2173" s="5" t="str"/>
      <x:c r="P2173" s="5" t="str">
        <x:v>Zuordnungsvorschlag; Fachfreigabe ausstehend</x:v>
      </x:c>
      <x:c r="Q2173" s="5" t="str">
        <x:v>Bestehendes Lernthema fachlich unter passendem Rahmenplan-Unterbereich behalten</x:v>
      </x:c>
      <x:c r="R2173" s="5" t="str">
        <x:v>Fallbezug: Die folgenden betrieblichen Angaben und Situationen beziehen sich auf die Circle Harbor GmbH.
Einem Unternehmen stehen 45 Palettenstellplätze zur Verfügung. Bei chaotischer Lagerhaltung werden maximal 44 Palettenstellplätze benötigt, bei Festplatzlagerung 65. Ordnen Sie zu, ob die vorhandene Kapazität ausreicht.</x:v>
      </x:c>
      <x:c r="S2173" s="5" t="str">
        <x:v>6fb0c04aa7d474b07ae039703ded01343d6212abde1ddad2ebc63822e2c701b6</x:v>
      </x:c>
    </x:row>
    <x:row r="2174" ht="36" customHeight="1">
      <x:c r="A2174" s="5" t="str">
        <x:v>L-0195</x:v>
      </x:c>
      <x:c r="B2174" s="5" t="str">
        <x:v>HQ</x:v>
      </x:c>
      <x:c r="C2174" s="5" t="str">
        <x:v>7</x:v>
      </x:c>
      <x:c r="D2174" s="5" t="str">
        <x:v>Logistik</x:v>
      </x:c>
      <x:c r="E2174" s="5" t="str">
        <x:v>Logistik</x:v>
      </x:c>
      <x:c r="F2174" s="5" t="str">
        <x:v>ui-hq-0023</x:v>
      </x:c>
      <x:c r="G2174" s="5" t="str">
        <x:v>Materialwirtschaft und Lagerhaltung</x:v>
      </x:c>
      <x:c r="H2174" s="5" t="str">
        <x:v>dg-hq-0099</x:v>
      </x:c>
      <x:c r="I2174" s="5" t="str">
        <x:v>7.2.2</x:v>
      </x:c>
      <x:c r="J2174" s="5" t="str">
        <x:v>Lagerhaltung</x:v>
      </x:c>
      <x:c r="K2174" s="5" t="str"/>
      <x:c r="L2174" s="5" t="str">
        <x:v>Materialwirtschaft, Lagerung &amp; Kommissionierung</x:v>
      </x:c>
      <x:c r="M2174" s="5" t="n">
        <x:v>24</x:v>
      </x:c>
      <x:c r="N2174" s="5" t="n">
        <x:v>21</x:v>
      </x:c>
      <x:c r="O2174" s="5" t="str"/>
      <x:c r="P2174" s="5" t="str">
        <x:v>Zuordnungsvorschlag; Fachfreigabe ausstehend</x:v>
      </x:c>
      <x:c r="Q2174" s="5" t="str">
        <x:v>Bestehendes Lernthema fachlich unter passendem Rahmenplan-Unterbereich behalten</x:v>
      </x:c>
      <x:c r="R2174" s="5" t="str">
        <x:v>Nennen Sie mindestens vier mögliche Ursachen dafür, dass Buchbestand und Istbestand voneinander abweichen.</x:v>
      </x:c>
      <x:c r="S2174" s="5" t="str">
        <x:v>a37fb0ac55fe4dff8dd1e543c0772b67c0760359ad6e7ebbec3357bcc90bef38</x:v>
      </x:c>
    </x:row>
    <x:row r="2175" ht="36" customHeight="1">
      <x:c r="A2175" s="5" t="str">
        <x:v>L-0196</x:v>
      </x:c>
      <x:c r="B2175" s="5" t="str">
        <x:v>HQ</x:v>
      </x:c>
      <x:c r="C2175" s="5" t="str">
        <x:v>7</x:v>
      </x:c>
      <x:c r="D2175" s="5" t="str">
        <x:v>Logistik</x:v>
      </x:c>
      <x:c r="E2175" s="5" t="str">
        <x:v>Logistik</x:v>
      </x:c>
      <x:c r="F2175" s="5" t="str">
        <x:v>ui-hq-0023</x:v>
      </x:c>
      <x:c r="G2175" s="5" t="str">
        <x:v>Materialwirtschaft und Lagerhaltung</x:v>
      </x:c>
      <x:c r="H2175" s="5" t="str">
        <x:v>dg-hq-0099</x:v>
      </x:c>
      <x:c r="I2175" s="5" t="str">
        <x:v>7.2.2.1#3</x:v>
      </x:c>
      <x:c r="J2175" s="5" t="str">
        <x:v>Lagereinrichtungen</x:v>
      </x:c>
      <x:c r="K2175" s="5" t="str"/>
      <x:c r="L2175" s="5" t="str">
        <x:v>Materialwirtschaft, Lagerung &amp; Kommissionierung</x:v>
      </x:c>
      <x:c r="M2175" s="5" t="n">
        <x:v>25</x:v>
      </x:c>
      <x:c r="N2175" s="5" t="n">
        <x:v>22</x:v>
      </x:c>
      <x:c r="O2175" s="5" t="str"/>
      <x:c r="P2175" s="5" t="str">
        <x:v>Zuordnungsvorschlag; Fachfreigabe ausstehend</x:v>
      </x:c>
      <x:c r="Q2175" s="5" t="str">
        <x:v>Bestehendes Lernthema fachlich unter passendem Rahmenplan-Unterbereich behalten</x:v>
      </x:c>
      <x:c r="R2175" s="5" t="str">
        <x:v>Ordnen Sie die geeigneten Lagereinrichtungen den jeweiligen Produkten zu. Mehrfachzuordnungen sind möglich.</x:v>
      </x:c>
      <x:c r="S2175" s="5" t="str">
        <x:v>b7c30f1d77cfb6f72cd47fd37dd5ddabd7e1340f27282a87f27429008b996010</x:v>
      </x:c>
    </x:row>
    <x:row r="2176" ht="36" customHeight="1">
      <x:c r="A2176" s="5" t="str">
        <x:v>L-0197</x:v>
      </x:c>
      <x:c r="B2176" s="5" t="str">
        <x:v>HQ</x:v>
      </x:c>
      <x:c r="C2176" s="5" t="str">
        <x:v>7</x:v>
      </x:c>
      <x:c r="D2176" s="5" t="str">
        <x:v>Logistik</x:v>
      </x:c>
      <x:c r="E2176" s="5" t="str">
        <x:v>Logistik</x:v>
      </x:c>
      <x:c r="F2176" s="5" t="str">
        <x:v>ui-hq-0023</x:v>
      </x:c>
      <x:c r="G2176" s="5" t="str">
        <x:v>Materialwirtschaft und Lagerhaltung</x:v>
      </x:c>
      <x:c r="H2176" s="5" t="str">
        <x:v>dg-hq-0099</x:v>
      </x:c>
      <x:c r="I2176" s="5" t="str">
        <x:v>7.2.2.1#1</x:v>
      </x:c>
      <x:c r="J2176" s="5" t="str">
        <x:v>Funktionen des Lagers</x:v>
      </x:c>
      <x:c r="K2176" s="5" t="str"/>
      <x:c r="L2176" s="5" t="str">
        <x:v>Materialwirtschaft, Lagerung &amp; Kommissionierung</x:v>
      </x:c>
      <x:c r="M2176" s="5" t="n">
        <x:v>26</x:v>
      </x:c>
      <x:c r="N2176" s="5" t="n">
        <x:v>23</x:v>
      </x:c>
      <x:c r="O2176" s="5" t="str"/>
      <x:c r="P2176" s="5" t="str">
        <x:v>Zuordnungsvorschlag; Fachfreigabe ausstehend</x:v>
      </x:c>
      <x:c r="Q2176" s="5" t="str">
        <x:v>Bestehendes Lernthema fachlich unter passendem Rahmenplan-Unterbereich behalten</x:v>
      </x:c>
      <x:c r="R2176" s="5" t="str">
        <x:v>Nennen Sie zehn typische Funktionsbereiche eines automatisierten Hochregallagers.</x:v>
      </x:c>
      <x:c r="S2176" s="5" t="str">
        <x:v>0f4d31f2bc7f006493218ae3c808695c8032a6afbb4a22250185d7ffef3fcead</x:v>
      </x:c>
    </x:row>
    <x:row r="2177" ht="36" customHeight="1">
      <x:c r="A2177" s="5" t="str">
        <x:v>L-0198</x:v>
      </x:c>
      <x:c r="B2177" s="5" t="str">
        <x:v>HQ</x:v>
      </x:c>
      <x:c r="C2177" s="5" t="str">
        <x:v>7</x:v>
      </x:c>
      <x:c r="D2177" s="5" t="str">
        <x:v>Logistik</x:v>
      </x:c>
      <x:c r="E2177" s="5" t="str">
        <x:v>Logistik</x:v>
      </x:c>
      <x:c r="F2177" s="5" t="str">
        <x:v>ui-hq-0023</x:v>
      </x:c>
      <x:c r="G2177" s="5" t="str">
        <x:v>Materialwirtschaft und Lagerhaltung</x:v>
      </x:c>
      <x:c r="H2177" s="5" t="str">
        <x:v>dg-hq-0100</x:v>
      </x:c>
      <x:c r="I2177" s="5" t="str">
        <x:v>7.2.2.2</x:v>
      </x:c>
      <x:c r="J2177" s="5" t="str">
        <x:v>Kommissionierung</x:v>
      </x:c>
      <x:c r="K2177" s="5" t="str"/>
      <x:c r="L2177" s="5" t="str">
        <x:v>Materialwirtschaft, Lagerung &amp; Kommissionierung</x:v>
      </x:c>
      <x:c r="M2177" s="5" t="n">
        <x:v>27</x:v>
      </x:c>
      <x:c r="N2177" s="5" t="n">
        <x:v>1</x:v>
      </x:c>
      <x:c r="O2177" s="5" t="str"/>
      <x:c r="P2177" s="5" t="str">
        <x:v>Zuordnungsvorschlag; Fachfreigabe ausstehend</x:v>
      </x:c>
      <x:c r="Q2177" s="5" t="str">
        <x:v>Frageinhalt präzisiert bzw. teilt bisheriges Sammelthema</x:v>
      </x:c>
      <x:c r="R2177" s="5" t="str">
        <x:v>Beschreiben Sie den typischen Materialfluss durch ein automatisiertes Hochregallager von der Warenanlieferung bis zur Kommissionierung. Beziehen Sie dabei folgende Funktionsbereiche in eine sinnvolle Reihenfolge ein: Warenanlieferung, Profil- bzw. Konturenkontrolle, Leitstand bzw. I-Punkt, Drehtisch, Ausschleusplatz für fehlerhafte Paletten, Übergabeplatz, Regalförderzeug, Hochregal, Auslagerplatz und Kommissionierplatz.</x:v>
      </x:c>
      <x:c r="S2177" s="5" t="str">
        <x:v>16144f59e41290e7572e38250c1529dd16dae5795b26ae6b842c4f1bebadc72d</x:v>
      </x:c>
    </x:row>
    <x:row r="2178" ht="36" customHeight="1">
      <x:c r="A2178" s="5" t="str">
        <x:v>L-0199</x:v>
      </x:c>
      <x:c r="B2178" s="5" t="str">
        <x:v>HQ</x:v>
      </x:c>
      <x:c r="C2178" s="5" t="str">
        <x:v>7</x:v>
      </x:c>
      <x:c r="D2178" s="5" t="str">
        <x:v>Logistik</x:v>
      </x:c>
      <x:c r="E2178" s="5" t="str">
        <x:v>Logistik</x:v>
      </x:c>
      <x:c r="F2178" s="5" t="str">
        <x:v>ui-hq-0026</x:v>
      </x:c>
      <x:c r="G2178" s="5" t="str">
        <x:v>Spezielle Rechtsaspekte</x:v>
      </x:c>
      <x:c r="H2178" s="5" t="str">
        <x:v>dg-hq-0101</x:v>
      </x:c>
      <x:c r="I2178" s="5" t="str">
        <x:v>7.5.1</x:v>
      </x:c>
      <x:c r="J2178" s="5" t="str">
        <x:v>Einkaufsverträge</x:v>
      </x:c>
      <x:c r="K2178" s="5" t="str"/>
      <x:c r="L2178" s="5" t="str">
        <x:v>Verträge, Lieferbedingungen &amp; Zollrecht</x:v>
      </x:c>
      <x:c r="M2178" s="5" t="n">
        <x:v>1</x:v>
      </x:c>
      <x:c r="N2178" s="5" t="n">
        <x:v>1</x:v>
      </x:c>
      <x:c r="O2178" s="5" t="str"/>
      <x:c r="P2178" s="5" t="str">
        <x:v>Zuordnungsvorschlag; Fachfreigabe ausstehend</x:v>
      </x:c>
      <x:c r="Q2178" s="5" t="str">
        <x:v>Bestehendes Lernthema fachlich unter passendem Rahmenplan-Unterbereich behalten</x:v>
      </x:c>
      <x:c r="R2178" s="5" t="str">
        <x:v>Welche Vorteile bietet ein Konsignationslager für Lieferunternehmen und Kundschaft?</x:v>
      </x:c>
      <x:c r="S2178" s="5" t="str">
        <x:v>aa62ee08be5c7aef0f4ac898771004ae3ede88f9cc0bda5e05c30614fc60310d</x:v>
      </x:c>
    </x:row>
    <x:row r="2179" ht="36" customHeight="1">
      <x:c r="A2179" s="5" t="str">
        <x:v>L-0200</x:v>
      </x:c>
      <x:c r="B2179" s="5" t="str">
        <x:v>HQ</x:v>
      </x:c>
      <x:c r="C2179" s="5" t="str">
        <x:v>7</x:v>
      </x:c>
      <x:c r="D2179" s="5" t="str">
        <x:v>Logistik</x:v>
      </x:c>
      <x:c r="E2179" s="5" t="str">
        <x:v>Logistik</x:v>
      </x:c>
      <x:c r="F2179" s="5" t="str">
        <x:v>ui-hq-0023</x:v>
      </x:c>
      <x:c r="G2179" s="5" t="str">
        <x:v>Materialwirtschaft und Lagerhaltung</x:v>
      </x:c>
      <x:c r="H2179" s="5" t="str">
        <x:v>dg-hq-0099</x:v>
      </x:c>
      <x:c r="I2179" s="5" t="str">
        <x:v>7.2.2</x:v>
      </x:c>
      <x:c r="J2179" s="5" t="str">
        <x:v>Lagerhaltung</x:v>
      </x:c>
      <x:c r="K2179" s="5" t="str"/>
      <x:c r="L2179" s="5" t="str">
        <x:v>Materialwirtschaft, Lagerung &amp; Kommissionierung</x:v>
      </x:c>
      <x:c r="M2179" s="5" t="n">
        <x:v>28</x:v>
      </x:c>
      <x:c r="N2179" s="5" t="n">
        <x:v>24</x:v>
      </x:c>
      <x:c r="O2179" s="5" t="str"/>
      <x:c r="P2179" s="5" t="str">
        <x:v>Zuordnungsvorschlag; Fachfreigabe ausstehend</x:v>
      </x:c>
      <x:c r="Q2179" s="5" t="str">
        <x:v>Bestehendes Lernthema fachlich unter passendem Rahmenplan-Unterbereich behalten</x:v>
      </x:c>
      <x:c r="R2179" s="5" t="str">
        <x:v>Ordnen Sie die Beschreibungen den passenden Kommissionierprinzipien und -methoden zu.</x:v>
      </x:c>
      <x:c r="S2179" s="5" t="str">
        <x:v>e70f2308aeb1ffc6374dcd727af6b7cd582efd1588180e3443ca5b2db6caaf6b</x:v>
      </x:c>
    </x:row>
    <x:row r="2180" ht="36" customHeight="1">
      <x:c r="A2180" s="5" t="str">
        <x:v>L-0201</x:v>
      </x:c>
      <x:c r="B2180" s="5" t="str">
        <x:v>HQ</x:v>
      </x:c>
      <x:c r="C2180" s="5" t="str">
        <x:v>7</x:v>
      </x:c>
      <x:c r="D2180" s="5" t="str">
        <x:v>Logistik</x:v>
      </x:c>
      <x:c r="E2180" s="5" t="str">
        <x:v>Logistik</x:v>
      </x:c>
      <x:c r="F2180" s="5" t="str">
        <x:v>ui-hq-0023</x:v>
      </x:c>
      <x:c r="G2180" s="5" t="str">
        <x:v>Materialwirtschaft und Lagerhaltung</x:v>
      </x:c>
      <x:c r="H2180" s="5" t="str">
        <x:v>dg-hq-0099</x:v>
      </x:c>
      <x:c r="I2180" s="5" t="str">
        <x:v>7.2.2</x:v>
      </x:c>
      <x:c r="J2180" s="5" t="str">
        <x:v>Lagerhaltung</x:v>
      </x:c>
      <x:c r="K2180" s="5" t="str"/>
      <x:c r="L2180" s="5" t="str">
        <x:v>Materialwirtschaft, Lagerung &amp; Kommissionierung</x:v>
      </x:c>
      <x:c r="M2180" s="5" t="n">
        <x:v>29</x:v>
      </x:c>
      <x:c r="N2180" s="5" t="n">
        <x:v>25</x:v>
      </x:c>
      <x:c r="O2180" s="5" t="str"/>
      <x:c r="P2180" s="5" t="str">
        <x:v>Zuordnungsvorschlag; Fachfreigabe ausstehend</x:v>
      </x:c>
      <x:c r="Q2180" s="5" t="str">
        <x:v>Bestehendes Lernthema fachlich unter passendem Rahmenplan-Unterbereich behalten</x:v>
      </x:c>
      <x:c r="R2180" s="5" t="str">
        <x:v>Ordnen Sie die Kommissioniermethoden der passenden Beschreibung zu.</x:v>
      </x:c>
      <x:c r="S2180" s="5" t="str">
        <x:v>6c8a9f2c8615268916cb288591d256aa45c840a79b263001edd05fc2bc29949f</x:v>
      </x:c>
    </x:row>
    <x:row r="2181" ht="36" customHeight="1">
      <x:c r="A2181" s="5" t="str">
        <x:v>L-0202</x:v>
      </x:c>
      <x:c r="B2181" s="5" t="str">
        <x:v>HQ</x:v>
      </x:c>
      <x:c r="C2181" s="5" t="str">
        <x:v>7</x:v>
      </x:c>
      <x:c r="D2181" s="5" t="str">
        <x:v>Logistik</x:v>
      </x:c>
      <x:c r="E2181" s="5" t="str">
        <x:v>Logistik</x:v>
      </x:c>
      <x:c r="F2181" s="5" t="str">
        <x:v>ui-hq-0023</x:v>
      </x:c>
      <x:c r="G2181" s="5" t="str">
        <x:v>Materialwirtschaft und Lagerhaltung</x:v>
      </x:c>
      <x:c r="H2181" s="5" t="str">
        <x:v>dg-hq-0099</x:v>
      </x:c>
      <x:c r="I2181" s="5" t="str">
        <x:v>7.2.2</x:v>
      </x:c>
      <x:c r="J2181" s="5" t="str">
        <x:v>Lagerhaltung</x:v>
      </x:c>
      <x:c r="K2181" s="5" t="str"/>
      <x:c r="L2181" s="5" t="str">
        <x:v>Materialwirtschaft, Lagerung &amp; Kommissionierung</x:v>
      </x:c>
      <x:c r="M2181" s="5" t="n">
        <x:v>30</x:v>
      </x:c>
      <x:c r="N2181" s="5" t="n">
        <x:v>26</x:v>
      </x:c>
      <x:c r="O2181" s="5" t="str"/>
      <x:c r="P2181" s="5" t="str">
        <x:v>Zuordnungsvorschlag; Fachfreigabe ausstehend</x:v>
      </x:c>
      <x:c r="Q2181" s="5" t="str">
        <x:v>Bestehendes Lernthema fachlich unter passendem Rahmenplan-Unterbereich behalten</x:v>
      </x:c>
      <x:c r="R2181" s="5" t="str">
        <x:v>Erklären Sie das Grundprinzip des Kanban-Systems.</x:v>
      </x:c>
      <x:c r="S2181" s="5" t="str">
        <x:v>3e3e4d409eee59cb036518a976247cb216e7cbf8a3f1c989693461c407a948ca</x:v>
      </x:c>
    </x:row>
    <x:row r="2182" ht="36" customHeight="1">
      <x:c r="A2182" s="5" t="str">
        <x:v>L-0203</x:v>
      </x:c>
      <x:c r="B2182" s="5" t="str">
        <x:v>HQ</x:v>
      </x:c>
      <x:c r="C2182" s="5" t="str">
        <x:v>7</x:v>
      </x:c>
      <x:c r="D2182" s="5" t="str">
        <x:v>Logistik</x:v>
      </x:c>
      <x:c r="E2182" s="5" t="str">
        <x:v>Logistik</x:v>
      </x:c>
      <x:c r="F2182" s="5" t="str">
        <x:v>ui-hq-0023</x:v>
      </x:c>
      <x:c r="G2182" s="5" t="str">
        <x:v>Materialwirtschaft und Lagerhaltung</x:v>
      </x:c>
      <x:c r="H2182" s="5" t="str">
        <x:v>dg-hq-0099</x:v>
      </x:c>
      <x:c r="I2182" s="5" t="str">
        <x:v>7.2.2</x:v>
      </x:c>
      <x:c r="J2182" s="5" t="str">
        <x:v>Lagerhaltung</x:v>
      </x:c>
      <x:c r="K2182" s="5" t="str"/>
      <x:c r="L2182" s="5" t="str">
        <x:v>Materialwirtschaft, Lagerung &amp; Kommissionierung</x:v>
      </x:c>
      <x:c r="M2182" s="5" t="n">
        <x:v>31</x:v>
      </x:c>
      <x:c r="N2182" s="5" t="n">
        <x:v>27</x:v>
      </x:c>
      <x:c r="O2182" s="5" t="str"/>
      <x:c r="P2182" s="5" t="str">
        <x:v>Zuordnungsvorschlag; Fachfreigabe ausstehend</x:v>
      </x:c>
      <x:c r="Q2182" s="5" t="str">
        <x:v>Bestehendes Lernthema fachlich unter passendem Rahmenplan-Unterbereich behalten</x:v>
      </x:c>
      <x:c r="R2182" s="5" t="str">
        <x:v>Welche Aussagen sind Vorteile des Kanban-Systems?</x:v>
      </x:c>
      <x:c r="S2182" s="5" t="str">
        <x:v>65027bc30b4693fb1c9e0a4267d731a26ed16fb96b1a4f692f5336517765890d</x:v>
      </x:c>
    </x:row>
    <x:row r="2183" ht="36" customHeight="1">
      <x:c r="A2183" s="5" t="str">
        <x:v>L-0204</x:v>
      </x:c>
      <x:c r="B2183" s="5" t="str">
        <x:v>HQ</x:v>
      </x:c>
      <x:c r="C2183" s="5" t="str">
        <x:v>7</x:v>
      </x:c>
      <x:c r="D2183" s="5" t="str">
        <x:v>Logistik</x:v>
      </x:c>
      <x:c r="E2183" s="5" t="str">
        <x:v>Logistik</x:v>
      </x:c>
      <x:c r="F2183" s="5" t="str">
        <x:v>ui-hq-0023</x:v>
      </x:c>
      <x:c r="G2183" s="5" t="str">
        <x:v>Materialwirtschaft und Lagerhaltung</x:v>
      </x:c>
      <x:c r="H2183" s="5" t="str">
        <x:v>dg-hq-0099</x:v>
      </x:c>
      <x:c r="I2183" s="5" t="str">
        <x:v>7.2.2</x:v>
      </x:c>
      <x:c r="J2183" s="5" t="str">
        <x:v>Lagerhaltung</x:v>
      </x:c>
      <x:c r="K2183" s="5" t="str"/>
      <x:c r="L2183" s="5" t="str">
        <x:v>Materialwirtschaft, Lagerung &amp; Kommissionierung</x:v>
      </x:c>
      <x:c r="M2183" s="5" t="n">
        <x:v>32</x:v>
      </x:c>
      <x:c r="N2183" s="5" t="n">
        <x:v>28</x:v>
      </x:c>
      <x:c r="O2183" s="5" t="str"/>
      <x:c r="P2183" s="5" t="str">
        <x:v>Zuordnungsvorschlag; Fachfreigabe ausstehend</x:v>
      </x:c>
      <x:c r="Q2183" s="5" t="str">
        <x:v>Bestehendes Lernthema fachlich unter passendem Rahmenplan-Unterbereich behalten</x:v>
      </x:c>
      <x:c r="R2183" s="5" t="str">
        <x:v>Welche Aussagen sind Nachteile oder Risiken des Kanban-Systems?</x:v>
      </x:c>
      <x:c r="S2183" s="5" t="str">
        <x:v>142c1e8520ced57f98562a8368c0988e364d3067fe8e25499d7b1e3b75d5831a</x:v>
      </x:c>
    </x:row>
    <x:row r="2184" ht="36" customHeight="1">
      <x:c r="A2184" s="5" t="str">
        <x:v>L-0205</x:v>
      </x:c>
      <x:c r="B2184" s="5" t="str">
        <x:v>HQ</x:v>
      </x:c>
      <x:c r="C2184" s="5" t="str">
        <x:v>7</x:v>
      </x:c>
      <x:c r="D2184" s="5" t="str">
        <x:v>Logistik</x:v>
      </x:c>
      <x:c r="E2184" s="5" t="str">
        <x:v>Logistik</x:v>
      </x:c>
      <x:c r="F2184" s="5" t="str">
        <x:v>ui-hq-0024</x:v>
      </x:c>
      <x:c r="G2184" s="5" t="str">
        <x:v>Wertschöpfungskette</x:v>
      </x:c>
      <x:c r="H2184" s="5" t="str">
        <x:v>dg-hq-0102</x:v>
      </x:c>
      <x:c r="I2184" s="5" t="str">
        <x:v>7.3.6</x:v>
      </x:c>
      <x:c r="J2184" s="5" t="str">
        <x:v>Entsorgung</x:v>
      </x:c>
      <x:c r="K2184" s="5" t="str"/>
      <x:c r="L2184" s="5" t="str">
        <x:v>Entsorgungslogistik &amp; Rationalisierung</x:v>
      </x:c>
      <x:c r="M2184" s="5" t="n">
        <x:v>3</x:v>
      </x:c>
      <x:c r="N2184" s="5" t="n">
        <x:v>1</x:v>
      </x:c>
      <x:c r="O2184" s="5" t="str"/>
      <x:c r="P2184" s="5" t="str">
        <x:v>Zuordnungsvorschlag; Fachfreigabe ausstehend</x:v>
      </x:c>
      <x:c r="Q2184" s="5" t="str">
        <x:v>Bestehendes Lernthema fachlich unter passendem Rahmenplan-Unterbereich behalten</x:v>
      </x:c>
      <x:c r="R2184" s="5" t="str">
        <x:v>Welche Aussagen zum Milk-Run-Prinzip sind korrekt?</x:v>
      </x:c>
      <x:c r="S2184" s="5" t="str">
        <x:v>7046f2506db49cdef0c32c113f243da9cdd41acd843e82992d1d02bf6331adfe</x:v>
      </x:c>
    </x:row>
    <x:row r="2185" ht="36" customHeight="1">
      <x:c r="A2185" s="5" t="str">
        <x:v>L-0206</x:v>
      </x:c>
      <x:c r="B2185" s="5" t="str">
        <x:v>HQ</x:v>
      </x:c>
      <x:c r="C2185" s="5" t="str">
        <x:v>7</x:v>
      </x:c>
      <x:c r="D2185" s="5" t="str">
        <x:v>Logistik</x:v>
      </x:c>
      <x:c r="E2185" s="5" t="str">
        <x:v>Logistik</x:v>
      </x:c>
      <x:c r="F2185" s="5" t="str">
        <x:v>ui-hq-0024</x:v>
      </x:c>
      <x:c r="G2185" s="5" t="str">
        <x:v>Wertschöpfungskette</x:v>
      </x:c>
      <x:c r="H2185" s="5" t="str">
        <x:v>dg-hq-0103</x:v>
      </x:c>
      <x:c r="I2185" s="5" t="str">
        <x:v>7.3.1</x:v>
      </x:c>
      <x:c r="J2185" s="5" t="str">
        <x:v>Fertigungsprinzipien</x:v>
      </x:c>
      <x:c r="K2185" s="5" t="str"/>
      <x:c r="L2185" s="5" t="str">
        <x:v>Fertigungsprinzipien &amp; interne Transportsysteme</x:v>
      </x:c>
      <x:c r="M2185" s="5" t="n">
        <x:v>4</x:v>
      </x:c>
      <x:c r="N2185" s="5" t="n">
        <x:v>1</x:v>
      </x:c>
      <x:c r="O2185" s="5" t="str"/>
      <x:c r="P2185" s="5" t="str">
        <x:v>Zuordnungsvorschlag; Fachfreigabe ausstehend</x:v>
      </x:c>
      <x:c r="Q2185" s="5" t="str">
        <x:v>Bestehendes Lernthema fachlich unter passendem Rahmenplan-Unterbereich behalten</x:v>
      </x:c>
      <x:c r="R2185" s="5" t="str">
        <x:v>Nennen Sie die drei zentralen Zielgrößen beziehungsweise Grundprinzipien der Produktion.</x:v>
      </x:c>
      <x:c r="S2185" s="5" t="str">
        <x:v>feccf5a0c30efb99d9f1c458aa5a0e85413e14f54ffac6c68630edb7ef43231d</x:v>
      </x:c>
    </x:row>
    <x:row r="2186" ht="36" customHeight="1">
      <x:c r="A2186" s="5" t="str">
        <x:v>L-0207</x:v>
      </x:c>
      <x:c r="B2186" s="5" t="str">
        <x:v>HQ</x:v>
      </x:c>
      <x:c r="C2186" s="5" t="str">
        <x:v>7</x:v>
      </x:c>
      <x:c r="D2186" s="5" t="str">
        <x:v>Logistik</x:v>
      </x:c>
      <x:c r="E2186" s="5" t="str">
        <x:v>Logistik</x:v>
      </x:c>
      <x:c r="F2186" s="5" t="str">
        <x:v>ui-hq-0024</x:v>
      </x:c>
      <x:c r="G2186" s="5" t="str">
        <x:v>Wertschöpfungskette</x:v>
      </x:c>
      <x:c r="H2186" s="5" t="str">
        <x:v>dg-hq-0103</x:v>
      </x:c>
      <x:c r="I2186" s="5" t="str">
        <x:v>7.3.1</x:v>
      </x:c>
      <x:c r="J2186" s="5" t="str">
        <x:v>Fertigungsprinzipien</x:v>
      </x:c>
      <x:c r="K2186" s="5" t="str"/>
      <x:c r="L2186" s="5" t="str">
        <x:v>Fertigungsprinzipien &amp; interne Transportsysteme</x:v>
      </x:c>
      <x:c r="M2186" s="5" t="n">
        <x:v>5</x:v>
      </x:c>
      <x:c r="N2186" s="5" t="n">
        <x:v>2</x:v>
      </x:c>
      <x:c r="O2186" s="5" t="str"/>
      <x:c r="P2186" s="5" t="str">
        <x:v>Zuordnungsvorschlag; Fachfreigabe ausstehend</x:v>
      </x:c>
      <x:c r="Q2186" s="5" t="str">
        <x:v>Bestehendes Lernthema fachlich unter passendem Rahmenplan-Unterbereich behalten</x:v>
      </x:c>
      <x:c r="R2186" s="5" t="str">
        <x:v>Die Ressourcen der Produktion beruhen auf drei Produktionsfaktoren. Nennen Sie die drei klassischen Produktionsfaktoren.</x:v>
      </x:c>
      <x:c r="S2186" s="5" t="str">
        <x:v>5c04f8fffcd967d3a69e41ca7d39889a08f59cfef92fc5f278450df518a2acae</x:v>
      </x:c>
    </x:row>
    <x:row r="2187" ht="36" customHeight="1">
      <x:c r="A2187" s="5" t="str">
        <x:v>L-0208</x:v>
      </x:c>
      <x:c r="B2187" s="5" t="str">
        <x:v>HQ</x:v>
      </x:c>
      <x:c r="C2187" s="5" t="str">
        <x:v>7</x:v>
      </x:c>
      <x:c r="D2187" s="5" t="str">
        <x:v>Logistik</x:v>
      </x:c>
      <x:c r="E2187" s="5" t="str">
        <x:v>Logistik</x:v>
      </x:c>
      <x:c r="F2187" s="5" t="str">
        <x:v>ui-hq-0024</x:v>
      </x:c>
      <x:c r="G2187" s="5" t="str">
        <x:v>Wertschöpfungskette</x:v>
      </x:c>
      <x:c r="H2187" s="5" t="str">
        <x:v>dg-hq-0103</x:v>
      </x:c>
      <x:c r="I2187" s="5" t="str">
        <x:v>7.3.1.1</x:v>
      </x:c>
      <x:c r="J2187" s="5" t="str">
        <x:v>Werkstattfertigung</x:v>
      </x:c>
      <x:c r="K2187" s="5" t="str"/>
      <x:c r="L2187" s="5" t="str">
        <x:v>Fertigungsprinzipien &amp; interne Transportsysteme</x:v>
      </x:c>
      <x:c r="M2187" s="5" t="n">
        <x:v>6</x:v>
      </x:c>
      <x:c r="N2187" s="5" t="n">
        <x:v>3</x:v>
      </x:c>
      <x:c r="O2187" s="5" t="str"/>
      <x:c r="P2187" s="5" t="str">
        <x:v>Zuordnungsvorschlag; Fachfreigabe ausstehend</x:v>
      </x:c>
      <x:c r="Q2187" s="5" t="str">
        <x:v>Bestehendes Lernthema fachlich unter passendem Rahmenplan-Unterbereich behalten</x:v>
      </x:c>
      <x:c r="R2187" s="5" t="str">
        <x:v>Nennen Sie mindestens drei Vorteile der Werkstattfertigung.</x:v>
      </x:c>
      <x:c r="S2187" s="5" t="str">
        <x:v>07ca21b88aaa521cbb82e7ae27fd3e7004039bd0d7e8d973aeb5bec9d214cd11</x:v>
      </x:c>
    </x:row>
    <x:row r="2188" ht="36" customHeight="1">
      <x:c r="A2188" s="5" t="str">
        <x:v>L-0209</x:v>
      </x:c>
      <x:c r="B2188" s="5" t="str">
        <x:v>HQ</x:v>
      </x:c>
      <x:c r="C2188" s="5" t="str">
        <x:v>7</x:v>
      </x:c>
      <x:c r="D2188" s="5" t="str">
        <x:v>Logistik</x:v>
      </x:c>
      <x:c r="E2188" s="5" t="str">
        <x:v>Logistik</x:v>
      </x:c>
      <x:c r="F2188" s="5" t="str">
        <x:v>ui-hq-0024</x:v>
      </x:c>
      <x:c r="G2188" s="5" t="str">
        <x:v>Wertschöpfungskette</x:v>
      </x:c>
      <x:c r="H2188" s="5" t="str">
        <x:v>dg-hq-0103</x:v>
      </x:c>
      <x:c r="I2188" s="5" t="str">
        <x:v>7.3.1.3</x:v>
      </x:c>
      <x:c r="J2188" s="5" t="str">
        <x:v>Fließfertigung</x:v>
      </x:c>
      <x:c r="K2188" s="5" t="str"/>
      <x:c r="L2188" s="5" t="str">
        <x:v>Fertigungsprinzipien &amp; interne Transportsysteme</x:v>
      </x:c>
      <x:c r="M2188" s="5" t="n">
        <x:v>7</x:v>
      </x:c>
      <x:c r="N2188" s="5" t="n">
        <x:v>4</x:v>
      </x:c>
      <x:c r="O2188" s="5" t="str"/>
      <x:c r="P2188" s="5" t="str">
        <x:v>Zuordnungsvorschlag; Fachfreigabe ausstehend</x:v>
      </x:c>
      <x:c r="Q2188" s="5" t="str">
        <x:v>Bestehendes Lernthema fachlich unter passendem Rahmenplan-Unterbereich behalten</x:v>
      </x:c>
      <x:c r="R2188" s="5" t="str">
        <x:v>Nennen Sie mindestens drei Vorteile der Fließfertigung.</x:v>
      </x:c>
      <x:c r="S2188" s="5" t="str">
        <x:v>19baab23f7fa0623c96c249c57c68ceb22ee89f69b895d67736c98f099eaeb85</x:v>
      </x:c>
    </x:row>
    <x:row r="2189" ht="36" customHeight="1">
      <x:c r="A2189" s="5" t="str">
        <x:v>L-0212</x:v>
      </x:c>
      <x:c r="B2189" s="5" t="str">
        <x:v>HQ</x:v>
      </x:c>
      <x:c r="C2189" s="5" t="str">
        <x:v>7</x:v>
      </x:c>
      <x:c r="D2189" s="5" t="str">
        <x:v>Logistik</x:v>
      </x:c>
      <x:c r="E2189" s="5" t="str">
        <x:v>Logistik</x:v>
      </x:c>
      <x:c r="F2189" s="5" t="str">
        <x:v>ui-hq-0024</x:v>
      </x:c>
      <x:c r="G2189" s="5" t="str">
        <x:v>Wertschöpfungskette</x:v>
      </x:c>
      <x:c r="H2189" s="5" t="str">
        <x:v>dg-hq-0103</x:v>
      </x:c>
      <x:c r="I2189" s="5" t="str">
        <x:v>7.3.1</x:v>
      </x:c>
      <x:c r="J2189" s="5" t="str">
        <x:v>Fertigungsprinzipien</x:v>
      </x:c>
      <x:c r="K2189" s="5" t="str"/>
      <x:c r="L2189" s="5" t="str">
        <x:v>Fertigungsprinzipien &amp; interne Transportsysteme</x:v>
      </x:c>
      <x:c r="M2189" s="5" t="n">
        <x:v>8</x:v>
      </x:c>
      <x:c r="N2189" s="5" t="n">
        <x:v>5</x:v>
      </x:c>
      <x:c r="O2189" s="5" t="str"/>
      <x:c r="P2189" s="5" t="str">
        <x:v>Zuordnungsvorschlag; Fachfreigabe ausstehend</x:v>
      </x:c>
      <x:c r="Q2189" s="5" t="str">
        <x:v>Bestehendes Lernthema fachlich unter passendem Rahmenplan-Unterbereich behalten</x:v>
      </x:c>
      <x:c r="R2189" s="5" t="str">
        <x:v>Fallbezug: Die folgenden betrieblichen Angaben und Situationen beziehen sich auf die Circle Harbor GmbH.
Ein Auftrag für das Produkt FE soll spätestens nach 20 Stunden fertiggestellt sein. Bei der Vorwärtsterminierung ergibt sich ein frühestmöglicher Fertigstellungstermin nach 16 Stunden. Interpretieren Sie dieses Ergebnis.</x:v>
      </x:c>
      <x:c r="S2189" s="5" t="str">
        <x:v>368aa011ff73f8662a73701cfe8b4f17b6735682a7b88e769d1ec9cb7ffabcff</x:v>
      </x:c>
    </x:row>
    <x:row r="2190" ht="36" customHeight="1">
      <x:c r="A2190" s="5" t="str">
        <x:v>L-0213</x:v>
      </x:c>
      <x:c r="B2190" s="5" t="str">
        <x:v>HQ</x:v>
      </x:c>
      <x:c r="C2190" s="5" t="str">
        <x:v>7</x:v>
      </x:c>
      <x:c r="D2190" s="5" t="str">
        <x:v>Logistik</x:v>
      </x:c>
      <x:c r="E2190" s="5" t="str">
        <x:v>Logistik</x:v>
      </x:c>
      <x:c r="F2190" s="5" t="str">
        <x:v>ui-hq-0024</x:v>
      </x:c>
      <x:c r="G2190" s="5" t="str">
        <x:v>Wertschöpfungskette</x:v>
      </x:c>
      <x:c r="H2190" s="5" t="str">
        <x:v>dg-hq-0103</x:v>
      </x:c>
      <x:c r="I2190" s="5" t="str">
        <x:v>7.3.1</x:v>
      </x:c>
      <x:c r="J2190" s="5" t="str">
        <x:v>Fertigungsprinzipien</x:v>
      </x:c>
      <x:c r="K2190" s="5" t="str"/>
      <x:c r="L2190" s="5" t="str">
        <x:v>Fertigungsprinzipien &amp; interne Transportsysteme</x:v>
      </x:c>
      <x:c r="M2190" s="5" t="n">
        <x:v>9</x:v>
      </x:c>
      <x:c r="N2190" s="5" t="n">
        <x:v>6</x:v>
      </x:c>
      <x:c r="O2190" s="5" t="str"/>
      <x:c r="P2190" s="5" t="str">
        <x:v>Zuordnungsvorschlag; Fachfreigabe ausstehend</x:v>
      </x:c>
      <x:c r="Q2190" s="5" t="str">
        <x:v>Bestehendes Lernthema fachlich unter passendem Rahmenplan-Unterbereich behalten</x:v>
      </x:c>
      <x:c r="R2190" s="5" t="str">
        <x:v>Fallbezug: Die folgenden betrieblichen Angaben und Situationen beziehen sich auf die Circle Harbor GmbH.
Ein Auftrag für das Produkt FE soll spätestens nach 20 Stunden fertiggestellt sein. Bei der Rückwärtsterminierung ergibt sich, dass spätestens in Stunde 5 begonnen werden muss. Interpretieren Sie dieses Ergebnis.</x:v>
      </x:c>
      <x:c r="S2190" s="5" t="str">
        <x:v>7c23c5f57ea73c3c72fb609ce750487b52f9109b78fef73925b871fe68600062</x:v>
      </x:c>
    </x:row>
    <x:row r="2191" ht="36" customHeight="1">
      <x:c r="A2191" s="5" t="str">
        <x:v>L-0214</x:v>
      </x:c>
      <x:c r="B2191" s="5" t="str">
        <x:v>HQ</x:v>
      </x:c>
      <x:c r="C2191" s="5" t="str">
        <x:v>7</x:v>
      </x:c>
      <x:c r="D2191" s="5" t="str">
        <x:v>Logistik</x:v>
      </x:c>
      <x:c r="E2191" s="5" t="str">
        <x:v>Logistik</x:v>
      </x:c>
      <x:c r="F2191" s="5" t="str">
        <x:v>ui-hq-0024</x:v>
      </x:c>
      <x:c r="G2191" s="5" t="str">
        <x:v>Wertschöpfungskette</x:v>
      </x:c>
      <x:c r="H2191" s="5" t="str">
        <x:v>dg-hq-0103</x:v>
      </x:c>
      <x:c r="I2191" s="5" t="str">
        <x:v>7.3.1</x:v>
      </x:c>
      <x:c r="J2191" s="5" t="str">
        <x:v>Fertigungsprinzipien</x:v>
      </x:c>
      <x:c r="K2191" s="5" t="str"/>
      <x:c r="L2191" s="5" t="str">
        <x:v>Fertigungsprinzipien &amp; interne Transportsysteme</x:v>
      </x:c>
      <x:c r="M2191" s="5" t="n">
        <x:v>10</x:v>
      </x:c>
      <x:c r="N2191" s="5" t="n">
        <x:v>7</x:v>
      </x:c>
      <x:c r="O2191" s="5" t="str"/>
      <x:c r="P2191" s="5" t="str">
        <x:v>Zuordnungsvorschlag; Fachfreigabe ausstehend</x:v>
      </x:c>
      <x:c r="Q2191" s="5" t="str">
        <x:v>Bestehendes Lernthema fachlich unter passendem Rahmenplan-Unterbereich behalten</x:v>
      </x:c>
      <x:c r="R2191" s="5" t="str">
        <x:v>Vergleichen Sie Vorwärtsterminierung und Rückwärtsterminierung anhand des Auftrags FE.</x:v>
      </x:c>
      <x:c r="S2191" s="5" t="str">
        <x:v>8869d1779a160ea641f6f52dfd85f5353207f1a13af0a521b2c642c7a2829fc5</x:v>
      </x:c>
    </x:row>
    <x:row r="2192" ht="36" customHeight="1">
      <x:c r="A2192" s="5" t="str">
        <x:v>L-0215</x:v>
      </x:c>
      <x:c r="B2192" s="5" t="str">
        <x:v>HQ</x:v>
      </x:c>
      <x:c r="C2192" s="5" t="str">
        <x:v>7</x:v>
      </x:c>
      <x:c r="D2192" s="5" t="str">
        <x:v>Logistik</x:v>
      </x:c>
      <x:c r="E2192" s="5" t="str">
        <x:v>Logistik</x:v>
      </x:c>
      <x:c r="F2192" s="5" t="str">
        <x:v>ui-hq-0024</x:v>
      </x:c>
      <x:c r="G2192" s="5" t="str">
        <x:v>Wertschöpfungskette</x:v>
      </x:c>
      <x:c r="H2192" s="5" t="str">
        <x:v>dg-hq-0103</x:v>
      </x:c>
      <x:c r="I2192" s="5" t="str">
        <x:v>7.3.1</x:v>
      </x:c>
      <x:c r="J2192" s="5" t="str">
        <x:v>Fertigungsprinzipien</x:v>
      </x:c>
      <x:c r="K2192" s="5" t="str"/>
      <x:c r="L2192" s="5" t="str">
        <x:v>Fertigungsprinzipien &amp; interne Transportsysteme</x:v>
      </x:c>
      <x:c r="M2192" s="5" t="n">
        <x:v>11</x:v>
      </x:c>
      <x:c r="N2192" s="5" t="n">
        <x:v>8</x:v>
      </x:c>
      <x:c r="O2192" s="5" t="str"/>
      <x:c r="P2192" s="5" t="str">
        <x:v>Zuordnungsvorschlag; Fachfreigabe ausstehend</x:v>
      </x:c>
      <x:c r="Q2192" s="5" t="str">
        <x:v>Bestehendes Lernthema fachlich unter passendem Rahmenplan-Unterbereich behalten</x:v>
      </x:c>
      <x:c r="R2192" s="5" t="str">
        <x:v>Ergänzen Sie die vier Methoden der Arbeitsstrukturierung zur Vermeidung von Monotonie und nennen Sie jeweils ein Beispiel.</x:v>
      </x:c>
      <x:c r="S2192" s="5" t="str">
        <x:v>a7bc07f2145687be01f0caa659f938b9a5bfe2856c44475dc52c2f586421ddbe</x:v>
      </x:c>
    </x:row>
    <x:row r="2193" ht="36" customHeight="1">
      <x:c r="A2193" s="5" t="str">
        <x:v>L-0216</x:v>
      </x:c>
      <x:c r="B2193" s="5" t="str">
        <x:v>HQ</x:v>
      </x:c>
      <x:c r="C2193" s="5" t="str">
        <x:v>7</x:v>
      </x:c>
      <x:c r="D2193" s="5" t="str">
        <x:v>Logistik</x:v>
      </x:c>
      <x:c r="E2193" s="5" t="str">
        <x:v>Logistik</x:v>
      </x:c>
      <x:c r="F2193" s="5" t="str">
        <x:v>ui-hq-0024</x:v>
      </x:c>
      <x:c r="G2193" s="5" t="str">
        <x:v>Wertschöpfungskette</x:v>
      </x:c>
      <x:c r="H2193" s="5" t="str">
        <x:v>dg-hq-0103</x:v>
      </x:c>
      <x:c r="I2193" s="5" t="str">
        <x:v>7.3.1</x:v>
      </x:c>
      <x:c r="J2193" s="5" t="str">
        <x:v>Fertigungsprinzipien</x:v>
      </x:c>
      <x:c r="K2193" s="5" t="str"/>
      <x:c r="L2193" s="5" t="str">
        <x:v>Fertigungsprinzipien &amp; interne Transportsysteme</x:v>
      </x:c>
      <x:c r="M2193" s="5" t="n">
        <x:v>12</x:v>
      </x:c>
      <x:c r="N2193" s="5" t="n">
        <x:v>9</x:v>
      </x:c>
      <x:c r="O2193" s="5" t="str"/>
      <x:c r="P2193" s="5" t="str">
        <x:v>Zuordnungsvorschlag; Fachfreigabe ausstehend</x:v>
      </x:c>
      <x:c r="Q2193" s="5" t="str">
        <x:v>Bestehendes Lernthema fachlich unter passendem Rahmenplan-Unterbereich behalten</x:v>
      </x:c>
      <x:c r="R2193" s="5" t="str">
        <x:v>Ordnen Sie die Methoden der Arbeitsstrukturierung den passenden Beispielen zu.</x:v>
      </x:c>
      <x:c r="S2193" s="5" t="str">
        <x:v>920c10e7770790d3d234cb79cfb9d0c067d32f48c4d62e73888113f49208930d</x:v>
      </x:c>
    </x:row>
    <x:row r="2194" ht="36" customHeight="1">
      <x:c r="A2194" s="5" t="str">
        <x:v>L-0217</x:v>
      </x:c>
      <x:c r="B2194" s="5" t="str">
        <x:v>HQ</x:v>
      </x:c>
      <x:c r="C2194" s="5" t="str">
        <x:v>7</x:v>
      </x:c>
      <x:c r="D2194" s="5" t="str">
        <x:v>Logistik</x:v>
      </x:c>
      <x:c r="E2194" s="5" t="str">
        <x:v>Logistik</x:v>
      </x:c>
      <x:c r="F2194" s="5" t="str">
        <x:v>ui-hq-0024</x:v>
      </x:c>
      <x:c r="G2194" s="5" t="str">
        <x:v>Wertschöpfungskette</x:v>
      </x:c>
      <x:c r="H2194" s="5" t="str">
        <x:v>dg-hq-0103</x:v>
      </x:c>
      <x:c r="I2194" s="5" t="str">
        <x:v>7.3.1</x:v>
      </x:c>
      <x:c r="J2194" s="5" t="str">
        <x:v>Fertigungsprinzipien</x:v>
      </x:c>
      <x:c r="K2194" s="5" t="str"/>
      <x:c r="L2194" s="5" t="str">
        <x:v>Fertigungsprinzipien &amp; interne Transportsysteme</x:v>
      </x:c>
      <x:c r="M2194" s="5" t="n">
        <x:v>13</x:v>
      </x:c>
      <x:c r="N2194" s="5" t="n">
        <x:v>10</x:v>
      </x:c>
      <x:c r="O2194" s="5" t="str"/>
      <x:c r="P2194" s="5" t="str">
        <x:v>Zuordnungsvorschlag; Fachfreigabe ausstehend</x:v>
      </x:c>
      <x:c r="Q2194" s="5" t="str">
        <x:v>Bestehendes Lernthema fachlich unter passendem Rahmenplan-Unterbereich behalten</x:v>
      </x:c>
      <x:c r="R2194" s="5" t="str">
        <x:v>Nennen Sie mindestens fünf Voraussetzungen für erfolgreiche Gruppenarbeit in der Produktion.</x:v>
      </x:c>
      <x:c r="S2194" s="5" t="str">
        <x:v>2acbb9617db947dfa6c23743f100b8bd4b684b3504c0049ab56c1d941a946e98</x:v>
      </x:c>
    </x:row>
    <x:row r="2195" ht="36" customHeight="1">
      <x:c r="A2195" s="5" t="str">
        <x:v>L-0218</x:v>
      </x:c>
      <x:c r="B2195" s="5" t="str">
        <x:v>HQ</x:v>
      </x:c>
      <x:c r="C2195" s="5" t="str">
        <x:v>7</x:v>
      </x:c>
      <x:c r="D2195" s="5" t="str">
        <x:v>Logistik</x:v>
      </x:c>
      <x:c r="E2195" s="5" t="str">
        <x:v>Logistik</x:v>
      </x:c>
      <x:c r="F2195" s="5" t="str">
        <x:v>ui-hq-0024</x:v>
      </x:c>
      <x:c r="G2195" s="5" t="str">
        <x:v>Wertschöpfungskette</x:v>
      </x:c>
      <x:c r="H2195" s="5" t="str">
        <x:v>dg-hq-0103</x:v>
      </x:c>
      <x:c r="I2195" s="5" t="str">
        <x:v>7.3.1</x:v>
      </x:c>
      <x:c r="J2195" s="5" t="str">
        <x:v>Fertigungsprinzipien</x:v>
      </x:c>
      <x:c r="K2195" s="5" t="str"/>
      <x:c r="L2195" s="5" t="str">
        <x:v>Fertigungsprinzipien &amp; interne Transportsysteme</x:v>
      </x:c>
      <x:c r="M2195" s="5" t="n">
        <x:v>14</x:v>
      </x:c>
      <x:c r="N2195" s="5" t="n">
        <x:v>11</x:v>
      </x:c>
      <x:c r="O2195" s="5" t="str"/>
      <x:c r="P2195" s="5" t="str">
        <x:v>Zuordnungsvorschlag; Fachfreigabe ausstehend</x:v>
      </x:c>
      <x:c r="Q2195" s="5" t="str">
        <x:v>Bestehendes Lernthema fachlich unter passendem Rahmenplan-Unterbereich behalten</x:v>
      </x:c>
      <x:c r="R2195" s="5" t="str">
        <x:v>Ordnen Sie die Kriterien zur Auswahl interner Transportmittel den passenden Erläuterungen zu.</x:v>
      </x:c>
      <x:c r="S2195" s="5" t="str">
        <x:v>1a677e7a7e176bfcea4156d1acbbbe8808ef6d68f9b27b5be0031b6a58596797</x:v>
      </x:c>
    </x:row>
    <x:row r="2196" ht="36" customHeight="1">
      <x:c r="A2196" s="5" t="str">
        <x:v>L-0219</x:v>
      </x:c>
      <x:c r="B2196" s="5" t="str">
        <x:v>HQ</x:v>
      </x:c>
      <x:c r="C2196" s="5" t="str">
        <x:v>7</x:v>
      </x:c>
      <x:c r="D2196" s="5" t="str">
        <x:v>Logistik</x:v>
      </x:c>
      <x:c r="E2196" s="5" t="str">
        <x:v>Logistik</x:v>
      </x:c>
      <x:c r="F2196" s="5" t="str">
        <x:v>ui-hq-0024</x:v>
      </x:c>
      <x:c r="G2196" s="5" t="str">
        <x:v>Wertschöpfungskette</x:v>
      </x:c>
      <x:c r="H2196" s="5" t="str">
        <x:v>dg-hq-0103</x:v>
      </x:c>
      <x:c r="I2196" s="5" t="str">
        <x:v>7.3.1</x:v>
      </x:c>
      <x:c r="J2196" s="5" t="str">
        <x:v>Fertigungsprinzipien</x:v>
      </x:c>
      <x:c r="K2196" s="5" t="str"/>
      <x:c r="L2196" s="5" t="str">
        <x:v>Fertigungsprinzipien &amp; interne Transportsysteme</x:v>
      </x:c>
      <x:c r="M2196" s="5" t="n">
        <x:v>15</x:v>
      </x:c>
      <x:c r="N2196" s="5" t="n">
        <x:v>12</x:v>
      </x:c>
      <x:c r="O2196" s="5" t="str"/>
      <x:c r="P2196" s="5" t="str">
        <x:v>Zuordnungsvorschlag; Fachfreigabe ausstehend</x:v>
      </x:c>
      <x:c r="Q2196" s="5" t="str">
        <x:v>Bestehendes Lernthema fachlich unter passendem Rahmenplan-Unterbereich behalten</x:v>
      </x:c>
      <x:c r="R2196" s="5" t="str">
        <x:v>Ordnen Sie die Begriffe den passenden Beschreibungen zu.</x:v>
      </x:c>
      <x:c r="S2196" s="5" t="str">
        <x:v>b506fd73245d22e25f2e90e7bef979cfe27a33e7c1bca3d9b6008ecd0e47f569</x:v>
      </x:c>
    </x:row>
    <x:row r="2197" ht="36" customHeight="1">
      <x:c r="A2197" s="5" t="str">
        <x:v>L-0220</x:v>
      </x:c>
      <x:c r="B2197" s="5" t="str">
        <x:v>HQ</x:v>
      </x:c>
      <x:c r="C2197" s="5" t="str">
        <x:v>7</x:v>
      </x:c>
      <x:c r="D2197" s="5" t="str">
        <x:v>Logistik</x:v>
      </x:c>
      <x:c r="E2197" s="5" t="str">
        <x:v>Logistik</x:v>
      </x:c>
      <x:c r="F2197" s="5" t="str">
        <x:v>ui-hq-0024</x:v>
      </x:c>
      <x:c r="G2197" s="5" t="str">
        <x:v>Wertschöpfungskette</x:v>
      </x:c>
      <x:c r="H2197" s="5" t="str">
        <x:v>dg-hq-0104</x:v>
      </x:c>
      <x:c r="I2197" s="5" t="str">
        <x:v>7.3.2.1</x:v>
      </x:c>
      <x:c r="J2197" s="5" t="str">
        <x:v>Intern</x:v>
      </x:c>
      <x:c r="K2197" s="5" t="str"/>
      <x:c r="L2197" s="5" t="str">
        <x:v>Fertigungsprinzipien &amp; interne Transportsysteme</x:v>
      </x:c>
      <x:c r="M2197" s="5" t="n">
        <x:v>16</x:v>
      </x:c>
      <x:c r="N2197" s="5" t="n">
        <x:v>1</x:v>
      </x:c>
      <x:c r="O2197" s="5" t="str"/>
      <x:c r="P2197" s="5" t="str">
        <x:v>Zuordnungsvorschlag; Fachfreigabe ausstehend</x:v>
      </x:c>
      <x:c r="Q2197" s="5" t="str">
        <x:v>Frageinhalt präzisiert bzw. teilt bisheriges Sammelthema</x:v>
      </x:c>
      <x:c r="R2197" s="5" t="str">
        <x:v>Welche drei Zielsetzungen sollen interne Transportsysteme möglichst erfüllen?</x:v>
      </x:c>
      <x:c r="S2197" s="5" t="str">
        <x:v>e9ba2335dab0484c3877b3cf02adb8415942fbda8da6b2b06bda307ea5912142</x:v>
      </x:c>
    </x:row>
    <x:row r="2198" ht="36" customHeight="1">
      <x:c r="A2198" s="5" t="str">
        <x:v>L-0222</x:v>
      </x:c>
      <x:c r="B2198" s="5" t="str">
        <x:v>HQ</x:v>
      </x:c>
      <x:c r="C2198" s="5" t="str">
        <x:v>7</x:v>
      </x:c>
      <x:c r="D2198" s="5" t="str">
        <x:v>Logistik</x:v>
      </x:c>
      <x:c r="E2198" s="5" t="str">
        <x:v>Logistik</x:v>
      </x:c>
      <x:c r="F2198" s="5" t="str">
        <x:v>ui-hq-0024</x:v>
      </x:c>
      <x:c r="G2198" s="5" t="str">
        <x:v>Wertschöpfungskette</x:v>
      </x:c>
      <x:c r="H2198" s="5" t="str">
        <x:v>dg-hq-0093</x:v>
      </x:c>
      <x:c r="I2198" s="5" t="str">
        <x:v>7.3.2.2</x:v>
      </x:c>
      <x:c r="J2198" s="5" t="str">
        <x:v>Extern</x:v>
      </x:c>
      <x:c r="K2198" s="5" t="str"/>
      <x:c r="L2198" s="5" t="str">
        <x:v>Externe Transportsysteme, Verpackung &amp; Distribution</x:v>
      </x:c>
      <x:c r="M2198" s="5" t="n">
        <x:v>17</x:v>
      </x:c>
      <x:c r="N2198" s="5" t="n">
        <x:v>3</x:v>
      </x:c>
      <x:c r="O2198" s="5" t="str"/>
      <x:c r="P2198" s="5" t="str">
        <x:v>Zuordnungsvorschlag; Fachfreigabe ausstehend</x:v>
      </x:c>
      <x:c r="Q2198" s="5" t="str">
        <x:v>Bestehendes Lernthema fachlich unter passendem Rahmenplan-Unterbereich behalten</x:v>
      </x:c>
      <x:c r="R2198" s="5" t="str">
        <x:v>Circle Harbor besitzt einen eigenen Lkw mit jährlichen Fixkosten von 150.000 €. Die variablen Kosten betragen 5 €/km. Ein externes Transportunternehmen verlangt 10 €/km. Die jährliche Fahrleistung beträgt 38.000 km. Berechnen Sie die kritische Fahrleistung und entscheiden Sie, welche Alternative günstiger ist.</x:v>
      </x:c>
      <x:c r="S2198" s="5" t="str">
        <x:v>5eeac7c652fc14444ed4fe6160e9289b21d09f9feaefd904183b5310ce964807</x:v>
      </x:c>
    </x:row>
    <x:row r="2199" ht="36" customHeight="1">
      <x:c r="A2199" s="5" t="str">
        <x:v>L-0223</x:v>
      </x:c>
      <x:c r="B2199" s="5" t="str">
        <x:v>HQ</x:v>
      </x:c>
      <x:c r="C2199" s="5" t="str">
        <x:v>7</x:v>
      </x:c>
      <x:c r="D2199" s="5" t="str">
        <x:v>Logistik</x:v>
      </x:c>
      <x:c r="E2199" s="5" t="str">
        <x:v>Logistik</x:v>
      </x:c>
      <x:c r="F2199" s="5" t="str">
        <x:v>ui-hq-0024</x:v>
      </x:c>
      <x:c r="G2199" s="5" t="str">
        <x:v>Wertschöpfungskette</x:v>
      </x:c>
      <x:c r="H2199" s="5" t="str">
        <x:v>dg-hq-0093</x:v>
      </x:c>
      <x:c r="I2199" s="5" t="str">
        <x:v>7.3.2.2</x:v>
      </x:c>
      <x:c r="J2199" s="5" t="str">
        <x:v>Extern</x:v>
      </x:c>
      <x:c r="K2199" s="5" t="str"/>
      <x:c r="L2199" s="5" t="str">
        <x:v>Externe Transportsysteme, Verpackung &amp; Distribution</x:v>
      </x:c>
      <x:c r="M2199" s="5" t="n">
        <x:v>18</x:v>
      </x:c>
      <x:c r="N2199" s="5" t="n">
        <x:v>4</x:v>
      </x:c>
      <x:c r="O2199" s="5" t="str"/>
      <x:c r="P2199" s="5" t="str">
        <x:v>Zuordnungsvorschlag; Fachfreigabe ausstehend</x:v>
      </x:c>
      <x:c r="Q2199" s="5" t="str">
        <x:v>Bestehendes Lernthema fachlich unter passendem Rahmenplan-Unterbereich behalten</x:v>
      </x:c>
      <x:c r="R2199" s="5" t="str">
        <x:v>Ordnen Sie die Faktoren der Wahl eines externen Transportmittels den passenden Einflussgrößen zu.</x:v>
      </x:c>
      <x:c r="S2199" s="5" t="str">
        <x:v>7bd0b9c547d79671e9e859651810baaca63ec7ffc4333e6a07383c56fd79e073</x:v>
      </x:c>
    </x:row>
    <x:row r="2200" ht="36" customHeight="1">
      <x:c r="A2200" s="5" t="str">
        <x:v>L-0224</x:v>
      </x:c>
      <x:c r="B2200" s="5" t="str">
        <x:v>HQ</x:v>
      </x:c>
      <x:c r="C2200" s="5" t="str">
        <x:v>7</x:v>
      </x:c>
      <x:c r="D2200" s="5" t="str">
        <x:v>Logistik</x:v>
      </x:c>
      <x:c r="E2200" s="5" t="str">
        <x:v>Logistik</x:v>
      </x:c>
      <x:c r="F2200" s="5" t="str">
        <x:v>ui-hq-0024</x:v>
      </x:c>
      <x:c r="G2200" s="5" t="str">
        <x:v>Wertschöpfungskette</x:v>
      </x:c>
      <x:c r="H2200" s="5" t="str">
        <x:v>dg-hq-0093</x:v>
      </x:c>
      <x:c r="I2200" s="5" t="str">
        <x:v>7.3.2.2</x:v>
      </x:c>
      <x:c r="J2200" s="5" t="str">
        <x:v>Extern</x:v>
      </x:c>
      <x:c r="K2200" s="5" t="str"/>
      <x:c r="L2200" s="5" t="str">
        <x:v>Externe Transportsysteme, Verpackung &amp; Distribution</x:v>
      </x:c>
      <x:c r="M2200" s="5" t="n">
        <x:v>19</x:v>
      </x:c>
      <x:c r="N2200" s="5" t="n">
        <x:v>5</x:v>
      </x:c>
      <x:c r="O2200" s="5" t="str"/>
      <x:c r="P2200" s="5" t="str">
        <x:v>Zuordnungsvorschlag; Fachfreigabe ausstehend</x:v>
      </x:c>
      <x:c r="Q2200" s="5" t="str">
        <x:v>Bestehendes Lernthema fachlich unter passendem Rahmenplan-Unterbereich behalten</x:v>
      </x:c>
      <x:c r="R2200" s="5" t="str">
        <x:v>Ordnen Sie jeder Aussage den passenden Verkehrsträger zu. Jede Aussage ist genau einem Verkehrsträger zuzuordnen.</x:v>
      </x:c>
      <x:c r="S2200" s="5" t="str">
        <x:v>ceaf69bbbcf303e215883ed53d2be305f8d9879ea8fea5bd21ad7a287d3eeba2</x:v>
      </x:c>
    </x:row>
    <x:row r="2201" ht="36" customHeight="1">
      <x:c r="A2201" s="5" t="str">
        <x:v>L-0225</x:v>
      </x:c>
      <x:c r="B2201" s="5" t="str">
        <x:v>HQ</x:v>
      </x:c>
      <x:c r="C2201" s="5" t="str">
        <x:v>7</x:v>
      </x:c>
      <x:c r="D2201" s="5" t="str">
        <x:v>Logistik</x:v>
      </x:c>
      <x:c r="E2201" s="5" t="str">
        <x:v>Logistik</x:v>
      </x:c>
      <x:c r="F2201" s="5" t="str">
        <x:v>ui-hq-0024</x:v>
      </x:c>
      <x:c r="G2201" s="5" t="str">
        <x:v>Wertschöpfungskette</x:v>
      </x:c>
      <x:c r="H2201" s="5" t="str">
        <x:v>dg-hq-0093</x:v>
      </x:c>
      <x:c r="I2201" s="5" t="str">
        <x:v>7.3.2.2</x:v>
      </x:c>
      <x:c r="J2201" s="5" t="str">
        <x:v>Extern</x:v>
      </x:c>
      <x:c r="K2201" s="5" t="str"/>
      <x:c r="L2201" s="5" t="str">
        <x:v>Externe Transportsysteme, Verpackung &amp; Distribution</x:v>
      </x:c>
      <x:c r="M2201" s="5" t="n">
        <x:v>20</x:v>
      </x:c>
      <x:c r="N2201" s="5" t="n">
        <x:v>6</x:v>
      </x:c>
      <x:c r="O2201" s="5" t="str"/>
      <x:c r="P2201" s="5" t="str">
        <x:v>Zuordnungsvorschlag; Fachfreigabe ausstehend</x:v>
      </x:c>
      <x:c r="Q2201" s="5" t="str">
        <x:v>Bestehendes Lernthema fachlich unter passendem Rahmenplan-Unterbereich behalten</x:v>
      </x:c>
      <x:c r="R2201" s="5" t="str">
        <x:v>Ordnen Sie den Transportaufgaben ein geeignetes Verkehrsmittel oder eine geeignete Transportkette zu. Mehrere Verkehrsmittel sind möglich, wenn Vor-, Haupt- oder Nachlauf erforderlich sind.</x:v>
      </x:c>
      <x:c r="S2201" s="5" t="str">
        <x:v>63c1bf48da8d6946588cd40f07782867696ed43a75979f81a501f40ea41b75ab</x:v>
      </x:c>
    </x:row>
    <x:row r="2202" ht="36" customHeight="1">
      <x:c r="A2202" s="5" t="str">
        <x:v>L-0226</x:v>
      </x:c>
      <x:c r="B2202" s="5" t="str">
        <x:v>HQ</x:v>
      </x:c>
      <x:c r="C2202" s="5" t="str">
        <x:v>7</x:v>
      </x:c>
      <x:c r="D2202" s="5" t="str">
        <x:v>Logistik</x:v>
      </x:c>
      <x:c r="E2202" s="5" t="str">
        <x:v>Logistik</x:v>
      </x:c>
      <x:c r="F2202" s="5" t="str">
        <x:v>ui-hq-0024</x:v>
      </x:c>
      <x:c r="G2202" s="5" t="str">
        <x:v>Wertschöpfungskette</x:v>
      </x:c>
      <x:c r="H2202" s="5" t="str">
        <x:v>dg-hq-0093</x:v>
      </x:c>
      <x:c r="I2202" s="5" t="str">
        <x:v>7.3.2.2</x:v>
      </x:c>
      <x:c r="J2202" s="5" t="str">
        <x:v>Extern</x:v>
      </x:c>
      <x:c r="K2202" s="5" t="str"/>
      <x:c r="L2202" s="5" t="str">
        <x:v>Externe Transportsysteme, Verpackung &amp; Distribution</x:v>
      </x:c>
      <x:c r="M2202" s="5" t="n">
        <x:v>21</x:v>
      </x:c>
      <x:c r="N2202" s="5" t="n">
        <x:v>7</x:v>
      </x:c>
      <x:c r="O2202" s="5" t="str"/>
      <x:c r="P2202" s="5" t="str">
        <x:v>Zuordnungsvorschlag; Fachfreigabe ausstehend</x:v>
      </x:c>
      <x:c r="Q2202" s="5" t="str">
        <x:v>Bestehendes Lernthema fachlich unter passendem Rahmenplan-Unterbereich behalten</x:v>
      </x:c>
      <x:c r="R2202" s="5" t="str">
        <x:v>Ordnen Sie die Begriffe multimodaler, intermodaler, kombinierter und gebrochener Verkehr den passenden Beschreibungen zu.</x:v>
      </x:c>
      <x:c r="S2202" s="5" t="str">
        <x:v>0e9d4fe15fe6b034d7e3078ed1b458c212ec088aec84a53745fe4d7e1de86d76</x:v>
      </x:c>
    </x:row>
    <x:row r="2203" ht="36" customHeight="1">
      <x:c r="A2203" s="5" t="str">
        <x:v>L-0227</x:v>
      </x:c>
      <x:c r="B2203" s="5" t="str">
        <x:v>HQ</x:v>
      </x:c>
      <x:c r="C2203" s="5" t="str">
        <x:v>7</x:v>
      </x:c>
      <x:c r="D2203" s="5" t="str">
        <x:v>Logistik</x:v>
      </x:c>
      <x:c r="E2203" s="5" t="str">
        <x:v>Logistik</x:v>
      </x:c>
      <x:c r="F2203" s="5" t="str">
        <x:v>ui-hq-0024</x:v>
      </x:c>
      <x:c r="G2203" s="5" t="str">
        <x:v>Wertschöpfungskette</x:v>
      </x:c>
      <x:c r="H2203" s="5" t="str">
        <x:v>dg-hq-0105</x:v>
      </x:c>
      <x:c r="I2203" s="5" t="str">
        <x:v>7.3.3</x:v>
      </x:c>
      <x:c r="J2203" s="5" t="str">
        <x:v>Verpackung</x:v>
      </x:c>
      <x:c r="K2203" s="5" t="str"/>
      <x:c r="L2203" s="5" t="str">
        <x:v>Externe Transportsysteme, Verpackung &amp; Distribution</x:v>
      </x:c>
      <x:c r="M2203" s="5" t="n">
        <x:v>22</x:v>
      </x:c>
      <x:c r="N2203" s="5" t="n">
        <x:v>1</x:v>
      </x:c>
      <x:c r="O2203" s="5" t="str"/>
      <x:c r="P2203" s="5" t="str">
        <x:v>Zuordnungsvorschlag; Fachfreigabe ausstehend</x:v>
      </x:c>
      <x:c r="Q2203" s="5" t="str">
        <x:v>Frageinhalt präzisiert bzw. teilt bisheriges Sammelthema</x:v>
      </x:c>
      <x:c r="R2203" s="5" t="str">
        <x:v>Nennen Sie die fünf wichtigsten Aufgaben der Verpackung eines Produkts.</x:v>
      </x:c>
      <x:c r="S2203" s="5" t="str">
        <x:v>cac6c4d6f83d96df391cdec8e36d97d05117a2d863aca7502dc044b248b4d178</x:v>
      </x:c>
    </x:row>
    <x:row r="2204" ht="36" customHeight="1">
      <x:c r="A2204" s="5" t="str">
        <x:v>L-0228</x:v>
      </x:c>
      <x:c r="B2204" s="5" t="str">
        <x:v>HQ</x:v>
      </x:c>
      <x:c r="C2204" s="5" t="str">
        <x:v>7</x:v>
      </x:c>
      <x:c r="D2204" s="5" t="str">
        <x:v>Logistik</x:v>
      </x:c>
      <x:c r="E2204" s="5" t="str">
        <x:v>Logistik</x:v>
      </x:c>
      <x:c r="F2204" s="5" t="str">
        <x:v>ui-hq-0024</x:v>
      </x:c>
      <x:c r="G2204" s="5" t="str">
        <x:v>Wertschöpfungskette</x:v>
      </x:c>
      <x:c r="H2204" s="5" t="str">
        <x:v>dg-hq-0105</x:v>
      </x:c>
      <x:c r="I2204" s="5" t="str">
        <x:v>7.3.3</x:v>
      </x:c>
      <x:c r="J2204" s="5" t="str">
        <x:v>Verpackung</x:v>
      </x:c>
      <x:c r="K2204" s="5" t="str"/>
      <x:c r="L2204" s="5" t="str">
        <x:v>Externe Transportsysteme, Verpackung &amp; Distribution</x:v>
      </x:c>
      <x:c r="M2204" s="5" t="n">
        <x:v>23</x:v>
      </x:c>
      <x:c r="N2204" s="5" t="n">
        <x:v>2</x:v>
      </x:c>
      <x:c r="O2204" s="5" t="str"/>
      <x:c r="P2204" s="5" t="str">
        <x:v>Zuordnungsvorschlag; Fachfreigabe ausstehend</x:v>
      </x:c>
      <x:c r="Q2204" s="5" t="str">
        <x:v>Frageinhalt präzisiert bzw. teilt bisheriges Sammelthema</x:v>
      </x:c>
      <x:c r="R2204" s="5" t="str">
        <x:v>Ordnen Sie die Fachbegriffe des Verpackungswesens den passenden Definitionen zu.</x:v>
      </x:c>
      <x:c r="S2204" s="5" t="str">
        <x:v>4674fd69d0099f83088b846417018dcfcb48d78b274e9ade2726c1b9b2f2d6c4</x:v>
      </x:c>
    </x:row>
    <x:row r="2205" ht="36" customHeight="1">
      <x:c r="A2205" s="5" t="str">
        <x:v>L-0229</x:v>
      </x:c>
      <x:c r="B2205" s="5" t="str">
        <x:v>HQ</x:v>
      </x:c>
      <x:c r="C2205" s="5" t="str">
        <x:v>7</x:v>
      </x:c>
      <x:c r="D2205" s="5" t="str">
        <x:v>Logistik</x:v>
      </x:c>
      <x:c r="E2205" s="5" t="str">
        <x:v>Logistik</x:v>
      </x:c>
      <x:c r="F2205" s="5" t="str">
        <x:v>ui-hq-0024</x:v>
      </x:c>
      <x:c r="G2205" s="5" t="str">
        <x:v>Wertschöpfungskette</x:v>
      </x:c>
      <x:c r="H2205" s="5" t="str">
        <x:v>dg-hq-0105</x:v>
      </x:c>
      <x:c r="I2205" s="5" t="str">
        <x:v>7.3.3</x:v>
      </x:c>
      <x:c r="J2205" s="5" t="str">
        <x:v>Verpackung</x:v>
      </x:c>
      <x:c r="K2205" s="5" t="str"/>
      <x:c r="L2205" s="5" t="str">
        <x:v>Externe Transportsysteme, Verpackung &amp; Distribution</x:v>
      </x:c>
      <x:c r="M2205" s="5" t="n">
        <x:v>24</x:v>
      </x:c>
      <x:c r="N2205" s="5" t="n">
        <x:v>3</x:v>
      </x:c>
      <x:c r="O2205" s="5" t="str"/>
      <x:c r="P2205" s="5" t="str">
        <x:v>Zuordnungsvorschlag; Fachfreigabe ausstehend</x:v>
      </x:c>
      <x:c r="Q2205" s="5" t="str">
        <x:v>Frageinhalt präzisiert bzw. teilt bisheriges Sammelthema</x:v>
      </x:c>
      <x:c r="R2205" s="5" t="str">
        <x:v>Ordnen Sie den Verpackungsbegriffen die passenden Beispiele zu.</x:v>
      </x:c>
      <x:c r="S2205" s="5" t="str">
        <x:v>4e6e149996c1916a63f49a2a0e161d77c1b1d71ad0b68ea712992e196c351e47</x:v>
      </x:c>
    </x:row>
    <x:row r="2206" ht="36" customHeight="1">
      <x:c r="A2206" s="5" t="str">
        <x:v>L-0230</x:v>
      </x:c>
      <x:c r="B2206" s="5" t="str">
        <x:v>HQ</x:v>
      </x:c>
      <x:c r="C2206" s="5" t="str">
        <x:v>7</x:v>
      </x:c>
      <x:c r="D2206" s="5" t="str">
        <x:v>Logistik</x:v>
      </x:c>
      <x:c r="E2206" s="5" t="str">
        <x:v>Logistik</x:v>
      </x:c>
      <x:c r="F2206" s="5" t="str">
        <x:v>ui-hq-0024</x:v>
      </x:c>
      <x:c r="G2206" s="5" t="str">
        <x:v>Wertschöpfungskette</x:v>
      </x:c>
      <x:c r="H2206" s="5" t="str">
        <x:v>dg-hq-0105</x:v>
      </x:c>
      <x:c r="I2206" s="5" t="str">
        <x:v>7.3.3</x:v>
      </x:c>
      <x:c r="J2206" s="5" t="str">
        <x:v>Verpackung</x:v>
      </x:c>
      <x:c r="K2206" s="5" t="str"/>
      <x:c r="L2206" s="5" t="str">
        <x:v>Externe Transportsysteme, Verpackung &amp; Distribution</x:v>
      </x:c>
      <x:c r="M2206" s="5" t="n">
        <x:v>25</x:v>
      </x:c>
      <x:c r="N2206" s="5" t="n">
        <x:v>4</x:v>
      </x:c>
      <x:c r="O2206" s="5" t="str"/>
      <x:c r="P2206" s="5" t="str">
        <x:v>Zuordnungsvorschlag; Fachfreigabe ausstehend</x:v>
      </x:c>
      <x:c r="Q2206" s="5" t="str">
        <x:v>Frageinhalt präzisiert bzw. teilt bisheriges Sammelthema</x:v>
      </x:c>
      <x:c r="R2206" s="5" t="str">
        <x:v>Ein Hersteller liefert eine Spezialmaschine in Transportverpackungen an einen gewerblichen Kunden. Später sollen die restentleerten Transportverpackungen zurückgegeben werden. Welche Rücknahmepflicht gilt nach § 39 VerpackDG und wie ist die Kostenfrage zu beurteilen?</x:v>
      </x:c>
      <x:c r="S2206" s="5" t="str">
        <x:v>b3555b69c37cffd2125c3c89142a66d666aabef27248b6d837400e10aa3e698c</x:v>
      </x:c>
    </x:row>
    <x:row r="2207" ht="36" customHeight="1">
      <x:c r="A2207" s="5" t="str">
        <x:v>L-0231</x:v>
      </x:c>
      <x:c r="B2207" s="5" t="str">
        <x:v>HQ</x:v>
      </x:c>
      <x:c r="C2207" s="5" t="str">
        <x:v>7</x:v>
      </x:c>
      <x:c r="D2207" s="5" t="str">
        <x:v>Logistik</x:v>
      </x:c>
      <x:c r="E2207" s="5" t="str">
        <x:v>Logistik</x:v>
      </x:c>
      <x:c r="F2207" s="5" t="str">
        <x:v>ui-hq-0024</x:v>
      </x:c>
      <x:c r="G2207" s="5" t="str">
        <x:v>Wertschöpfungskette</x:v>
      </x:c>
      <x:c r="H2207" s="5" t="str">
        <x:v>dg-hq-0093</x:v>
      </x:c>
      <x:c r="I2207" s="5" t="str">
        <x:v>7.3.2.2</x:v>
      </x:c>
      <x:c r="J2207" s="5" t="str">
        <x:v>Extern</x:v>
      </x:c>
      <x:c r="K2207" s="5" t="str"/>
      <x:c r="L2207" s="5" t="str">
        <x:v>Externe Transportsysteme, Verpackung &amp; Distribution</x:v>
      </x:c>
      <x:c r="M2207" s="5" t="n">
        <x:v>26</x:v>
      </x:c>
      <x:c r="N2207" s="5" t="n">
        <x:v>8</x:v>
      </x:c>
      <x:c r="O2207" s="5" t="str"/>
      <x:c r="P2207" s="5" t="str">
        <x:v>Zuordnungsvorschlag; Fachfreigabe ausstehend</x:v>
      </x:c>
      <x:c r="Q2207" s="5" t="str">
        <x:v>Bestehendes Lernthema fachlich unter passendem Rahmenplan-Unterbereich behalten</x:v>
      </x:c>
      <x:c r="R2207" s="5" t="str">
        <x:v>Ordnen Sie die Lagerarten im Distributionssystem den passenden Beschreibungen zu.</x:v>
      </x:c>
      <x:c r="S2207" s="5" t="str">
        <x:v>e06fe7c21d29197bc2ce7cd60ad12d60a08958d02dfd5f3990ba5026656e1291</x:v>
      </x:c>
    </x:row>
    <x:row r="2208" ht="36" customHeight="1">
      <x:c r="A2208" s="5" t="str">
        <x:v>L-0232</x:v>
      </x:c>
      <x:c r="B2208" s="5" t="str">
        <x:v>HQ</x:v>
      </x:c>
      <x:c r="C2208" s="5" t="str">
        <x:v>7</x:v>
      </x:c>
      <x:c r="D2208" s="5" t="str">
        <x:v>Logistik</x:v>
      </x:c>
      <x:c r="E2208" s="5" t="str">
        <x:v>Logistik</x:v>
      </x:c>
      <x:c r="F2208" s="5" t="str">
        <x:v>ui-hq-0024</x:v>
      </x:c>
      <x:c r="G2208" s="5" t="str">
        <x:v>Wertschöpfungskette</x:v>
      </x:c>
      <x:c r="H2208" s="5" t="str">
        <x:v>dg-hq-0093</x:v>
      </x:c>
      <x:c r="I2208" s="5" t="str">
        <x:v>7.3.2.2</x:v>
      </x:c>
      <x:c r="J2208" s="5" t="str">
        <x:v>Extern</x:v>
      </x:c>
      <x:c r="K2208" s="5" t="str"/>
      <x:c r="L2208" s="5" t="str">
        <x:v>Externe Transportsysteme, Verpackung &amp; Distribution</x:v>
      </x:c>
      <x:c r="M2208" s="5" t="n">
        <x:v>27</x:v>
      </x:c>
      <x:c r="N2208" s="5" t="n">
        <x:v>9</x:v>
      </x:c>
      <x:c r="O2208" s="5" t="str"/>
      <x:c r="P2208" s="5" t="str">
        <x:v>Zuordnungsvorschlag; Fachfreigabe ausstehend</x:v>
      </x:c>
      <x:c r="Q2208" s="5" t="str">
        <x:v>Bestehendes Lernthema fachlich unter passendem Rahmenplan-Unterbereich behalten</x:v>
      </x:c>
      <x:c r="R2208" s="5" t="str">
        <x:v>Vervollständigen Sie die folgenden Einflussfaktoren für die Wahl eines ein- oder mehrstufigen Distributionssystems.</x:v>
      </x:c>
      <x:c r="S2208" s="5" t="str">
        <x:v>0abe52b550e8004a54eeadc298d70cecbe3bcc2daee721d7f8970fa47b8c4378</x:v>
      </x:c>
    </x:row>
    <x:row r="2209" ht="36" customHeight="1">
      <x:c r="A2209" s="5" t="str">
        <x:v>L-0233</x:v>
      </x:c>
      <x:c r="B2209" s="5" t="str">
        <x:v>HQ</x:v>
      </x:c>
      <x:c r="C2209" s="5" t="str">
        <x:v>7</x:v>
      </x:c>
      <x:c r="D2209" s="5" t="str">
        <x:v>Logistik</x:v>
      </x:c>
      <x:c r="E2209" s="5" t="str">
        <x:v>Logistik</x:v>
      </x:c>
      <x:c r="F2209" s="5" t="str">
        <x:v>ui-hq-0024</x:v>
      </x:c>
      <x:c r="G2209" s="5" t="str">
        <x:v>Wertschöpfungskette</x:v>
      </x:c>
      <x:c r="H2209" s="5" t="str">
        <x:v>dg-hq-0093</x:v>
      </x:c>
      <x:c r="I2209" s="5" t="str">
        <x:v>7.3.2.2</x:v>
      </x:c>
      <x:c r="J2209" s="5" t="str">
        <x:v>Extern</x:v>
      </x:c>
      <x:c r="K2209" s="5" t="str"/>
      <x:c r="L2209" s="5" t="str">
        <x:v>Externe Transportsysteme, Verpackung &amp; Distribution</x:v>
      </x:c>
      <x:c r="M2209" s="5" t="n">
        <x:v>28</x:v>
      </x:c>
      <x:c r="N2209" s="5" t="n">
        <x:v>10</x:v>
      </x:c>
      <x:c r="O2209" s="5" t="str"/>
      <x:c r="P2209" s="5" t="str">
        <x:v>Zuordnungsvorschlag; Fachfreigabe ausstehend</x:v>
      </x:c>
      <x:c r="Q2209" s="5" t="str">
        <x:v>Bestehendes Lernthema fachlich unter passendem Rahmenplan-Unterbereich behalten</x:v>
      </x:c>
      <x:c r="R2209" s="5" t="str">
        <x:v>Ordnen Sie die Begriffe aus dem Frachtrecht den passenden Erläuterungen zu.</x:v>
      </x:c>
      <x:c r="S2209" s="5" t="str">
        <x:v>1a81df189f9e5e5554cf1a6c7e7af75d54b38a8f79e2b14961d7f1d87e7b7fd0</x:v>
      </x:c>
    </x:row>
    <x:row r="2210" ht="36" customHeight="1">
      <x:c r="A2210" s="5" t="str">
        <x:v>L-0234</x:v>
      </x:c>
      <x:c r="B2210" s="5" t="str">
        <x:v>HQ</x:v>
      </x:c>
      <x:c r="C2210" s="5" t="str">
        <x:v>7</x:v>
      </x:c>
      <x:c r="D2210" s="5" t="str">
        <x:v>Logistik</x:v>
      </x:c>
      <x:c r="E2210" s="5" t="str">
        <x:v>Logistik</x:v>
      </x:c>
      <x:c r="F2210" s="5" t="str">
        <x:v>ui-hq-0024</x:v>
      </x:c>
      <x:c r="G2210" s="5" t="str">
        <x:v>Wertschöpfungskette</x:v>
      </x:c>
      <x:c r="H2210" s="5" t="str">
        <x:v>dg-hq-0093</x:v>
      </x:c>
      <x:c r="I2210" s="5" t="str">
        <x:v>7.3.2.2</x:v>
      </x:c>
      <x:c r="J2210" s="5" t="str">
        <x:v>Extern</x:v>
      </x:c>
      <x:c r="K2210" s="5" t="str"/>
      <x:c r="L2210" s="5" t="str">
        <x:v>Externe Transportsysteme, Verpackung &amp; Distribution</x:v>
      </x:c>
      <x:c r="M2210" s="5" t="n">
        <x:v>29</x:v>
      </x:c>
      <x:c r="N2210" s="5" t="n">
        <x:v>11</x:v>
      </x:c>
      <x:c r="O2210" s="5" t="str"/>
      <x:c r="P2210" s="5" t="str">
        <x:v>Zuordnungsvorschlag; Fachfreigabe ausstehend</x:v>
      </x:c>
      <x:c r="Q2210" s="5" t="str">
        <x:v>Bestehendes Lernthema fachlich unter passendem Rahmenplan-Unterbereich behalten</x:v>
      </x:c>
      <x:c r="R2210" s="5" t="str">
        <x:v>Nennen Sie Vorteile eines mehrstufigen Distributionssystems für produzierendes Unternehmen, Transportunternehmen, empfangendes Unternehmen und Endkundschaft.</x:v>
      </x:c>
      <x:c r="S2210" s="5" t="str">
        <x:v>508952365063092bfe48f2a8e32fd60116f0bc46cc84b76d4803b9590aa9268f</x:v>
      </x:c>
    </x:row>
    <x:row r="2211" ht="36" customHeight="1">
      <x:c r="A2211" s="5" t="str">
        <x:v>L-0235</x:v>
      </x:c>
      <x:c r="B2211" s="5" t="str">
        <x:v>HQ</x:v>
      </x:c>
      <x:c r="C2211" s="5" t="str">
        <x:v>7</x:v>
      </x:c>
      <x:c r="D2211" s="5" t="str">
        <x:v>Logistik</x:v>
      </x:c>
      <x:c r="E2211" s="5" t="str">
        <x:v>Logistik</x:v>
      </x:c>
      <x:c r="F2211" s="5" t="str">
        <x:v>ui-hq-0024</x:v>
      </x:c>
      <x:c r="G2211" s="5" t="str">
        <x:v>Wertschöpfungskette</x:v>
      </x:c>
      <x:c r="H2211" s="5" t="str">
        <x:v>dg-hq-0106</x:v>
      </x:c>
      <x:c r="I2211" s="5" t="str">
        <x:v>7.3.5</x:v>
      </x:c>
      <x:c r="J2211" s="5" t="str">
        <x:v>Verladung</x:v>
      </x:c>
      <x:c r="K2211" s="5" t="str"/>
      <x:c r="L2211" s="5" t="str">
        <x:v>Externe Transportsysteme, Verpackung &amp; Distribution</x:v>
      </x:c>
      <x:c r="M2211" s="5" t="n">
        <x:v>30</x:v>
      </x:c>
      <x:c r="N2211" s="5" t="n">
        <x:v>1</x:v>
      </x:c>
      <x:c r="O2211" s="5" t="str"/>
      <x:c r="P2211" s="5" t="str">
        <x:v>Zuordnungsvorschlag; Fachfreigabe ausstehend</x:v>
      </x:c>
      <x:c r="Q2211" s="5" t="str">
        <x:v>Frageinhalt präzisiert bzw. teilt bisheriges Sammelthema</x:v>
      </x:c>
      <x:c r="R2211" s="5" t="str">
        <x:v>Wer ist bei der Verladung für beförderungssichere und betriebssichere Verladung verantwortlich?</x:v>
      </x:c>
      <x:c r="S2211" s="5" t="str">
        <x:v>e4db6353d3c0d0e1f5737376f75db8cbc169754a9bdff4f67d907d3b7051f43f</x:v>
      </x:c>
    </x:row>
    <x:row r="2212" ht="36" customHeight="1">
      <x:c r="A2212" s="5" t="str">
        <x:v>L-0236</x:v>
      </x:c>
      <x:c r="B2212" s="5" t="str">
        <x:v>HQ</x:v>
      </x:c>
      <x:c r="C2212" s="5" t="str">
        <x:v>7</x:v>
      </x:c>
      <x:c r="D2212" s="5" t="str">
        <x:v>Logistik</x:v>
      </x:c>
      <x:c r="E2212" s="5" t="str">
        <x:v>Logistik</x:v>
      </x:c>
      <x:c r="F2212" s="5" t="str">
        <x:v>ui-hq-0024</x:v>
      </x:c>
      <x:c r="G2212" s="5" t="str">
        <x:v>Wertschöpfungskette</x:v>
      </x:c>
      <x:c r="H2212" s="5" t="str">
        <x:v>dg-hq-0093</x:v>
      </x:c>
      <x:c r="I2212" s="5" t="str">
        <x:v>7.3.2.2</x:v>
      </x:c>
      <x:c r="J2212" s="5" t="str">
        <x:v>Extern</x:v>
      </x:c>
      <x:c r="K2212" s="5" t="str"/>
      <x:c r="L2212" s="5" t="str">
        <x:v>Externe Transportsysteme, Verpackung &amp; Distribution</x:v>
      </x:c>
      <x:c r="M2212" s="5" t="n">
        <x:v>31</x:v>
      </x:c>
      <x:c r="N2212" s="5" t="n">
        <x:v>12</x:v>
      </x:c>
      <x:c r="O2212" s="5" t="str"/>
      <x:c r="P2212" s="5" t="str">
        <x:v>Zuordnungsvorschlag; Fachfreigabe ausstehend</x:v>
      </x:c>
      <x:c r="Q2212" s="5" t="str">
        <x:v>Bestehendes Lernthema fachlich unter passendem Rahmenplan-Unterbereich behalten</x:v>
      </x:c>
      <x:c r="R2212" s="5" t="str">
        <x:v>Erklären Sie den Unterschied zwischen kraftschlüssiger und formschlüssiger Ladungssicherung und nennen Sie jeweils ein Beispiel.</x:v>
      </x:c>
      <x:c r="S2212" s="5" t="str">
        <x:v>b76a97931ae156303848677bdee6edaa4e94829de45ca5a859823c4536b5b15a</x:v>
      </x:c>
    </x:row>
    <x:row r="2213" ht="36" customHeight="1">
      <x:c r="A2213" s="5" t="str">
        <x:v>L-0237</x:v>
      </x:c>
      <x:c r="B2213" s="5" t="str">
        <x:v>HQ</x:v>
      </x:c>
      <x:c r="C2213" s="5" t="str">
        <x:v>7</x:v>
      </x:c>
      <x:c r="D2213" s="5" t="str">
        <x:v>Logistik</x:v>
      </x:c>
      <x:c r="E2213" s="5" t="str">
        <x:v>Logistik</x:v>
      </x:c>
      <x:c r="F2213" s="5" t="str">
        <x:v>ui-hq-0024</x:v>
      </x:c>
      <x:c r="G2213" s="5" t="str">
        <x:v>Wertschöpfungskette</x:v>
      </x:c>
      <x:c r="H2213" s="5" t="str">
        <x:v>dg-hq-0102</x:v>
      </x:c>
      <x:c r="I2213" s="5" t="str">
        <x:v>7.3.6</x:v>
      </x:c>
      <x:c r="J2213" s="5" t="str">
        <x:v>Entsorgung</x:v>
      </x:c>
      <x:c r="K2213" s="5" t="str"/>
      <x:c r="L2213" s="5" t="str">
        <x:v>Entsorgungslogistik &amp; Rationalisierung</x:v>
      </x:c>
      <x:c r="M2213" s="5" t="n">
        <x:v>32</x:v>
      </x:c>
      <x:c r="N2213" s="5" t="n">
        <x:v>2</x:v>
      </x:c>
      <x:c r="O2213" s="5" t="str"/>
      <x:c r="P2213" s="5" t="str">
        <x:v>Zuordnungsvorschlag; Fachfreigabe ausstehend</x:v>
      </x:c>
      <x:c r="Q2213" s="5" t="str">
        <x:v>Bestehendes Lernthema fachlich unter passendem Rahmenplan-Unterbereich behalten</x:v>
      </x:c>
      <x:c r="R2213" s="5" t="str">
        <x:v>Nennen Sie typische Abfallarten oder Reststoffe, die in Unternehmen entsorgt oder verwertet werden müssen.</x:v>
      </x:c>
      <x:c r="S2213" s="5" t="str">
        <x:v>839fbfb437248987ff26b15418758ab16055344fb238abafa9128ed7e54c5bbe</x:v>
      </x:c>
    </x:row>
    <x:row r="2214" ht="36" customHeight="1">
      <x:c r="A2214" s="5" t="str">
        <x:v>L-0238</x:v>
      </x:c>
      <x:c r="B2214" s="5" t="str">
        <x:v>HQ</x:v>
      </x:c>
      <x:c r="C2214" s="5" t="str">
        <x:v>7</x:v>
      </x:c>
      <x:c r="D2214" s="5" t="str">
        <x:v>Logistik</x:v>
      </x:c>
      <x:c r="E2214" s="5" t="str">
        <x:v>Logistik</x:v>
      </x:c>
      <x:c r="F2214" s="5" t="str">
        <x:v>ui-hq-0024</x:v>
      </x:c>
      <x:c r="G2214" s="5" t="str">
        <x:v>Wertschöpfungskette</x:v>
      </x:c>
      <x:c r="H2214" s="5" t="str">
        <x:v>dg-hq-0102</x:v>
      </x:c>
      <x:c r="I2214" s="5" t="str">
        <x:v>7.3.6.1</x:v>
      </x:c>
      <x:c r="J2214" s="5" t="str">
        <x:v>Objekte der Entsorgungslogistik</x:v>
      </x:c>
      <x:c r="K2214" s="5" t="str"/>
      <x:c r="L2214" s="5" t="str">
        <x:v>Entsorgungslogistik &amp; Rationalisierung</x:v>
      </x:c>
      <x:c r="M2214" s="5" t="n">
        <x:v>33</x:v>
      </x:c>
      <x:c r="N2214" s="5" t="n">
        <x:v>3</x:v>
      </x:c>
      <x:c r="O2214" s="5" t="str"/>
      <x:c r="P2214" s="5" t="str">
        <x:v>Zuordnungsvorschlag; Fachfreigabe ausstehend</x:v>
      </x:c>
      <x:c r="Q2214" s="5" t="str">
        <x:v>Bestehendes Lernthema fachlich unter passendem Rahmenplan-Unterbereich behalten</x:v>
      </x:c>
      <x:c r="R2214" s="5" t="str">
        <x:v>Nennen Sie mindestens vier betriebliche Objekte, die im Bereich der betrieblichen Abfallwirtschaft zur Entsorgung anfallen.</x:v>
      </x:c>
      <x:c r="S2214" s="5" t="str">
        <x:v>95d02eb74ffed338bd1e8d282001a66014f0876d1a9eb4d9c1c9c20d4ea4e5be</x:v>
      </x:c>
    </x:row>
    <x:row r="2215" ht="36" customHeight="1">
      <x:c r="A2215" s="5" t="str">
        <x:v>L-0239</x:v>
      </x:c>
      <x:c r="B2215" s="5" t="str">
        <x:v>HQ</x:v>
      </x:c>
      <x:c r="C2215" s="5" t="str">
        <x:v>7</x:v>
      </x:c>
      <x:c r="D2215" s="5" t="str">
        <x:v>Logistik</x:v>
      </x:c>
      <x:c r="E2215" s="5" t="str">
        <x:v>Logistik</x:v>
      </x:c>
      <x:c r="F2215" s="5" t="str">
        <x:v>ui-hq-0026</x:v>
      </x:c>
      <x:c r="G2215" s="5" t="str">
        <x:v>Spezielle Rechtsaspekte</x:v>
      </x:c>
      <x:c r="H2215" s="5" t="str">
        <x:v>dg-hq-0107</x:v>
      </x:c>
      <x:c r="I2215" s="5" t="str">
        <x:v>7.5.4</x:v>
      </x:c>
      <x:c r="J2215" s="5" t="str">
        <x:v>Abfallwirtschaft</x:v>
      </x:c>
      <x:c r="K2215" s="5" t="str"/>
      <x:c r="L2215" s="5" t="str">
        <x:v>Entsorgungslogistik &amp; Rationalisierung</x:v>
      </x:c>
      <x:c r="M2215" s="5" t="n">
        <x:v>2</x:v>
      </x:c>
      <x:c r="N2215" s="5" t="n">
        <x:v>1</x:v>
      </x:c>
      <x:c r="O2215" s="5" t="str"/>
      <x:c r="P2215" s="5" t="str">
        <x:v>Zuordnungsvorschlag; Fachfreigabe ausstehend</x:v>
      </x:c>
      <x:c r="Q2215" s="5" t="str">
        <x:v>Frageinhalt präzisiert bzw. teilt bisheriges Sammelthema</x:v>
      </x:c>
      <x:c r="R2215" s="5" t="str">
        <x:v>Wie lautet die Abfallhierarchie nach § 6 Kreislaufwirtschaftsgesetz (KrWG)?</x:v>
      </x:c>
      <x:c r="S2215" s="5" t="str">
        <x:v>ca2259bd322ffe1b88e25a01e0ccbaa2d2803164fd862224a0444b208b44bc8f</x:v>
      </x:c>
    </x:row>
    <x:row r="2216" ht="36" customHeight="1">
      <x:c r="A2216" s="5" t="str">
        <x:v>L-0240</x:v>
      </x:c>
      <x:c r="B2216" s="5" t="str">
        <x:v>HQ</x:v>
      </x:c>
      <x:c r="C2216" s="5" t="str">
        <x:v>7</x:v>
      </x:c>
      <x:c r="D2216" s="5" t="str">
        <x:v>Logistik</x:v>
      </x:c>
      <x:c r="E2216" s="5" t="str">
        <x:v>Logistik</x:v>
      </x:c>
      <x:c r="F2216" s="5" t="str">
        <x:v>ui-hq-0024</x:v>
      </x:c>
      <x:c r="G2216" s="5" t="str">
        <x:v>Wertschöpfungskette</x:v>
      </x:c>
      <x:c r="H2216" s="5" t="str">
        <x:v>dg-hq-0105</x:v>
      </x:c>
      <x:c r="I2216" s="5" t="str">
        <x:v>7.3.3</x:v>
      </x:c>
      <x:c r="J2216" s="5" t="str">
        <x:v>Verpackung</x:v>
      </x:c>
      <x:c r="K2216" s="5" t="str"/>
      <x:c r="L2216" s="5" t="str">
        <x:v>Entsorgungslogistik &amp; Rationalisierung</x:v>
      </x:c>
      <x:c r="M2216" s="5" t="n">
        <x:v>34</x:v>
      </x:c>
      <x:c r="N2216" s="5" t="n">
        <x:v>5</x:v>
      </x:c>
      <x:c r="O2216" s="5" t="str"/>
      <x:c r="P2216" s="5" t="str">
        <x:v>Zuordnungsvorschlag; Fachfreigabe ausstehend</x:v>
      </x:c>
      <x:c r="Q2216" s="5" t="str">
        <x:v>Frageinhalt präzisiert bzw. teilt bisheriges Sammelthema</x:v>
      </x:c>
      <x:c r="R2216" s="5" t="str">
        <x:v>Ein Entsorgungsunternehmen sammelt regelmäßig Kunststoffprofile, Verpackungsmaterial, alte Maschinen, Lacke und Elektronikschrott. Welche Vorschläge sollte ein Abfallkonzept im Sinne des KrWG enthalten?</x:v>
      </x:c>
      <x:c r="S2216" s="5" t="str">
        <x:v>c42343c32d51ae0423b54a405e1b607f02b3d73311a9f41bbf9f505a049224e7</x:v>
      </x:c>
    </x:row>
    <x:row r="2217" ht="36" customHeight="1">
      <x:c r="A2217" s="5" t="str">
        <x:v>L-0241</x:v>
      </x:c>
      <x:c r="B2217" s="5" t="str">
        <x:v>HQ</x:v>
      </x:c>
      <x:c r="C2217" s="5" t="str">
        <x:v>7</x:v>
      </x:c>
      <x:c r="D2217" s="5" t="str">
        <x:v>Logistik</x:v>
      </x:c>
      <x:c r="E2217" s="5" t="str">
        <x:v>Logistik</x:v>
      </x:c>
      <x:c r="F2217" s="5" t="str">
        <x:v>ui-hq-0024</x:v>
      </x:c>
      <x:c r="G2217" s="5" t="str">
        <x:v>Wertschöpfungskette</x:v>
      </x:c>
      <x:c r="H2217" s="5" t="str">
        <x:v>dg-hq-0102</x:v>
      </x:c>
      <x:c r="I2217" s="5" t="str">
        <x:v>7.3.6</x:v>
      </x:c>
      <x:c r="J2217" s="5" t="str">
        <x:v>Entsorgung</x:v>
      </x:c>
      <x:c r="K2217" s="5" t="str"/>
      <x:c r="L2217" s="5" t="str">
        <x:v>Entsorgungslogistik &amp; Rationalisierung</x:v>
      </x:c>
      <x:c r="M2217" s="5" t="n">
        <x:v>35</x:v>
      </x:c>
      <x:c r="N2217" s="5" t="n">
        <x:v>4</x:v>
      </x:c>
      <x:c r="O2217" s="5" t="str"/>
      <x:c r="P2217" s="5" t="str">
        <x:v>Zuordnungsvorschlag; Fachfreigabe ausstehend</x:v>
      </x:c>
      <x:c r="Q2217" s="5" t="str">
        <x:v>Bestehendes Lernthema fachlich unter passendem Rahmenplan-Unterbereich behalten</x:v>
      </x:c>
      <x:c r="R2217" s="5" t="str">
        <x:v>In der Logistik von Circle Harbor: Nennen Sie mindestens vier Versorgungsrisiken, die vonseiten des Beschaffungsmarkts auf ein Unternehmen einwirken können.</x:v>
      </x:c>
      <x:c r="S2217" s="5" t="str">
        <x:v>c6e930afb8dcd53399d8ec57990bf1832074f571fbd0debcb96c8acabfd10d64</x:v>
      </x:c>
    </x:row>
    <x:row r="2218" ht="36" customHeight="1">
      <x:c r="A2218" s="5" t="str">
        <x:v>L-0242</x:v>
      </x:c>
      <x:c r="B2218" s="5" t="str">
        <x:v>HQ</x:v>
      </x:c>
      <x:c r="C2218" s="5" t="str">
        <x:v>7</x:v>
      </x:c>
      <x:c r="D2218" s="5" t="str">
        <x:v>Logistik</x:v>
      </x:c>
      <x:c r="E2218" s="5" t="str">
        <x:v>Logistik</x:v>
      </x:c>
      <x:c r="F2218" s="5" t="str">
        <x:v>ui-hq-0025</x:v>
      </x:c>
      <x:c r="G2218" s="5" t="str">
        <x:v>Aspekte der Rationalisierung</x:v>
      </x:c>
      <x:c r="H2218" s="5" t="str">
        <x:v>dg-hq-0108</x:v>
      </x:c>
      <x:c r="I2218" s="5" t="str">
        <x:v>7.4.1</x:v>
      </x:c>
      <x:c r="J2218" s="5" t="str">
        <x:v>Optimierung des Produkt-Portfolios</x:v>
      </x:c>
      <x:c r="K2218" s="5" t="str"/>
      <x:c r="L2218" s="5" t="str">
        <x:v>Entsorgungslogistik &amp; Rationalisierung</x:v>
      </x:c>
      <x:c r="M2218" s="5" t="n">
        <x:v>2</x:v>
      </x:c>
      <x:c r="N2218" s="5" t="n">
        <x:v>1</x:v>
      </x:c>
      <x:c r="O2218" s="5" t="str"/>
      <x:c r="P2218" s="5" t="str">
        <x:v>Zuordnungsvorschlag; Fachfreigabe ausstehend</x:v>
      </x:c>
      <x:c r="Q2218" s="5" t="str">
        <x:v>Frageinhalt präzisiert bzw. teilt bisheriges Sammelthema</x:v>
      </x:c>
      <x:c r="R2218" s="5" t="str">
        <x:v>Ordnen Sie die Produktarten den Feldern der Portfolio-Matrix zu.</x:v>
      </x:c>
      <x:c r="S2218" s="5" t="str">
        <x:v>726ab774b2deba5d2a8961d2a6237298bbf61dacb87eb87e52355685205f8753</x:v>
      </x:c>
    </x:row>
    <x:row r="2219" ht="36" customHeight="1">
      <x:c r="A2219" s="5" t="str">
        <x:v>L-0243</x:v>
      </x:c>
      <x:c r="B2219" s="5" t="str">
        <x:v>HQ</x:v>
      </x:c>
      <x:c r="C2219" s="5" t="str">
        <x:v>7</x:v>
      </x:c>
      <x:c r="D2219" s="5" t="str">
        <x:v>Logistik</x:v>
      </x:c>
      <x:c r="E2219" s="5" t="str">
        <x:v>Logistik</x:v>
      </x:c>
      <x:c r="F2219" s="5" t="str">
        <x:v>ui-hq-0025</x:v>
      </x:c>
      <x:c r="G2219" s="5" t="str">
        <x:v>Aspekte der Rationalisierung</x:v>
      </x:c>
      <x:c r="H2219" s="5" t="str">
        <x:v>dg-hq-0096</x:v>
      </x:c>
      <x:c r="I2219" s="5" t="str">
        <x:v>7.4.2</x:v>
      </x:c>
      <x:c r="J2219" s="5" t="str">
        <x:v>Weltweiter Einkauf</x:v>
      </x:c>
      <x:c r="K2219" s="5" t="str"/>
      <x:c r="L2219" s="5" t="str">
        <x:v>Entsorgungslogistik &amp; Rationalisierung</x:v>
      </x:c>
      <x:c r="M2219" s="5" t="n">
        <x:v>3</x:v>
      </x:c>
      <x:c r="N2219" s="5" t="n">
        <x:v>2</x:v>
      </x:c>
      <x:c r="O2219" s="5" t="str"/>
      <x:c r="P2219" s="5" t="str">
        <x:v>Zuordnungsvorschlag; Fachfreigabe ausstehend</x:v>
      </x:c>
      <x:c r="Q2219" s="5" t="str">
        <x:v>Frageinhalt präzisiert bzw. teilt bisheriges Sammelthema</x:v>
      </x:c>
      <x:c r="R2219" s="5" t="str">
        <x:v>Wie lautet die deutsche Bezeichnung für Global Sourcing?</x:v>
      </x:c>
      <x:c r="S2219" s="5" t="str">
        <x:v>02a3207b674583a8381f03085cef1b53c241226fd0b253eb4f7a3b9e0dc7e12b</x:v>
      </x:c>
    </x:row>
    <x:row r="2220" ht="36" customHeight="1">
      <x:c r="A2220" s="5" t="str">
        <x:v>L-0244</x:v>
      </x:c>
      <x:c r="B2220" s="5" t="str">
        <x:v>HQ</x:v>
      </x:c>
      <x:c r="C2220" s="5" t="str">
        <x:v>7</x:v>
      </x:c>
      <x:c r="D2220" s="5" t="str">
        <x:v>Logistik</x:v>
      </x:c>
      <x:c r="E2220" s="5" t="str">
        <x:v>Logistik</x:v>
      </x:c>
      <x:c r="F2220" s="5" t="str">
        <x:v>ui-hq-0025</x:v>
      </x:c>
      <x:c r="G2220" s="5" t="str">
        <x:v>Aspekte der Rationalisierung</x:v>
      </x:c>
      <x:c r="H2220" s="5" t="str">
        <x:v>dg-hq-0109</x:v>
      </x:c>
      <x:c r="I2220" s="5" t="str">
        <x:v>7.4.3</x:v>
      </x:c>
      <x:c r="J2220" s="5" t="str">
        <x:v>Prozesse auf Verschwendung</x:v>
      </x:c>
      <x:c r="K2220" s="5" t="str"/>
      <x:c r="L2220" s="5" t="str">
        <x:v>Entsorgungslogistik &amp; Rationalisierung</x:v>
      </x:c>
      <x:c r="M2220" s="5" t="n">
        <x:v>4</x:v>
      </x:c>
      <x:c r="N2220" s="5" t="n">
        <x:v>1</x:v>
      </x:c>
      <x:c r="O2220" s="5" t="str"/>
      <x:c r="P2220" s="5" t="str">
        <x:v>Zuordnungsvorschlag; Fachfreigabe ausstehend</x:v>
      </x:c>
      <x:c r="Q2220" s="5" t="str">
        <x:v>Frageinhalt präzisiert bzw. teilt bisheriges Sammelthema</x:v>
      </x:c>
      <x:c r="R2220" s="5" t="str">
        <x:v>Nennen Sie die sieben klassischen Arten der Verschwendung im Toyota-Produktionssystem (Muda).</x:v>
      </x:c>
      <x:c r="S2220" s="5" t="str">
        <x:v>c10e4c60c86fab315ebe1f86980aeba5d8ad8b1a0028627c10a02bf59b7374ac</x:v>
      </x:c>
    </x:row>
    <x:row r="2221" ht="36" customHeight="1">
      <x:c r="A2221" s="5" t="str">
        <x:v>L-0245</x:v>
      </x:c>
      <x:c r="B2221" s="5" t="str">
        <x:v>HQ</x:v>
      </x:c>
      <x:c r="C2221" s="5" t="str">
        <x:v>7</x:v>
      </x:c>
      <x:c r="D2221" s="5" t="str">
        <x:v>Logistik</x:v>
      </x:c>
      <x:c r="E2221" s="5" t="str">
        <x:v>Logistik</x:v>
      </x:c>
      <x:c r="F2221" s="5" t="str">
        <x:v>ui-hq-0025</x:v>
      </x:c>
      <x:c r="G2221" s="5" t="str">
        <x:v>Aspekte der Rationalisierung</x:v>
      </x:c>
      <x:c r="H2221" s="5" t="str">
        <x:v>dg-hq-0109</x:v>
      </x:c>
      <x:c r="I2221" s="5" t="str">
        <x:v>7.4.3</x:v>
      </x:c>
      <x:c r="J2221" s="5" t="str">
        <x:v>Prozesse auf Verschwendung</x:v>
      </x:c>
      <x:c r="K2221" s="5" t="str"/>
      <x:c r="L2221" s="5" t="str">
        <x:v>Entsorgungslogistik &amp; Rationalisierung</x:v>
      </x:c>
      <x:c r="M2221" s="5" t="n">
        <x:v>5</x:v>
      </x:c>
      <x:c r="N2221" s="5" t="n">
        <x:v>2</x:v>
      </x:c>
      <x:c r="O2221" s="5" t="str"/>
      <x:c r="P2221" s="5" t="str">
        <x:v>Zuordnungsvorschlag; Fachfreigabe ausstehend</x:v>
      </x:c>
      <x:c r="Q2221" s="5" t="str">
        <x:v>Frageinhalt präzisiert bzw. teilt bisheriges Sammelthema</x:v>
      </x:c>
      <x:c r="R2221" s="5" t="str">
        <x:v>Nennen Sie vier typische Formen der Prozessverschwendung, die bei einer Betriebsbegehung auffallen können.</x:v>
      </x:c>
      <x:c r="S2221" s="5" t="str">
        <x:v>f30e991fe8f6798d11d79435a6ef36570b18f885c9ad56660c320ed14b1bd95e</x:v>
      </x:c>
    </x:row>
    <x:row r="2222" ht="36" customHeight="1">
      <x:c r="A2222" s="5" t="str">
        <x:v>L-0246</x:v>
      </x:c>
      <x:c r="B2222" s="5" t="str">
        <x:v>HQ</x:v>
      </x:c>
      <x:c r="C2222" s="5" t="str">
        <x:v>7</x:v>
      </x:c>
      <x:c r="D2222" s="5" t="str">
        <x:v>Logistik</x:v>
      </x:c>
      <x:c r="E2222" s="5" t="str">
        <x:v>Logistik</x:v>
      </x:c>
      <x:c r="F2222" s="5" t="str">
        <x:v>ui-hq-0025</x:v>
      </x:c>
      <x:c r="G2222" s="5" t="str">
        <x:v>Aspekte der Rationalisierung</x:v>
      </x:c>
      <x:c r="H2222" s="5" t="str">
        <x:v>dg-hq-0109</x:v>
      </x:c>
      <x:c r="I2222" s="5" t="str">
        <x:v>7.4.3</x:v>
      </x:c>
      <x:c r="J2222" s="5" t="str">
        <x:v>Prozesse auf Verschwendung</x:v>
      </x:c>
      <x:c r="K2222" s="5" t="str"/>
      <x:c r="L2222" s="5" t="str">
        <x:v>Entsorgungslogistik &amp; Rationalisierung</x:v>
      </x:c>
      <x:c r="M2222" s="5" t="n">
        <x:v>6</x:v>
      </x:c>
      <x:c r="N2222" s="5" t="n">
        <x:v>3</x:v>
      </x:c>
      <x:c r="O2222" s="5" t="str"/>
      <x:c r="P2222" s="5" t="str">
        <x:v>Zuordnungsvorschlag; Fachfreigabe ausstehend</x:v>
      </x:c>
      <x:c r="Q2222" s="5" t="str">
        <x:v>Frageinhalt präzisiert bzw. teilt bisheriges Sammelthema</x:v>
      </x:c>
      <x:c r="R2222" s="5" t="str">
        <x:v>Kreuzen Sie an, bei welchen Aktivitäten es sich um Maßnahmen zur Materialstandardisierung handelt.</x:v>
      </x:c>
      <x:c r="S2222" s="5" t="str">
        <x:v>5e3bb6759301a0f5b9eb4cd8ace903dd391c44ef5a17b30f8f526c22b4482691</x:v>
      </x:c>
    </x:row>
    <x:row r="2223" ht="36" customHeight="1">
      <x:c r="A2223" s="5" t="str">
        <x:v>L-0247</x:v>
      </x:c>
      <x:c r="B2223" s="5" t="str">
        <x:v>HQ</x:v>
      </x:c>
      <x:c r="C2223" s="5" t="str">
        <x:v>7</x:v>
      </x:c>
      <x:c r="D2223" s="5" t="str">
        <x:v>Logistik</x:v>
      </x:c>
      <x:c r="E2223" s="5" t="str">
        <x:v>Logistik</x:v>
      </x:c>
      <x:c r="F2223" s="5" t="str">
        <x:v>ui-hq-0024</x:v>
      </x:c>
      <x:c r="G2223" s="5" t="str">
        <x:v>Wertschöpfungskette</x:v>
      </x:c>
      <x:c r="H2223" s="5" t="str">
        <x:v>dg-hq-0102</x:v>
      </x:c>
      <x:c r="I2223" s="5" t="str">
        <x:v>7.3.6</x:v>
      </x:c>
      <x:c r="J2223" s="5" t="str">
        <x:v>Entsorgung</x:v>
      </x:c>
      <x:c r="K2223" s="5" t="str"/>
      <x:c r="L2223" s="5" t="str">
        <x:v>Entsorgungslogistik &amp; Rationalisierung</x:v>
      </x:c>
      <x:c r="M2223" s="5" t="n">
        <x:v>36</x:v>
      </x:c>
      <x:c r="N2223" s="5" t="n">
        <x:v>5</x:v>
      </x:c>
      <x:c r="O2223" s="5" t="str"/>
      <x:c r="P2223" s="5" t="str">
        <x:v>Zuordnungsvorschlag; Fachfreigabe ausstehend</x:v>
      </x:c>
      <x:c r="Q2223" s="5" t="str">
        <x:v>Bestehendes Lernthema fachlich unter passendem Rahmenplan-Unterbereich behalten</x:v>
      </x:c>
      <x:c r="R2223" s="5" t="str">
        <x:v>Welche Begriffe spielen beim Milkrun-Prinzip eine Rolle?</x:v>
      </x:c>
      <x:c r="S2223" s="5" t="str">
        <x:v>b57c7b0c01a8d356f9da54afa753cb4555ee1ac2f1c1ba52baba973494706aae</x:v>
      </x:c>
    </x:row>
    <x:row r="2224" ht="36" customHeight="1">
      <x:c r="A2224" s="5" t="str">
        <x:v>L-0248</x:v>
      </x:c>
      <x:c r="B2224" s="5" t="str">
        <x:v>HQ</x:v>
      </x:c>
      <x:c r="C2224" s="5" t="str">
        <x:v>7</x:v>
      </x:c>
      <x:c r="D2224" s="5" t="str">
        <x:v>Logistik</x:v>
      </x:c>
      <x:c r="E2224" s="5" t="str">
        <x:v>Logistik</x:v>
      </x:c>
      <x:c r="F2224" s="5" t="str">
        <x:v>ui-hq-0026</x:v>
      </x:c>
      <x:c r="G2224" s="5" t="str">
        <x:v>Spezielle Rechtsaspekte</x:v>
      </x:c>
      <x:c r="H2224" s="5" t="str">
        <x:v>dg-hq-0110</x:v>
      </x:c>
      <x:c r="I2224" s="5" t="str">
        <x:v>7.5.2</x:v>
      </x:c>
      <x:c r="J2224" s="5" t="str">
        <x:v>Verkaufsverträge</x:v>
      </x:c>
      <x:c r="K2224" s="5" t="str">
        <x:v>7.5.1</x:v>
      </x:c>
      <x:c r="L2224" s="5" t="str">
        <x:v>Verträge, Lieferbedingungen &amp; Zollrecht</x:v>
      </x:c>
      <x:c r="M2224" s="5" t="n">
        <x:v>3</x:v>
      </x:c>
      <x:c r="N2224" s="5" t="n">
        <x:v>1</x:v>
      </x:c>
      <x:c r="O2224" s="5" t="str"/>
      <x:c r="P2224" s="5" t="str">
        <x:v>Zuordnungsvorschlag; Fachfreigabe ausstehend</x:v>
      </x:c>
      <x:c r="Q2224" s="5" t="str">
        <x:v>Gezielt geprüfter Einzelbeleg</x:v>
      </x:c>
      <x:c r="R2224" s="5" t="str">
        <x:v>Ordnen Sie die fünf Vertragsformen den jeweils eindeutigen Beispielen zu.</x:v>
      </x:c>
      <x:c r="S2224" s="5" t="str">
        <x:v>411d8762b20c3d244f618e5edc34d71dba3f4754caa9415fba8554653c348987</x:v>
      </x:c>
    </x:row>
    <x:row r="2225" ht="36" customHeight="1">
      <x:c r="A2225" s="5" t="str">
        <x:v>L-0249</x:v>
      </x:c>
      <x:c r="B2225" s="5" t="str">
        <x:v>HQ</x:v>
      </x:c>
      <x:c r="C2225" s="5" t="str">
        <x:v>7</x:v>
      </x:c>
      <x:c r="D2225" s="5" t="str">
        <x:v>Logistik</x:v>
      </x:c>
      <x:c r="E2225" s="5" t="str">
        <x:v>Logistik</x:v>
      </x:c>
      <x:c r="F2225" s="5" t="str">
        <x:v>ui-hq-0026</x:v>
      </x:c>
      <x:c r="G2225" s="5" t="str">
        <x:v>Spezielle Rechtsaspekte</x:v>
      </x:c>
      <x:c r="H2225" s="5" t="str">
        <x:v>dg-hq-0101</x:v>
      </x:c>
      <x:c r="I2225" s="5" t="str">
        <x:v>7.5.1</x:v>
      </x:c>
      <x:c r="J2225" s="5" t="str">
        <x:v>Einkaufsverträge</x:v>
      </x:c>
      <x:c r="K2225" s="5" t="str"/>
      <x:c r="L2225" s="5" t="str">
        <x:v>Verträge, Lieferbedingungen &amp; Zollrecht</x:v>
      </x:c>
      <x:c r="M2225" s="5" t="n">
        <x:v>4</x:v>
      </x:c>
      <x:c r="N2225" s="5" t="n">
        <x:v>2</x:v>
      </x:c>
      <x:c r="O2225" s="5" t="str"/>
      <x:c r="P2225" s="5" t="str">
        <x:v>Zuordnungsvorschlag; Fachfreigabe ausstehend</x:v>
      </x:c>
      <x:c r="Q2225" s="5" t="str">
        <x:v>Bestehendes Lernthema fachlich unter passendem Rahmenplan-Unterbereich behalten</x:v>
      </x:c>
      <x:c r="R2225" s="5" t="str">
        <x:v>Fallbezug: Die folgenden betrieblichen Angaben und Situationen beziehen sich auf die Circle Harbor GmbH.
Ein Produkt besteht zu 50 % aus Materialkosten, zu 40 % aus Lohnkosten und zu 10 % aus einem unveränderbaren Anteil. Die Materialkosten sinken um 15,22 %, die Lohnkosten steigen um 8 %. Wie hoch ist der neue Preis bei einem ursprünglichen Preis von 12.000 €?</x:v>
      </x:c>
      <x:c r="S2225" s="5" t="str">
        <x:v>7049e778ac63b3662752a30ba7ded5da6022bea1a1f2740739463d0eb7ecc5b0</x:v>
      </x:c>
    </x:row>
    <x:row r="2226" ht="36" customHeight="1">
      <x:c r="A2226" s="5" t="str">
        <x:v>L-0250</x:v>
      </x:c>
      <x:c r="B2226" s="5" t="str">
        <x:v>HQ</x:v>
      </x:c>
      <x:c r="C2226" s="5" t="str">
        <x:v>7</x:v>
      </x:c>
      <x:c r="D2226" s="5" t="str">
        <x:v>Logistik</x:v>
      </x:c>
      <x:c r="E2226" s="5" t="str">
        <x:v>Logistik</x:v>
      </x:c>
      <x:c r="F2226" s="5" t="str">
        <x:v>ui-hq-0026</x:v>
      </x:c>
      <x:c r="G2226" s="5" t="str">
        <x:v>Spezielle Rechtsaspekte</x:v>
      </x:c>
      <x:c r="H2226" s="5" t="str">
        <x:v>dg-hq-0101</x:v>
      </x:c>
      <x:c r="I2226" s="5" t="str">
        <x:v>7.5.1</x:v>
      </x:c>
      <x:c r="J2226" s="5" t="str">
        <x:v>Einkaufsverträge</x:v>
      </x:c>
      <x:c r="K2226" s="5" t="str"/>
      <x:c r="L2226" s="5" t="str">
        <x:v>Verträge, Lieferbedingungen &amp; Zollrecht</x:v>
      </x:c>
      <x:c r="M2226" s="5" t="n">
        <x:v>5</x:v>
      </x:c>
      <x:c r="N2226" s="5" t="n">
        <x:v>3</x:v>
      </x:c>
      <x:c r="O2226" s="5" t="str"/>
      <x:c r="P2226" s="5" t="str">
        <x:v>Zuordnungsvorschlag; Fachfreigabe ausstehend</x:v>
      </x:c>
      <x:c r="Q2226" s="5" t="str">
        <x:v>Bestehendes Lernthema fachlich unter passendem Rahmenplan-Unterbereich behalten</x:v>
      </x:c>
      <x:c r="R2226" s="5" t="str">
        <x:v>Fallbezug: Die folgenden betrieblichen Angaben und Situationen beziehen sich auf die Circle Harbor GmbH.
Berechnen Sie den effektiven Jahreszinssatz eines Lieferantenkredits bei 2 % Skonto, 30 Tagen Zahlungsziel und 10 Tagen Skontofrist.</x:v>
      </x:c>
      <x:c r="S2226" s="5" t="str">
        <x:v>1126a36a187541c2c5112086f629079242dfd18f86a0af7b46bfc01fcefb80a4</x:v>
      </x:c>
    </x:row>
    <x:row r="2227" ht="36" customHeight="1">
      <x:c r="A2227" s="5" t="str">
        <x:v>L-0251</x:v>
      </x:c>
      <x:c r="B2227" s="5" t="str">
        <x:v>HQ</x:v>
      </x:c>
      <x:c r="C2227" s="5" t="str">
        <x:v>7</x:v>
      </x:c>
      <x:c r="D2227" s="5" t="str">
        <x:v>Logistik</x:v>
      </x:c>
      <x:c r="E2227" s="5" t="str">
        <x:v>Logistik</x:v>
      </x:c>
      <x:c r="F2227" s="5" t="str">
        <x:v>ui-hq-0026</x:v>
      </x:c>
      <x:c r="G2227" s="5" t="str">
        <x:v>Spezielle Rechtsaspekte</x:v>
      </x:c>
      <x:c r="H2227" s="5" t="str">
        <x:v>dg-hq-0101</x:v>
      </x:c>
      <x:c r="I2227" s="5" t="str">
        <x:v>7.5.1</x:v>
      </x:c>
      <x:c r="J2227" s="5" t="str">
        <x:v>Einkaufsverträge</x:v>
      </x:c>
      <x:c r="K2227" s="5" t="str"/>
      <x:c r="L2227" s="5" t="str">
        <x:v>Verträge, Lieferbedingungen &amp; Zollrecht</x:v>
      </x:c>
      <x:c r="M2227" s="5" t="n">
        <x:v>6</x:v>
      </x:c>
      <x:c r="N2227" s="5" t="n">
        <x:v>4</x:v>
      </x:c>
      <x:c r="O2227" s="5" t="str"/>
      <x:c r="P2227" s="5" t="str">
        <x:v>Zuordnungsvorschlag; Fachfreigabe ausstehend</x:v>
      </x:c>
      <x:c r="Q2227" s="5" t="str">
        <x:v>Bestehendes Lernthema fachlich unter passendem Rahmenplan-Unterbereich behalten</x:v>
      </x:c>
      <x:c r="R2227" s="5" t="str">
        <x:v>Fallbezug: Die folgenden betrieblichen Angaben und Situationen beziehen sich auf die Circle Harbor GmbH.
Lohnt sich die Kreditaufnahme zur Nutzung des Skontos bei einer Rechnung von 77.000 €, 2 % Skonto, 30 Tagen Zahlungsziel, 10 Tagen Skontofrist und 11 % Kreditzins? Begründen Sie.</x:v>
      </x:c>
      <x:c r="S2227" s="5" t="str">
        <x:v>a76740ff246c2e114ed0d405a98cbb51368f4dfe16f1c9ca99b7d6ffc334da62</x:v>
      </x:c>
    </x:row>
    <x:row r="2228" ht="36" customHeight="1">
      <x:c r="A2228" s="5" t="str">
        <x:v>L-0252</x:v>
      </x:c>
      <x:c r="B2228" s="5" t="str">
        <x:v>HQ</x:v>
      </x:c>
      <x:c r="C2228" s="5" t="str">
        <x:v>7</x:v>
      </x:c>
      <x:c r="D2228" s="5" t="str">
        <x:v>Logistik</x:v>
      </x:c>
      <x:c r="E2228" s="5" t="str">
        <x:v>Logistik</x:v>
      </x:c>
      <x:c r="F2228" s="5" t="str">
        <x:v>ui-hq-0026</x:v>
      </x:c>
      <x:c r="G2228" s="5" t="str">
        <x:v>Spezielle Rechtsaspekte</x:v>
      </x:c>
      <x:c r="H2228" s="5" t="str">
        <x:v>dg-hq-0101</x:v>
      </x:c>
      <x:c r="I2228" s="5" t="str">
        <x:v>7.5.1</x:v>
      </x:c>
      <x:c r="J2228" s="5" t="str">
        <x:v>Einkaufsverträge</x:v>
      </x:c>
      <x:c r="K2228" s="5" t="str"/>
      <x:c r="L2228" s="5" t="str">
        <x:v>Verträge, Lieferbedingungen &amp; Zollrecht</x:v>
      </x:c>
      <x:c r="M2228" s="5" t="n">
        <x:v>7</x:v>
      </x:c>
      <x:c r="N2228" s="5" t="n">
        <x:v>5</x:v>
      </x:c>
      <x:c r="O2228" s="5" t="str"/>
      <x:c r="P2228" s="5" t="str">
        <x:v>Zuordnungsvorschlag; Fachfreigabe ausstehend</x:v>
      </x:c>
      <x:c r="Q2228" s="5" t="str">
        <x:v>Bestehendes Lernthema fachlich unter passendem Rahmenplan-Unterbereich behalten</x:v>
      </x:c>
      <x:c r="R2228" s="5" t="str">
        <x:v>Welche Inhalte werden in Lieferbedingungen typischerweise geregelt? Nennen Sie mindestens vier Beispiele.</x:v>
      </x:c>
      <x:c r="S2228" s="5" t="str">
        <x:v>e5597535ac734220ff0bb7e7ca11fc86ab226c8f1932cc3834c244b63c399f53</x:v>
      </x:c>
    </x:row>
    <x:row r="2229" ht="36" customHeight="1">
      <x:c r="A2229" s="5" t="str">
        <x:v>L-0253</x:v>
      </x:c>
      <x:c r="B2229" s="5" t="str">
        <x:v>HQ</x:v>
      </x:c>
      <x:c r="C2229" s="5" t="str">
        <x:v>7</x:v>
      </x:c>
      <x:c r="D2229" s="5" t="str">
        <x:v>Logistik</x:v>
      </x:c>
      <x:c r="E2229" s="5" t="str">
        <x:v>Logistik</x:v>
      </x:c>
      <x:c r="F2229" s="5" t="str">
        <x:v>ui-hq-0026</x:v>
      </x:c>
      <x:c r="G2229" s="5" t="str">
        <x:v>Spezielle Rechtsaspekte</x:v>
      </x:c>
      <x:c r="H2229" s="5" t="str">
        <x:v>dg-hq-0101</x:v>
      </x:c>
      <x:c r="I2229" s="5" t="str">
        <x:v>7.5.1</x:v>
      </x:c>
      <x:c r="J2229" s="5" t="str">
        <x:v>Einkaufsverträge</x:v>
      </x:c>
      <x:c r="K2229" s="5" t="str"/>
      <x:c r="L2229" s="5" t="str">
        <x:v>Verträge, Lieferbedingungen &amp; Zollrecht</x:v>
      </x:c>
      <x:c r="M2229" s="5" t="n">
        <x:v>8</x:v>
      </x:c>
      <x:c r="N2229" s="5" t="n">
        <x:v>6</x:v>
      </x:c>
      <x:c r="O2229" s="5" t="str"/>
      <x:c r="P2229" s="5" t="str">
        <x:v>Zuordnungsvorschlag; Fachfreigabe ausstehend</x:v>
      </x:c>
      <x:c r="Q2229" s="5" t="str">
        <x:v>Bestehendes Lernthema fachlich unter passendem Rahmenplan-Unterbereich behalten</x:v>
      </x:c>
      <x:c r="R2229" s="5" t="str">
        <x:v>Welche zwei Kernfragen regeln die Transportkostenklauseln?</x:v>
      </x:c>
      <x:c r="S2229" s="5" t="str">
        <x:v>5da2376abee1afcff343f62845c4cc2ed6cd986be7d7441351512b4785582064</x:v>
      </x:c>
    </x:row>
    <x:row r="2230" ht="36" customHeight="1">
      <x:c r="A2230" s="5" t="str">
        <x:v>L-0254</x:v>
      </x:c>
      <x:c r="B2230" s="5" t="str">
        <x:v>HQ</x:v>
      </x:c>
      <x:c r="C2230" s="5" t="str">
        <x:v>7</x:v>
      </x:c>
      <x:c r="D2230" s="5" t="str">
        <x:v>Logistik</x:v>
      </x:c>
      <x:c r="E2230" s="5" t="str">
        <x:v>Logistik</x:v>
      </x:c>
      <x:c r="F2230" s="5" t="str">
        <x:v>ui-hq-0026</x:v>
      </x:c>
      <x:c r="G2230" s="5" t="str">
        <x:v>Spezielle Rechtsaspekte</x:v>
      </x:c>
      <x:c r="H2230" s="5" t="str">
        <x:v>dg-hq-0101</x:v>
      </x:c>
      <x:c r="I2230" s="5" t="str">
        <x:v>7.5.1</x:v>
      </x:c>
      <x:c r="J2230" s="5" t="str">
        <x:v>Einkaufsverträge</x:v>
      </x:c>
      <x:c r="K2230" s="5" t="str"/>
      <x:c r="L2230" s="5" t="str">
        <x:v>Verträge, Lieferbedingungen &amp; Zollrecht</x:v>
      </x:c>
      <x:c r="M2230" s="5" t="n">
        <x:v>9</x:v>
      </x:c>
      <x:c r="N2230" s="5" t="n">
        <x:v>7</x:v>
      </x:c>
      <x:c r="O2230" s="5" t="str"/>
      <x:c r="P2230" s="5" t="str">
        <x:v>Zuordnungsvorschlag; Fachfreigabe ausstehend</x:v>
      </x:c>
      <x:c r="Q2230" s="5" t="str">
        <x:v>Bestehendes Lernthema fachlich unter passendem Rahmenplan-Unterbereich behalten</x:v>
      </x:c>
      <x:c r="R2230" s="5" t="str">
        <x:v>Kreuzen Sie alle zutreffenden Aussagen zu standardisierten Lieferbedingungen an.</x:v>
      </x:c>
      <x:c r="S2230" s="5" t="str">
        <x:v>5449d7d3aa9cb49271fdffb4ec2a7ce0a4bf3e54eaecf8549aafb993ad93a671</x:v>
      </x:c>
    </x:row>
    <x:row r="2231" ht="36" customHeight="1">
      <x:c r="A2231" s="5" t="str">
        <x:v>L-0255</x:v>
      </x:c>
      <x:c r="B2231" s="5" t="str">
        <x:v>HQ</x:v>
      </x:c>
      <x:c r="C2231" s="5" t="str">
        <x:v>7</x:v>
      </x:c>
      <x:c r="D2231" s="5" t="str">
        <x:v>Logistik</x:v>
      </x:c>
      <x:c r="E2231" s="5" t="str">
        <x:v>Logistik</x:v>
      </x:c>
      <x:c r="F2231" s="5" t="str">
        <x:v>ui-hq-0026</x:v>
      </x:c>
      <x:c r="G2231" s="5" t="str">
        <x:v>Spezielle Rechtsaspekte</x:v>
      </x:c>
      <x:c r="H2231" s="5" t="str">
        <x:v>dg-hq-0110</x:v>
      </x:c>
      <x:c r="I2231" s="5" t="str">
        <x:v>7.5.2</x:v>
      </x:c>
      <x:c r="J2231" s="5" t="str">
        <x:v>Verkaufsverträge</x:v>
      </x:c>
      <x:c r="K2231" s="5" t="str"/>
      <x:c r="L2231" s="5" t="str">
        <x:v>Verträge, Lieferbedingungen &amp; Zollrecht</x:v>
      </x:c>
      <x:c r="M2231" s="5" t="n">
        <x:v>10</x:v>
      </x:c>
      <x:c r="N2231" s="5" t="n">
        <x:v>2</x:v>
      </x:c>
      <x:c r="O2231" s="5" t="str"/>
      <x:c r="P2231" s="5" t="str">
        <x:v>Zuordnungsvorschlag; Fachfreigabe ausstehend</x:v>
      </x:c>
      <x:c r="Q2231" s="5" t="str">
        <x:v>Incoterms regeln Kosten/Gefahr/Versicherung im Kaufvertrag; keine primäre Einordnung als Zollverfahren.</x:v>
      </x:c>
      <x:c r="R2231" s="5" t="str">
        <x:v>Erläutern Sie die Incoterms®-2020-Klausel CIF hinsichtlich Transportkosten, Versicherung, Gefahrenübergang und zulässiger Verkehrsträger.</x:v>
      </x:c>
      <x:c r="S2231" s="5" t="str">
        <x:v>e2bfd029429def4fbea9b2ec32887eaede1e4cd73c0c0102dbae9b052b09e430</x:v>
      </x:c>
    </x:row>
    <x:row r="2232" ht="36" customHeight="1">
      <x:c r="A2232" s="5" t="str">
        <x:v>L-0256</x:v>
      </x:c>
      <x:c r="B2232" s="5" t="str">
        <x:v>HQ</x:v>
      </x:c>
      <x:c r="C2232" s="5" t="str">
        <x:v>7</x:v>
      </x:c>
      <x:c r="D2232" s="5" t="str">
        <x:v>Logistik</x:v>
      </x:c>
      <x:c r="E2232" s="5" t="str">
        <x:v>Logistik</x:v>
      </x:c>
      <x:c r="F2232" s="5" t="str">
        <x:v>ui-hq-0026</x:v>
      </x:c>
      <x:c r="G2232" s="5" t="str">
        <x:v>Spezielle Rechtsaspekte</x:v>
      </x:c>
      <x:c r="H2232" s="5" t="str">
        <x:v>dg-hq-0101</x:v>
      </x:c>
      <x:c r="I2232" s="5" t="str">
        <x:v>7.5.1</x:v>
      </x:c>
      <x:c r="J2232" s="5" t="str">
        <x:v>Einkaufsverträge</x:v>
      </x:c>
      <x:c r="K2232" s="5" t="str"/>
      <x:c r="L2232" s="5" t="str">
        <x:v>Verträge, Lieferbedingungen &amp; Zollrecht</x:v>
      </x:c>
      <x:c r="M2232" s="5" t="n">
        <x:v>11</x:v>
      </x:c>
      <x:c r="N2232" s="5" t="n">
        <x:v>8</x:v>
      </x:c>
      <x:c r="O2232" s="5" t="str"/>
      <x:c r="P2232" s="5" t="str">
        <x:v>Zuordnungsvorschlag; Fachfreigabe ausstehend</x:v>
      </x:c>
      <x:c r="Q2232" s="5" t="str">
        <x:v>Bestehendes Lernthema fachlich unter passendem Rahmenplan-Unterbereich behalten</x:v>
      </x:c>
      <x:c r="R2232" s="5" t="str">
        <x:v>Kreuzen Sie alle zutreffenden Vorteile standardisierter Lieferbedingungen an.</x:v>
      </x:c>
      <x:c r="S2232" s="5" t="str">
        <x:v>0a9260dafd088992b8b64093578a4a0f1e90b49ec7cadc9eeaaeff246057cebc</x:v>
      </x:c>
    </x:row>
    <x:row r="2233" ht="36" customHeight="1">
      <x:c r="A2233" s="5" t="str">
        <x:v>L-0257</x:v>
      </x:c>
      <x:c r="B2233" s="5" t="str">
        <x:v>HQ</x:v>
      </x:c>
      <x:c r="C2233" s="5" t="str">
        <x:v>7</x:v>
      </x:c>
      <x:c r="D2233" s="5" t="str">
        <x:v>Logistik</x:v>
      </x:c>
      <x:c r="E2233" s="5" t="str">
        <x:v>Logistik</x:v>
      </x:c>
      <x:c r="F2233" s="5" t="str">
        <x:v>ui-hq-0026</x:v>
      </x:c>
      <x:c r="G2233" s="5" t="str">
        <x:v>Spezielle Rechtsaspekte</x:v>
      </x:c>
      <x:c r="H2233" s="5" t="str">
        <x:v>dg-hq-0101</x:v>
      </x:c>
      <x:c r="I2233" s="5" t="str">
        <x:v>7.5.1</x:v>
      </x:c>
      <x:c r="J2233" s="5" t="str">
        <x:v>Einkaufsverträge</x:v>
      </x:c>
      <x:c r="K2233" s="5" t="str"/>
      <x:c r="L2233" s="5" t="str">
        <x:v>Verträge, Lieferbedingungen &amp; Zollrecht</x:v>
      </x:c>
      <x:c r="M2233" s="5" t="n">
        <x:v>12</x:v>
      </x:c>
      <x:c r="N2233" s="5" t="n">
        <x:v>9</x:v>
      </x:c>
      <x:c r="O2233" s="5" t="str"/>
      <x:c r="P2233" s="5" t="str">
        <x:v>Zuordnungsvorschlag; Fachfreigabe ausstehend</x:v>
      </x:c>
      <x:c r="Q2233" s="5" t="str">
        <x:v>Bestehendes Lernthema fachlich unter passendem Rahmenplan-Unterbereich behalten</x:v>
      </x:c>
      <x:c r="R2233" s="5" t="str">
        <x:v>Ergänzen Sie die fehlenden Wörter zu den Pflichten beim Kaufvertrag nach § 433 BGB.</x:v>
      </x:c>
      <x:c r="S2233" s="5" t="str">
        <x:v>63a5aefb206b4b5da921f37c8c7b96e1178f48f0c8e482653c0f796369061ff5</x:v>
      </x:c>
    </x:row>
    <x:row r="2234" ht="36" customHeight="1">
      <x:c r="A2234" s="5" t="str">
        <x:v>L-0258</x:v>
      </x:c>
      <x:c r="B2234" s="5" t="str">
        <x:v>HQ</x:v>
      </x:c>
      <x:c r="C2234" s="5" t="str">
        <x:v>7</x:v>
      </x:c>
      <x:c r="D2234" s="5" t="str">
        <x:v>Logistik</x:v>
      </x:c>
      <x:c r="E2234" s="5" t="str">
        <x:v>Logistik</x:v>
      </x:c>
      <x:c r="F2234" s="5" t="str">
        <x:v>ui-hq-0026</x:v>
      </x:c>
      <x:c r="G2234" s="5" t="str">
        <x:v>Spezielle Rechtsaspekte</x:v>
      </x:c>
      <x:c r="H2234" s="5" t="str">
        <x:v>dg-hq-0101</x:v>
      </x:c>
      <x:c r="I2234" s="5" t="str">
        <x:v>7.5.1</x:v>
      </x:c>
      <x:c r="J2234" s="5" t="str">
        <x:v>Einkaufsverträge</x:v>
      </x:c>
      <x:c r="K2234" s="5" t="str"/>
      <x:c r="L2234" s="5" t="str">
        <x:v>Verträge, Lieferbedingungen &amp; Zollrecht</x:v>
      </x:c>
      <x:c r="M2234" s="5" t="n">
        <x:v>13</x:v>
      </x:c>
      <x:c r="N2234" s="5" t="n">
        <x:v>10</x:v>
      </x:c>
      <x:c r="O2234" s="5" t="str"/>
      <x:c r="P2234" s="5" t="str">
        <x:v>Zuordnungsvorschlag; Fachfreigabe ausstehend</x:v>
      </x:c>
      <x:c r="Q2234" s="5" t="str">
        <x:v>Bestehendes Lernthema fachlich unter passendem Rahmenplan-Unterbereich behalten</x:v>
      </x:c>
      <x:c r="R2234" s="5" t="str">
        <x:v>Kreuzen Sie alle richtigen Aussagen zum Zustandekommen von Verträgen an.</x:v>
      </x:c>
      <x:c r="S2234" s="5" t="str">
        <x:v>87f963b7fa0170932470855b33fbf83c3067163a2acf7de77aab84376ae7de1a</x:v>
      </x:c>
    </x:row>
    <x:row r="2235" ht="36" customHeight="1">
      <x:c r="A2235" s="5" t="str">
        <x:v>L-0259</x:v>
      </x:c>
      <x:c r="B2235" s="5" t="str">
        <x:v>HQ</x:v>
      </x:c>
      <x:c r="C2235" s="5" t="str">
        <x:v>7</x:v>
      </x:c>
      <x:c r="D2235" s="5" t="str">
        <x:v>Logistik</x:v>
      </x:c>
      <x:c r="E2235" s="5" t="str">
        <x:v>Logistik</x:v>
      </x:c>
      <x:c r="F2235" s="5" t="str">
        <x:v>ui-hq-0026</x:v>
      </x:c>
      <x:c r="G2235" s="5" t="str">
        <x:v>Spezielle Rechtsaspekte</x:v>
      </x:c>
      <x:c r="H2235" s="5" t="str">
        <x:v>dg-hq-0101</x:v>
      </x:c>
      <x:c r="I2235" s="5" t="str">
        <x:v>7.5.1</x:v>
      </x:c>
      <x:c r="J2235" s="5" t="str">
        <x:v>Einkaufsverträge</x:v>
      </x:c>
      <x:c r="K2235" s="5" t="str"/>
      <x:c r="L2235" s="5" t="str">
        <x:v>Verträge, Lieferbedingungen &amp; Zollrecht</x:v>
      </x:c>
      <x:c r="M2235" s="5" t="n">
        <x:v>14</x:v>
      </x:c>
      <x:c r="N2235" s="5" t="n">
        <x:v>11</x:v>
      </x:c>
      <x:c r="O2235" s="5" t="str"/>
      <x:c r="P2235" s="5" t="str">
        <x:v>Zuordnungsvorschlag; Fachfreigabe ausstehend</x:v>
      </x:c>
      <x:c r="Q2235" s="5" t="str">
        <x:v>Bestehendes Lernthema fachlich unter passendem Rahmenplan-Unterbereich behalten</x:v>
      </x:c>
      <x:c r="R2235" s="5" t="str">
        <x:v>Nennen Sie mindestens vier typische Werkverträge.</x:v>
      </x:c>
      <x:c r="S2235" s="5" t="str">
        <x:v>b6f07157b162efe75be4efc62474187d1237a9acf25efc29ba65de076ffc7246</x:v>
      </x:c>
    </x:row>
    <x:row r="2236" ht="36" customHeight="1">
      <x:c r="A2236" s="5" t="str">
        <x:v>L-0260</x:v>
      </x:c>
      <x:c r="B2236" s="5" t="str">
        <x:v>HQ</x:v>
      </x:c>
      <x:c r="C2236" s="5" t="str">
        <x:v>7</x:v>
      </x:c>
      <x:c r="D2236" s="5" t="str">
        <x:v>Logistik</x:v>
      </x:c>
      <x:c r="E2236" s="5" t="str">
        <x:v>Logistik</x:v>
      </x:c>
      <x:c r="F2236" s="5" t="str">
        <x:v>ui-hq-0026</x:v>
      </x:c>
      <x:c r="G2236" s="5" t="str">
        <x:v>Spezielle Rechtsaspekte</x:v>
      </x:c>
      <x:c r="H2236" s="5" t="str">
        <x:v>dg-hq-0101</x:v>
      </x:c>
      <x:c r="I2236" s="5" t="str">
        <x:v>7.5.1</x:v>
      </x:c>
      <x:c r="J2236" s="5" t="str">
        <x:v>Einkaufsverträge</x:v>
      </x:c>
      <x:c r="K2236" s="5" t="str"/>
      <x:c r="L2236" s="5" t="str">
        <x:v>Verträge, Lieferbedingungen &amp; Zollrecht</x:v>
      </x:c>
      <x:c r="M2236" s="5" t="n">
        <x:v>15</x:v>
      </x:c>
      <x:c r="N2236" s="5" t="n">
        <x:v>12</x:v>
      </x:c>
      <x:c r="O2236" s="5" t="str"/>
      <x:c r="P2236" s="5" t="str">
        <x:v>Zuordnungsvorschlag; Fachfreigabe ausstehend</x:v>
      </x:c>
      <x:c r="Q2236" s="5" t="str">
        <x:v>Bestehendes Lernthema fachlich unter passendem Rahmenplan-Unterbereich behalten</x:v>
      </x:c>
      <x:c r="R2236" s="5" t="str">
        <x:v>Nennen Sie mindestens zwei Besonderheiten eines Werkvertrags gegenüber einem Kaufvertrag.</x:v>
      </x:c>
      <x:c r="S2236" s="5" t="str">
        <x:v>364d6caa6b44dabc4329c81748ec429d1fbfc3682439b37bb3862958b118e99b</x:v>
      </x:c>
    </x:row>
    <x:row r="2237" ht="36" customHeight="1">
      <x:c r="A2237" s="5" t="str">
        <x:v>L-0261</x:v>
      </x:c>
      <x:c r="B2237" s="5" t="str">
        <x:v>HQ</x:v>
      </x:c>
      <x:c r="C2237" s="5" t="str">
        <x:v>7</x:v>
      </x:c>
      <x:c r="D2237" s="5" t="str">
        <x:v>Logistik</x:v>
      </x:c>
      <x:c r="E2237" s="5" t="str">
        <x:v>Logistik</x:v>
      </x:c>
      <x:c r="F2237" s="5" t="str">
        <x:v>ui-hq-0026</x:v>
      </x:c>
      <x:c r="G2237" s="5" t="str">
        <x:v>Spezielle Rechtsaspekte</x:v>
      </x:c>
      <x:c r="H2237" s="5" t="str">
        <x:v>dg-hq-0111</x:v>
      </x:c>
      <x:c r="I2237" s="5" t="str">
        <x:v>7.5.3</x:v>
      </x:c>
      <x:c r="J2237" s="5" t="str">
        <x:v>Zollrecht bei Im- und Export</x:v>
      </x:c>
      <x:c r="K2237" s="5" t="str"/>
      <x:c r="L2237" s="5" t="str">
        <x:v>Verträge, Lieferbedingungen &amp; Zollrecht</x:v>
      </x:c>
      <x:c r="M2237" s="5" t="n">
        <x:v>16</x:v>
      </x:c>
      <x:c r="N2237" s="5" t="n">
        <x:v>1</x:v>
      </x:c>
      <x:c r="O2237" s="5" t="str"/>
      <x:c r="P2237" s="5" t="str">
        <x:v>Zuordnungsvorschlag; Fachfreigabe ausstehend</x:v>
      </x:c>
      <x:c r="Q2237" s="5" t="str">
        <x:v>Frageinhalt präzisiert bzw. teilt bisheriges Sammelthema</x:v>
      </x:c>
      <x:c r="R2237" s="5" t="str">
        <x:v>Erläutern Sie die Funktionen von TARIC und ATLAS in der Zollabwicklung.</x:v>
      </x:c>
      <x:c r="S2237" s="5" t="str">
        <x:v>e12b39c39f6ceffca41a9dec9d72cc131e3e5cef21d3e368b98ee26a40d52cf1</x:v>
      </x:c>
    </x:row>
    <x:row r="2238" ht="36" customHeight="1">
      <x:c r="A2238" s="5" t="str">
        <x:v>L-0262</x:v>
      </x:c>
      <x:c r="B2238" s="5" t="str">
        <x:v>HQ</x:v>
      </x:c>
      <x:c r="C2238" s="5" t="str">
        <x:v>7</x:v>
      </x:c>
      <x:c r="D2238" s="5" t="str">
        <x:v>Logistik</x:v>
      </x:c>
      <x:c r="E2238" s="5" t="str">
        <x:v>Logistik</x:v>
      </x:c>
      <x:c r="F2238" s="5" t="str">
        <x:v>ui-hq-0026</x:v>
      </x:c>
      <x:c r="G2238" s="5" t="str">
        <x:v>Spezielle Rechtsaspekte</x:v>
      </x:c>
      <x:c r="H2238" s="5" t="str">
        <x:v>dg-hq-0111</x:v>
      </x:c>
      <x:c r="I2238" s="5" t="str">
        <x:v>7.5.3</x:v>
      </x:c>
      <x:c r="J2238" s="5" t="str">
        <x:v>Zollrecht bei Im- und Export</x:v>
      </x:c>
      <x:c r="K2238" s="5" t="str"/>
      <x:c r="L2238" s="5" t="str">
        <x:v>Verträge, Lieferbedingungen &amp; Zollrecht</x:v>
      </x:c>
      <x:c r="M2238" s="5" t="n">
        <x:v>17</x:v>
      </x:c>
      <x:c r="N2238" s="5" t="n">
        <x:v>2</x:v>
      </x:c>
      <x:c r="O2238" s="5" t="str"/>
      <x:c r="P2238" s="5" t="str">
        <x:v>Zuordnungsvorschlag; Fachfreigabe ausstehend</x:v>
      </x:c>
      <x:c r="Q2238" s="5" t="str">
        <x:v>Frageinhalt präzisiert bzw. teilt bisheriges Sammelthema</x:v>
      </x:c>
      <x:c r="R2238" s="5" t="str">
        <x:v>Welcher Fachbegriff bezeichnet die gegenseitige Gewährung von Zollvorteilen zwischen Staaten?</x:v>
      </x:c>
      <x:c r="S2238" s="5" t="str">
        <x:v>29583a5180cc5c22a4183cd80a6b38604150ab0e10df45377199b4b1ee249880</x:v>
      </x:c>
    </x:row>
    <x:row r="2239" ht="36" customHeight="1">
      <x:c r="A2239" s="5" t="str">
        <x:v>L-0263</x:v>
      </x:c>
      <x:c r="B2239" s="5" t="str">
        <x:v>HQ</x:v>
      </x:c>
      <x:c r="C2239" s="5" t="str">
        <x:v>7</x:v>
      </x:c>
      <x:c r="D2239" s="5" t="str">
        <x:v>Logistik</x:v>
      </x:c>
      <x:c r="E2239" s="5" t="str">
        <x:v>Logistik</x:v>
      </x:c>
      <x:c r="F2239" s="5" t="str">
        <x:v>ui-hq-0026</x:v>
      </x:c>
      <x:c r="G2239" s="5" t="str">
        <x:v>Spezielle Rechtsaspekte</x:v>
      </x:c>
      <x:c r="H2239" s="5" t="str">
        <x:v>dg-hq-0101</x:v>
      </x:c>
      <x:c r="I2239" s="5" t="str">
        <x:v>7.5.1</x:v>
      </x:c>
      <x:c r="J2239" s="5" t="str">
        <x:v>Einkaufsverträge</x:v>
      </x:c>
      <x:c r="K2239" s="5" t="str"/>
      <x:c r="L2239" s="5" t="str">
        <x:v>Verträge, Lieferbedingungen &amp; Zollrecht</x:v>
      </x:c>
      <x:c r="M2239" s="5" t="n">
        <x:v>18</x:v>
      </x:c>
      <x:c r="N2239" s="5" t="n">
        <x:v>13</x:v>
      </x:c>
      <x:c r="O2239" s="5" t="str"/>
      <x:c r="P2239" s="5" t="str">
        <x:v>Zuordnungsvorschlag; Fachfreigabe ausstehend</x:v>
      </x:c>
      <x:c r="Q2239" s="5" t="str">
        <x:v>Bestehendes Lernthema fachlich unter passendem Rahmenplan-Unterbereich behalten</x:v>
      </x:c>
      <x:c r="R2239" s="5" t="str">
        <x:v>Ordnen Sie die beiden Geschäftsvorfälle der aktiven oder passiven Veredelung zu.</x:v>
      </x:c>
      <x:c r="S2239" s="5" t="str">
        <x:v>6b93c7b8b46aea6fe16ac637c97122f064a6d1f4d90411d087b7c1466a0a4e63</x:v>
      </x:c>
    </x:row>
    <x:row r="2240" ht="36" customHeight="1">
      <x:c r="A2240" s="5" t="str">
        <x:v>L-0264</x:v>
      </x:c>
      <x:c r="B2240" s="5" t="str">
        <x:v>HQ</x:v>
      </x:c>
      <x:c r="C2240" s="5" t="str">
        <x:v>7</x:v>
      </x:c>
      <x:c r="D2240" s="5" t="str">
        <x:v>Logistik</x:v>
      </x:c>
      <x:c r="E2240" s="5" t="str">
        <x:v>Logistik</x:v>
      </x:c>
      <x:c r="F2240" s="5" t="str">
        <x:v>ui-hq-0026</x:v>
      </x:c>
      <x:c r="G2240" s="5" t="str">
        <x:v>Spezielle Rechtsaspekte</x:v>
      </x:c>
      <x:c r="H2240" s="5" t="str">
        <x:v>dg-hq-0107</x:v>
      </x:c>
      <x:c r="I2240" s="5" t="str">
        <x:v>7.5.4</x:v>
      </x:c>
      <x:c r="J2240" s="5" t="str">
        <x:v>Abfallwirtschaft</x:v>
      </x:c>
      <x:c r="K2240" s="5" t="str"/>
      <x:c r="L2240" s="5" t="str">
        <x:v>Entsorgungslogistik &amp; Rationalisierung</x:v>
      </x:c>
      <x:c r="M2240" s="5" t="n">
        <x:v>19</x:v>
      </x:c>
      <x:c r="N2240" s="5" t="n">
        <x:v>2</x:v>
      </x:c>
      <x:c r="O2240" s="5" t="str"/>
      <x:c r="P2240" s="5" t="str">
        <x:v>Zuordnungsvorschlag; Fachfreigabe ausstehend</x:v>
      </x:c>
      <x:c r="Q2240" s="5" t="str">
        <x:v>Frageinhalt präzisiert bzw. teilt bisheriges Sammelthema</x:v>
      </x:c>
      <x:c r="R2240" s="5" t="str">
        <x:v>Nennen Sie mindestens drei Verordnungen aus dem Abfallrecht, die auf Grundlage beziehungsweise im Zusammenhang mit dem Kreislaufwirtschaftsgesetz stehen.</x:v>
      </x:c>
      <x:c r="S2240" s="5" t="str">
        <x:v>859e7aa11e9cc16fb8f157e1017bde8fd3352cf00ee7013edd68d1474737fc45</x:v>
      </x:c>
    </x:row>
    <x:row r="2241" ht="36" customHeight="1">
      <x:c r="A2241" s="5" t="str">
        <x:v>L-0265</x:v>
      </x:c>
      <x:c r="B2241" s="5" t="str">
        <x:v>HQ</x:v>
      </x:c>
      <x:c r="C2241" s="5" t="str">
        <x:v>7</x:v>
      </x:c>
      <x:c r="D2241" s="5" t="str">
        <x:v>Logistik</x:v>
      </x:c>
      <x:c r="E2241" s="5" t="str">
        <x:v>Logistik</x:v>
      </x:c>
      <x:c r="F2241" s="5" t="str">
        <x:v>ui-hq-0022</x:v>
      </x:c>
      <x:c r="G2241" s="5" t="str">
        <x:v>Einkauf und Beschaffung</x:v>
      </x:c>
      <x:c r="H2241" s="5" t="str">
        <x:v>dg-hq-0097</x:v>
      </x:c>
      <x:c r="I2241" s="5" t="str">
        <x:v>7.1.3</x:v>
      </x:c>
      <x:c r="J2241" s="5" t="str">
        <x:v>Beschaffungsprozess</x:v>
      </x:c>
      <x:c r="K2241" s="5" t="str"/>
      <x:c r="L2241" s="5" t="str">
        <x:v>Bedarfsermittlung, Liefermengen &amp; Lieferzeitpunkte</x:v>
      </x:c>
      <x:c r="M2241" s="5" t="n">
        <x:v>169</x:v>
      </x:c>
      <x:c r="N2241" s="5" t="n">
        <x:v>41</x:v>
      </x:c>
      <x:c r="O2241" s="5" t="str"/>
      <x:c r="P2241" s="5" t="str">
        <x:v>Zuordnungsvorschlag; Fachfreigabe ausstehend</x:v>
      </x:c>
      <x:c r="Q2241" s="5" t="str">
        <x:v>Bestehendes Lernthema fachlich unter passendem Rahmenplan-Unterbereich behalten</x:v>
      </x:c>
      <x:c r="R2241" s="5" t="str">
        <x:v>Circle Harbor benötigt jährlich 1.500 Filter. Je Bestellung werden 250 Stück beschafft, der Sicherheitsbestand beträgt 30 Stück und die fixen Bestellkosten liegen bei 30 € je Bestellung. Ermitteln Sie a) den durchschnittlichen Lagerbestand und b) die jährlichen Bestellkosten.</x:v>
      </x:c>
      <x:c r="S2241" s="5" t="str">
        <x:v>a6e3d5871541e8de2ecc566a4b9bbad32eeeac202d8908f00702c9b588bcf35e</x:v>
      </x:c>
    </x:row>
    <x:row r="2242" ht="36" customHeight="1">
      <x:c r="A2242" s="5" t="str">
        <x:v>L-0266</x:v>
      </x:c>
      <x:c r="B2242" s="5" t="str">
        <x:v>HQ</x:v>
      </x:c>
      <x:c r="C2242" s="5" t="str">
        <x:v>7</x:v>
      </x:c>
      <x:c r="D2242" s="5" t="str">
        <x:v>Logistik</x:v>
      </x:c>
      <x:c r="E2242" s="5" t="str">
        <x:v>Logistik</x:v>
      </x:c>
      <x:c r="F2242" s="5" t="str">
        <x:v>ui-hq-0022</x:v>
      </x:c>
      <x:c r="G2242" s="5" t="str">
        <x:v>Einkauf und Beschaffung</x:v>
      </x:c>
      <x:c r="H2242" s="5" t="str">
        <x:v>dg-hq-0097</x:v>
      </x:c>
      <x:c r="I2242" s="5" t="str">
        <x:v>7.1.3</x:v>
      </x:c>
      <x:c r="J2242" s="5" t="str">
        <x:v>Beschaffungsprozess</x:v>
      </x:c>
      <x:c r="K2242" s="5" t="str"/>
      <x:c r="L2242" s="5" t="str">
        <x:v>Bedarfsermittlung, Liefermengen &amp; Lieferzeitpunkte</x:v>
      </x:c>
      <x:c r="M2242" s="5" t="n">
        <x:v>170</x:v>
      </x:c>
      <x:c r="N2242" s="5" t="n">
        <x:v>42</x:v>
      </x:c>
      <x:c r="O2242" s="5" t="str"/>
      <x:c r="P2242" s="5" t="str">
        <x:v>Zuordnungsvorschlag; Fachfreigabe ausstehend</x:v>
      </x:c>
      <x:c r="Q2242" s="5" t="str">
        <x:v>Bestehendes Lernthema fachlich unter passendem Rahmenplan-Unterbereich behalten</x:v>
      </x:c>
      <x:c r="R2242" s="5" t="str">
        <x:v>Fallbezug: Die folgenden betrieblichen Angaben und Situationen beziehen sich auf die Circle Harbor GmbH.
Für einen Jahresbedarf von 1.500 Stück gelten 30 € Bestellkosten je Bestellung, ein Einstandspreis von 25 € je Stück und ein Lagerhaltungskostensatz von 16 %. Berechnen Sie nach der Andler-Formel die optimale Bestellmenge und die optimale Bestellhäufigkeit.</x:v>
      </x:c>
      <x:c r="S2242" s="5" t="str">
        <x:v>daa3c6ccdb04ad6d22194189aa42e7a6cf3729c11f6a244f63cb261f42266e5b</x:v>
      </x:c>
    </x:row>
    <x:row r="2243" ht="36" customHeight="1">
      <x:c r="A2243" s="5" t="str">
        <x:v>L-0267</x:v>
      </x:c>
      <x:c r="B2243" s="5" t="str">
        <x:v>HQ</x:v>
      </x:c>
      <x:c r="C2243" s="5" t="str">
        <x:v>7</x:v>
      </x:c>
      <x:c r="D2243" s="5" t="str">
        <x:v>Logistik</x:v>
      </x:c>
      <x:c r="E2243" s="5" t="str">
        <x:v>Logistik</x:v>
      </x:c>
      <x:c r="F2243" s="5" t="str">
        <x:v>ui-hq-0022</x:v>
      </x:c>
      <x:c r="G2243" s="5" t="str">
        <x:v>Einkauf und Beschaffung</x:v>
      </x:c>
      <x:c r="H2243" s="5" t="str">
        <x:v>dg-hq-0097</x:v>
      </x:c>
      <x:c r="I2243" s="5" t="str">
        <x:v>7.1.3</x:v>
      </x:c>
      <x:c r="J2243" s="5" t="str">
        <x:v>Beschaffungsprozess</x:v>
      </x:c>
      <x:c r="K2243" s="5" t="str"/>
      <x:c r="L2243" s="5" t="str">
        <x:v>Bedarfsermittlung, Liefermengen &amp; Lieferzeitpunkte</x:v>
      </x:c>
      <x:c r="M2243" s="5" t="n">
        <x:v>171</x:v>
      </x:c>
      <x:c r="N2243" s="5" t="n">
        <x:v>43</x:v>
      </x:c>
      <x:c r="O2243" s="5" t="str"/>
      <x:c r="P2243" s="5" t="str">
        <x:v>Zuordnungsvorschlag; Fachfreigabe ausstehend</x:v>
      </x:c>
      <x:c r="Q2243" s="5" t="str">
        <x:v>Bestehendes Lernthema fachlich unter passendem Rahmenplan-Unterbereich behalten</x:v>
      </x:c>
      <x:c r="R2243" s="5" t="str">
        <x:v>Wie verändert sich bei sonst unveränderten Bedingungen die optimale Bestellmenge, wenn der Lagerhaltungskostensatz sinkt? Begründen Sie.</x:v>
      </x:c>
      <x:c r="S2243" s="5" t="str">
        <x:v>577b0d2cacee05ec593f96a996309247d7bff9414aa969bb3c7467384dc02868</x:v>
      </x:c>
    </x:row>
    <x:row r="2244" ht="36" customHeight="1">
      <x:c r="A2244" s="5" t="str">
        <x:v>L-0268</x:v>
      </x:c>
      <x:c r="B2244" s="5" t="str">
        <x:v>HQ</x:v>
      </x:c>
      <x:c r="C2244" s="5" t="str">
        <x:v>7</x:v>
      </x:c>
      <x:c r="D2244" s="5" t="str">
        <x:v>Logistik</x:v>
      </x:c>
      <x:c r="E2244" s="5" t="str">
        <x:v>Logistik</x:v>
      </x:c>
      <x:c r="F2244" s="5" t="str">
        <x:v>ui-hq-0022</x:v>
      </x:c>
      <x:c r="G2244" s="5" t="str">
        <x:v>Einkauf und Beschaffung</x:v>
      </x:c>
      <x:c r="H2244" s="5" t="str">
        <x:v>dg-hq-0097</x:v>
      </x:c>
      <x:c r="I2244" s="5" t="str">
        <x:v>7.1.3</x:v>
      </x:c>
      <x:c r="J2244" s="5" t="str">
        <x:v>Beschaffungsprozess</x:v>
      </x:c>
      <x:c r="K2244" s="5" t="str"/>
      <x:c r="L2244" s="5" t="str">
        <x:v>Bedarfsermittlung, Liefermengen &amp; Lieferzeitpunkte</x:v>
      </x:c>
      <x:c r="M2244" s="5" t="n">
        <x:v>172</x:v>
      </x:c>
      <x:c r="N2244" s="5" t="n">
        <x:v>44</x:v>
      </x:c>
      <x:c r="O2244" s="5" t="str"/>
      <x:c r="P2244" s="5" t="str">
        <x:v>Zuordnungsvorschlag; Fachfreigabe ausstehend</x:v>
      </x:c>
      <x:c r="Q2244" s="5" t="str">
        <x:v>Bestehendes Lernthema fachlich unter passendem Rahmenplan-Unterbereich behalten</x:v>
      </x:c>
      <x:c r="R2244" s="5" t="str">
        <x:v>Fallbezug: Die folgenden betrieblichen Angaben und Situationen beziehen sich auf die Circle Harbor GmbH.
Der aktuelle Bestand eines regelmäßig verbrauchten Artikels beträgt 190 Stück. Pro Tag werden 5 Stück benötigt, die Lieferzeit beträgt 5 Tage und der Sicherheitsbestand 30 Stück. In wie vielen Tagen muss beim Bestellpunktverfahren die nächste Bestellung ausgelöst werden?</x:v>
      </x:c>
      <x:c r="S2244" s="5" t="str">
        <x:v>e704429dfa0c81feb82058471a5adce4b3c5b2967c3bae45062c40940e8601d7</x:v>
      </x:c>
    </x:row>
    <x:row r="2245" ht="36" customHeight="1">
      <x:c r="A2245" s="5" t="str">
        <x:v>L-0269</x:v>
      </x:c>
      <x:c r="B2245" s="5" t="str">
        <x:v>HQ</x:v>
      </x:c>
      <x:c r="C2245" s="5" t="str">
        <x:v>7</x:v>
      </x:c>
      <x:c r="D2245" s="5" t="str">
        <x:v>Logistik</x:v>
      </x:c>
      <x:c r="E2245" s="5" t="str">
        <x:v>Logistik</x:v>
      </x:c>
      <x:c r="F2245" s="5" t="str">
        <x:v>ui-hq-0022</x:v>
      </x:c>
      <x:c r="G2245" s="5" t="str">
        <x:v>Einkauf und Beschaffung</x:v>
      </x:c>
      <x:c r="H2245" s="5" t="str">
        <x:v>dg-hq-0097</x:v>
      </x:c>
      <x:c r="I2245" s="5" t="str">
        <x:v>7.1.3</x:v>
      </x:c>
      <x:c r="J2245" s="5" t="str">
        <x:v>Beschaffungsprozess</x:v>
      </x:c>
      <x:c r="K2245" s="5" t="str"/>
      <x:c r="L2245" s="5" t="str">
        <x:v>Bedarfsermittlung, Liefermengen &amp; Lieferzeitpunkte</x:v>
      </x:c>
      <x:c r="M2245" s="5" t="n">
        <x:v>173</x:v>
      </x:c>
      <x:c r="N2245" s="5" t="n">
        <x:v>45</x:v>
      </x:c>
      <x:c r="O2245" s="5" t="str"/>
      <x:c r="P2245" s="5" t="str">
        <x:v>Zuordnungsvorschlag; Fachfreigabe ausstehend</x:v>
      </x:c>
      <x:c r="Q2245" s="5" t="str">
        <x:v>Bestehendes Lernthema fachlich unter passendem Rahmenplan-Unterbereich behalten</x:v>
      </x:c>
      <x:c r="R2245" s="5" t="str">
        <x:v>Fallbezug: Die folgenden betrieblichen Angaben und Situationen beziehen sich auf die Circle Harbor GmbH.
Ein Spezialgranulat wird in Bestellmengen von 1.000 kg beschafft. Der Sicherheitsbestand beträgt 360 kg. Ermitteln Sie den durchschnittlichen Lagerbestand.</x:v>
      </x:c>
      <x:c r="S2245" s="5" t="str">
        <x:v>575b62ba2c9a3237ed1e2a4548d26bb1f754a1db69b34ee57c95bb02c0210945</x:v>
      </x:c>
    </x:row>
    <x:row r="2246" ht="36" customHeight="1">
      <x:c r="A2246" s="5" t="str">
        <x:v>L-0270</x:v>
      </x:c>
      <x:c r="B2246" s="5" t="str">
        <x:v>HQ</x:v>
      </x:c>
      <x:c r="C2246" s="5" t="str">
        <x:v>7</x:v>
      </x:c>
      <x:c r="D2246" s="5" t="str">
        <x:v>Logistik</x:v>
      </x:c>
      <x:c r="E2246" s="5" t="str">
        <x:v>Logistik</x:v>
      </x:c>
      <x:c r="F2246" s="5" t="str">
        <x:v>ui-hq-0022</x:v>
      </x:c>
      <x:c r="G2246" s="5" t="str">
        <x:v>Einkauf und Beschaffung</x:v>
      </x:c>
      <x:c r="H2246" s="5" t="str">
        <x:v>dg-hq-0097</x:v>
      </x:c>
      <x:c r="I2246" s="5" t="str">
        <x:v>7.1.3</x:v>
      </x:c>
      <x:c r="J2246" s="5" t="str">
        <x:v>Beschaffungsprozess</x:v>
      </x:c>
      <x:c r="K2246" s="5" t="str"/>
      <x:c r="L2246" s="5" t="str">
        <x:v>Bedarfsermittlung, Liefermengen &amp; Lieferzeitpunkte</x:v>
      </x:c>
      <x:c r="M2246" s="5" t="n">
        <x:v>174</x:v>
      </x:c>
      <x:c r="N2246" s="5" t="n">
        <x:v>46</x:v>
      </x:c>
      <x:c r="O2246" s="5" t="str"/>
      <x:c r="P2246" s="5" t="str">
        <x:v>Zuordnungsvorschlag; Fachfreigabe ausstehend</x:v>
      </x:c>
      <x:c r="Q2246" s="5" t="str">
        <x:v>Bestehendes Lernthema fachlich unter passendem Rahmenplan-Unterbereich behalten</x:v>
      </x:c>
      <x:c r="R2246" s="5" t="str">
        <x:v>Fallbezug: Die folgenden betrieblichen Angaben und Situationen beziehen sich auf die Circle Harbor GmbH.
Ein Material hat einen gleichmäßigen Jahresbedarf von 9.000 kg bei 50 Arbeitswochen. Der aktuelle Lagerbestand beträgt 900 kg, der Sicherheitsbestand 360 kg und die Beschaffungszeit eine Woche. Nach wie vielen Wochen muss die nächste Bestellung ausgelöst werden?</x:v>
      </x:c>
      <x:c r="S2246" s="5" t="str">
        <x:v>5047ee5144c688b99937f03c88ff85b9314cbdd7e5a376e8c31bb73a6e806098</x:v>
      </x:c>
    </x:row>
    <x:row r="2247" ht="36" customHeight="1">
      <x:c r="A2247" s="5" t="str">
        <x:v>L-0271</x:v>
      </x:c>
      <x:c r="B2247" s="5" t="str">
        <x:v>HQ</x:v>
      </x:c>
      <x:c r="C2247" s="5" t="str">
        <x:v>7</x:v>
      </x:c>
      <x:c r="D2247" s="5" t="str">
        <x:v>Logistik</x:v>
      </x:c>
      <x:c r="E2247" s="5" t="str">
        <x:v>Logistik</x:v>
      </x:c>
      <x:c r="F2247" s="5" t="str">
        <x:v>ui-hq-0022</x:v>
      </x:c>
      <x:c r="G2247" s="5" t="str">
        <x:v>Einkauf und Beschaffung</x:v>
      </x:c>
      <x:c r="H2247" s="5" t="str">
        <x:v>dg-hq-0097</x:v>
      </x:c>
      <x:c r="I2247" s="5" t="str">
        <x:v>7.1.3</x:v>
      </x:c>
      <x:c r="J2247" s="5" t="str">
        <x:v>Beschaffungsprozess</x:v>
      </x:c>
      <x:c r="K2247" s="5" t="str"/>
      <x:c r="L2247" s="5" t="str">
        <x:v>Bedarfsermittlung, Liefermengen &amp; Lieferzeitpunkte</x:v>
      </x:c>
      <x:c r="M2247" s="5" t="n">
        <x:v>175</x:v>
      </x:c>
      <x:c r="N2247" s="5" t="n">
        <x:v>47</x:v>
      </x:c>
      <x:c r="O2247" s="5" t="str"/>
      <x:c r="P2247" s="5" t="str">
        <x:v>Zuordnungsvorschlag; Fachfreigabe ausstehend</x:v>
      </x:c>
      <x:c r="Q2247" s="5" t="str">
        <x:v>Bestehendes Lernthema fachlich unter passendem Rahmenplan-Unterbereich behalten</x:v>
      </x:c>
      <x:c r="R2247" s="5" t="str">
        <x:v>Fallbezug: Die folgenden betrieblichen Angaben und Situationen beziehen sich auf die Circle Harbor GmbH.
Für ein Material gelten: Jahresbedarf 9.000 kg, Bestellkosten 90 € je Bestellung, Einstandspreis 22,50 € je kg und Lagerhaltungskostensatz 20 %. Berechnen Sie die optimale Bestellmenge nach Andler.</x:v>
      </x:c>
      <x:c r="S2247" s="5" t="str">
        <x:v>3859164766b010a0fa53cc5e8d2b0dc2fe13cfe85de95d2e285bab60115e9513</x:v>
      </x:c>
    </x:row>
    <x:row r="2248" ht="36" customHeight="1">
      <x:c r="A2248" s="5" t="str">
        <x:v>L-0272</x:v>
      </x:c>
      <x:c r="B2248" s="5" t="str">
        <x:v>HQ</x:v>
      </x:c>
      <x:c r="C2248" s="5" t="str">
        <x:v>7</x:v>
      </x:c>
      <x:c r="D2248" s="5" t="str">
        <x:v>Logistik</x:v>
      </x:c>
      <x:c r="E2248" s="5" t="str">
        <x:v>Logistik</x:v>
      </x:c>
      <x:c r="F2248" s="5" t="str">
        <x:v>ui-hq-0022</x:v>
      </x:c>
      <x:c r="G2248" s="5" t="str">
        <x:v>Einkauf und Beschaffung</x:v>
      </x:c>
      <x:c r="H2248" s="5" t="str">
        <x:v>dg-hq-0097</x:v>
      </x:c>
      <x:c r="I2248" s="5" t="str">
        <x:v>7.1.3</x:v>
      </x:c>
      <x:c r="J2248" s="5" t="str">
        <x:v>Beschaffungsprozess</x:v>
      </x:c>
      <x:c r="K2248" s="5" t="str"/>
      <x:c r="L2248" s="5" t="str">
        <x:v>Bedarfsermittlung, Liefermengen &amp; Lieferzeitpunkte</x:v>
      </x:c>
      <x:c r="M2248" s="5" t="n">
        <x:v>176</x:v>
      </x:c>
      <x:c r="N2248" s="5" t="n">
        <x:v>48</x:v>
      </x:c>
      <x:c r="O2248" s="5" t="str"/>
      <x:c r="P2248" s="5" t="str">
        <x:v>Zuordnungsvorschlag; Fachfreigabe ausstehend</x:v>
      </x:c>
      <x:c r="Q2248" s="5" t="str">
        <x:v>Bestehendes Lernthema fachlich unter passendem Rahmenplan-Unterbereich behalten</x:v>
      </x:c>
      <x:c r="R2248" s="5" t="str">
        <x:v>Welche Auswirkung hat ein steigender Zinssatz bei sonst gleichen Bedingungen auf die optimale Bestellmenge? Begründen Sie betriebswirtschaftlich.</x:v>
      </x:c>
      <x:c r="S2248" s="5" t="str">
        <x:v>dede8548f2288bbd33056e445f3679d5d95a0d75b1bac5e6480d9001dd69c32c</x:v>
      </x:c>
    </x:row>
    <x:row r="2249" ht="36" customHeight="1">
      <x:c r="A2249" s="5" t="str">
        <x:v>L-0273</x:v>
      </x:c>
      <x:c r="B2249" s="5" t="str">
        <x:v>HQ</x:v>
      </x:c>
      <x:c r="C2249" s="5" t="str">
        <x:v>7</x:v>
      </x:c>
      <x:c r="D2249" s="5" t="str">
        <x:v>Logistik</x:v>
      </x:c>
      <x:c r="E2249" s="5" t="str">
        <x:v>Logistik</x:v>
      </x:c>
      <x:c r="F2249" s="5" t="str">
        <x:v>ui-hq-0022</x:v>
      </x:c>
      <x:c r="G2249" s="5" t="str">
        <x:v>Einkauf und Beschaffung</x:v>
      </x:c>
      <x:c r="H2249" s="5" t="str">
        <x:v>dg-hq-0097</x:v>
      </x:c>
      <x:c r="I2249" s="5" t="str">
        <x:v>7.1.3</x:v>
      </x:c>
      <x:c r="J2249" s="5" t="str">
        <x:v>Beschaffungsprozess</x:v>
      </x:c>
      <x:c r="K2249" s="5" t="str"/>
      <x:c r="L2249" s="5" t="str">
        <x:v>Bedarfsermittlung, Liefermengen &amp; Lieferzeitpunkte</x:v>
      </x:c>
      <x:c r="M2249" s="5" t="n">
        <x:v>177</x:v>
      </x:c>
      <x:c r="N2249" s="5" t="n">
        <x:v>49</x:v>
      </x:c>
      <x:c r="O2249" s="5" t="str"/>
      <x:c r="P2249" s="5" t="str">
        <x:v>Zuordnungsvorschlag; Fachfreigabe ausstehend</x:v>
      </x:c>
      <x:c r="Q2249" s="5" t="str">
        <x:v>Bestehendes Lernthema fachlich unter passendem Rahmenplan-Unterbereich behalten</x:v>
      </x:c>
      <x:c r="R2249" s="5" t="str">
        <x:v>Circle Harbor beschafft jährlich 9.000 kg eines Materials. Bestellkosten: 90 € je Bestellung; Einstandspreis: 22,50 €/kg; Lagerhaltungskostensatz: 20 %. Bisher werden 1.000 kg je Bestellung bei 360 kg Sicherheitsbestand verwendet. Künftig sollen 600 kg je Bestellung und 180 kg Sicherheitsbestand gelten. Ermitteln Sie die prozentuale Einsparung aus Bestell- und Lagerhaltungskosten.</x:v>
      </x:c>
      <x:c r="S2249" s="5" t="str">
        <x:v>ad896435bb877e3c1b2d0e69d319c8e9fd5d735ed6620efd3b57289570ee6873</x:v>
      </x:c>
    </x:row>
    <x:row r="2250" ht="36" customHeight="1">
      <x:c r="A2250" s="5" t="str">
        <x:v>L-0274</x:v>
      </x:c>
      <x:c r="B2250" s="5" t="str">
        <x:v>HQ</x:v>
      </x:c>
      <x:c r="C2250" s="5" t="str">
        <x:v>7</x:v>
      </x:c>
      <x:c r="D2250" s="5" t="str">
        <x:v>Logistik</x:v>
      </x:c>
      <x:c r="E2250" s="5" t="str">
        <x:v>Logistik</x:v>
      </x:c>
      <x:c r="F2250" s="5" t="str">
        <x:v>ui-hq-0024</x:v>
      </x:c>
      <x:c r="G2250" s="5" t="str">
        <x:v>Wertschöpfungskette</x:v>
      </x:c>
      <x:c r="H2250" s="5" t="str">
        <x:v>dg-hq-0106</x:v>
      </x:c>
      <x:c r="I2250" s="5" t="str">
        <x:v>7.3.5</x:v>
      </x:c>
      <x:c r="J2250" s="5" t="str">
        <x:v>Verladung</x:v>
      </x:c>
      <x:c r="K2250" s="5" t="str"/>
      <x:c r="L2250" s="5" t="str">
        <x:v>Externe Transportsysteme, Verpackung &amp; Distribution</x:v>
      </x:c>
      <x:c r="M2250" s="5" t="n">
        <x:v>37</x:v>
      </x:c>
      <x:c r="N2250" s="5" t="n">
        <x:v>2</x:v>
      </x:c>
      <x:c r="O2250" s="5" t="str"/>
      <x:c r="P2250" s="5" t="str">
        <x:v>Zuordnungsvorschlag; Fachfreigabe ausstehend</x:v>
      </x:c>
      <x:c r="Q2250" s="5" t="str">
        <x:v>Frageinhalt präzisiert bzw. teilt bisheriges Sammelthema</x:v>
      </x:c>
      <x:c r="R2250" s="5" t="str">
        <x:v>Fallbezug: Die folgenden betrieblichen Angaben und Situationen beziehen sich auf die Circle Harbor GmbH.
Bei einer Straßenbeförderung steht auf dem Warenbegleitpapier, der Fahrer sei für Beladung und Ladungssicherung allein verantwortlich. Beurteilen Sie diese Aussage und erläutern Sie die Verantwortlichkeiten bei einer ordnungsgemäßen Verladung.</x:v>
      </x:c>
      <x:c r="S2250" s="5" t="str">
        <x:v>913ad8970f100fcc817228a4d3b88edaa1040ab3cdbb7cbfc5ef53336e7a922d</x:v>
      </x:c>
    </x:row>
    <x:row r="2251" ht="36" customHeight="1">
      <x:c r="A2251" s="5" t="str">
        <x:v>L-0275</x:v>
      </x:c>
      <x:c r="B2251" s="5" t="str">
        <x:v>HQ</x:v>
      </x:c>
      <x:c r="C2251" s="5" t="str">
        <x:v>7</x:v>
      </x:c>
      <x:c r="D2251" s="5" t="str">
        <x:v>Logistik</x:v>
      </x:c>
      <x:c r="E2251" s="5" t="str">
        <x:v>Logistik</x:v>
      </x:c>
      <x:c r="F2251" s="5" t="str">
        <x:v>ui-hq-0024</x:v>
      </x:c>
      <x:c r="G2251" s="5" t="str">
        <x:v>Wertschöpfungskette</x:v>
      </x:c>
      <x:c r="H2251" s="5" t="str">
        <x:v>dg-hq-0102</x:v>
      </x:c>
      <x:c r="I2251" s="5" t="str">
        <x:v>7.3.6</x:v>
      </x:c>
      <x:c r="J2251" s="5" t="str">
        <x:v>Entsorgung</x:v>
      </x:c>
      <x:c r="K2251" s="5" t="str"/>
      <x:c r="L2251" s="5" t="str">
        <x:v>Entsorgungslogistik &amp; Rationalisierung</x:v>
      </x:c>
      <x:c r="M2251" s="5" t="n">
        <x:v>38</x:v>
      </x:c>
      <x:c r="N2251" s="5" t="n">
        <x:v>6</x:v>
      </x:c>
      <x:c r="O2251" s="5" t="str"/>
      <x:c r="P2251" s="5" t="str">
        <x:v>Zuordnungsvorschlag; Fachfreigabe ausstehend</x:v>
      </x:c>
      <x:c r="Q2251" s="5" t="str">
        <x:v>Bestehendes Lernthema fachlich unter passendem Rahmenplan-Unterbereich behalten</x:v>
      </x:c>
      <x:c r="R2251" s="5" t="str">
        <x:v>Fallbezug: Die folgenden betrieblichen Angaben und Situationen beziehen sich auf die Circle Harbor GmbH.
Ein Produktionsbereich soll mithilfe einer Wertstromanalyse untersucht werden. Erläutern Sie das grundlegende Ziel der Methode und beschreiben Sie zwei typische Vorgehensschritte.</x:v>
      </x:c>
      <x:c r="S2251" s="5" t="str">
        <x:v>c1c0a8490e768bfd5b44e72a7005126fdd716cbedb5c7a8962490a07f24a8901</x:v>
      </x:c>
    </x:row>
    <x:row r="2252" ht="36" customHeight="1">
      <x:c r="A2252" s="5" t="str">
        <x:v>L-0276</x:v>
      </x:c>
      <x:c r="B2252" s="5" t="str">
        <x:v>HQ</x:v>
      </x:c>
      <x:c r="C2252" s="5" t="str">
        <x:v>7</x:v>
      </x:c>
      <x:c r="D2252" s="5" t="str">
        <x:v>Logistik</x:v>
      </x:c>
      <x:c r="E2252" s="5" t="str">
        <x:v>Logistik</x:v>
      </x:c>
      <x:c r="F2252" s="5" t="str">
        <x:v>ui-hq-0022</x:v>
      </x:c>
      <x:c r="G2252" s="5" t="str">
        <x:v>Einkauf und Beschaffung</x:v>
      </x:c>
      <x:c r="H2252" s="5" t="str">
        <x:v>dg-hq-0091</x:v>
      </x:c>
      <x:c r="I2252" s="5" t="str">
        <x:v>7.1.1</x:v>
      </x:c>
      <x:c r="J2252" s="5" t="str">
        <x:v>Grundlagen der Logistik</x:v>
      </x:c>
      <x:c r="K2252" s="5" t="str"/>
      <x:c r="L2252" s="5" t="str">
        <x:v>Logistikgrundlagen, Wertschöpfungskette &amp; SCM</x:v>
      </x:c>
      <x:c r="M2252" s="5" t="n">
        <x:v>178</x:v>
      </x:c>
      <x:c r="N2252" s="5" t="n">
        <x:v>40</x:v>
      </x:c>
      <x:c r="O2252" s="5" t="str"/>
      <x:c r="P2252" s="5" t="str">
        <x:v>Zuordnungsvorschlag; Fachfreigabe ausstehend</x:v>
      </x:c>
      <x:c r="Q2252" s="5" t="str">
        <x:v>Bestehendes Lernthema fachlich unter passendem Rahmenplan-Unterbereich behalten</x:v>
      </x:c>
      <x:c r="R2252" s="5" t="str">
        <x:v>Erläutern Sie das Zusammenspiel von Materialfluss, vorauseilendem Informationsfluss und begleitendem Informationsfluss. Warum gilt die Logistik dabei als Querschnittsfunktion?</x:v>
      </x:c>
      <x:c r="S2252" s="5" t="str">
        <x:v>6726d239ffc7c2e093a0e1d771c43ba7ddb915050b02d2be88a3178eb3fce037</x:v>
      </x:c>
    </x:row>
    <x:row r="2253" ht="36" customHeight="1">
      <x:c r="A2253" s="5" t="str">
        <x:v>L-0277</x:v>
      </x:c>
      <x:c r="B2253" s="5" t="str">
        <x:v>HQ</x:v>
      </x:c>
      <x:c r="C2253" s="5" t="str">
        <x:v>7</x:v>
      </x:c>
      <x:c r="D2253" s="5" t="str">
        <x:v>Logistik</x:v>
      </x:c>
      <x:c r="E2253" s="5" t="str">
        <x:v>Logistik</x:v>
      </x:c>
      <x:c r="F2253" s="5" t="str">
        <x:v>ui-hq-0022</x:v>
      </x:c>
      <x:c r="G2253" s="5" t="str">
        <x:v>Einkauf und Beschaffung</x:v>
      </x:c>
      <x:c r="H2253" s="5" t="str">
        <x:v>dg-hq-0091</x:v>
      </x:c>
      <x:c r="I2253" s="5" t="str">
        <x:v>7.1.1</x:v>
      </x:c>
      <x:c r="J2253" s="5" t="str">
        <x:v>Grundlagen der Logistik</x:v>
      </x:c>
      <x:c r="K2253" s="5" t="str"/>
      <x:c r="L2253" s="5" t="str">
        <x:v>Logistikgrundlagen, Wertschöpfungskette &amp; SCM</x:v>
      </x:c>
      <x:c r="M2253" s="5" t="n">
        <x:v>179</x:v>
      </x:c>
      <x:c r="N2253" s="5" t="n">
        <x:v>41</x:v>
      </x:c>
      <x:c r="O2253" s="5" t="str"/>
      <x:c r="P2253" s="5" t="str">
        <x:v>Zuordnungsvorschlag; Fachfreigabe ausstehend</x:v>
      </x:c>
      <x:c r="Q2253" s="5" t="str">
        <x:v>Bestehendes Lernthema fachlich unter passendem Rahmenplan-Unterbereich behalten</x:v>
      </x:c>
      <x:c r="R2253" s="5" t="str">
        <x:v>In der Lieferkette von Circle Harbor schwanken die Bestellungen der Vorlieferanten wesentlich stärker als die tatsächlichen Kundenverkäufe. Erläutern Sie den Bullwhip-Effekt, nennen Sie Ursachen und geeignete Gegenmaßnahmen.</x:v>
      </x:c>
      <x:c r="S2253" s="5" t="str">
        <x:v>1f6725718f77d53b0d434e7a4ae4a2bbd9492146b0fe2febec5dc03fd641ef80</x:v>
      </x:c>
    </x:row>
    <x:row r="2254" ht="36" customHeight="1">
      <x:c r="A2254" s="5" t="str">
        <x:v>L-0278</x:v>
      </x:c>
      <x:c r="B2254" s="5" t="str">
        <x:v>HQ</x:v>
      </x:c>
      <x:c r="C2254" s="5" t="str">
        <x:v>7</x:v>
      </x:c>
      <x:c r="D2254" s="5" t="str">
        <x:v>Logistik</x:v>
      </x:c>
      <x:c r="E2254" s="5" t="str">
        <x:v>Logistik</x:v>
      </x:c>
      <x:c r="F2254" s="5" t="str">
        <x:v>ui-hq-0022</x:v>
      </x:c>
      <x:c r="G2254" s="5" t="str">
        <x:v>Einkauf und Beschaffung</x:v>
      </x:c>
      <x:c r="H2254" s="5" t="str">
        <x:v>dg-hq-0094</x:v>
      </x:c>
      <x:c r="I2254" s="5" t="str">
        <x:v>7.1.2.1#2</x:v>
      </x:c>
      <x:c r="J2254" s="5" t="str">
        <x:v>Angebot</x:v>
      </x:c>
      <x:c r="K2254" s="5" t="str"/>
      <x:c r="L2254" s="5" t="str">
        <x:v>Einkaufsorganisation &amp; Beschaffungsprozess</x:v>
      </x:c>
      <x:c r="M2254" s="5" t="n">
        <x:v>180</x:v>
      </x:c>
      <x:c r="N2254" s="5" t="n">
        <x:v>31</x:v>
      </x:c>
      <x:c r="O2254" s="5" t="str"/>
      <x:c r="P2254" s="5" t="str">
        <x:v>Zuordnungsvorschlag; Fachfreigabe ausstehend</x:v>
      </x:c>
      <x:c r="Q2254" s="5" t="str">
        <x:v>Bestehendes Lernthema fachlich unter passendem Rahmenplan-Unterbereich behalten</x:v>
      </x:c>
      <x:c r="R2254" s="5" t="str">
        <x:v>Grenzen Sie die formelle von der materiellen Angebotsprüfung ab und nennen Sie typische Prüfkriterien.</x:v>
      </x:c>
      <x:c r="S2254" s="5" t="str">
        <x:v>1ab9fca4bb8cc1212d1db59fa8bfd94ffbf58a418981d5a213711ed1abaf24cc</x:v>
      </x:c>
    </x:row>
    <x:row r="2255" ht="36" customHeight="1">
      <x:c r="A2255" s="5" t="str">
        <x:v>L-0279</x:v>
      </x:c>
      <x:c r="B2255" s="5" t="str">
        <x:v>HQ</x:v>
      </x:c>
      <x:c r="C2255" s="5" t="str">
        <x:v>7</x:v>
      </x:c>
      <x:c r="D2255" s="5" t="str">
        <x:v>Logistik</x:v>
      </x:c>
      <x:c r="E2255" s="5" t="str">
        <x:v>Logistik</x:v>
      </x:c>
      <x:c r="F2255" s="5" t="str">
        <x:v>ui-hq-0022</x:v>
      </x:c>
      <x:c r="G2255" s="5" t="str">
        <x:v>Einkauf und Beschaffung</x:v>
      </x:c>
      <x:c r="H2255" s="5" t="str">
        <x:v>dg-hq-0094</x:v>
      </x:c>
      <x:c r="I2255" s="5" t="str">
        <x:v>7.1.2.1#3</x:v>
      </x:c>
      <x:c r="J2255" s="5" t="str">
        <x:v>Bestellung</x:v>
      </x:c>
      <x:c r="K2255" s="5" t="str"/>
      <x:c r="L2255" s="5" t="str">
        <x:v>Einkaufsorganisation &amp; Beschaffungsprozess</x:v>
      </x:c>
      <x:c r="M2255" s="5" t="n">
        <x:v>181</x:v>
      </x:c>
      <x:c r="N2255" s="5" t="n">
        <x:v>32</x:v>
      </x:c>
      <x:c r="O2255" s="5" t="str"/>
      <x:c r="P2255" s="5" t="str">
        <x:v>Zuordnungsvorschlag; Fachfreigabe ausstehend</x:v>
      </x:c>
      <x:c r="Q2255" s="5" t="str">
        <x:v>Bestehendes Lernthema fachlich unter passendem Rahmenplan-Unterbereich behalten</x:v>
      </x:c>
      <x:c r="R2255" s="5" t="str">
        <x:v>Welche Aufgaben gehören nach der Bestellung zur Bestellverfolgung und zur Rechnungsprüfung?</x:v>
      </x:c>
      <x:c r="S2255" s="5" t="str">
        <x:v>65a9673f1fe46cc686240a8e10773ebea2ef3b965722b3898b6d7c84f5f9827f</x:v>
      </x:c>
    </x:row>
    <x:row r="2256" ht="36" customHeight="1">
      <x:c r="A2256" s="5" t="str">
        <x:v>L-0280</x:v>
      </x:c>
      <x:c r="B2256" s="5" t="str">
        <x:v>HQ</x:v>
      </x:c>
      <x:c r="C2256" s="5" t="str">
        <x:v>7</x:v>
      </x:c>
      <x:c r="D2256" s="5" t="str">
        <x:v>Logistik</x:v>
      </x:c>
      <x:c r="E2256" s="5" t="str">
        <x:v>Logistik</x:v>
      </x:c>
      <x:c r="F2256" s="5" t="str">
        <x:v>ui-hq-0022</x:v>
      </x:c>
      <x:c r="G2256" s="5" t="str">
        <x:v>Einkauf und Beschaffung</x:v>
      </x:c>
      <x:c r="H2256" s="5" t="str">
        <x:v>dg-hq-0095</x:v>
      </x:c>
      <x:c r="I2256" s="5" t="str">
        <x:v>7.1.2.3</x:v>
      </x:c>
      <x:c r="J2256" s="5" t="str">
        <x:v>Lieferantenmanagement</x:v>
      </x:c>
      <x:c r="K2256" s="5" t="str"/>
      <x:c r="L2256" s="5" t="str">
        <x:v>Sourcing &amp; Lieferantenmanagement</x:v>
      </x:c>
      <x:c r="M2256" s="5" t="n">
        <x:v>182</x:v>
      </x:c>
      <x:c r="N2256" s="5" t="n">
        <x:v>32</x:v>
      </x:c>
      <x:c r="O2256" s="5" t="str"/>
      <x:c r="P2256" s="5" t="str">
        <x:v>Zuordnungsvorschlag; Fachfreigabe ausstehend</x:v>
      </x:c>
      <x:c r="Q2256" s="5" t="str">
        <x:v>Bestehendes Lernthema fachlich unter passendem Rahmenplan-Unterbereich behalten</x:v>
      </x:c>
      <x:c r="R2256" s="5" t="str">
        <x:v>Grenzen Sie Lieferantenbewertung und Lieferantenaudit voneinander ab. Welche Ziele und Schritte hat ein Lieferantenaudit?</x:v>
      </x:c>
      <x:c r="S2256" s="5" t="str">
        <x:v>0ba09937bbc2970dc39347f11fe50b783591913d770def582fd470227644b1c3</x:v>
      </x:c>
    </x:row>
    <x:row r="2257" ht="36" customHeight="1">
      <x:c r="A2257" s="5" t="str">
        <x:v>L-0281</x:v>
      </x:c>
      <x:c r="B2257" s="5" t="str">
        <x:v>HQ</x:v>
      </x:c>
      <x:c r="C2257" s="5" t="str">
        <x:v>7</x:v>
      </x:c>
      <x:c r="D2257" s="5" t="str">
        <x:v>Logistik</x:v>
      </x:c>
      <x:c r="E2257" s="5" t="str">
        <x:v>Logistik</x:v>
      </x:c>
      <x:c r="F2257" s="5" t="str">
        <x:v>ui-hq-0022</x:v>
      </x:c>
      <x:c r="G2257" s="5" t="str">
        <x:v>Einkauf und Beschaffung</x:v>
      </x:c>
      <x:c r="H2257" s="5" t="str">
        <x:v>dg-hq-0095</x:v>
      </x:c>
      <x:c r="I2257" s="5" t="str">
        <x:v>7.1.2.3</x:v>
      </x:c>
      <x:c r="J2257" s="5" t="str">
        <x:v>Lieferantenmanagement</x:v>
      </x:c>
      <x:c r="K2257" s="5" t="str"/>
      <x:c r="L2257" s="5" t="str">
        <x:v>Sourcing &amp; Lieferantenmanagement</x:v>
      </x:c>
      <x:c r="M2257" s="5" t="n">
        <x:v>183</x:v>
      </x:c>
      <x:c r="N2257" s="5" t="n">
        <x:v>33</x:v>
      </x:c>
      <x:c r="O2257" s="5" t="str"/>
      <x:c r="P2257" s="5" t="str">
        <x:v>Zuordnungsvorschlag; Fachfreigabe ausstehend</x:v>
      </x:c>
      <x:c r="Q2257" s="5" t="str">
        <x:v>Bestehendes Lernthema fachlich unter passendem Rahmenplan-Unterbereich behalten</x:v>
      </x:c>
      <x:c r="R2257" s="5" t="str">
        <x:v>Wie kann Circle Harbor einen grundsätzlich geeigneten, aber noch nicht ausreichend leistungsfähigen Lieferanten systematisch entwickeln?</x:v>
      </x:c>
      <x:c r="S2257" s="5" t="str">
        <x:v>b97ae822078fffc6d4c2ba0ab9c56fac2bdbe058c1d860153ed6ffe01629d6bc</x:v>
      </x:c>
    </x:row>
    <x:row r="2258" ht="36" customHeight="1">
      <x:c r="A2258" s="5" t="str">
        <x:v>L-0282</x:v>
      </x:c>
      <x:c r="B2258" s="5" t="str">
        <x:v>HQ</x:v>
      </x:c>
      <x:c r="C2258" s="5" t="str">
        <x:v>7</x:v>
      </x:c>
      <x:c r="D2258" s="5" t="str">
        <x:v>Logistik</x:v>
      </x:c>
      <x:c r="E2258" s="5" t="str">
        <x:v>Logistik</x:v>
      </x:c>
      <x:c r="F2258" s="5" t="str">
        <x:v>ui-hq-0022</x:v>
      </x:c>
      <x:c r="G2258" s="5" t="str">
        <x:v>Einkauf und Beschaffung</x:v>
      </x:c>
      <x:c r="H2258" s="5" t="str">
        <x:v>dg-hq-0092</x:v>
      </x:c>
      <x:c r="I2258" s="5" t="str">
        <x:v>7.1.2.4</x:v>
      </x:c>
      <x:c r="J2258" s="5" t="str">
        <x:v>Analysetechniken</x:v>
      </x:c>
      <x:c r="K2258" s="5" t="str"/>
      <x:c r="L2258" s="5" t="str">
        <x:v>Analysetechniken &amp; Beschaffungsstrategien</x:v>
      </x:c>
      <x:c r="M2258" s="5" t="n">
        <x:v>184</x:v>
      </x:c>
      <x:c r="N2258" s="5" t="n">
        <x:v>29</x:v>
      </x:c>
      <x:c r="O2258" s="5" t="str"/>
      <x:c r="P2258" s="5" t="str">
        <x:v>Zuordnungsvorschlag; Fachfreigabe ausstehend</x:v>
      </x:c>
      <x:c r="Q2258" s="5" t="str">
        <x:v>Bestehendes Lernthema fachlich unter passendem Rahmenplan-Unterbereich behalten</x:v>
      </x:c>
      <x:c r="R2258" s="5" t="str">
        <x:v>Erläutern Sie die RSU-Analyse und ihren Zusammenhang mit der XYZ-Analyse.</x:v>
      </x:c>
      <x:c r="S2258" s="5" t="str">
        <x:v>b83b8d4ef65b644c7486b9163192ea3bd709f4d604056733b7ca4176c642564b</x:v>
      </x:c>
    </x:row>
    <x:row r="2259" ht="36" customHeight="1">
      <x:c r="A2259" s="5" t="str">
        <x:v>L-0283</x:v>
      </x:c>
      <x:c r="B2259" s="5" t="str">
        <x:v>HQ</x:v>
      </x:c>
      <x:c r="C2259" s="5" t="str">
        <x:v>7</x:v>
      </x:c>
      <x:c r="D2259" s="5" t="str">
        <x:v>Logistik</x:v>
      </x:c>
      <x:c r="E2259" s="5" t="str">
        <x:v>Logistik</x:v>
      </x:c>
      <x:c r="F2259" s="5" t="str">
        <x:v>ui-hq-0022</x:v>
      </x:c>
      <x:c r="G2259" s="5" t="str">
        <x:v>Einkauf und Beschaffung</x:v>
      </x:c>
      <x:c r="H2259" s="5" t="str">
        <x:v>dg-hq-0092</x:v>
      </x:c>
      <x:c r="I2259" s="5" t="str">
        <x:v>7.1.2.4</x:v>
      </x:c>
      <x:c r="J2259" s="5" t="str">
        <x:v>Analysetechniken</x:v>
      </x:c>
      <x:c r="K2259" s="5" t="str"/>
      <x:c r="L2259" s="5" t="str">
        <x:v>Analysetechniken &amp; Beschaffungsstrategien</x:v>
      </x:c>
      <x:c r="M2259" s="5" t="n">
        <x:v>185</x:v>
      </x:c>
      <x:c r="N2259" s="5" t="n">
        <x:v>30</x:v>
      </x:c>
      <x:c r="O2259" s="5" t="str"/>
      <x:c r="P2259" s="5" t="str">
        <x:v>Zuordnungsvorschlag; Fachfreigabe ausstehend</x:v>
      </x:c>
      <x:c r="Q2259" s="5" t="str">
        <x:v>Bestehendes Lernthema fachlich unter passendem Rahmenplan-Unterbereich behalten</x:v>
      </x:c>
      <x:c r="R2259" s="5" t="str">
        <x:v>Welches Ziel verfolgt die Wertanalyse und welche Bedeutung haben Funktionsanalyse und Kostenanalyse?</x:v>
      </x:c>
      <x:c r="S2259" s="5" t="str">
        <x:v>a9b8dad15d965803471a046b3c91f5af46e620c103015734c7fa2ca433d40d1f</x:v>
      </x:c>
    </x:row>
    <x:row r="2260" ht="36" customHeight="1">
      <x:c r="A2260" s="5" t="str">
        <x:v>L-0284</x:v>
      </x:c>
      <x:c r="B2260" s="5" t="str">
        <x:v>HQ</x:v>
      </x:c>
      <x:c r="C2260" s="5" t="str">
        <x:v>7</x:v>
      </x:c>
      <x:c r="D2260" s="5" t="str">
        <x:v>Logistik</x:v>
      </x:c>
      <x:c r="E2260" s="5" t="str">
        <x:v>Logistik</x:v>
      </x:c>
      <x:c r="F2260" s="5" t="str">
        <x:v>ui-hq-0022</x:v>
      </x:c>
      <x:c r="G2260" s="5" t="str">
        <x:v>Einkauf und Beschaffung</x:v>
      </x:c>
      <x:c r="H2260" s="5" t="str">
        <x:v>dg-hq-0097</x:v>
      </x:c>
      <x:c r="I2260" s="5" t="str">
        <x:v>7.1.3</x:v>
      </x:c>
      <x:c r="J2260" s="5" t="str">
        <x:v>Beschaffungsprozess</x:v>
      </x:c>
      <x:c r="K2260" s="5" t="str"/>
      <x:c r="L2260" s="5" t="str">
        <x:v>Bedarfsermittlung, Liefermengen &amp; Lieferzeitpunkte</x:v>
      </x:c>
      <x:c r="M2260" s="5" t="n">
        <x:v>186</x:v>
      </x:c>
      <x:c r="N2260" s="5" t="n">
        <x:v>50</x:v>
      </x:c>
      <x:c r="O2260" s="5" t="str"/>
      <x:c r="P2260" s="5" t="str">
        <x:v>Zuordnungsvorschlag; Fachfreigabe ausstehend</x:v>
      </x:c>
      <x:c r="Q2260" s="5" t="str">
        <x:v>Bestehendes Lernthema fachlich unter passendem Rahmenplan-Unterbereich behalten</x:v>
      </x:c>
      <x:c r="R2260" s="5" t="str">
        <x:v>Wann werden Regressionsanalyse und heuristische Schätzung bei der Bedarfsermittlung eingesetzt? Nennen Sie jeweils Chancen und Grenzen.</x:v>
      </x:c>
      <x:c r="S2260" s="5" t="str">
        <x:v>b5a92df0aeb8f8d71a2da0b99a7cf0a19fe6c6e0cbdf42a8ce895c8125cdd476</x:v>
      </x:c>
    </x:row>
    <x:row r="2261" ht="36" customHeight="1">
      <x:c r="A2261" s="5" t="str">
        <x:v>L-0285</x:v>
      </x:c>
      <x:c r="B2261" s="5" t="str">
        <x:v>HQ</x:v>
      </x:c>
      <x:c r="C2261" s="5" t="str">
        <x:v>7</x:v>
      </x:c>
      <x:c r="D2261" s="5" t="str">
        <x:v>Logistik</x:v>
      </x:c>
      <x:c r="E2261" s="5" t="str">
        <x:v>Logistik</x:v>
      </x:c>
      <x:c r="F2261" s="5" t="str">
        <x:v>ui-hq-0022</x:v>
      </x:c>
      <x:c r="G2261" s="5" t="str">
        <x:v>Einkauf und Beschaffung</x:v>
      </x:c>
      <x:c r="H2261" s="5" t="str">
        <x:v>dg-hq-0097</x:v>
      </x:c>
      <x:c r="I2261" s="5" t="str">
        <x:v>7.1.3</x:v>
      </x:c>
      <x:c r="J2261" s="5" t="str">
        <x:v>Beschaffungsprozess</x:v>
      </x:c>
      <x:c r="K2261" s="5" t="str"/>
      <x:c r="L2261" s="5" t="str">
        <x:v>Bedarfsermittlung, Liefermengen &amp; Lieferzeitpunkte</x:v>
      </x:c>
      <x:c r="M2261" s="5" t="n">
        <x:v>187</x:v>
      </x:c>
      <x:c r="N2261" s="5" t="n">
        <x:v>51</x:v>
      </x:c>
      <x:c r="O2261" s="5" t="str"/>
      <x:c r="P2261" s="5" t="str">
        <x:v>Zuordnungsvorschlag; Fachfreigabe ausstehend</x:v>
      </x:c>
      <x:c r="Q2261" s="5" t="str">
        <x:v>Bestehendes Lernthema fachlich unter passendem Rahmenplan-Unterbereich behalten</x:v>
      </x:c>
      <x:c r="R2261" s="5" t="str">
        <x:v>Unter welchen Voraussetzungen liefert die Andler-Formel eine sinnvolle optimale Bestellmenge und wodurch wird ihre praktische Aussagekraft eingeschränkt?</x:v>
      </x:c>
      <x:c r="S2261" s="5" t="str">
        <x:v>e2de3a212dcb5480ef883f18d46f5f2d105c2bfe2b56a3c8619ddb010b789b15</x:v>
      </x:c>
    </x:row>
    <x:row r="2262" ht="36" customHeight="1">
      <x:c r="A2262" s="5" t="str">
        <x:v>L-0286</x:v>
      </x:c>
      <x:c r="B2262" s="5" t="str">
        <x:v>HQ</x:v>
      </x:c>
      <x:c r="C2262" s="5" t="str">
        <x:v>7</x:v>
      </x:c>
      <x:c r="D2262" s="5" t="str">
        <x:v>Logistik</x:v>
      </x:c>
      <x:c r="E2262" s="5" t="str">
        <x:v>Logistik</x:v>
      </x:c>
      <x:c r="F2262" s="5" t="str">
        <x:v>ui-hq-0022</x:v>
      </x:c>
      <x:c r="G2262" s="5" t="str">
        <x:v>Einkauf und Beschaffung</x:v>
      </x:c>
      <x:c r="H2262" s="5" t="str">
        <x:v>dg-hq-0112</x:v>
      </x:c>
      <x:c r="I2262" s="5" t="str">
        <x:v>7.1.3.5</x:v>
      </x:c>
      <x:c r="J2262" s="5" t="str">
        <x:v>Feinabruf</x:v>
      </x:c>
      <x:c r="K2262" s="5" t="str">
        <x:v>7.5.1.2; 7.5.2</x:v>
      </x:c>
      <x:c r="L2262" s="5" t="str">
        <x:v>Bedarfsermittlung, Liefermengen &amp; Lieferzeitpunkte</x:v>
      </x:c>
      <x:c r="M2262" s="5" t="n">
        <x:v>188</x:v>
      </x:c>
      <x:c r="N2262" s="5" t="n">
        <x:v>1</x:v>
      </x:c>
      <x:c r="O2262" s="5" t="str"/>
      <x:c r="P2262" s="5" t="str">
        <x:v>Zuordnungsvorschlag; Fachfreigabe ausstehend</x:v>
      </x:c>
      <x:c r="Q2262" s="5" t="str">
        <x:v>Gezielt geprüfter Einzelbeleg</x:v>
      </x:c>
      <x:c r="R2262" s="5" t="str">
        <x:v>Circle Harbor beschafft Bauteile just in time auf Grundlage eines Rahmenvertrags. Erklären Sie den Feinabruf und die Voraussetzungen für seine zuverlässige Durchführung.</x:v>
      </x:c>
      <x:c r="S2262" s="5" t="str">
        <x:v>29e5ee1d8b84dbc94504ed451efaf07aa85e3d1438f7288b0af5b2ca15c31d76</x:v>
      </x:c>
    </x:row>
    <x:row r="2263" ht="36" customHeight="1">
      <x:c r="A2263" s="5" t="str">
        <x:v>L-0287</x:v>
      </x:c>
      <x:c r="B2263" s="5" t="str">
        <x:v>HQ</x:v>
      </x:c>
      <x:c r="C2263" s="5" t="str">
        <x:v>7</x:v>
      </x:c>
      <x:c r="D2263" s="5" t="str">
        <x:v>Logistik</x:v>
      </x:c>
      <x:c r="E2263" s="5" t="str">
        <x:v>Logistik</x:v>
      </x:c>
      <x:c r="F2263" s="5" t="str">
        <x:v>ui-hq-0023</x:v>
      </x:c>
      <x:c r="G2263" s="5" t="str">
        <x:v>Materialwirtschaft und Lagerhaltung</x:v>
      </x:c>
      <x:c r="H2263" s="5" t="str">
        <x:v>dg-hq-0099</x:v>
      </x:c>
      <x:c r="I2263" s="5" t="str">
        <x:v>7.2.2</x:v>
      </x:c>
      <x:c r="J2263" s="5" t="str">
        <x:v>Lagerhaltung</x:v>
      </x:c>
      <x:c r="K2263" s="5" t="str"/>
      <x:c r="L2263" s="5" t="str">
        <x:v>Materialwirtschaft, Lagerung &amp; Kommissionierung</x:v>
      </x:c>
      <x:c r="M2263" s="5" t="n">
        <x:v>33</x:v>
      </x:c>
      <x:c r="N2263" s="5" t="n">
        <x:v>29</x:v>
      </x:c>
      <x:c r="O2263" s="5" t="str"/>
      <x:c r="P2263" s="5" t="str">
        <x:v>Zuordnungsvorschlag; Fachfreigabe ausstehend</x:v>
      </x:c>
      <x:c r="Q2263" s="5" t="str">
        <x:v>Bestehendes Lernthema fachlich unter passendem Rahmenplan-Unterbereich behalten</x:v>
      </x:c>
      <x:c r="R2263" s="5" t="str">
        <x:v>Grenzen Sie die Untersuchungs- und Rügepflicht nach § 377 HGB von der Schadensanzeige nach § 438 HGB ab.</x:v>
      </x:c>
      <x:c r="S2263" s="5" t="str">
        <x:v>812d993e391d621a39b25f8ce92bb2458aee4c789c1e064c11ab8d26b591f04f</x:v>
      </x:c>
    </x:row>
    <x:row r="2264" ht="36" customHeight="1">
      <x:c r="A2264" s="5" t="str">
        <x:v>L-0288</x:v>
      </x:c>
      <x:c r="B2264" s="5" t="str">
        <x:v>HQ</x:v>
      </x:c>
      <x:c r="C2264" s="5" t="str">
        <x:v>7</x:v>
      </x:c>
      <x:c r="D2264" s="5" t="str">
        <x:v>Logistik</x:v>
      </x:c>
      <x:c r="E2264" s="5" t="str">
        <x:v>Logistik</x:v>
      </x:c>
      <x:c r="F2264" s="5" t="str">
        <x:v>ui-hq-0023</x:v>
      </x:c>
      <x:c r="G2264" s="5" t="str">
        <x:v>Materialwirtschaft und Lagerhaltung</x:v>
      </x:c>
      <x:c r="H2264" s="5" t="str">
        <x:v>dg-hq-0098</x:v>
      </x:c>
      <x:c r="I2264" s="5" t="str">
        <x:v>7.2.1</x:v>
      </x:c>
      <x:c r="J2264" s="5" t="str">
        <x:v>Materialwirtschaft</x:v>
      </x:c>
      <x:c r="K2264" s="5" t="str"/>
      <x:c r="L2264" s="5" t="str">
        <x:v>Materialwirtschaft, Lagerung &amp; Kommissionierung</x:v>
      </x:c>
      <x:c r="M2264" s="5" t="n">
        <x:v>34</x:v>
      </x:c>
      <x:c r="N2264" s="5" t="n">
        <x:v>4</x:v>
      </x:c>
      <x:c r="O2264" s="5" t="str"/>
      <x:c r="P2264" s="5" t="str">
        <x:v>Zuordnungsvorschlag; Fachfreigabe ausstehend</x:v>
      </x:c>
      <x:c r="Q2264" s="5" t="str">
        <x:v>Frageinhalt präzisiert bzw. teilt bisheriges Sammelthema</x:v>
      </x:c>
      <x:c r="R2264" s="5" t="str">
        <x:v>Welche Wareneingänge muss ein gewerblicher Unternehmer nach § 143 AO gesondert aufzeichnen und welche Angaben müssen nachvollziehbar sein?</x:v>
      </x:c>
      <x:c r="S2264" s="5" t="str">
        <x:v>7f749551db3294dd1cf7cbbadef853a5da04ff2060b441533606193ada4ce66c</x:v>
      </x:c>
    </x:row>
    <x:row r="2265" ht="36" customHeight="1">
      <x:c r="A2265" s="5" t="str">
        <x:v>L-0289</x:v>
      </x:c>
      <x:c r="B2265" s="5" t="str">
        <x:v>HQ</x:v>
      </x:c>
      <x:c r="C2265" s="5" t="str">
        <x:v>7</x:v>
      </x:c>
      <x:c r="D2265" s="5" t="str">
        <x:v>Logistik</x:v>
      </x:c>
      <x:c r="E2265" s="5" t="str">
        <x:v>Logistik</x:v>
      </x:c>
      <x:c r="F2265" s="5" t="str">
        <x:v>ui-hq-0023</x:v>
      </x:c>
      <x:c r="G2265" s="5" t="str">
        <x:v>Materialwirtschaft und Lagerhaltung</x:v>
      </x:c>
      <x:c r="H2265" s="5" t="str">
        <x:v>dg-hq-0098</x:v>
      </x:c>
      <x:c r="I2265" s="5" t="str">
        <x:v>7.2.1</x:v>
      </x:c>
      <x:c r="J2265" s="5" t="str">
        <x:v>Materialwirtschaft</x:v>
      </x:c>
      <x:c r="K2265" s="5" t="str"/>
      <x:c r="L2265" s="5" t="str">
        <x:v>Materialwirtschaft, Lagerung &amp; Kommissionierung</x:v>
      </x:c>
      <x:c r="M2265" s="5" t="n">
        <x:v>35</x:v>
      </x:c>
      <x:c r="N2265" s="5" t="n">
        <x:v>5</x:v>
      </x:c>
      <x:c r="O2265" s="5" t="str"/>
      <x:c r="P2265" s="5" t="str">
        <x:v>Zuordnungsvorschlag; Fachfreigabe ausstehend</x:v>
      </x:c>
      <x:c r="Q2265" s="5" t="str">
        <x:v>Frageinhalt präzisiert bzw. teilt bisheriges Sammelthema</x:v>
      </x:c>
      <x:c r="R2265" s="5" t="str">
        <x:v>Welche Entscheidungen sind bei der Qualitätsprüfung im Wareneingang zu treffen? Erläutern Sie Attribut- und Variablenprüfung sowie Voll- und Stichprobenprüfung.</x:v>
      </x:c>
      <x:c r="S2265" s="5" t="str">
        <x:v>fb475115919bc2e4ceb1ad55687567657c77c2d0d4fd816006b614ba1a4d7bcc</x:v>
      </x:c>
    </x:row>
    <x:row r="2266" ht="36" customHeight="1">
      <x:c r="A2266" s="5" t="str">
        <x:v>L-0290</x:v>
      </x:c>
      <x:c r="B2266" s="5" t="str">
        <x:v>HQ</x:v>
      </x:c>
      <x:c r="C2266" s="5" t="str">
        <x:v>7</x:v>
      </x:c>
      <x:c r="D2266" s="5" t="str">
        <x:v>Logistik</x:v>
      </x:c>
      <x:c r="E2266" s="5" t="str">
        <x:v>Logistik</x:v>
      </x:c>
      <x:c r="F2266" s="5" t="str">
        <x:v>ui-hq-0023</x:v>
      </x:c>
      <x:c r="G2266" s="5" t="str">
        <x:v>Materialwirtschaft und Lagerhaltung</x:v>
      </x:c>
      <x:c r="H2266" s="5" t="str">
        <x:v>dg-hq-0099</x:v>
      </x:c>
      <x:c r="I2266" s="5" t="str">
        <x:v>7.2.2</x:v>
      </x:c>
      <x:c r="J2266" s="5" t="str">
        <x:v>Lagerhaltung</x:v>
      </x:c>
      <x:c r="K2266" s="5" t="str"/>
      <x:c r="L2266" s="5" t="str">
        <x:v>Materialwirtschaft, Lagerung &amp; Kommissionierung</x:v>
      </x:c>
      <x:c r="M2266" s="5" t="n">
        <x:v>36</x:v>
      </x:c>
      <x:c r="N2266" s="5" t="n">
        <x:v>30</x:v>
      </x:c>
      <x:c r="O2266" s="5" t="str"/>
      <x:c r="P2266" s="5" t="str">
        <x:v>Zuordnungsvorschlag; Fachfreigabe ausstehend</x:v>
      </x:c>
      <x:c r="Q2266" s="5" t="str">
        <x:v>Bestehendes Lernthema fachlich unter passendem Rahmenplan-Unterbereich behalten</x:v>
      </x:c>
      <x:c r="R2266" s="5" t="str">
        <x:v>Nennen Sie die Formeln und die jeweilige Aussage von Kosten je Bestellvorgang, Rahmenvertragsquote, Termintreue, Flächennutzungsgrad und Raumnutzungsgrad.</x:v>
      </x:c>
      <x:c r="S2266" s="5" t="str">
        <x:v>8918990bc818b120ebc7151e0c7bb61b77a0c740c5f39b22a8e2e57f4224b34a</x:v>
      </x:c>
    </x:row>
    <x:row r="2267" ht="36" customHeight="1">
      <x:c r="A2267" s="5" t="str">
        <x:v>L-0291</x:v>
      </x:c>
      <x:c r="B2267" s="5" t="str">
        <x:v>HQ</x:v>
      </x:c>
      <x:c r="C2267" s="5" t="str">
        <x:v>7</x:v>
      </x:c>
      <x:c r="D2267" s="5" t="str">
        <x:v>Logistik</x:v>
      </x:c>
      <x:c r="E2267" s="5" t="str">
        <x:v>Logistik</x:v>
      </x:c>
      <x:c r="F2267" s="5" t="str">
        <x:v>ui-hq-0023</x:v>
      </x:c>
      <x:c r="G2267" s="5" t="str">
        <x:v>Materialwirtschaft und Lagerhaltung</x:v>
      </x:c>
      <x:c r="H2267" s="5" t="str">
        <x:v>dg-hq-0099</x:v>
      </x:c>
      <x:c r="I2267" s="5" t="str">
        <x:v>7.2.2.1#1</x:v>
      </x:c>
      <x:c r="J2267" s="5" t="str">
        <x:v>Funktionen des Lagers</x:v>
      </x:c>
      <x:c r="K2267" s="5" t="str"/>
      <x:c r="L2267" s="5" t="str">
        <x:v>Materialwirtschaft, Lagerung &amp; Kommissionierung</x:v>
      </x:c>
      <x:c r="M2267" s="5" t="n">
        <x:v>37</x:v>
      </x:c>
      <x:c r="N2267" s="5" t="n">
        <x:v>31</x:v>
      </x:c>
      <x:c r="O2267" s="5" t="str"/>
      <x:c r="P2267" s="5" t="str">
        <x:v>Zuordnungsvorschlag; Fachfreigabe ausstehend</x:v>
      </x:c>
      <x:c r="Q2267" s="5" t="str">
        <x:v>Bestehendes Lernthema fachlich unter passendem Rahmenplan-Unterbereich behalten</x:v>
      </x:c>
      <x:c r="R2267" s="5" t="str">
        <x:v>Vergleichen Sie Festplatz- und Freiplatzsystem und erklären Sie die Bedeutung einer geeigneten Ein- und Auslagerstrategie.</x:v>
      </x:c>
      <x:c r="S2267" s="5" t="str">
        <x:v>3a5e00d6f3a26497fd83928cf2dd526e793bd495f46a176c0b81f7ad2ab66e6c</x:v>
      </x:c>
    </x:row>
    <x:row r="2268" ht="36" customHeight="1">
      <x:c r="A2268" s="5" t="str">
        <x:v>L-0292</x:v>
      </x:c>
      <x:c r="B2268" s="5" t="str">
        <x:v>HQ</x:v>
      </x:c>
      <x:c r="C2268" s="5" t="str">
        <x:v>7</x:v>
      </x:c>
      <x:c r="D2268" s="5" t="str">
        <x:v>Logistik</x:v>
      </x:c>
      <x:c r="E2268" s="5" t="str">
        <x:v>Logistik</x:v>
      </x:c>
      <x:c r="F2268" s="5" t="str">
        <x:v>ui-hq-0023</x:v>
      </x:c>
      <x:c r="G2268" s="5" t="str">
        <x:v>Materialwirtschaft und Lagerhaltung</x:v>
      </x:c>
      <x:c r="H2268" s="5" t="str">
        <x:v>dg-hq-0099</x:v>
      </x:c>
      <x:c r="I2268" s="5" t="str">
        <x:v>7.2.2</x:v>
      </x:c>
      <x:c r="J2268" s="5" t="str">
        <x:v>Lagerhaltung</x:v>
      </x:c>
      <x:c r="K2268" s="5" t="str"/>
      <x:c r="L2268" s="5" t="str">
        <x:v>Materialwirtschaft, Lagerung &amp; Kommissionierung</x:v>
      </x:c>
      <x:c r="M2268" s="5" t="n">
        <x:v>38</x:v>
      </x:c>
      <x:c r="N2268" s="5" t="n">
        <x:v>32</x:v>
      </x:c>
      <x:c r="O2268" s="5" t="str"/>
      <x:c r="P2268" s="5" t="str">
        <x:v>Zuordnungsvorschlag; Fachfreigabe ausstehend</x:v>
      </x:c>
      <x:c r="Q2268" s="5" t="str">
        <x:v>Bestehendes Lernthema fachlich unter passendem Rahmenplan-Unterbereich behalten</x:v>
      </x:c>
      <x:c r="R2268" s="5" t="str">
        <x:v>Aus welchen Zeitbestandteilen setzt sich die Kommissionierzeit zusammen und welche Verbesserungsmaßnahmen lassen sich daraus ableiten?</x:v>
      </x:c>
      <x:c r="S2268" s="5" t="str">
        <x:v>c2610e9fbc12d0751a46305f47c87303061fe75b90712d1d93c44ca0e5859df8</x:v>
      </x:c>
    </x:row>
    <x:row r="2269" ht="36" customHeight="1">
      <x:c r="A2269" s="5" t="str">
        <x:v>L-0293</x:v>
      </x:c>
      <x:c r="B2269" s="5" t="str">
        <x:v>HQ</x:v>
      </x:c>
      <x:c r="C2269" s="5" t="str">
        <x:v>7</x:v>
      </x:c>
      <x:c r="D2269" s="5" t="str">
        <x:v>Logistik</x:v>
      </x:c>
      <x:c r="E2269" s="5" t="str">
        <x:v>Logistik</x:v>
      </x:c>
      <x:c r="F2269" s="5" t="str">
        <x:v>ui-hq-0024</x:v>
      </x:c>
      <x:c r="G2269" s="5" t="str">
        <x:v>Wertschöpfungskette</x:v>
      </x:c>
      <x:c r="H2269" s="5" t="str">
        <x:v>dg-hq-0103</x:v>
      </x:c>
      <x:c r="I2269" s="5" t="str">
        <x:v>7.3.1</x:v>
      </x:c>
      <x:c r="J2269" s="5" t="str">
        <x:v>Fertigungsprinzipien</x:v>
      </x:c>
      <x:c r="K2269" s="5" t="str"/>
      <x:c r="L2269" s="5" t="str">
        <x:v>Fertigungsprinzipien &amp; interne Transportsysteme</x:v>
      </x:c>
      <x:c r="M2269" s="5" t="n">
        <x:v>39</x:v>
      </x:c>
      <x:c r="N2269" s="5" t="n">
        <x:v>13</x:v>
      </x:c>
      <x:c r="O2269" s="5" t="str"/>
      <x:c r="P2269" s="5" t="str">
        <x:v>Zuordnungsvorschlag; Fachfreigabe ausstehend</x:v>
      </x:c>
      <x:c r="Q2269" s="5" t="str">
        <x:v>Bestehendes Lernthema fachlich unter passendem Rahmenplan-Unterbereich behalten</x:v>
      </x:c>
      <x:c r="R2269" s="5" t="str">
        <x:v>Vergleichen Sie Werkstattfertigung, Fertigungsinsel und Fließfertigung hinsichtlich Anordnung, Einsatzgebiet, Flexibilität und Durchlaufzeit.</x:v>
      </x:c>
      <x:c r="S2269" s="5" t="str">
        <x:v>fd3578980a6e2bb1417fba741c60d5058cb0d4dba8434a3a4cd33b9e100d0a30</x:v>
      </x:c>
    </x:row>
    <x:row r="2270" ht="36" customHeight="1">
      <x:c r="A2270" s="5" t="str">
        <x:v>L-0294</x:v>
      </x:c>
      <x:c r="B2270" s="5" t="str">
        <x:v>HQ</x:v>
      </x:c>
      <x:c r="C2270" s="5" t="str">
        <x:v>7</x:v>
      </x:c>
      <x:c r="D2270" s="5" t="str">
        <x:v>Logistik</x:v>
      </x:c>
      <x:c r="E2270" s="5" t="str">
        <x:v>Logistik</x:v>
      </x:c>
      <x:c r="F2270" s="5" t="str">
        <x:v>ui-hq-0024</x:v>
      </x:c>
      <x:c r="G2270" s="5" t="str">
        <x:v>Wertschöpfungskette</x:v>
      </x:c>
      <x:c r="H2270" s="5" t="str">
        <x:v>dg-hq-0103</x:v>
      </x:c>
      <x:c r="I2270" s="5" t="str">
        <x:v>7.3.1</x:v>
      </x:c>
      <x:c r="J2270" s="5" t="str">
        <x:v>Fertigungsprinzipien</x:v>
      </x:c>
      <x:c r="K2270" s="5" t="str"/>
      <x:c r="L2270" s="5" t="str">
        <x:v>Fertigungsprinzipien &amp; interne Transportsysteme</x:v>
      </x:c>
      <x:c r="M2270" s="5" t="n">
        <x:v>40</x:v>
      </x:c>
      <x:c r="N2270" s="5" t="n">
        <x:v>14</x:v>
      </x:c>
      <x:c r="O2270" s="5" t="str"/>
      <x:c r="P2270" s="5" t="str">
        <x:v>Zuordnungsvorschlag; Fachfreigabe ausstehend</x:v>
      </x:c>
      <x:c r="Q2270" s="5" t="str">
        <x:v>Bestehendes Lernthema fachlich unter passendem Rahmenplan-Unterbereich behalten</x:v>
      </x:c>
      <x:c r="R2270" s="5" t="str">
        <x:v>Grenzen Sie Reihenfertigung und Fließbandfertigung voneinander ab und erläutern Sie die Auswirkungen der Taktbindung.</x:v>
      </x:c>
      <x:c r="S2270" s="5" t="str">
        <x:v>9fdd3f22a7a045867a22c178887c183050fda93634fbe270b59bbb5645bbcac0</x:v>
      </x:c>
    </x:row>
    <x:row r="2271" ht="36" customHeight="1">
      <x:c r="A2271" s="5" t="str">
        <x:v>L-0295</x:v>
      </x:c>
      <x:c r="B2271" s="5" t="str">
        <x:v>HQ</x:v>
      </x:c>
      <x:c r="C2271" s="5" t="str">
        <x:v>7</x:v>
      </x:c>
      <x:c r="D2271" s="5" t="str">
        <x:v>Logistik</x:v>
      </x:c>
      <x:c r="E2271" s="5" t="str">
        <x:v>Logistik</x:v>
      </x:c>
      <x:c r="F2271" s="5" t="str">
        <x:v>ui-hq-0024</x:v>
      </x:c>
      <x:c r="G2271" s="5" t="str">
        <x:v>Wertschöpfungskette</x:v>
      </x:c>
      <x:c r="H2271" s="5" t="str">
        <x:v>dg-hq-0104</x:v>
      </x:c>
      <x:c r="I2271" s="5" t="str">
        <x:v>7.3.2.1</x:v>
      </x:c>
      <x:c r="J2271" s="5" t="str">
        <x:v>Intern</x:v>
      </x:c>
      <x:c r="K2271" s="5" t="str"/>
      <x:c r="L2271" s="5" t="str">
        <x:v>Fertigungsprinzipien &amp; interne Transportsysteme</x:v>
      </x:c>
      <x:c r="M2271" s="5" t="n">
        <x:v>41</x:v>
      </x:c>
      <x:c r="N2271" s="5" t="n">
        <x:v>2</x:v>
      </x:c>
      <x:c r="O2271" s="5" t="str"/>
      <x:c r="P2271" s="5" t="str">
        <x:v>Zuordnungsvorschlag; Fachfreigabe ausstehend</x:v>
      </x:c>
      <x:c r="Q2271" s="5" t="str">
        <x:v>Frageinhalt präzisiert bzw. teilt bisheriges Sammelthema</x:v>
      </x:c>
      <x:c r="R2271" s="5" t="str">
        <x:v>Fallbezug: Die folgenden betrieblichen Angaben und Situationen beziehen sich auf die Circle Harbor GmbH.
Wählen Sie für folgende innerbetriebliche Transportaufgaben jeweils ein geeignetes Fördermittel und begründen Sie kurz: flexible Palettentransporte zwischen Maschinen, Kartons auf einer festen Strecke, Werkstücke hängend durch eine Lackierlinie und Paletten im automatischen Hochregallager.</x:v>
      </x:c>
      <x:c r="S2271" s="5" t="str">
        <x:v>b810d3d163f5557c346191bb40f02bfebc45ea8eb62d6bf15914992d1ec4e09b</x:v>
      </x:c>
    </x:row>
    <x:row r="2272" ht="36" customHeight="1">
      <x:c r="A2272" s="5" t="str">
        <x:v>L-0296</x:v>
      </x:c>
      <x:c r="B2272" s="5" t="str">
        <x:v>HQ</x:v>
      </x:c>
      <x:c r="C2272" s="5" t="str">
        <x:v>7</x:v>
      </x:c>
      <x:c r="D2272" s="5" t="str">
        <x:v>Logistik</x:v>
      </x:c>
      <x:c r="E2272" s="5" t="str">
        <x:v>Logistik</x:v>
      </x:c>
      <x:c r="F2272" s="5" t="str">
        <x:v>ui-hq-0024</x:v>
      </x:c>
      <x:c r="G2272" s="5" t="str">
        <x:v>Wertschöpfungskette</x:v>
      </x:c>
      <x:c r="H2272" s="5" t="str">
        <x:v>dg-hq-0093</x:v>
      </x:c>
      <x:c r="I2272" s="5" t="str">
        <x:v>7.3.2.2</x:v>
      </x:c>
      <x:c r="J2272" s="5" t="str">
        <x:v>Extern</x:v>
      </x:c>
      <x:c r="K2272" s="5" t="str"/>
      <x:c r="L2272" s="5" t="str">
        <x:v>Externe Transportsysteme, Verpackung &amp; Distribution</x:v>
      </x:c>
      <x:c r="M2272" s="5" t="n">
        <x:v>42</x:v>
      </x:c>
      <x:c r="N2272" s="5" t="n">
        <x:v>13</x:v>
      </x:c>
      <x:c r="O2272" s="5" t="str"/>
      <x:c r="P2272" s="5" t="str">
        <x:v>Zuordnungsvorschlag; Fachfreigabe ausstehend</x:v>
      </x:c>
      <x:c r="Q2272" s="5" t="str">
        <x:v>Bestehendes Lernthema fachlich unter passendem Rahmenplan-Unterbereich behalten</x:v>
      </x:c>
      <x:c r="R2272" s="5" t="str">
        <x:v>Grenzen Sie Werkverkehr und gewerblichen Güterkraftverkehr voneinander ab. Welche Kriterien beeinflussen die Entscheidung zwischen Eigen- und Fremdtransport?</x:v>
      </x:c>
      <x:c r="S2272" s="5" t="str">
        <x:v>f5dd50ab4901be89282902c69471210a811083f1ade31dea2a958e279503e753</x:v>
      </x:c>
    </x:row>
    <x:row r="2273" ht="36" customHeight="1">
      <x:c r="A2273" s="5" t="str">
        <x:v>L-0297</x:v>
      </x:c>
      <x:c r="B2273" s="5" t="str">
        <x:v>HQ</x:v>
      </x:c>
      <x:c r="C2273" s="5" t="str">
        <x:v>7</x:v>
      </x:c>
      <x:c r="D2273" s="5" t="str">
        <x:v>Logistik</x:v>
      </x:c>
      <x:c r="E2273" s="5" t="str">
        <x:v>Logistik</x:v>
      </x:c>
      <x:c r="F2273" s="5" t="str">
        <x:v>ui-hq-0024</x:v>
      </x:c>
      <x:c r="G2273" s="5" t="str">
        <x:v>Wertschöpfungskette</x:v>
      </x:c>
      <x:c r="H2273" s="5" t="str">
        <x:v>dg-hq-0093</x:v>
      </x:c>
      <x:c r="I2273" s="5" t="str">
        <x:v>7.3.2.2</x:v>
      </x:c>
      <x:c r="J2273" s="5" t="str">
        <x:v>Extern</x:v>
      </x:c>
      <x:c r="K2273" s="5" t="str"/>
      <x:c r="L2273" s="5" t="str">
        <x:v>Externe Transportsysteme, Verpackung &amp; Distribution</x:v>
      </x:c>
      <x:c r="M2273" s="5" t="n">
        <x:v>43</x:v>
      </x:c>
      <x:c r="N2273" s="5" t="n">
        <x:v>14</x:v>
      </x:c>
      <x:c r="O2273" s="5" t="str"/>
      <x:c r="P2273" s="5" t="str">
        <x:v>Zuordnungsvorschlag; Fachfreigabe ausstehend</x:v>
      </x:c>
      <x:c r="Q2273" s="5" t="str">
        <x:v>Bestehendes Lernthema fachlich unter passendem Rahmenplan-Unterbereich behalten</x:v>
      </x:c>
      <x:c r="R2273" s="5" t="str">
        <x:v>Welche Merkmale kennzeichnen KEP-Dienste und für welche Sendungen sind Kurier-, Express- und Paketdienste besonders geeignet?</x:v>
      </x:c>
      <x:c r="S2273" s="5" t="str">
        <x:v>2caf04996c1cb1d9b5004aafb8c6abe179053e5c6c7114fb11c865a7bfe5cff8</x:v>
      </x:c>
    </x:row>
    <x:row r="2274" ht="36" customHeight="1">
      <x:c r="A2274" s="5" t="str">
        <x:v>L-0298</x:v>
      </x:c>
      <x:c r="B2274" s="5" t="str">
        <x:v>HQ</x:v>
      </x:c>
      <x:c r="C2274" s="5" t="str">
        <x:v>7</x:v>
      </x:c>
      <x:c r="D2274" s="5" t="str">
        <x:v>Logistik</x:v>
      </x:c>
      <x:c r="E2274" s="5" t="str">
        <x:v>Logistik</x:v>
      </x:c>
      <x:c r="F2274" s="5" t="str">
        <x:v>ui-hq-0024</x:v>
      </x:c>
      <x:c r="G2274" s="5" t="str">
        <x:v>Wertschöpfungskette</x:v>
      </x:c>
      <x:c r="H2274" s="5" t="str">
        <x:v>dg-hq-0113</x:v>
      </x:c>
      <x:c r="I2274" s="5" t="str">
        <x:v>7.3.4</x:v>
      </x:c>
      <x:c r="J2274" s="5" t="str">
        <x:v>Warenausgang</x:v>
      </x:c>
      <x:c r="K2274" s="5" t="str"/>
      <x:c r="L2274" s="5" t="str">
        <x:v>Externe Transportsysteme, Verpackung &amp; Distribution</x:v>
      </x:c>
      <x:c r="M2274" s="5" t="n">
        <x:v>44</x:v>
      </x:c>
      <x:c r="N2274" s="5" t="n">
        <x:v>1</x:v>
      </x:c>
      <x:c r="O2274" s="5" t="str"/>
      <x:c r="P2274" s="5" t="str">
        <x:v>Zuordnungsvorschlag; Fachfreigabe ausstehend</x:v>
      </x:c>
      <x:c r="Q2274" s="5" t="str">
        <x:v>Frageinhalt präzisiert bzw. teilt bisheriges Sammelthema</x:v>
      </x:c>
      <x:c r="R2274" s="5" t="str">
        <x:v>Beschreiben Sie den Warenausgangsprozess von der Versandfreigabe bis zur Übergabe an den Frachtführer. Welche Funktion hat der Frachtbrief?</x:v>
      </x:c>
      <x:c r="S2274" s="5" t="str">
        <x:v>3b8d667a4798cbb5af6215b68ce4eb0506298c164292ab59743b8f12489322d1</x:v>
      </x:c>
    </x:row>
    <x:row r="2275" ht="36" customHeight="1">
      <x:c r="A2275" s="5" t="str">
        <x:v>L-0299</x:v>
      </x:c>
      <x:c r="B2275" s="5" t="str">
        <x:v>HQ</x:v>
      </x:c>
      <x:c r="C2275" s="5" t="str">
        <x:v>7</x:v>
      </x:c>
      <x:c r="D2275" s="5" t="str">
        <x:v>Logistik</x:v>
      </x:c>
      <x:c r="E2275" s="5" t="str">
        <x:v>Logistik</x:v>
      </x:c>
      <x:c r="F2275" s="5" t="str">
        <x:v>ui-hq-0024</x:v>
      </x:c>
      <x:c r="G2275" s="5" t="str">
        <x:v>Wertschöpfungskette</x:v>
      </x:c>
      <x:c r="H2275" s="5" t="str">
        <x:v>dg-hq-0093</x:v>
      </x:c>
      <x:c r="I2275" s="5" t="str">
        <x:v>7.3.2.2</x:v>
      </x:c>
      <x:c r="J2275" s="5" t="str">
        <x:v>Extern</x:v>
      </x:c>
      <x:c r="K2275" s="5" t="str"/>
      <x:c r="L2275" s="5" t="str">
        <x:v>Externe Transportsysteme, Verpackung &amp; Distribution</x:v>
      </x:c>
      <x:c r="M2275" s="5" t="n">
        <x:v>45</x:v>
      </x:c>
      <x:c r="N2275" s="5" t="n">
        <x:v>15</x:v>
      </x:c>
      <x:c r="O2275" s="5" t="str"/>
      <x:c r="P2275" s="5" t="str">
        <x:v>Zuordnungsvorschlag; Fachfreigabe ausstehend</x:v>
      </x:c>
      <x:c r="Q2275" s="5" t="str">
        <x:v>Bestehendes Lernthema fachlich unter passendem Rahmenplan-Unterbereich behalten</x:v>
      </x:c>
      <x:c r="R2275" s="5" t="str">
        <x:v>Was sind Ladehilfsmittel? Nennen Sie typische Arten und erläutern Sie ihre logistischen Funktionen.</x:v>
      </x:c>
      <x:c r="S2275" s="5" t="str">
        <x:v>9d6d3172b52d850798ee6fdba38cc04cfdf1326efc81901fbda23893bf0d9276</x:v>
      </x:c>
    </x:row>
    <x:row r="2276" ht="36" customHeight="1">
      <x:c r="A2276" s="5" t="str">
        <x:v>L-0300</x:v>
      </x:c>
      <x:c r="B2276" s="5" t="str">
        <x:v>HQ</x:v>
      </x:c>
      <x:c r="C2276" s="5" t="str">
        <x:v>7</x:v>
      </x:c>
      <x:c r="D2276" s="5" t="str">
        <x:v>Logistik</x:v>
      </x:c>
      <x:c r="E2276" s="5" t="str">
        <x:v>Logistik</x:v>
      </x:c>
      <x:c r="F2276" s="5" t="str">
        <x:v>ui-hq-0024</x:v>
      </x:c>
      <x:c r="G2276" s="5" t="str">
        <x:v>Wertschöpfungskette</x:v>
      </x:c>
      <x:c r="H2276" s="5" t="str">
        <x:v>dg-hq-0106</x:v>
      </x:c>
      <x:c r="I2276" s="5" t="str">
        <x:v>7.3.5</x:v>
      </x:c>
      <x:c r="J2276" s="5" t="str">
        <x:v>Verladung</x:v>
      </x:c>
      <x:c r="K2276" s="5" t="str"/>
      <x:c r="L2276" s="5" t="str">
        <x:v>Externe Transportsysteme, Verpackung &amp; Distribution</x:v>
      </x:c>
      <x:c r="M2276" s="5" t="n">
        <x:v>46</x:v>
      </x:c>
      <x:c r="N2276" s="5" t="n">
        <x:v>3</x:v>
      </x:c>
      <x:c r="O2276" s="5" t="str"/>
      <x:c r="P2276" s="5" t="str">
        <x:v>Zuordnungsvorschlag; Fachfreigabe ausstehend</x:v>
      </x:c>
      <x:c r="Q2276" s="5" t="str">
        <x:v>Frageinhalt präzisiert bzw. teilt bisheriges Sammelthema</x:v>
      </x:c>
      <x:c r="R2276" s="5" t="str">
        <x:v>Wer ist nach § 412 HGB grundsätzlich für Verladung und Entladung verantwortlich und wann kann Standgeld entstehen?</x:v>
      </x:c>
      <x:c r="S2276" s="5" t="str">
        <x:v>f8bf590f321d735964930132dea25fb0dd01f7c4685bc216030c92d3730237d3</x:v>
      </x:c>
    </x:row>
    <x:row r="2277" ht="36" customHeight="1">
      <x:c r="A2277" s="5" t="str">
        <x:v>L-0301</x:v>
      </x:c>
      <x:c r="B2277" s="5" t="str">
        <x:v>HQ</x:v>
      </x:c>
      <x:c r="C2277" s="5" t="str">
        <x:v>7</x:v>
      </x:c>
      <x:c r="D2277" s="5" t="str">
        <x:v>Logistik</x:v>
      </x:c>
      <x:c r="E2277" s="5" t="str">
        <x:v>Logistik</x:v>
      </x:c>
      <x:c r="F2277" s="5" t="str">
        <x:v>ui-hq-0024</x:v>
      </x:c>
      <x:c r="G2277" s="5" t="str">
        <x:v>Wertschöpfungskette</x:v>
      </x:c>
      <x:c r="H2277" s="5" t="str">
        <x:v>dg-hq-0093</x:v>
      </x:c>
      <x:c r="I2277" s="5" t="str">
        <x:v>7.3.2.2</x:v>
      </x:c>
      <x:c r="J2277" s="5" t="str">
        <x:v>Extern</x:v>
      </x:c>
      <x:c r="K2277" s="5" t="str"/>
      <x:c r="L2277" s="5" t="str">
        <x:v>Externe Transportsysteme, Verpackung &amp; Distribution</x:v>
      </x:c>
      <x:c r="M2277" s="5" t="n">
        <x:v>47</x:v>
      </x:c>
      <x:c r="N2277" s="5" t="n">
        <x:v>16</x:v>
      </x:c>
      <x:c r="O2277" s="5" t="str"/>
      <x:c r="P2277" s="5" t="str">
        <x:v>Zuordnungsvorschlag; Fachfreigabe ausstehend</x:v>
      </x:c>
      <x:c r="Q2277" s="5" t="str">
        <x:v>Bestehendes Lernthema fachlich unter passendem Rahmenplan-Unterbereich behalten</x:v>
      </x:c>
      <x:c r="R2277" s="5" t="str">
        <x:v>Welche physikalischen Kräfte wirken beim Straßentransport auf eine Ladung und wie wirken form-, kraft- und kombinierte Sicherung dagegen?</x:v>
      </x:c>
      <x:c r="S2277" s="5" t="str">
        <x:v>a231d33d736a70102b55884081210119aa088e49f6409a77966554e81278c021</x:v>
      </x:c>
    </x:row>
    <x:row r="2278" ht="36" customHeight="1">
      <x:c r="A2278" s="5" t="str">
        <x:v>L-0302</x:v>
      </x:c>
      <x:c r="B2278" s="5" t="str">
        <x:v>HQ</x:v>
      </x:c>
      <x:c r="C2278" s="5" t="str">
        <x:v>7</x:v>
      </x:c>
      <x:c r="D2278" s="5" t="str">
        <x:v>Logistik</x:v>
      </x:c>
      <x:c r="E2278" s="5" t="str">
        <x:v>Logistik</x:v>
      </x:c>
      <x:c r="F2278" s="5" t="str">
        <x:v>ui-hq-0024</x:v>
      </x:c>
      <x:c r="G2278" s="5" t="str">
        <x:v>Wertschöpfungskette</x:v>
      </x:c>
      <x:c r="H2278" s="5" t="str">
        <x:v>dg-hq-0093</x:v>
      </x:c>
      <x:c r="I2278" s="5" t="str">
        <x:v>7.3.2.2</x:v>
      </x:c>
      <x:c r="J2278" s="5" t="str">
        <x:v>Extern</x:v>
      </x:c>
      <x:c r="K2278" s="5" t="str"/>
      <x:c r="L2278" s="5" t="str">
        <x:v>Externe Transportsysteme, Verpackung &amp; Distribution</x:v>
      </x:c>
      <x:c r="M2278" s="5" t="n">
        <x:v>48</x:v>
      </x:c>
      <x:c r="N2278" s="5" t="n">
        <x:v>17</x:v>
      </x:c>
      <x:c r="O2278" s="5" t="str"/>
      <x:c r="P2278" s="5" t="str">
        <x:v>Zuordnungsvorschlag; Fachfreigabe ausstehend</x:v>
      </x:c>
      <x:c r="Q2278" s="5" t="str">
        <x:v>Bestehendes Lernthema fachlich unter passendem Rahmenplan-Unterbereich behalten</x:v>
      </x:c>
      <x:c r="R2278" s="5" t="str">
        <x:v>Welche technischen Regelwerke und möglichen Rechtsfolgen sind bei mangelhafter Ladungssicherung zu beachten?</x:v>
      </x:c>
      <x:c r="S2278" s="5" t="str">
        <x:v>578e902543d39dae4edd44b7733c2e0e1e0e563aa45136d5af7f0ec77ba0ec7e</x:v>
      </x:c>
    </x:row>
    <x:row r="2279" ht="36" customHeight="1">
      <x:c r="A2279" s="5" t="str">
        <x:v>L-0303</x:v>
      </x:c>
      <x:c r="B2279" s="5" t="str">
        <x:v>HQ</x:v>
      </x:c>
      <x:c r="C2279" s="5" t="str">
        <x:v>7</x:v>
      </x:c>
      <x:c r="D2279" s="5" t="str">
        <x:v>Logistik</x:v>
      </x:c>
      <x:c r="E2279" s="5" t="str">
        <x:v>Logistik</x:v>
      </x:c>
      <x:c r="F2279" s="5" t="str">
        <x:v>ui-hq-0025</x:v>
      </x:c>
      <x:c r="G2279" s="5" t="str">
        <x:v>Aspekte der Rationalisierung</x:v>
      </x:c>
      <x:c r="H2279" s="5" t="str">
        <x:v>dg-hq-0108</x:v>
      </x:c>
      <x:c r="I2279" s="5" t="str">
        <x:v>7.4.1</x:v>
      </x:c>
      <x:c r="J2279" s="5" t="str">
        <x:v>Optimierung des Produkt-Portfolios</x:v>
      </x:c>
      <x:c r="K2279" s="5" t="str"/>
      <x:c r="L2279" s="5" t="str">
        <x:v>Entsorgungslogistik &amp; Rationalisierung</x:v>
      </x:c>
      <x:c r="M2279" s="5" t="n">
        <x:v>7</x:v>
      </x:c>
      <x:c r="N2279" s="5" t="n">
        <x:v>2</x:v>
      </x:c>
      <x:c r="O2279" s="5" t="str"/>
      <x:c r="P2279" s="5" t="str">
        <x:v>Zuordnungsvorschlag; Fachfreigabe ausstehend</x:v>
      </x:c>
      <x:c r="Q2279" s="5" t="str">
        <x:v>Frageinhalt präzisiert bzw. teilt bisheriges Sammelthema</x:v>
      </x:c>
      <x:c r="R2279" s="5" t="str">
        <x:v>Leiten Sie für Hebel-, Schlüssel-, Engpass- und unkritische Produkte jeweils eine geeignete Beschaffungsstrategie aus der Portfolio-Matrix ab.</x:v>
      </x:c>
      <x:c r="S2279" s="5" t="str">
        <x:v>b678fb3ea6d9c008900b3f1113ec91598914ff7d074a3bf5ac75b40d3e1309de</x:v>
      </x:c>
    </x:row>
    <x:row r="2280" ht="36" customHeight="1">
      <x:c r="A2280" s="5" t="str">
        <x:v>L-0304</x:v>
      </x:c>
      <x:c r="B2280" s="5" t="str">
        <x:v>HQ</x:v>
      </x:c>
      <x:c r="C2280" s="5" t="str">
        <x:v>7</x:v>
      </x:c>
      <x:c r="D2280" s="5" t="str">
        <x:v>Logistik</x:v>
      </x:c>
      <x:c r="E2280" s="5" t="str">
        <x:v>Logistik</x:v>
      </x:c>
      <x:c r="F2280" s="5" t="str">
        <x:v>ui-hq-0025</x:v>
      </x:c>
      <x:c r="G2280" s="5" t="str">
        <x:v>Aspekte der Rationalisierung</x:v>
      </x:c>
      <x:c r="H2280" s="5" t="str">
        <x:v>dg-hq-0096</x:v>
      </x:c>
      <x:c r="I2280" s="5" t="str">
        <x:v>7.4.2</x:v>
      </x:c>
      <x:c r="J2280" s="5" t="str">
        <x:v>Weltweiter Einkauf</x:v>
      </x:c>
      <x:c r="K2280" s="5" t="str"/>
      <x:c r="L2280" s="5" t="str">
        <x:v>Entsorgungslogistik &amp; Rationalisierung</x:v>
      </x:c>
      <x:c r="M2280" s="5" t="n">
        <x:v>8</x:v>
      </x:c>
      <x:c r="N2280" s="5" t="n">
        <x:v>3</x:v>
      </x:c>
      <x:c r="O2280" s="5" t="str"/>
      <x:c r="P2280" s="5" t="str">
        <x:v>Zuordnungsvorschlag; Fachfreigabe ausstehend</x:v>
      </x:c>
      <x:c r="Q2280" s="5" t="str">
        <x:v>Frageinhalt präzisiert bzw. teilt bisheriges Sammelthema</x:v>
      </x:c>
      <x:c r="R2280" s="5" t="str">
        <x:v>Warum darf Circle Harbor Global Sourcing nicht allein anhand des Einkaufspreises beurteilen? Nennen Sie Bestandteile einer Total-Cost- und Risikoanalyse.</x:v>
      </x:c>
      <x:c r="S2280" s="5" t="str">
        <x:v>f9ad3e0dfeb775a5605e54dee28add2d65b53231d2f0bc98c0b4d7cf6c4ac630</x:v>
      </x:c>
    </x:row>
    <x:row r="2281" ht="36" customHeight="1">
      <x:c r="A2281" s="5" t="str">
        <x:v>L-0305</x:v>
      </x:c>
      <x:c r="B2281" s="5" t="str">
        <x:v>HQ</x:v>
      </x:c>
      <x:c r="C2281" s="5" t="str">
        <x:v>7</x:v>
      </x:c>
      <x:c r="D2281" s="5" t="str">
        <x:v>Logistik</x:v>
      </x:c>
      <x:c r="E2281" s="5" t="str">
        <x:v>Logistik</x:v>
      </x:c>
      <x:c r="F2281" s="5" t="str">
        <x:v>ui-hq-0024</x:v>
      </x:c>
      <x:c r="G2281" s="5" t="str">
        <x:v>Wertschöpfungskette</x:v>
      </x:c>
      <x:c r="H2281" s="5" t="str">
        <x:v>dg-hq-0102</x:v>
      </x:c>
      <x:c r="I2281" s="5" t="str">
        <x:v>7.3.6</x:v>
      </x:c>
      <x:c r="J2281" s="5" t="str">
        <x:v>Entsorgung</x:v>
      </x:c>
      <x:c r="K2281" s="5" t="str"/>
      <x:c r="L2281" s="5" t="str">
        <x:v>Entsorgungslogistik &amp; Rationalisierung</x:v>
      </x:c>
      <x:c r="M2281" s="5" t="n">
        <x:v>49</x:v>
      </x:c>
      <x:c r="N2281" s="5" t="n">
        <x:v>7</x:v>
      </x:c>
      <x:c r="O2281" s="5" t="str"/>
      <x:c r="P2281" s="5" t="str">
        <x:v>Zuordnungsvorschlag; Fachfreigabe ausstehend</x:v>
      </x:c>
      <x:c r="Q2281" s="5" t="str">
        <x:v>Bestehendes Lernthema fachlich unter passendem Rahmenplan-Unterbereich behalten</x:v>
      </x:c>
      <x:c r="R2281" s="5" t="str">
        <x:v>Welche gemeinsamen Grundprinzipien verbinden Lean Management, Total-Quality-Management, KVP beziehungsweise Kaizen und Six Sigma?</x:v>
      </x:c>
      <x:c r="S2281" s="5" t="str">
        <x:v>26daad0930b1c0e0b7e2444f6f22aeef3e21a09adf873ae88d8182823d387f06</x:v>
      </x:c>
    </x:row>
    <x:row r="2282" ht="36" customHeight="1">
      <x:c r="A2282" s="5" t="str">
        <x:v>L-0306</x:v>
      </x:c>
      <x:c r="B2282" s="5" t="str">
        <x:v>HQ</x:v>
      </x:c>
      <x:c r="C2282" s="5" t="str">
        <x:v>7</x:v>
      </x:c>
      <x:c r="D2282" s="5" t="str">
        <x:v>Logistik</x:v>
      </x:c>
      <x:c r="E2282" s="5" t="str">
        <x:v>Logistik</x:v>
      </x:c>
      <x:c r="F2282" s="5" t="str">
        <x:v>ui-hq-0024</x:v>
      </x:c>
      <x:c r="G2282" s="5" t="str">
        <x:v>Wertschöpfungskette</x:v>
      </x:c>
      <x:c r="H2282" s="5" t="str">
        <x:v>dg-hq-0102</x:v>
      </x:c>
      <x:c r="I2282" s="5" t="str">
        <x:v>7.3.6</x:v>
      </x:c>
      <x:c r="J2282" s="5" t="str">
        <x:v>Entsorgung</x:v>
      </x:c>
      <x:c r="K2282" s="5" t="str"/>
      <x:c r="L2282" s="5" t="str">
        <x:v>Entsorgungslogistik &amp; Rationalisierung</x:v>
      </x:c>
      <x:c r="M2282" s="5" t="n">
        <x:v>50</x:v>
      </x:c>
      <x:c r="N2282" s="5" t="n">
        <x:v>8</x:v>
      </x:c>
      <x:c r="O2282" s="5" t="str"/>
      <x:c r="P2282" s="5" t="str">
        <x:v>Zuordnungsvorschlag; Fachfreigabe ausstehend</x:v>
      </x:c>
      <x:c r="Q2282" s="5" t="str">
        <x:v>Bestehendes Lernthema fachlich unter passendem Rahmenplan-Unterbereich behalten</x:v>
      </x:c>
      <x:c r="R2282" s="5" t="str">
        <x:v>Erläutern Sie Vendor Managed Inventory und RFID. Wie können beide Instrumente logistische Prozesse rationalisieren und welche Risiken sind zu beachten?</x:v>
      </x:c>
      <x:c r="S2282" s="5" t="str">
        <x:v>c9422350462631fbf57dda63d44f26b78a49ddde6e3fa96b43ede87be0b79985</x:v>
      </x:c>
    </x:row>
    <x:row r="2283" ht="36" customHeight="1">
      <x:c r="A2283" s="5" t="str">
        <x:v>L-0307</x:v>
      </x:c>
      <x:c r="B2283" s="5" t="str">
        <x:v>HQ</x:v>
      </x:c>
      <x:c r="C2283" s="5" t="str">
        <x:v>7</x:v>
      </x:c>
      <x:c r="D2283" s="5" t="str">
        <x:v>Logistik</x:v>
      </x:c>
      <x:c r="E2283" s="5" t="str">
        <x:v>Logistik</x:v>
      </x:c>
      <x:c r="F2283" s="5" t="str">
        <x:v>ui-hq-0026</x:v>
      </x:c>
      <x:c r="G2283" s="5" t="str">
        <x:v>Spezielle Rechtsaspekte</x:v>
      </x:c>
      <x:c r="H2283" s="5" t="str">
        <x:v>dg-hq-0101</x:v>
      </x:c>
      <x:c r="I2283" s="5" t="str">
        <x:v>7.5.1</x:v>
      </x:c>
      <x:c r="J2283" s="5" t="str">
        <x:v>Einkaufsverträge</x:v>
      </x:c>
      <x:c r="K2283" s="5" t="str"/>
      <x:c r="L2283" s="5" t="str">
        <x:v>Verträge, Lieferbedingungen &amp; Zollrecht</x:v>
      </x:c>
      <x:c r="M2283" s="5" t="n">
        <x:v>20</x:v>
      </x:c>
      <x:c r="N2283" s="5" t="n">
        <x:v>14</x:v>
      </x:c>
      <x:c r="O2283" s="5" t="str"/>
      <x:c r="P2283" s="5" t="str">
        <x:v>Zuordnungsvorschlag; Fachfreigabe ausstehend</x:v>
      </x:c>
      <x:c r="Q2283" s="5" t="str">
        <x:v>Bestehendes Lernthema fachlich unter passendem Rahmenplan-Unterbereich behalten</x:v>
      </x:c>
      <x:c r="R2283" s="5" t="str">
        <x:v>Circle Harbor bestellt bei einem neuen Lieferanten in einem Drittland. Wie schützt ein Dokumentenakkreditiv beide Vertragsparteien und wie unterscheidet sich der Eigentumsvorbehalt davon?</x:v>
      </x:c>
      <x:c r="S2283" s="5" t="str">
        <x:v>dbd3b29f58142c6bb30dfecd56e41ff07ae2551acf9907dde92f75c343fa0e47</x:v>
      </x:c>
    </x:row>
    <x:row r="2284" ht="36" customHeight="1">
      <x:c r="A2284" s="5" t="str">
        <x:v>L-0308</x:v>
      </x:c>
      <x:c r="B2284" s="5" t="str">
        <x:v>HQ</x:v>
      </x:c>
      <x:c r="C2284" s="5" t="str">
        <x:v>7</x:v>
      </x:c>
      <x:c r="D2284" s="5" t="str">
        <x:v>Logistik</x:v>
      </x:c>
      <x:c r="E2284" s="5" t="str">
        <x:v>Logistik</x:v>
      </x:c>
      <x:c r="F2284" s="5" t="str">
        <x:v>ui-hq-0026</x:v>
      </x:c>
      <x:c r="G2284" s="5" t="str">
        <x:v>Spezielle Rechtsaspekte</x:v>
      </x:c>
      <x:c r="H2284" s="5" t="str">
        <x:v>dg-hq-0111</x:v>
      </x:c>
      <x:c r="I2284" s="5" t="str">
        <x:v>7.5.3</x:v>
      </x:c>
      <x:c r="J2284" s="5" t="str">
        <x:v>Zollrecht bei Im- und Export</x:v>
      </x:c>
      <x:c r="K2284" s="5" t="str"/>
      <x:c r="L2284" s="5" t="str">
        <x:v>Verträge, Lieferbedingungen &amp; Zollrecht</x:v>
      </x:c>
      <x:c r="M2284" s="5" t="n">
        <x:v>21</x:v>
      </x:c>
      <x:c r="N2284" s="5" t="n">
        <x:v>3</x:v>
      </x:c>
      <x:c r="O2284" s="5" t="str"/>
      <x:c r="P2284" s="5" t="str">
        <x:v>Zuordnungsvorschlag; Fachfreigabe ausstehend</x:v>
      </x:c>
      <x:c r="Q2284" s="5" t="str">
        <x:v>Frageinhalt präzisiert bzw. teilt bisheriges Sammelthema</x:v>
      </x:c>
      <x:c r="R2284" s="5" t="str">
        <x:v>Welche Merkmale kennzeichnen die Europäische Zollunion und welche Funktionen haben Unionszollkodex und Intrastat?</x:v>
      </x:c>
      <x:c r="S2284" s="5" t="str">
        <x:v>985a61d03a9bebba0358b9888e43b977b5bbd02cf11a659cea91a242f69a728a</x:v>
      </x:c>
    </x:row>
    <x:row r="2285" ht="36" customHeight="1">
      <x:c r="A2285" s="5" t="str">
        <x:v>L-0309</x:v>
      </x:c>
      <x:c r="B2285" s="5" t="str">
        <x:v>HQ</x:v>
      </x:c>
      <x:c r="C2285" s="5" t="str">
        <x:v>7</x:v>
      </x:c>
      <x:c r="D2285" s="5" t="str">
        <x:v>Logistik</x:v>
      </x:c>
      <x:c r="E2285" s="5" t="str">
        <x:v>Logistik</x:v>
      </x:c>
      <x:c r="F2285" s="5" t="str">
        <x:v>ui-hq-0026</x:v>
      </x:c>
      <x:c r="G2285" s="5" t="str">
        <x:v>Spezielle Rechtsaspekte</x:v>
      </x:c>
      <x:c r="H2285" s="5" t="str">
        <x:v>dg-hq-0101</x:v>
      </x:c>
      <x:c r="I2285" s="5" t="str">
        <x:v>7.5.1</x:v>
      </x:c>
      <x:c r="J2285" s="5" t="str">
        <x:v>Einkaufsverträge</x:v>
      </x:c>
      <x:c r="K2285" s="5" t="str"/>
      <x:c r="L2285" s="5" t="str">
        <x:v>Verträge, Lieferbedingungen &amp; Zollrecht</x:v>
      </x:c>
      <x:c r="M2285" s="5" t="n">
        <x:v>22</x:v>
      </x:c>
      <x:c r="N2285" s="5" t="n">
        <x:v>15</x:v>
      </x:c>
      <x:c r="O2285" s="5" t="str"/>
      <x:c r="P2285" s="5" t="str">
        <x:v>Zuordnungsvorschlag; Fachfreigabe ausstehend</x:v>
      </x:c>
      <x:c r="Q2285" s="5" t="str">
        <x:v>Bestehendes Lernthema fachlich unter passendem Rahmenplan-Unterbereich behalten</x:v>
      </x:c>
      <x:c r="R2285" s="5" t="str">
        <x:v>Grenzen Sie direkten und indirekten Export beziehungsweise Import ab und nennen Sie jeweils Vor- und Nachteile.</x:v>
      </x:c>
      <x:c r="S2285" s="5" t="str">
        <x:v>ed360c0ae32fbaa7cbc9e765bb24003b5fca227c6099d0fa4e6663c834b2fed1</x:v>
      </x:c>
    </x:row>
    <x:row r="2286" ht="36" customHeight="1">
      <x:c r="A2286" s="5" t="str">
        <x:v>L-0310</x:v>
      </x:c>
      <x:c r="B2286" s="5" t="str">
        <x:v>HQ</x:v>
      </x:c>
      <x:c r="C2286" s="5" t="str">
        <x:v>7</x:v>
      </x:c>
      <x:c r="D2286" s="5" t="str">
        <x:v>Logistik</x:v>
      </x:c>
      <x:c r="E2286" s="5" t="str">
        <x:v>Logistik</x:v>
      </x:c>
      <x:c r="F2286" s="5" t="str">
        <x:v>ui-hq-0026</x:v>
      </x:c>
      <x:c r="G2286" s="5" t="str">
        <x:v>Spezielle Rechtsaspekte</x:v>
      </x:c>
      <x:c r="H2286" s="5" t="str">
        <x:v>dg-hq-0111</x:v>
      </x:c>
      <x:c r="I2286" s="5" t="str">
        <x:v>7.5.3</x:v>
      </x:c>
      <x:c r="J2286" s="5" t="str">
        <x:v>Zollrecht bei Im- und Export</x:v>
      </x:c>
      <x:c r="K2286" s="5" t="str"/>
      <x:c r="L2286" s="5" t="str">
        <x:v>Verträge, Lieferbedingungen &amp; Zollrecht</x:v>
      </x:c>
      <x:c r="M2286" s="5" t="n">
        <x:v>23</x:v>
      </x:c>
      <x:c r="N2286" s="5" t="n">
        <x:v>4</x:v>
      </x:c>
      <x:c r="O2286" s="5" t="str"/>
      <x:c r="P2286" s="5" t="str">
        <x:v>Zuordnungsvorschlag; Fachfreigabe ausstehend</x:v>
      </x:c>
      <x:c r="Q2286" s="5" t="str">
        <x:v>Frageinhalt präzisiert bzw. teilt bisheriges Sammelthema</x:v>
      </x:c>
      <x:c r="R2286" s="5" t="str">
        <x:v>Welche Schritte sind bei der Einfuhr einer Ware aus einem Drittland bis zur Überlassung zum zollrechtlich freien Verkehr erforderlich?</x:v>
      </x:c>
      <x:c r="S2286" s="5" t="str">
        <x:v>fd78b99733105d73383db4e639ebe5f3692effa050da0c46a79158ce7bc87bf2</x:v>
      </x:c>
    </x:row>
    <x:row r="2287" ht="36" customHeight="1">
      <x:c r="A2287" s="5" t="str">
        <x:v>L-0311</x:v>
      </x:c>
      <x:c r="B2287" s="5" t="str">
        <x:v>HQ</x:v>
      </x:c>
      <x:c r="C2287" s="5" t="str">
        <x:v>7</x:v>
      </x:c>
      <x:c r="D2287" s="5" t="str">
        <x:v>Logistik</x:v>
      </x:c>
      <x:c r="E2287" s="5" t="str">
        <x:v>Logistik</x:v>
      </x:c>
      <x:c r="F2287" s="5" t="str">
        <x:v>ui-hq-0026</x:v>
      </x:c>
      <x:c r="G2287" s="5" t="str">
        <x:v>Spezielle Rechtsaspekte</x:v>
      </x:c>
      <x:c r="H2287" s="5" t="str">
        <x:v>dg-hq-0101</x:v>
      </x:c>
      <x:c r="I2287" s="5" t="str">
        <x:v>7.5.1</x:v>
      </x:c>
      <x:c r="J2287" s="5" t="str">
        <x:v>Einkaufsverträge</x:v>
      </x:c>
      <x:c r="K2287" s="5" t="str"/>
      <x:c r="L2287" s="5" t="str">
        <x:v>Verträge, Lieferbedingungen &amp; Zollrecht</x:v>
      </x:c>
      <x:c r="M2287" s="5" t="n">
        <x:v>24</x:v>
      </x:c>
      <x:c r="N2287" s="5" t="n">
        <x:v>16</x:v>
      </x:c>
      <x:c r="O2287" s="5" t="str"/>
      <x:c r="P2287" s="5" t="str">
        <x:v>Zuordnungsvorschlag; Fachfreigabe ausstehend</x:v>
      </x:c>
      <x:c r="Q2287" s="5" t="str">
        <x:v>Bestehendes Lernthema fachlich unter passendem Rahmenplan-Unterbereich behalten</x:v>
      </x:c>
      <x:c r="R2287" s="5" t="str">
        <x:v>Welche Prüf- und Verfahrensschritte gehören zu einer ordnungsgemäßen Ausfuhr aus der EU?</x:v>
      </x:c>
      <x:c r="S2287" s="5" t="str">
        <x:v>d5d80605759bcab2eee52769ea3cc93685b967a276149831a4add88d8be20551</x:v>
      </x:c>
    </x:row>
    <x:row r="2288" ht="36" customHeight="1">
      <x:c r="A2288" s="5" t="str">
        <x:v>L-0312</x:v>
      </x:c>
      <x:c r="B2288" s="5" t="str">
        <x:v>HQ</x:v>
      </x:c>
      <x:c r="C2288" s="5" t="str">
        <x:v>7</x:v>
      </x:c>
      <x:c r="D2288" s="5" t="str">
        <x:v>Logistik</x:v>
      </x:c>
      <x:c r="E2288" s="5" t="str">
        <x:v>Logistik</x:v>
      </x:c>
      <x:c r="F2288" s="5" t="str">
        <x:v>ui-hq-0026</x:v>
      </x:c>
      <x:c r="G2288" s="5" t="str">
        <x:v>Spezielle Rechtsaspekte</x:v>
      </x:c>
      <x:c r="H2288" s="5" t="str">
        <x:v>dg-hq-0101</x:v>
      </x:c>
      <x:c r="I2288" s="5" t="str">
        <x:v>7.5.1</x:v>
      </x:c>
      <x:c r="J2288" s="5" t="str">
        <x:v>Einkaufsverträge</x:v>
      </x:c>
      <x:c r="K2288" s="5" t="str"/>
      <x:c r="L2288" s="5" t="str">
        <x:v>Verträge, Lieferbedingungen &amp; Zollrecht</x:v>
      </x:c>
      <x:c r="M2288" s="5" t="n">
        <x:v>25</x:v>
      </x:c>
      <x:c r="N2288" s="5" t="n">
        <x:v>17</x:v>
      </x:c>
      <x:c r="O2288" s="5" t="str"/>
      <x:c r="P2288" s="5" t="str">
        <x:v>Zuordnungsvorschlag; Fachfreigabe ausstehend</x:v>
      </x:c>
      <x:c r="Q2288" s="5" t="str">
        <x:v>Bestehendes Lernthema fachlich unter passendem Rahmenplan-Unterbereich behalten</x:v>
      </x:c>
      <x:c r="R2288" s="5" t="str">
        <x:v>Unterscheiden Sie nichtpräferenziellen und präferenziellen Warenursprung. Welche Bedeutung haben Ursprungsregeln und Ursprungsnachweise?</x:v>
      </x:c>
      <x:c r="S2288" s="5" t="str">
        <x:v>886a2560a787f73a532bca34826a6952a83b56dbbec24cd6c83f05795888dd84</x:v>
      </x:c>
    </x:row>
    <x:row r="2289" ht="36" customHeight="1">
      <x:c r="A2289" s="5" t="str">
        <x:v>L-0313</x:v>
      </x:c>
      <x:c r="B2289" s="5" t="str">
        <x:v>HQ</x:v>
      </x:c>
      <x:c r="C2289" s="5" t="str">
        <x:v>7</x:v>
      </x:c>
      <x:c r="D2289" s="5" t="str">
        <x:v>Logistik</x:v>
      </x:c>
      <x:c r="E2289" s="5" t="str">
        <x:v>Logistik</x:v>
      </x:c>
      <x:c r="F2289" s="5" t="str">
        <x:v>ui-hq-0026</x:v>
      </x:c>
      <x:c r="G2289" s="5" t="str">
        <x:v>Spezielle Rechtsaspekte</x:v>
      </x:c>
      <x:c r="H2289" s="5" t="str">
        <x:v>dg-hq-0111</x:v>
      </x:c>
      <x:c r="I2289" s="5" t="str">
        <x:v>7.5.3</x:v>
      </x:c>
      <x:c r="J2289" s="5" t="str">
        <x:v>Zollrecht bei Im- und Export</x:v>
      </x:c>
      <x:c r="K2289" s="5" t="str"/>
      <x:c r="L2289" s="5" t="str">
        <x:v>Verträge, Lieferbedingungen &amp; Zollrecht</x:v>
      </x:c>
      <x:c r="M2289" s="5" t="n">
        <x:v>26</x:v>
      </x:c>
      <x:c r="N2289" s="5" t="n">
        <x:v>5</x:v>
      </x:c>
      <x:c r="O2289" s="5" t="str"/>
      <x:c r="P2289" s="5" t="str">
        <x:v>Zuordnungsvorschlag; Fachfreigabe ausstehend</x:v>
      </x:c>
      <x:c r="Q2289" s="5" t="str">
        <x:v>Frageinhalt präzisiert bzw. teilt bisheriges Sammelthema</x:v>
      </x:c>
      <x:c r="R2289" s="5" t="str">
        <x:v>Welche wirtschaftlichen Funktionen erfüllen Zölle und worin unterscheidet sich ein Antidumpingzoll von einem gewöhnlichen Einfuhrzoll?</x:v>
      </x:c>
      <x:c r="S2289" s="5" t="str">
        <x:v>844a3cd76c5b4ad9171cb5a552ccdf35e7cb82b1b8ff2a0939dbf1105f1d63da</x:v>
      </x:c>
    </x:row>
    <x:row r="2290" ht="36" customHeight="1">
      <x:c r="A2290" s="5" t="str">
        <x:v>L-0314</x:v>
      </x:c>
      <x:c r="B2290" s="5" t="str">
        <x:v>HQ</x:v>
      </x:c>
      <x:c r="C2290" s="5" t="str">
        <x:v>7</x:v>
      </x:c>
      <x:c r="D2290" s="5" t="str">
        <x:v>Logistik</x:v>
      </x:c>
      <x:c r="E2290" s="5" t="str">
        <x:v>Logistik</x:v>
      </x:c>
      <x:c r="F2290" s="5" t="str">
        <x:v>ui-hq-0024</x:v>
      </x:c>
      <x:c r="G2290" s="5" t="str">
        <x:v>Wertschöpfungskette</x:v>
      </x:c>
      <x:c r="H2290" s="5" t="str">
        <x:v>dg-hq-0093</x:v>
      </x:c>
      <x:c r="I2290" s="5" t="str">
        <x:v>7.3.2.2</x:v>
      </x:c>
      <x:c r="J2290" s="5" t="str">
        <x:v>Extern</x:v>
      </x:c>
      <x:c r="K2290" s="5" t="str"/>
      <x:c r="L2290" s="5" t="str">
        <x:v>Externe Transportsysteme, Verpackung &amp; Distribution</x:v>
      </x:c>
      <x:c r="M2290" s="5" t="n">
        <x:v>51</x:v>
      </x:c>
      <x:c r="N2290" s="5" t="n">
        <x:v>18</x:v>
      </x:c>
      <x:c r="O2290" s="5" t="str"/>
      <x:c r="P2290" s="5" t="str">
        <x:v>Zuordnungsvorschlag; Fachfreigabe ausstehend</x:v>
      </x:c>
      <x:c r="Q2290" s="5" t="str">
        <x:v>Bestehendes Lernthema fachlich unter passendem Rahmenplan-Unterbereich behalten</x:v>
      </x:c>
      <x:c r="R2290" s="5" t="str">
        <x:v>Was beschreibt der Modal Split und welche Angaben benötigen Sie, um einen genannten Prozentanteil fachlich sinnvoll zu interpretieren?</x:v>
      </x:c>
      <x:c r="S2290" s="5" t="str">
        <x:v>70933e2a5ca0e8664b1f9ea945eedb30f1591c49546b593d89d5a2c6264785fe</x:v>
      </x:c>
    </x:row>
    <x:row r="2291" ht="36" customHeight="1">
      <x:c r="A2291" s="5" t="str">
        <x:v>L-0315</x:v>
      </x:c>
      <x:c r="B2291" s="5" t="str">
        <x:v>HQ</x:v>
      </x:c>
      <x:c r="C2291" s="5" t="str">
        <x:v>7</x:v>
      </x:c>
      <x:c r="D2291" s="5" t="str">
        <x:v>Logistik</x:v>
      </x:c>
      <x:c r="E2291" s="5" t="str">
        <x:v>Logistik</x:v>
      </x:c>
      <x:c r="F2291" s="5" t="str">
        <x:v>ui-hq-0024</x:v>
      </x:c>
      <x:c r="G2291" s="5" t="str">
        <x:v>Wertschöpfungskette</x:v>
      </x:c>
      <x:c r="H2291" s="5" t="str">
        <x:v>dg-hq-0093</x:v>
      </x:c>
      <x:c r="I2291" s="5" t="str">
        <x:v>7.3.2.2</x:v>
      </x:c>
      <x:c r="J2291" s="5" t="str">
        <x:v>Extern</x:v>
      </x:c>
      <x:c r="K2291" s="5" t="str"/>
      <x:c r="L2291" s="5" t="str">
        <x:v>Externe Transportsysteme, Verpackung &amp; Distribution</x:v>
      </x:c>
      <x:c r="M2291" s="5" t="n">
        <x:v>52</x:v>
      </x:c>
      <x:c r="N2291" s="5" t="n">
        <x:v>19</x:v>
      </x:c>
      <x:c r="O2291" s="5" t="str"/>
      <x:c r="P2291" s="5" t="str">
        <x:v>Zuordnungsvorschlag; Fachfreigabe ausstehend</x:v>
      </x:c>
      <x:c r="Q2291" s="5" t="str">
        <x:v>Bestehendes Lernthema fachlich unter passendem Rahmenplan-Unterbereich behalten</x:v>
      </x:c>
      <x:c r="R2291" s="5" t="str">
        <x:v>Die Circle Harbor GmbH möchte viele kleinere regionale Sendungen nicht mehr zwischen allen Standorten direkt fahren, sondern über ein zentrales Umschlagzentrum bündeln. Erläutern Sie das Hub-and-Spoke-Prinzip und nennen Sie zwei Vorteile sowie zwei Risiken.</x:v>
      </x:c>
      <x:c r="S2291" s="5" t="str">
        <x:v>0559f6e061eb0f6b8f3a276ee04f46b30c4f66a2fe0428d71c9bf81e3d67bb76</x:v>
      </x:c>
    </x:row>
    <x:row r="2292" ht="36" customHeight="1">
      <x:c r="A2292" s="5" t="str">
        <x:v>L-0316</x:v>
      </x:c>
      <x:c r="B2292" s="5" t="str">
        <x:v>HQ</x:v>
      </x:c>
      <x:c r="C2292" s="5" t="str">
        <x:v>7</x:v>
      </x:c>
      <x:c r="D2292" s="5" t="str">
        <x:v>Logistik</x:v>
      </x:c>
      <x:c r="E2292" s="5" t="str">
        <x:v>Logistik</x:v>
      </x:c>
      <x:c r="F2292" s="5" t="str">
        <x:v>ui-hq-0022</x:v>
      </x:c>
      <x:c r="G2292" s="5" t="str">
        <x:v>Einkauf und Beschaffung</x:v>
      </x:c>
      <x:c r="H2292" s="5" t="str">
        <x:v>dg-hq-0095</x:v>
      </x:c>
      <x:c r="I2292" s="5" t="str">
        <x:v>7.1.2.3</x:v>
      </x:c>
      <x:c r="J2292" s="5" t="str">
        <x:v>Lieferantenmanagement</x:v>
      </x:c>
      <x:c r="K2292" s="5" t="str"/>
      <x:c r="L2292" s="5" t="str">
        <x:v>Sourcing &amp; Lieferantenmanagement</x:v>
      </x:c>
      <x:c r="M2292" s="5" t="n">
        <x:v>189</x:v>
      </x:c>
      <x:c r="N2292" s="5" t="n">
        <x:v>34</x:v>
      </x:c>
      <x:c r="O2292" s="5" t="str"/>
      <x:c r="P2292" s="5" t="str">
        <x:v>Zuordnungsvorschlag; Fachfreigabe ausstehend</x:v>
      </x:c>
      <x:c r="Q2292" s="5" t="str">
        <x:v>Bestehendes Lernthema fachlich unter passendem Rahmenplan-Unterbereich behalten</x:v>
      </x:c>
      <x:c r="R2292" s="5" t="str">
        <x:v>Grenzen Sie Element Sourcing, Modular Sourcing und System Sourcing voneinander ab.</x:v>
      </x:c>
      <x:c r="S2292" s="5" t="str">
        <x:v>9a869f6857b9937b58630c7d24749823596102968ac07740b7e107d6ba87e97d</x:v>
      </x:c>
    </x:row>
    <x:row r="2293" ht="36" customHeight="1">
      <x:c r="A2293" s="5" t="str">
        <x:v>L-0317</x:v>
      </x:c>
      <x:c r="B2293" s="5" t="str">
        <x:v>HQ</x:v>
      </x:c>
      <x:c r="C2293" s="5" t="str">
        <x:v>7</x:v>
      </x:c>
      <x:c r="D2293" s="5" t="str">
        <x:v>Logistik</x:v>
      </x:c>
      <x:c r="E2293" s="5" t="str">
        <x:v>Logistik</x:v>
      </x:c>
      <x:c r="F2293" s="5" t="str">
        <x:v>ui-hq-0022</x:v>
      </x:c>
      <x:c r="G2293" s="5" t="str">
        <x:v>Einkauf und Beschaffung</x:v>
      </x:c>
      <x:c r="H2293" s="5" t="str">
        <x:v>dg-hq-0097</x:v>
      </x:c>
      <x:c r="I2293" s="5" t="str">
        <x:v>7.1.3</x:v>
      </x:c>
      <x:c r="J2293" s="5" t="str">
        <x:v>Beschaffungsprozess</x:v>
      </x:c>
      <x:c r="K2293" s="5" t="str"/>
      <x:c r="L2293" s="5" t="str">
        <x:v>Bedarfsermittlung, Liefermengen &amp; Lieferzeitpunkte</x:v>
      </x:c>
      <x:c r="M2293" s="5" t="n">
        <x:v>190</x:v>
      </x:c>
      <x:c r="N2293" s="5" t="n">
        <x:v>52</x:v>
      </x:c>
      <x:c r="O2293" s="5" t="str"/>
      <x:c r="P2293" s="5" t="str">
        <x:v>Zuordnungsvorschlag; Fachfreigabe ausstehend</x:v>
      </x:c>
      <x:c r="Q2293" s="5" t="str">
        <x:v>Bestehendes Lernthema fachlich unter passendem Rahmenplan-Unterbereich behalten</x:v>
      </x:c>
      <x:c r="R2293" s="5" t="str">
        <x:v>Die Circle Harbor GmbH überarbeitet für eine neue Produktlinie ihr Materialsortiment. Erläutern Sie Sortimentsbreite und Sortimentstiefe in der Materialwirtschaft und nennen Sie vier Entscheidungshilfen zur Sortimentsauslese.</x:v>
      </x:c>
      <x:c r="S2293" s="5" t="str">
        <x:v>32a3f5489b4f7d6cb69f101831d16339140a5aea73b8632f23c9c512938879d6</x:v>
      </x:c>
    </x:row>
    <x:row r="2294" ht="36" customHeight="1">
      <x:c r="A2294" s="5" t="str">
        <x:v>L-0318</x:v>
      </x:c>
      <x:c r="B2294" s="5" t="str">
        <x:v>HQ</x:v>
      </x:c>
      <x:c r="C2294" s="5" t="str">
        <x:v>7</x:v>
      </x:c>
      <x:c r="D2294" s="5" t="str">
        <x:v>Logistik</x:v>
      </x:c>
      <x:c r="E2294" s="5" t="str">
        <x:v>Logistik</x:v>
      </x:c>
      <x:c r="F2294" s="5" t="str">
        <x:v>ui-hq-0023</x:v>
      </x:c>
      <x:c r="G2294" s="5" t="str">
        <x:v>Materialwirtschaft und Lagerhaltung</x:v>
      </x:c>
      <x:c r="H2294" s="5" t="str">
        <x:v>dg-hq-0098</x:v>
      </x:c>
      <x:c r="I2294" s="5" t="str">
        <x:v>7.2.1</x:v>
      </x:c>
      <x:c r="J2294" s="5" t="str">
        <x:v>Materialwirtschaft</x:v>
      </x:c>
      <x:c r="K2294" s="5" t="str"/>
      <x:c r="L2294" s="5" t="str">
        <x:v>Materialwirtschaft, Lagerung &amp; Kommissionierung</x:v>
      </x:c>
      <x:c r="M2294" s="5" t="n">
        <x:v>39</x:v>
      </x:c>
      <x:c r="N2294" s="5" t="n">
        <x:v>6</x:v>
      </x:c>
      <x:c r="O2294" s="5" t="str"/>
      <x:c r="P2294" s="5" t="str">
        <x:v>Zuordnungsvorschlag; Fachfreigabe ausstehend</x:v>
      </x:c>
      <x:c r="Q2294" s="5" t="str">
        <x:v>Frageinhalt präzisiert bzw. teilt bisheriges Sammelthema</x:v>
      </x:c>
      <x:c r="R2294" s="5" t="str">
        <x:v>Die Circle Harbor GmbH plant ihre Lagerstruktur neu. Erläutern Sie die Funktion von Wareneingangs-/Annahmelager, Reserve-/Sicherheitslager, Zwischen-/Pufferlager, Versandlager und Handlager.</x:v>
      </x:c>
      <x:c r="S2294" s="5" t="str">
        <x:v>8267a3cc2d3ba2b5bb5c35fdfd4c68343f816e2e99216f94271c16cbf12b31e2</x:v>
      </x:c>
    </x:row>
    <x:row r="2295" ht="36" customHeight="1">
      <x:c r="A2295" s="5" t="str">
        <x:v>L-0319</x:v>
      </x:c>
      <x:c r="B2295" s="5" t="str">
        <x:v>HQ</x:v>
      </x:c>
      <x:c r="C2295" s="5" t="str">
        <x:v>7</x:v>
      </x:c>
      <x:c r="D2295" s="5" t="str">
        <x:v>Logistik</x:v>
      </x:c>
      <x:c r="E2295" s="5" t="str">
        <x:v>Logistik</x:v>
      </x:c>
      <x:c r="F2295" s="5" t="str">
        <x:v>ui-hq-0023</x:v>
      </x:c>
      <x:c r="G2295" s="5" t="str">
        <x:v>Materialwirtschaft und Lagerhaltung</x:v>
      </x:c>
      <x:c r="H2295" s="5" t="str">
        <x:v>dg-hq-0099</x:v>
      </x:c>
      <x:c r="I2295" s="5" t="str">
        <x:v>7.2.2.1#4</x:v>
      </x:c>
      <x:c r="J2295" s="5" t="str">
        <x:v>Eigen- und Fremdlagerung</x:v>
      </x:c>
      <x:c r="K2295" s="5" t="str"/>
      <x:c r="L2295" s="5" t="str">
        <x:v>Materialwirtschaft, Lagerung &amp; Kommissionierung</x:v>
      </x:c>
      <x:c r="M2295" s="5" t="n">
        <x:v>40</x:v>
      </x:c>
      <x:c r="N2295" s="5" t="n">
        <x:v>33</x:v>
      </x:c>
      <x:c r="O2295" s="5" t="str"/>
      <x:c r="P2295" s="5" t="str">
        <x:v>Zuordnungsvorschlag; Fachfreigabe ausstehend</x:v>
      </x:c>
      <x:c r="Q2295" s="5" t="str">
        <x:v>Bestehendes Lernthema fachlich unter passendem Rahmenplan-Unterbereich behalten</x:v>
      </x:c>
      <x:c r="R2295" s="5" t="str">
        <x:v>Die Circle Harbor GmbH benötigt dauerhaft ein Auslieferungslager. Ein Eigenlager verursacht monatlich 8.000 € Fixkosten und 2,50 € variable Kosten je m³ Lagerraum. Ein Fremdlager kostet 5,00 € je m³ und Monat. Berechnen Sie die kritische Lagermenge und erläutern Sie die Kostenentscheidung ober- und unterhalb dieser Menge.</x:v>
      </x:c>
      <x:c r="S2295" s="5" t="str">
        <x:v>e923c3472b56c6356fd2510e0b747ee1019155f14de2d17692357f79e231d3ee</x:v>
      </x:c>
    </x:row>
    <x:row r="2296" ht="36" customHeight="1">
      <x:c r="A2296" s="5" t="str">
        <x:v>L-0320</x:v>
      </x:c>
      <x:c r="B2296" s="5" t="str">
        <x:v>HQ</x:v>
      </x:c>
      <x:c r="C2296" s="5" t="str">
        <x:v>7</x:v>
      </x:c>
      <x:c r="D2296" s="5" t="str">
        <x:v>Logistik</x:v>
      </x:c>
      <x:c r="E2296" s="5" t="str">
        <x:v>Logistik</x:v>
      </x:c>
      <x:c r="F2296" s="5" t="str">
        <x:v>ui-hq-0024</x:v>
      </x:c>
      <x:c r="G2296" s="5" t="str">
        <x:v>Wertschöpfungskette</x:v>
      </x:c>
      <x:c r="H2296" s="5" t="str">
        <x:v>dg-hq-0093</x:v>
      </x:c>
      <x:c r="I2296" s="5" t="str">
        <x:v>7.3.2.2</x:v>
      </x:c>
      <x:c r="J2296" s="5" t="str">
        <x:v>Extern</x:v>
      </x:c>
      <x:c r="K2296" s="5" t="str"/>
      <x:c r="L2296" s="5" t="str">
        <x:v>Externe Transportsysteme, Verpackung &amp; Distribution</x:v>
      </x:c>
      <x:c r="M2296" s="5" t="n">
        <x:v>53</x:v>
      </x:c>
      <x:c r="N2296" s="5" t="n">
        <x:v>20</x:v>
      </x:c>
      <x:c r="O2296" s="5" t="str"/>
      <x:c r="P2296" s="5" t="str">
        <x:v>Zuordnungsvorschlag; Fachfreigabe ausstehend</x:v>
      </x:c>
      <x:c r="Q2296" s="5" t="str">
        <x:v>Bestehendes Lernthema fachlich unter passendem Rahmenplan-Unterbereich behalten</x:v>
      </x:c>
      <x:c r="R2296" s="5" t="str">
        <x:v>Die Circle Harbor GmbH muss gefährliche Güter auf Straße, Schiene und Binnenwasserstraße befördern. Ordnen Sie ADR, RID und ADN den Verkehrsträgern zu und erläutern Sie, welche zentrale Rolle die GGVSEB in Deutschland spielt.</x:v>
      </x:c>
      <x:c r="S2296" s="5" t="str">
        <x:v>a74c661230f22bb6df8a8092afb45e6454c789157436d71348fe8bf76f74a8e0</x:v>
      </x:c>
    </x:row>
    <x:row r="2297" ht="36" customHeight="1">
      <x:c r="A2297" s="5" t="str">
        <x:v>M-0001</x:v>
      </x:c>
      <x:c r="B2297" s="5" t="str">
        <x:v>HQ</x:v>
      </x:c>
      <x:c r="C2297" s="5" t="str">
        <x:v>8</x:v>
      </x:c>
      <x:c r="D2297" s="5" t="str">
        <x:v>Marketing und Vertrieb</x:v>
      </x:c>
      <x:c r="E2297" s="5" t="str">
        <x:v>Marketing</x:v>
      </x:c>
      <x:c r="F2297" s="5" t="str">
        <x:v>ui-hq-0028</x:v>
      </x:c>
      <x:c r="G2297" s="5" t="str">
        <x:v>Marketinginstrumentarium / Marketing-Mix</x:v>
      </x:c>
      <x:c r="H2297" s="5" t="str">
        <x:v>dg-hq-0114</x:v>
      </x:c>
      <x:c r="I2297" s="5" t="str">
        <x:v>8.2.6</x:v>
      </x:c>
      <x:c r="J2297" s="5" t="str">
        <x:v>Marketing-Mix</x:v>
      </x:c>
      <x:c r="K2297" s="5" t="str"/>
      <x:c r="L2297" s="5" t="str">
        <x:v>Marketingmix nach Markt- &amp; Leistungsart</x:v>
      </x:c>
      <x:c r="M2297" s="5" t="n">
        <x:v>1</x:v>
      </x:c>
      <x:c r="N2297" s="5" t="n">
        <x:v>1</x:v>
      </x:c>
      <x:c r="O2297" s="5" t="str"/>
      <x:c r="P2297" s="5" t="str">
        <x:v>Zuordnungsvorschlag; Fachfreigabe ausstehend</x:v>
      </x:c>
      <x:c r="Q2297" s="5" t="str">
        <x:v>Bestehendes Lernthema fachlich unter passendem Rahmenplan-Unterbereich behalten</x:v>
      </x:c>
      <x:c r="R2297" s="5" t="str">
        <x:v>Sie planen die Eröffnung eines stationären Fachgeschäfts für nachhaltige Freizeit- und Alltagsbekleidung. Die Hauptzielgruppe sind Erwachsene zwischen etwa 25 und 50 Jahren. Entwickeln Sie einen geeigneten Marketingmix und erläutern Sie konkrete Maßnahmen für Sortiment/Service, Preis, Standort bzw. Ladengestaltung, Kommunikation und Personal.</x:v>
      </x:c>
      <x:c r="S2297" s="5" t="str">
        <x:v>2abca56c7b4a2a6ea7569676d91c00705bfcef6cfec9496b6001daf243401aa8</x:v>
      </x:c>
    </x:row>
    <x:row r="2298" ht="36" customHeight="1">
      <x:c r="A2298" s="5" t="str">
        <x:v>M-0002</x:v>
      </x:c>
      <x:c r="B2298" s="5" t="str">
        <x:v>HQ</x:v>
      </x:c>
      <x:c r="C2298" s="5" t="str">
        <x:v>8</x:v>
      </x:c>
      <x:c r="D2298" s="5" t="str">
        <x:v>Marketing und Vertrieb</x:v>
      </x:c>
      <x:c r="E2298" s="5" t="str">
        <x:v>Marketing</x:v>
      </x:c>
      <x:c r="F2298" s="5" t="str">
        <x:v>ui-hq-0028</x:v>
      </x:c>
      <x:c r="G2298" s="5" t="str">
        <x:v>Marketinginstrumentarium / Marketing-Mix</x:v>
      </x:c>
      <x:c r="H2298" s="5" t="str">
        <x:v>dg-hq-0114</x:v>
      </x:c>
      <x:c r="I2298" s="5" t="str">
        <x:v>8.2.6</x:v>
      </x:c>
      <x:c r="J2298" s="5" t="str">
        <x:v>Marketing-Mix</x:v>
      </x:c>
      <x:c r="K2298" s="5" t="str"/>
      <x:c r="L2298" s="5" t="str">
        <x:v>Marketingmix nach Markt- &amp; Leistungsart</x:v>
      </x:c>
      <x:c r="M2298" s="5" t="n">
        <x:v>2</x:v>
      </x:c>
      <x:c r="N2298" s="5" t="n">
        <x:v>2</x:v>
      </x:c>
      <x:c r="O2298" s="5" t="str"/>
      <x:c r="P2298" s="5" t="str">
        <x:v>Zuordnungsvorschlag; Fachfreigabe ausstehend</x:v>
      </x:c>
      <x:c r="Q2298" s="5" t="str">
        <x:v>Bestehendes Lernthema fachlich unter passendem Rahmenplan-Unterbereich behalten</x:v>
      </x:c>
      <x:c r="R2298" s="5" t="str">
        <x:v>Ein Getränkehersteller bringt ein kalorienarmes Fitnessgetränk für sportlich aktive Erwachsene auf den Markt. Entwickeln Sie für die Markteinführung einen Marketingmix anhand der vier klassischen P und nennen Sie zu jedem Bereich mindestens zwei passende Maßnahmen.</x:v>
      </x:c>
      <x:c r="S2298" s="5" t="str">
        <x:v>22f6bf90908f8b640cbfc5185850ca5d01a1f3e9652b3436f57cff2dcdddf0b4</x:v>
      </x:c>
    </x:row>
    <x:row r="2299" ht="36" customHeight="1">
      <x:c r="A2299" s="5" t="str">
        <x:v>M-0003</x:v>
      </x:c>
      <x:c r="B2299" s="5" t="str">
        <x:v>HQ</x:v>
      </x:c>
      <x:c r="C2299" s="5" t="str">
        <x:v>8</x:v>
      </x:c>
      <x:c r="D2299" s="5" t="str">
        <x:v>Marketing und Vertrieb</x:v>
      </x:c>
      <x:c r="E2299" s="5" t="str">
        <x:v>Marketing</x:v>
      </x:c>
      <x:c r="F2299" s="5" t="str">
        <x:v>ui-hq-0028</x:v>
      </x:c>
      <x:c r="G2299" s="5" t="str">
        <x:v>Marketinginstrumentarium / Marketing-Mix</x:v>
      </x:c>
      <x:c r="H2299" s="5" t="str">
        <x:v>dg-hq-0114</x:v>
      </x:c>
      <x:c r="I2299" s="5" t="str">
        <x:v>8.2.6</x:v>
      </x:c>
      <x:c r="J2299" s="5" t="str">
        <x:v>Marketing-Mix</x:v>
      </x:c>
      <x:c r="K2299" s="5" t="str"/>
      <x:c r="L2299" s="5" t="str">
        <x:v>Marketingmix nach Markt- &amp; Leistungsart</x:v>
      </x:c>
      <x:c r="M2299" s="5" t="n">
        <x:v>3</x:v>
      </x:c>
      <x:c r="N2299" s="5" t="n">
        <x:v>3</x:v>
      </x:c>
      <x:c r="O2299" s="5" t="str"/>
      <x:c r="P2299" s="5" t="str">
        <x:v>Zuordnungsvorschlag; Fachfreigabe ausstehend</x:v>
      </x:c>
      <x:c r="Q2299" s="5" t="str">
        <x:v>Bestehendes Lernthema fachlich unter passendem Rahmenplan-Unterbereich behalten</x:v>
      </x:c>
      <x:c r="R2299" s="5" t="str">
        <x:v>Sie möchten ein hochwertiges Wellnessstudio eröffnen. Entwickeln Sie einen stimmigen Marketingmix. Berücksichtigen Sie dabei Leistungsangebot, Preis, Standort und Ausstattung, Kommunikation sowie die Rolle von Personal und Abläufen.</x:v>
      </x:c>
      <x:c r="S2299" s="5" t="str">
        <x:v>db149b4a8484ca5d3dcee641ec675ed58537d15dd4dc85b9aa6f31f4a33a85af</x:v>
      </x:c>
    </x:row>
    <x:row r="2300" ht="36" customHeight="1">
      <x:c r="A2300" s="5" t="str">
        <x:v>M-0004</x:v>
      </x:c>
      <x:c r="B2300" s="5" t="str">
        <x:v>HQ</x:v>
      </x:c>
      <x:c r="C2300" s="5" t="str">
        <x:v>8</x:v>
      </x:c>
      <x:c r="D2300" s="5" t="str">
        <x:v>Marketing und Vertrieb</x:v>
      </x:c>
      <x:c r="E2300" s="5" t="str">
        <x:v>Marketing</x:v>
      </x:c>
      <x:c r="F2300" s="5" t="str">
        <x:v>ui-hq-0027</x:v>
      </x:c>
      <x:c r="G2300" s="5" t="str">
        <x:v>Marketingplanung</x:v>
      </x:c>
      <x:c r="H2300" s="5" t="str">
        <x:v>dg-hq-0115</x:v>
      </x:c>
      <x:c r="I2300" s="5" t="str">
        <x:v>8.1.4</x:v>
      </x:c>
      <x:c r="J2300" s="5" t="str">
        <x:v>Marketingplan</x:v>
      </x:c>
      <x:c r="K2300" s="5" t="str"/>
      <x:c r="L2300" s="5" t="str">
        <x:v>Marketingplanung &amp; Marketingmix</x:v>
      </x:c>
      <x:c r="M2300" s="5" t="n">
        <x:v>1</x:v>
      </x:c>
      <x:c r="N2300" s="5" t="n">
        <x:v>1</x:v>
      </x:c>
      <x:c r="O2300" s="5" t="str"/>
      <x:c r="P2300" s="5" t="str">
        <x:v>Zuordnungsvorschlag; Fachfreigabe ausstehend</x:v>
      </x:c>
      <x:c r="Q2300" s="5" t="str">
        <x:v>Bestehendes Lernthema fachlich unter passendem Rahmenplan-Unterbereich behalten</x:v>
      </x:c>
      <x:c r="R2300" s="5" t="str">
        <x:v>Ergänzen Sie die ausgeschriebenen Bezeichnungen zu den Abkürzungen aus Marketing, Handel und Logistik.</x:v>
      </x:c>
      <x:c r="S2300" s="5" t="str">
        <x:v>32c627270b46f997821f1fe2333932823fce4b1cc81357571b03f8cbf40891e4</x:v>
      </x:c>
    </x:row>
    <x:row r="2301" ht="36" customHeight="1">
      <x:c r="A2301" s="5" t="str">
        <x:v>M-0005</x:v>
      </x:c>
      <x:c r="B2301" s="5" t="str">
        <x:v>HQ</x:v>
      </x:c>
      <x:c r="C2301" s="5" t="str">
        <x:v>8</x:v>
      </x:c>
      <x:c r="D2301" s="5" t="str">
        <x:v>Marketing und Vertrieb</x:v>
      </x:c>
      <x:c r="E2301" s="5" t="str">
        <x:v>Marketing</x:v>
      </x:c>
      <x:c r="F2301" s="5" t="str">
        <x:v>ui-hq-0027</x:v>
      </x:c>
      <x:c r="G2301" s="5" t="str">
        <x:v>Marketingplanung</x:v>
      </x:c>
      <x:c r="H2301" s="5" t="str">
        <x:v>dg-hq-0116</x:v>
      </x:c>
      <x:c r="I2301" s="5" t="str">
        <x:v>8.1.2</x:v>
      </x:c>
      <x:c r="J2301" s="5" t="str">
        <x:v>Marketing-Ziele</x:v>
      </x:c>
      <x:c r="K2301" s="5" t="str"/>
      <x:c r="L2301" s="5" t="str">
        <x:v>Marketinggrundlagen &amp; Marketingziele</x:v>
      </x:c>
      <x:c r="M2301" s="5" t="n">
        <x:v>2</x:v>
      </x:c>
      <x:c r="N2301" s="5" t="n">
        <x:v>1</x:v>
      </x:c>
      <x:c r="O2301" s="5" t="str"/>
      <x:c r="P2301" s="5" t="str">
        <x:v>Zuordnungsvorschlag; Fachfreigabe ausstehend</x:v>
      </x:c>
      <x:c r="Q2301" s="5" t="str">
        <x:v>Bestehendes Lernthema fachlich unter passendem Rahmenplan-Unterbereich behalten</x:v>
      </x:c>
      <x:c r="R2301" s="5" t="str">
        <x:v>Erläutern Sie, wie sich der Wandel vom Verkäufer- zum Käufermarkt auf die Rolle des Marketings im Unternehmen ausgewirkt hat. Nennen und erläutern Sie mindestens vier wesentliche Veränderungen.</x:v>
      </x:c>
      <x:c r="S2301" s="5" t="str">
        <x:v>3122c6206f22ae6cf69f6a1025c583fa21d6a5f708ce15af95be5056b2f34e23</x:v>
      </x:c>
    </x:row>
    <x:row r="2302" ht="36" customHeight="1">
      <x:c r="A2302" s="5" t="str">
        <x:v>M-0006</x:v>
      </x:c>
      <x:c r="B2302" s="5" t="str">
        <x:v>HQ</x:v>
      </x:c>
      <x:c r="C2302" s="5" t="str">
        <x:v>8</x:v>
      </x:c>
      <x:c r="D2302" s="5" t="str">
        <x:v>Marketing und Vertrieb</x:v>
      </x:c>
      <x:c r="E2302" s="5" t="str">
        <x:v>Marketing</x:v>
      </x:c>
      <x:c r="F2302" s="5" t="str">
        <x:v>ui-hq-0027</x:v>
      </x:c>
      <x:c r="G2302" s="5" t="str">
        <x:v>Marketingplanung</x:v>
      </x:c>
      <x:c r="H2302" s="5" t="str">
        <x:v>dg-hq-0116</x:v>
      </x:c>
      <x:c r="I2302" s="5" t="str">
        <x:v>8.1.2</x:v>
      </x:c>
      <x:c r="J2302" s="5" t="str">
        <x:v>Marketing-Ziele</x:v>
      </x:c>
      <x:c r="K2302" s="5" t="str"/>
      <x:c r="L2302" s="5" t="str">
        <x:v>Marketinggrundlagen &amp; Marketingziele</x:v>
      </x:c>
      <x:c r="M2302" s="5" t="n">
        <x:v>3</x:v>
      </x:c>
      <x:c r="N2302" s="5" t="n">
        <x:v>2</x:v>
      </x:c>
      <x:c r="O2302" s="5" t="str"/>
      <x:c r="P2302" s="5" t="str">
        <x:v>Zuordnungsvorschlag; Fachfreigabe ausstehend</x:v>
      </x:c>
      <x:c r="Q2302" s="5" t="str">
        <x:v>Bestehendes Lernthema fachlich unter passendem Rahmenplan-Unterbereich behalten</x:v>
      </x:c>
      <x:c r="R2302" s="5" t="str">
        <x:v>Welche zentralen Aufgaben erfüllt Marketing aus marktorientierter Sicht? Erläutern Sie den Zusammenhang zwischen Kundenbedürfnissen, Nutzenangebot, Kundenbindung und wirtschaftlichem Erfolg.</x:v>
      </x:c>
      <x:c r="S2302" s="5" t="str">
        <x:v>9110d85ea198bc403d49d1346fe85ee5120f97ff5bf5f088e307b878184385bb</x:v>
      </x:c>
    </x:row>
    <x:row r="2303" ht="36" customHeight="1">
      <x:c r="A2303" s="5" t="str">
        <x:v>M-0007</x:v>
      </x:c>
      <x:c r="B2303" s="5" t="str">
        <x:v>HQ</x:v>
      </x:c>
      <x:c r="C2303" s="5" t="str">
        <x:v>8</x:v>
      </x:c>
      <x:c r="D2303" s="5" t="str">
        <x:v>Marketing und Vertrieb</x:v>
      </x:c>
      <x:c r="E2303" s="5" t="str">
        <x:v>Marketing</x:v>
      </x:c>
      <x:c r="F2303" s="5" t="str">
        <x:v>ui-hq-0027</x:v>
      </x:c>
      <x:c r="G2303" s="5" t="str">
        <x:v>Marketingplanung</x:v>
      </x:c>
      <x:c r="H2303" s="5" t="str">
        <x:v>dg-hq-0115</x:v>
      </x:c>
      <x:c r="I2303" s="5" t="str">
        <x:v>8.1.4</x:v>
      </x:c>
      <x:c r="J2303" s="5" t="str">
        <x:v>Marketingplan</x:v>
      </x:c>
      <x:c r="K2303" s="5" t="str"/>
      <x:c r="L2303" s="5" t="str">
        <x:v>Marketingplanung &amp; Marketingmix</x:v>
      </x:c>
      <x:c r="M2303" s="5" t="n">
        <x:v>4</x:v>
      </x:c>
      <x:c r="N2303" s="5" t="n">
        <x:v>2</x:v>
      </x:c>
      <x:c r="O2303" s="5" t="str"/>
      <x:c r="P2303" s="5" t="str">
        <x:v>Zuordnungsvorschlag; Fachfreigabe ausstehend</x:v>
      </x:c>
      <x:c r="Q2303" s="5" t="str">
        <x:v>Bestehendes Lernthema fachlich unter passendem Rahmenplan-Unterbereich behalten</x:v>
      </x:c>
      <x:c r="R2303" s="5" t="str">
        <x:v>Ordnen Sie den drei Ebenen der Marketingplanung jeweils die passende Leitfrage und Funktion zu.</x:v>
      </x:c>
      <x:c r="S2303" s="5" t="str">
        <x:v>051cff47c97edd1e2664deda6307fa6b15b0d1b0b49274abfbdac8bb7adfd7c9</x:v>
      </x:c>
    </x:row>
    <x:row r="2304" ht="36" customHeight="1">
      <x:c r="A2304" s="5" t="str">
        <x:v>M-0008</x:v>
      </x:c>
      <x:c r="B2304" s="5" t="str">
        <x:v>HQ</x:v>
      </x:c>
      <x:c r="C2304" s="5" t="str">
        <x:v>8</x:v>
      </x:c>
      <x:c r="D2304" s="5" t="str">
        <x:v>Marketing und Vertrieb</x:v>
      </x:c>
      <x:c r="E2304" s="5" t="str">
        <x:v>Marketing</x:v>
      </x:c>
      <x:c r="F2304" s="5" t="str">
        <x:v>ui-hq-0027</x:v>
      </x:c>
      <x:c r="G2304" s="5" t="str">
        <x:v>Marketingplanung</x:v>
      </x:c>
      <x:c r="H2304" s="5" t="str">
        <x:v>dg-hq-0116</x:v>
      </x:c>
      <x:c r="I2304" s="5" t="str">
        <x:v>8.1.2</x:v>
      </x:c>
      <x:c r="J2304" s="5" t="str">
        <x:v>Marketing-Ziele</x:v>
      </x:c>
      <x:c r="K2304" s="5" t="str"/>
      <x:c r="L2304" s="5" t="str">
        <x:v>Marketinggrundlagen &amp; Marketingziele</x:v>
      </x:c>
      <x:c r="M2304" s="5" t="n">
        <x:v>5</x:v>
      </x:c>
      <x:c r="N2304" s="5" t="n">
        <x:v>3</x:v>
      </x:c>
      <x:c r="O2304" s="5" t="str"/>
      <x:c r="P2304" s="5" t="str">
        <x:v>Zuordnungsvorschlag; Fachfreigabe ausstehend</x:v>
      </x:c>
      <x:c r="Q2304" s="5" t="str">
        <x:v>Bestehendes Lernthema fachlich unter passendem Rahmenplan-Unterbereich behalten</x:v>
      </x:c>
      <x:c r="R2304" s="5" t="str">
        <x:v>Stellen Sie die Einordnung von Marketingzielen in die Zielhierarchie eines Unternehmens dar. Begründen Sie außerdem, warum klar formulierte Marketingziele Voraussetzung für Strategien und konkrete Marketingmaßnahmen sind.</x:v>
      </x:c>
      <x:c r="S2304" s="5" t="str">
        <x:v>9bc0942cac2c8cd1affd2e1df615efb9a66ce5c4f477c061fbbd60c896276dd0</x:v>
      </x:c>
    </x:row>
    <x:row r="2305" ht="36" customHeight="1">
      <x:c r="A2305" s="5" t="str">
        <x:v>M-0009</x:v>
      </x:c>
      <x:c r="B2305" s="5" t="str">
        <x:v>HQ</x:v>
      </x:c>
      <x:c r="C2305" s="5" t="str">
        <x:v>8</x:v>
      </x:c>
      <x:c r="D2305" s="5" t="str">
        <x:v>Marketing und Vertrieb</x:v>
      </x:c>
      <x:c r="E2305" s="5" t="str">
        <x:v>Marketing</x:v>
      </x:c>
      <x:c r="F2305" s="5" t="str">
        <x:v>ui-hq-0027</x:v>
      </x:c>
      <x:c r="G2305" s="5" t="str">
        <x:v>Marketingplanung</x:v>
      </x:c>
      <x:c r="H2305" s="5" t="str">
        <x:v>dg-hq-0116</x:v>
      </x:c>
      <x:c r="I2305" s="5" t="str">
        <x:v>8.1.2</x:v>
      </x:c>
      <x:c r="J2305" s="5" t="str">
        <x:v>Marketing-Ziele</x:v>
      </x:c>
      <x:c r="K2305" s="5" t="str"/>
      <x:c r="L2305" s="5" t="str">
        <x:v>Marketinggrundlagen &amp; Marketingziele</x:v>
      </x:c>
      <x:c r="M2305" s="5" t="n">
        <x:v>6</x:v>
      </x:c>
      <x:c r="N2305" s="5" t="n">
        <x:v>4</x:v>
      </x:c>
      <x:c r="O2305" s="5" t="str"/>
      <x:c r="P2305" s="5" t="str">
        <x:v>Zuordnungsvorschlag; Fachfreigabe ausstehend</x:v>
      </x:c>
      <x:c r="Q2305" s="5" t="str">
        <x:v>Bestehendes Lernthema fachlich unter passendem Rahmenplan-Unterbereich behalten</x:v>
      </x:c>
      <x:c r="R2305" s="5" t="str">
        <x:v>Ordnen Sie die genannten Marketingziele danach ein, ob sie überwiegend ökonomisch oder psychografisch ausgerichtet sind.</x:v>
      </x:c>
      <x:c r="S2305" s="5" t="str">
        <x:v>560e1737fd03f78d8b5987f24b788db92cdea93a7eb5f0d275526a2710fe6b95</x:v>
      </x:c>
    </x:row>
    <x:row r="2306" ht="36" customHeight="1">
      <x:c r="A2306" s="5" t="str">
        <x:v>M-0010</x:v>
      </x:c>
      <x:c r="B2306" s="5" t="str">
        <x:v>HQ</x:v>
      </x:c>
      <x:c r="C2306" s="5" t="str">
        <x:v>8</x:v>
      </x:c>
      <x:c r="D2306" s="5" t="str">
        <x:v>Marketing und Vertrieb</x:v>
      </x:c>
      <x:c r="E2306" s="5" t="str">
        <x:v>Marketing</x:v>
      </x:c>
      <x:c r="F2306" s="5" t="str">
        <x:v>ui-hq-0027</x:v>
      </x:c>
      <x:c r="G2306" s="5" t="str">
        <x:v>Marketingplanung</x:v>
      </x:c>
      <x:c r="H2306" s="5" t="str">
        <x:v>dg-hq-0116</x:v>
      </x:c>
      <x:c r="I2306" s="5" t="str">
        <x:v>8.1.2</x:v>
      </x:c>
      <x:c r="J2306" s="5" t="str">
        <x:v>Marketing-Ziele</x:v>
      </x:c>
      <x:c r="K2306" s="5" t="str"/>
      <x:c r="L2306" s="5" t="str">
        <x:v>Marketinggrundlagen &amp; Marketingziele</x:v>
      </x:c>
      <x:c r="M2306" s="5" t="n">
        <x:v>7</x:v>
      </x:c>
      <x:c r="N2306" s="5" t="n">
        <x:v>5</x:v>
      </x:c>
      <x:c r="O2306" s="5" t="str"/>
      <x:c r="P2306" s="5" t="str">
        <x:v>Zuordnungsvorschlag; Fachfreigabe ausstehend</x:v>
      </x:c>
      <x:c r="Q2306" s="5" t="str">
        <x:v>Bestehendes Lernthema fachlich unter passendem Rahmenplan-Unterbereich behalten</x:v>
      </x:c>
      <x:c r="R2306" s="5" t="str">
        <x:v>Circle Harbor formuliert das Ziel: „Wir möchten bei jungen Kundinnen und Kunden erfolgreicher werden.“ Beurteilen Sie diese Zielformulierung. Erläutern Sie anschließend die SMART-Kriterien und formulieren Sie ein geeignetes messbares Marketingziel.</x:v>
      </x:c>
      <x:c r="S2306" s="5" t="str">
        <x:v>06c2f614cf467e56f8bd6f2e49baebba2cab0f46562cb0f56d0f194cd40344fa</x:v>
      </x:c>
    </x:row>
    <x:row r="2307" ht="36" customHeight="1">
      <x:c r="A2307" s="5" t="str">
        <x:v>M-0011</x:v>
      </x:c>
      <x:c r="B2307" s="5" t="str">
        <x:v>HQ</x:v>
      </x:c>
      <x:c r="C2307" s="5" t="str">
        <x:v>8</x:v>
      </x:c>
      <x:c r="D2307" s="5" t="str">
        <x:v>Marketing und Vertrieb</x:v>
      </x:c>
      <x:c r="E2307" s="5" t="str">
        <x:v>Marketing</x:v>
      </x:c>
      <x:c r="F2307" s="5" t="str">
        <x:v>ui-hq-0027</x:v>
      </x:c>
      <x:c r="G2307" s="5" t="str">
        <x:v>Marketingplanung</x:v>
      </x:c>
      <x:c r="H2307" s="5" t="str">
        <x:v>dg-hq-0117</x:v>
      </x:c>
      <x:c r="I2307" s="5" t="str">
        <x:v>8.1.3.1</x:v>
      </x:c>
      <x:c r="J2307" s="5" t="str">
        <x:v>Arten von Strategien</x:v>
      </x:c>
      <x:c r="K2307" s="5" t="str"/>
      <x:c r="L2307" s="5" t="str">
        <x:v>Marketingstrategien &amp; strategische Analyse</x:v>
      </x:c>
      <x:c r="M2307" s="5" t="n">
        <x:v>8</x:v>
      </x:c>
      <x:c r="N2307" s="5" t="n">
        <x:v>1</x:v>
      </x:c>
      <x:c r="O2307" s="5" t="str"/>
      <x:c r="P2307" s="5" t="str">
        <x:v>Zuordnungsvorschlag; Fachfreigabe ausstehend</x:v>
      </x:c>
      <x:c r="Q2307" s="5" t="str">
        <x:v>Bestehendes Lernthema fachlich unter passendem Rahmenplan-Unterbereich behalten</x:v>
      </x:c>
      <x:c r="R2307" s="5" t="str">
        <x:v>Welche Funktion haben Marketingstrategien im Marketingprozess? Erläutern Sie ihre zeitliche Ausrichtung und ihren Zusammenhang mit Marketingzielen und Marketinginstrumenten.</x:v>
      </x:c>
      <x:c r="S2307" s="5" t="str">
        <x:v>8afb4eb49a059a6218270a5f3b55f1e5edad46ed93cf39b4865aea07f521d23f</x:v>
      </x:c>
    </x:row>
    <x:row r="2308" ht="36" customHeight="1">
      <x:c r="A2308" s="5" t="str">
        <x:v>M-0012</x:v>
      </x:c>
      <x:c r="B2308" s="5" t="str">
        <x:v>HQ</x:v>
      </x:c>
      <x:c r="C2308" s="5" t="str">
        <x:v>8</x:v>
      </x:c>
      <x:c r="D2308" s="5" t="str">
        <x:v>Marketing und Vertrieb</x:v>
      </x:c>
      <x:c r="E2308" s="5" t="str">
        <x:v>Marketing</x:v>
      </x:c>
      <x:c r="F2308" s="5" t="str">
        <x:v>ui-hq-0027</x:v>
      </x:c>
      <x:c r="G2308" s="5" t="str">
        <x:v>Marketingplanung</x:v>
      </x:c>
      <x:c r="H2308" s="5" t="str">
        <x:v>dg-hq-0118</x:v>
      </x:c>
      <x:c r="I2308" s="5" t="str">
        <x:v>8.1.1</x:v>
      </x:c>
      <x:c r="J2308" s="5" t="str">
        <x:v>Marketingprozess</x:v>
      </x:c>
      <x:c r="K2308" s="5" t="str"/>
      <x:c r="L2308" s="5" t="str">
        <x:v>Marktanalyse &amp; Marktforschung</x:v>
      </x:c>
      <x:c r="M2308" s="5" t="n">
        <x:v>9</x:v>
      </x:c>
      <x:c r="N2308" s="5" t="n">
        <x:v>1</x:v>
      </x:c>
      <x:c r="O2308" s="5" t="str"/>
      <x:c r="P2308" s="5" t="str">
        <x:v>Zuordnungsvorschlag; Fachfreigabe ausstehend</x:v>
      </x:c>
      <x:c r="Q2308" s="5" t="str">
        <x:v>Bestehendes Lernthema fachlich unter passendem Rahmenplan-Unterbereich behalten</x:v>
      </x:c>
      <x:c r="R2308" s="5" t="str">
        <x:v>Circle Harbor prüft die Einführung eines neuen Produkts. Nennen Sie mindestens vier interne und vier externe Untersuchungsbereiche einer Situationsanalyse und erläutern Sie, wie die Ergebnisse die Markteinführungsentscheidung beeinflussen.</x:v>
      </x:c>
      <x:c r="S2308" s="5" t="str">
        <x:v>a184e39fcf677f5a2cef3746f863f1b3c0f1e0ddd496ff93b7e5a61335a04517</x:v>
      </x:c>
    </x:row>
    <x:row r="2309" ht="36" customHeight="1">
      <x:c r="A2309" s="5" t="str">
        <x:v>M-0013</x:v>
      </x:c>
      <x:c r="B2309" s="5" t="str">
        <x:v>HQ</x:v>
      </x:c>
      <x:c r="C2309" s="5" t="str">
        <x:v>8</x:v>
      </x:c>
      <x:c r="D2309" s="5" t="str">
        <x:v>Marketing und Vertrieb</x:v>
      </x:c>
      <x:c r="E2309" s="5" t="str">
        <x:v>Marketing</x:v>
      </x:c>
      <x:c r="F2309" s="5" t="str">
        <x:v>ui-hq-0027</x:v>
      </x:c>
      <x:c r="G2309" s="5" t="str">
        <x:v>Marketingplanung</x:v>
      </x:c>
      <x:c r="H2309" s="5" t="str">
        <x:v>dg-hq-0118</x:v>
      </x:c>
      <x:c r="I2309" s="5" t="str">
        <x:v>8.1.1</x:v>
      </x:c>
      <x:c r="J2309" s="5" t="str">
        <x:v>Marketingprozess</x:v>
      </x:c>
      <x:c r="K2309" s="5" t="str"/>
      <x:c r="L2309" s="5" t="str">
        <x:v>Marktanalyse &amp; Marktforschung</x:v>
      </x:c>
      <x:c r="M2309" s="5" t="n">
        <x:v>10</x:v>
      </x:c>
      <x:c r="N2309" s="5" t="n">
        <x:v>2</x:v>
      </x:c>
      <x:c r="O2309" s="5" t="str"/>
      <x:c r="P2309" s="5" t="str">
        <x:v>Zuordnungsvorschlag; Fachfreigabe ausstehend</x:v>
      </x:c>
      <x:c r="Q2309" s="5" t="str">
        <x:v>Bestehendes Lernthema fachlich unter passendem Rahmenplan-Unterbereich behalten</x:v>
      </x:c>
      <x:c r="R2309" s="5" t="str">
        <x:v>Ordnen Sie die genannten Merkmale danach ein, ob sie eher für Primärforschung oder für Sekundärforschung typisch sind.</x:v>
      </x:c>
      <x:c r="S2309" s="5" t="str">
        <x:v>8fe9931fabc8005ff9a414717f1ca0f035f269327dfa935e589caa08170b32ec</x:v>
      </x:c>
    </x:row>
    <x:row r="2310" ht="36" customHeight="1">
      <x:c r="A2310" s="5" t="str">
        <x:v>M-0014</x:v>
      </x:c>
      <x:c r="B2310" s="5" t="str">
        <x:v>HQ</x:v>
      </x:c>
      <x:c r="C2310" s="5" t="str">
        <x:v>8</x:v>
      </x:c>
      <x:c r="D2310" s="5" t="str">
        <x:v>Marketing und Vertrieb</x:v>
      </x:c>
      <x:c r="E2310" s="5" t="str">
        <x:v>Marketing</x:v>
      </x:c>
      <x:c r="F2310" s="5" t="str">
        <x:v>ui-hq-0027</x:v>
      </x:c>
      <x:c r="G2310" s="5" t="str">
        <x:v>Marketingplanung</x:v>
      </x:c>
      <x:c r="H2310" s="5" t="str">
        <x:v>dg-hq-0118</x:v>
      </x:c>
      <x:c r="I2310" s="5" t="str">
        <x:v>8.1.1</x:v>
      </x:c>
      <x:c r="J2310" s="5" t="str">
        <x:v>Marketingprozess</x:v>
      </x:c>
      <x:c r="K2310" s="5" t="str"/>
      <x:c r="L2310" s="5" t="str">
        <x:v>Marktanalyse &amp; Marktforschung</x:v>
      </x:c>
      <x:c r="M2310" s="5" t="n">
        <x:v>11</x:v>
      </x:c>
      <x:c r="N2310" s="5" t="n">
        <x:v>3</x:v>
      </x:c>
      <x:c r="O2310" s="5" t="str"/>
      <x:c r="P2310" s="5" t="str">
        <x:v>Zuordnungsvorschlag; Fachfreigabe ausstehend</x:v>
      </x:c>
      <x:c r="Q2310" s="5" t="str">
        <x:v>Bestehendes Lernthema fachlich unter passendem Rahmenplan-Unterbereich behalten</x:v>
      </x:c>
      <x:c r="R2310" s="5" t="str">
        <x:v>Vervollständigen Sie die Systematik der Marktforschung: Nennen Sie zwei typische Quellenbereiche der Sekundärforschung sowie vier grundlegende Methoden der Primärforschung.</x:v>
      </x:c>
      <x:c r="S2310" s="5" t="str">
        <x:v>35dfc2295b56d3557c46d9b84d444c1f3fe365d083259305900e72e3ec3af5eb</x:v>
      </x:c>
    </x:row>
    <x:row r="2311" ht="36" customHeight="1">
      <x:c r="A2311" s="5" t="str">
        <x:v>M-0015</x:v>
      </x:c>
      <x:c r="B2311" s="5" t="str">
        <x:v>HQ</x:v>
      </x:c>
      <x:c r="C2311" s="5" t="str">
        <x:v>8</x:v>
      </x:c>
      <x:c r="D2311" s="5" t="str">
        <x:v>Marketing und Vertrieb</x:v>
      </x:c>
      <x:c r="E2311" s="5" t="str">
        <x:v>Marketing</x:v>
      </x:c>
      <x:c r="F2311" s="5" t="str">
        <x:v>ui-hq-0027</x:v>
      </x:c>
      <x:c r="G2311" s="5" t="str">
        <x:v>Marketingplanung</x:v>
      </x:c>
      <x:c r="H2311" s="5" t="str">
        <x:v>dg-hq-0118</x:v>
      </x:c>
      <x:c r="I2311" s="5" t="str">
        <x:v>8.1.1</x:v>
      </x:c>
      <x:c r="J2311" s="5" t="str">
        <x:v>Marketingprozess</x:v>
      </x:c>
      <x:c r="K2311" s="5" t="str"/>
      <x:c r="L2311" s="5" t="str">
        <x:v>Marktanalyse &amp; Marktforschung</x:v>
      </x:c>
      <x:c r="M2311" s="5" t="n">
        <x:v>12</x:v>
      </x:c>
      <x:c r="N2311" s="5" t="n">
        <x:v>4</x:v>
      </x:c>
      <x:c r="O2311" s="5" t="str"/>
      <x:c r="P2311" s="5" t="str">
        <x:v>Zuordnungsvorschlag; Fachfreigabe ausstehend</x:v>
      </x:c>
      <x:c r="Q2311" s="5" t="str">
        <x:v>Bestehendes Lernthema fachlich unter passendem Rahmenplan-Unterbereich behalten</x:v>
      </x:c>
      <x:c r="R2311" s="5" t="str">
        <x:v>Circle Harbor möchte seine Zielgruppe genauer abgrenzen. Erläutern Sie, welche Bedeutung Marktforschung für die Zielgruppenbildung hat, und nennen Sie mindestens sechs geeignete Kriterien zur Beschreibung und Segmentierung von Zielgruppen.</x:v>
      </x:c>
      <x:c r="S2311" s="5" t="str">
        <x:v>2d446f77689c359488221e3c1249671808ff62d28fa2a3c69595c9b10b76726e</x:v>
      </x:c>
    </x:row>
    <x:row r="2312" ht="36" customHeight="1">
      <x:c r="A2312" s="5" t="str">
        <x:v>M-0016</x:v>
      </x:c>
      <x:c r="B2312" s="5" t="str">
        <x:v>HQ</x:v>
      </x:c>
      <x:c r="C2312" s="5" t="str">
        <x:v>8</x:v>
      </x:c>
      <x:c r="D2312" s="5" t="str">
        <x:v>Marketing und Vertrieb</x:v>
      </x:c>
      <x:c r="E2312" s="5" t="str">
        <x:v>Marketing</x:v>
      </x:c>
      <x:c r="F2312" s="5" t="str">
        <x:v>ui-hq-0027</x:v>
      </x:c>
      <x:c r="G2312" s="5" t="str">
        <x:v>Marketingplanung</x:v>
      </x:c>
      <x:c r="H2312" s="5" t="str">
        <x:v>dg-hq-0118</x:v>
      </x:c>
      <x:c r="I2312" s="5" t="str">
        <x:v>8.1.1</x:v>
      </x:c>
      <x:c r="J2312" s="5" t="str">
        <x:v>Marketingprozess</x:v>
      </x:c>
      <x:c r="K2312" s="5" t="str"/>
      <x:c r="L2312" s="5" t="str">
        <x:v>Marktanalyse &amp; Marktforschung</x:v>
      </x:c>
      <x:c r="M2312" s="5" t="n">
        <x:v>13</x:v>
      </x:c>
      <x:c r="N2312" s="5" t="n">
        <x:v>5</x:v>
      </x:c>
      <x:c r="O2312" s="5" t="str"/>
      <x:c r="P2312" s="5" t="str">
        <x:v>Zuordnungsvorschlag; Fachfreigabe ausstehend</x:v>
      </x:c>
      <x:c r="Q2312" s="5" t="str">
        <x:v>Bestehendes Lernthema fachlich unter passendem Rahmenplan-Unterbereich behalten</x:v>
      </x:c>
      <x:c r="R2312" s="5" t="str">
        <x:v>Prüfen Sie die Aussagen zu undifferenzierter, differenzierter und konzentrierter Marktbearbeitung auf richtig oder falsch.</x:v>
      </x:c>
      <x:c r="S2312" s="5" t="str">
        <x:v>976a86e77a0e3306cb031cec9d52b6ace1c403f863d1c136ec3ef7a8405995e4</x:v>
      </x:c>
    </x:row>
    <x:row r="2313" ht="36" customHeight="1">
      <x:c r="A2313" s="5" t="str">
        <x:v>M-0017</x:v>
      </x:c>
      <x:c r="B2313" s="5" t="str">
        <x:v>HQ</x:v>
      </x:c>
      <x:c r="C2313" s="5" t="str">
        <x:v>8</x:v>
      </x:c>
      <x:c r="D2313" s="5" t="str">
        <x:v>Marketing und Vertrieb</x:v>
      </x:c>
      <x:c r="E2313" s="5" t="str">
        <x:v>Marketing</x:v>
      </x:c>
      <x:c r="F2313" s="5" t="str">
        <x:v>ui-hq-0027</x:v>
      </x:c>
      <x:c r="G2313" s="5" t="str">
        <x:v>Marketingplanung</x:v>
      </x:c>
      <x:c r="H2313" s="5" t="str">
        <x:v>dg-hq-0117</x:v>
      </x:c>
      <x:c r="I2313" s="5" t="str">
        <x:v>8.1.3.1</x:v>
      </x:c>
      <x:c r="J2313" s="5" t="str">
        <x:v>Arten von Strategien</x:v>
      </x:c>
      <x:c r="K2313" s="5" t="str"/>
      <x:c r="L2313" s="5" t="str">
        <x:v>Marketingstrategien &amp; strategische Analyse</x:v>
      </x:c>
      <x:c r="M2313" s="5" t="n">
        <x:v>14</x:v>
      </x:c>
      <x:c r="N2313" s="5" t="n">
        <x:v>2</x:v>
      </x:c>
      <x:c r="O2313" s="5" t="str"/>
      <x:c r="P2313" s="5" t="str">
        <x:v>Zuordnungsvorschlag; Fachfreigabe ausstehend</x:v>
      </x:c>
      <x:c r="Q2313" s="5" t="str">
        <x:v>Bestehendes Lernthema fachlich unter passendem Rahmenplan-Unterbereich behalten</x:v>
      </x:c>
      <x:c r="R2313" s="5" t="str">
        <x:v>Ordnen Sie die vier Produkt-Markt-Kombinationen der Ansoff-Matrix den passenden Wachstumsstrategien zu.</x:v>
      </x:c>
      <x:c r="S2313" s="5" t="str">
        <x:v>7a2a089615d11a6364b2db918e0a59be86baf45c56ac3113d0fd5cb36ec7bcd8</x:v>
      </x:c>
    </x:row>
    <x:row r="2314" ht="36" customHeight="1">
      <x:c r="A2314" s="5" t="str">
        <x:v>M-0018</x:v>
      </x:c>
      <x:c r="B2314" s="5" t="str">
        <x:v>HQ</x:v>
      </x:c>
      <x:c r="C2314" s="5" t="str">
        <x:v>8</x:v>
      </x:c>
      <x:c r="D2314" s="5" t="str">
        <x:v>Marketing und Vertrieb</x:v>
      </x:c>
      <x:c r="E2314" s="5" t="str">
        <x:v>Marketing</x:v>
      </x:c>
      <x:c r="F2314" s="5" t="str">
        <x:v>ui-hq-0027</x:v>
      </x:c>
      <x:c r="G2314" s="5" t="str">
        <x:v>Marketingplanung</x:v>
      </x:c>
      <x:c r="H2314" s="5" t="str">
        <x:v>dg-hq-0117</x:v>
      </x:c>
      <x:c r="I2314" s="5" t="str">
        <x:v>8.1.3</x:v>
      </x:c>
      <x:c r="J2314" s="5" t="str">
        <x:v>Marketingstrategien</x:v>
      </x:c>
      <x:c r="K2314" s="5" t="str"/>
      <x:c r="L2314" s="5" t="str">
        <x:v>Marketingstrategien &amp; strategische Analyse</x:v>
      </x:c>
      <x:c r="M2314" s="5" t="n">
        <x:v>15</x:v>
      </x:c>
      <x:c r="N2314" s="5" t="n">
        <x:v>3</x:v>
      </x:c>
      <x:c r="O2314" s="5" t="str"/>
      <x:c r="P2314" s="5" t="str">
        <x:v>Zuordnungsvorschlag; Fachfreigabe ausstehend</x:v>
      </x:c>
      <x:c r="Q2314" s="5" t="str">
        <x:v>Bestehendes Lernthema fachlich unter passendem Rahmenplan-Unterbereich behalten</x:v>
      </x:c>
      <x:c r="R2314" s="5" t="str">
        <x:v>Ordnen Sie typische Merkmale entweder der Präferenzstrategie oder der Preis-Mengen-Strategie zu.</x:v>
      </x:c>
      <x:c r="S2314" s="5" t="str">
        <x:v>4f89bd79bd64f487ea2b1174c4577f3f9d57c66468594253d6f18b20081d8671</x:v>
      </x:c>
    </x:row>
    <x:row r="2315" ht="36" customHeight="1">
      <x:c r="A2315" s="5" t="str">
        <x:v>M-0019</x:v>
      </x:c>
      <x:c r="B2315" s="5" t="str">
        <x:v>HQ</x:v>
      </x:c>
      <x:c r="C2315" s="5" t="str">
        <x:v>8</x:v>
      </x:c>
      <x:c r="D2315" s="5" t="str">
        <x:v>Marketing und Vertrieb</x:v>
      </x:c>
      <x:c r="E2315" s="5" t="str">
        <x:v>Marketing</x:v>
      </x:c>
      <x:c r="F2315" s="5" t="str">
        <x:v>ui-hq-0027</x:v>
      </x:c>
      <x:c r="G2315" s="5" t="str">
        <x:v>Marketingplanung</x:v>
      </x:c>
      <x:c r="H2315" s="5" t="str">
        <x:v>dg-hq-0117</x:v>
      </x:c>
      <x:c r="I2315" s="5" t="str">
        <x:v>8.1.3</x:v>
      </x:c>
      <x:c r="J2315" s="5" t="str">
        <x:v>Marketingstrategien</x:v>
      </x:c>
      <x:c r="K2315" s="5" t="str"/>
      <x:c r="L2315" s="5" t="str">
        <x:v>Marketingstrategien &amp; strategische Analyse</x:v>
      </x:c>
      <x:c r="M2315" s="5" t="n">
        <x:v>16</x:v>
      </x:c>
      <x:c r="N2315" s="5" t="n">
        <x:v>4</x:v>
      </x:c>
      <x:c r="O2315" s="5" t="str"/>
      <x:c r="P2315" s="5" t="str">
        <x:v>Zuordnungsvorschlag; Fachfreigabe ausstehend</x:v>
      </x:c>
      <x:c r="Q2315" s="5" t="str">
        <x:v>Bestehendes Lernthema fachlich unter passendem Rahmenplan-Unterbereich behalten</x:v>
      </x:c>
      <x:c r="R2315" s="5" t="str">
        <x:v>Vergleichen Sie Pionier-, Imitator- und Späteinsteigerstrategie beim Markteintritt. Erläutern Sie jede Strategie kurz und nennen Sie jeweils mindestens einen Vorteil und einen Nachteil.</x:v>
      </x:c>
      <x:c r="S2315" s="5" t="str">
        <x:v>d1d23d5d7ed5ca4524bfb10ac14cf8d32baeb62ac3c6f4b6cfe4daabddcec5e4</x:v>
      </x:c>
    </x:row>
    <x:row r="2316" ht="36" customHeight="1">
      <x:c r="A2316" s="5" t="str">
        <x:v>M-0020</x:v>
      </x:c>
      <x:c r="B2316" s="5" t="str">
        <x:v>HQ</x:v>
      </x:c>
      <x:c r="C2316" s="5" t="str">
        <x:v>8</x:v>
      </x:c>
      <x:c r="D2316" s="5" t="str">
        <x:v>Marketing und Vertrieb</x:v>
      </x:c>
      <x:c r="E2316" s="5" t="str">
        <x:v>Marketing</x:v>
      </x:c>
      <x:c r="F2316" s="5" t="str">
        <x:v>ui-hq-0027</x:v>
      </x:c>
      <x:c r="G2316" s="5" t="str">
        <x:v>Marketingplanung</x:v>
      </x:c>
      <x:c r="H2316" s="5" t="str">
        <x:v>dg-hq-0117</x:v>
      </x:c>
      <x:c r="I2316" s="5" t="str">
        <x:v>8.1.3</x:v>
      </x:c>
      <x:c r="J2316" s="5" t="str">
        <x:v>Marketingstrategien</x:v>
      </x:c>
      <x:c r="K2316" s="5" t="str"/>
      <x:c r="L2316" s="5" t="str">
        <x:v>Marketingstrategien &amp; strategische Analyse</x:v>
      </x:c>
      <x:c r="M2316" s="5" t="n">
        <x:v>17</x:v>
      </x:c>
      <x:c r="N2316" s="5" t="n">
        <x:v>5</x:v>
      </x:c>
      <x:c r="O2316" s="5" t="str"/>
      <x:c r="P2316" s="5" t="str">
        <x:v>Zuordnungsvorschlag; Fachfreigabe ausstehend</x:v>
      </x:c>
      <x:c r="Q2316" s="5" t="str">
        <x:v>Bestehendes Lernthema fachlich unter passendem Rahmenplan-Unterbereich behalten</x:v>
      </x:c>
      <x:c r="R2316" s="5" t="str">
        <x:v>Ordnen Sie die Merkmale den Wettbewerbsstrategien Differenzierung, Kostenführerschaft und Konzentration zu. Ordnen Sie anschließend Anpassungs-, Ausweich-, Kooperations- und Konfliktstrategie der jeweils passenden Reaktion auf Wettbewerbsdruck zu.</x:v>
      </x:c>
      <x:c r="S2316" s="5" t="str">
        <x:v>57785cff978778f38812cc14c4486504349c7a2b6cdcc09b5a8e5b786f1bc810</x:v>
      </x:c>
    </x:row>
    <x:row r="2317" ht="36" customHeight="1">
      <x:c r="A2317" s="5" t="str">
        <x:v>M-0021</x:v>
      </x:c>
      <x:c r="B2317" s="5" t="str">
        <x:v>HQ</x:v>
      </x:c>
      <x:c r="C2317" s="5" t="str">
        <x:v>8</x:v>
      </x:c>
      <x:c r="D2317" s="5" t="str">
        <x:v>Marketing und Vertrieb</x:v>
      </x:c>
      <x:c r="E2317" s="5" t="str">
        <x:v>Marketing</x:v>
      </x:c>
      <x:c r="F2317" s="5" t="str">
        <x:v>ui-hq-0027</x:v>
      </x:c>
      <x:c r="G2317" s="5" t="str">
        <x:v>Marketingplanung</x:v>
      </x:c>
      <x:c r="H2317" s="5" t="str">
        <x:v>dg-hq-0117</x:v>
      </x:c>
      <x:c r="I2317" s="5" t="str">
        <x:v>8.1.3.2</x:v>
      </x:c>
      <x:c r="J2317" s="5" t="str">
        <x:v>Techniken der strategischen Marketingplanung und -analyse</x:v>
      </x:c>
      <x:c r="K2317" s="5" t="str"/>
      <x:c r="L2317" s="5" t="str">
        <x:v>Marketingstrategien &amp; strategische Analyse</x:v>
      </x:c>
      <x:c r="M2317" s="5" t="n">
        <x:v>18</x:v>
      </x:c>
      <x:c r="N2317" s="5" t="n">
        <x:v>6</x:v>
      </x:c>
      <x:c r="O2317" s="5" t="str"/>
      <x:c r="P2317" s="5" t="str">
        <x:v>Zuordnungsvorschlag; Fachfreigabe ausstehend</x:v>
      </x:c>
      <x:c r="Q2317" s="5" t="str">
        <x:v>Bestehendes Lernthema fachlich unter passendem Rahmenplan-Unterbereich behalten</x:v>
      </x:c>
      <x:c r="R2317" s="5" t="str">
        <x:v>Circle Harbor möchte sich mit einem klaren USP vom Wettbewerb abheben. Erläutern Sie, warum eine eindeutige Alleinstellung für die Marketingplanung wichtig ist, und nennen Sie mindestens vier konkrete Nutzen einer systematischen USP-Analyse.</x:v>
      </x:c>
      <x:c r="S2317" s="5" t="str">
        <x:v>f89fda65fd06423dcfc6381befd03c9d9740ade4b67a051abea4d446b96102ce</x:v>
      </x:c>
    </x:row>
    <x:row r="2318" ht="36" customHeight="1">
      <x:c r="A2318" s="5" t="str">
        <x:v>M-0022</x:v>
      </x:c>
      <x:c r="B2318" s="5" t="str">
        <x:v>HQ</x:v>
      </x:c>
      <x:c r="C2318" s="5" t="str">
        <x:v>8</x:v>
      </x:c>
      <x:c r="D2318" s="5" t="str">
        <x:v>Marketing und Vertrieb</x:v>
      </x:c>
      <x:c r="E2318" s="5" t="str">
        <x:v>Marketing</x:v>
      </x:c>
      <x:c r="F2318" s="5" t="str">
        <x:v>ui-hq-0027</x:v>
      </x:c>
      <x:c r="G2318" s="5" t="str">
        <x:v>Marketingplanung</x:v>
      </x:c>
      <x:c r="H2318" s="5" t="str">
        <x:v>dg-hq-0117</x:v>
      </x:c>
      <x:c r="I2318" s="5" t="str">
        <x:v>8.1.3.1</x:v>
      </x:c>
      <x:c r="J2318" s="5" t="str">
        <x:v>Arten von Strategien</x:v>
      </x:c>
      <x:c r="K2318" s="5" t="str"/>
      <x:c r="L2318" s="5" t="str">
        <x:v>Marketingstrategien &amp; strategische Analyse</x:v>
      </x:c>
      <x:c r="M2318" s="5" t="n">
        <x:v>19</x:v>
      </x:c>
      <x:c r="N2318" s="5" t="n">
        <x:v>7</x:v>
      </x:c>
      <x:c r="O2318" s="5" t="str"/>
      <x:c r="P2318" s="5" t="str">
        <x:v>Zuordnungsvorschlag; Fachfreigabe ausstehend</x:v>
      </x:c>
      <x:c r="Q2318" s="5" t="str">
        <x:v>Bestehendes Lernthema fachlich unter passendem Rahmenplan-Unterbereich behalten</x:v>
      </x:c>
      <x:c r="R2318" s="5" t="str">
        <x:v>Ordnen Sie typische Merkmale globaler, multinationaler und gemischter internationaler Marketingstrategien zu.</x:v>
      </x:c>
      <x:c r="S2318" s="5" t="str">
        <x:v>8a0c24699c29e22c2d64021078db478a17f80eb906c6cf54de72d0d400dfdd54</x:v>
      </x:c>
    </x:row>
    <x:row r="2319" ht="36" customHeight="1">
      <x:c r="A2319" s="5" t="str">
        <x:v>M-0023</x:v>
      </x:c>
      <x:c r="B2319" s="5" t="str">
        <x:v>HQ</x:v>
      </x:c>
      <x:c r="C2319" s="5" t="str">
        <x:v>8</x:v>
      </x:c>
      <x:c r="D2319" s="5" t="str">
        <x:v>Marketing und Vertrieb</x:v>
      </x:c>
      <x:c r="E2319" s="5" t="str">
        <x:v>Marketing</x:v>
      </x:c>
      <x:c r="F2319" s="5" t="str">
        <x:v>ui-hq-0028</x:v>
      </x:c>
      <x:c r="G2319" s="5" t="str">
        <x:v>Marketinginstrumentarium / Marketing-Mix</x:v>
      </x:c>
      <x:c r="H2319" s="5" t="str">
        <x:v>dg-hq-0119</x:v>
      </x:c>
      <x:c r="I2319" s="5" t="str">
        <x:v>8.2.2</x:v>
      </x:c>
      <x:c r="J2319" s="5" t="str">
        <x:v>Produktpolitik</x:v>
      </x:c>
      <x:c r="K2319" s="5" t="str"/>
      <x:c r="L2319" s="5" t="str">
        <x:v>Produkt-, Sortiments- &amp; Servicepolitik</x:v>
      </x:c>
      <x:c r="M2319" s="5" t="n">
        <x:v>4</x:v>
      </x:c>
      <x:c r="N2319" s="5" t="n">
        <x:v>1</x:v>
      </x:c>
      <x:c r="O2319" s="5" t="str"/>
      <x:c r="P2319" s="5" t="str">
        <x:v>Zuordnungsvorschlag; Fachfreigabe ausstehend</x:v>
      </x:c>
      <x:c r="Q2319" s="5" t="str">
        <x:v>Bestehendes Lernthema fachlich unter passendem Rahmenplan-Unterbereich behalten</x:v>
      </x:c>
      <x:c r="R2319" s="5" t="str">
        <x:v>Erläutern Sie das Konzept Mass Customization. Nennen Sie mindestens drei typische Merkmale und entwickeln Sie drei Beispiele, wie kundenindividuelle Varianten trotz weitgehend standardisierter Massenfertigung angeboten werden können.</x:v>
      </x:c>
      <x:c r="S2319" s="5" t="str">
        <x:v>5105711ff27587594499aa079589cb50bf1f6655b83ddb49ebffae7fbc377f4f</x:v>
      </x:c>
    </x:row>
    <x:row r="2320" ht="36" customHeight="1">
      <x:c r="A2320" s="5" t="str">
        <x:v>M-0024</x:v>
      </x:c>
      <x:c r="B2320" s="5" t="str">
        <x:v>HQ</x:v>
      </x:c>
      <x:c r="C2320" s="5" t="str">
        <x:v>8</x:v>
      </x:c>
      <x:c r="D2320" s="5" t="str">
        <x:v>Marketing und Vertrieb</x:v>
      </x:c>
      <x:c r="E2320" s="5" t="str">
        <x:v>Marketing</x:v>
      </x:c>
      <x:c r="F2320" s="5" t="str">
        <x:v>ui-hq-0027</x:v>
      </x:c>
      <x:c r="G2320" s="5" t="str">
        <x:v>Marketingplanung</x:v>
      </x:c>
      <x:c r="H2320" s="5" t="str">
        <x:v>dg-hq-0120</x:v>
      </x:c>
      <x:c r="I2320" s="5" t="str">
        <x:v>8.1.3.2#1</x:v>
      </x:c>
      <x:c r="J2320" s="5" t="str">
        <x:v>Produktlebenszyklus</x:v>
      </x:c>
      <x:c r="K2320" s="5" t="str"/>
      <x:c r="L2320" s="5" t="str">
        <x:v>Marketingstrategien &amp; strategische Analyse</x:v>
      </x:c>
      <x:c r="M2320" s="5" t="n">
        <x:v>20</x:v>
      </x:c>
      <x:c r="N2320" s="5" t="n">
        <x:v>1</x:v>
      </x:c>
      <x:c r="O2320" s="5" t="str"/>
      <x:c r="P2320" s="5" t="str">
        <x:v>Zuordnungsvorschlag; Fachfreigabe ausstehend</x:v>
      </x:c>
      <x:c r="Q2320" s="5" t="str">
        <x:v>Gezielt geprüfter Einzelbeleg</x:v>
      </x:c>
      <x:c r="R2320" s="5" t="str">
        <x:v>Vervollständigen Sie die Phasen des Produktlebenszyklus in der richtigen Reihenfolge und ordnen Sie Umsatz- sowie Gewinn-/Verlustentwicklung grundsätzlich ein.</x:v>
      </x:c>
      <x:c r="S2320" s="5" t="str">
        <x:v>7c25768a53073eb577fea6f1584bf1449fcba266f6c15e31e3be6c45016d0321</x:v>
      </x:c>
    </x:row>
    <x:row r="2321" ht="36" customHeight="1">
      <x:c r="A2321" s="5" t="str">
        <x:v>M-0025</x:v>
      </x:c>
      <x:c r="B2321" s="5" t="str">
        <x:v>HQ</x:v>
      </x:c>
      <x:c r="C2321" s="5" t="str">
        <x:v>8</x:v>
      </x:c>
      <x:c r="D2321" s="5" t="str">
        <x:v>Marketing und Vertrieb</x:v>
      </x:c>
      <x:c r="E2321" s="5" t="str">
        <x:v>Marketing</x:v>
      </x:c>
      <x:c r="F2321" s="5" t="str">
        <x:v>ui-hq-0027</x:v>
      </x:c>
      <x:c r="G2321" s="5" t="str">
        <x:v>Marketingplanung</x:v>
      </x:c>
      <x:c r="H2321" s="5" t="str">
        <x:v>dg-hq-0121</x:v>
      </x:c>
      <x:c r="I2321" s="5" t="str">
        <x:v>8.1.3.2#2</x:v>
      </x:c>
      <x:c r="J2321" s="5" t="str">
        <x:v>Portfolio-Analyse</x:v>
      </x:c>
      <x:c r="K2321" s="5" t="str"/>
      <x:c r="L2321" s="5" t="str">
        <x:v>Marketingstrategien &amp; strategische Analyse</x:v>
      </x:c>
      <x:c r="M2321" s="5" t="n">
        <x:v>21</x:v>
      </x:c>
      <x:c r="N2321" s="5" t="n">
        <x:v>1</x:v>
      </x:c>
      <x:c r="O2321" s="5" t="str"/>
      <x:c r="P2321" s="5" t="str">
        <x:v>Zuordnungsvorschlag; Fachfreigabe ausstehend</x:v>
      </x:c>
      <x:c r="Q2321" s="5" t="str">
        <x:v>Gezielt geprüfter Einzelbeleg</x:v>
      </x:c>
      <x:c r="R2321" s="5" t="str">
        <x:v>Circle Harbor bewertet vier strategische Geschäftseinheiten mit einer Portfolioanalyse. Als Grenze gelten 5 % Marktwachstum und 100 % relativer Marktanteil. SGE A: Wachstum 8 %, eigener Marktanteil 30 %, stärkster Wettbewerber 20 %, Umsatzanteil 20 %. SGE B: Wachstum 2 %, eigener Marktanteil 40 %, stärkster Wettbewerber 20 %, Umsatzanteil 45 %. SGE C: Wachstum 10 %, eigener Marktanteil 10 %, stärkster Wettbewerber 25 %, Umsatzanteil 15 %. SGE D: Wachstum 1 %, eigener Marktanteil 5 %, stärkster Wettbewerber 25 %, Umsatzanteil 20 %. Berechnen Sie den relativen Marktanteil jeder SGE, ordnen Sie sie in die BCG-Matrix ein und nennen Sie jeweils eine passende Normstrategie.</x:v>
      </x:c>
      <x:c r="S2321" s="5" t="str">
        <x:v>2e9909b016f67cdc8a1b46c164ef4d82334edd6c5e55c93d70079be2b74d191f</x:v>
      </x:c>
    </x:row>
    <x:row r="2322" ht="36" customHeight="1">
      <x:c r="A2322" s="5" t="str">
        <x:v>M-0026</x:v>
      </x:c>
      <x:c r="B2322" s="5" t="str">
        <x:v>HQ</x:v>
      </x:c>
      <x:c r="C2322" s="5" t="str">
        <x:v>8</x:v>
      </x:c>
      <x:c r="D2322" s="5" t="str">
        <x:v>Marketing und Vertrieb</x:v>
      </x:c>
      <x:c r="E2322" s="5" t="str">
        <x:v>Marketing</x:v>
      </x:c>
      <x:c r="F2322" s="5" t="str">
        <x:v>ui-hq-0027</x:v>
      </x:c>
      <x:c r="G2322" s="5" t="str">
        <x:v>Marketingplanung</x:v>
      </x:c>
      <x:c r="H2322" s="5" t="str">
        <x:v>dg-hq-0122</x:v>
      </x:c>
      <x:c r="I2322" s="5" t="str">
        <x:v>8.1.3.2#5</x:v>
      </x:c>
      <x:c r="J2322" s="5" t="str">
        <x:v>Erfahrungskurven-Analyse</x:v>
      </x:c>
      <x:c r="K2322" s="5" t="str"/>
      <x:c r="L2322" s="5" t="str">
        <x:v>Marketingstrategien &amp; strategische Analyse</x:v>
      </x:c>
      <x:c r="M2322" s="5" t="n">
        <x:v>22</x:v>
      </x:c>
      <x:c r="N2322" s="5" t="n">
        <x:v>1</x:v>
      </x:c>
      <x:c r="O2322" s="5" t="str"/>
      <x:c r="P2322" s="5" t="str">
        <x:v>Zuordnungsvorschlag; Fachfreigabe ausstehend</x:v>
      </x:c>
      <x:c r="Q2322" s="5" t="str">
        <x:v>Gezielt geprüfter Einzelbeleg</x:v>
      </x:c>
      <x:c r="R2322" s="5" t="str">
        <x:v>Im Marketing von Circle Harbor: Erläutern Sie das Erfahrungskurvenkonzept und seine strategische Bedeutung. Unterstellen Sie, dass die Stückkosten bei jeder Verdopplung der kumulierten Ausbringungsmenge um 20 % sinken. Die Ausgangskosten betragen 50 € je Stück. Wie hoch sind die Stückkosten nach der ersten und nach der zweiten Verdopplung? Welche strategische Schlussfolgerung kann ein Unternehmen daraus ziehen?</x:v>
      </x:c>
      <x:c r="S2322" s="5" t="str">
        <x:v>e4be1b5d09611cbf941cec6934b75dadf07fabbf6657dd397c856a3d6be0d2e8</x:v>
      </x:c>
    </x:row>
    <x:row r="2323" ht="36" customHeight="1">
      <x:c r="A2323" s="5" t="str">
        <x:v>M-0027</x:v>
      </x:c>
      <x:c r="B2323" s="5" t="str">
        <x:v>HQ</x:v>
      </x:c>
      <x:c r="C2323" s="5" t="str">
        <x:v>8</x:v>
      </x:c>
      <x:c r="D2323" s="5" t="str">
        <x:v>Marketing und Vertrieb</x:v>
      </x:c>
      <x:c r="E2323" s="5" t="str">
        <x:v>Marketing</x:v>
      </x:c>
      <x:c r="F2323" s="5" t="str">
        <x:v>ui-hq-0027</x:v>
      </x:c>
      <x:c r="G2323" s="5" t="str">
        <x:v>Marketingplanung</x:v>
      </x:c>
      <x:c r="H2323" s="5" t="str">
        <x:v>dg-hq-0123</x:v>
      </x:c>
      <x:c r="I2323" s="5" t="str">
        <x:v>8.1.3.2#3</x:v>
      </x:c>
      <x:c r="J2323" s="5" t="str">
        <x:v>Branchenstrukturanalyse</x:v>
      </x:c>
      <x:c r="K2323" s="5" t="str"/>
      <x:c r="L2323" s="5" t="str">
        <x:v>Marketingstrategien &amp; strategische Analyse</x:v>
      </x:c>
      <x:c r="M2323" s="5" t="n">
        <x:v>23</x:v>
      </x:c>
      <x:c r="N2323" s="5" t="n">
        <x:v>1</x:v>
      </x:c>
      <x:c r="O2323" s="5" t="str"/>
      <x:c r="P2323" s="5" t="str">
        <x:v>Zuordnungsvorschlag; Fachfreigabe ausstehend</x:v>
      </x:c>
      <x:c r="Q2323" s="5" t="str">
        <x:v>Gezielt geprüfter Einzelbeleg</x:v>
      </x:c>
      <x:c r="R2323" s="5" t="str">
        <x:v>Ordnen Sie die Situationen den fünf Wettbewerbskräften nach Porter zu.</x:v>
      </x:c>
      <x:c r="S2323" s="5" t="str">
        <x:v>a7d71d7fd80ff1229b238d4db60d5a2247f93e61381b7f64588700e7ac20853c</x:v>
      </x:c>
    </x:row>
    <x:row r="2324" ht="36" customHeight="1">
      <x:c r="A2324" s="5" t="str">
        <x:v>M-0028</x:v>
      </x:c>
      <x:c r="B2324" s="5" t="str">
        <x:v>HQ</x:v>
      </x:c>
      <x:c r="C2324" s="5" t="str">
        <x:v>8</x:v>
      </x:c>
      <x:c r="D2324" s="5" t="str">
        <x:v>Marketing und Vertrieb</x:v>
      </x:c>
      <x:c r="E2324" s="5" t="str">
        <x:v>Marketing</x:v>
      </x:c>
      <x:c r="F2324" s="5" t="str">
        <x:v>ui-hq-0027</x:v>
      </x:c>
      <x:c r="G2324" s="5" t="str">
        <x:v>Marketingplanung</x:v>
      </x:c>
      <x:c r="H2324" s="5" t="str">
        <x:v>dg-hq-0115</x:v>
      </x:c>
      <x:c r="I2324" s="5" t="str">
        <x:v>8.1.4</x:v>
      </x:c>
      <x:c r="J2324" s="5" t="str">
        <x:v>Marketingplan</x:v>
      </x:c>
      <x:c r="K2324" s="5" t="str"/>
      <x:c r="L2324" s="5" t="str">
        <x:v>Marketingplanung &amp; Marketingmix</x:v>
      </x:c>
      <x:c r="M2324" s="5" t="n">
        <x:v>24</x:v>
      </x:c>
      <x:c r="N2324" s="5" t="n">
        <x:v>3</x:v>
      </x:c>
      <x:c r="O2324" s="5" t="str"/>
      <x:c r="P2324" s="5" t="str">
        <x:v>Zuordnungsvorschlag; Fachfreigabe ausstehend</x:v>
      </x:c>
      <x:c r="Q2324" s="5" t="str">
        <x:v>Bestehendes Lernthema fachlich unter passendem Rahmenplan-Unterbereich behalten</x:v>
      </x:c>
      <x:c r="R2324" s="5" t="str">
        <x:v>Nennen und erläutern Sie mindestens fünf Entwicklungen im Unternehmensumfeld, durch die eine systematische Marketingplanung wichtiger wird.</x:v>
      </x:c>
      <x:c r="S2324" s="5" t="str">
        <x:v>95b8999a40595178e29dac9eeed616a19f6f016e4d54d735ace7c9a1f7bc9b88</x:v>
      </x:c>
    </x:row>
    <x:row r="2325" ht="36" customHeight="1">
      <x:c r="A2325" s="5" t="str">
        <x:v>M-0029</x:v>
      </x:c>
      <x:c r="B2325" s="5" t="str">
        <x:v>HQ</x:v>
      </x:c>
      <x:c r="C2325" s="5" t="str">
        <x:v>8</x:v>
      </x:c>
      <x:c r="D2325" s="5" t="str">
        <x:v>Marketing und Vertrieb</x:v>
      </x:c>
      <x:c r="E2325" s="5" t="str">
        <x:v>Marketing</x:v>
      </x:c>
      <x:c r="F2325" s="5" t="str">
        <x:v>ui-hq-0027</x:v>
      </x:c>
      <x:c r="G2325" s="5" t="str">
        <x:v>Marketingplanung</x:v>
      </x:c>
      <x:c r="H2325" s="5" t="str">
        <x:v>dg-hq-0115</x:v>
      </x:c>
      <x:c r="I2325" s="5" t="str">
        <x:v>8.1.4</x:v>
      </x:c>
      <x:c r="J2325" s="5" t="str">
        <x:v>Marketingplan</x:v>
      </x:c>
      <x:c r="K2325" s="5" t="str"/>
      <x:c r="L2325" s="5" t="str">
        <x:v>Marketingplanung &amp; Marketingmix</x:v>
      </x:c>
      <x:c r="M2325" s="5" t="n">
        <x:v>25</x:v>
      </x:c>
      <x:c r="N2325" s="5" t="n">
        <x:v>4</x:v>
      </x:c>
      <x:c r="O2325" s="5" t="str"/>
      <x:c r="P2325" s="5" t="str">
        <x:v>Zuordnungsvorschlag; Fachfreigabe ausstehend</x:v>
      </x:c>
      <x:c r="Q2325" s="5" t="str">
        <x:v>Bestehendes Lernthema fachlich unter passendem Rahmenplan-Unterbereich behalten</x:v>
      </x:c>
      <x:c r="R2325" s="5" t="str">
        <x:v>Bringen Sie die sechs Schritte eines systematischen Marketingplanungsprozesses in die richtige Reihenfolge und ergänzen Sie die fehlenden Begriffe.</x:v>
      </x:c>
      <x:c r="S2325" s="5" t="str">
        <x:v>a75e2d78683cd6b64211ec5c0cd53c24be7ad9ecdaf418068d5e80e41e6defbe</x:v>
      </x:c>
    </x:row>
    <x:row r="2326" ht="36" customHeight="1">
      <x:c r="A2326" s="5" t="str">
        <x:v>M-0030</x:v>
      </x:c>
      <x:c r="B2326" s="5" t="str">
        <x:v>HQ</x:v>
      </x:c>
      <x:c r="C2326" s="5" t="str">
        <x:v>8</x:v>
      </x:c>
      <x:c r="D2326" s="5" t="str">
        <x:v>Marketing und Vertrieb</x:v>
      </x:c>
      <x:c r="E2326" s="5" t="str">
        <x:v>Marketing</x:v>
      </x:c>
      <x:c r="F2326" s="5" t="str">
        <x:v>ui-hq-0027</x:v>
      </x:c>
      <x:c r="G2326" s="5" t="str">
        <x:v>Marketingplanung</x:v>
      </x:c>
      <x:c r="H2326" s="5" t="str">
        <x:v>dg-hq-0115</x:v>
      </x:c>
      <x:c r="I2326" s="5" t="str">
        <x:v>8.1.4</x:v>
      </x:c>
      <x:c r="J2326" s="5" t="str">
        <x:v>Marketingplan</x:v>
      </x:c>
      <x:c r="K2326" s="5" t="str"/>
      <x:c r="L2326" s="5" t="str">
        <x:v>Marketingplanung &amp; Marketingmix</x:v>
      </x:c>
      <x:c r="M2326" s="5" t="n">
        <x:v>26</x:v>
      </x:c>
      <x:c r="N2326" s="5" t="n">
        <x:v>5</x:v>
      </x:c>
      <x:c r="O2326" s="5" t="str"/>
      <x:c r="P2326" s="5" t="str">
        <x:v>Zuordnungsvorschlag; Fachfreigabe ausstehend</x:v>
      </x:c>
      <x:c r="Q2326" s="5" t="str">
        <x:v>Bestehendes Lernthema fachlich unter passendem Rahmenplan-Unterbereich behalten</x:v>
      </x:c>
      <x:c r="R2326" s="5" t="str">
        <x:v>Ordnen Sie die Merkmale danach ein, ob sie eher für eine Strategie oder für eine Taktik typisch sind.</x:v>
      </x:c>
      <x:c r="S2326" s="5" t="str">
        <x:v>48a5c601aba1878e767e21df9d2af259d1f599eb832849376ae56e74fee5ddb0</x:v>
      </x:c>
    </x:row>
    <x:row r="2327" ht="36" customHeight="1">
      <x:c r="A2327" s="5" t="str">
        <x:v>M-0031</x:v>
      </x:c>
      <x:c r="B2327" s="5" t="str">
        <x:v>HQ</x:v>
      </x:c>
      <x:c r="C2327" s="5" t="str">
        <x:v>8</x:v>
      </x:c>
      <x:c r="D2327" s="5" t="str">
        <x:v>Marketing und Vertrieb</x:v>
      </x:c>
      <x:c r="E2327" s="5" t="str">
        <x:v>Marketing</x:v>
      </x:c>
      <x:c r="F2327" s="5" t="str">
        <x:v>ui-hq-0027</x:v>
      </x:c>
      <x:c r="G2327" s="5" t="str">
        <x:v>Marketingplanung</x:v>
      </x:c>
      <x:c r="H2327" s="5" t="str">
        <x:v>dg-hq-0115</x:v>
      </x:c>
      <x:c r="I2327" s="5" t="str">
        <x:v>8.1.4</x:v>
      </x:c>
      <x:c r="J2327" s="5" t="str">
        <x:v>Marketingplan</x:v>
      </x:c>
      <x:c r="K2327" s="5" t="str"/>
      <x:c r="L2327" s="5" t="str">
        <x:v>Marketingplanung &amp; Marketingmix</x:v>
      </x:c>
      <x:c r="M2327" s="5" t="n">
        <x:v>27</x:v>
      </x:c>
      <x:c r="N2327" s="5" t="n">
        <x:v>6</x:v>
      </x:c>
      <x:c r="O2327" s="5" t="str"/>
      <x:c r="P2327" s="5" t="str">
        <x:v>Zuordnungsvorschlag; Fachfreigabe ausstehend</x:v>
      </x:c>
      <x:c r="Q2327" s="5" t="str">
        <x:v>Bestehendes Lernthema fachlich unter passendem Rahmenplan-Unterbereich behalten</x:v>
      </x:c>
      <x:c r="R2327" s="5" t="str">
        <x:v>Ordnen Sie die genannten Maßnahmen den vier klassischen Instrumenten des Marketing-Mix zu: Product, Price, Place und Promotion.</x:v>
      </x:c>
      <x:c r="S2327" s="5" t="str">
        <x:v>193bb62f8cd0af7427da2cb3002415754de7c71af881ed50a558ff9a2395b515</x:v>
      </x:c>
    </x:row>
    <x:row r="2328" ht="36" customHeight="1">
      <x:c r="A2328" s="5" t="str">
        <x:v>M-0032</x:v>
      </x:c>
      <x:c r="B2328" s="5" t="str">
        <x:v>HQ</x:v>
      </x:c>
      <x:c r="C2328" s="5" t="str">
        <x:v>8</x:v>
      </x:c>
      <x:c r="D2328" s="5" t="str">
        <x:v>Marketing und Vertrieb</x:v>
      </x:c>
      <x:c r="E2328" s="5" t="str">
        <x:v>Marketing</x:v>
      </x:c>
      <x:c r="F2328" s="5" t="str">
        <x:v>ui-hq-0027</x:v>
      </x:c>
      <x:c r="G2328" s="5" t="str">
        <x:v>Marketingplanung</x:v>
      </x:c>
      <x:c r="H2328" s="5" t="str">
        <x:v>dg-hq-0115</x:v>
      </x:c>
      <x:c r="I2328" s="5" t="str">
        <x:v>8.1.4</x:v>
      </x:c>
      <x:c r="J2328" s="5" t="str">
        <x:v>Marketingplan</x:v>
      </x:c>
      <x:c r="K2328" s="5" t="str"/>
      <x:c r="L2328" s="5" t="str">
        <x:v>Marketingplanung &amp; Marketingmix</x:v>
      </x:c>
      <x:c r="M2328" s="5" t="n">
        <x:v>28</x:v>
      </x:c>
      <x:c r="N2328" s="5" t="n">
        <x:v>7</x:v>
      </x:c>
      <x:c r="O2328" s="5" t="str"/>
      <x:c r="P2328" s="5" t="str">
        <x:v>Zuordnungsvorschlag; Fachfreigabe ausstehend</x:v>
      </x:c>
      <x:c r="Q2328" s="5" t="str">
        <x:v>Bestehendes Lernthema fachlich unter passendem Rahmenplan-Unterbereich behalten</x:v>
      </x:c>
      <x:c r="R2328" s="5" t="str">
        <x:v>Bei Dienstleistungen wird der klassische Marketing-Mix häufig um drei weitere Instrumente ergänzt. Nennen und erläutern Sie diese drei zusätzlichen Ps und geben Sie jeweils ein praktisches Beispiel.</x:v>
      </x:c>
      <x:c r="S2328" s="5" t="str">
        <x:v>38ba23a06b4d551a5a1cd669926e7d89c88a56e88c668cc10994085625b406bb</x:v>
      </x:c>
    </x:row>
    <x:row r="2329" ht="36" customHeight="1">
      <x:c r="A2329" s="5" t="str">
        <x:v>M-0033</x:v>
      </x:c>
      <x:c r="B2329" s="5" t="str">
        <x:v>HQ</x:v>
      </x:c>
      <x:c r="C2329" s="5" t="str">
        <x:v>8</x:v>
      </x:c>
      <x:c r="D2329" s="5" t="str">
        <x:v>Marketing und Vertrieb</x:v>
      </x:c>
      <x:c r="E2329" s="5" t="str">
        <x:v>Marketing</x:v>
      </x:c>
      <x:c r="F2329" s="5" t="str">
        <x:v>ui-hq-0027</x:v>
      </x:c>
      <x:c r="G2329" s="5" t="str">
        <x:v>Marketingplanung</x:v>
      </x:c>
      <x:c r="H2329" s="5" t="str">
        <x:v>dg-hq-0115</x:v>
      </x:c>
      <x:c r="I2329" s="5" t="str">
        <x:v>8.1.4</x:v>
      </x:c>
      <x:c r="J2329" s="5" t="str">
        <x:v>Marketingplan</x:v>
      </x:c>
      <x:c r="K2329" s="5" t="str"/>
      <x:c r="L2329" s="5" t="str">
        <x:v>Marketingplanung &amp; Marketingmix</x:v>
      </x:c>
      <x:c r="M2329" s="5" t="n">
        <x:v>29</x:v>
      </x:c>
      <x:c r="N2329" s="5" t="n">
        <x:v>8</x:v>
      </x:c>
      <x:c r="O2329" s="5" t="str"/>
      <x:c r="P2329" s="5" t="str">
        <x:v>Zuordnungsvorschlag; Fachfreigabe ausstehend</x:v>
      </x:c>
      <x:c r="Q2329" s="5" t="str">
        <x:v>Bestehendes Lernthema fachlich unter passendem Rahmenplan-Unterbereich behalten</x:v>
      </x:c>
      <x:c r="R2329" s="5" t="str">
        <x:v>Vervollständigen Sie die Definition des Marketing-Mix.</x:v>
      </x:c>
      <x:c r="S2329" s="5" t="str">
        <x:v>001fb63f7fb05a9454547fb2a1a8528208917aa8a3fdb222f52454df1cd31fbc</x:v>
      </x:c>
    </x:row>
    <x:row r="2330" ht="36" customHeight="1">
      <x:c r="A2330" s="5" t="str">
        <x:v>M-0034</x:v>
      </x:c>
      <x:c r="B2330" s="5" t="str">
        <x:v>HQ</x:v>
      </x:c>
      <x:c r="C2330" s="5" t="str">
        <x:v>8</x:v>
      </x:c>
      <x:c r="D2330" s="5" t="str">
        <x:v>Marketing und Vertrieb</x:v>
      </x:c>
      <x:c r="E2330" s="5" t="str">
        <x:v>Marketing</x:v>
      </x:c>
      <x:c r="F2330" s="5" t="str">
        <x:v>ui-hq-0028</x:v>
      </x:c>
      <x:c r="G2330" s="5" t="str">
        <x:v>Marketinginstrumentarium / Marketing-Mix</x:v>
      </x:c>
      <x:c r="H2330" s="5" t="str">
        <x:v>dg-hq-0119</x:v>
      </x:c>
      <x:c r="I2330" s="5" t="str">
        <x:v>8.2.2.2</x:v>
      </x:c>
      <x:c r="J2330" s="5" t="str">
        <x:v>Programm- und Sortimentspolitik</x:v>
      </x:c>
      <x:c r="K2330" s="5" t="str"/>
      <x:c r="L2330" s="5" t="str">
        <x:v>Produkt-, Sortiments- &amp; Servicepolitik</x:v>
      </x:c>
      <x:c r="M2330" s="5" t="n">
        <x:v>5</x:v>
      </x:c>
      <x:c r="N2330" s="5" t="n">
        <x:v>2</x:v>
      </x:c>
      <x:c r="O2330" s="5" t="str"/>
      <x:c r="P2330" s="5" t="str">
        <x:v>Zuordnungsvorschlag; Fachfreigabe ausstehend</x:v>
      </x:c>
      <x:c r="Q2330" s="5" t="str">
        <x:v>Bestehendes Lernthema fachlich unter passendem Rahmenplan-Unterbereich behalten</x:v>
      </x:c>
      <x:c r="R2330" s="5" t="str">
        <x:v>Erläutern Sie die Aufgaben der Produktpolitik. Gehen Sie dabei auf die drei zentralen Bereiche Produktgestaltung, Programm- bzw. Sortimentspolitik und Servicepolitik sowie auf ökonomische und psychografische Ziele ein.</x:v>
      </x:c>
      <x:c r="S2330" s="5" t="str">
        <x:v>e451b574118684571b878ca9dd7149f37d88f4eb91b63aa8dfbe1849470fe41b</x:v>
      </x:c>
    </x:row>
    <x:row r="2331" ht="36" customHeight="1">
      <x:c r="A2331" s="5" t="str">
        <x:v>M-0035</x:v>
      </x:c>
      <x:c r="B2331" s="5" t="str">
        <x:v>HQ</x:v>
      </x:c>
      <x:c r="C2331" s="5" t="str">
        <x:v>8</x:v>
      </x:c>
      <x:c r="D2331" s="5" t="str">
        <x:v>Marketing und Vertrieb</x:v>
      </x:c>
      <x:c r="E2331" s="5" t="str">
        <x:v>Marketing</x:v>
      </x:c>
      <x:c r="F2331" s="5" t="str">
        <x:v>ui-hq-0028</x:v>
      </x:c>
      <x:c r="G2331" s="5" t="str">
        <x:v>Marketinginstrumentarium / Marketing-Mix</x:v>
      </x:c>
      <x:c r="H2331" s="5" t="str">
        <x:v>dg-hq-0119</x:v>
      </x:c>
      <x:c r="I2331" s="5" t="str">
        <x:v>8.2.2</x:v>
      </x:c>
      <x:c r="J2331" s="5" t="str">
        <x:v>Produktpolitik</x:v>
      </x:c>
      <x:c r="K2331" s="5" t="str"/>
      <x:c r="L2331" s="5" t="str">
        <x:v>Produkt-, Sortiments- &amp; Servicepolitik</x:v>
      </x:c>
      <x:c r="M2331" s="5" t="n">
        <x:v>6</x:v>
      </x:c>
      <x:c r="N2331" s="5" t="n">
        <x:v>3</x:v>
      </x:c>
      <x:c r="O2331" s="5" t="str"/>
      <x:c r="P2331" s="5" t="str">
        <x:v>Zuordnungsvorschlag; Fachfreigabe ausstehend</x:v>
      </x:c>
      <x:c r="Q2331" s="5" t="str">
        <x:v>Bestehendes Lernthema fachlich unter passendem Rahmenplan-Unterbereich behalten</x:v>
      </x:c>
      <x:c r="R2331" s="5" t="str">
        <x:v>Ordnen Sie verschiedene Nutzenarten eines Produkts danach ein, ob sie zum Grundnutzen oder zum Zusatznutzen gehören.</x:v>
      </x:c>
      <x:c r="S2331" s="5" t="str">
        <x:v>b21d493a66c2eaf630c8985c0a6996d40e5247e750fe1cce57a0200fc72d9d61</x:v>
      </x:c>
    </x:row>
    <x:row r="2332" ht="36" customHeight="1">
      <x:c r="A2332" s="5" t="str">
        <x:v>M-0036</x:v>
      </x:c>
      <x:c r="B2332" s="5" t="str">
        <x:v>HQ</x:v>
      </x:c>
      <x:c r="C2332" s="5" t="str">
        <x:v>8</x:v>
      </x:c>
      <x:c r="D2332" s="5" t="str">
        <x:v>Marketing und Vertrieb</x:v>
      </x:c>
      <x:c r="E2332" s="5" t="str">
        <x:v>Marketing</x:v>
      </x:c>
      <x:c r="F2332" s="5" t="str">
        <x:v>ui-hq-0028</x:v>
      </x:c>
      <x:c r="G2332" s="5" t="str">
        <x:v>Marketinginstrumentarium / Marketing-Mix</x:v>
      </x:c>
      <x:c r="H2332" s="5" t="str">
        <x:v>dg-hq-0119</x:v>
      </x:c>
      <x:c r="I2332" s="5" t="str">
        <x:v>8.2.2</x:v>
      </x:c>
      <x:c r="J2332" s="5" t="str">
        <x:v>Produktpolitik</x:v>
      </x:c>
      <x:c r="K2332" s="5" t="str"/>
      <x:c r="L2332" s="5" t="str">
        <x:v>Produkt-, Sortiments- &amp; Servicepolitik</x:v>
      </x:c>
      <x:c r="M2332" s="5" t="n">
        <x:v>7</x:v>
      </x:c>
      <x:c r="N2332" s="5" t="n">
        <x:v>4</x:v>
      </x:c>
      <x:c r="O2332" s="5" t="str"/>
      <x:c r="P2332" s="5" t="str">
        <x:v>Zuordnungsvorschlag; Fachfreigabe ausstehend</x:v>
      </x:c>
      <x:c r="Q2332" s="5" t="str">
        <x:v>Bestehendes Lernthema fachlich unter passendem Rahmenplan-Unterbereich behalten</x:v>
      </x:c>
      <x:c r="R2332" s="5" t="str">
        <x:v>Ein Hersteller entwickelt ein neues Haushaltsgerät. Erläutern Sie vier zentrale Gestaltungsbereiche, mit denen das Produkt am Markt profiliert werden kann, und zeigen Sie, wie daraus ein überzeugender USP entstehen kann.</x:v>
      </x:c>
      <x:c r="S2332" s="5" t="str">
        <x:v>46fcfb5de7f0bfe240dfdf6e4768e436f92b82b6c64f0d4d287218032ace6b32</x:v>
      </x:c>
    </x:row>
    <x:row r="2333" ht="36" customHeight="1">
      <x:c r="A2333" s="5" t="str">
        <x:v>M-0037</x:v>
      </x:c>
      <x:c r="B2333" s="5" t="str">
        <x:v>HQ</x:v>
      </x:c>
      <x:c r="C2333" s="5" t="str">
        <x:v>8</x:v>
      </x:c>
      <x:c r="D2333" s="5" t="str">
        <x:v>Marketing und Vertrieb</x:v>
      </x:c>
      <x:c r="E2333" s="5" t="str">
        <x:v>Marketing</x:v>
      </x:c>
      <x:c r="F2333" s="5" t="str">
        <x:v>ui-hq-0028</x:v>
      </x:c>
      <x:c r="G2333" s="5" t="str">
        <x:v>Marketinginstrumentarium / Marketing-Mix</x:v>
      </x:c>
      <x:c r="H2333" s="5" t="str">
        <x:v>dg-hq-0119</x:v>
      </x:c>
      <x:c r="I2333" s="5" t="str">
        <x:v>8.2.2.1</x:v>
      </x:c>
      <x:c r="J2333" s="5" t="str">
        <x:v>Produktgestaltung</x:v>
      </x:c>
      <x:c r="K2333" s="5" t="str"/>
      <x:c r="L2333" s="5" t="str">
        <x:v>Produkt-, Sortiments- &amp; Servicepolitik</x:v>
      </x:c>
      <x:c r="M2333" s="5" t="n">
        <x:v>8</x:v>
      </x:c>
      <x:c r="N2333" s="5" t="n">
        <x:v>5</x:v>
      </x:c>
      <x:c r="O2333" s="5" t="str"/>
      <x:c r="P2333" s="5" t="str">
        <x:v>Zuordnungsvorschlag; Fachfreigabe ausstehend</x:v>
      </x:c>
      <x:c r="Q2333" s="5" t="str">
        <x:v>Bestehendes Lernthema fachlich unter passendem Rahmenplan-Unterbereich behalten</x:v>
      </x:c>
      <x:c r="R2333" s="5" t="str">
        <x:v>Im Marketing von Circle Harbor: Vergleichen Sie objektive und subjektive Qualitätsurteile aus Marketingsicht. Erläutern Sie, wie ein Unternehmen beide Arten der Qualitätsbewertung erfassen und für die Produktgestaltung nutzen kann.</x:v>
      </x:c>
      <x:c r="S2333" s="5" t="str">
        <x:v>409d8500bbf6898f9c7111632da7d369f86d245cf524c2a384da8471ef3affa9</x:v>
      </x:c>
    </x:row>
    <x:row r="2334" ht="36" customHeight="1">
      <x:c r="A2334" s="5" t="str">
        <x:v>M-0038</x:v>
      </x:c>
      <x:c r="B2334" s="5" t="str">
        <x:v>HQ</x:v>
      </x:c>
      <x:c r="C2334" s="5" t="str">
        <x:v>8</x:v>
      </x:c>
      <x:c r="D2334" s="5" t="str">
        <x:v>Marketing und Vertrieb</x:v>
      </x:c>
      <x:c r="E2334" s="5" t="str">
        <x:v>Marketing</x:v>
      </x:c>
      <x:c r="F2334" s="5" t="str">
        <x:v>ui-hq-0028</x:v>
      </x:c>
      <x:c r="G2334" s="5" t="str">
        <x:v>Marketinginstrumentarium / Marketing-Mix</x:v>
      </x:c>
      <x:c r="H2334" s="5" t="str">
        <x:v>dg-hq-0119</x:v>
      </x:c>
      <x:c r="I2334" s="5" t="str">
        <x:v>8.2.2</x:v>
      </x:c>
      <x:c r="J2334" s="5" t="str">
        <x:v>Produktpolitik</x:v>
      </x:c>
      <x:c r="K2334" s="5" t="str"/>
      <x:c r="L2334" s="5" t="str">
        <x:v>Produkt-, Sortiments- &amp; Servicepolitik</x:v>
      </x:c>
      <x:c r="M2334" s="5" t="n">
        <x:v>9</x:v>
      </x:c>
      <x:c r="N2334" s="5" t="n">
        <x:v>6</x:v>
      </x:c>
      <x:c r="O2334" s="5" t="str"/>
      <x:c r="P2334" s="5" t="str">
        <x:v>Zuordnungsvorschlag; Fachfreigabe ausstehend</x:v>
      </x:c>
      <x:c r="Q2334" s="5" t="str">
        <x:v>Bestehendes Lernthema fachlich unter passendem Rahmenplan-Unterbereich behalten</x:v>
      </x:c>
      <x:c r="R2334" s="5" t="str">
        <x:v>Fallbezug: Die folgenden betrieblichen Angaben und Situationen beziehen sich auf die Circle Harbor GmbH.
Ein Hersteller überarbeitet die Verpackung eines neuen Produkts. Erläutern Sie die Bedeutung der vier Gestaltungsfaktoren Material, Oberfläche, Form und Farbe und nennen Sie jeweils einen möglichen Marketing- oder Funktionsbezug.</x:v>
      </x:c>
      <x:c r="S2334" s="5" t="str">
        <x:v>cd9afbd6ea10823a5cbcb61571d9a41e268066abaedab839b51cc0d0c74bc10b</x:v>
      </x:c>
    </x:row>
    <x:row r="2335" ht="36" customHeight="1">
      <x:c r="A2335" s="5" t="str">
        <x:v>M-0039</x:v>
      </x:c>
      <x:c r="B2335" s="5" t="str">
        <x:v>HQ</x:v>
      </x:c>
      <x:c r="C2335" s="5" t="str">
        <x:v>8</x:v>
      </x:c>
      <x:c r="D2335" s="5" t="str">
        <x:v>Marketing und Vertrieb</x:v>
      </x:c>
      <x:c r="E2335" s="5" t="str">
        <x:v>Marketing</x:v>
      </x:c>
      <x:c r="F2335" s="5" t="str">
        <x:v>ui-hq-0028</x:v>
      </x:c>
      <x:c r="G2335" s="5" t="str">
        <x:v>Marketinginstrumentarium / Marketing-Mix</x:v>
      </x:c>
      <x:c r="H2335" s="5" t="str">
        <x:v>dg-hq-0119</x:v>
      </x:c>
      <x:c r="I2335" s="5" t="str">
        <x:v>8.2.2</x:v>
      </x:c>
      <x:c r="J2335" s="5" t="str">
        <x:v>Produktpolitik</x:v>
      </x:c>
      <x:c r="K2335" s="5" t="str"/>
      <x:c r="L2335" s="5" t="str">
        <x:v>Produkt-, Sortiments- &amp; Servicepolitik</x:v>
      </x:c>
      <x:c r="M2335" s="5" t="n">
        <x:v>10</x:v>
      </x:c>
      <x:c r="N2335" s="5" t="n">
        <x:v>7</x:v>
      </x:c>
      <x:c r="O2335" s="5" t="str"/>
      <x:c r="P2335" s="5" t="str">
        <x:v>Zuordnungsvorschlag; Fachfreigabe ausstehend</x:v>
      </x:c>
      <x:c r="Q2335" s="5" t="str">
        <x:v>Bestehendes Lernthema fachlich unter passendem Rahmenplan-Unterbereich behalten</x:v>
      </x:c>
      <x:c r="R2335" s="5" t="str">
        <x:v>Ordnen Sie typische Aufgaben einer Verpackung der technischen, absatzwirtschaftlichen oder ökologischen Funktion zu.</x:v>
      </x:c>
      <x:c r="S2335" s="5" t="str">
        <x:v>45863ba2af98fd44279662f2cdab03bf33c6c13ebc6d8dc8f6ea7a75382635e3</x:v>
      </x:c>
    </x:row>
    <x:row r="2336" ht="36" customHeight="1">
      <x:c r="A2336" s="5" t="str">
        <x:v>M-0040</x:v>
      </x:c>
      <x:c r="B2336" s="5" t="str">
        <x:v>HQ</x:v>
      </x:c>
      <x:c r="C2336" s="5" t="str">
        <x:v>8</x:v>
      </x:c>
      <x:c r="D2336" s="5" t="str">
        <x:v>Marketing und Vertrieb</x:v>
      </x:c>
      <x:c r="E2336" s="5" t="str">
        <x:v>Marketing</x:v>
      </x:c>
      <x:c r="F2336" s="5" t="str">
        <x:v>ui-hq-0028</x:v>
      </x:c>
      <x:c r="G2336" s="5" t="str">
        <x:v>Marketinginstrumentarium / Marketing-Mix</x:v>
      </x:c>
      <x:c r="H2336" s="5" t="str">
        <x:v>dg-hq-0119</x:v>
      </x:c>
      <x:c r="I2336" s="5" t="str">
        <x:v>8.2.2</x:v>
      </x:c>
      <x:c r="J2336" s="5" t="str">
        <x:v>Produktpolitik</x:v>
      </x:c>
      <x:c r="K2336" s="5" t="str"/>
      <x:c r="L2336" s="5" t="str">
        <x:v>Produkt-, Sortiments- &amp; Servicepolitik</x:v>
      </x:c>
      <x:c r="M2336" s="5" t="n">
        <x:v>11</x:v>
      </x:c>
      <x:c r="N2336" s="5" t="n">
        <x:v>8</x:v>
      </x:c>
      <x:c r="O2336" s="5" t="str"/>
      <x:c r="P2336" s="5" t="str">
        <x:v>Zuordnungsvorschlag; Fachfreigabe ausstehend</x:v>
      </x:c>
      <x:c r="Q2336" s="5" t="str">
        <x:v>Bestehendes Lernthema fachlich unter passendem Rahmenplan-Unterbereich behalten</x:v>
      </x:c>
      <x:c r="R2336" s="5" t="str">
        <x:v>Circle Harbor möchte eine neue Marke aufbauen. Erläutern Sie, welche Arten von Zeichen grundsätzlich als Marke dienen können, unterscheiden Sie vier typische Markenformen und nennen Sie jeweils mindestens vier Vorteile einer starken Marke sowie vier Anforderungen an einen geeigneten Markennamen.</x:v>
      </x:c>
      <x:c r="S2336" s="5" t="str">
        <x:v>300fca6b8dd2614fa727d9c762f5c672680d9a668fd3cdc44d8233aae34ce7fd</x:v>
      </x:c>
    </x:row>
    <x:row r="2337" ht="36" customHeight="1">
      <x:c r="A2337" s="5" t="str">
        <x:v>M-0041</x:v>
      </x:c>
      <x:c r="B2337" s="5" t="str">
        <x:v>HQ</x:v>
      </x:c>
      <x:c r="C2337" s="5" t="str">
        <x:v>8</x:v>
      </x:c>
      <x:c r="D2337" s="5" t="str">
        <x:v>Marketing und Vertrieb</x:v>
      </x:c>
      <x:c r="E2337" s="5" t="str">
        <x:v>Marketing</x:v>
      </x:c>
      <x:c r="F2337" s="5" t="str">
        <x:v>ui-hq-0028</x:v>
      </x:c>
      <x:c r="G2337" s="5" t="str">
        <x:v>Marketinginstrumentarium / Marketing-Mix</x:v>
      </x:c>
      <x:c r="H2337" s="5" t="str">
        <x:v>dg-hq-0119</x:v>
      </x:c>
      <x:c r="I2337" s="5" t="str">
        <x:v>8.2.2</x:v>
      </x:c>
      <x:c r="J2337" s="5" t="str">
        <x:v>Produktpolitik</x:v>
      </x:c>
      <x:c r="K2337" s="5" t="str"/>
      <x:c r="L2337" s="5" t="str">
        <x:v>Produkt-, Sortiments- &amp; Servicepolitik</x:v>
      </x:c>
      <x:c r="M2337" s="5" t="n">
        <x:v>12</x:v>
      </x:c>
      <x:c r="N2337" s="5" t="n">
        <x:v>9</x:v>
      </x:c>
      <x:c r="O2337" s="5" t="str"/>
      <x:c r="P2337" s="5" t="str">
        <x:v>Zuordnungsvorschlag; Fachfreigabe ausstehend</x:v>
      </x:c>
      <x:c r="Q2337" s="5" t="str">
        <x:v>Bestehendes Lernthema fachlich unter passendem Rahmenplan-Unterbereich behalten</x:v>
      </x:c>
      <x:c r="R2337" s="5" t="str">
        <x:v>Ordnen Sie typische Merkmale einer Hersteller- oder einer Handelsmarke zu.</x:v>
      </x:c>
      <x:c r="S2337" s="5" t="str">
        <x:v>3fffbe472b480018cb5574884adecb4d261e5e8f1a124f684a809d438b774158</x:v>
      </x:c>
    </x:row>
    <x:row r="2338" ht="36" customHeight="1">
      <x:c r="A2338" s="5" t="str">
        <x:v>M-0042</x:v>
      </x:c>
      <x:c r="B2338" s="5" t="str">
        <x:v>HQ</x:v>
      </x:c>
      <x:c r="C2338" s="5" t="str">
        <x:v>8</x:v>
      </x:c>
      <x:c r="D2338" s="5" t="str">
        <x:v>Marketing und Vertrieb</x:v>
      </x:c>
      <x:c r="E2338" s="5" t="str">
        <x:v>Marketing</x:v>
      </x:c>
      <x:c r="F2338" s="5" t="str">
        <x:v>ui-hq-0028</x:v>
      </x:c>
      <x:c r="G2338" s="5" t="str">
        <x:v>Marketinginstrumentarium / Marketing-Mix</x:v>
      </x:c>
      <x:c r="H2338" s="5" t="str">
        <x:v>dg-hq-0119</x:v>
      </x:c>
      <x:c r="I2338" s="5" t="str">
        <x:v>8.2.2.1#2</x:v>
      </x:c>
      <x:c r="J2338" s="5" t="str">
        <x:v>Markenstrategie</x:v>
      </x:c>
      <x:c r="K2338" s="5" t="str"/>
      <x:c r="L2338" s="5" t="str">
        <x:v>Produkt-, Sortiments- &amp; Servicepolitik</x:v>
      </x:c>
      <x:c r="M2338" s="5" t="n">
        <x:v>13</x:v>
      </x:c>
      <x:c r="N2338" s="5" t="n">
        <x:v>10</x:v>
      </x:c>
      <x:c r="O2338" s="5" t="str"/>
      <x:c r="P2338" s="5" t="str">
        <x:v>Zuordnungsvorschlag; Fachfreigabe ausstehend</x:v>
      </x:c>
      <x:c r="Q2338" s="5" t="str">
        <x:v>Bestehendes Lernthema fachlich unter passendem Rahmenplan-Unterbereich behalten</x:v>
      </x:c>
      <x:c r="R2338" s="5" t="str">
        <x:v>Vergleichen Sie Dachmarken-, Einzelmarken-, Mehrmarken- und Familienmarkenstrategie. Erläutern Sie jede Strategie kurz und nennen Sie für die Dachmarkenstrategie mindestens drei Vorteile und drei Nachteile.</x:v>
      </x:c>
      <x:c r="S2338" s="5" t="str">
        <x:v>e720de0dd7baaf9cbd54387412d2de872021815095ba40e43b2696595c32f223</x:v>
      </x:c>
    </x:row>
    <x:row r="2339" ht="36" customHeight="1">
      <x:c r="A2339" s="5" t="str">
        <x:v>M-0043</x:v>
      </x:c>
      <x:c r="B2339" s="5" t="str">
        <x:v>HQ</x:v>
      </x:c>
      <x:c r="C2339" s="5" t="str">
        <x:v>8</x:v>
      </x:c>
      <x:c r="D2339" s="5" t="str">
        <x:v>Marketing und Vertrieb</x:v>
      </x:c>
      <x:c r="E2339" s="5" t="str">
        <x:v>Marketing</x:v>
      </x:c>
      <x:c r="F2339" s="5" t="str">
        <x:v>ui-hq-0028</x:v>
      </x:c>
      <x:c r="G2339" s="5" t="str">
        <x:v>Marketinginstrumentarium / Marketing-Mix</x:v>
      </x:c>
      <x:c r="H2339" s="5" t="str">
        <x:v>dg-hq-0119</x:v>
      </x:c>
      <x:c r="I2339" s="5" t="str">
        <x:v>8.2.2</x:v>
      </x:c>
      <x:c r="J2339" s="5" t="str">
        <x:v>Produktpolitik</x:v>
      </x:c>
      <x:c r="K2339" s="5" t="str"/>
      <x:c r="L2339" s="5" t="str">
        <x:v>Produkt-, Sortiments- &amp; Servicepolitik</x:v>
      </x:c>
      <x:c r="M2339" s="5" t="n">
        <x:v>14</x:v>
      </x:c>
      <x:c r="N2339" s="5" t="n">
        <x:v>11</x:v>
      </x:c>
      <x:c r="O2339" s="5" t="str"/>
      <x:c r="P2339" s="5" t="str">
        <x:v>Zuordnungsvorschlag; Fachfreigabe ausstehend</x:v>
      </x:c>
      <x:c r="Q2339" s="5" t="str">
        <x:v>Bestehendes Lernthema fachlich unter passendem Rahmenplan-Unterbereich behalten</x:v>
      </x:c>
      <x:c r="R2339" s="5" t="str">
        <x:v>Ordnen Sie Beispiele den sechs möglichen Gestaltungsprinzipien eines Sortiments zu: Material, Verwendungszweck, Zielgruppe, Selbstverkäuflichkeit bzw. Beratungsintensität, Preislage und Branche.</x:v>
      </x:c>
      <x:c r="S2339" s="5" t="str">
        <x:v>6128717b53ade4864df7450c3dc502f5cc958188aaa97d028a888c75fd4566d0</x:v>
      </x:c>
    </x:row>
    <x:row r="2340" ht="36" customHeight="1">
      <x:c r="A2340" s="5" t="str">
        <x:v>M-0044</x:v>
      </x:c>
      <x:c r="B2340" s="5" t="str">
        <x:v>HQ</x:v>
      </x:c>
      <x:c r="C2340" s="5" t="str">
        <x:v>8</x:v>
      </x:c>
      <x:c r="D2340" s="5" t="str">
        <x:v>Marketing und Vertrieb</x:v>
      </x:c>
      <x:c r="E2340" s="5" t="str">
        <x:v>Marketing</x:v>
      </x:c>
      <x:c r="F2340" s="5" t="str">
        <x:v>ui-hq-0028</x:v>
      </x:c>
      <x:c r="G2340" s="5" t="str">
        <x:v>Marketinginstrumentarium / Marketing-Mix</x:v>
      </x:c>
      <x:c r="H2340" s="5" t="str">
        <x:v>dg-hq-0119</x:v>
      </x:c>
      <x:c r="I2340" s="5" t="str">
        <x:v>8.2.2</x:v>
      </x:c>
      <x:c r="J2340" s="5" t="str">
        <x:v>Produktpolitik</x:v>
      </x:c>
      <x:c r="K2340" s="5" t="str"/>
      <x:c r="L2340" s="5" t="str">
        <x:v>Produkt-, Sortiments- &amp; Servicepolitik</x:v>
      </x:c>
      <x:c r="M2340" s="5" t="n">
        <x:v>15</x:v>
      </x:c>
      <x:c r="N2340" s="5" t="n">
        <x:v>12</x:v>
      </x:c>
      <x:c r="O2340" s="5" t="str"/>
      <x:c r="P2340" s="5" t="str">
        <x:v>Zuordnungsvorschlag; Fachfreigabe ausstehend</x:v>
      </x:c>
      <x:c r="Q2340" s="5" t="str">
        <x:v>Bestehendes Lernthema fachlich unter passendem Rahmenplan-Unterbereich behalten</x:v>
      </x:c>
      <x:c r="R2340" s="5" t="str">
        <x:v>Erläutern Sie die Begriffe Sortimentsbreite und Sortimentstiefe. Beschreiben Sie anschließend das typische Sortiment eines Spezialisten und nennen Sie mindestens drei Vorteile dieser Sortimentsstrategie.</x:v>
      </x:c>
      <x:c r="S2340" s="5" t="str">
        <x:v>91fd2529252363b49ec61d103af776dff886f9caac76b25ed09f91db98fea292</x:v>
      </x:c>
    </x:row>
    <x:row r="2341" ht="36" customHeight="1">
      <x:c r="A2341" s="5" t="str">
        <x:v>M-0045</x:v>
      </x:c>
      <x:c r="B2341" s="5" t="str">
        <x:v>HQ</x:v>
      </x:c>
      <x:c r="C2341" s="5" t="str">
        <x:v>8</x:v>
      </x:c>
      <x:c r="D2341" s="5" t="str">
        <x:v>Marketing und Vertrieb</x:v>
      </x:c>
      <x:c r="E2341" s="5" t="str">
        <x:v>Marketing</x:v>
      </x:c>
      <x:c r="F2341" s="5" t="str">
        <x:v>ui-hq-0028</x:v>
      </x:c>
      <x:c r="G2341" s="5" t="str">
        <x:v>Marketinginstrumentarium / Marketing-Mix</x:v>
      </x:c>
      <x:c r="H2341" s="5" t="str">
        <x:v>dg-hq-0119</x:v>
      </x:c>
      <x:c r="I2341" s="5" t="str">
        <x:v>8.2.2</x:v>
      </x:c>
      <x:c r="J2341" s="5" t="str">
        <x:v>Produktpolitik</x:v>
      </x:c>
      <x:c r="K2341" s="5" t="str"/>
      <x:c r="L2341" s="5" t="str">
        <x:v>Produkt-, Sortiments- &amp; Servicepolitik</x:v>
      </x:c>
      <x:c r="M2341" s="5" t="n">
        <x:v>16</x:v>
      </x:c>
      <x:c r="N2341" s="5" t="n">
        <x:v>13</x:v>
      </x:c>
      <x:c r="O2341" s="5" t="str"/>
      <x:c r="P2341" s="5" t="str">
        <x:v>Zuordnungsvorschlag; Fachfreigabe ausstehend</x:v>
      </x:c>
      <x:c r="Q2341" s="5" t="str">
        <x:v>Bestehendes Lernthema fachlich unter passendem Rahmenplan-Unterbereich behalten</x:v>
      </x:c>
      <x:c r="R2341" s="5" t="str">
        <x:v>Unterscheiden Sie Produktvariation und Produktdifferenzierung. Erläutern Sie jeweils, wie sich das Produktprogramm verändert, und nennen Sie je zwei passende Beispiele.</x:v>
      </x:c>
      <x:c r="S2341" s="5" t="str">
        <x:v>d3dd9d4b051bda572bdff1510d89b426e395490dbb50d5bd164478ade328d6b5</x:v>
      </x:c>
    </x:row>
    <x:row r="2342" ht="36" customHeight="1">
      <x:c r="A2342" s="5" t="str">
        <x:v>M-0046</x:v>
      </x:c>
      <x:c r="B2342" s="5" t="str">
        <x:v>HQ</x:v>
      </x:c>
      <x:c r="C2342" s="5" t="str">
        <x:v>8</x:v>
      </x:c>
      <x:c r="D2342" s="5" t="str">
        <x:v>Marketing und Vertrieb</x:v>
      </x:c>
      <x:c r="E2342" s="5" t="str">
        <x:v>Marketing</x:v>
      </x:c>
      <x:c r="F2342" s="5" t="str">
        <x:v>ui-hq-0028</x:v>
      </x:c>
      <x:c r="G2342" s="5" t="str">
        <x:v>Marketinginstrumentarium / Marketing-Mix</x:v>
      </x:c>
      <x:c r="H2342" s="5" t="str">
        <x:v>dg-hq-0119</x:v>
      </x:c>
      <x:c r="I2342" s="5" t="str">
        <x:v>8.2.2</x:v>
      </x:c>
      <x:c r="J2342" s="5" t="str">
        <x:v>Produktpolitik</x:v>
      </x:c>
      <x:c r="K2342" s="5" t="str"/>
      <x:c r="L2342" s="5" t="str">
        <x:v>Produkt-, Sortiments- &amp; Servicepolitik</x:v>
      </x:c>
      <x:c r="M2342" s="5" t="n">
        <x:v>17</x:v>
      </x:c>
      <x:c r="N2342" s="5" t="n">
        <x:v>14</x:v>
      </x:c>
      <x:c r="O2342" s="5" t="str"/>
      <x:c r="P2342" s="5" t="str">
        <x:v>Zuordnungsvorschlag; Fachfreigabe ausstehend</x:v>
      </x:c>
      <x:c r="Q2342" s="5" t="str">
        <x:v>Bestehendes Lernthema fachlich unter passendem Rahmenplan-Unterbereich behalten</x:v>
      </x:c>
      <x:c r="R2342" s="5" t="str">
        <x:v>Circle Harbor möchte systematisch neue Produktideen gewinnen. Nennen und erläutern Sie mindestens fünf geeignete Quellen oder Methoden der Ideengewinnung.</x:v>
      </x:c>
      <x:c r="S2342" s="5" t="str">
        <x:v>913b2b2e5517be2040b8955997405ffb67f299d7910e26edf7c36bc0aa42129d</x:v>
      </x:c>
    </x:row>
    <x:row r="2343" ht="36" customHeight="1">
      <x:c r="A2343" s="5" t="str">
        <x:v>M-0047</x:v>
      </x:c>
      <x:c r="B2343" s="5" t="str">
        <x:v>HQ</x:v>
      </x:c>
      <x:c r="C2343" s="5" t="str">
        <x:v>8</x:v>
      </x:c>
      <x:c r="D2343" s="5" t="str">
        <x:v>Marketing und Vertrieb</x:v>
      </x:c>
      <x:c r="E2343" s="5" t="str">
        <x:v>Marketing</x:v>
      </x:c>
      <x:c r="F2343" s="5" t="str">
        <x:v>ui-hq-0028</x:v>
      </x:c>
      <x:c r="G2343" s="5" t="str">
        <x:v>Marketinginstrumentarium / Marketing-Mix</x:v>
      </x:c>
      <x:c r="H2343" s="5" t="str">
        <x:v>dg-hq-0119</x:v>
      </x:c>
      <x:c r="I2343" s="5" t="str">
        <x:v>8.2.2</x:v>
      </x:c>
      <x:c r="J2343" s="5" t="str">
        <x:v>Produktpolitik</x:v>
      </x:c>
      <x:c r="K2343" s="5" t="str"/>
      <x:c r="L2343" s="5" t="str">
        <x:v>Produkt-, Sortiments- &amp; Servicepolitik</x:v>
      </x:c>
      <x:c r="M2343" s="5" t="n">
        <x:v>18</x:v>
      </x:c>
      <x:c r="N2343" s="5" t="n">
        <x:v>15</x:v>
      </x:c>
      <x:c r="O2343" s="5" t="str"/>
      <x:c r="P2343" s="5" t="str">
        <x:v>Zuordnungsvorschlag; Fachfreigabe ausstehend</x:v>
      </x:c>
      <x:c r="Q2343" s="5" t="str">
        <x:v>Bestehendes Lernthema fachlich unter passendem Rahmenplan-Unterbereich behalten</x:v>
      </x:c>
      <x:c r="R2343" s="5" t="str">
        <x:v>Bringen Sie die sieben Schritte einer systematischen Produktentwicklung in die richtige Reihenfolge.</x:v>
      </x:c>
      <x:c r="S2343" s="5" t="str">
        <x:v>e410d23a9795b7ee2ef934a2a0fe4ff0848e0b2e4e7ee549890b36057ea7a7ae</x:v>
      </x:c>
    </x:row>
    <x:row r="2344" ht="36" customHeight="1">
      <x:c r="A2344" s="5" t="str">
        <x:v>M-0048</x:v>
      </x:c>
      <x:c r="B2344" s="5" t="str">
        <x:v>HQ</x:v>
      </x:c>
      <x:c r="C2344" s="5" t="str">
        <x:v>8</x:v>
      </x:c>
      <x:c r="D2344" s="5" t="str">
        <x:v>Marketing und Vertrieb</x:v>
      </x:c>
      <x:c r="E2344" s="5" t="str">
        <x:v>Marketing</x:v>
      </x:c>
      <x:c r="F2344" s="5" t="str">
        <x:v>ui-hq-0028</x:v>
      </x:c>
      <x:c r="G2344" s="5" t="str">
        <x:v>Marketinginstrumentarium / Marketing-Mix</x:v>
      </x:c>
      <x:c r="H2344" s="5" t="str">
        <x:v>dg-hq-0119</x:v>
      </x:c>
      <x:c r="I2344" s="5" t="str">
        <x:v>8.2.2</x:v>
      </x:c>
      <x:c r="J2344" s="5" t="str">
        <x:v>Produktpolitik</x:v>
      </x:c>
      <x:c r="K2344" s="5" t="str"/>
      <x:c r="L2344" s="5" t="str">
        <x:v>Produkt-, Sortiments- &amp; Servicepolitik</x:v>
      </x:c>
      <x:c r="M2344" s="5" t="n">
        <x:v>19</x:v>
      </x:c>
      <x:c r="N2344" s="5" t="n">
        <x:v>16</x:v>
      </x:c>
      <x:c r="O2344" s="5" t="str"/>
      <x:c r="P2344" s="5" t="str">
        <x:v>Zuordnungsvorschlag; Fachfreigabe ausstehend</x:v>
      </x:c>
      <x:c r="Q2344" s="5" t="str">
        <x:v>Bestehendes Lernthema fachlich unter passendem Rahmenplan-Unterbereich behalten</x:v>
      </x:c>
      <x:c r="R2344" s="5" t="str">
        <x:v>Ein mittelständisches Textilunternehmen erwägt den Einstieg in die Tourismusbranche. Ordnen Sie diese Wachstumsentscheidung einer Diversifikationsform zu und beurteilen Sie die Chancen und Risiken. Nennen Sie außerdem eine risikoärmere Alternative.</x:v>
      </x:c>
      <x:c r="S2344" s="5" t="str">
        <x:v>7be9844381758ef2836ecc11e519889c65148e9af8b999cb455467c0c8521a97</x:v>
      </x:c>
    </x:row>
    <x:row r="2345" ht="36" customHeight="1">
      <x:c r="A2345" s="5" t="str">
        <x:v>M-0049</x:v>
      </x:c>
      <x:c r="B2345" s="5" t="str">
        <x:v>HQ</x:v>
      </x:c>
      <x:c r="C2345" s="5" t="str">
        <x:v>8</x:v>
      </x:c>
      <x:c r="D2345" s="5" t="str">
        <x:v>Marketing und Vertrieb</x:v>
      </x:c>
      <x:c r="E2345" s="5" t="str">
        <x:v>Marketing</x:v>
      </x:c>
      <x:c r="F2345" s="5" t="str">
        <x:v>ui-hq-0028</x:v>
      </x:c>
      <x:c r="G2345" s="5" t="str">
        <x:v>Marketinginstrumentarium / Marketing-Mix</x:v>
      </x:c>
      <x:c r="H2345" s="5" t="str">
        <x:v>dg-hq-0119</x:v>
      </x:c>
      <x:c r="I2345" s="5" t="str">
        <x:v>8.2.2</x:v>
      </x:c>
      <x:c r="J2345" s="5" t="str">
        <x:v>Produktpolitik</x:v>
      </x:c>
      <x:c r="K2345" s="5" t="str"/>
      <x:c r="L2345" s="5" t="str">
        <x:v>Produkt-, Sortiments- &amp; Servicepolitik</x:v>
      </x:c>
      <x:c r="M2345" s="5" t="n">
        <x:v>20</x:v>
      </x:c>
      <x:c r="N2345" s="5" t="n">
        <x:v>17</x:v>
      </x:c>
      <x:c r="O2345" s="5" t="str"/>
      <x:c r="P2345" s="5" t="str">
        <x:v>Zuordnungsvorschlag; Fachfreigabe ausstehend</x:v>
      </x:c>
      <x:c r="Q2345" s="5" t="str">
        <x:v>Bestehendes Lernthema fachlich unter passendem Rahmenplan-Unterbereich behalten</x:v>
      </x:c>
      <x:c r="R2345" s="5" t="str">
        <x:v>Welche Hinweise können dafür sprechen, ein Produkt aus dem Sortiment zu nehmen? Nennen Sie mindestens fünf mögliche Warnsignale und vier Analyseinstrumente, mit denen eine Eliminationsentscheidung vorbereitet werden kann.</x:v>
      </x:c>
      <x:c r="S2345" s="5" t="str">
        <x:v>12818cfe6cd069fd17029759aa3bb0fa0cdfbed816468c290295c216a9a9596d</x:v>
      </x:c>
    </x:row>
    <x:row r="2346" ht="36" customHeight="1">
      <x:c r="A2346" s="5" t="str">
        <x:v>M-0050</x:v>
      </x:c>
      <x:c r="B2346" s="5" t="str">
        <x:v>HQ</x:v>
      </x:c>
      <x:c r="C2346" s="5" t="str">
        <x:v>8</x:v>
      </x:c>
      <x:c r="D2346" s="5" t="str">
        <x:v>Marketing und Vertrieb</x:v>
      </x:c>
      <x:c r="E2346" s="5" t="str">
        <x:v>Marketing</x:v>
      </x:c>
      <x:c r="F2346" s="5" t="str">
        <x:v>ui-hq-0028</x:v>
      </x:c>
      <x:c r="G2346" s="5" t="str">
        <x:v>Marketinginstrumentarium / Marketing-Mix</x:v>
      </x:c>
      <x:c r="H2346" s="5" t="str">
        <x:v>dg-hq-0119</x:v>
      </x:c>
      <x:c r="I2346" s="5" t="str">
        <x:v>8.2.2</x:v>
      </x:c>
      <x:c r="J2346" s="5" t="str">
        <x:v>Produktpolitik</x:v>
      </x:c>
      <x:c r="K2346" s="5" t="str"/>
      <x:c r="L2346" s="5" t="str">
        <x:v>Produkt-, Sortiments- &amp; Servicepolitik</x:v>
      </x:c>
      <x:c r="M2346" s="5" t="n">
        <x:v>21</x:v>
      </x:c>
      <x:c r="N2346" s="5" t="n">
        <x:v>18</x:v>
      </x:c>
      <x:c r="O2346" s="5" t="str"/>
      <x:c r="P2346" s="5" t="str">
        <x:v>Zuordnungsvorschlag; Fachfreigabe ausstehend</x:v>
      </x:c>
      <x:c r="Q2346" s="5" t="str">
        <x:v>Bestehendes Lernthema fachlich unter passendem Rahmenplan-Unterbereich behalten</x:v>
      </x:c>
      <x:c r="R2346" s="5" t="str">
        <x:v>Erläutern Sie, warum Serviceleistungen als Instrument der Produktpolitik an Bedeutung gewinnen. Nennen Sie mindestens vier Ursachen, drei mögliche Ziele und drei Kriterien, nach denen Serviceleistungen systematisiert werden können.</x:v>
      </x:c>
      <x:c r="S2346" s="5" t="str">
        <x:v>83f604239d1e14375d519c15907b8d44349f3165ebaf03e69be8fd013835bde6</x:v>
      </x:c>
    </x:row>
    <x:row r="2347" ht="36" customHeight="1">
      <x:c r="A2347" s="5" t="str">
        <x:v>M-0051</x:v>
      </x:c>
      <x:c r="B2347" s="5" t="str">
        <x:v>HQ</x:v>
      </x:c>
      <x:c r="C2347" s="5" t="str">
        <x:v>8</x:v>
      </x:c>
      <x:c r="D2347" s="5" t="str">
        <x:v>Marketing und Vertrieb</x:v>
      </x:c>
      <x:c r="E2347" s="5" t="str">
        <x:v>Marketing</x:v>
      </x:c>
      <x:c r="F2347" s="5" t="str">
        <x:v>ui-hq-0028</x:v>
      </x:c>
      <x:c r="G2347" s="5" t="str">
        <x:v>Marketinginstrumentarium / Marketing-Mix</x:v>
      </x:c>
      <x:c r="H2347" s="5" t="str">
        <x:v>dg-hq-0124</x:v>
      </x:c>
      <x:c r="I2347" s="5" t="str">
        <x:v>8.2.3</x:v>
      </x:c>
      <x:c r="J2347" s="5" t="str">
        <x:v>Preispolitik</x:v>
      </x:c>
      <x:c r="K2347" s="5" t="str"/>
      <x:c r="L2347" s="5" t="str">
        <x:v>Preis- &amp; Konditionenpolitik</x:v>
      </x:c>
      <x:c r="M2347" s="5" t="n">
        <x:v>22</x:v>
      </x:c>
      <x:c r="N2347" s="5" t="n">
        <x:v>1</x:v>
      </x:c>
      <x:c r="O2347" s="5" t="str"/>
      <x:c r="P2347" s="5" t="str">
        <x:v>Zuordnungsvorschlag; Fachfreigabe ausstehend</x:v>
      </x:c>
      <x:c r="Q2347" s="5" t="str">
        <x:v>Bestehendes Lernthema fachlich unter passendem Rahmenplan-Unterbereich behalten</x:v>
      </x:c>
      <x:c r="R2347" s="5" t="str">
        <x:v>Ordnen Sie die preiswirtschaftlichen Begriffe der jeweils passenden Aussage zu.</x:v>
      </x:c>
      <x:c r="S2347" s="5" t="str">
        <x:v>fe98bf04355e63c5d0e8c619c8ac35ec651a707a28a624449fb76b3d70831d99</x:v>
      </x:c>
    </x:row>
    <x:row r="2348" ht="36" customHeight="1">
      <x:c r="A2348" s="5" t="str">
        <x:v>M-0052</x:v>
      </x:c>
      <x:c r="B2348" s="5" t="str">
        <x:v>HQ</x:v>
      </x:c>
      <x:c r="C2348" s="5" t="str">
        <x:v>8</x:v>
      </x:c>
      <x:c r="D2348" s="5" t="str">
        <x:v>Marketing und Vertrieb</x:v>
      </x:c>
      <x:c r="E2348" s="5" t="str">
        <x:v>Marketing</x:v>
      </x:c>
      <x:c r="F2348" s="5" t="str">
        <x:v>ui-hq-0028</x:v>
      </x:c>
      <x:c r="G2348" s="5" t="str">
        <x:v>Marketinginstrumentarium / Marketing-Mix</x:v>
      </x:c>
      <x:c r="H2348" s="5" t="str">
        <x:v>dg-hq-0124</x:v>
      </x:c>
      <x:c r="I2348" s="5" t="str">
        <x:v>8.2.3</x:v>
      </x:c>
      <x:c r="J2348" s="5" t="str">
        <x:v>Preispolitik</x:v>
      </x:c>
      <x:c r="K2348" s="5" t="str"/>
      <x:c r="L2348" s="5" t="str">
        <x:v>Preis- &amp; Konditionenpolitik</x:v>
      </x:c>
      <x:c r="M2348" s="5" t="n">
        <x:v>23</x:v>
      </x:c>
      <x:c r="N2348" s="5" t="n">
        <x:v>2</x:v>
      </x:c>
      <x:c r="O2348" s="5" t="str"/>
      <x:c r="P2348" s="5" t="str">
        <x:v>Zuordnungsvorschlag; Fachfreigabe ausstehend</x:v>
      </x:c>
      <x:c r="Q2348" s="5" t="str">
        <x:v>Bestehendes Lernthema fachlich unter passendem Rahmenplan-Unterbereich behalten</x:v>
      </x:c>
      <x:c r="R2348" s="5" t="str">
        <x:v>Circle Harbor senkt bei Produkt A den Preis von 20 € auf 18 €; die Absatzmenge steigt von 200 auf 300 Stück. Bei Produkt B sinkt der Preis von 8 € auf 6 €; die Menge steigt von 800 auf 900 Stück. Berechnen Sie jeweils die direkte Preiselastizität der Nachfrage, beurteilen Sie die Nachfrage als elastisch oder unelastisch und ermitteln Sie, wie sich der Umsatz verändert. Welches Produkt eignet sich in diesem Beispiel eher für eine umsatzsteigernde Preissenkung?</x:v>
      </x:c>
      <x:c r="S2348" s="5" t="str">
        <x:v>1174291881041d0d3dfd8b017caf0f45c2fcec714fba9db7591899de3b622bd6</x:v>
      </x:c>
    </x:row>
    <x:row r="2349" ht="36" customHeight="1">
      <x:c r="A2349" s="5" t="str">
        <x:v>M-0053</x:v>
      </x:c>
      <x:c r="B2349" s="5" t="str">
        <x:v>HQ</x:v>
      </x:c>
      <x:c r="C2349" s="5" t="str">
        <x:v>8</x:v>
      </x:c>
      <x:c r="D2349" s="5" t="str">
        <x:v>Marketing und Vertrieb</x:v>
      </x:c>
      <x:c r="E2349" s="5" t="str">
        <x:v>Marketing</x:v>
      </x:c>
      <x:c r="F2349" s="5" t="str">
        <x:v>ui-hq-0028</x:v>
      </x:c>
      <x:c r="G2349" s="5" t="str">
        <x:v>Marketinginstrumentarium / Marketing-Mix</x:v>
      </x:c>
      <x:c r="H2349" s="5" t="str">
        <x:v>dg-hq-0124</x:v>
      </x:c>
      <x:c r="I2349" s="5" t="str">
        <x:v>8.2.3</x:v>
      </x:c>
      <x:c r="J2349" s="5" t="str">
        <x:v>Preispolitik</x:v>
      </x:c>
      <x:c r="K2349" s="5" t="str"/>
      <x:c r="L2349" s="5" t="str">
        <x:v>Preis- &amp; Konditionenpolitik</x:v>
      </x:c>
      <x:c r="M2349" s="5" t="n">
        <x:v>24</x:v>
      </x:c>
      <x:c r="N2349" s="5" t="n">
        <x:v>3</x:v>
      </x:c>
      <x:c r="O2349" s="5" t="str"/>
      <x:c r="P2349" s="5" t="str">
        <x:v>Zuordnungsvorschlag; Fachfreigabe ausstehend</x:v>
      </x:c>
      <x:c r="Q2349" s="5" t="str">
        <x:v>Bestehendes Lernthema fachlich unter passendem Rahmenplan-Unterbereich behalten</x:v>
      </x:c>
      <x:c r="R2349" s="5" t="str">
        <x:v>Begründen Sie, warum Preisentscheidungen im Marketing besonders sorgfältig getroffen werden müssen. Nennen und erläutern Sie mindestens sechs Risiken oder Besonderheiten der Preispolitik.</x:v>
      </x:c>
      <x:c r="S2349" s="5" t="str">
        <x:v>787bab7beaac70cde25d46171e0346b8c58de934b3c18a1836524b901133ef47</x:v>
      </x:c>
    </x:row>
    <x:row r="2350" ht="36" customHeight="1">
      <x:c r="A2350" s="5" t="str">
        <x:v>M-0054</x:v>
      </x:c>
      <x:c r="B2350" s="5" t="str">
        <x:v>HQ</x:v>
      </x:c>
      <x:c r="C2350" s="5" t="str">
        <x:v>8</x:v>
      </x:c>
      <x:c r="D2350" s="5" t="str">
        <x:v>Marketing und Vertrieb</x:v>
      </x:c>
      <x:c r="E2350" s="5" t="str">
        <x:v>Marketing</x:v>
      </x:c>
      <x:c r="F2350" s="5" t="str">
        <x:v>ui-hq-0028</x:v>
      </x:c>
      <x:c r="G2350" s="5" t="str">
        <x:v>Marketinginstrumentarium / Marketing-Mix</x:v>
      </x:c>
      <x:c r="H2350" s="5" t="str">
        <x:v>dg-hq-0124</x:v>
      </x:c>
      <x:c r="I2350" s="5" t="str">
        <x:v>8.2.3</x:v>
      </x:c>
      <x:c r="J2350" s="5" t="str">
        <x:v>Preispolitik</x:v>
      </x:c>
      <x:c r="K2350" s="5" t="str"/>
      <x:c r="L2350" s="5" t="str">
        <x:v>Preis- &amp; Konditionenpolitik</x:v>
      </x:c>
      <x:c r="M2350" s="5" t="n">
        <x:v>25</x:v>
      </x:c>
      <x:c r="N2350" s="5" t="n">
        <x:v>4</x:v>
      </x:c>
      <x:c r="O2350" s="5" t="str"/>
      <x:c r="P2350" s="5" t="str">
        <x:v>Zuordnungsvorschlag; Fachfreigabe ausstehend</x:v>
      </x:c>
      <x:c r="Q2350" s="5" t="str">
        <x:v>Bestehendes Lernthema fachlich unter passendem Rahmenplan-Unterbereich behalten</x:v>
      </x:c>
      <x:c r="R2350" s="5" t="str">
        <x:v>Ordnen Sie die vier Preisverläufe den Preisstrategien Skimming, Penetration, Promotionpreis und Premiumpreis zu.</x:v>
      </x:c>
      <x:c r="S2350" s="5" t="str">
        <x:v>92d9b536577f625f1c0da43a2a579055cee3a067e293b154040dd362a7379601</x:v>
      </x:c>
    </x:row>
    <x:row r="2351" ht="36" customHeight="1">
      <x:c r="A2351" s="5" t="str">
        <x:v>M-0055</x:v>
      </x:c>
      <x:c r="B2351" s="5" t="str">
        <x:v>HQ</x:v>
      </x:c>
      <x:c r="C2351" s="5" t="str">
        <x:v>8</x:v>
      </x:c>
      <x:c r="D2351" s="5" t="str">
        <x:v>Marketing und Vertrieb</x:v>
      </x:c>
      <x:c r="E2351" s="5" t="str">
        <x:v>Marketing</x:v>
      </x:c>
      <x:c r="F2351" s="5" t="str">
        <x:v>ui-hq-0028</x:v>
      </x:c>
      <x:c r="G2351" s="5" t="str">
        <x:v>Marketinginstrumentarium / Marketing-Mix</x:v>
      </x:c>
      <x:c r="H2351" s="5" t="str">
        <x:v>dg-hq-0124</x:v>
      </x:c>
      <x:c r="I2351" s="5" t="str">
        <x:v>8.2.3</x:v>
      </x:c>
      <x:c r="J2351" s="5" t="str">
        <x:v>Preispolitik</x:v>
      </x:c>
      <x:c r="K2351" s="5" t="str"/>
      <x:c r="L2351" s="5" t="str">
        <x:v>Preis- &amp; Konditionenpolitik</x:v>
      </x:c>
      <x:c r="M2351" s="5" t="n">
        <x:v>26</x:v>
      </x:c>
      <x:c r="N2351" s="5" t="n">
        <x:v>5</x:v>
      </x:c>
      <x:c r="O2351" s="5" t="str"/>
      <x:c r="P2351" s="5" t="str">
        <x:v>Zuordnungsvorschlag; Fachfreigabe ausstehend</x:v>
      </x:c>
      <x:c r="Q2351" s="5" t="str">
        <x:v>Bestehendes Lernthema fachlich unter passendem Rahmenplan-Unterbereich behalten</x:v>
      </x:c>
      <x:c r="R2351" s="5" t="str">
        <x:v>Circle Harbor möchte einen neuen Verkaufspreis festlegen. Erläutern Sie die kostenorientierte, nachfrageorientierte und konkurrenzorientierte Preisfindung. Begründen Sie anschließend, welche Orientierung besonders sinnvoll ist, wenn am Markt bereits ein akzeptierter Preis besteht und der Absatz gesteigert werden soll. Nennen Sie zusätzlich mindestens vier weitere Einflussfaktoren auf die Preisentscheidung.</x:v>
      </x:c>
      <x:c r="S2351" s="5" t="str">
        <x:v>273d148083f7b3c88fe8b18424f332080447dbd5f64d7112de31634a43ebd048</x:v>
      </x:c>
    </x:row>
    <x:row r="2352" ht="36" customHeight="1">
      <x:c r="A2352" s="5" t="str">
        <x:v>M-0056</x:v>
      </x:c>
      <x:c r="B2352" s="5" t="str">
        <x:v>HQ</x:v>
      </x:c>
      <x:c r="C2352" s="5" t="str">
        <x:v>8</x:v>
      </x:c>
      <x:c r="D2352" s="5" t="str">
        <x:v>Marketing und Vertrieb</x:v>
      </x:c>
      <x:c r="E2352" s="5" t="str">
        <x:v>Marketing</x:v>
      </x:c>
      <x:c r="F2352" s="5" t="str">
        <x:v>ui-hq-0028</x:v>
      </x:c>
      <x:c r="G2352" s="5" t="str">
        <x:v>Marketinginstrumentarium / Marketing-Mix</x:v>
      </x:c>
      <x:c r="H2352" s="5" t="str">
        <x:v>dg-hq-0124</x:v>
      </x:c>
      <x:c r="I2352" s="5" t="str">
        <x:v>8.2.3</x:v>
      </x:c>
      <x:c r="J2352" s="5" t="str">
        <x:v>Preispolitik</x:v>
      </x:c>
      <x:c r="K2352" s="5" t="str"/>
      <x:c r="L2352" s="5" t="str">
        <x:v>Preis- &amp; Konditionenpolitik</x:v>
      </x:c>
      <x:c r="M2352" s="5" t="n">
        <x:v>27</x:v>
      </x:c>
      <x:c r="N2352" s="5" t="n">
        <x:v>6</x:v>
      </x:c>
      <x:c r="O2352" s="5" t="str"/>
      <x:c r="P2352" s="5" t="str">
        <x:v>Zuordnungsvorschlag; Fachfreigabe ausstehend</x:v>
      </x:c>
      <x:c r="Q2352" s="5" t="str">
        <x:v>Bestehendes Lernthema fachlich unter passendem Rahmenplan-Unterbereich behalten</x:v>
      </x:c>
      <x:c r="R2352" s="5" t="str">
        <x:v>Ordnen Sie die Beispiele der zeitlichen, räumlichen, personellen, quantitativen oder anlassbezogenen Preisdifferenzierung beziehungsweise einer Preisvariation zu.</x:v>
      </x:c>
      <x:c r="S2352" s="5" t="str">
        <x:v>9027e16a1482829acfd79fae8e0272f958fd5ee732c1382b0dbc5f1d120be802</x:v>
      </x:c>
    </x:row>
    <x:row r="2353" ht="36" customHeight="1">
      <x:c r="A2353" s="5" t="str">
        <x:v>M-0057</x:v>
      </x:c>
      <x:c r="B2353" s="5" t="str">
        <x:v>HQ</x:v>
      </x:c>
      <x:c r="C2353" s="5" t="str">
        <x:v>8</x:v>
      </x:c>
      <x:c r="D2353" s="5" t="str">
        <x:v>Marketing und Vertrieb</x:v>
      </x:c>
      <x:c r="E2353" s="5" t="str">
        <x:v>Marketing</x:v>
      </x:c>
      <x:c r="F2353" s="5" t="str">
        <x:v>ui-hq-0028</x:v>
      </x:c>
      <x:c r="G2353" s="5" t="str">
        <x:v>Marketinginstrumentarium / Marketing-Mix</x:v>
      </x:c>
      <x:c r="H2353" s="5" t="str">
        <x:v>dg-hq-0124</x:v>
      </x:c>
      <x:c r="I2353" s="5" t="str">
        <x:v>8.2.3.4</x:v>
      </x:c>
      <x:c r="J2353" s="5" t="str">
        <x:v>Preisdifferenzierung</x:v>
      </x:c>
      <x:c r="K2353" s="5" t="str"/>
      <x:c r="L2353" s="5" t="str">
        <x:v>Preis- &amp; Konditionenpolitik</x:v>
      </x:c>
      <x:c r="M2353" s="5" t="n">
        <x:v>28</x:v>
      </x:c>
      <x:c r="N2353" s="5" t="n">
        <x:v>7</x:v>
      </x:c>
      <x:c r="O2353" s="5" t="str"/>
      <x:c r="P2353" s="5" t="str">
        <x:v>Zuordnungsvorschlag; Fachfreigabe ausstehend</x:v>
      </x:c>
      <x:c r="Q2353" s="5" t="str">
        <x:v>Bestehendes Lernthema fachlich unter passendem Rahmenplan-Unterbereich behalten</x:v>
      </x:c>
      <x:c r="R2353" s="5" t="str">
        <x:v>Erläutern Sie das Yield-Management als Instrument der Preispolitik. Nennen Sie zwei Branchen, in denen es besonders geeignet ist, und grenzen Sie es von einer einfachen zeitlichen Preisdifferenzierung ab.</x:v>
      </x:c>
      <x:c r="S2353" s="5" t="str">
        <x:v>470aca363cd72edd43b92790e7f6f23783ead2d2b3956c582d09f5fa8bda8433</x:v>
      </x:c>
    </x:row>
    <x:row r="2354" ht="36" customHeight="1">
      <x:c r="A2354" s="5" t="str">
        <x:v>M-0058</x:v>
      </x:c>
      <x:c r="B2354" s="5" t="str">
        <x:v>HQ</x:v>
      </x:c>
      <x:c r="C2354" s="5" t="str">
        <x:v>8</x:v>
      </x:c>
      <x:c r="D2354" s="5" t="str">
        <x:v>Marketing und Vertrieb</x:v>
      </x:c>
      <x:c r="E2354" s="5" t="str">
        <x:v>Marketing</x:v>
      </x:c>
      <x:c r="F2354" s="5" t="str">
        <x:v>ui-hq-0028</x:v>
      </x:c>
      <x:c r="G2354" s="5" t="str">
        <x:v>Marketinginstrumentarium / Marketing-Mix</x:v>
      </x:c>
      <x:c r="H2354" s="5" t="str">
        <x:v>dg-hq-0124</x:v>
      </x:c>
      <x:c r="I2354" s="5" t="str">
        <x:v>8.2.3.6</x:v>
      </x:c>
      <x:c r="J2354" s="5" t="str">
        <x:v>Konditionenpolitik</x:v>
      </x:c>
      <x:c r="K2354" s="5" t="str"/>
      <x:c r="L2354" s="5" t="str">
        <x:v>Preis- &amp; Konditionenpolitik</x:v>
      </x:c>
      <x:c r="M2354" s="5" t="n">
        <x:v>29</x:v>
      </x:c>
      <x:c r="N2354" s="5" t="n">
        <x:v>8</x:v>
      </x:c>
      <x:c r="O2354" s="5" t="str"/>
      <x:c r="P2354" s="5" t="str">
        <x:v>Zuordnungsvorschlag; Fachfreigabe ausstehend</x:v>
      </x:c>
      <x:c r="Q2354" s="5" t="str">
        <x:v>Bestehendes Lernthema fachlich unter passendem Rahmenplan-Unterbereich behalten</x:v>
      </x:c>
      <x:c r="R2354" s="5" t="str">
        <x:v>Ordnen Sie typische Maßnahmen der Konditionenpolitik den Bereichen Rabatte, Liefer- und Zahlungsbedingungen oder Absatzfinanzierung zu.</x:v>
      </x:c>
      <x:c r="S2354" s="5" t="str">
        <x:v>7592b48d02e684dcb16075ae583e0193c8cb4530958afe0878bfcd6afe2109f6</x:v>
      </x:c>
    </x:row>
    <x:row r="2355" ht="36" customHeight="1">
      <x:c r="A2355" s="5" t="str">
        <x:v>M-0059</x:v>
      </x:c>
      <x:c r="B2355" s="5" t="str">
        <x:v>HQ</x:v>
      </x:c>
      <x:c r="C2355" s="5" t="str">
        <x:v>8</x:v>
      </x:c>
      <x:c r="D2355" s="5" t="str">
        <x:v>Marketing und Vertrieb</x:v>
      </x:c>
      <x:c r="E2355" s="5" t="str">
        <x:v>Marketing</x:v>
      </x:c>
      <x:c r="F2355" s="5" t="str">
        <x:v>ui-hq-0028</x:v>
      </x:c>
      <x:c r="G2355" s="5" t="str">
        <x:v>Marketinginstrumentarium / Marketing-Mix</x:v>
      </x:c>
      <x:c r="H2355" s="5" t="str">
        <x:v>dg-hq-0125</x:v>
      </x:c>
      <x:c r="I2355" s="5" t="str">
        <x:v>8.2.5</x:v>
      </x:c>
      <x:c r="J2355" s="5" t="str">
        <x:v>Kommunikationspolitik</x:v>
      </x:c>
      <x:c r="K2355" s="5" t="str"/>
      <x:c r="L2355" s="5" t="str">
        <x:v>Kommunikationspolitik</x:v>
      </x:c>
      <x:c r="M2355" s="5" t="n">
        <x:v>30</x:v>
      </x:c>
      <x:c r="N2355" s="5" t="n">
        <x:v>1</x:v>
      </x:c>
      <x:c r="O2355" s="5" t="str"/>
      <x:c r="P2355" s="5" t="str">
        <x:v>Zuordnungsvorschlag; Fachfreigabe ausstehend</x:v>
      </x:c>
      <x:c r="Q2355" s="5" t="str">
        <x:v>Bestehendes Lernthema fachlich unter passendem Rahmenplan-Unterbereich behalten</x:v>
      </x:c>
      <x:c r="R2355" s="5" t="str">
        <x:v>Ergänzen Sie die vier Stufen des AIDA-Modells und die jeweilige Bedeutung im Werbewirkungsprozess.</x:v>
      </x:c>
      <x:c r="S2355" s="5" t="str">
        <x:v>9f44c9d4509669353074210446eab671a953e4b16fd39421dc81536ed3adb2cf</x:v>
      </x:c>
    </x:row>
    <x:row r="2356" ht="36" customHeight="1">
      <x:c r="A2356" s="5" t="str">
        <x:v>M-0060</x:v>
      </x:c>
      <x:c r="B2356" s="5" t="str">
        <x:v>HQ</x:v>
      </x:c>
      <x:c r="C2356" s="5" t="str">
        <x:v>8</x:v>
      </x:c>
      <x:c r="D2356" s="5" t="str">
        <x:v>Marketing und Vertrieb</x:v>
      </x:c>
      <x:c r="E2356" s="5" t="str">
        <x:v>Marketing</x:v>
      </x:c>
      <x:c r="F2356" s="5" t="str">
        <x:v>ui-hq-0028</x:v>
      </x:c>
      <x:c r="G2356" s="5" t="str">
        <x:v>Marketinginstrumentarium / Marketing-Mix</x:v>
      </x:c>
      <x:c r="H2356" s="5" t="str">
        <x:v>dg-hq-0125</x:v>
      </x:c>
      <x:c r="I2356" s="5" t="str">
        <x:v>8.2.5</x:v>
      </x:c>
      <x:c r="J2356" s="5" t="str">
        <x:v>Kommunikationspolitik</x:v>
      </x:c>
      <x:c r="K2356" s="5" t="str"/>
      <x:c r="L2356" s="5" t="str">
        <x:v>Kommunikationspolitik</x:v>
      </x:c>
      <x:c r="M2356" s="5" t="n">
        <x:v>31</x:v>
      </x:c>
      <x:c r="N2356" s="5" t="n">
        <x:v>2</x:v>
      </x:c>
      <x:c r="O2356" s="5" t="str"/>
      <x:c r="P2356" s="5" t="str">
        <x:v>Zuordnungsvorschlag; Fachfreigabe ausstehend</x:v>
      </x:c>
      <x:c r="Q2356" s="5" t="str">
        <x:v>Bestehendes Lernthema fachlich unter passendem Rahmenplan-Unterbereich behalten</x:v>
      </x:c>
      <x:c r="R2356" s="5" t="str">
        <x:v>Ergänzen Sie die sechs Stufen des ASIDAS-Modells für digitales Kaufverhalten und erläutern Sie, wodurch es sich vom klassischen AIDA-Modell unterscheidet.</x:v>
      </x:c>
      <x:c r="S2356" s="5" t="str">
        <x:v>c0f6c703c48b32ed82297d82a5f260fbe54ed84002c5e52d0c65a0a1ebd27824</x:v>
      </x:c>
    </x:row>
    <x:row r="2357" ht="36" customHeight="1">
      <x:c r="A2357" s="5" t="str">
        <x:v>M-0061</x:v>
      </x:c>
      <x:c r="B2357" s="5" t="str">
        <x:v>HQ</x:v>
      </x:c>
      <x:c r="C2357" s="5" t="str">
        <x:v>8</x:v>
      </x:c>
      <x:c r="D2357" s="5" t="str">
        <x:v>Marketing und Vertrieb</x:v>
      </x:c>
      <x:c r="E2357" s="5" t="str">
        <x:v>Marketing</x:v>
      </x:c>
      <x:c r="F2357" s="5" t="str">
        <x:v>ui-hq-0028</x:v>
      </x:c>
      <x:c r="G2357" s="5" t="str">
        <x:v>Marketinginstrumentarium / Marketing-Mix</x:v>
      </x:c>
      <x:c r="H2357" s="5" t="str">
        <x:v>dg-hq-0125</x:v>
      </x:c>
      <x:c r="I2357" s="5" t="str">
        <x:v>8.2.5.1</x:v>
      </x:c>
      <x:c r="J2357" s="5" t="str">
        <x:v>Werbung</x:v>
      </x:c>
      <x:c r="K2357" s="5" t="str"/>
      <x:c r="L2357" s="5" t="str">
        <x:v>Kommunikationspolitik</x:v>
      </x:c>
      <x:c r="M2357" s="5" t="n">
        <x:v>32</x:v>
      </x:c>
      <x:c r="N2357" s="5" t="n">
        <x:v>3</x:v>
      </x:c>
      <x:c r="O2357" s="5" t="str"/>
      <x:c r="P2357" s="5" t="str">
        <x:v>Zuordnungsvorschlag; Fachfreigabe ausstehend</x:v>
      </x:c>
      <x:c r="Q2357" s="5" t="str">
        <x:v>Bestehendes Lernthema fachlich unter passendem Rahmenplan-Unterbereich behalten</x:v>
      </x:c>
      <x:c r="R2357" s="5" t="str">
        <x:v>Beurteilen Sie die Aussage: „Werbung verteuert grundsätzlich die Produkte.“ Nennen Sie mindestens drei wirtschaftliche Funktionen von Werbung und erläutern Sie, warum intensive Werbung unter bestimmten Bedingungen sogar zu sinkenden Stückkosten beitragen kann.</x:v>
      </x:c>
      <x:c r="S2357" s="5" t="str">
        <x:v>59ddf2dc987e0c22c4c512c882581d781aaf2775aa0c3ae8df819e1a0e007a9a</x:v>
      </x:c>
    </x:row>
    <x:row r="2358" ht="36" customHeight="1">
      <x:c r="A2358" s="5" t="str">
        <x:v>M-0062</x:v>
      </x:c>
      <x:c r="B2358" s="5" t="str">
        <x:v>HQ</x:v>
      </x:c>
      <x:c r="C2358" s="5" t="str">
        <x:v>8</x:v>
      </x:c>
      <x:c r="D2358" s="5" t="str">
        <x:v>Marketing und Vertrieb</x:v>
      </x:c>
      <x:c r="E2358" s="5" t="str">
        <x:v>Marketing</x:v>
      </x:c>
      <x:c r="F2358" s="5" t="str">
        <x:v>ui-hq-0028</x:v>
      </x:c>
      <x:c r="G2358" s="5" t="str">
        <x:v>Marketinginstrumentarium / Marketing-Mix</x:v>
      </x:c>
      <x:c r="H2358" s="5" t="str">
        <x:v>dg-hq-0125</x:v>
      </x:c>
      <x:c r="I2358" s="5" t="str">
        <x:v>8.2.5</x:v>
      </x:c>
      <x:c r="J2358" s="5" t="str">
        <x:v>Kommunikationspolitik</x:v>
      </x:c>
      <x:c r="K2358" s="5" t="str"/>
      <x:c r="L2358" s="5" t="str">
        <x:v>Kommunikationspolitik</x:v>
      </x:c>
      <x:c r="M2358" s="5" t="n">
        <x:v>33</x:v>
      </x:c>
      <x:c r="N2358" s="5" t="n">
        <x:v>4</x:v>
      </x:c>
      <x:c r="O2358" s="5" t="str"/>
      <x:c r="P2358" s="5" t="str">
        <x:v>Zuordnungsvorschlag; Fachfreigabe ausstehend</x:v>
      </x:c>
      <x:c r="Q2358" s="5" t="str">
        <x:v>Bestehendes Lernthema fachlich unter passendem Rahmenplan-Unterbereich behalten</x:v>
      </x:c>
      <x:c r="R2358" s="5" t="str">
        <x:v>Ordnen Sie die Schritte der Werbeplanung in die richtige zeitliche Reihenfolge.</x:v>
      </x:c>
      <x:c r="S2358" s="5" t="str">
        <x:v>39206926d673c906951b68907fb97bda7194b6179611cda02e161089b8020e34</x:v>
      </x:c>
    </x:row>
    <x:row r="2359" ht="36" customHeight="1">
      <x:c r="A2359" s="5" t="str">
        <x:v>M-0063</x:v>
      </x:c>
      <x:c r="B2359" s="5" t="str">
        <x:v>HQ</x:v>
      </x:c>
      <x:c r="C2359" s="5" t="str">
        <x:v>8</x:v>
      </x:c>
      <x:c r="D2359" s="5" t="str">
        <x:v>Marketing und Vertrieb</x:v>
      </x:c>
      <x:c r="E2359" s="5" t="str">
        <x:v>Marketing</x:v>
      </x:c>
      <x:c r="F2359" s="5" t="str">
        <x:v>ui-hq-0028</x:v>
      </x:c>
      <x:c r="G2359" s="5" t="str">
        <x:v>Marketinginstrumentarium / Marketing-Mix</x:v>
      </x:c>
      <x:c r="H2359" s="5" t="str">
        <x:v>dg-hq-0125</x:v>
      </x:c>
      <x:c r="I2359" s="5" t="str">
        <x:v>8.2.5</x:v>
      </x:c>
      <x:c r="J2359" s="5" t="str">
        <x:v>Kommunikationspolitik</x:v>
      </x:c>
      <x:c r="K2359" s="5" t="str"/>
      <x:c r="L2359" s="5" t="str">
        <x:v>Kommunikationspolitik</x:v>
      </x:c>
      <x:c r="M2359" s="5" t="n">
        <x:v>34</x:v>
      </x:c>
      <x:c r="N2359" s="5" t="n">
        <x:v>5</x:v>
      </x:c>
      <x:c r="O2359" s="5" t="str"/>
      <x:c r="P2359" s="5" t="str">
        <x:v>Zuordnungsvorschlag; Fachfreigabe ausstehend</x:v>
      </x:c>
      <x:c r="Q2359" s="5" t="str">
        <x:v>Bestehendes Lernthema fachlich unter passendem Rahmenplan-Unterbereich behalten</x:v>
      </x:c>
      <x:c r="R2359" s="5" t="str">
        <x:v>Circle Harbor plant eine neue Werbekampagne. Erläutern Sie, warum präzise Werbeziele vor der Auswahl der Werbemaßnahmen festgelegt werden müssen. Nennen Sie außerdem sechs mögliche Werbeziele und formulieren Sie zwei davon so, dass der spätere Werbeerfolg messbar kontrolliert werden kann.</x:v>
      </x:c>
      <x:c r="S2359" s="5" t="str">
        <x:v>55f74ec19fd09f6d8f8f6563cebcdbadf83bc639166fe7634e63dde195704df2</x:v>
      </x:c>
    </x:row>
    <x:row r="2360" ht="36" customHeight="1">
      <x:c r="A2360" s="5" t="str">
        <x:v>M-0064</x:v>
      </x:c>
      <x:c r="B2360" s="5" t="str">
        <x:v>HQ</x:v>
      </x:c>
      <x:c r="C2360" s="5" t="str">
        <x:v>8</x:v>
      </x:c>
      <x:c r="D2360" s="5" t="str">
        <x:v>Marketing und Vertrieb</x:v>
      </x:c>
      <x:c r="E2360" s="5" t="str">
        <x:v>Marketing</x:v>
      </x:c>
      <x:c r="F2360" s="5" t="str">
        <x:v>ui-hq-0028</x:v>
      </x:c>
      <x:c r="G2360" s="5" t="str">
        <x:v>Marketinginstrumentarium / Marketing-Mix</x:v>
      </x:c>
      <x:c r="H2360" s="5" t="str">
        <x:v>dg-hq-0125</x:v>
      </x:c>
      <x:c r="I2360" s="5" t="str">
        <x:v>8.2.5</x:v>
      </x:c>
      <x:c r="J2360" s="5" t="str">
        <x:v>Kommunikationspolitik</x:v>
      </x:c>
      <x:c r="K2360" s="5" t="str"/>
      <x:c r="L2360" s="5" t="str">
        <x:v>Kommunikationspolitik</x:v>
      </x:c>
      <x:c r="M2360" s="5" t="n">
        <x:v>35</x:v>
      </x:c>
      <x:c r="N2360" s="5" t="n">
        <x:v>6</x:v>
      </x:c>
      <x:c r="O2360" s="5" t="str"/>
      <x:c r="P2360" s="5" t="str">
        <x:v>Zuordnungsvorschlag; Fachfreigabe ausstehend</x:v>
      </x:c>
      <x:c r="Q2360" s="5" t="str">
        <x:v>Bestehendes Lernthema fachlich unter passendem Rahmenplan-Unterbereich behalten</x:v>
      </x:c>
      <x:c r="R2360" s="5" t="str">
        <x:v>Die Circle Harbor GmbH als Hersteller nachhaltiger Mobilitätsprodukte muss ihr Werbebudget festlegen. Nennen und erläutern Sie vier übliche Verfahren der Werbebudgetierung. Beurteilen Sie besonders die ziel- und aufgabenorientierte Methode. Nennen Sie außerdem drei Produkteigenschaften, die sich bei einer glaubwürdigen Nachhaltigkeitskommunikation als Werbeargument eignen könnten.</x:v>
      </x:c>
      <x:c r="S2360" s="5" t="str">
        <x:v>1581ae11e41e3a3e8bd2f8ff06c77273d42fcf85666e27c189d06889d13d5745</x:v>
      </x:c>
    </x:row>
    <x:row r="2361" ht="36" customHeight="1">
      <x:c r="A2361" s="5" t="str">
        <x:v>M-0065</x:v>
      </x:c>
      <x:c r="B2361" s="5" t="str">
        <x:v>HQ</x:v>
      </x:c>
      <x:c r="C2361" s="5" t="str">
        <x:v>8</x:v>
      </x:c>
      <x:c r="D2361" s="5" t="str">
        <x:v>Marketing und Vertrieb</x:v>
      </x:c>
      <x:c r="E2361" s="5" t="str">
        <x:v>Marketing</x:v>
      </x:c>
      <x:c r="F2361" s="5" t="str">
        <x:v>ui-hq-0028</x:v>
      </x:c>
      <x:c r="G2361" s="5" t="str">
        <x:v>Marketinginstrumentarium / Marketing-Mix</x:v>
      </x:c>
      <x:c r="H2361" s="5" t="str">
        <x:v>dg-hq-0125</x:v>
      </x:c>
      <x:c r="I2361" s="5" t="str">
        <x:v>8.2.5</x:v>
      </x:c>
      <x:c r="J2361" s="5" t="str">
        <x:v>Kommunikationspolitik</x:v>
      </x:c>
      <x:c r="K2361" s="5" t="str"/>
      <x:c r="L2361" s="5" t="str">
        <x:v>Kommunikationspolitik</x:v>
      </x:c>
      <x:c r="M2361" s="5" t="n">
        <x:v>36</x:v>
      </x:c>
      <x:c r="N2361" s="5" t="n">
        <x:v>7</x:v>
      </x:c>
      <x:c r="O2361" s="5" t="str"/>
      <x:c r="P2361" s="5" t="str">
        <x:v>Zuordnungsvorschlag; Fachfreigabe ausstehend</x:v>
      </x:c>
      <x:c r="Q2361" s="5" t="str">
        <x:v>Bestehendes Lernthema fachlich unter passendem Rahmenplan-Unterbereich behalten</x:v>
      </x:c>
      <x:c r="R2361" s="5" t="str">
        <x:v>Ordnen Sie typische Beispiele danach zu, ob sie als Werbemittel oder als Werbeträger einzuordnen sind.</x:v>
      </x:c>
      <x:c r="S2361" s="5" t="str">
        <x:v>ad996d40eb152fda6d85bf269229a76a319381e11abe530a15a80ea661605bd4</x:v>
      </x:c>
    </x:row>
    <x:row r="2362" ht="36" customHeight="1">
      <x:c r="A2362" s="5" t="str">
        <x:v>M-0066</x:v>
      </x:c>
      <x:c r="B2362" s="5" t="str">
        <x:v>HQ</x:v>
      </x:c>
      <x:c r="C2362" s="5" t="str">
        <x:v>8</x:v>
      </x:c>
      <x:c r="D2362" s="5" t="str">
        <x:v>Marketing und Vertrieb</x:v>
      </x:c>
      <x:c r="E2362" s="5" t="str">
        <x:v>Marketing</x:v>
      </x:c>
      <x:c r="F2362" s="5" t="str">
        <x:v>ui-hq-0028</x:v>
      </x:c>
      <x:c r="G2362" s="5" t="str">
        <x:v>Marketinginstrumentarium / Marketing-Mix</x:v>
      </x:c>
      <x:c r="H2362" s="5" t="str">
        <x:v>dg-hq-0125</x:v>
      </x:c>
      <x:c r="I2362" s="5" t="str">
        <x:v>8.2.5</x:v>
      </x:c>
      <x:c r="J2362" s="5" t="str">
        <x:v>Kommunikationspolitik</x:v>
      </x:c>
      <x:c r="K2362" s="5" t="str"/>
      <x:c r="L2362" s="5" t="str">
        <x:v>Kommunikationspolitik</x:v>
      </x:c>
      <x:c r="M2362" s="5" t="n">
        <x:v>37</x:v>
      </x:c>
      <x:c r="N2362" s="5" t="n">
        <x:v>8</x:v>
      </x:c>
      <x:c r="O2362" s="5" t="str"/>
      <x:c r="P2362" s="5" t="str">
        <x:v>Zuordnungsvorschlag; Fachfreigabe ausstehend</x:v>
      </x:c>
      <x:c r="Q2362" s="5" t="str">
        <x:v>Bestehendes Lernthema fachlich unter passendem Rahmenplan-Unterbereich behalten</x:v>
      </x:c>
      <x:c r="R2362" s="5" t="str">
        <x:v>Fallbezug: Die folgenden betrieblichen Angaben und Situationen beziehen sich auf die Circle Harbor GmbH.
Drei Fachportale stehen für eine Werbekampagne zur Auswahl: Portal A kostet 37.500 € pro Schaltung und erreicht 420.000 Kontakte, Portal B kostet 30.000 € bei 250.000 Kontakten und Portal C kostet 22.500 € bei 180.000 Kontakten. Berechnen Sie für jedes Portal den Tausenderkontaktpreis (TKP), erstellen Sie eine Rangfolge nach Kontaktkosten und erläutern Sie, welche Aussagekraft der TKP für die Mediaplanung hat.</x:v>
      </x:c>
      <x:c r="S2362" s="5" t="str">
        <x:v>63dfec2d35e54f762a93151bf569f540606fb6ee8ba153a59aebebd4dea29b3e</x:v>
      </x:c>
    </x:row>
    <x:row r="2363" ht="36" customHeight="1">
      <x:c r="A2363" s="5" t="str">
        <x:v>M-0067</x:v>
      </x:c>
      <x:c r="B2363" s="5" t="str">
        <x:v>HQ</x:v>
      </x:c>
      <x:c r="C2363" s="5" t="str">
        <x:v>8</x:v>
      </x:c>
      <x:c r="D2363" s="5" t="str">
        <x:v>Marketing und Vertrieb</x:v>
      </x:c>
      <x:c r="E2363" s="5" t="str">
        <x:v>Marketing</x:v>
      </x:c>
      <x:c r="F2363" s="5" t="str">
        <x:v>ui-hq-0028</x:v>
      </x:c>
      <x:c r="G2363" s="5" t="str">
        <x:v>Marketinginstrumentarium / Marketing-Mix</x:v>
      </x:c>
      <x:c r="H2363" s="5" t="str">
        <x:v>dg-hq-0125</x:v>
      </x:c>
      <x:c r="I2363" s="5" t="str">
        <x:v>8.2.5.1</x:v>
      </x:c>
      <x:c r="J2363" s="5" t="str">
        <x:v>Werbung</x:v>
      </x:c>
      <x:c r="K2363" s="5" t="str"/>
      <x:c r="L2363" s="5" t="str">
        <x:v>Kommunikationspolitik</x:v>
      </x:c>
      <x:c r="M2363" s="5" t="n">
        <x:v>38</x:v>
      </x:c>
      <x:c r="N2363" s="5" t="n">
        <x:v>9</x:v>
      </x:c>
      <x:c r="O2363" s="5" t="str"/>
      <x:c r="P2363" s="5" t="str">
        <x:v>Zuordnungsvorschlag; Fachfreigabe ausstehend</x:v>
      </x:c>
      <x:c r="Q2363" s="5" t="str">
        <x:v>Bestehendes Lernthema fachlich unter passendem Rahmenplan-Unterbereich behalten</x:v>
      </x:c>
      <x:c r="R2363" s="5" t="str">
        <x:v>Fallbezug: Die folgenden betrieblichen Angaben und Situationen beziehen sich auf die Circle Harbor GmbH.
Nach einer Werbekampagne steigt der Umsatz eines Produkts deutlich. Begründen Sie, warum dieser Anstieg nicht automatisch vollständig der Werbung zugerechnet werden darf. Erläutern Sie das Isolierungsproblem sowie Carry-over- und Spill-over-Effekte und nennen Sie drei Möglichkeiten, den Werbeerfolg dennoch möglichst belastbar zu kontrollieren.</x:v>
      </x:c>
      <x:c r="S2363" s="5" t="str">
        <x:v>28ab2e91fcabb34e99f6535d5db19c5d13ae1e15a8a157cc7200af62a80eca7a</x:v>
      </x:c>
    </x:row>
    <x:row r="2364" ht="36" customHeight="1">
      <x:c r="A2364" s="5" t="str">
        <x:v>M-0068</x:v>
      </x:c>
      <x:c r="B2364" s="5" t="str">
        <x:v>HQ</x:v>
      </x:c>
      <x:c r="C2364" s="5" t="str">
        <x:v>8</x:v>
      </x:c>
      <x:c r="D2364" s="5" t="str">
        <x:v>Marketing und Vertrieb</x:v>
      </x:c>
      <x:c r="E2364" s="5" t="str">
        <x:v>Marketing</x:v>
      </x:c>
      <x:c r="F2364" s="5" t="str">
        <x:v>ui-hq-0028</x:v>
      </x:c>
      <x:c r="G2364" s="5" t="str">
        <x:v>Marketinginstrumentarium / Marketing-Mix</x:v>
      </x:c>
      <x:c r="H2364" s="5" t="str">
        <x:v>dg-hq-0125</x:v>
      </x:c>
      <x:c r="I2364" s="5" t="str">
        <x:v>8.2.5.2</x:v>
      </x:c>
      <x:c r="J2364" s="5" t="str">
        <x:v>Verkaufsförderung</x:v>
      </x:c>
      <x:c r="K2364" s="5" t="str"/>
      <x:c r="L2364" s="5" t="str">
        <x:v>Kommunikationspolitik</x:v>
      </x:c>
      <x:c r="M2364" s="5" t="n">
        <x:v>39</x:v>
      </x:c>
      <x:c r="N2364" s="5" t="n">
        <x:v>10</x:v>
      </x:c>
      <x:c r="O2364" s="5" t="str"/>
      <x:c r="P2364" s="5" t="str">
        <x:v>Zuordnungsvorschlag; Fachfreigabe ausstehend</x:v>
      </x:c>
      <x:c r="Q2364" s="5" t="str">
        <x:v>Bestehendes Lernthema fachlich unter passendem Rahmenplan-Unterbereich behalten</x:v>
      </x:c>
      <x:c r="R2364" s="5" t="str">
        <x:v>Erläutern Sie die Verkaufsförderung als Instrument der Kommunikationspolitik. Unterscheiden Sie Verkäufer-, Händler- und Verbraucherpromotion. Stellen Sie außerdem Push- und Pull-Strategie gegenüber und nennen Sie für beide Strategien jeweils mindestens drei typische Maßnahmen.</x:v>
      </x:c>
      <x:c r="S2364" s="5" t="str">
        <x:v>4992e9477db82d69103a20c5c6774f798abe755a52b5bf0d51a03779dce16a47</x:v>
      </x:c>
    </x:row>
    <x:row r="2365" ht="36" customHeight="1">
      <x:c r="A2365" s="5" t="str">
        <x:v>M-0069</x:v>
      </x:c>
      <x:c r="B2365" s="5" t="str">
        <x:v>HQ</x:v>
      </x:c>
      <x:c r="C2365" s="5" t="str">
        <x:v>8</x:v>
      </x:c>
      <x:c r="D2365" s="5" t="str">
        <x:v>Marketing und Vertrieb</x:v>
      </x:c>
      <x:c r="E2365" s="5" t="str">
        <x:v>Marketing</x:v>
      </x:c>
      <x:c r="F2365" s="5" t="str">
        <x:v>ui-hq-0028</x:v>
      </x:c>
      <x:c r="G2365" s="5" t="str">
        <x:v>Marketinginstrumentarium / Marketing-Mix</x:v>
      </x:c>
      <x:c r="H2365" s="5" t="str">
        <x:v>dg-hq-0125</x:v>
      </x:c>
      <x:c r="I2365" s="5" t="str">
        <x:v>8.2.5</x:v>
      </x:c>
      <x:c r="J2365" s="5" t="str">
        <x:v>Kommunikationspolitik</x:v>
      </x:c>
      <x:c r="K2365" s="5" t="str"/>
      <x:c r="L2365" s="5" t="str">
        <x:v>Kommunikationspolitik</x:v>
      </x:c>
      <x:c r="M2365" s="5" t="n">
        <x:v>40</x:v>
      </x:c>
      <x:c r="N2365" s="5" t="n">
        <x:v>11</x:v>
      </x:c>
      <x:c r="O2365" s="5" t="str"/>
      <x:c r="P2365" s="5" t="str">
        <x:v>Zuordnungsvorschlag; Fachfreigabe ausstehend</x:v>
      </x:c>
      <x:c r="Q2365" s="5" t="str">
        <x:v>Bestehendes Lernthema fachlich unter passendem Rahmenplan-Unterbereich behalten</x:v>
      </x:c>
      <x:c r="R2365" s="5" t="str">
        <x:v>Ordnen Sie typische Instrumente der internen oder externen Öffentlichkeitsarbeit (PR) zu.</x:v>
      </x:c>
      <x:c r="S2365" s="5" t="str">
        <x:v>0e4e5e32022c9e22dbb80f3d9c259fc4ea420ee96bc97aa1cd8efae50d09a72c</x:v>
      </x:c>
    </x:row>
    <x:row r="2366" ht="36" customHeight="1">
      <x:c r="A2366" s="5" t="str">
        <x:v>M-0070</x:v>
      </x:c>
      <x:c r="B2366" s="5" t="str">
        <x:v>HQ</x:v>
      </x:c>
      <x:c r="C2366" s="5" t="str">
        <x:v>8</x:v>
      </x:c>
      <x:c r="D2366" s="5" t="str">
        <x:v>Marketing und Vertrieb</x:v>
      </x:c>
      <x:c r="E2366" s="5" t="str">
        <x:v>Marketing</x:v>
      </x:c>
      <x:c r="F2366" s="5" t="str">
        <x:v>ui-hq-0028</x:v>
      </x:c>
      <x:c r="G2366" s="5" t="str">
        <x:v>Marketinginstrumentarium / Marketing-Mix</x:v>
      </x:c>
      <x:c r="H2366" s="5" t="str">
        <x:v>dg-hq-0125</x:v>
      </x:c>
      <x:c r="I2366" s="5" t="str">
        <x:v>8.2.5</x:v>
      </x:c>
      <x:c r="J2366" s="5" t="str">
        <x:v>Kommunikationspolitik</x:v>
      </x:c>
      <x:c r="K2366" s="5" t="str"/>
      <x:c r="L2366" s="5" t="str">
        <x:v>Kommunikationspolitik</x:v>
      </x:c>
      <x:c r="M2366" s="5" t="n">
        <x:v>41</x:v>
      </x:c>
      <x:c r="N2366" s="5" t="n">
        <x:v>12</x:v>
      </x:c>
      <x:c r="O2366" s="5" t="str"/>
      <x:c r="P2366" s="5" t="str">
        <x:v>Zuordnungsvorschlag; Fachfreigabe ausstehend</x:v>
      </x:c>
      <x:c r="Q2366" s="5" t="str">
        <x:v>Bestehendes Lernthema fachlich unter passendem Rahmenplan-Unterbereich behalten</x:v>
      </x:c>
      <x:c r="R2366" s="5" t="str">
        <x:v>Nennen Sie die drei klassischen Kernbereiche der Corporate Identity und erläutern Sie kurz, wie Corporate Culture und Corporate Social Responsibility dazu in Beziehung stehen.</x:v>
      </x:c>
      <x:c r="S2366" s="5" t="str">
        <x:v>3ea6f00659128779f28d88ab420c4db32c284803185956fa842714d3b818bb45</x:v>
      </x:c>
    </x:row>
    <x:row r="2367" ht="36" customHeight="1">
      <x:c r="A2367" s="5" t="str">
        <x:v>M-0071</x:v>
      </x:c>
      <x:c r="B2367" s="5" t="str">
        <x:v>HQ</x:v>
      </x:c>
      <x:c r="C2367" s="5" t="str">
        <x:v>8</x:v>
      </x:c>
      <x:c r="D2367" s="5" t="str">
        <x:v>Marketing und Vertrieb</x:v>
      </x:c>
      <x:c r="E2367" s="5" t="str">
        <x:v>Marketing</x:v>
      </x:c>
      <x:c r="F2367" s="5" t="str">
        <x:v>ui-hq-0028</x:v>
      </x:c>
      <x:c r="G2367" s="5" t="str">
        <x:v>Marketinginstrumentarium / Marketing-Mix</x:v>
      </x:c>
      <x:c r="H2367" s="5" t="str">
        <x:v>dg-hq-0125</x:v>
      </x:c>
      <x:c r="I2367" s="5" t="str">
        <x:v>8.2.5.4</x:v>
      </x:c>
      <x:c r="J2367" s="5" t="str">
        <x:v>Sponsoring</x:v>
      </x:c>
      <x:c r="K2367" s="5" t="str"/>
      <x:c r="L2367" s="5" t="str">
        <x:v>Kommunikationspolitik</x:v>
      </x:c>
      <x:c r="M2367" s="5" t="n">
        <x:v>42</x:v>
      </x:c>
      <x:c r="N2367" s="5" t="n">
        <x:v>13</x:v>
      </x:c>
      <x:c r="O2367" s="5" t="str"/>
      <x:c r="P2367" s="5" t="str">
        <x:v>Zuordnungsvorschlag; Fachfreigabe ausstehend</x:v>
      </x:c>
      <x:c r="Q2367" s="5" t="str">
        <x:v>Bestehendes Lernthema fachlich unter passendem Rahmenplan-Unterbereich behalten</x:v>
      </x:c>
      <x:c r="R2367" s="5" t="str">
        <x:v>Circle Harbor erwägt, ein regionales Kulturfestival finanziell zu unterstützen. Grenzen Sie Sponsoring von einer Spende ab. Nennen Sie vier mögliche Ziele des Sponsorings und erläutern Sie drei Kriterien, nach denen ein geeignetes Sponsoringengagement ausgewählt und geplant werden sollte.</x:v>
      </x:c>
      <x:c r="S2367" s="5" t="str">
        <x:v>86a506fa0d8a080cda29be572ab1b82b7ef59e2592eaac1a6959ff0b2fb0f1bd</x:v>
      </x:c>
    </x:row>
    <x:row r="2368" ht="36" customHeight="1">
      <x:c r="A2368" s="5" t="str">
        <x:v>M-0072</x:v>
      </x:c>
      <x:c r="B2368" s="5" t="str">
        <x:v>HQ</x:v>
      </x:c>
      <x:c r="C2368" s="5" t="str">
        <x:v>8</x:v>
      </x:c>
      <x:c r="D2368" s="5" t="str">
        <x:v>Marketing und Vertrieb</x:v>
      </x:c>
      <x:c r="E2368" s="5" t="str">
        <x:v>Marketing</x:v>
      </x:c>
      <x:c r="F2368" s="5" t="str">
        <x:v>ui-hq-0028</x:v>
      </x:c>
      <x:c r="G2368" s="5" t="str">
        <x:v>Marketinginstrumentarium / Marketing-Mix</x:v>
      </x:c>
      <x:c r="H2368" s="5" t="str">
        <x:v>dg-hq-0125</x:v>
      </x:c>
      <x:c r="I2368" s="5" t="str">
        <x:v>8.2.5</x:v>
      </x:c>
      <x:c r="J2368" s="5" t="str">
        <x:v>Kommunikationspolitik</x:v>
      </x:c>
      <x:c r="K2368" s="5" t="str"/>
      <x:c r="L2368" s="5" t="str">
        <x:v>Kommunikationspolitik</x:v>
      </x:c>
      <x:c r="M2368" s="5" t="n">
        <x:v>43</x:v>
      </x:c>
      <x:c r="N2368" s="5" t="n">
        <x:v>14</x:v>
      </x:c>
      <x:c r="O2368" s="5" t="str"/>
      <x:c r="P2368" s="5" t="str">
        <x:v>Zuordnungsvorschlag; Fachfreigabe ausstehend</x:v>
      </x:c>
      <x:c r="Q2368" s="5" t="str">
        <x:v>Bestehendes Lernthema fachlich unter passendem Rahmenplan-Unterbereich behalten</x:v>
      </x:c>
      <x:c r="R2368" s="5" t="str">
        <x:v>Ordnen Sie typische Beispiele dem passenden Instrument der Onlinekommunikation zu.</x:v>
      </x:c>
      <x:c r="S2368" s="5" t="str">
        <x:v>389bb4c3904c296e09d97c91a9d14a03157cf85d651b1ee4d586c6f2a955859c</x:v>
      </x:c>
    </x:row>
    <x:row r="2369" ht="36" customHeight="1">
      <x:c r="A2369" s="5" t="str">
        <x:v>M-0073</x:v>
      </x:c>
      <x:c r="B2369" s="5" t="str">
        <x:v>HQ</x:v>
      </x:c>
      <x:c r="C2369" s="5" t="str">
        <x:v>8</x:v>
      </x:c>
      <x:c r="D2369" s="5" t="str">
        <x:v>Marketing und Vertrieb</x:v>
      </x:c>
      <x:c r="E2369" s="5" t="str">
        <x:v>Marketing</x:v>
      </x:c>
      <x:c r="F2369" s="5" t="str">
        <x:v>ui-hq-0028</x:v>
      </x:c>
      <x:c r="G2369" s="5" t="str">
        <x:v>Marketinginstrumentarium / Marketing-Mix</x:v>
      </x:c>
      <x:c r="H2369" s="5" t="str">
        <x:v>dg-hq-0125</x:v>
      </x:c>
      <x:c r="I2369" s="5" t="str">
        <x:v>8.2.5</x:v>
      </x:c>
      <x:c r="J2369" s="5" t="str">
        <x:v>Kommunikationspolitik</x:v>
      </x:c>
      <x:c r="K2369" s="5" t="str"/>
      <x:c r="L2369" s="5" t="str">
        <x:v>Kommunikationspolitik</x:v>
      </x:c>
      <x:c r="M2369" s="5" t="n">
        <x:v>44</x:v>
      </x:c>
      <x:c r="N2369" s="5" t="n">
        <x:v>15</x:v>
      </x:c>
      <x:c r="O2369" s="5" t="str"/>
      <x:c r="P2369" s="5" t="str">
        <x:v>Zuordnungsvorschlag; Fachfreigabe ausstehend</x:v>
      </x:c>
      <x:c r="Q2369" s="5" t="str">
        <x:v>Bestehendes Lernthema fachlich unter passendem Rahmenplan-Unterbereich behalten</x:v>
      </x:c>
      <x:c r="R2369" s="5" t="str">
        <x:v>Ordnen Sie typische Aufgaben des Social-Media-Managements den vier Phasen Planung, Realisierung, Tagesgeschäft und Kontrolle zu.</x:v>
      </x:c>
      <x:c r="S2369" s="5" t="str">
        <x:v>74d9e84a0cb92fef95303b526294d1f3a2c15fbb7add41f40554e07bf00aaaf8</x:v>
      </x:c>
    </x:row>
    <x:row r="2370" ht="36" customHeight="1">
      <x:c r="A2370" s="5" t="str">
        <x:v>M-0074</x:v>
      </x:c>
      <x:c r="B2370" s="5" t="str">
        <x:v>HQ</x:v>
      </x:c>
      <x:c r="C2370" s="5" t="str">
        <x:v>8</x:v>
      </x:c>
      <x:c r="D2370" s="5" t="str">
        <x:v>Marketing und Vertrieb</x:v>
      </x:c>
      <x:c r="E2370" s="5" t="str">
        <x:v>Marketing</x:v>
      </x:c>
      <x:c r="F2370" s="5" t="str">
        <x:v>ui-hq-0028</x:v>
      </x:c>
      <x:c r="G2370" s="5" t="str">
        <x:v>Marketinginstrumentarium / Marketing-Mix</x:v>
      </x:c>
      <x:c r="H2370" s="5" t="str">
        <x:v>dg-hq-0125</x:v>
      </x:c>
      <x:c r="I2370" s="5" t="str">
        <x:v>8.2.5</x:v>
      </x:c>
      <x:c r="J2370" s="5" t="str">
        <x:v>Kommunikationspolitik</x:v>
      </x:c>
      <x:c r="K2370" s="5" t="str"/>
      <x:c r="L2370" s="5" t="str">
        <x:v>Kommunikationspolitik</x:v>
      </x:c>
      <x:c r="M2370" s="5" t="n">
        <x:v>45</x:v>
      </x:c>
      <x:c r="N2370" s="5" t="n">
        <x:v>16</x:v>
      </x:c>
      <x:c r="O2370" s="5" t="str"/>
      <x:c r="P2370" s="5" t="str">
        <x:v>Zuordnungsvorschlag; Fachfreigabe ausstehend</x:v>
      </x:c>
      <x:c r="Q2370" s="5" t="str">
        <x:v>Bestehendes Lernthema fachlich unter passendem Rahmenplan-Unterbereich behalten</x:v>
      </x:c>
      <x:c r="R2370" s="5" t="str">
        <x:v>Circle Harbor möchte die Wirkung seiner Website und Onlinekampagnen systematisch kontrollieren. Erläutern Sie vier geeignete Verfahren bzw. Informationsquellen des Online-Controllings und nennen Sie mindestens vier Kennzahlen, die dabei ausgewertet werden können.</x:v>
      </x:c>
      <x:c r="S2370" s="5" t="str">
        <x:v>02039621f029e155e6efb801d6ab39d6cea4c863b48591f0d112ec85cfcf2366</x:v>
      </x:c>
    </x:row>
    <x:row r="2371" ht="36" customHeight="1">
      <x:c r="A2371" s="5" t="str">
        <x:v>M-0075</x:v>
      </x:c>
      <x:c r="B2371" s="5" t="str">
        <x:v>HQ</x:v>
      </x:c>
      <x:c r="C2371" s="5" t="str">
        <x:v>8</x:v>
      </x:c>
      <x:c r="D2371" s="5" t="str">
        <x:v>Marketing und Vertrieb</x:v>
      </x:c>
      <x:c r="E2371" s="5" t="str">
        <x:v>Marketing</x:v>
      </x:c>
      <x:c r="F2371" s="5" t="str">
        <x:v>ui-hq-0028</x:v>
      </x:c>
      <x:c r="G2371" s="5" t="str">
        <x:v>Marketinginstrumentarium / Marketing-Mix</x:v>
      </x:c>
      <x:c r="H2371" s="5" t="str">
        <x:v>dg-hq-0125</x:v>
      </x:c>
      <x:c r="I2371" s="5" t="str">
        <x:v>8.2.5</x:v>
      </x:c>
      <x:c r="J2371" s="5" t="str">
        <x:v>Kommunikationspolitik</x:v>
      </x:c>
      <x:c r="K2371" s="5" t="str"/>
      <x:c r="L2371" s="5" t="str">
        <x:v>Kommunikationspolitik</x:v>
      </x:c>
      <x:c r="M2371" s="5" t="n">
        <x:v>46</x:v>
      </x:c>
      <x:c r="N2371" s="5" t="n">
        <x:v>17</x:v>
      </x:c>
      <x:c r="O2371" s="5" t="str"/>
      <x:c r="P2371" s="5" t="str">
        <x:v>Zuordnungsvorschlag; Fachfreigabe ausstehend</x:v>
      </x:c>
      <x:c r="Q2371" s="5" t="str">
        <x:v>Bestehendes Lernthema fachlich unter passendem Rahmenplan-Unterbereich behalten</x:v>
      </x:c>
      <x:c r="R2371" s="5" t="str">
        <x:v>Erläutern Sie Crossmedia-Marketing. Beschreiben Sie das zentrale Ziel einer Crossmedia-Kampagne und nennen Sie mindestens fünf Gestaltungsgrundsätze, durch die Online- und Offlinekanäle zu einer zusammenhängenden Customer Journey verbunden werden.</x:v>
      </x:c>
      <x:c r="S2371" s="5" t="str">
        <x:v>9361e75f77a820f036b49a516ad1028762ffb4ef92c0b7a8c46132375422472e</x:v>
      </x:c>
    </x:row>
    <x:row r="2372" ht="36" customHeight="1">
      <x:c r="A2372" s="5" t="str">
        <x:v>M-0076</x:v>
      </x:c>
      <x:c r="B2372" s="5" t="str">
        <x:v>HQ</x:v>
      </x:c>
      <x:c r="C2372" s="5" t="str">
        <x:v>8</x:v>
      </x:c>
      <x:c r="D2372" s="5" t="str">
        <x:v>Marketing und Vertrieb</x:v>
      </x:c>
      <x:c r="E2372" s="5" t="str">
        <x:v>Marketing</x:v>
      </x:c>
      <x:c r="F2372" s="5" t="str">
        <x:v>ui-hq-0028</x:v>
      </x:c>
      <x:c r="G2372" s="5" t="str">
        <x:v>Marketinginstrumentarium / Marketing-Mix</x:v>
      </x:c>
      <x:c r="H2372" s="5" t="str">
        <x:v>dg-hq-0114</x:v>
      </x:c>
      <x:c r="I2372" s="5" t="str">
        <x:v>8.2.6</x:v>
      </x:c>
      <x:c r="J2372" s="5" t="str">
        <x:v>Marketing-Mix</x:v>
      </x:c>
      <x:c r="K2372" s="5" t="str"/>
      <x:c r="L2372" s="5" t="str">
        <x:v>Marketingmix nach Markt- &amp; Leistungsart</x:v>
      </x:c>
      <x:c r="M2372" s="5" t="n">
        <x:v>47</x:v>
      </x:c>
      <x:c r="N2372" s="5" t="n">
        <x:v>4</x:v>
      </x:c>
      <x:c r="O2372" s="5" t="str"/>
      <x:c r="P2372" s="5" t="str">
        <x:v>Zuordnungsvorschlag; Fachfreigabe ausstehend</x:v>
      </x:c>
      <x:c r="Q2372" s="5" t="str">
        <x:v>Bestehendes Lernthema fachlich unter passendem Rahmenplan-Unterbereich behalten</x:v>
      </x:c>
      <x:c r="R2372" s="5" t="str">
        <x:v>Ordnen Sie den vier Bereichen Konsumgüter, Dienstleistungen, Handel und Investitionsgüter die jeweils typischen Besonderheiten bei der Gestaltung des Marketingmix zu.</x:v>
      </x:c>
      <x:c r="S2372" s="5" t="str">
        <x:v>acc6c9e3b577f001453ecdd2f539fe8142c4de2216556e3c783be53054161755</x:v>
      </x:c>
    </x:row>
    <x:row r="2373" ht="36" customHeight="1">
      <x:c r="A2373" s="5" t="str">
        <x:v>M-0077</x:v>
      </x:c>
      <x:c r="B2373" s="5" t="str">
        <x:v>HQ</x:v>
      </x:c>
      <x:c r="C2373" s="5" t="str">
        <x:v>8</x:v>
      </x:c>
      <x:c r="D2373" s="5" t="str">
        <x:v>Marketing und Vertrieb</x:v>
      </x:c>
      <x:c r="E2373" s="5" t="str">
        <x:v>Marketing</x:v>
      </x:c>
      <x:c r="F2373" s="5" t="str">
        <x:v>ui-hq-0027</x:v>
      </x:c>
      <x:c r="G2373" s="5" t="str">
        <x:v>Marketingplanung</x:v>
      </x:c>
      <x:c r="H2373" s="5" t="str">
        <x:v>dg-hq-0117</x:v>
      </x:c>
      <x:c r="I2373" s="5" t="str">
        <x:v>8.1.3.1</x:v>
      </x:c>
      <x:c r="J2373" s="5" t="str">
        <x:v>Arten von Strategien</x:v>
      </x:c>
      <x:c r="K2373" s="5" t="str"/>
      <x:c r="L2373" s="5" t="str">
        <x:v>Marketingstrategien &amp; strategische Analyse</x:v>
      </x:c>
      <x:c r="M2373" s="5" t="n">
        <x:v>30</x:v>
      </x:c>
      <x:c r="N2373" s="5" t="n">
        <x:v>8</x:v>
      </x:c>
      <x:c r="O2373" s="5" t="str"/>
      <x:c r="P2373" s="5" t="str">
        <x:v>Zuordnungsvorschlag; Fachfreigabe ausstehend</x:v>
      </x:c>
      <x:c r="Q2373" s="5" t="str">
        <x:v>Bestehendes Lernthema fachlich unter passendem Rahmenplan-Unterbereich behalten</x:v>
      </x:c>
      <x:c r="R2373" s="5" t="str">
        <x:v>Ein regionaler Getränkehersteller befindet sich in einem rückläufigen Kernmarkt und prüft Wachstumsmöglichkeiten. Erläutern Sie die vier Grundstrategien der Ansoff-Matrix und ordnen Sie jeweils die Kombination aus bestehendem bzw. neuem Produkt und bestehendem bzw. neuem Markt zu.</x:v>
      </x:c>
      <x:c r="S2373" s="5" t="str">
        <x:v>d6ff3e16064aaa860ce2fa03c95f1804af706e23b6d8f8236b9cdb2887a08412</x:v>
      </x:c>
    </x:row>
    <x:row r="2374" ht="36" customHeight="1">
      <x:c r="A2374" s="5" t="str">
        <x:v>M-0078</x:v>
      </x:c>
      <x:c r="B2374" s="5" t="str">
        <x:v>HQ</x:v>
      </x:c>
      <x:c r="C2374" s="5" t="str">
        <x:v>8</x:v>
      </x:c>
      <x:c r="D2374" s="5" t="str">
        <x:v>Marketing und Vertrieb</x:v>
      </x:c>
      <x:c r="E2374" s="5" t="str">
        <x:v>Marketing</x:v>
      </x:c>
      <x:c r="F2374" s="5" t="str">
        <x:v>ui-hq-0027</x:v>
      </x:c>
      <x:c r="G2374" s="5" t="str">
        <x:v>Marketingplanung</x:v>
      </x:c>
      <x:c r="H2374" s="5" t="str">
        <x:v>dg-hq-0117</x:v>
      </x:c>
      <x:c r="I2374" s="5" t="str">
        <x:v>8.1.3.1</x:v>
      </x:c>
      <x:c r="J2374" s="5" t="str">
        <x:v>Arten von Strategien</x:v>
      </x:c>
      <x:c r="K2374" s="5" t="str"/>
      <x:c r="L2374" s="5" t="str">
        <x:v>Marketingstrategien &amp; strategische Analyse</x:v>
      </x:c>
      <x:c r="M2374" s="5" t="n">
        <x:v>31</x:v>
      </x:c>
      <x:c r="N2374" s="5" t="n">
        <x:v>9</x:v>
      </x:c>
      <x:c r="O2374" s="5" t="str"/>
      <x:c r="P2374" s="5" t="str">
        <x:v>Zuordnungsvorschlag; Fachfreigabe ausstehend</x:v>
      </x:c>
      <x:c r="Q2374" s="5" t="str">
        <x:v>Bestehendes Lernthema fachlich unter passendem Rahmenplan-Unterbereich behalten</x:v>
      </x:c>
      <x:c r="R2374" s="5" t="str">
        <x:v>Eine mittelständische Regionalbrauerei verzeichnet in ihrem bisherigen Biermarkt eine rückläufige Nachfrage. Gleichzeitig prüft sie neue Regionen sowie eine Erweiterung um Biermischgetränke und andere alkoholfreie Erfrischungsgetränke. Entwickeln Sie für jede der vier Ansoff-Strategien drei mögliche Chancen und drei mögliche Risiken, die zur Situation passen.</x:v>
      </x:c>
      <x:c r="S2374" s="5" t="str">
        <x:v>4674a56ac598d99f43d2f269a22ad9d155a749a74ee8504a1d6dee13a20b5eae</x:v>
      </x:c>
    </x:row>
    <x:row r="2375" ht="36" customHeight="1">
      <x:c r="A2375" s="5" t="str">
        <x:v>M-0079</x:v>
      </x:c>
      <x:c r="B2375" s="5" t="str">
        <x:v>HQ</x:v>
      </x:c>
      <x:c r="C2375" s="5" t="str">
        <x:v>8</x:v>
      </x:c>
      <x:c r="D2375" s="5" t="str">
        <x:v>Marketing und Vertrieb</x:v>
      </x:c>
      <x:c r="E2375" s="5" t="str">
        <x:v>Marketing</x:v>
      </x:c>
      <x:c r="F2375" s="5" t="str">
        <x:v>ui-hq-0027</x:v>
      </x:c>
      <x:c r="G2375" s="5" t="str">
        <x:v>Marketingplanung</x:v>
      </x:c>
      <x:c r="H2375" s="5" t="str">
        <x:v>dg-hq-0115</x:v>
      </x:c>
      <x:c r="I2375" s="5" t="str">
        <x:v>8.1.4</x:v>
      </x:c>
      <x:c r="J2375" s="5" t="str">
        <x:v>Marketingplan</x:v>
      </x:c>
      <x:c r="K2375" s="5" t="str"/>
      <x:c r="L2375" s="5" t="str">
        <x:v>Marketingplanung &amp; Marketingmix</x:v>
      </x:c>
      <x:c r="M2375" s="5" t="n">
        <x:v>32</x:v>
      </x:c>
      <x:c r="N2375" s="5" t="n">
        <x:v>9</x:v>
      </x:c>
      <x:c r="O2375" s="5" t="str"/>
      <x:c r="P2375" s="5" t="str">
        <x:v>Zuordnungsvorschlag; Fachfreigabe ausstehend</x:v>
      </x:c>
      <x:c r="Q2375" s="5" t="str">
        <x:v>Bestehendes Lernthema fachlich unter passendem Rahmenplan-Unterbereich behalten</x:v>
      </x:c>
      <x:c r="R2375" s="5" t="str">
        <x:v>Eine Regionalbrauerei möchte mit einer Erweiterung ihres Getränkeangebots auf sinkende Nachfrage im klassischen Biersegment reagieren. Formulieren Sie für Produktpolitik, Preis- und Konditionenpolitik, Distributionspolitik und Kommunikationspolitik jeweils die zentrale Zielsetzung innerhalb eines schlüssigen Marketingkonzepts.</x:v>
      </x:c>
      <x:c r="S2375" s="5" t="str">
        <x:v>f19d9f973f9e4685f01b0d24369521c1e10db22e6c86c538678ca7c406bf341d</x:v>
      </x:c>
    </x:row>
    <x:row r="2376" ht="36" customHeight="1">
      <x:c r="A2376" s="5" t="str">
        <x:v>M-0080</x:v>
      </x:c>
      <x:c r="B2376" s="5" t="str">
        <x:v>HQ</x:v>
      </x:c>
      <x:c r="C2376" s="5" t="str">
        <x:v>8</x:v>
      </x:c>
      <x:c r="D2376" s="5" t="str">
        <x:v>Marketing und Vertrieb</x:v>
      </x:c>
      <x:c r="E2376" s="5" t="str">
        <x:v>Marketing</x:v>
      </x:c>
      <x:c r="F2376" s="5" t="str">
        <x:v>ui-hq-0027</x:v>
      </x:c>
      <x:c r="G2376" s="5" t="str">
        <x:v>Marketingplanung</x:v>
      </x:c>
      <x:c r="H2376" s="5" t="str">
        <x:v>dg-hq-0115</x:v>
      </x:c>
      <x:c r="I2376" s="5" t="str">
        <x:v>8.1.4</x:v>
      </x:c>
      <x:c r="J2376" s="5" t="str">
        <x:v>Marketingplan</x:v>
      </x:c>
      <x:c r="K2376" s="5" t="str"/>
      <x:c r="L2376" s="5" t="str">
        <x:v>Marketingplanung &amp; Marketingmix</x:v>
      </x:c>
      <x:c r="M2376" s="5" t="n">
        <x:v>33</x:v>
      </x:c>
      <x:c r="N2376" s="5" t="n">
        <x:v>10</x:v>
      </x:c>
      <x:c r="O2376" s="5" t="str"/>
      <x:c r="P2376" s="5" t="str">
        <x:v>Zuordnungsvorschlag; Fachfreigabe ausstehend</x:v>
      </x:c>
      <x:c r="Q2376" s="5" t="str">
        <x:v>Bestehendes Lernthema fachlich unter passendem Rahmenplan-Unterbereich behalten</x:v>
      </x:c>
      <x:c r="R2376" s="5" t="str">
        <x:v>Eine Regionalbrauerei möchte ihr Getränkeangebot um Biermischgetränke und alkoholfreie Erfrischungsgetränke erweitern, um auf die sinkende Nachfrage im klassischen Biersegment zu reagieren. Entwickeln Sie für Produktpolitik, Preis- und Konditionenpolitik, Distributionspolitik und Kommunikationspolitik jeweils drei konkrete Maßnahmen, die den Absatz steigern und gleichzeitig die Umsatzrentabilität unterstützen können. Begründen Sie die Maßnahmen kurz.</x:v>
      </x:c>
      <x:c r="S2376" s="5" t="str">
        <x:v>2884261bc870a89c70e6b007359374fbc2c0d563ade397a931ad82d51aa31e72</x:v>
      </x:c>
    </x:row>
    <x:row r="2377" ht="36" customHeight="1">
      <x:c r="A2377" s="5" t="str">
        <x:v>M-0081</x:v>
      </x:c>
      <x:c r="B2377" s="5" t="str">
        <x:v>HQ</x:v>
      </x:c>
      <x:c r="C2377" s="5" t="str">
        <x:v>8</x:v>
      </x:c>
      <x:c r="D2377" s="5" t="str">
        <x:v>Marketing und Vertrieb</x:v>
      </x:c>
      <x:c r="E2377" s="5" t="str">
        <x:v>Marketing</x:v>
      </x:c>
      <x:c r="F2377" s="5" t="str">
        <x:v>ui-hq-0028</x:v>
      </x:c>
      <x:c r="G2377" s="5" t="str">
        <x:v>Marketinginstrumentarium / Marketing-Mix</x:v>
      </x:c>
      <x:c r="H2377" s="5" t="str">
        <x:v>dg-hq-0126</x:v>
      </x:c>
      <x:c r="I2377" s="5" t="str">
        <x:v>8.2.4</x:v>
      </x:c>
      <x:c r="J2377" s="5" t="str">
        <x:v>Distributionspolitik</x:v>
      </x:c>
      <x:c r="K2377" s="5" t="str"/>
      <x:c r="L2377" s="5" t="str">
        <x:v>Distributionspolitik</x:v>
      </x:c>
      <x:c r="M2377" s="5" t="n">
        <x:v>48</x:v>
      </x:c>
      <x:c r="N2377" s="5" t="n">
        <x:v>1</x:v>
      </x:c>
      <x:c r="O2377" s="5" t="str"/>
      <x:c r="P2377" s="5" t="str">
        <x:v>Zuordnungsvorschlag; Fachfreigabe ausstehend</x:v>
      </x:c>
      <x:c r="Q2377" s="5" t="str">
        <x:v>Bestehendes Lernthema fachlich unter passendem Rahmenplan-Unterbereich behalten</x:v>
      </x:c>
      <x:c r="R2377" s="5" t="str">
        <x:v>Circle Harbor plant seine Absatzwege neu. Grenzen Sie die akquisitorische von der physischen Distribution ab und nennen Sie jeweils typische Aufgaben.</x:v>
      </x:c>
      <x:c r="S2377" s="5" t="str">
        <x:v>d4724208965b767e5d75f63f8234c45d03e2658bf91cb1b80eab708d0b83a4c8</x:v>
      </x:c>
    </x:row>
    <x:row r="2378" ht="36" customHeight="1">
      <x:c r="A2378" s="5" t="str">
        <x:v>M-0082</x:v>
      </x:c>
      <x:c r="B2378" s="5" t="str">
        <x:v>HQ</x:v>
      </x:c>
      <x:c r="C2378" s="5" t="str">
        <x:v>8</x:v>
      </x:c>
      <x:c r="D2378" s="5" t="str">
        <x:v>Marketing und Vertrieb</x:v>
      </x:c>
      <x:c r="E2378" s="5" t="str">
        <x:v>Marketing</x:v>
      </x:c>
      <x:c r="F2378" s="5" t="str">
        <x:v>ui-hq-0028</x:v>
      </x:c>
      <x:c r="G2378" s="5" t="str">
        <x:v>Marketinginstrumentarium / Marketing-Mix</x:v>
      </x:c>
      <x:c r="H2378" s="5" t="str">
        <x:v>dg-hq-0126</x:v>
      </x:c>
      <x:c r="I2378" s="5" t="str">
        <x:v>8.2.4</x:v>
      </x:c>
      <x:c r="J2378" s="5" t="str">
        <x:v>Distributionspolitik</x:v>
      </x:c>
      <x:c r="K2378" s="5" t="str"/>
      <x:c r="L2378" s="5" t="str">
        <x:v>Distributionspolitik</x:v>
      </x:c>
      <x:c r="M2378" s="5" t="n">
        <x:v>49</x:v>
      </x:c>
      <x:c r="N2378" s="5" t="n">
        <x:v>2</x:v>
      </x:c>
      <x:c r="O2378" s="5" t="str"/>
      <x:c r="P2378" s="5" t="str">
        <x:v>Zuordnungsvorschlag; Fachfreigabe ausstehend</x:v>
      </x:c>
      <x:c r="Q2378" s="5" t="str">
        <x:v>Bestehendes Lernthema fachlich unter passendem Rahmenplan-Unterbereich behalten</x:v>
      </x:c>
      <x:c r="R2378" s="5" t="str">
        <x:v>Vergleichen Sie direkten und indirekten Absatz. Erläutern Sie beide Absatzwege und nennen Sie jeweils mindestens zwei Vorteile sowie einen Nachteil aus Sicht des Herstellers.</x:v>
      </x:c>
      <x:c r="S2378" s="5" t="str">
        <x:v>f706b01dd642c8ffb2e51d6d6c71d01016b8ce00e89998d9e7550820602f29e4</x:v>
      </x:c>
    </x:row>
    <x:row r="2379" ht="36" customHeight="1">
      <x:c r="A2379" s="5" t="str">
        <x:v>M-0083</x:v>
      </x:c>
      <x:c r="B2379" s="5" t="str">
        <x:v>HQ</x:v>
      </x:c>
      <x:c r="C2379" s="5" t="str">
        <x:v>8</x:v>
      </x:c>
      <x:c r="D2379" s="5" t="str">
        <x:v>Marketing und Vertrieb</x:v>
      </x:c>
      <x:c r="E2379" s="5" t="str">
        <x:v>Marketing</x:v>
      </x:c>
      <x:c r="F2379" s="5" t="str">
        <x:v>ui-hq-0028</x:v>
      </x:c>
      <x:c r="G2379" s="5" t="str">
        <x:v>Marketinginstrumentarium / Marketing-Mix</x:v>
      </x:c>
      <x:c r="H2379" s="5" t="str">
        <x:v>dg-hq-0126</x:v>
      </x:c>
      <x:c r="I2379" s="5" t="str">
        <x:v>8.2.4</x:v>
      </x:c>
      <x:c r="J2379" s="5" t="str">
        <x:v>Distributionspolitik</x:v>
      </x:c>
      <x:c r="K2379" s="5" t="str"/>
      <x:c r="L2379" s="5" t="str">
        <x:v>Distributionspolitik</x:v>
      </x:c>
      <x:c r="M2379" s="5" t="n">
        <x:v>50</x:v>
      </x:c>
      <x:c r="N2379" s="5" t="n">
        <x:v>3</x:v>
      </x:c>
      <x:c r="O2379" s="5" t="str"/>
      <x:c r="P2379" s="5" t="str">
        <x:v>Zuordnungsvorschlag; Fachfreigabe ausstehend</x:v>
      </x:c>
      <x:c r="Q2379" s="5" t="str">
        <x:v>Bestehendes Lernthema fachlich unter passendem Rahmenplan-Unterbereich behalten</x:v>
      </x:c>
      <x:c r="R2379" s="5" t="str">
        <x:v>Nennen und erläutern Sie vier typische Formen des direkten Absatzes, die ein Hersteller mit eigenen Absatzorganen nutzen kann.</x:v>
      </x:c>
      <x:c r="S2379" s="5" t="str">
        <x:v>2ed57b06cd0654f7aa52f03f033e8672bf59fe8c411edcf7fa915b6a62bba1d8</x:v>
      </x:c>
    </x:row>
    <x:row r="2380" ht="36" customHeight="1">
      <x:c r="A2380" s="5" t="str">
        <x:v>M-0084</x:v>
      </x:c>
      <x:c r="B2380" s="5" t="str">
        <x:v>HQ</x:v>
      </x:c>
      <x:c r="C2380" s="5" t="str">
        <x:v>8</x:v>
      </x:c>
      <x:c r="D2380" s="5" t="str">
        <x:v>Marketing und Vertrieb</x:v>
      </x:c>
      <x:c r="E2380" s="5" t="str">
        <x:v>Marketing</x:v>
      </x:c>
      <x:c r="F2380" s="5" t="str">
        <x:v>ui-hq-0028</x:v>
      </x:c>
      <x:c r="G2380" s="5" t="str">
        <x:v>Marketinginstrumentarium / Marketing-Mix</x:v>
      </x:c>
      <x:c r="H2380" s="5" t="str">
        <x:v>dg-hq-0126</x:v>
      </x:c>
      <x:c r="I2380" s="5" t="str">
        <x:v>8.2.4</x:v>
      </x:c>
      <x:c r="J2380" s="5" t="str">
        <x:v>Distributionspolitik</x:v>
      </x:c>
      <x:c r="K2380" s="5" t="str"/>
      <x:c r="L2380" s="5" t="str">
        <x:v>Distributionspolitik</x:v>
      </x:c>
      <x:c r="M2380" s="5" t="n">
        <x:v>51</x:v>
      </x:c>
      <x:c r="N2380" s="5" t="n">
        <x:v>4</x:v>
      </x:c>
      <x:c r="O2380" s="5" t="str"/>
      <x:c r="P2380" s="5" t="str">
        <x:v>Zuordnungsvorschlag; Fachfreigabe ausstehend</x:v>
      </x:c>
      <x:c r="Q2380" s="5" t="str">
        <x:v>Bestehendes Lernthema fachlich unter passendem Rahmenplan-Unterbereich behalten</x:v>
      </x:c>
      <x:c r="R2380" s="5" t="str">
        <x:v>Unterscheiden Sie E-Commerce und E-Business und erläutern Sie deren Verhältnis zueinander. Nennen Sie jeweils ein Beispiel.</x:v>
      </x:c>
      <x:c r="S2380" s="5" t="str">
        <x:v>c131e991f56e6fccd1e8268893fa5bfdc1d6e8c25cbbaf1aa716681a10e2dd31</x:v>
      </x:c>
    </x:row>
    <x:row r="2381" ht="36" customHeight="1">
      <x:c r="A2381" s="5" t="str">
        <x:v>M-0085</x:v>
      </x:c>
      <x:c r="B2381" s="5" t="str">
        <x:v>HQ</x:v>
      </x:c>
      <x:c r="C2381" s="5" t="str">
        <x:v>8</x:v>
      </x:c>
      <x:c r="D2381" s="5" t="str">
        <x:v>Marketing und Vertrieb</x:v>
      </x:c>
      <x:c r="E2381" s="5" t="str">
        <x:v>Marketing</x:v>
      </x:c>
      <x:c r="F2381" s="5" t="str">
        <x:v>ui-hq-0028</x:v>
      </x:c>
      <x:c r="G2381" s="5" t="str">
        <x:v>Marketinginstrumentarium / Marketing-Mix</x:v>
      </x:c>
      <x:c r="H2381" s="5" t="str">
        <x:v>dg-hq-0126</x:v>
      </x:c>
      <x:c r="I2381" s="5" t="str">
        <x:v>8.2.4</x:v>
      </x:c>
      <x:c r="J2381" s="5" t="str">
        <x:v>Distributionspolitik</x:v>
      </x:c>
      <x:c r="K2381" s="5" t="str"/>
      <x:c r="L2381" s="5" t="str">
        <x:v>Distributionspolitik</x:v>
      </x:c>
      <x:c r="M2381" s="5" t="n">
        <x:v>52</x:v>
      </x:c>
      <x:c r="N2381" s="5" t="n">
        <x:v>5</x:v>
      </x:c>
      <x:c r="O2381" s="5" t="str"/>
      <x:c r="P2381" s="5" t="str">
        <x:v>Zuordnungsvorschlag; Fachfreigabe ausstehend</x:v>
      </x:c>
      <x:c r="Q2381" s="5" t="str">
        <x:v>Bestehendes Lernthema fachlich unter passendem Rahmenplan-Unterbereich behalten</x:v>
      </x:c>
      <x:c r="R2381" s="5" t="str">
        <x:v>Erläutern Sie intensive, selektive und exklusive Distribution. Für welche Art von Produkt oder Positionierung kann die jeweilige Distributionsintensität sinnvoll sein?</x:v>
      </x:c>
      <x:c r="S2381" s="5" t="str">
        <x:v>1723c3383ed30c2acc212df5ec302f7a1ed1ec44c95175780c83332bfe17f094</x:v>
      </x:c>
    </x:row>
    <x:row r="2382" ht="36" customHeight="1">
      <x:c r="A2382" s="5" t="str">
        <x:v>M-0086</x:v>
      </x:c>
      <x:c r="B2382" s="5" t="str">
        <x:v>HQ</x:v>
      </x:c>
      <x:c r="C2382" s="5" t="str">
        <x:v>8</x:v>
      </x:c>
      <x:c r="D2382" s="5" t="str">
        <x:v>Marketing und Vertrieb</x:v>
      </x:c>
      <x:c r="E2382" s="5" t="str">
        <x:v>Marketing</x:v>
      </x:c>
      <x:c r="F2382" s="5" t="str">
        <x:v>ui-hq-0028</x:v>
      </x:c>
      <x:c r="G2382" s="5" t="str">
        <x:v>Marketinginstrumentarium / Marketing-Mix</x:v>
      </x:c>
      <x:c r="H2382" s="5" t="str">
        <x:v>dg-hq-0126</x:v>
      </x:c>
      <x:c r="I2382" s="5" t="str">
        <x:v>8.2.4</x:v>
      </x:c>
      <x:c r="J2382" s="5" t="str">
        <x:v>Distributionspolitik</x:v>
      </x:c>
      <x:c r="K2382" s="5" t="str"/>
      <x:c r="L2382" s="5" t="str">
        <x:v>Distributionspolitik</x:v>
      </x:c>
      <x:c r="M2382" s="5" t="n">
        <x:v>53</x:v>
      </x:c>
      <x:c r="N2382" s="5" t="n">
        <x:v>6</x:v>
      </x:c>
      <x:c r="O2382" s="5" t="str"/>
      <x:c r="P2382" s="5" t="str">
        <x:v>Zuordnungsvorschlag; Fachfreigabe ausstehend</x:v>
      </x:c>
      <x:c r="Q2382" s="5" t="str">
        <x:v>Bestehendes Lernthema fachlich unter passendem Rahmenplan-Unterbereich behalten</x:v>
      </x:c>
      <x:c r="R2382" s="5" t="str">
        <x:v>Grenzen Sie Handelsvertreter, Kommissionär und Makler als Absatzmittler voneinander ab. Gehen Sie insbesondere darauf ein, in wessen Namen und für wessen Rechnung gehandelt wird und ob eine dauerhafte Geschäftsbeziehung typisch ist.</x:v>
      </x:c>
      <x:c r="S2382" s="5" t="str">
        <x:v>cebb816b64314438b63c141225500e94e5541848fdc809bae94c83b6e79a1afc</x:v>
      </x:c>
    </x:row>
    <x:row r="2383" ht="36" customHeight="1">
      <x:c r="A2383" s="5" t="str">
        <x:v>M-0087</x:v>
      </x:c>
      <x:c r="B2383" s="5" t="str">
        <x:v>HQ</x:v>
      </x:c>
      <x:c r="C2383" s="5" t="str">
        <x:v>8</x:v>
      </x:c>
      <x:c r="D2383" s="5" t="str">
        <x:v>Marketing und Vertrieb</x:v>
      </x:c>
      <x:c r="E2383" s="5" t="str">
        <x:v>Marketing</x:v>
      </x:c>
      <x:c r="F2383" s="5" t="str">
        <x:v>ui-hq-0028</x:v>
      </x:c>
      <x:c r="G2383" s="5" t="str">
        <x:v>Marketinginstrumentarium / Marketing-Mix</x:v>
      </x:c>
      <x:c r="H2383" s="5" t="str">
        <x:v>dg-hq-0126</x:v>
      </x:c>
      <x:c r="I2383" s="5" t="str">
        <x:v>8.2.4</x:v>
      </x:c>
      <x:c r="J2383" s="5" t="str">
        <x:v>Distributionspolitik</x:v>
      </x:c>
      <x:c r="K2383" s="5" t="str"/>
      <x:c r="L2383" s="5" t="str">
        <x:v>Distributionspolitik</x:v>
      </x:c>
      <x:c r="M2383" s="5" t="n">
        <x:v>54</x:v>
      </x:c>
      <x:c r="N2383" s="5" t="n">
        <x:v>7</x:v>
      </x:c>
      <x:c r="O2383" s="5" t="str"/>
      <x:c r="P2383" s="5" t="str">
        <x:v>Zuordnungsvorschlag; Fachfreigabe ausstehend</x:v>
      </x:c>
      <x:c r="Q2383" s="5" t="str">
        <x:v>Bestehendes Lernthema fachlich unter passendem Rahmenplan-Unterbereich behalten</x:v>
      </x:c>
      <x:c r="R2383" s="5" t="str">
        <x:v>Unterscheiden Sie Multichannel-, Crosschannel- und Omnichannel-Vertrieb. Nennen Sie zu jeder Form ein praktisches Beispiel.</x:v>
      </x:c>
      <x:c r="S2383" s="5" t="str">
        <x:v>4b2fa6ba4cee105a6eafd8c4d35dfe088de71f80c8b135b1e643d3ca8778923d</x:v>
      </x:c>
    </x:row>
    <x:row r="2384" ht="36" customHeight="1">
      <x:c r="A2384" s="5" t="str">
        <x:v>M-0088</x:v>
      </x:c>
      <x:c r="B2384" s="5" t="str">
        <x:v>HQ</x:v>
      </x:c>
      <x:c r="C2384" s="5" t="str">
        <x:v>8</x:v>
      </x:c>
      <x:c r="D2384" s="5" t="str">
        <x:v>Marketing und Vertrieb</x:v>
      </x:c>
      <x:c r="E2384" s="5" t="str">
        <x:v>Marketing</x:v>
      </x:c>
      <x:c r="F2384" s="5" t="str">
        <x:v>ui-hq-0028</x:v>
      </x:c>
      <x:c r="G2384" s="5" t="str">
        <x:v>Marketinginstrumentarium / Marketing-Mix</x:v>
      </x:c>
      <x:c r="H2384" s="5" t="str">
        <x:v>dg-hq-0126</x:v>
      </x:c>
      <x:c r="I2384" s="5" t="str">
        <x:v>8.2.4</x:v>
      </x:c>
      <x:c r="J2384" s="5" t="str">
        <x:v>Distributionspolitik</x:v>
      </x:c>
      <x:c r="K2384" s="5" t="str"/>
      <x:c r="L2384" s="5" t="str">
        <x:v>Distributionspolitik</x:v>
      </x:c>
      <x:c r="M2384" s="5" t="n">
        <x:v>55</x:v>
      </x:c>
      <x:c r="N2384" s="5" t="n">
        <x:v>8</x:v>
      </x:c>
      <x:c r="O2384" s="5" t="str"/>
      <x:c r="P2384" s="5" t="str">
        <x:v>Zuordnungsvorschlag; Fachfreigabe ausstehend</x:v>
      </x:c>
      <x:c r="Q2384" s="5" t="str">
        <x:v>Bestehendes Lernthema fachlich unter passendem Rahmenplan-Unterbereich behalten</x:v>
      </x:c>
      <x:c r="R2384" s="5" t="str">
        <x:v>Erläutern Sie Efficient Consumer Response (ECR). Welche Ziele verfolgt die Zusammenarbeit zwischen Hersteller und Handel und welche Voraussetzungen bzw. Maßnahmen sind dafür wichtig?</x:v>
      </x:c>
      <x:c r="S2384" s="5" t="str">
        <x:v>230a81e8f1a90c84e8ddbcc2f32165a6fb335d42ade0ee52d4ff0d962cc5c9bc</x:v>
      </x:c>
    </x:row>
    <x:row r="2385" ht="36" customHeight="1">
      <x:c r="A2385" s="5" t="str">
        <x:v>M-0089</x:v>
      </x:c>
      <x:c r="B2385" s="5" t="str">
        <x:v>HQ</x:v>
      </x:c>
      <x:c r="C2385" s="5" t="str">
        <x:v>8</x:v>
      </x:c>
      <x:c r="D2385" s="5" t="str">
        <x:v>Marketing und Vertrieb</x:v>
      </x:c>
      <x:c r="E2385" s="5" t="str">
        <x:v>Marketing</x:v>
      </x:c>
      <x:c r="F2385" s="5" t="str">
        <x:v>ui-hq-0028</x:v>
      </x:c>
      <x:c r="G2385" s="5" t="str">
        <x:v>Marketinginstrumentarium / Marketing-Mix</x:v>
      </x:c>
      <x:c r="H2385" s="5" t="str">
        <x:v>dg-hq-0126</x:v>
      </x:c>
      <x:c r="I2385" s="5" t="str">
        <x:v>8.2.4</x:v>
      </x:c>
      <x:c r="J2385" s="5" t="str">
        <x:v>Distributionspolitik</x:v>
      </x:c>
      <x:c r="K2385" s="5" t="str"/>
      <x:c r="L2385" s="5" t="str">
        <x:v>Distributionspolitik</x:v>
      </x:c>
      <x:c r="M2385" s="5" t="n">
        <x:v>56</x:v>
      </x:c>
      <x:c r="N2385" s="5" t="n">
        <x:v>9</x:v>
      </x:c>
      <x:c r="O2385" s="5" t="str"/>
      <x:c r="P2385" s="5" t="str">
        <x:v>Zuordnungsvorschlag; Fachfreigabe ausstehend</x:v>
      </x:c>
      <x:c r="Q2385" s="5" t="str">
        <x:v>Bestehendes Lernthema fachlich unter passendem Rahmenplan-Unterbereich behalten</x:v>
      </x:c>
      <x:c r="R2385" s="5" t="str">
        <x:v>Circle Harbor führt ein erklärungsbedürftiges Premiumprodukt ein und muss den passenden Absatzweg wählen. Nennen und erläutern Sie mindestens sechs Kriterien, die bei der Entscheidung über den Distributionsweg berücksichtigt werden sollten.</x:v>
      </x:c>
      <x:c r="S2385" s="5" t="str">
        <x:v>2ceae4e74ffe94adb6486e2c7011e06ef5e657c5c9679e00f70ac4012729781a</x:v>
      </x:c>
    </x:row>
    <x:row r="2386" ht="36" customHeight="1">
      <x:c r="A2386" s="5" t="str">
        <x:v>M-0090</x:v>
      </x:c>
      <x:c r="B2386" s="5" t="str">
        <x:v>HQ</x:v>
      </x:c>
      <x:c r="C2386" s="5" t="str">
        <x:v>8</x:v>
      </x:c>
      <x:c r="D2386" s="5" t="str">
        <x:v>Marketing und Vertrieb</x:v>
      </x:c>
      <x:c r="E2386" s="5" t="str">
        <x:v>Marketing</x:v>
      </x:c>
      <x:c r="F2386" s="5" t="str">
        <x:v>ui-hq-0027</x:v>
      </x:c>
      <x:c r="G2386" s="5" t="str">
        <x:v>Marketingplanung</x:v>
      </x:c>
      <x:c r="H2386" s="5" t="str">
        <x:v>dg-hq-0117</x:v>
      </x:c>
      <x:c r="I2386" s="5" t="str">
        <x:v>8.1.3</x:v>
      </x:c>
      <x:c r="J2386" s="5" t="str">
        <x:v>Marketingstrategien</x:v>
      </x:c>
      <x:c r="K2386" s="5" t="str"/>
      <x:c r="L2386" s="5" t="str">
        <x:v>Marketingstrategien &amp; strategische Analyse</x:v>
      </x:c>
      <x:c r="M2386" s="5" t="n">
        <x:v>34</x:v>
      </x:c>
      <x:c r="N2386" s="5" t="n">
        <x:v>10</x:v>
      </x:c>
      <x:c r="O2386" s="5" t="str"/>
      <x:c r="P2386" s="5" t="str">
        <x:v>Zuordnungsvorschlag; Fachfreigabe ausstehend</x:v>
      </x:c>
      <x:c r="Q2386" s="5" t="str">
        <x:v>Bestehendes Lernthema fachlich unter passendem Rahmenplan-Unterbereich behalten</x:v>
      </x:c>
      <x:c r="R2386" s="5" t="str">
        <x:v>Bringen Sie die fünf Adoptergruppen einer Innovation in die richtige Reihenfolge und nennen Sie ihre ungefähren Anteile an der Gesamtzahl der Übernehmer.</x:v>
      </x:c>
      <x:c r="S2386" s="5" t="str">
        <x:v>738f7c77051977653e8e88f00f10aa5dcc582d4bcba867cdce7faa16bb34796d</x:v>
      </x:c>
    </x:row>
    <x:row r="2387" ht="36" customHeight="1">
      <x:c r="A2387" s="5" t="str">
        <x:v>M-0091</x:v>
      </x:c>
      <x:c r="B2387" s="5" t="str">
        <x:v>HQ</x:v>
      </x:c>
      <x:c r="C2387" s="5" t="str">
        <x:v>8</x:v>
      </x:c>
      <x:c r="D2387" s="5" t="str">
        <x:v>Marketing und Vertrieb</x:v>
      </x:c>
      <x:c r="E2387" s="5" t="str">
        <x:v>Marketing</x:v>
      </x:c>
      <x:c r="F2387" s="5" t="str">
        <x:v>ui-hq-0028</x:v>
      </x:c>
      <x:c r="G2387" s="5" t="str">
        <x:v>Marketinginstrumentarium / Marketing-Mix</x:v>
      </x:c>
      <x:c r="H2387" s="5" t="str">
        <x:v>dg-hq-0114</x:v>
      </x:c>
      <x:c r="I2387" s="5" t="str">
        <x:v>8.2.6</x:v>
      </x:c>
      <x:c r="J2387" s="5" t="str">
        <x:v>Marketing-Mix</x:v>
      </x:c>
      <x:c r="K2387" s="5" t="str"/>
      <x:c r="L2387" s="5" t="str">
        <x:v>Marketingmix nach Markt- &amp; Leistungsart</x:v>
      </x:c>
      <x:c r="M2387" s="5" t="n">
        <x:v>57</x:v>
      </x:c>
      <x:c r="N2387" s="5" t="n">
        <x:v>5</x:v>
      </x:c>
      <x:c r="O2387" s="5" t="str"/>
      <x:c r="P2387" s="5" t="str">
        <x:v>Zuordnungsvorschlag; Fachfreigabe ausstehend</x:v>
      </x:c>
      <x:c r="Q2387" s="5" t="str">
        <x:v>Bestehendes Lernthema fachlich unter passendem Rahmenplan-Unterbereich behalten</x:v>
      </x:c>
      <x:c r="R2387" s="5" t="str">
        <x:v>Bei einer B2B-Kaufentscheidung wirken häufig mehrere Personen im Buying Center mit. Nennen und erläutern Sie mindestens fünf typische Rollen und zeigen Sie kurz, warum ihre Interessen für das Marketing berücksichtigt werden müssen.</x:v>
      </x:c>
      <x:c r="S2387" s="5" t="str">
        <x:v>0a78e55574b7382f9580bdadd46f497529a8c770b4450354dba765d8929c7423</x:v>
      </x:c>
    </x:row>
    <x:row r="2388" ht="36" customHeight="1">
      <x:c r="A2388" s="5" t="str">
        <x:v>M-0092</x:v>
      </x:c>
      <x:c r="B2388" s="5" t="str">
        <x:v>HQ</x:v>
      </x:c>
      <x:c r="C2388" s="5" t="str">
        <x:v>8</x:v>
      </x:c>
      <x:c r="D2388" s="5" t="str">
        <x:v>Marketing und Vertrieb</x:v>
      </x:c>
      <x:c r="E2388" s="5" t="str">
        <x:v>Marketing</x:v>
      </x:c>
      <x:c r="F2388" s="5" t="str">
        <x:v>ui-hq-0028</x:v>
      </x:c>
      <x:c r="G2388" s="5" t="str">
        <x:v>Marketinginstrumentarium / Marketing-Mix</x:v>
      </x:c>
      <x:c r="H2388" s="5" t="str">
        <x:v>dg-hq-0124</x:v>
      </x:c>
      <x:c r="I2388" s="5" t="str">
        <x:v>8.2.3</x:v>
      </x:c>
      <x:c r="J2388" s="5" t="str">
        <x:v>Preispolitik</x:v>
      </x:c>
      <x:c r="K2388" s="5" t="str"/>
      <x:c r="L2388" s="5" t="str">
        <x:v>Preis- &amp; Konditionenpolitik</x:v>
      </x:c>
      <x:c r="M2388" s="5" t="n">
        <x:v>58</x:v>
      </x:c>
      <x:c r="N2388" s="5" t="n">
        <x:v>9</x:v>
      </x:c>
      <x:c r="O2388" s="5" t="str"/>
      <x:c r="P2388" s="5" t="str">
        <x:v>Zuordnungsvorschlag; Fachfreigabe ausstehend</x:v>
      </x:c>
      <x:c r="Q2388" s="5" t="str">
        <x:v>Bestehendes Lernthema fachlich unter passendem Rahmenplan-Unterbereich behalten</x:v>
      </x:c>
      <x:c r="R2388" s="5" t="str">
        <x:v>Erläutern Sie den preispolitischen Ausgleich bzw. die Mischkalkulation. Welches Ziel verfolgt ein Unternehmen damit und welche zwei Risiken können entstehen?</x:v>
      </x:c>
      <x:c r="S2388" s="5" t="str">
        <x:v>e6f6a980a9b28ed7ba9463b0f1b24dbefbeddbdfc49561ed9ee5731c91e457a0</x:v>
      </x:c>
    </x:row>
    <x:row r="2389" ht="36" customHeight="1">
      <x:c r="A2389" s="5" t="str">
        <x:v>M-0093</x:v>
      </x:c>
      <x:c r="B2389" s="5" t="str">
        <x:v>HQ</x:v>
      </x:c>
      <x:c r="C2389" s="5" t="str">
        <x:v>8</x:v>
      </x:c>
      <x:c r="D2389" s="5" t="str">
        <x:v>Marketing und Vertrieb</x:v>
      </x:c>
      <x:c r="E2389" s="5" t="str">
        <x:v>Marketing</x:v>
      </x:c>
      <x:c r="F2389" s="5" t="str">
        <x:v>ui-hq-0028</x:v>
      </x:c>
      <x:c r="G2389" s="5" t="str">
        <x:v>Marketinginstrumentarium / Marketing-Mix</x:v>
      </x:c>
      <x:c r="H2389" s="5" t="str">
        <x:v>dg-hq-0119</x:v>
      </x:c>
      <x:c r="I2389" s="5" t="str">
        <x:v>8.2.2.1#1</x:v>
      </x:c>
      <x:c r="J2389" s="5" t="str">
        <x:v>Innovation</x:v>
      </x:c>
      <x:c r="K2389" s="5" t="str"/>
      <x:c r="L2389" s="5" t="str">
        <x:v>Produkt-, Sortiments- &amp; Servicepolitik</x:v>
      </x:c>
      <x:c r="M2389" s="5" t="n">
        <x:v>59</x:v>
      </x:c>
      <x:c r="N2389" s="5" t="n">
        <x:v>19</x:v>
      </x:c>
      <x:c r="O2389" s="5" t="str"/>
      <x:c r="P2389" s="5" t="str">
        <x:v>Zuordnungsvorschlag; Fachfreigabe ausstehend</x:v>
      </x:c>
      <x:c r="Q2389" s="5" t="str">
        <x:v>Bestehendes Lernthema fachlich unter passendem Rahmenplan-Unterbereich behalten</x:v>
      </x:c>
      <x:c r="R2389" s="5" t="str">
        <x:v>Unterscheiden Sie echte Produktinnovationen von Quasi-Innovationen bzw. Me-too-Produkten. Nennen Sie zu beiden Formen ein Beispiel und erläutern Sie jeweils eine Chance und ein Risiko.</x:v>
      </x:c>
      <x:c r="S2389" s="5" t="str">
        <x:v>1c178e891c1e795eb0358bb55f60e11e030c97761b59964f399fe3d2ee25b8db</x:v>
      </x:c>
    </x:row>
    <x:row r="2390" ht="36" customHeight="1">
      <x:c r="A2390" s="5" t="str">
        <x:v>M-0094</x:v>
      </x:c>
      <x:c r="B2390" s="5" t="str">
        <x:v>HQ</x:v>
      </x:c>
      <x:c r="C2390" s="5" t="str">
        <x:v>8</x:v>
      </x:c>
      <x:c r="D2390" s="5" t="str">
        <x:v>Marketing und Vertrieb</x:v>
      </x:c>
      <x:c r="E2390" s="5" t="str">
        <x:v>Marketing</x:v>
      </x:c>
      <x:c r="F2390" s="5" t="str">
        <x:v>ui-hq-0028</x:v>
      </x:c>
      <x:c r="G2390" s="5" t="str">
        <x:v>Marketinginstrumentarium / Marketing-Mix</x:v>
      </x:c>
      <x:c r="H2390" s="5" t="str">
        <x:v>dg-hq-0119</x:v>
      </x:c>
      <x:c r="I2390" s="5" t="str">
        <x:v>8.2.2</x:v>
      </x:c>
      <x:c r="J2390" s="5" t="str">
        <x:v>Produktpolitik</x:v>
      </x:c>
      <x:c r="K2390" s="5" t="str"/>
      <x:c r="L2390" s="5" t="str">
        <x:v>Produkt-, Sortiments- &amp; Servicepolitik</x:v>
      </x:c>
      <x:c r="M2390" s="5" t="n">
        <x:v>60</x:v>
      </x:c>
      <x:c r="N2390" s="5" t="n">
        <x:v>20</x:v>
      </x:c>
      <x:c r="O2390" s="5" t="str"/>
      <x:c r="P2390" s="5" t="str">
        <x:v>Zuordnungsvorschlag; Fachfreigabe ausstehend</x:v>
      </x:c>
      <x:c r="Q2390" s="5" t="str">
        <x:v>Bestehendes Lernthema fachlich unter passendem Rahmenplan-Unterbereich behalten</x:v>
      </x:c>
      <x:c r="R2390" s="5" t="str">
        <x:v>Unterscheiden Sie horizontale, vertikale und laterale Diversifikation. Erläutern Sie bei der vertikalen Diversifikation zusätzlich Vorwärts- und Rückwärtsintegration und geben Sie jeweils ein Beispiel.</x:v>
      </x:c>
      <x:c r="S2390" s="5" t="str">
        <x:v>5be7c59cd1125111a517380e43c92dde1f317558d9e551bddc7ceb257d9dc956</x:v>
      </x:c>
    </x:row>
    <x:row r="2391" ht="36" customHeight="1">
      <x:c r="A2391" s="5" t="str">
        <x:v>M-0095</x:v>
      </x:c>
      <x:c r="B2391" s="5" t="str">
        <x:v>HQ</x:v>
      </x:c>
      <x:c r="C2391" s="5" t="str">
        <x:v>8</x:v>
      </x:c>
      <x:c r="D2391" s="5" t="str">
        <x:v>Marketing und Vertrieb</x:v>
      </x:c>
      <x:c r="E2391" s="5" t="str">
        <x:v>Marketing</x:v>
      </x:c>
      <x:c r="F2391" s="5" t="str">
        <x:v>ui-hq-0028</x:v>
      </x:c>
      <x:c r="G2391" s="5" t="str">
        <x:v>Marketinginstrumentarium / Marketing-Mix</x:v>
      </x:c>
      <x:c r="H2391" s="5" t="str">
        <x:v>dg-hq-0125</x:v>
      </x:c>
      <x:c r="I2391" s="5" t="str">
        <x:v>8.2.5.2</x:v>
      </x:c>
      <x:c r="J2391" s="5" t="str">
        <x:v>Verkaufsförderung</x:v>
      </x:c>
      <x:c r="K2391" s="5" t="str"/>
      <x:c r="L2391" s="5" t="str">
        <x:v>Kommunikationspolitik</x:v>
      </x:c>
      <x:c r="M2391" s="5" t="n">
        <x:v>61</x:v>
      </x:c>
      <x:c r="N2391" s="5" t="n">
        <x:v>18</x:v>
      </x:c>
      <x:c r="O2391" s="5" t="str"/>
      <x:c r="P2391" s="5" t="str">
        <x:v>Zuordnungsvorschlag; Fachfreigabe ausstehend</x:v>
      </x:c>
      <x:c r="Q2391" s="5" t="str">
        <x:v>Bestehendes Lernthema fachlich unter passendem Rahmenplan-Unterbereich behalten</x:v>
      </x:c>
      <x:c r="R2391" s="5" t="str">
        <x:v>Grenzen Sie Sell-in und Sell-out in der Verkaufsförderung bzw. Vertriebssteuerung voneinander ab. Warum ist es für einen Hersteller wichtig, beide Größen zu unterscheiden?</x:v>
      </x:c>
      <x:c r="S2391" s="5" t="str">
        <x:v>da25c2bf90e206c0a47403bc3cd2520247c9f2278ee1d3e5251315c11293cf92</x:v>
      </x:c>
    </x:row>
    <x:row r="2392" ht="36" customHeight="1">
      <x:c r="A2392" s="5" t="str">
        <x:v>M-0096</x:v>
      </x:c>
      <x:c r="B2392" s="5" t="str">
        <x:v>HQ</x:v>
      </x:c>
      <x:c r="C2392" s="5" t="str">
        <x:v>8</x:v>
      </x:c>
      <x:c r="D2392" s="5" t="str">
        <x:v>Marketing und Vertrieb</x:v>
      </x:c>
      <x:c r="E2392" s="5" t="str">
        <x:v>Marketing</x:v>
      </x:c>
      <x:c r="F2392" s="5" t="str">
        <x:v>ui-hq-0028</x:v>
      </x:c>
      <x:c r="G2392" s="5" t="str">
        <x:v>Marketinginstrumentarium / Marketing-Mix</x:v>
      </x:c>
      <x:c r="H2392" s="5" t="str">
        <x:v>dg-hq-0125</x:v>
      </x:c>
      <x:c r="I2392" s="5" t="str">
        <x:v>8.2.5</x:v>
      </x:c>
      <x:c r="J2392" s="5" t="str">
        <x:v>Kommunikationspolitik</x:v>
      </x:c>
      <x:c r="K2392" s="5" t="str"/>
      <x:c r="L2392" s="5" t="str">
        <x:v>Kommunikationspolitik</x:v>
      </x:c>
      <x:c r="M2392" s="5" t="n">
        <x:v>62</x:v>
      </x:c>
      <x:c r="N2392" s="5" t="n">
        <x:v>19</x:v>
      </x:c>
      <x:c r="O2392" s="5" t="str"/>
      <x:c r="P2392" s="5" t="str">
        <x:v>Zuordnungsvorschlag; Fachfreigabe ausstehend</x:v>
      </x:c>
      <x:c r="Q2392" s="5" t="str">
        <x:v>Bestehendes Lernthema fachlich unter passendem Rahmenplan-Unterbereich behalten</x:v>
      </x:c>
      <x:c r="R2392" s="5" t="str">
        <x:v>Unterscheiden Sie Intermedia- und Intramediavergleich in der Mediaplanung und nennen Sie jeweils ein Beispiel.</x:v>
      </x:c>
      <x:c r="S2392" s="5" t="str">
        <x:v>b476eeefd22a0d369ee22c8ba8ef07cb4aa3b4f3c9a4b1a646faff5638a3caba</x:v>
      </x:c>
    </x:row>
    <x:row r="2393" ht="36" customHeight="1">
      <x:c r="A2393" s="5" t="str">
        <x:v>M-0097</x:v>
      </x:c>
      <x:c r="B2393" s="5" t="str">
        <x:v>HQ</x:v>
      </x:c>
      <x:c r="C2393" s="5" t="str">
        <x:v>8</x:v>
      </x:c>
      <x:c r="D2393" s="5" t="str">
        <x:v>Marketing und Vertrieb</x:v>
      </x:c>
      <x:c r="E2393" s="5" t="str">
        <x:v>Marketing</x:v>
      </x:c>
      <x:c r="F2393" s="5" t="str">
        <x:v>ui-hq-0028</x:v>
      </x:c>
      <x:c r="G2393" s="5" t="str">
        <x:v>Marketinginstrumentarium / Marketing-Mix</x:v>
      </x:c>
      <x:c r="H2393" s="5" t="str">
        <x:v>dg-hq-0125</x:v>
      </x:c>
      <x:c r="I2393" s="5" t="str">
        <x:v>8.2.5</x:v>
      </x:c>
      <x:c r="J2393" s="5" t="str">
        <x:v>Kommunikationspolitik</x:v>
      </x:c>
      <x:c r="K2393" s="5" t="str"/>
      <x:c r="L2393" s="5" t="str">
        <x:v>Kommunikationspolitik</x:v>
      </x:c>
      <x:c r="M2393" s="5" t="n">
        <x:v>63</x:v>
      </x:c>
      <x:c r="N2393" s="5" t="n">
        <x:v>20</x:v>
      </x:c>
      <x:c r="O2393" s="5" t="str"/>
      <x:c r="P2393" s="5" t="str">
        <x:v>Zuordnungsvorschlag; Fachfreigabe ausstehend</x:v>
      </x:c>
      <x:c r="Q2393" s="5" t="str">
        <x:v>Bestehendes Lernthema fachlich unter passendem Rahmenplan-Unterbereich behalten</x:v>
      </x:c>
      <x:c r="R2393" s="5" t="str">
        <x:v>Fallbezug: Die folgenden betrieblichen Angaben und Situationen beziehen sich auf die Circle Harbor GmbH.
Eine Werbeschaltung kostet 12.000 € und erreicht insgesamt 400.000 Kontakte. 60 % dieser Kontakte gehören zur Zielgruppe. Berechnen Sie den ungewichteten TKP und den gewichteten TKP bezogen auf die Zielgruppenkontakte und erläutern Sie den Unterschied.</x:v>
      </x:c>
      <x:c r="S2393" s="5" t="str">
        <x:v>714a5fa30ba94a09c9c4e1170ca6791ce81b5cc763815beedfe1bd7a5b1a1000</x:v>
      </x:c>
    </x:row>
    <x:row r="2394" ht="36" customHeight="1">
      <x:c r="A2394" s="5" t="str">
        <x:v>M-0098</x:v>
      </x:c>
      <x:c r="B2394" s="5" t="str">
        <x:v>HQ</x:v>
      </x:c>
      <x:c r="C2394" s="5" t="str">
        <x:v>8</x:v>
      </x:c>
      <x:c r="D2394" s="5" t="str">
        <x:v>Marketing und Vertrieb</x:v>
      </x:c>
      <x:c r="E2394" s="5" t="str">
        <x:v>Marketing</x:v>
      </x:c>
      <x:c r="F2394" s="5" t="str">
        <x:v>ui-hq-0028</x:v>
      </x:c>
      <x:c r="G2394" s="5" t="str">
        <x:v>Marketinginstrumentarium / Marketing-Mix</x:v>
      </x:c>
      <x:c r="H2394" s="5" t="str">
        <x:v>dg-hq-0125</x:v>
      </x:c>
      <x:c r="I2394" s="5" t="str">
        <x:v>8.2.5.1</x:v>
      </x:c>
      <x:c r="J2394" s="5" t="str">
        <x:v>Werbung</x:v>
      </x:c>
      <x:c r="K2394" s="5" t="str"/>
      <x:c r="L2394" s="5" t="str">
        <x:v>Kommunikationspolitik</x:v>
      </x:c>
      <x:c r="M2394" s="5" t="n">
        <x:v>64</x:v>
      </x:c>
      <x:c r="N2394" s="5" t="n">
        <x:v>21</x:v>
      </x:c>
      <x:c r="O2394" s="5" t="str"/>
      <x:c r="P2394" s="5" t="str">
        <x:v>Zuordnungsvorschlag; Fachfreigabe ausstehend</x:v>
      </x:c>
      <x:c r="Q2394" s="5" t="str">
        <x:v>Bestehendes Lernthema fachlich unter passendem Rahmenplan-Unterbereich behalten</x:v>
      </x:c>
      <x:c r="R2394" s="5" t="str">
        <x:v>Nennen und erläutern Sie vier Grundsätze, die bei der Gestaltung wirksamer Werbung beachtet werden sollten. Beschreiben Sie außerdem drei mögliche zeitliche Verteilungen von Werbemaßnahmen innerhalb eines Mediaplans.</x:v>
      </x:c>
      <x:c r="S2394" s="5" t="str">
        <x:v>22ef7500b4d4436134fd67188bf50909eaa44a78818a3436ebf02ffbaa6bb7ad</x:v>
      </x:c>
    </x:row>
    <x:row r="2395" ht="36" customHeight="1">
      <x:c r="A2395" s="5" t="str">
        <x:v>M-0099</x:v>
      </x:c>
      <x:c r="B2395" s="5" t="str">
        <x:v>HQ</x:v>
      </x:c>
      <x:c r="C2395" s="5" t="str">
        <x:v>8</x:v>
      </x:c>
      <x:c r="D2395" s="5" t="str">
        <x:v>Marketing und Vertrieb</x:v>
      </x:c>
      <x:c r="E2395" s="5" t="str">
        <x:v>Marketing</x:v>
      </x:c>
      <x:c r="F2395" s="5" t="str">
        <x:v>ui-hq-0028</x:v>
      </x:c>
      <x:c r="G2395" s="5" t="str">
        <x:v>Marketinginstrumentarium / Marketing-Mix</x:v>
      </x:c>
      <x:c r="H2395" s="5" t="str">
        <x:v>dg-hq-0125</x:v>
      </x:c>
      <x:c r="I2395" s="5" t="str">
        <x:v>8.2.5</x:v>
      </x:c>
      <x:c r="J2395" s="5" t="str">
        <x:v>Kommunikationspolitik</x:v>
      </x:c>
      <x:c r="K2395" s="5" t="str"/>
      <x:c r="L2395" s="5" t="str">
        <x:v>Kommunikationspolitik</x:v>
      </x:c>
      <x:c r="M2395" s="5" t="n">
        <x:v>65</x:v>
      </x:c>
      <x:c r="N2395" s="5" t="n">
        <x:v>22</x:v>
      </x:c>
      <x:c r="O2395" s="5" t="str"/>
      <x:c r="P2395" s="5" t="str">
        <x:v>Zuordnungsvorschlag; Fachfreigabe ausstehend</x:v>
      </x:c>
      <x:c r="Q2395" s="5" t="str">
        <x:v>Bestehendes Lernthema fachlich unter passendem Rahmenplan-Unterbereich behalten</x:v>
      </x:c>
      <x:c r="R2395" s="5" t="str">
        <x:v>Nennen Sie die sechs Bestandteile der Copy Strategy aus den Dozentenunterlagen und erläutern Sie deren Funktion für die Entwicklung einer Werbekampagne.</x:v>
      </x:c>
      <x:c r="S2395" s="5" t="str">
        <x:v>e770ddf1ca02bde4810dd20f8052f746570442316d28fdefd7924699d063e82e</x:v>
      </x:c>
    </x:row>
    <x:row r="2396" ht="36" customHeight="1">
      <x:c r="A2396" s="5" t="str">
        <x:v>M-0100</x:v>
      </x:c>
      <x:c r="B2396" s="5" t="str">
        <x:v>HQ</x:v>
      </x:c>
      <x:c r="C2396" s="5" t="str">
        <x:v>8</x:v>
      </x:c>
      <x:c r="D2396" s="5" t="str">
        <x:v>Marketing und Vertrieb</x:v>
      </x:c>
      <x:c r="E2396" s="5" t="str">
        <x:v>Marketing</x:v>
      </x:c>
      <x:c r="F2396" s="5" t="str">
        <x:v>ui-hq-0028</x:v>
      </x:c>
      <x:c r="G2396" s="5" t="str">
        <x:v>Marketinginstrumentarium / Marketing-Mix</x:v>
      </x:c>
      <x:c r="H2396" s="5" t="str">
        <x:v>dg-hq-0125</x:v>
      </x:c>
      <x:c r="I2396" s="5" t="str">
        <x:v>8.2.5</x:v>
      </x:c>
      <x:c r="J2396" s="5" t="str">
        <x:v>Kommunikationspolitik</x:v>
      </x:c>
      <x:c r="K2396" s="5" t="str"/>
      <x:c r="L2396" s="5" t="str">
        <x:v>Kommunikationspolitik</x:v>
      </x:c>
      <x:c r="M2396" s="5" t="n">
        <x:v>66</x:v>
      </x:c>
      <x:c r="N2396" s="5" t="n">
        <x:v>23</x:v>
      </x:c>
      <x:c r="O2396" s="5" t="str"/>
      <x:c r="P2396" s="5" t="str">
        <x:v>Zuordnungsvorschlag; Fachfreigabe ausstehend</x:v>
      </x:c>
      <x:c r="Q2396" s="5" t="str">
        <x:v>Bestehendes Lernthema fachlich unter passendem Rahmenplan-Unterbereich behalten</x:v>
      </x:c>
      <x:c r="R2396" s="5" t="str">
        <x:v>Die Circle Harbor GmbH plant eine Kampagne für ein neues, besonders reparaturfreundlich konstruiertes Produkt. Entwickeln Sie eine kurze Copy Strategy mit Insight, Benefit, Reason Why, Positionierung und Big Selling Idea. Nennen Sie anschließend je zwei passende Elemente der Kreation und der Mediastrategie.</x:v>
      </x:c>
      <x:c r="S2396" s="5" t="str">
        <x:v>184a0c6ccf614d052f29b8bb75c15206bd02a197d3999899c1f96ab19074ccb6</x:v>
      </x:c>
    </x:row>
    <x:row r="2397" ht="36" customHeight="1">
      <x:c r="A2397" s="5" t="str">
        <x:v>M-0101</x:v>
      </x:c>
      <x:c r="B2397" s="5" t="str">
        <x:v>HQ</x:v>
      </x:c>
      <x:c r="C2397" s="5" t="str">
        <x:v>8</x:v>
      </x:c>
      <x:c r="D2397" s="5" t="str">
        <x:v>Marketing und Vertrieb</x:v>
      </x:c>
      <x:c r="E2397" s="5" t="str">
        <x:v>Marketing</x:v>
      </x:c>
      <x:c r="F2397" s="5" t="str">
        <x:v>ui-hq-0027</x:v>
      </x:c>
      <x:c r="G2397" s="5" t="str">
        <x:v>Marketingplanung</x:v>
      </x:c>
      <x:c r="H2397" s="5" t="str">
        <x:v>dg-hq-0118</x:v>
      </x:c>
      <x:c r="I2397" s="5" t="str">
        <x:v>8.1.1</x:v>
      </x:c>
      <x:c r="J2397" s="5" t="str">
        <x:v>Marketingprozess</x:v>
      </x:c>
      <x:c r="K2397" s="5" t="str"/>
      <x:c r="L2397" s="5" t="str">
        <x:v>Marktanalyse &amp; Marktforschung</x:v>
      </x:c>
      <x:c r="M2397" s="5" t="n">
        <x:v>35</x:v>
      </x:c>
      <x:c r="N2397" s="5" t="n">
        <x:v>6</x:v>
      </x:c>
      <x:c r="O2397" s="5" t="str"/>
      <x:c r="P2397" s="5" t="str">
        <x:v>Zuordnungsvorschlag; Fachfreigabe ausstehend</x:v>
      </x:c>
      <x:c r="Q2397" s="5" t="str">
        <x:v>Bestehendes Lernthema fachlich unter passendem Rahmenplan-Unterbereich behalten</x:v>
      </x:c>
      <x:c r="R2397" s="5" t="str">
        <x:v>Nennen und erläutern Sie die fünf Funktionen der Marktforschung, die in den Dozentenunterlagen unterschieden werden.</x:v>
      </x:c>
      <x:c r="S2397" s="5" t="str">
        <x:v>9af693a6f6f9080bdd1891f8336dca285fca81b664e7173446e82167c274a071</x:v>
      </x:c>
    </x:row>
    <x:row r="2398" ht="36" customHeight="1">
      <x:c r="A2398" s="5" t="str">
        <x:v>M-0102</x:v>
      </x:c>
      <x:c r="B2398" s="5" t="str">
        <x:v>HQ</x:v>
      </x:c>
      <x:c r="C2398" s="5" t="str">
        <x:v>8</x:v>
      </x:c>
      <x:c r="D2398" s="5" t="str">
        <x:v>Marketing und Vertrieb</x:v>
      </x:c>
      <x:c r="E2398" s="5" t="str">
        <x:v>Marketing</x:v>
      </x:c>
      <x:c r="F2398" s="5" t="str">
        <x:v>ui-hq-0027</x:v>
      </x:c>
      <x:c r="G2398" s="5" t="str">
        <x:v>Marketingplanung</x:v>
      </x:c>
      <x:c r="H2398" s="5" t="str">
        <x:v>dg-hq-0118</x:v>
      </x:c>
      <x:c r="I2398" s="5" t="str">
        <x:v>8.1.1</x:v>
      </x:c>
      <x:c r="J2398" s="5" t="str">
        <x:v>Marketingprozess</x:v>
      </x:c>
      <x:c r="K2398" s="5" t="str"/>
      <x:c r="L2398" s="5" t="str">
        <x:v>Marktanalyse &amp; Marktforschung</x:v>
      </x:c>
      <x:c r="M2398" s="5" t="n">
        <x:v>36</x:v>
      </x:c>
      <x:c r="N2398" s="5" t="n">
        <x:v>7</x:v>
      </x:c>
      <x:c r="O2398" s="5" t="str"/>
      <x:c r="P2398" s="5" t="str">
        <x:v>Zuordnungsvorschlag; Fachfreigabe ausstehend</x:v>
      </x:c>
      <x:c r="Q2398" s="5" t="str">
        <x:v>Bestehendes Lernthema fachlich unter passendem Rahmenplan-Unterbereich behalten</x:v>
      </x:c>
      <x:c r="R2398" s="5" t="str">
        <x:v>Die Circle Harbor GmbH entwickelt ein neues Produkt. Stellen Sie den Marktforschungsprozess von der Fragestellung bis zur Maßnahme dar und ordnen Sie mindestens fünf in den Dozentenfolien genannte Test- oder Forschungsverfahren sinnvollen Phasen beziehungsweise Fragestellungen der Produktentwicklung zu.</x:v>
      </x:c>
      <x:c r="S2398" s="5" t="str">
        <x:v>ac442c23b729b1a12a48a73e78181c401c77ee80d042bcc70040c6b67302f73b</x:v>
      </x:c>
    </x:row>
    <x:row r="2399" ht="36" customHeight="1">
      <x:c r="A2399" s="5" t="str">
        <x:v>M-0103</x:v>
      </x:c>
      <x:c r="B2399" s="5" t="str">
        <x:v>HQ</x:v>
      </x:c>
      <x:c r="C2399" s="5" t="str">
        <x:v>8</x:v>
      </x:c>
      <x:c r="D2399" s="5" t="str">
        <x:v>Marketing und Vertrieb</x:v>
      </x:c>
      <x:c r="E2399" s="5" t="str">
        <x:v>Marketing</x:v>
      </x:c>
      <x:c r="F2399" s="5" t="str">
        <x:v>ui-hq-0028</x:v>
      </x:c>
      <x:c r="G2399" s="5" t="str">
        <x:v>Marketinginstrumentarium / Marketing-Mix</x:v>
      </x:c>
      <x:c r="H2399" s="5" t="str">
        <x:v>dg-hq-0125</x:v>
      </x:c>
      <x:c r="I2399" s="5" t="str">
        <x:v>8.2.5</x:v>
      </x:c>
      <x:c r="J2399" s="5" t="str">
        <x:v>Kommunikationspolitik</x:v>
      </x:c>
      <x:c r="K2399" s="5" t="str"/>
      <x:c r="L2399" s="5" t="str">
        <x:v>Kommunikationspolitik</x:v>
      </x:c>
      <x:c r="M2399" s="5" t="n">
        <x:v>67</x:v>
      </x:c>
      <x:c r="N2399" s="5" t="n">
        <x:v>24</x:v>
      </x:c>
      <x:c r="O2399" s="5" t="str"/>
      <x:c r="P2399" s="5" t="str">
        <x:v>Zuordnungsvorschlag; Fachfreigabe ausstehend</x:v>
      </x:c>
      <x:c r="Q2399" s="5" t="str">
        <x:v>Bestehendes Lernthema fachlich unter passendem Rahmenplan-Unterbereich behalten</x:v>
      </x:c>
      <x:c r="R2399" s="5" t="str">
        <x:v>Für eine Kampagne von Circle Harbor sind mindestens 80 % Gesamtreichweite und durchschnittlich 5 Kontakte je erreichter Person vorgesehen. Berechnen Sie nach der in der Dozentenfolie verwendeten Mediaplanungslogik den GRP und erläutern Sie, was die Kennzahl aussagt und was sie nicht aussagt.</x:v>
      </x:c>
      <x:c r="S2399" s="5" t="str">
        <x:v>62d1becd7b1c2519e4573254faffdde547b42bf8402354684a1d2565d5a43cb2</x:v>
      </x:c>
    </x:row>
    <x:row r="2400" ht="36" customHeight="1">
      <x:c r="A2400" s="5" t="str">
        <x:v>M-0104</x:v>
      </x:c>
      <x:c r="B2400" s="5" t="str">
        <x:v>HQ</x:v>
      </x:c>
      <x:c r="C2400" s="5" t="str">
        <x:v>8</x:v>
      </x:c>
      <x:c r="D2400" s="5" t="str">
        <x:v>Marketing und Vertrieb</x:v>
      </x:c>
      <x:c r="E2400" s="5" t="str">
        <x:v>Marketing</x:v>
      </x:c>
      <x:c r="F2400" s="5" t="str">
        <x:v>ui-hq-0028</x:v>
      </x:c>
      <x:c r="G2400" s="5" t="str">
        <x:v>Marketinginstrumentarium / Marketing-Mix</x:v>
      </x:c>
      <x:c r="H2400" s="5" t="str">
        <x:v>dg-hq-0125</x:v>
      </x:c>
      <x:c r="I2400" s="5" t="str">
        <x:v>8.2.5</x:v>
      </x:c>
      <x:c r="J2400" s="5" t="str">
        <x:v>Kommunikationspolitik</x:v>
      </x:c>
      <x:c r="K2400" s="5" t="str"/>
      <x:c r="L2400" s="5" t="str">
        <x:v>Kommunikationspolitik</x:v>
      </x:c>
      <x:c r="M2400" s="5" t="n">
        <x:v>68</x:v>
      </x:c>
      <x:c r="N2400" s="5" t="n">
        <x:v>25</x:v>
      </x:c>
      <x:c r="O2400" s="5" t="str"/>
      <x:c r="P2400" s="5" t="str">
        <x:v>Zuordnungsvorschlag; Fachfreigabe ausstehend</x:v>
      </x:c>
      <x:c r="Q2400" s="5" t="str">
        <x:v>Bestehendes Lernthema fachlich unter passendem Rahmenplan-Unterbereich behalten</x:v>
      </x:c>
      <x:c r="R2400" s="5" t="str">
        <x:v>Die Circle Harbor GmbH möchte die zunehmende Connectivity stärker für ihr Marketing nutzen. Erläutern Sie den Begriff im Sinne der Dozentenfolien und nennen Sie vier Chancen sowie vier Risiken für Marketing und Kundenbeziehungen.</x:v>
      </x:c>
      <x:c r="S2400" s="5" t="str">
        <x:v>2fc8e446ea4ff80d2b881c35b8f3945f7cfbb1e98841f7a7eba6bcb7096b6506</x:v>
      </x:c>
    </x:row>
    <x:row r="2401" ht="36" customHeight="1">
      <x:c r="A2401" s="5" t="str">
        <x:v>M-0105</x:v>
      </x:c>
      <x:c r="B2401" s="5" t="str">
        <x:v>HQ</x:v>
      </x:c>
      <x:c r="C2401" s="5" t="str">
        <x:v>8</x:v>
      </x:c>
      <x:c r="D2401" s="5" t="str">
        <x:v>Marketing und Vertrieb</x:v>
      </x:c>
      <x:c r="E2401" s="5" t="str">
        <x:v>Marketing</x:v>
      </x:c>
      <x:c r="F2401" s="5" t="str">
        <x:v>ui-hq-0028</x:v>
      </x:c>
      <x:c r="G2401" s="5" t="str">
        <x:v>Marketinginstrumentarium / Marketing-Mix</x:v>
      </x:c>
      <x:c r="H2401" s="5" t="str">
        <x:v>dg-hq-0125</x:v>
      </x:c>
      <x:c r="I2401" s="5" t="str">
        <x:v>8.2.5</x:v>
      </x:c>
      <x:c r="J2401" s="5" t="str">
        <x:v>Kommunikationspolitik</x:v>
      </x:c>
      <x:c r="K2401" s="5" t="str"/>
      <x:c r="L2401" s="5" t="str">
        <x:v>Kommunikationspolitik</x:v>
      </x:c>
      <x:c r="M2401" s="5" t="n">
        <x:v>69</x:v>
      </x:c>
      <x:c r="N2401" s="5" t="n">
        <x:v>26</x:v>
      </x:c>
      <x:c r="O2401" s="5" t="str"/>
      <x:c r="P2401" s="5" t="str">
        <x:v>Zuordnungsvorschlag; Fachfreigabe ausstehend</x:v>
      </x:c>
      <x:c r="Q2401" s="5" t="str">
        <x:v>Bestehendes Lernthema fachlich unter passendem Rahmenplan-Unterbereich behalten</x:v>
      </x:c>
      <x:c r="R2401" s="5" t="str">
        <x:v>Erläutern Sie virales Marketing nach der Darstellung in den Dozentenunterlagen. Nennen Sie drei typische Merkmale und zwei Grenzen der Planbarkeit.</x:v>
      </x:c>
      <x:c r="S2401" s="5" t="str">
        <x:v>7e74cde868e8ca2f5ace3e76d5ef46a07fc100bfcd1deec41329f65064e121ce</x:v>
      </x:c>
    </x:row>
    <x:row r="2402" ht="36" customHeight="1">
      <x:c r="A2402" s="5" t="str">
        <x:v>M-0106</x:v>
      </x:c>
      <x:c r="B2402" s="5" t="str">
        <x:v>HQ</x:v>
      </x:c>
      <x:c r="C2402" s="5" t="str">
        <x:v>8</x:v>
      </x:c>
      <x:c r="D2402" s="5" t="str">
        <x:v>Marketing und Vertrieb</x:v>
      </x:c>
      <x:c r="E2402" s="5" t="str">
        <x:v>Marketing</x:v>
      </x:c>
      <x:c r="F2402" s="5" t="str">
        <x:v>ui-hq-0027</x:v>
      </x:c>
      <x:c r="G2402" s="5" t="str">
        <x:v>Marketingplanung</x:v>
      </x:c>
      <x:c r="H2402" s="5" t="str">
        <x:v>dg-hq-0116</x:v>
      </x:c>
      <x:c r="I2402" s="5" t="str">
        <x:v>8.1.2</x:v>
      </x:c>
      <x:c r="J2402" s="5" t="str">
        <x:v>Marketing-Ziele</x:v>
      </x:c>
      <x:c r="K2402" s="5" t="str"/>
      <x:c r="L2402" s="5" t="str">
        <x:v>Marketinggrundlagen &amp; Marketingziele</x:v>
      </x:c>
      <x:c r="M2402" s="5" t="n">
        <x:v>37</x:v>
      </x:c>
      <x:c r="N2402" s="5" t="n">
        <x:v>6</x:v>
      </x:c>
      <x:c r="O2402" s="5" t="str"/>
      <x:c r="P2402" s="5" t="str">
        <x:v>Zuordnungsvorschlag; Fachfreigabe ausstehend</x:v>
      </x:c>
      <x:c r="Q2402" s="5" t="str">
        <x:v>Bestehendes Lernthema fachlich unter passendem Rahmenplan-Unterbereich behalten</x:v>
      </x:c>
      <x:c r="R2402" s="5" t="str">
        <x:v>Die Circle Harbor GmbH möchte ihre Kundenbindung systematischer steuern. Nennen Sie sechs Ziele des CRM aus den Dozentenfolien und erläutern Sie mindestens sechs dort genannte CRM-Instrumente des Handels.</x:v>
      </x:c>
      <x:c r="S2402" s="5" t="str">
        <x:v>f667177c48a3a03056353ffc21a245a0bb3a4335ffbee32c1e4c1eb41fe8f95d</x:v>
      </x:c>
    </x:row>
    <x:row r="2403" ht="36" customHeight="1">
      <x:c r="A2403" s="5" t="str">
        <x:v>M-0107</x:v>
      </x:c>
      <x:c r="B2403" s="5" t="str">
        <x:v>HQ</x:v>
      </x:c>
      <x:c r="C2403" s="5" t="str">
        <x:v>8</x:v>
      </x:c>
      <x:c r="D2403" s="5" t="str">
        <x:v>Marketing und Vertrieb</x:v>
      </x:c>
      <x:c r="E2403" s="5" t="str">
        <x:v>Marketing</x:v>
      </x:c>
      <x:c r="F2403" s="5" t="str">
        <x:v>ui-hq-0027</x:v>
      </x:c>
      <x:c r="G2403" s="5" t="str">
        <x:v>Marketingplanung</x:v>
      </x:c>
      <x:c r="H2403" s="5" t="str">
        <x:v>dg-hq-0117</x:v>
      </x:c>
      <x:c r="I2403" s="5" t="str">
        <x:v>8.1.3.2#1</x:v>
      </x:c>
      <x:c r="J2403" s="5" t="str">
        <x:v>Produktlebenszyklus</x:v>
      </x:c>
      <x:c r="K2403" s="5" t="str"/>
      <x:c r="L2403" s="5" t="str">
        <x:v>Marketingstrategien &amp; strategische Analyse</x:v>
      </x:c>
      <x:c r="M2403" s="5" t="n">
        <x:v>38</x:v>
      </x:c>
      <x:c r="N2403" s="5" t="n">
        <x:v>11</x:v>
      </x:c>
      <x:c r="O2403" s="5" t="str"/>
      <x:c r="P2403" s="5" t="str">
        <x:v>Zuordnungsvorschlag; Fachfreigabe ausstehend</x:v>
      </x:c>
      <x:c r="Q2403" s="5" t="str">
        <x:v>Bestehendes Lernthema fachlich unter passendem Rahmenplan-Unterbereich behalten</x:v>
      </x:c>
      <x:c r="R2403" s="5" t="str">
        <x:v>Ein Produkt der Circle Harbor GmbH befindet sich in der Reifephase des Produktlebenszyklus. Entwickeln Sie für Product, Price, Place und Promotion jeweils eine konkrete Maßnahme und begründen Sie, warum sie zu dieser Phase passt.</x:v>
      </x:c>
      <x:c r="S2403" s="5" t="str">
        <x:v>08c46633c46b964e2928f7affb08cbfb7d5577b5c8655e7668fbc61ee2138926</x:v>
      </x:c>
    </x:row>
    <x:row r="2404" ht="36" customHeight="1">
      <x:c r="A2404" s="5" t="str">
        <x:v>V-0001</x:v>
      </x:c>
      <x:c r="B2404" s="5" t="str">
        <x:v>HQ</x:v>
      </x:c>
      <x:c r="C2404" s="5" t="str">
        <x:v>8</x:v>
      </x:c>
      <x:c r="D2404" s="5" t="str">
        <x:v>Marketing und Vertrieb</x:v>
      </x:c>
      <x:c r="E2404" s="5" t="str">
        <x:v>Vertrieb</x:v>
      </x:c>
      <x:c r="F2404" s="5" t="str">
        <x:v>ui-hq-0029</x:v>
      </x:c>
      <x:c r="G2404" s="5" t="str">
        <x:v>Vertriebsmanagement</x:v>
      </x:c>
      <x:c r="H2404" s="5" t="str">
        <x:v>dg-hq-0127</x:v>
      </x:c>
      <x:c r="I2404" s="5" t="str">
        <x:v>8.3.1</x:v>
      </x:c>
      <x:c r="J2404" s="5" t="str">
        <x:v>Vertriebsorganisation</x:v>
      </x:c>
      <x:c r="K2404" s="5" t="str"/>
      <x:c r="L2404" s="5" t="str">
        <x:v>Vertriebsmanagement &amp; Kundenbeziehungen</x:v>
      </x:c>
      <x:c r="M2404" s="5" t="n">
        <x:v>1</x:v>
      </x:c>
      <x:c r="N2404" s="5" t="n">
        <x:v>1</x:v>
      </x:c>
      <x:c r="O2404" s="5" t="str"/>
      <x:c r="P2404" s="5" t="str">
        <x:v>Zuordnungsvorschlag; Fachfreigabe ausstehend</x:v>
      </x:c>
      <x:c r="Q2404" s="5" t="str">
        <x:v>Bestehendes Lernthema fachlich unter passendem Rahmenplan-Unterbereich behalten</x:v>
      </x:c>
      <x:c r="R2404" s="5" t="str">
        <x:v>Ordnen Sie den sechs typischen Vertriebsfunktionen jeweils die passende Hauptaufgabe zu.</x:v>
      </x:c>
      <x:c r="S2404" s="5" t="str">
        <x:v>4f862293940643daccd140d1e92d7f139a04f487f755a1e5ea753e6af70cfc93</x:v>
      </x:c>
    </x:row>
    <x:row r="2405" ht="36" customHeight="1">
      <x:c r="A2405" s="5" t="str">
        <x:v>V-0002</x:v>
      </x:c>
      <x:c r="B2405" s="5" t="str">
        <x:v>HQ</x:v>
      </x:c>
      <x:c r="C2405" s="5" t="str">
        <x:v>8</x:v>
      </x:c>
      <x:c r="D2405" s="5" t="str">
        <x:v>Marketing und Vertrieb</x:v>
      </x:c>
      <x:c r="E2405" s="5" t="str">
        <x:v>Vertrieb</x:v>
      </x:c>
      <x:c r="F2405" s="5" t="str">
        <x:v>ui-hq-0029</x:v>
      </x:c>
      <x:c r="G2405" s="5" t="str">
        <x:v>Vertriebsmanagement</x:v>
      </x:c>
      <x:c r="H2405" s="5" t="str">
        <x:v>dg-hq-0127</x:v>
      </x:c>
      <x:c r="I2405" s="5" t="str">
        <x:v>8.3.1</x:v>
      </x:c>
      <x:c r="J2405" s="5" t="str">
        <x:v>Vertriebsorganisation</x:v>
      </x:c>
      <x:c r="K2405" s="5" t="str"/>
      <x:c r="L2405" s="5" t="str">
        <x:v>Vertriebsmanagement &amp; Kundenbeziehungen</x:v>
      </x:c>
      <x:c r="M2405" s="5" t="n">
        <x:v>2</x:v>
      </x:c>
      <x:c r="N2405" s="5" t="n">
        <x:v>2</x:v>
      </x:c>
      <x:c r="O2405" s="5" t="str"/>
      <x:c r="P2405" s="5" t="str">
        <x:v>Zuordnungsvorschlag; Fachfreigabe ausstehend</x:v>
      </x:c>
      <x:c r="Q2405" s="5" t="str">
        <x:v>Bestehendes Lernthema fachlich unter passendem Rahmenplan-Unterbereich behalten</x:v>
      </x:c>
      <x:c r="R2405" s="5" t="str">
        <x:v>Erläutern Sie die vier grundlegenden Phasen eines professionellen Verkaufsgesprächs und beschreiben Sie jeweils kurz das Ziel der Phase.</x:v>
      </x:c>
      <x:c r="S2405" s="5" t="str">
        <x:v>4f5315f7fd106098531d176edebc79650129d1a9417cc87176c678498f75442b</x:v>
      </x:c>
    </x:row>
    <x:row r="2406" ht="36" customHeight="1">
      <x:c r="A2406" s="5" t="str">
        <x:v>V-0003</x:v>
      </x:c>
      <x:c r="B2406" s="5" t="str">
        <x:v>HQ</x:v>
      </x:c>
      <x:c r="C2406" s="5" t="str">
        <x:v>8</x:v>
      </x:c>
      <x:c r="D2406" s="5" t="str">
        <x:v>Marketing und Vertrieb</x:v>
      </x:c>
      <x:c r="E2406" s="5" t="str">
        <x:v>Vertrieb</x:v>
      </x:c>
      <x:c r="F2406" s="5" t="str">
        <x:v>ui-hq-0029</x:v>
      </x:c>
      <x:c r="G2406" s="5" t="str">
        <x:v>Vertriebsmanagement</x:v>
      </x:c>
      <x:c r="H2406" s="5" t="str">
        <x:v>dg-hq-0127</x:v>
      </x:c>
      <x:c r="I2406" s="5" t="str">
        <x:v>8.3.1</x:v>
      </x:c>
      <x:c r="J2406" s="5" t="str">
        <x:v>Vertriebsorganisation</x:v>
      </x:c>
      <x:c r="K2406" s="5" t="str"/>
      <x:c r="L2406" s="5" t="str">
        <x:v>Vertriebsmanagement &amp; Kundenbeziehungen</x:v>
      </x:c>
      <x:c r="M2406" s="5" t="n">
        <x:v>3</x:v>
      </x:c>
      <x:c r="N2406" s="5" t="n">
        <x:v>3</x:v>
      </x:c>
      <x:c r="O2406" s="5" t="str"/>
      <x:c r="P2406" s="5" t="str">
        <x:v>Zuordnungsvorschlag; Fachfreigabe ausstehend</x:v>
      </x:c>
      <x:c r="Q2406" s="5" t="str">
        <x:v>Bestehendes Lernthema fachlich unter passendem Rahmenplan-Unterbereich behalten</x:v>
      </x:c>
      <x:c r="R2406" s="5" t="str">
        <x:v>Circle Harbor möchte die Kundenbindung systematisch ausbauen. Nennen Sie mindestens drei wirtschaftliche Vorteile einer hohen Kundenbindung. Erklären Sie außerdem analytisches, kommunikatives und operatives CRM und nennen Sie zu jedem Bereich mindestens zwei typische Anwendungen.</x:v>
      </x:c>
      <x:c r="S2406" s="5" t="str">
        <x:v>fafcc7a41ebfd04292ad20f35125200590abfac301862d5cceb95055569a67ba</x:v>
      </x:c>
    </x:row>
    <x:row r="2407" ht="36" customHeight="1">
      <x:c r="A2407" s="5" t="str">
        <x:v>V-0004</x:v>
      </x:c>
      <x:c r="B2407" s="5" t="str">
        <x:v>HQ</x:v>
      </x:c>
      <x:c r="C2407" s="5" t="str">
        <x:v>8</x:v>
      </x:c>
      <x:c r="D2407" s="5" t="str">
        <x:v>Marketing und Vertrieb</x:v>
      </x:c>
      <x:c r="E2407" s="5" t="str">
        <x:v>Vertrieb</x:v>
      </x:c>
      <x:c r="F2407" s="5" t="str">
        <x:v>ui-hq-0029</x:v>
      </x:c>
      <x:c r="G2407" s="5" t="str">
        <x:v>Vertriebsmanagement</x:v>
      </x:c>
      <x:c r="H2407" s="5" t="str">
        <x:v>dg-hq-0127</x:v>
      </x:c>
      <x:c r="I2407" s="5" t="str">
        <x:v>8.3.1</x:v>
      </x:c>
      <x:c r="J2407" s="5" t="str">
        <x:v>Vertriebsorganisation</x:v>
      </x:c>
      <x:c r="K2407" s="5" t="str"/>
      <x:c r="L2407" s="5" t="str">
        <x:v>Vertriebsorganisation &amp; Key-Account-Management</x:v>
      </x:c>
      <x:c r="M2407" s="5" t="n">
        <x:v>4</x:v>
      </x:c>
      <x:c r="N2407" s="5" t="n">
        <x:v>4</x:v>
      </x:c>
      <x:c r="O2407" s="5" t="str"/>
      <x:c r="P2407" s="5" t="str">
        <x:v>Zuordnungsvorschlag; Fachfreigabe ausstehend</x:v>
      </x:c>
      <x:c r="Q2407" s="5" t="str">
        <x:v>Bestehendes Lernthema fachlich unter passendem Rahmenplan-Unterbereich behalten</x:v>
      </x:c>
      <x:c r="R2407" s="5" t="str">
        <x:v>Vergleichen Sie vier Formen der Vertriebsorganisation: funktionsorientiert, gebietsorientiert, produktorientiert und Produkt-Funktions-Matrix. Nennen Sie zu jeder Form mindestens einen wesentlichen Vorteil und einen wesentlichen Nachteil.</x:v>
      </x:c>
      <x:c r="S2407" s="5" t="str">
        <x:v>4f24444c1d1501c33fe8be6571f1a9879ed43118e01651ea986f45567c26a79b</x:v>
      </x:c>
    </x:row>
    <x:row r="2408" ht="36" customHeight="1">
      <x:c r="A2408" s="5" t="str">
        <x:v>V-0005</x:v>
      </x:c>
      <x:c r="B2408" s="5" t="str">
        <x:v>HQ</x:v>
      </x:c>
      <x:c r="C2408" s="5" t="str">
        <x:v>8</x:v>
      </x:c>
      <x:c r="D2408" s="5" t="str">
        <x:v>Marketing und Vertrieb</x:v>
      </x:c>
      <x:c r="E2408" s="5" t="str">
        <x:v>Vertrieb</x:v>
      </x:c>
      <x:c r="F2408" s="5" t="str">
        <x:v>ui-hq-0029</x:v>
      </x:c>
      <x:c r="G2408" s="5" t="str">
        <x:v>Vertriebsmanagement</x:v>
      </x:c>
      <x:c r="H2408" s="5" t="str">
        <x:v>dg-hq-0127</x:v>
      </x:c>
      <x:c r="I2408" s="5" t="str">
        <x:v>8.3.1</x:v>
      </x:c>
      <x:c r="J2408" s="5" t="str">
        <x:v>Vertriebsorganisation</x:v>
      </x:c>
      <x:c r="K2408" s="5" t="str"/>
      <x:c r="L2408" s="5" t="str">
        <x:v>Vertriebsorganisation &amp; Key-Account-Management</x:v>
      </x:c>
      <x:c r="M2408" s="5" t="n">
        <x:v>5</x:v>
      </x:c>
      <x:c r="N2408" s="5" t="n">
        <x:v>5</x:v>
      </x:c>
      <x:c r="O2408" s="5" t="str"/>
      <x:c r="P2408" s="5" t="str">
        <x:v>Zuordnungsvorschlag; Fachfreigabe ausstehend</x:v>
      </x:c>
      <x:c r="Q2408" s="5" t="str">
        <x:v>Bestehendes Lernthema fachlich unter passendem Rahmenplan-Unterbereich behalten</x:v>
      </x:c>
      <x:c r="R2408" s="5" t="str">
        <x:v>Circle Harbor erzielt einen großen Teil seines Umsatzes mit wenigen wichtigen Großkunden. Erläutern Sie, was unter Key-Account-Management zu verstehen ist, und nennen Sie mindestens drei Vorteile dieser Betreuungsform für das Unternehmen.</x:v>
      </x:c>
      <x:c r="S2408" s="5" t="str">
        <x:v>0ef48cc4f1f54f9cbf1b3d3af86ac4b43fc31637ff6efb9729d51ffb0b5ccd3f</x:v>
      </x:c>
    </x:row>
    <x:row r="2409" ht="36" customHeight="1">
      <x:c r="A2409" s="5" t="str">
        <x:v>V-0006</x:v>
      </x:c>
      <x:c r="B2409" s="5" t="str">
        <x:v>HQ</x:v>
      </x:c>
      <x:c r="C2409" s="5" t="str">
        <x:v>8</x:v>
      </x:c>
      <x:c r="D2409" s="5" t="str">
        <x:v>Marketing und Vertrieb</x:v>
      </x:c>
      <x:c r="E2409" s="5" t="str">
        <x:v>Vertrieb</x:v>
      </x:c>
      <x:c r="F2409" s="5" t="str">
        <x:v>ui-hq-0029</x:v>
      </x:c>
      <x:c r="G2409" s="5" t="str">
        <x:v>Vertriebsmanagement</x:v>
      </x:c>
      <x:c r="H2409" s="5" t="str">
        <x:v>dg-hq-0128</x:v>
      </x:c>
      <x:c r="I2409" s="5" t="str">
        <x:v>8.3.2</x:v>
      </x:c>
      <x:c r="J2409" s="5" t="str">
        <x:v>Vertriebscontrolling</x:v>
      </x:c>
      <x:c r="K2409" s="5" t="str"/>
      <x:c r="L2409" s="5" t="str">
        <x:v>Vertriebscontrolling</x:v>
      </x:c>
      <x:c r="M2409" s="5" t="n">
        <x:v>6</x:v>
      </x:c>
      <x:c r="N2409" s="5" t="n">
        <x:v>1</x:v>
      </x:c>
      <x:c r="O2409" s="5" t="str"/>
      <x:c r="P2409" s="5" t="str">
        <x:v>Zuordnungsvorschlag; Fachfreigabe ausstehend</x:v>
      </x:c>
      <x:c r="Q2409" s="5" t="str">
        <x:v>Bestehendes Lernthema fachlich unter passendem Rahmenplan-Unterbereich behalten</x:v>
      </x:c>
      <x:c r="R2409" s="5" t="str">
        <x:v>Ordnen Sie die folgenden Instrumente dem strategischen oder dem operativen Vertriebscontrolling zu.</x:v>
      </x:c>
      <x:c r="S2409" s="5" t="str">
        <x:v>85e30a0b9291b3df50820f9fcb33547eb851f2577fbed16e1dcd60ad880fbf21</x:v>
      </x:c>
    </x:row>
    <x:row r="2410" ht="36" customHeight="1">
      <x:c r="A2410" s="5" t="str">
        <x:v>V-0007</x:v>
      </x:c>
      <x:c r="B2410" s="5" t="str">
        <x:v>HQ</x:v>
      </x:c>
      <x:c r="C2410" s="5" t="str">
        <x:v>8</x:v>
      </x:c>
      <x:c r="D2410" s="5" t="str">
        <x:v>Marketing und Vertrieb</x:v>
      </x:c>
      <x:c r="E2410" s="5" t="str">
        <x:v>Vertrieb</x:v>
      </x:c>
      <x:c r="F2410" s="5" t="str">
        <x:v>ui-hq-0029</x:v>
      </x:c>
      <x:c r="G2410" s="5" t="str">
        <x:v>Vertriebsmanagement</x:v>
      </x:c>
      <x:c r="H2410" s="5" t="str">
        <x:v>dg-hq-0127</x:v>
      </x:c>
      <x:c r="I2410" s="5" t="str">
        <x:v>8.3.1</x:v>
      </x:c>
      <x:c r="J2410" s="5" t="str">
        <x:v>Vertriebsorganisation</x:v>
      </x:c>
      <x:c r="K2410" s="5" t="str"/>
      <x:c r="L2410" s="5" t="str">
        <x:v>Vertriebswege, Absatzorgane &amp; E-Commerce</x:v>
      </x:c>
      <x:c r="M2410" s="5" t="n">
        <x:v>7</x:v>
      </x:c>
      <x:c r="N2410" s="5" t="n">
        <x:v>6</x:v>
      </x:c>
      <x:c r="O2410" s="5" t="str"/>
      <x:c r="P2410" s="5" t="str">
        <x:v>Zuordnungsvorschlag; Fachfreigabe ausstehend</x:v>
      </x:c>
      <x:c r="Q2410" s="5" t="str">
        <x:v>Bestehendes Lernthema fachlich unter passendem Rahmenplan-Unterbereich behalten</x:v>
      </x:c>
      <x:c r="R2410" s="5" t="str">
        <x:v>Unterscheiden Sie akquisitorische und physische Distribution. Erläutern Sie die zentralen Aufgaben beider Bereiche und zeigen Sie, wie die physische Distribution mit Logistik und Supply-Chain-Management zusammenhängt.</x:v>
      </x:c>
      <x:c r="S2410" s="5" t="str">
        <x:v>358a2ce13bf9e9313cc8701e268e159635be01dc58edcd8ba3a748690892f415</x:v>
      </x:c>
    </x:row>
    <x:row r="2411" ht="36" customHeight="1">
      <x:c r="A2411" s="5" t="str">
        <x:v>V-0008</x:v>
      </x:c>
      <x:c r="B2411" s="5" t="str">
        <x:v>HQ</x:v>
      </x:c>
      <x:c r="C2411" s="5" t="str">
        <x:v>8</x:v>
      </x:c>
      <x:c r="D2411" s="5" t="str">
        <x:v>Marketing und Vertrieb</x:v>
      </x:c>
      <x:c r="E2411" s="5" t="str">
        <x:v>Vertrieb</x:v>
      </x:c>
      <x:c r="F2411" s="5" t="str">
        <x:v>ui-hq-0029</x:v>
      </x:c>
      <x:c r="G2411" s="5" t="str">
        <x:v>Vertriebsmanagement</x:v>
      </x:c>
      <x:c r="H2411" s="5" t="str">
        <x:v>dg-hq-0127</x:v>
      </x:c>
      <x:c r="I2411" s="5" t="str">
        <x:v>8.3.1</x:v>
      </x:c>
      <x:c r="J2411" s="5" t="str">
        <x:v>Vertriebsorganisation</x:v>
      </x:c>
      <x:c r="K2411" s="5" t="str"/>
      <x:c r="L2411" s="5" t="str">
        <x:v>Vertriebswege, Absatzorgane &amp; E-Commerce</x:v>
      </x:c>
      <x:c r="M2411" s="5" t="n">
        <x:v>8</x:v>
      </x:c>
      <x:c r="N2411" s="5" t="n">
        <x:v>7</x:v>
      </x:c>
      <x:c r="O2411" s="5" t="str"/>
      <x:c r="P2411" s="5" t="str">
        <x:v>Zuordnungsvorschlag; Fachfreigabe ausstehend</x:v>
      </x:c>
      <x:c r="Q2411" s="5" t="str">
        <x:v>Bestehendes Lernthema fachlich unter passendem Rahmenplan-Unterbereich behalten</x:v>
      </x:c>
      <x:c r="R2411" s="5" t="str">
        <x:v>Ordnen Sie Kriterien für die Wahl eines Vertriebswegs danach ein, ob sie überwiegend unternehmensintern oder unternehmensextern bestimmt sind.</x:v>
      </x:c>
      <x:c r="S2411" s="5" t="str">
        <x:v>c08e6f827e77a1416c8c11b8ddfd0032b51764e9012830bc164499f4b08f5515</x:v>
      </x:c>
    </x:row>
    <x:row r="2412" ht="36" customHeight="1">
      <x:c r="A2412" s="5" t="str">
        <x:v>V-0009</x:v>
      </x:c>
      <x:c r="B2412" s="5" t="str">
        <x:v>HQ</x:v>
      </x:c>
      <x:c r="C2412" s="5" t="str">
        <x:v>8</x:v>
      </x:c>
      <x:c r="D2412" s="5" t="str">
        <x:v>Marketing und Vertrieb</x:v>
      </x:c>
      <x:c r="E2412" s="5" t="str">
        <x:v>Vertrieb</x:v>
      </x:c>
      <x:c r="F2412" s="5" t="str">
        <x:v>ui-hq-0029</x:v>
      </x:c>
      <x:c r="G2412" s="5" t="str">
        <x:v>Vertriebsmanagement</x:v>
      </x:c>
      <x:c r="H2412" s="5" t="str">
        <x:v>dg-hq-0127</x:v>
      </x:c>
      <x:c r="I2412" s="5" t="str">
        <x:v>8.3.1</x:v>
      </x:c>
      <x:c r="J2412" s="5" t="str">
        <x:v>Vertriebsorganisation</x:v>
      </x:c>
      <x:c r="K2412" s="5" t="str"/>
      <x:c r="L2412" s="5" t="str">
        <x:v>Vertriebswege, Absatzorgane &amp; E-Commerce</x:v>
      </x:c>
      <x:c r="M2412" s="5" t="n">
        <x:v>9</x:v>
      </x:c>
      <x:c r="N2412" s="5" t="n">
        <x:v>8</x:v>
      </x:c>
      <x:c r="O2412" s="5" t="str"/>
      <x:c r="P2412" s="5" t="str">
        <x:v>Zuordnungsvorschlag; Fachfreigabe ausstehend</x:v>
      </x:c>
      <x:c r="Q2412" s="5" t="str">
        <x:v>Bestehendes Lernthema fachlich unter passendem Rahmenplan-Unterbereich behalten</x:v>
      </x:c>
      <x:c r="R2412" s="5" t="str">
        <x:v>Ordnen Sie typische Absatzorgane dem direkten oder indirekten Vertrieb zu.</x:v>
      </x:c>
      <x:c r="S2412" s="5" t="str">
        <x:v>f5a194863267157da81994a67e0b9b747ecdcfa02996b3b852c1074f851e2c39</x:v>
      </x:c>
    </x:row>
    <x:row r="2413" ht="36" customHeight="1">
      <x:c r="A2413" s="5" t="str">
        <x:v>V-0010</x:v>
      </x:c>
      <x:c r="B2413" s="5" t="str">
        <x:v>HQ</x:v>
      </x:c>
      <x:c r="C2413" s="5" t="str">
        <x:v>8</x:v>
      </x:c>
      <x:c r="D2413" s="5" t="str">
        <x:v>Marketing und Vertrieb</x:v>
      </x:c>
      <x:c r="E2413" s="5" t="str">
        <x:v>Vertrieb</x:v>
      </x:c>
      <x:c r="F2413" s="5" t="str">
        <x:v>ui-hq-0029</x:v>
      </x:c>
      <x:c r="G2413" s="5" t="str">
        <x:v>Vertriebsmanagement</x:v>
      </x:c>
      <x:c r="H2413" s="5" t="str">
        <x:v>dg-hq-0127</x:v>
      </x:c>
      <x:c r="I2413" s="5" t="str">
        <x:v>8.3.1</x:v>
      </x:c>
      <x:c r="J2413" s="5" t="str">
        <x:v>Vertriebsorganisation</x:v>
      </x:c>
      <x:c r="K2413" s="5" t="str"/>
      <x:c r="L2413" s="5" t="str">
        <x:v>Vertriebswege, Absatzorgane &amp; E-Commerce</x:v>
      </x:c>
      <x:c r="M2413" s="5" t="n">
        <x:v>10</x:v>
      </x:c>
      <x:c r="N2413" s="5" t="n">
        <x:v>9</x:v>
      </x:c>
      <x:c r="O2413" s="5" t="str"/>
      <x:c r="P2413" s="5" t="str">
        <x:v>Zuordnungsvorschlag; Fachfreigabe ausstehend</x:v>
      </x:c>
      <x:c r="Q2413" s="5" t="str">
        <x:v>Bestehendes Lernthema fachlich unter passendem Rahmenplan-Unterbereich behalten</x:v>
      </x:c>
      <x:c r="R2413" s="5" t="str">
        <x:v>Vervollständigen Sie die Abgrenzung zwischen Absatzmittlern und Absatzhelfern bzw. Absatzvermittlern.</x:v>
      </x:c>
      <x:c r="S2413" s="5" t="str">
        <x:v>36ffdd666c8750c8835deeadc11e8635bde4e1aff53e1c57e34bafe0ac6e3a05</x:v>
      </x:c>
    </x:row>
    <x:row r="2414" ht="36" customHeight="1">
      <x:c r="A2414" s="5" t="str">
        <x:v>V-0011</x:v>
      </x:c>
      <x:c r="B2414" s="5" t="str">
        <x:v>HQ</x:v>
      </x:c>
      <x:c r="C2414" s="5" t="str">
        <x:v>8</x:v>
      </x:c>
      <x:c r="D2414" s="5" t="str">
        <x:v>Marketing und Vertrieb</x:v>
      </x:c>
      <x:c r="E2414" s="5" t="str">
        <x:v>Vertrieb</x:v>
      </x:c>
      <x:c r="F2414" s="5" t="str">
        <x:v>ui-hq-0029</x:v>
      </x:c>
      <x:c r="G2414" s="5" t="str">
        <x:v>Vertriebsmanagement</x:v>
      </x:c>
      <x:c r="H2414" s="5" t="str">
        <x:v>dg-hq-0127</x:v>
      </x:c>
      <x:c r="I2414" s="5" t="str">
        <x:v>8.3.1</x:v>
      </x:c>
      <x:c r="J2414" s="5" t="str">
        <x:v>Vertriebsorganisation</x:v>
      </x:c>
      <x:c r="K2414" s="5" t="str"/>
      <x:c r="L2414" s="5" t="str">
        <x:v>Vertriebswege, Absatzorgane &amp; E-Commerce</x:v>
      </x:c>
      <x:c r="M2414" s="5" t="n">
        <x:v>11</x:v>
      </x:c>
      <x:c r="N2414" s="5" t="n">
        <x:v>10</x:v>
      </x:c>
      <x:c r="O2414" s="5" t="str"/>
      <x:c r="P2414" s="5" t="str">
        <x:v>Zuordnungsvorschlag; Fachfreigabe ausstehend</x:v>
      </x:c>
      <x:c r="Q2414" s="5" t="str">
        <x:v>Bestehendes Lernthema fachlich unter passendem Rahmenplan-Unterbereich behalten</x:v>
      </x:c>
      <x:c r="R2414" s="5" t="str">
        <x:v>Fallbezug: Die folgenden betrieblichen Angaben und Situationen beziehen sich auf die Circle Harbor GmbH.
Ein Hersteller überlegt, für ein gut erschlossenes Verkaufsgebiet angestellte Reisende einzusetzen. Erläutern Sie mindestens fünf typische Merkmale von Reisenden und nennen Sie Situationen, in denen diese Vertriebsform besonders sinnvoll sein kann.</x:v>
      </x:c>
      <x:c r="S2414" s="5" t="str">
        <x:v>7d4b8446bdb265fab0c4232dd5223cabd72951f0b6800adcf27437f96d6ef1d4</x:v>
      </x:c>
    </x:row>
    <x:row r="2415" ht="36" customHeight="1">
      <x:c r="A2415" s="5" t="str">
        <x:v>V-0012</x:v>
      </x:c>
      <x:c r="B2415" s="5" t="str">
        <x:v>HQ</x:v>
      </x:c>
      <x:c r="C2415" s="5" t="str">
        <x:v>8</x:v>
      </x:c>
      <x:c r="D2415" s="5" t="str">
        <x:v>Marketing und Vertrieb</x:v>
      </x:c>
      <x:c r="E2415" s="5" t="str">
        <x:v>Vertrieb</x:v>
      </x:c>
      <x:c r="F2415" s="5" t="str">
        <x:v>ui-hq-0029</x:v>
      </x:c>
      <x:c r="G2415" s="5" t="str">
        <x:v>Vertriebsmanagement</x:v>
      </x:c>
      <x:c r="H2415" s="5" t="str">
        <x:v>dg-hq-0127</x:v>
      </x:c>
      <x:c r="I2415" s="5" t="str">
        <x:v>8.3.1</x:v>
      </x:c>
      <x:c r="J2415" s="5" t="str">
        <x:v>Vertriebsorganisation</x:v>
      </x:c>
      <x:c r="K2415" s="5" t="str"/>
      <x:c r="L2415" s="5" t="str">
        <x:v>Vertriebsmanagement &amp; Kundenbeziehungen</x:v>
      </x:c>
      <x:c r="M2415" s="5" t="n">
        <x:v>12</x:v>
      </x:c>
      <x:c r="N2415" s="5" t="n">
        <x:v>11</x:v>
      </x:c>
      <x:c r="O2415" s="5" t="str"/>
      <x:c r="P2415" s="5" t="str">
        <x:v>Zuordnungsvorschlag; Fachfreigabe ausstehend</x:v>
      </x:c>
      <x:c r="Q2415" s="5" t="str">
        <x:v>Bestehendes Lernthema fachlich unter passendem Rahmenplan-Unterbereich behalten</x:v>
      </x:c>
      <x:c r="R2415" s="5" t="str">
        <x:v>Nennen und erläutern Sie fünf zentrale Aufgaben des persönlichen Verkaufs bzw. Außendienstes entlang einer Kundenbeziehung.</x:v>
      </x:c>
      <x:c r="S2415" s="5" t="str">
        <x:v>4ae2c1d2553d4ebb88fa238c56712969bc89ee007ee90d37f57c905165e154c0</x:v>
      </x:c>
    </x:row>
    <x:row r="2416" ht="36" customHeight="1">
      <x:c r="A2416" s="5" t="str">
        <x:v>V-0013</x:v>
      </x:c>
      <x:c r="B2416" s="5" t="str">
        <x:v>HQ</x:v>
      </x:c>
      <x:c r="C2416" s="5" t="str">
        <x:v>8</x:v>
      </x:c>
      <x:c r="D2416" s="5" t="str">
        <x:v>Marketing und Vertrieb</x:v>
      </x:c>
      <x:c r="E2416" s="5" t="str">
        <x:v>Vertrieb</x:v>
      </x:c>
      <x:c r="F2416" s="5" t="str">
        <x:v>ui-hq-0029</x:v>
      </x:c>
      <x:c r="G2416" s="5" t="str">
        <x:v>Vertriebsmanagement</x:v>
      </x:c>
      <x:c r="H2416" s="5" t="str">
        <x:v>dg-hq-0127</x:v>
      </x:c>
      <x:c r="I2416" s="5" t="str">
        <x:v>8.3.1</x:v>
      </x:c>
      <x:c r="J2416" s="5" t="str">
        <x:v>Vertriebsorganisation</x:v>
      </x:c>
      <x:c r="K2416" s="5" t="str"/>
      <x:c r="L2416" s="5" t="str">
        <x:v>Vertriebswege, Absatzorgane &amp; E-Commerce</x:v>
      </x:c>
      <x:c r="M2416" s="5" t="n">
        <x:v>13</x:v>
      </x:c>
      <x:c r="N2416" s="5" t="n">
        <x:v>12</x:v>
      </x:c>
      <x:c r="O2416" s="5" t="str"/>
      <x:c r="P2416" s="5" t="str">
        <x:v>Zuordnungsvorschlag; Fachfreigabe ausstehend</x:v>
      </x:c>
      <x:c r="Q2416" s="5" t="str">
        <x:v>Bestehendes Lernthema fachlich unter passendem Rahmenplan-Unterbereich behalten</x:v>
      </x:c>
      <x:c r="R2416" s="5" t="str">
        <x:v>Erläutern Sie das Franchising als Vertriebsform. Gehen Sie auf die Rollen von Franchisegeber und Franchisenehmer ein und nennen Sie für beide Seiten jeweils mindestens drei typische Vorteile und drei mögliche Nachteile.</x:v>
      </x:c>
      <x:c r="S2416" s="5" t="str">
        <x:v>afb10beee1c797a7bf298178c0a61fc7bca12141fc81a1f244a5dd73f89f781c</x:v>
      </x:c>
    </x:row>
    <x:row r="2417" ht="36" customHeight="1">
      <x:c r="A2417" s="5" t="str">
        <x:v>V-0014</x:v>
      </x:c>
      <x:c r="B2417" s="5" t="str">
        <x:v>HQ</x:v>
      </x:c>
      <x:c r="C2417" s="5" t="str">
        <x:v>8</x:v>
      </x:c>
      <x:c r="D2417" s="5" t="str">
        <x:v>Marketing und Vertrieb</x:v>
      </x:c>
      <x:c r="E2417" s="5" t="str">
        <x:v>Vertrieb</x:v>
      </x:c>
      <x:c r="F2417" s="5" t="str">
        <x:v>ui-hq-0029</x:v>
      </x:c>
      <x:c r="G2417" s="5" t="str">
        <x:v>Vertriebsmanagement</x:v>
      </x:c>
      <x:c r="H2417" s="5" t="str">
        <x:v>dg-hq-0127</x:v>
      </x:c>
      <x:c r="I2417" s="5" t="str">
        <x:v>8.3.1</x:v>
      </x:c>
      <x:c r="J2417" s="5" t="str">
        <x:v>Vertriebsorganisation</x:v>
      </x:c>
      <x:c r="K2417" s="5" t="str"/>
      <x:c r="L2417" s="5" t="str">
        <x:v>Vertriebswege, Absatzorgane &amp; E-Commerce</x:v>
      </x:c>
      <x:c r="M2417" s="5" t="n">
        <x:v>14</x:v>
      </x:c>
      <x:c r="N2417" s="5" t="n">
        <x:v>13</x:v>
      </x:c>
      <x:c r="O2417" s="5" t="str"/>
      <x:c r="P2417" s="5" t="str">
        <x:v>Zuordnungsvorschlag; Fachfreigabe ausstehend</x:v>
      </x:c>
      <x:c r="Q2417" s="5" t="str">
        <x:v>Bestehendes Lernthema fachlich unter passendem Rahmenplan-Unterbereich behalten</x:v>
      </x:c>
      <x:c r="R2417" s="5" t="str">
        <x:v>Ordnen Sie die Aussagen danach ein, ob sie vor allem E-Business oder speziell E-Commerce beschreiben.</x:v>
      </x:c>
      <x:c r="S2417" s="5" t="str">
        <x:v>a1dc57e347aad79d8a8d8e0edae6401d44f4a47d07cf2f0d2d9a088a6ec53d9b</x:v>
      </x:c>
    </x:row>
    <x:row r="2418" ht="36" customHeight="1">
      <x:c r="A2418" s="5" t="str">
        <x:v>V-0015</x:v>
      </x:c>
      <x:c r="B2418" s="5" t="str">
        <x:v>HQ</x:v>
      </x:c>
      <x:c r="C2418" s="5" t="str">
        <x:v>8</x:v>
      </x:c>
      <x:c r="D2418" s="5" t="str">
        <x:v>Marketing und Vertrieb</x:v>
      </x:c>
      <x:c r="E2418" s="5" t="str">
        <x:v>Vertrieb</x:v>
      </x:c>
      <x:c r="F2418" s="5" t="str">
        <x:v>ui-hq-0029</x:v>
      </x:c>
      <x:c r="G2418" s="5" t="str">
        <x:v>Vertriebsmanagement</x:v>
      </x:c>
      <x:c r="H2418" s="5" t="str">
        <x:v>dg-hq-0127</x:v>
      </x:c>
      <x:c r="I2418" s="5" t="str">
        <x:v>8.3.1</x:v>
      </x:c>
      <x:c r="J2418" s="5" t="str">
        <x:v>Vertriebsorganisation</x:v>
      </x:c>
      <x:c r="K2418" s="5" t="str"/>
      <x:c r="L2418" s="5" t="str">
        <x:v>Vertriebswege, Absatzorgane &amp; E-Commerce</x:v>
      </x:c>
      <x:c r="M2418" s="5" t="n">
        <x:v>15</x:v>
      </x:c>
      <x:c r="N2418" s="5" t="n">
        <x:v>14</x:v>
      </x:c>
      <x:c r="O2418" s="5" t="str"/>
      <x:c r="P2418" s="5" t="str">
        <x:v>Zuordnungsvorschlag; Fachfreigabe ausstehend</x:v>
      </x:c>
      <x:c r="Q2418" s="5" t="str">
        <x:v>Bestehendes Lernthema fachlich unter passendem Rahmenplan-Unterbereich behalten</x:v>
      </x:c>
      <x:c r="R2418" s="5" t="str">
        <x:v>Fallbezug: Die folgenden betrieblichen Angaben und Situationen beziehen sich auf die Circle Harbor GmbH.
Ein Hersteller hochwertiger, erklärungsbedürftiger Produkte prüft, ob er den Verkauf vollständig auf E-Commerce umstellen soll. Beurteilen Sie diese Entscheidung. Nennen Sie mindestens vier Vorteile des Onlinevertriebs, erläutern Sie mindestens vier Grenzen für beratungsintensive Produkte und zeigen Sie sinnvolle ergänzende Einsatzmöglichkeiten des Internets auf.</x:v>
      </x:c>
      <x:c r="S2418" s="5" t="str">
        <x:v>c4707329dfe3e67d92e025bcb85b3ab047fcce4c003af6c71325db297ba718e0</x:v>
      </x:c>
    </x:row>
    <x:row r="2419" ht="36" customHeight="1">
      <x:c r="A2419" s="5" t="str">
        <x:v>V-0016</x:v>
      </x:c>
      <x:c r="B2419" s="5" t="str">
        <x:v>HQ</x:v>
      </x:c>
      <x:c r="C2419" s="5" t="str">
        <x:v>8</x:v>
      </x:c>
      <x:c r="D2419" s="5" t="str">
        <x:v>Marketing und Vertrieb</x:v>
      </x:c>
      <x:c r="E2419" s="5" t="str">
        <x:v>Vertrieb</x:v>
      </x:c>
      <x:c r="F2419" s="5" t="str">
        <x:v>ui-hq-0029</x:v>
      </x:c>
      <x:c r="G2419" s="5" t="str">
        <x:v>Vertriebsmanagement</x:v>
      </x:c>
      <x:c r="H2419" s="5" t="str">
        <x:v>dg-hq-0127</x:v>
      </x:c>
      <x:c r="I2419" s="5" t="str">
        <x:v>8.3.1</x:v>
      </x:c>
      <x:c r="J2419" s="5" t="str">
        <x:v>Vertriebsorganisation</x:v>
      </x:c>
      <x:c r="K2419" s="5" t="str"/>
      <x:c r="L2419" s="5" t="str">
        <x:v>Vertriebswege, Absatzorgane &amp; E-Commerce</x:v>
      </x:c>
      <x:c r="M2419" s="5" t="n">
        <x:v>16</x:v>
      </x:c>
      <x:c r="N2419" s="5" t="n">
        <x:v>15</x:v>
      </x:c>
      <x:c r="O2419" s="5" t="str"/>
      <x:c r="P2419" s="5" t="str">
        <x:v>Zuordnungsvorschlag; Fachfreigabe ausstehend</x:v>
      </x:c>
      <x:c r="Q2419" s="5" t="str">
        <x:v>Bestehendes Lernthema fachlich unter passendem Rahmenplan-Unterbereich behalten</x:v>
      </x:c>
      <x:c r="R2419" s="5" t="str">
        <x:v>Erläutern Sie den Begriff Omnichannel im Vertrieb und beschreiben Sie drei typische kanalübergreifende Kundenwege, die stationären Handel und Onlinekanäle miteinander verbinden.</x:v>
      </x:c>
      <x:c r="S2419" s="5" t="str">
        <x:v>8730506c0eadf0ea552860901843fd96a32fedbc7019d3ee6684af320c7f707e</x:v>
      </x:c>
    </x:row>
    <x:row r="2420" ht="36" customHeight="1">
      <x:c r="A2420" s="5" t="str">
        <x:v>V-0017</x:v>
      </x:c>
      <x:c r="B2420" s="5" t="str">
        <x:v>HQ</x:v>
      </x:c>
      <x:c r="C2420" s="5" t="str">
        <x:v>8</x:v>
      </x:c>
      <x:c r="D2420" s="5" t="str">
        <x:v>Marketing und Vertrieb</x:v>
      </x:c>
      <x:c r="E2420" s="5" t="str">
        <x:v>Vertrieb</x:v>
      </x:c>
      <x:c r="F2420" s="5" t="str">
        <x:v>ui-hq-0029</x:v>
      </x:c>
      <x:c r="G2420" s="5" t="str">
        <x:v>Vertriebsmanagement</x:v>
      </x:c>
      <x:c r="H2420" s="5" t="str">
        <x:v>dg-hq-0127</x:v>
      </x:c>
      <x:c r="I2420" s="5" t="str">
        <x:v>8.3.1</x:v>
      </x:c>
      <x:c r="J2420" s="5" t="str">
        <x:v>Vertriebsorganisation</x:v>
      </x:c>
      <x:c r="K2420" s="5" t="str"/>
      <x:c r="L2420" s="5" t="str">
        <x:v>Vertriebswege, Absatzorgane &amp; E-Commerce</x:v>
      </x:c>
      <x:c r="M2420" s="5" t="n">
        <x:v>17</x:v>
      </x:c>
      <x:c r="N2420" s="5" t="n">
        <x:v>16</x:v>
      </x:c>
      <x:c r="O2420" s="5" t="str"/>
      <x:c r="P2420" s="5" t="str">
        <x:v>Zuordnungsvorschlag; Fachfreigabe ausstehend</x:v>
      </x:c>
      <x:c r="Q2420" s="5" t="str">
        <x:v>Bestehendes Lernthema fachlich unter passendem Rahmenplan-Unterbereich behalten</x:v>
      </x:c>
      <x:c r="R2420" s="5" t="str">
        <x:v>Fallbezug: Die folgenden betrieblichen Angaben und Situationen beziehen sich auf die Circle Harbor GmbH.
Ein Hersteller erwägt den indirekten Vertrieb über Handelsunternehmen. Nennen Sie mindestens drei Vorteile und zwei Nachteile dieser Vertriebsform. Unterscheiden Sie außerdem intensive, selektive und exklusive Distribution.</x:v>
      </x:c>
      <x:c r="S2420" s="5" t="str">
        <x:v>9334299c24cf3859359feb6ffb1dcf1d83226c8f77adb84485af30f862a8656c</x:v>
      </x:c>
    </x:row>
    <x:row r="2421" ht="36" customHeight="1">
      <x:c r="A2421" s="5" t="str">
        <x:v>V-0018</x:v>
      </x:c>
      <x:c r="B2421" s="5" t="str">
        <x:v>HQ</x:v>
      </x:c>
      <x:c r="C2421" s="5" t="str">
        <x:v>8</x:v>
      </x:c>
      <x:c r="D2421" s="5" t="str">
        <x:v>Marketing und Vertrieb</x:v>
      </x:c>
      <x:c r="E2421" s="5" t="str">
        <x:v>Vertrieb</x:v>
      </x:c>
      <x:c r="F2421" s="5" t="str">
        <x:v>ui-hq-0029</x:v>
      </x:c>
      <x:c r="G2421" s="5" t="str">
        <x:v>Vertriebsmanagement</x:v>
      </x:c>
      <x:c r="H2421" s="5" t="str">
        <x:v>dg-hq-0127</x:v>
      </x:c>
      <x:c r="I2421" s="5" t="str">
        <x:v>8.3.1</x:v>
      </x:c>
      <x:c r="J2421" s="5" t="str">
        <x:v>Vertriebsorganisation</x:v>
      </x:c>
      <x:c r="K2421" s="5" t="str"/>
      <x:c r="L2421" s="5" t="str">
        <x:v>Vertriebswege, Absatzorgane &amp; E-Commerce</x:v>
      </x:c>
      <x:c r="M2421" s="5" t="n">
        <x:v>18</x:v>
      </x:c>
      <x:c r="N2421" s="5" t="n">
        <x:v>17</x:v>
      </x:c>
      <x:c r="O2421" s="5" t="str"/>
      <x:c r="P2421" s="5" t="str">
        <x:v>Zuordnungsvorschlag; Fachfreigabe ausstehend</x:v>
      </x:c>
      <x:c r="Q2421" s="5" t="str">
        <x:v>Bestehendes Lernthema fachlich unter passendem Rahmenplan-Unterbereich behalten</x:v>
      </x:c>
      <x:c r="R2421" s="5" t="str">
        <x:v>Ordnen Sie die Beispiele der passenden Kooperations- oder Kanalform im Vertrieb zu.</x:v>
      </x:c>
      <x:c r="S2421" s="5" t="str">
        <x:v>92f25bb029f7626f0eba8e200115f12bb98556507b6d41c85dfdb01570bac038</x:v>
      </x:c>
    </x:row>
    <x:row r="2422" ht="36" customHeight="1">
      <x:c r="A2422" s="5" t="str">
        <x:v>V-0019</x:v>
      </x:c>
      <x:c r="B2422" s="5" t="str">
        <x:v>HQ</x:v>
      </x:c>
      <x:c r="C2422" s="5" t="str">
        <x:v>8</x:v>
      </x:c>
      <x:c r="D2422" s="5" t="str">
        <x:v>Marketing und Vertrieb</x:v>
      </x:c>
      <x:c r="E2422" s="5" t="str">
        <x:v>Vertrieb</x:v>
      </x:c>
      <x:c r="F2422" s="5" t="str">
        <x:v>ui-hq-0029</x:v>
      </x:c>
      <x:c r="G2422" s="5" t="str">
        <x:v>Vertriebsmanagement</x:v>
      </x:c>
      <x:c r="H2422" s="5" t="str">
        <x:v>dg-hq-0128</x:v>
      </x:c>
      <x:c r="I2422" s="5" t="str">
        <x:v>8.3.2</x:v>
      </x:c>
      <x:c r="J2422" s="5" t="str">
        <x:v>Vertriebscontrolling</x:v>
      </x:c>
      <x:c r="K2422" s="5" t="str"/>
      <x:c r="L2422" s="5" t="str">
        <x:v>Vertriebscontrolling</x:v>
      </x:c>
      <x:c r="M2422" s="5" t="n">
        <x:v>19</x:v>
      </x:c>
      <x:c r="N2422" s="5" t="n">
        <x:v>2</x:v>
      </x:c>
      <x:c r="O2422" s="5" t="str"/>
      <x:c r="P2422" s="5" t="str">
        <x:v>Zuordnungsvorschlag; Fachfreigabe ausstehend</x:v>
      </x:c>
      <x:c r="Q2422" s="5" t="str">
        <x:v>Bestehendes Lernthema fachlich unter passendem Rahmenplan-Unterbereich behalten</x:v>
      </x:c>
      <x:c r="R2422" s="5" t="str">
        <x:v>Ordnen Sie die vier Phasen eines systematischen Benchmarkings den jeweils passenden Aufgaben zu.</x:v>
      </x:c>
      <x:c r="S2422" s="5" t="str">
        <x:v>efdac81a027fb48a026dc8a02fe08ad3f81add5b4ca8ad12b10e366429db618a</x:v>
      </x:c>
    </x:row>
    <x:row r="2423" ht="36" customHeight="1">
      <x:c r="A2423" s="5" t="str">
        <x:v>V-0020</x:v>
      </x:c>
      <x:c r="B2423" s="5" t="str">
        <x:v>HQ</x:v>
      </x:c>
      <x:c r="C2423" s="5" t="str">
        <x:v>8</x:v>
      </x:c>
      <x:c r="D2423" s="5" t="str">
        <x:v>Marketing und Vertrieb</x:v>
      </x:c>
      <x:c r="E2423" s="5" t="str">
        <x:v>Vertrieb</x:v>
      </x:c>
      <x:c r="F2423" s="5" t="str">
        <x:v>ui-hq-0029</x:v>
      </x:c>
      <x:c r="G2423" s="5" t="str">
        <x:v>Vertriebsmanagement</x:v>
      </x:c>
      <x:c r="H2423" s="5" t="str">
        <x:v>dg-hq-0128</x:v>
      </x:c>
      <x:c r="I2423" s="5" t="str">
        <x:v>8.3.2</x:v>
      </x:c>
      <x:c r="J2423" s="5" t="str">
        <x:v>Vertriebscontrolling</x:v>
      </x:c>
      <x:c r="K2423" s="5" t="str"/>
      <x:c r="L2423" s="5" t="str">
        <x:v>Vertriebscontrolling</x:v>
      </x:c>
      <x:c r="M2423" s="5" t="n">
        <x:v>20</x:v>
      </x:c>
      <x:c r="N2423" s="5" t="n">
        <x:v>3</x:v>
      </x:c>
      <x:c r="O2423" s="5" t="str"/>
      <x:c r="P2423" s="5" t="str">
        <x:v>Zuordnungsvorschlag; Fachfreigabe ausstehend</x:v>
      </x:c>
      <x:c r="Q2423" s="5" t="str">
        <x:v>Bestehendes Lernthema fachlich unter passendem Rahmenplan-Unterbereich behalten</x:v>
      </x:c>
      <x:c r="R2423" s="5" t="str">
        <x:v>Circle Harbor analysiert 250 Produkte mit einer ABC-Analyse. 50 A-Produkte erzielen 78 % des Umsatzes, 25 B-Produkte weitere 17 % und 175 C-Produkte die restlichen 5 %. Berechnen Sie die jeweiligen Produktanteile in Prozent, beschreiben Sie den Verlauf einer Lorenzkurve anhand der kumulierten Werte und leiten Sie mindestens vier Konsequenzen für die Vertriebssteuerung ab.</x:v>
      </x:c>
      <x:c r="S2423" s="5" t="str">
        <x:v>b48aacc5af6be61b69a5c3fb0b967885aa8543e429fdee4b784575fe2cfe9bb2</x:v>
      </x:c>
    </x:row>
    <x:row r="2424" ht="36" customHeight="1">
      <x:c r="A2424" s="5" t="str">
        <x:v>V-0021</x:v>
      </x:c>
      <x:c r="B2424" s="5" t="str">
        <x:v>HQ</x:v>
      </x:c>
      <x:c r="C2424" s="5" t="str">
        <x:v>8</x:v>
      </x:c>
      <x:c r="D2424" s="5" t="str">
        <x:v>Marketing und Vertrieb</x:v>
      </x:c>
      <x:c r="E2424" s="5" t="str">
        <x:v>Vertrieb</x:v>
      </x:c>
      <x:c r="F2424" s="5" t="str">
        <x:v>ui-hq-0029</x:v>
      </x:c>
      <x:c r="G2424" s="5" t="str">
        <x:v>Vertriebsmanagement</x:v>
      </x:c>
      <x:c r="H2424" s="5" t="str">
        <x:v>dg-hq-0128</x:v>
      </x:c>
      <x:c r="I2424" s="5" t="str">
        <x:v>8.3.2</x:v>
      </x:c>
      <x:c r="J2424" s="5" t="str">
        <x:v>Vertriebscontrolling</x:v>
      </x:c>
      <x:c r="K2424" s="5" t="str"/>
      <x:c r="L2424" s="5" t="str">
        <x:v>Vertriebscontrolling</x:v>
      </x:c>
      <x:c r="M2424" s="5" t="n">
        <x:v>21</x:v>
      </x:c>
      <x:c r="N2424" s="5" t="n">
        <x:v>4</x:v>
      </x:c>
      <x:c r="O2424" s="5" t="str"/>
      <x:c r="P2424" s="5" t="str">
        <x:v>Zuordnungsvorschlag; Fachfreigabe ausstehend</x:v>
      </x:c>
      <x:c r="Q2424" s="5" t="str">
        <x:v>Bestehendes Lernthema fachlich unter passendem Rahmenplan-Unterbereich behalten</x:v>
      </x:c>
      <x:c r="R2424" s="5" t="str">
        <x:v>Vervollständigen Sie die Kernaussagen zur Absatzsegmentrechnung.</x:v>
      </x:c>
      <x:c r="S2424" s="5" t="str">
        <x:v>7959e1131efb8b69aa4185c961b3b24e41698c8ee9ee9e4fd5ba7fa775c3ae98</x:v>
      </x:c>
    </x:row>
    <x:row r="2425" ht="36" customHeight="1">
      <x:c r="A2425" s="5" t="str">
        <x:v>V-0022</x:v>
      </x:c>
      <x:c r="B2425" s="5" t="str">
        <x:v>HQ</x:v>
      </x:c>
      <x:c r="C2425" s="5" t="str">
        <x:v>8</x:v>
      </x:c>
      <x:c r="D2425" s="5" t="str">
        <x:v>Marketing und Vertrieb</x:v>
      </x:c>
      <x:c r="E2425" s="5" t="str">
        <x:v>Vertrieb</x:v>
      </x:c>
      <x:c r="F2425" s="5" t="str">
        <x:v>ui-hq-0029</x:v>
      </x:c>
      <x:c r="G2425" s="5" t="str">
        <x:v>Vertriebsmanagement</x:v>
      </x:c>
      <x:c r="H2425" s="5" t="str">
        <x:v>dg-hq-0128</x:v>
      </x:c>
      <x:c r="I2425" s="5" t="str">
        <x:v>8.3.2</x:v>
      </x:c>
      <x:c r="J2425" s="5" t="str">
        <x:v>Vertriebscontrolling</x:v>
      </x:c>
      <x:c r="K2425" s="5" t="str"/>
      <x:c r="L2425" s="5" t="str">
        <x:v>Vertriebscontrolling</x:v>
      </x:c>
      <x:c r="M2425" s="5" t="n">
        <x:v>22</x:v>
      </x:c>
      <x:c r="N2425" s="5" t="n">
        <x:v>5</x:v>
      </x:c>
      <x:c r="O2425" s="5" t="str"/>
      <x:c r="P2425" s="5" t="str">
        <x:v>Zuordnungsvorschlag; Fachfreigabe ausstehend</x:v>
      </x:c>
      <x:c r="Q2425" s="5" t="str">
        <x:v>Bestehendes Lernthema fachlich unter passendem Rahmenplan-Unterbereich behalten</x:v>
      </x:c>
      <x:c r="R2425" s="5" t="str">
        <x:v>Ordnen Sie die Kennzahlen danach ein, ob sie eher die Vertriebstätigkeit des Unternehmens insgesamt oder die individuelle Leistung einer Außendienstperson messen.</x:v>
      </x:c>
      <x:c r="S2425" s="5" t="str">
        <x:v>245989a7d16386dc87573601e66f53430ed423d4f70a3f3d093dd8f1f5d6620e</x:v>
      </x:c>
    </x:row>
    <x:row r="2426" ht="36" customHeight="1">
      <x:c r="A2426" s="5" t="str">
        <x:v>V-0023</x:v>
      </x:c>
      <x:c r="B2426" s="5" t="str">
        <x:v>HQ</x:v>
      </x:c>
      <x:c r="C2426" s="5" t="str">
        <x:v>8</x:v>
      </x:c>
      <x:c r="D2426" s="5" t="str">
        <x:v>Marketing und Vertrieb</x:v>
      </x:c>
      <x:c r="E2426" s="5" t="str">
        <x:v>Vertrieb</x:v>
      </x:c>
      <x:c r="F2426" s="5" t="str">
        <x:v>ui-hq-0029</x:v>
      </x:c>
      <x:c r="G2426" s="5" t="str">
        <x:v>Vertriebsmanagement</x:v>
      </x:c>
      <x:c r="H2426" s="5" t="str">
        <x:v>dg-hq-0128</x:v>
      </x:c>
      <x:c r="I2426" s="5" t="str">
        <x:v>8.3.2</x:v>
      </x:c>
      <x:c r="J2426" s="5" t="str">
        <x:v>Vertriebscontrolling</x:v>
      </x:c>
      <x:c r="K2426" s="5" t="str"/>
      <x:c r="L2426" s="5" t="str">
        <x:v>Vertriebscontrolling</x:v>
      </x:c>
      <x:c r="M2426" s="5" t="n">
        <x:v>23</x:v>
      </x:c>
      <x:c r="N2426" s="5" t="n">
        <x:v>6</x:v>
      </x:c>
      <x:c r="O2426" s="5" t="str"/>
      <x:c r="P2426" s="5" t="str">
        <x:v>Zuordnungsvorschlag; Fachfreigabe ausstehend</x:v>
      </x:c>
      <x:c r="Q2426" s="5" t="str">
        <x:v>Bestehendes Lernthema fachlich unter passendem Rahmenplan-Unterbereich behalten</x:v>
      </x:c>
      <x:c r="R2426" s="5" t="str">
        <x:v>Fallbezug: Die folgenden betrieblichen Angaben und Situationen beziehen sich auf die Circle Harbor GmbH.
Die Geschäftsleitung möchte eine Balanced Scorecard für den Vertrieb einsetzen. Erläutern Sie die vier klassischen Perspektiven und formulieren Sie zu jeder Perspektive eine typische Leitfrage sowie mindestens zwei geeignete Kennzahlen oder Beobachtungsgrößen.</x:v>
      </x:c>
      <x:c r="S2426" s="5" t="str">
        <x:v>6c1f643a50e447c96da72e8771713bd1487ea415e373fced836c404b58f7feda</x:v>
      </x:c>
    </x:row>
    <x:row r="2427" ht="36" customHeight="1">
      <x:c r="A2427" s="5" t="str">
        <x:v>V-0024</x:v>
      </x:c>
      <x:c r="B2427" s="5" t="str">
        <x:v>HQ</x:v>
      </x:c>
      <x:c r="C2427" s="5" t="str">
        <x:v>8</x:v>
      </x:c>
      <x:c r="D2427" s="5" t="str">
        <x:v>Marketing und Vertrieb</x:v>
      </x:c>
      <x:c r="E2427" s="5" t="str">
        <x:v>Vertrieb</x:v>
      </x:c>
      <x:c r="F2427" s="5" t="str">
        <x:v>ui-hq-0030</x:v>
      </x:c>
      <x:c r="G2427" s="5" t="str">
        <x:v>Internationale Geschäftsbeziehungen und Geschäftsentwicklung</x:v>
      </x:c>
      <x:c r="H2427" s="5" t="str">
        <x:v>dg-hq-0129</x:v>
      </x:c>
      <x:c r="I2427" s="5" t="str">
        <x:v>8.4.1</x:v>
      </x:c>
      <x:c r="J2427" s="5" t="str">
        <x:v>Einführung in den Außenhandel</x:v>
      </x:c>
      <x:c r="K2427" s="5" t="str"/>
      <x:c r="L2427" s="5" t="str">
        <x:v>Außenhandel &amp; Handelspolitik</x:v>
      </x:c>
      <x:c r="M2427" s="5" t="n">
        <x:v>1</x:v>
      </x:c>
      <x:c r="N2427" s="5" t="n">
        <x:v>1</x:v>
      </x:c>
      <x:c r="O2427" s="5" t="str"/>
      <x:c r="P2427" s="5" t="str">
        <x:v>Zuordnungsvorschlag; Fachfreigabe ausstehend</x:v>
      </x:c>
      <x:c r="Q2427" s="5" t="str">
        <x:v>Bestehendes Lernthema fachlich unter passendem Rahmenplan-Unterbereich behalten</x:v>
      </x:c>
      <x:c r="R2427" s="5" t="str">
        <x:v>Circle Harbor plant, seine Aktivitäten innerhalb der Europäischen Union auszuweiten. Erläutern Sie mindestens vier wirtschaftliche Vorteile, die sich aus dem EU-Binnenmarkt und der europäischen Integration für den grenzüberschreitenden Handel ergeben können.</x:v>
      </x:c>
      <x:c r="S2427" s="5" t="str">
        <x:v>331fe47491cd64a9792965929f41e28f1adda4d2d636db573f47a7ea891de8af</x:v>
      </x:c>
    </x:row>
    <x:row r="2428" ht="36" customHeight="1">
      <x:c r="A2428" s="5" t="str">
        <x:v>V-0025</x:v>
      </x:c>
      <x:c r="B2428" s="5" t="str">
        <x:v>HQ</x:v>
      </x:c>
      <x:c r="C2428" s="5" t="str">
        <x:v>8</x:v>
      </x:c>
      <x:c r="D2428" s="5" t="str">
        <x:v>Marketing und Vertrieb</x:v>
      </x:c>
      <x:c r="E2428" s="5" t="str">
        <x:v>Vertrieb</x:v>
      </x:c>
      <x:c r="F2428" s="5" t="str">
        <x:v>ui-hq-0030</x:v>
      </x:c>
      <x:c r="G2428" s="5" t="str">
        <x:v>Internationale Geschäftsbeziehungen und Geschäftsentwicklung</x:v>
      </x:c>
      <x:c r="H2428" s="5" t="str">
        <x:v>dg-hq-0129</x:v>
      </x:c>
      <x:c r="I2428" s="5" t="str">
        <x:v>8.4.1</x:v>
      </x:c>
      <x:c r="J2428" s="5" t="str">
        <x:v>Einführung in den Außenhandel</x:v>
      </x:c>
      <x:c r="K2428" s="5" t="str"/>
      <x:c r="L2428" s="5" t="str">
        <x:v>Außenhandel &amp; Handelspolitik</x:v>
      </x:c>
      <x:c r="M2428" s="5" t="n">
        <x:v>2</x:v>
      </x:c>
      <x:c r="N2428" s="5" t="n">
        <x:v>2</x:v>
      </x:c>
      <x:c r="O2428" s="5" t="str"/>
      <x:c r="P2428" s="5" t="str">
        <x:v>Zuordnungsvorschlag; Fachfreigabe ausstehend</x:v>
      </x:c>
      <x:c r="Q2428" s="5" t="str">
        <x:v>Bestehendes Lernthema fachlich unter passendem Rahmenplan-Unterbereich behalten</x:v>
      </x:c>
      <x:c r="R2428" s="5" t="str">
        <x:v>Circle Harbor möchte im Ausland mit Handelsagenten arbeiten. Erläutern Sie, wodurch sich ein CIF-Agent von einem gewöhnlichen Auslandsagenten unterscheidet. Erklären Sie außerdem die Abkürzung CIF und nennen Sie die zentralen Pflichten, die mit der CIF-Klausel verbunden sind.</x:v>
      </x:c>
      <x:c r="S2428" s="5" t="str">
        <x:v>ea04071af0668da35afc74314b52e37077eab572772cff325c839f0194d7fef9</x:v>
      </x:c>
    </x:row>
    <x:row r="2429" ht="36" customHeight="1">
      <x:c r="A2429" s="5" t="str">
        <x:v>V-0026</x:v>
      </x:c>
      <x:c r="B2429" s="5" t="str">
        <x:v>HQ</x:v>
      </x:c>
      <x:c r="C2429" s="5" t="str">
        <x:v>8</x:v>
      </x:c>
      <x:c r="D2429" s="5" t="str">
        <x:v>Marketing und Vertrieb</x:v>
      </x:c>
      <x:c r="E2429" s="5" t="str">
        <x:v>Vertrieb</x:v>
      </x:c>
      <x:c r="F2429" s="5" t="str">
        <x:v>ui-hq-0030</x:v>
      </x:c>
      <x:c r="G2429" s="5" t="str">
        <x:v>Internationale Geschäftsbeziehungen und Geschäftsentwicklung</x:v>
      </x:c>
      <x:c r="H2429" s="5" t="str">
        <x:v>dg-hq-0129</x:v>
      </x:c>
      <x:c r="I2429" s="5" t="str">
        <x:v>8.4.1</x:v>
      </x:c>
      <x:c r="J2429" s="5" t="str">
        <x:v>Einführung in den Außenhandel</x:v>
      </x:c>
      <x:c r="K2429" s="5" t="str"/>
      <x:c r="L2429" s="5" t="str">
        <x:v>Außenhandel &amp; Handelspolitik</x:v>
      </x:c>
      <x:c r="M2429" s="5" t="n">
        <x:v>3</x:v>
      </x:c>
      <x:c r="N2429" s="5" t="n">
        <x:v>3</x:v>
      </x:c>
      <x:c r="O2429" s="5" t="str"/>
      <x:c r="P2429" s="5" t="str">
        <x:v>Zuordnungsvorschlag; Fachfreigabe ausstehend</x:v>
      </x:c>
      <x:c r="Q2429" s="5" t="str">
        <x:v>Bestehendes Lernthema fachlich unter passendem Rahmenplan-Unterbereich behalten</x:v>
      </x:c>
      <x:c r="R2429" s="5" t="str">
        <x:v>Ordnen Sie die Aussagen zum Export dem direkten oder indirekten Export zu und bestimmen Sie anschließend, ob die genannten Einflussfaktoren produkt-, unternehmens- oder auslandsmarktbezogen sind.</x:v>
      </x:c>
      <x:c r="S2429" s="5" t="str">
        <x:v>9e0f3a9187a9bc8efbc4da7285dfacae6292382a1623a0dd1350ce7ca45c8b34</x:v>
      </x:c>
    </x:row>
    <x:row r="2430" ht="36" customHeight="1">
      <x:c r="A2430" s="5" t="str">
        <x:v>V-0027</x:v>
      </x:c>
      <x:c r="B2430" s="5" t="str">
        <x:v>HQ</x:v>
      </x:c>
      <x:c r="C2430" s="5" t="str">
        <x:v>8</x:v>
      </x:c>
      <x:c r="D2430" s="5" t="str">
        <x:v>Marketing und Vertrieb</x:v>
      </x:c>
      <x:c r="E2430" s="5" t="str">
        <x:v>Vertrieb</x:v>
      </x:c>
      <x:c r="F2430" s="5" t="str">
        <x:v>ui-hq-0030</x:v>
      </x:c>
      <x:c r="G2430" s="5" t="str">
        <x:v>Internationale Geschäftsbeziehungen und Geschäftsentwicklung</x:v>
      </x:c>
      <x:c r="H2430" s="5" t="str">
        <x:v>dg-hq-0129</x:v>
      </x:c>
      <x:c r="I2430" s="5" t="str">
        <x:v>8.4.1</x:v>
      </x:c>
      <x:c r="J2430" s="5" t="str">
        <x:v>Einführung in den Außenhandel</x:v>
      </x:c>
      <x:c r="K2430" s="5" t="str"/>
      <x:c r="L2430" s="5" t="str">
        <x:v>Außenhandel &amp; Handelspolitik</x:v>
      </x:c>
      <x:c r="M2430" s="5" t="n">
        <x:v>4</x:v>
      </x:c>
      <x:c r="N2430" s="5" t="n">
        <x:v>4</x:v>
      </x:c>
      <x:c r="O2430" s="5" t="str"/>
      <x:c r="P2430" s="5" t="str">
        <x:v>Zuordnungsvorschlag; Fachfreigabe ausstehend</x:v>
      </x:c>
      <x:c r="Q2430" s="5" t="str">
        <x:v>Bestehendes Lernthema fachlich unter passendem Rahmenplan-Unterbereich behalten</x:v>
      </x:c>
      <x:c r="R2430" s="5" t="str">
        <x:v>Vervollständigen Sie wichtige Abkürzungen und Begriffe aus dem internationalen Handel.</x:v>
      </x:c>
      <x:c r="S2430" s="5" t="str">
        <x:v>8240f3e913687e8bf3e5ef48ad1c496b06beb45d0ed896751735dcff2316fc4d</x:v>
      </x:c>
    </x:row>
    <x:row r="2431" ht="36" customHeight="1">
      <x:c r="A2431" s="5" t="str">
        <x:v>V-0028</x:v>
      </x:c>
      <x:c r="B2431" s="5" t="str">
        <x:v>HQ</x:v>
      </x:c>
      <x:c r="C2431" s="5" t="str">
        <x:v>8</x:v>
      </x:c>
      <x:c r="D2431" s="5" t="str">
        <x:v>Marketing und Vertrieb</x:v>
      </x:c>
      <x:c r="E2431" s="5" t="str">
        <x:v>Vertrieb</x:v>
      </x:c>
      <x:c r="F2431" s="5" t="str">
        <x:v>ui-hq-0030</x:v>
      </x:c>
      <x:c r="G2431" s="5" t="str">
        <x:v>Internationale Geschäftsbeziehungen und Geschäftsentwicklung</x:v>
      </x:c>
      <x:c r="H2431" s="5" t="str">
        <x:v>dg-hq-0130</x:v>
      </x:c>
      <x:c r="I2431" s="5" t="str">
        <x:v>8.4.2</x:v>
      </x:c>
      <x:c r="J2431" s="5" t="str">
        <x:v>Kooperationen im Außenhandel</x:v>
      </x:c>
      <x:c r="K2431" s="5" t="str"/>
      <x:c r="L2431" s="5" t="str">
        <x:v>Internationale Kooperationen &amp; Markteintritt</x:v>
      </x:c>
      <x:c r="M2431" s="5" t="n">
        <x:v>5</x:v>
      </x:c>
      <x:c r="N2431" s="5" t="n">
        <x:v>1</x:v>
      </x:c>
      <x:c r="O2431" s="5" t="str"/>
      <x:c r="P2431" s="5" t="str">
        <x:v>Zuordnungsvorschlag; Fachfreigabe ausstehend</x:v>
      </x:c>
      <x:c r="Q2431" s="5" t="str">
        <x:v>Bestehendes Lernthema fachlich unter passendem Rahmenplan-Unterbereich behalten</x:v>
      </x:c>
      <x:c r="R2431" s="5" t="str">
        <x:v>Ordnen Sie die Beschreibungen den vier Sonderformen des internationalen Geschäfts zu.</x:v>
      </x:c>
      <x:c r="S2431" s="5" t="str">
        <x:v>492918d189433914876efb0ffa4e8c7b42a15f16fdd4cdf7e3d42b3ace00df10</x:v>
      </x:c>
    </x:row>
    <x:row r="2432" ht="36" customHeight="1">
      <x:c r="A2432" s="5" t="str">
        <x:v>V-0029</x:v>
      </x:c>
      <x:c r="B2432" s="5" t="str">
        <x:v>HQ</x:v>
      </x:c>
      <x:c r="C2432" s="5" t="str">
        <x:v>8</x:v>
      </x:c>
      <x:c r="D2432" s="5" t="str">
        <x:v>Marketing und Vertrieb</x:v>
      </x:c>
      <x:c r="E2432" s="5" t="str">
        <x:v>Vertrieb</x:v>
      </x:c>
      <x:c r="F2432" s="5" t="str">
        <x:v>ui-hq-0030</x:v>
      </x:c>
      <x:c r="G2432" s="5" t="str">
        <x:v>Internationale Geschäftsbeziehungen und Geschäftsentwicklung</x:v>
      </x:c>
      <x:c r="H2432" s="5" t="str">
        <x:v>dg-hq-0130</x:v>
      </x:c>
      <x:c r="I2432" s="5" t="str">
        <x:v>8.4.2</x:v>
      </x:c>
      <x:c r="J2432" s="5" t="str">
        <x:v>Kooperationen im Außenhandel</x:v>
      </x:c>
      <x:c r="K2432" s="5" t="str"/>
      <x:c r="L2432" s="5" t="str">
        <x:v>Internationale Kooperationen &amp; Markteintritt</x:v>
      </x:c>
      <x:c r="M2432" s="5" t="n">
        <x:v>6</x:v>
      </x:c>
      <x:c r="N2432" s="5" t="n">
        <x:v>2</x:v>
      </x:c>
      <x:c r="O2432" s="5" t="str"/>
      <x:c r="P2432" s="5" t="str">
        <x:v>Zuordnungsvorschlag; Fachfreigabe ausstehend</x:v>
      </x:c>
      <x:c r="Q2432" s="5" t="str">
        <x:v>Bestehendes Lernthema fachlich unter passendem Rahmenplan-Unterbereich behalten</x:v>
      </x:c>
      <x:c r="R2432" s="5" t="str">
        <x:v>Eine deutsche Systemgastronomie möchte nach Skandinavien expandieren und vergleicht internationales Franchising mit der Eröffnung eigener Filialen. Nennen und erläutern Sie jeweils mindestens drei Vorteile und drei Nachteile des Franchisings gegenüber eigenen Auslandsfilialen.</x:v>
      </x:c>
      <x:c r="S2432" s="5" t="str">
        <x:v>e4c7b659b6da9126e1ba58362429ae3526a2672b5d75f225dbc5b3a4889b80f8</x:v>
      </x:c>
    </x:row>
    <x:row r="2433" ht="36" customHeight="1">
      <x:c r="A2433" s="5" t="str">
        <x:v>V-0030</x:v>
      </x:c>
      <x:c r="B2433" s="5" t="str">
        <x:v>HQ</x:v>
      </x:c>
      <x:c r="C2433" s="5" t="str">
        <x:v>8</x:v>
      </x:c>
      <x:c r="D2433" s="5" t="str">
        <x:v>Marketing und Vertrieb</x:v>
      </x:c>
      <x:c r="E2433" s="5" t="str">
        <x:v>Vertrieb</x:v>
      </x:c>
      <x:c r="F2433" s="5" t="str">
        <x:v>ui-hq-0030</x:v>
      </x:c>
      <x:c r="G2433" s="5" t="str">
        <x:v>Internationale Geschäftsbeziehungen und Geschäftsentwicklung</x:v>
      </x:c>
      <x:c r="H2433" s="5" t="str">
        <x:v>dg-hq-0130</x:v>
      </x:c>
      <x:c r="I2433" s="5" t="str">
        <x:v>8.4.2</x:v>
      </x:c>
      <x:c r="J2433" s="5" t="str">
        <x:v>Kooperationen im Außenhandel</x:v>
      </x:c>
      <x:c r="K2433" s="5" t="str"/>
      <x:c r="L2433" s="5" t="str">
        <x:v>Internationale Kooperationen &amp; Markteintritt</x:v>
      </x:c>
      <x:c r="M2433" s="5" t="n">
        <x:v>7</x:v>
      </x:c>
      <x:c r="N2433" s="5" t="n">
        <x:v>3</x:v>
      </x:c>
      <x:c r="O2433" s="5" t="str"/>
      <x:c r="P2433" s="5" t="str">
        <x:v>Zuordnungsvorschlag; Fachfreigabe ausstehend</x:v>
      </x:c>
      <x:c r="Q2433" s="5" t="str">
        <x:v>Bestehendes Lernthema fachlich unter passendem Rahmenplan-Unterbereich behalten</x:v>
      </x:c>
      <x:c r="R2433" s="5" t="str">
        <x:v>Ein Medizintechnikunternehmen prüft eine Direktinvestition in einem asiatischen Markt. Nennen und erläutern Sie mindestens sechs externe Rahmenbedingungen, die in einer Länderanalyse untersucht werden sollten, und mindestens vier interne Kriterien, mit denen das Unternehmen seine eigene Eignung für den Markteintritt beurteilen sollte.</x:v>
      </x:c>
      <x:c r="S2433" s="5" t="str">
        <x:v>88dcc4c03671f944386cd58f73a25b9205c0ce0cc2af33414a9504710bc97328</x:v>
      </x:c>
    </x:row>
    <x:row r="2434" ht="36" customHeight="1">
      <x:c r="A2434" s="5" t="str">
        <x:v>V-0031</x:v>
      </x:c>
      <x:c r="B2434" s="5" t="str">
        <x:v>HQ</x:v>
      </x:c>
      <x:c r="C2434" s="5" t="str">
        <x:v>8</x:v>
      </x:c>
      <x:c r="D2434" s="5" t="str">
        <x:v>Marketing und Vertrieb</x:v>
      </x:c>
      <x:c r="E2434" s="5" t="str">
        <x:v>Vertrieb</x:v>
      </x:c>
      <x:c r="F2434" s="5" t="str">
        <x:v>ui-hq-0030</x:v>
      </x:c>
      <x:c r="G2434" s="5" t="str">
        <x:v>Internationale Geschäftsbeziehungen und Geschäftsentwicklung</x:v>
      </x:c>
      <x:c r="H2434" s="5" t="str">
        <x:v>dg-hq-0131</x:v>
      </x:c>
      <x:c r="I2434" s="5" t="str">
        <x:v>8.4.3</x:v>
      </x:c>
      <x:c r="J2434" s="5" t="str">
        <x:v>Interkulturelle Kommunikationsdimensionen</x:v>
      </x:c>
      <x:c r="K2434" s="5" t="str"/>
      <x:c r="L2434" s="5" t="str">
        <x:v>Interkulturelle Kommunikation</x:v>
      </x:c>
      <x:c r="M2434" s="5" t="n">
        <x:v>8</x:v>
      </x:c>
      <x:c r="N2434" s="5" t="n">
        <x:v>1</x:v>
      </x:c>
      <x:c r="O2434" s="5" t="str"/>
      <x:c r="P2434" s="5" t="str">
        <x:v>Zuordnungsvorschlag; Fachfreigabe ausstehend</x:v>
      </x:c>
      <x:c r="Q2434" s="5" t="str">
        <x:v>Bestehendes Lernthema fachlich unter passendem Rahmenplan-Unterbereich behalten</x:v>
      </x:c>
      <x:c r="R2434" s="5" t="str">
        <x:v>Ordnen Sie die typischen Fähigkeiten den Kompetenzbereichen Sachkompetenz, Handlungskompetenz, Selbstkompetenz und Sozialkompetenz zu.</x:v>
      </x:c>
      <x:c r="S2434" s="5" t="str">
        <x:v>704f0f8970325152793b30bf63823a2304a1ef580128c3116baba0d1cae4c8a6</x:v>
      </x:c>
    </x:row>
    <x:row r="2435" ht="36" customHeight="1">
      <x:c r="A2435" s="5" t="str">
        <x:v>V-0032</x:v>
      </x:c>
      <x:c r="B2435" s="5" t="str">
        <x:v>HQ</x:v>
      </x:c>
      <x:c r="C2435" s="5" t="str">
        <x:v>8</x:v>
      </x:c>
      <x:c r="D2435" s="5" t="str">
        <x:v>Marketing und Vertrieb</x:v>
      </x:c>
      <x:c r="E2435" s="5" t="str">
        <x:v>Vertrieb</x:v>
      </x:c>
      <x:c r="F2435" s="5" t="str">
        <x:v>ui-hq-0030</x:v>
      </x:c>
      <x:c r="G2435" s="5" t="str">
        <x:v>Internationale Geschäftsbeziehungen und Geschäftsentwicklung</x:v>
      </x:c>
      <x:c r="H2435" s="5" t="str">
        <x:v>dg-hq-0131</x:v>
      </x:c>
      <x:c r="I2435" s="5" t="str">
        <x:v>8.4.3</x:v>
      </x:c>
      <x:c r="J2435" s="5" t="str">
        <x:v>Interkulturelle Kommunikationsdimensionen</x:v>
      </x:c>
      <x:c r="K2435" s="5" t="str"/>
      <x:c r="L2435" s="5" t="str">
        <x:v>Interkulturelle Kommunikation</x:v>
      </x:c>
      <x:c r="M2435" s="5" t="n">
        <x:v>9</x:v>
      </x:c>
      <x:c r="N2435" s="5" t="n">
        <x:v>2</x:v>
      </x:c>
      <x:c r="O2435" s="5" t="str"/>
      <x:c r="P2435" s="5" t="str">
        <x:v>Zuordnungsvorschlag; Fachfreigabe ausstehend</x:v>
      </x:c>
      <x:c r="Q2435" s="5" t="str">
        <x:v>Bestehendes Lernthema fachlich unter passendem Rahmenplan-Unterbereich behalten</x:v>
      </x:c>
      <x:c r="R2435" s="5" t="str">
        <x:v>Ordnen Sie die beschriebenen kulturellen Merkmale der jeweils passenden Kulturdimension nach Hofstede zu.</x:v>
      </x:c>
      <x:c r="S2435" s="5" t="str">
        <x:v>b17cd5fd42621259cb6af8dc16fbc9df4bfb1e378e3e630428863eb0471194a2</x:v>
      </x:c>
    </x:row>
    <x:row r="2436" ht="36" customHeight="1">
      <x:c r="A2436" s="5" t="str">
        <x:v>V-0033</x:v>
      </x:c>
      <x:c r="B2436" s="5" t="str">
        <x:v>HQ</x:v>
      </x:c>
      <x:c r="C2436" s="5" t="str">
        <x:v>8</x:v>
      </x:c>
      <x:c r="D2436" s="5" t="str">
        <x:v>Marketing und Vertrieb</x:v>
      </x:c>
      <x:c r="E2436" s="5" t="str">
        <x:v>Vertrieb</x:v>
      </x:c>
      <x:c r="F2436" s="5" t="str">
        <x:v>ui-hq-0031</x:v>
      </x:c>
      <x:c r="G2436" s="5" t="str">
        <x:v>Spezielle Rechtsaspekte</x:v>
      </x:c>
      <x:c r="H2436" s="5" t="str">
        <x:v>dg-hq-0132</x:v>
      </x:c>
      <x:c r="I2436" s="5" t="str">
        <x:v>8.5.1</x:v>
      </x:c>
      <x:c r="J2436" s="5" t="str">
        <x:v>Wettbewerbsrecht</x:v>
      </x:c>
      <x:c r="K2436" s="5" t="str"/>
      <x:c r="L2436" s="5" t="str">
        <x:v>Wettbewerbsrecht – UWG &amp; GWB</x:v>
      </x:c>
      <x:c r="M2436" s="5" t="n">
        <x:v>1</x:v>
      </x:c>
      <x:c r="N2436" s="5" t="n">
        <x:v>1</x:v>
      </x:c>
      <x:c r="O2436" s="5" t="str"/>
      <x:c r="P2436" s="5" t="str">
        <x:v>Zuordnungsvorschlag; Fachfreigabe ausstehend</x:v>
      </x:c>
      <x:c r="Q2436" s="5" t="str">
        <x:v>Bestehendes Lernthema fachlich unter passendem Rahmenplan-Unterbereich behalten</x:v>
      </x:c>
      <x:c r="R2436" s="5" t="str">
        <x:v>Welche der folgenden Werbe- und Verkaufsmethoden sind nach dem UWG typischerweise in jedem Fall unzulässig? Entscheiden Sie für jedes Beispiel.</x:v>
      </x:c>
      <x:c r="S2436" s="5" t="str">
        <x:v>68c9ed690378fce4fa12dd7d60056a1bc64a447cf9901b1a9729b2b850d021f0</x:v>
      </x:c>
    </x:row>
    <x:row r="2437" ht="36" customHeight="1">
      <x:c r="A2437" s="5" t="str">
        <x:v>V-0034</x:v>
      </x:c>
      <x:c r="B2437" s="5" t="str">
        <x:v>HQ</x:v>
      </x:c>
      <x:c r="C2437" s="5" t="str">
        <x:v>8</x:v>
      </x:c>
      <x:c r="D2437" s="5" t="str">
        <x:v>Marketing und Vertrieb</x:v>
      </x:c>
      <x:c r="E2437" s="5" t="str">
        <x:v>Vertrieb</x:v>
      </x:c>
      <x:c r="F2437" s="5" t="str">
        <x:v>ui-hq-0031</x:v>
      </x:c>
      <x:c r="G2437" s="5" t="str">
        <x:v>Spezielle Rechtsaspekte</x:v>
      </x:c>
      <x:c r="H2437" s="5" t="str">
        <x:v>dg-hq-0132</x:v>
      </x:c>
      <x:c r="I2437" s="5" t="str">
        <x:v>8.5.1</x:v>
      </x:c>
      <x:c r="J2437" s="5" t="str">
        <x:v>Wettbewerbsrecht</x:v>
      </x:c>
      <x:c r="K2437" s="5" t="str"/>
      <x:c r="L2437" s="5" t="str">
        <x:v>Wettbewerbsrecht – UWG &amp; GWB</x:v>
      </x:c>
      <x:c r="M2437" s="5" t="n">
        <x:v>2</x:v>
      </x:c>
      <x:c r="N2437" s="5" t="n">
        <x:v>2</x:v>
      </x:c>
      <x:c r="O2437" s="5" t="str"/>
      <x:c r="P2437" s="5" t="str">
        <x:v>Zuordnungsvorschlag; Fachfreigabe ausstehend</x:v>
      </x:c>
      <x:c r="Q2437" s="5" t="str">
        <x:v>Bestehendes Lernthema fachlich unter passendem Rahmenplan-Unterbereich behalten</x:v>
      </x:c>
      <x:c r="R2437" s="5" t="str">
        <x:v>Vervollständigen Sie die drei Opt-in-Verfahren am Beispiel einer Newsletteranmeldung.</x:v>
      </x:c>
      <x:c r="S2437" s="5" t="str">
        <x:v>66516317bd39466fedb4f6d3add4424f7646541f07cfd33e3374eb0b8d414ae2</x:v>
      </x:c>
    </x:row>
    <x:row r="2438" ht="36" customHeight="1">
      <x:c r="A2438" s="5" t="str">
        <x:v>V-0035</x:v>
      </x:c>
      <x:c r="B2438" s="5" t="str">
        <x:v>HQ</x:v>
      </x:c>
      <x:c r="C2438" s="5" t="str">
        <x:v>8</x:v>
      </x:c>
      <x:c r="D2438" s="5" t="str">
        <x:v>Marketing und Vertrieb</x:v>
      </x:c>
      <x:c r="E2438" s="5" t="str">
        <x:v>Vertrieb</x:v>
      </x:c>
      <x:c r="F2438" s="5" t="str">
        <x:v>ui-hq-0031</x:v>
      </x:c>
      <x:c r="G2438" s="5" t="str">
        <x:v>Spezielle Rechtsaspekte</x:v>
      </x:c>
      <x:c r="H2438" s="5" t="str">
        <x:v>dg-hq-0132</x:v>
      </x:c>
      <x:c r="I2438" s="5" t="str">
        <x:v>8.5.1</x:v>
      </x:c>
      <x:c r="J2438" s="5" t="str">
        <x:v>Wettbewerbsrecht</x:v>
      </x:c>
      <x:c r="K2438" s="5" t="str"/>
      <x:c r="L2438" s="5" t="str">
        <x:v>Wettbewerbsrecht – UWG &amp; GWB</x:v>
      </x:c>
      <x:c r="M2438" s="5" t="n">
        <x:v>3</x:v>
      </x:c>
      <x:c r="N2438" s="5" t="n">
        <x:v>3</x:v>
      </x:c>
      <x:c r="O2438" s="5" t="str"/>
      <x:c r="P2438" s="5" t="str">
        <x:v>Zuordnungsvorschlag; Fachfreigabe ausstehend</x:v>
      </x:c>
      <x:c r="Q2438" s="5" t="str">
        <x:v>Bestehendes Lernthema fachlich unter passendem Rahmenplan-Unterbereich behalten</x:v>
      </x:c>
      <x:c r="R2438" s="5" t="str">
        <x:v>Ein Privatkunde fordert bei einem Hersteller lediglich schriftliche Produktinformationen zu einem Gartengerät an. Wenige Tage später ruft ihn das Unternehmen ohne weitere Zustimmung an und versucht, ihm das Produkt telefonisch zu verkaufen. Beurteilen Sie, ob der Werbeanruf zulässig ist, und begründen Sie Ihre Entscheidung.</x:v>
      </x:c>
      <x:c r="S2438" s="5" t="str">
        <x:v>9d82b482aa3e04d648495d6783d6aa88778441a337fdfeae1a9dda2620dd91dd</x:v>
      </x:c>
    </x:row>
    <x:row r="2439" ht="36" customHeight="1">
      <x:c r="A2439" s="5" t="str">
        <x:v>V-0036</x:v>
      </x:c>
      <x:c r="B2439" s="5" t="str">
        <x:v>HQ</x:v>
      </x:c>
      <x:c r="C2439" s="5" t="str">
        <x:v>8</x:v>
      </x:c>
      <x:c r="D2439" s="5" t="str">
        <x:v>Marketing und Vertrieb</x:v>
      </x:c>
      <x:c r="E2439" s="5" t="str">
        <x:v>Vertrieb</x:v>
      </x:c>
      <x:c r="F2439" s="5" t="str">
        <x:v>ui-hq-0031</x:v>
      </x:c>
      <x:c r="G2439" s="5" t="str">
        <x:v>Spezielle Rechtsaspekte</x:v>
      </x:c>
      <x:c r="H2439" s="5" t="str">
        <x:v>dg-hq-0132</x:v>
      </x:c>
      <x:c r="I2439" s="5" t="str">
        <x:v>8.5.1</x:v>
      </x:c>
      <x:c r="J2439" s="5" t="str">
        <x:v>Wettbewerbsrecht</x:v>
      </x:c>
      <x:c r="K2439" s="5" t="str"/>
      <x:c r="L2439" s="5" t="str">
        <x:v>Wettbewerbsrecht – UWG &amp; GWB</x:v>
      </x:c>
      <x:c r="M2439" s="5" t="n">
        <x:v>4</x:v>
      </x:c>
      <x:c r="N2439" s="5" t="n">
        <x:v>4</x:v>
      </x:c>
      <x:c r="O2439" s="5" t="str"/>
      <x:c r="P2439" s="5" t="str">
        <x:v>Zuordnungsvorschlag; Fachfreigabe ausstehend</x:v>
      </x:c>
      <x:c r="Q2439" s="5" t="str">
        <x:v>Bestehendes Lernthema fachlich unter passendem Rahmenplan-Unterbereich behalten</x:v>
      </x:c>
      <x:c r="R2439" s="5" t="str">
        <x:v>Mehrere Hersteller und Handelsunternehmen sprechen ihre Verkaufspreise untereinander ab. Erläutern Sie mindestens vier mögliche langfristige Folgen solcher Preisabsprachen für Wettbewerb, Verbraucher und Volkswirtschaft. Begründen Sie außerdem, weshalb das Kartellrecht gegen solche Absprachen vorgeht.</x:v>
      </x:c>
      <x:c r="S2439" s="5" t="str">
        <x:v>0e871d91499b7d7f3a82e440d5f83191db24c23c2613452c25d02662595d1853</x:v>
      </x:c>
    </x:row>
    <x:row r="2440" ht="36" customHeight="1">
      <x:c r="A2440" s="5" t="str">
        <x:v>V-0037</x:v>
      </x:c>
      <x:c r="B2440" s="5" t="str">
        <x:v>HQ</x:v>
      </x:c>
      <x:c r="C2440" s="5" t="str">
        <x:v>8</x:v>
      </x:c>
      <x:c r="D2440" s="5" t="str">
        <x:v>Marketing und Vertrieb</x:v>
      </x:c>
      <x:c r="E2440" s="5" t="str">
        <x:v>Vertrieb</x:v>
      </x:c>
      <x:c r="F2440" s="5" t="str">
        <x:v>ui-hq-0031</x:v>
      </x:c>
      <x:c r="G2440" s="5" t="str">
        <x:v>Spezielle Rechtsaspekte</x:v>
      </x:c>
      <x:c r="H2440" s="5" t="str">
        <x:v>dg-hq-0133</x:v>
      </x:c>
      <x:c r="I2440" s="5" t="str">
        <x:v>8.5.2.1</x:v>
      </x:c>
      <x:c r="J2440" s="5" t="str">
        <x:v>Schutz von Marken und geschäftlichen Bezeichnungen</x:v>
      </x:c>
      <x:c r="K2440" s="5" t="str"/>
      <x:c r="L2440" s="5" t="str">
        <x:v>Markenrecht</x:v>
      </x:c>
      <x:c r="M2440" s="5" t="n">
        <x:v>5</x:v>
      </x:c>
      <x:c r="N2440" s="5" t="n">
        <x:v>1</x:v>
      </x:c>
      <x:c r="O2440" s="5" t="str"/>
      <x:c r="P2440" s="5" t="str">
        <x:v>Zuordnungsvorschlag; Fachfreigabe ausstehend</x:v>
      </x:c>
      <x:c r="Q2440" s="5" t="str">
        <x:v>Bestehendes Lernthema fachlich unter passendem Rahmenplan-Unterbereich behalten</x:v>
      </x:c>
      <x:c r="R2440" s="5" t="str">
        <x:v>Bewerten Sie die folgenden Aussagen zum Markenschutz als richtig oder falsch.</x:v>
      </x:c>
      <x:c r="S2440" s="5" t="str">
        <x:v>4284deec868c1a363553f9d41a85842034ffa8c51f2fade4e3662cc635e7ccb7</x:v>
      </x:c>
    </x:row>
    <x:row r="2441" ht="36" customHeight="1">
      <x:c r="A2441" s="5" t="str">
        <x:v>V-0038</x:v>
      </x:c>
      <x:c r="B2441" s="5" t="str">
        <x:v>HQ</x:v>
      </x:c>
      <x:c r="C2441" s="5" t="str">
        <x:v>8</x:v>
      </x:c>
      <x:c r="D2441" s="5" t="str">
        <x:v>Marketing und Vertrieb</x:v>
      </x:c>
      <x:c r="E2441" s="5" t="str">
        <x:v>Vertrieb</x:v>
      </x:c>
      <x:c r="F2441" s="5" t="str">
        <x:v>ui-hq-0031</x:v>
      </x:c>
      <x:c r="G2441" s="5" t="str">
        <x:v>Spezielle Rechtsaspekte</x:v>
      </x:c>
      <x:c r="H2441" s="5" t="str">
        <x:v>dg-hq-0133</x:v>
      </x:c>
      <x:c r="I2441" s="5" t="str">
        <x:v>8.5.2.1</x:v>
      </x:c>
      <x:c r="J2441" s="5" t="str">
        <x:v>Schutz von Marken und geschäftlichen Bezeichnungen</x:v>
      </x:c>
      <x:c r="K2441" s="5" t="str"/>
      <x:c r="L2441" s="5" t="str">
        <x:v>Markenrecht</x:v>
      </x:c>
      <x:c r="M2441" s="5" t="n">
        <x:v>6</x:v>
      </x:c>
      <x:c r="N2441" s="5" t="n">
        <x:v>2</x:v>
      </x:c>
      <x:c r="O2441" s="5" t="str"/>
      <x:c r="P2441" s="5" t="str">
        <x:v>Zuordnungsvorschlag; Fachfreigabe ausstehend</x:v>
      </x:c>
      <x:c r="Q2441" s="5" t="str">
        <x:v>Bestehendes Lernthema fachlich unter passendem Rahmenplan-Unterbereich behalten</x:v>
      </x:c>
      <x:c r="R2441" s="5" t="str">
        <x:v>Vervollständigen Sie den Vergleich zwischen deutscher Marke, Unionsmarke und internationaler Markenregistrierung.</x:v>
      </x:c>
      <x:c r="S2441" s="5" t="str">
        <x:v>5be18cd42dfb4059f6bd2b4f394c1d4518247bd9c1885ae5e18068dcdf32c83c</x:v>
      </x:c>
    </x:row>
    <x:row r="2442" ht="36" customHeight="1">
      <x:c r="A2442" s="5" t="str">
        <x:v>V-0039</x:v>
      </x:c>
      <x:c r="B2442" s="5" t="str">
        <x:v>HQ</x:v>
      </x:c>
      <x:c r="C2442" s="5" t="str">
        <x:v>8</x:v>
      </x:c>
      <x:c r="D2442" s="5" t="str">
        <x:v>Marketing und Vertrieb</x:v>
      </x:c>
      <x:c r="E2442" s="5" t="str">
        <x:v>Vertrieb</x:v>
      </x:c>
      <x:c r="F2442" s="5" t="str">
        <x:v>ui-hq-0031</x:v>
      </x:c>
      <x:c r="G2442" s="5" t="str">
        <x:v>Spezielle Rechtsaspekte</x:v>
      </x:c>
      <x:c r="H2442" s="5" t="str">
        <x:v>dg-hq-0133</x:v>
      </x:c>
      <x:c r="I2442" s="5" t="str">
        <x:v>8.5.2.1</x:v>
      </x:c>
      <x:c r="J2442" s="5" t="str">
        <x:v>Schutz von Marken und geschäftlichen Bezeichnungen</x:v>
      </x:c>
      <x:c r="K2442" s="5" t="str"/>
      <x:c r="L2442" s="5" t="str">
        <x:v>Markenrecht</x:v>
      </x:c>
      <x:c r="M2442" s="5" t="n">
        <x:v>7</x:v>
      </x:c>
      <x:c r="N2442" s="5" t="n">
        <x:v>3</x:v>
      </x:c>
      <x:c r="O2442" s="5" t="str"/>
      <x:c r="P2442" s="5" t="str">
        <x:v>Zuordnungsvorschlag; Fachfreigabe ausstehend</x:v>
      </x:c>
      <x:c r="Q2442" s="5" t="str">
        <x:v>Bestehendes Lernthema fachlich unter passendem Rahmenplan-Unterbereich behalten</x:v>
      </x:c>
      <x:c r="R2442" s="5" t="str">
        <x:v>Ordnen Sie die Beispiele den absoluten oder relativen Eintragungshindernissen im Markenrecht zu.</x:v>
      </x:c>
      <x:c r="S2442" s="5" t="str">
        <x:v>12734b4e63d646b9d23d575c4f9d55464b05e5ac71fee3fa7594076b7812c3c9</x:v>
      </x:c>
    </x:row>
    <x:row r="2443" ht="36" customHeight="1">
      <x:c r="A2443" s="5" t="str">
        <x:v>V-0040</x:v>
      </x:c>
      <x:c r="B2443" s="5" t="str">
        <x:v>HQ</x:v>
      </x:c>
      <x:c r="C2443" s="5" t="str">
        <x:v>8</x:v>
      </x:c>
      <x:c r="D2443" s="5" t="str">
        <x:v>Marketing und Vertrieb</x:v>
      </x:c>
      <x:c r="E2443" s="5" t="str">
        <x:v>Vertrieb</x:v>
      </x:c>
      <x:c r="F2443" s="5" t="str">
        <x:v>ui-hq-0031</x:v>
      </x:c>
      <x:c r="G2443" s="5" t="str">
        <x:v>Spezielle Rechtsaspekte</x:v>
      </x:c>
      <x:c r="H2443" s="5" t="str">
        <x:v>dg-hq-0134</x:v>
      </x:c>
      <x:c r="I2443" s="5" t="str">
        <x:v>8.5.3.1</x:v>
      </x:c>
      <x:c r="J2443" s="5" t="str">
        <x:v>Besonderheiten des Verbrauchsgüterkaufs</x:v>
      </x:c>
      <x:c r="K2443" s="5" t="str"/>
      <x:c r="L2443" s="5" t="str">
        <x:v>Verbraucherschutz &amp; AGB</x:v>
      </x:c>
      <x:c r="M2443" s="5" t="n">
        <x:v>8</x:v>
      </x:c>
      <x:c r="N2443" s="5" t="n">
        <x:v>1</x:v>
      </x:c>
      <x:c r="O2443" s="5" t="str"/>
      <x:c r="P2443" s="5" t="str">
        <x:v>Zuordnungsvorschlag; Fachfreigabe ausstehend</x:v>
      </x:c>
      <x:c r="Q2443" s="5" t="str">
        <x:v>Gezielt geprüfter Einzelbeleg</x:v>
      </x:c>
      <x:c r="R2443" s="5" t="str">
        <x:v>Bei einem Verbrauchsgüterkauf zeigt sich an einer neu gekauften Kaffeemaschine nach acht Monaten ein Sachmangel. In einem zweiten Fall tritt ein vergleichbarer Mangel erst nach 15 Monaten auf. Erläutern Sie für beide Fälle die Bedeutung der gesetzlichen Beweislastumkehr.</x:v>
      </x:c>
      <x:c r="S2443" s="5" t="str">
        <x:v>31ccebb292930b89c548bb71a839dcbb4c3cab92a94d7c016297895c25270898</x:v>
      </x:c>
    </x:row>
    <x:row r="2444" ht="36" customHeight="1">
      <x:c r="A2444" s="5" t="str">
        <x:v>V-0041</x:v>
      </x:c>
      <x:c r="B2444" s="5" t="str">
        <x:v>HQ</x:v>
      </x:c>
      <x:c r="C2444" s="5" t="str">
        <x:v>8</x:v>
      </x:c>
      <x:c r="D2444" s="5" t="str">
        <x:v>Marketing und Vertrieb</x:v>
      </x:c>
      <x:c r="E2444" s="5" t="str">
        <x:v>Vertrieb</x:v>
      </x:c>
      <x:c r="F2444" s="5" t="str">
        <x:v>ui-hq-0031</x:v>
      </x:c>
      <x:c r="G2444" s="5" t="str">
        <x:v>Spezielle Rechtsaspekte</x:v>
      </x:c>
      <x:c r="H2444" s="5" t="str">
        <x:v>dg-hq-0135</x:v>
      </x:c>
      <x:c r="I2444" s="5" t="str">
        <x:v>8.5.3</x:v>
      </x:c>
      <x:c r="J2444" s="5" t="str">
        <x:v>Verbraucherschutz</x:v>
      </x:c>
      <x:c r="K2444" s="5" t="str"/>
      <x:c r="L2444" s="5" t="str">
        <x:v>Verbraucherschutz &amp; AGB</x:v>
      </x:c>
      <x:c r="M2444" s="5" t="n">
        <x:v>9</x:v>
      </x:c>
      <x:c r="N2444" s="5" t="n">
        <x:v>1</x:v>
      </x:c>
      <x:c r="O2444" s="5" t="str"/>
      <x:c r="P2444" s="5" t="str">
        <x:v>Zuordnungsvorschlag; Fachfreigabe ausstehend</x:v>
      </x:c>
      <x:c r="Q2444" s="5" t="str">
        <x:v>Bestehendes Lernthema fachlich unter passendem Rahmenplan-Unterbereich behalten</x:v>
      </x:c>
      <x:c r="R2444" s="5" t="str">
        <x:v>Eine Verbraucherin bestellt einen Fahrradhelm über die Online-Benutzeroberfläche des Circle-Harbor-Onlineshops. Erläutern Sie die regelmäßige Widerrufsfrist, ihren Beginn bei einer normalen Warenbestellung, die Form der Widerrufserklärung und die seit 19.06.2026 geltende elektronische Widerrufsfunktion.</x:v>
      </x:c>
      <x:c r="S2444" s="5" t="str">
        <x:v>4a05cf59106baad84f1dfef62516a0941fd3d78800ba9dab446b7b280b73837c</x:v>
      </x:c>
    </x:row>
    <x:row r="2445" ht="36" customHeight="1">
      <x:c r="A2445" s="5" t="str">
        <x:v>V-0042</x:v>
      </x:c>
      <x:c r="B2445" s="5" t="str">
        <x:v>HQ</x:v>
      </x:c>
      <x:c r="C2445" s="5" t="str">
        <x:v>8</x:v>
      </x:c>
      <x:c r="D2445" s="5" t="str">
        <x:v>Marketing und Vertrieb</x:v>
      </x:c>
      <x:c r="E2445" s="5" t="str">
        <x:v>Vertrieb</x:v>
      </x:c>
      <x:c r="F2445" s="5" t="str">
        <x:v>ui-hq-0031</x:v>
      </x:c>
      <x:c r="G2445" s="5" t="str">
        <x:v>Spezielle Rechtsaspekte</x:v>
      </x:c>
      <x:c r="H2445" s="5" t="str">
        <x:v>dg-hq-0135</x:v>
      </x:c>
      <x:c r="I2445" s="5" t="str">
        <x:v>8.5.3.3</x:v>
      </x:c>
      <x:c r="J2445" s="5" t="str">
        <x:v>Einbeziehung und Inhaltskontrolle von AGB</x:v>
      </x:c>
      <x:c r="K2445" s="5" t="str"/>
      <x:c r="L2445" s="5" t="str">
        <x:v>Verbraucherschutz &amp; AGB</x:v>
      </x:c>
      <x:c r="M2445" s="5" t="n">
        <x:v>10</x:v>
      </x:c>
      <x:c r="N2445" s="5" t="n">
        <x:v>2</x:v>
      </x:c>
      <x:c r="O2445" s="5" t="str"/>
      <x:c r="P2445" s="5" t="str">
        <x:v>Zuordnungsvorschlag; Fachfreigabe ausstehend</x:v>
      </x:c>
      <x:c r="Q2445" s="5" t="str">
        <x:v>Bestehendes Lernthema fachlich unter passendem Rahmenplan-Unterbereich behalten</x:v>
      </x:c>
      <x:c r="R2445" s="5" t="str">
        <x:v>Beurteilen Sie, welche Gestaltungen eines Online-Bestellprozesses die wirksame Einbeziehung von AGB unterstützen und welche nicht ausreichen.</x:v>
      </x:c>
      <x:c r="S2445" s="5" t="str">
        <x:v>2c02b2da7e2ff6dce30f58c36def36f5d5cee5bf4c774d88377d03170bbc25b1</x:v>
      </x:c>
    </x:row>
    <x:row r="2446" ht="36" customHeight="1">
      <x:c r="A2446" s="5" t="str">
        <x:v>V-0043</x:v>
      </x:c>
      <x:c r="B2446" s="5" t="str">
        <x:v>HQ</x:v>
      </x:c>
      <x:c r="C2446" s="5" t="str">
        <x:v>8</x:v>
      </x:c>
      <x:c r="D2446" s="5" t="str">
        <x:v>Marketing und Vertrieb</x:v>
      </x:c>
      <x:c r="E2446" s="5" t="str">
        <x:v>Vertrieb</x:v>
      </x:c>
      <x:c r="F2446" s="5" t="str">
        <x:v>ui-hq-0029</x:v>
      </x:c>
      <x:c r="G2446" s="5" t="str">
        <x:v>Vertriebsmanagement</x:v>
      </x:c>
      <x:c r="H2446" s="5" t="str">
        <x:v>dg-hq-0127</x:v>
      </x:c>
      <x:c r="I2446" s="5" t="str">
        <x:v>8.3.1</x:v>
      </x:c>
      <x:c r="J2446" s="5" t="str">
        <x:v>Vertriebsorganisation</x:v>
      </x:c>
      <x:c r="K2446" s="5" t="str"/>
      <x:c r="L2446" s="5" t="str">
        <x:v>Vertriebswege, Absatzorgane &amp; E-Commerce</x:v>
      </x:c>
      <x:c r="M2446" s="5" t="n">
        <x:v>24</x:v>
      </x:c>
      <x:c r="N2446" s="5" t="n">
        <x:v>18</x:v>
      </x:c>
      <x:c r="O2446" s="5" t="str"/>
      <x:c r="P2446" s="5" t="str">
        <x:v>Zuordnungsvorschlag; Fachfreigabe ausstehend</x:v>
      </x:c>
      <x:c r="Q2446" s="5" t="str">
        <x:v>Bestehendes Lernthema fachlich unter passendem Rahmenplan-Unterbereich behalten</x:v>
      </x:c>
      <x:c r="R2446" s="5" t="str">
        <x:v>Circle Harbor verkauft seine Produkte bisher direkt über eigene Standorte und möchte zusätzlich rechtlich selbstständige Einzelhändler als Absatzpartner einsetzen. Beschreiben Sie jeweils zwei Vorteile des direkten und des indirekten Vertriebs für diese Kombination.</x:v>
      </x:c>
      <x:c r="S2446" s="5" t="str">
        <x:v>80dc1a90740898de8078e2f504f609fb6ef5509ac2cf1b55fec5a3a7d4e8e43a</x:v>
      </x:c>
    </x:row>
    <x:row r="2447" ht="36" customHeight="1">
      <x:c r="A2447" s="5" t="str">
        <x:v>V-0044</x:v>
      </x:c>
      <x:c r="B2447" s="5" t="str">
        <x:v>HQ</x:v>
      </x:c>
      <x:c r="C2447" s="5" t="str">
        <x:v>8</x:v>
      </x:c>
      <x:c r="D2447" s="5" t="str">
        <x:v>Marketing und Vertrieb</x:v>
      </x:c>
      <x:c r="E2447" s="5" t="str">
        <x:v>Vertrieb</x:v>
      </x:c>
      <x:c r="F2447" s="5" t="str">
        <x:v>ui-hq-0029</x:v>
      </x:c>
      <x:c r="G2447" s="5" t="str">
        <x:v>Vertriebsmanagement</x:v>
      </x:c>
      <x:c r="H2447" s="5" t="str">
        <x:v>dg-hq-0127</x:v>
      </x:c>
      <x:c r="I2447" s="5" t="str">
        <x:v>8.3.1</x:v>
      </x:c>
      <x:c r="J2447" s="5" t="str">
        <x:v>Vertriebsorganisation</x:v>
      </x:c>
      <x:c r="K2447" s="5" t="str"/>
      <x:c r="L2447" s="5" t="str">
        <x:v>Vertriebsorganisation &amp; Key-Account-Management</x:v>
      </x:c>
      <x:c r="M2447" s="5" t="n">
        <x:v>25</x:v>
      </x:c>
      <x:c r="N2447" s="5" t="n">
        <x:v>19</x:v>
      </x:c>
      <x:c r="O2447" s="5" t="str"/>
      <x:c r="P2447" s="5" t="str">
        <x:v>Zuordnungsvorschlag; Fachfreigabe ausstehend</x:v>
      </x:c>
      <x:c r="Q2447" s="5" t="str">
        <x:v>Bestehendes Lernthema fachlich unter passendem Rahmenplan-Unterbereich behalten</x:v>
      </x:c>
      <x:c r="R2447" s="5" t="str">
        <x:v>Im Vertrieb von Circle Harbor: Ein Anbieter möchte ein großes Bundesland flächendeckend über viele Einzelhandelsstandorte bearbeiten und entscheidet sich für eine gebietsorientierte Vertriebsorganisation. Beschreiben Sie diese Organisationsform und begründen Sie die Entscheidung mit drei passenden Argumenten.</x:v>
      </x:c>
      <x:c r="S2447" s="5" t="str">
        <x:v>a49b70ee98229ea44573e6735af656350b3a2ac4781687addc435e39057980b4</x:v>
      </x:c>
    </x:row>
    <x:row r="2448" ht="36" customHeight="1">
      <x:c r="A2448" s="5" t="str">
        <x:v>V-0045</x:v>
      </x:c>
      <x:c r="B2448" s="5" t="str">
        <x:v>HQ</x:v>
      </x:c>
      <x:c r="C2448" s="5" t="str">
        <x:v>8</x:v>
      </x:c>
      <x:c r="D2448" s="5" t="str">
        <x:v>Marketing und Vertrieb</x:v>
      </x:c>
      <x:c r="E2448" s="5" t="str">
        <x:v>Vertrieb</x:v>
      </x:c>
      <x:c r="F2448" s="5" t="str">
        <x:v>ui-hq-0029</x:v>
      </x:c>
      <x:c r="G2448" s="5" t="str">
        <x:v>Vertriebsmanagement</x:v>
      </x:c>
      <x:c r="H2448" s="5" t="str">
        <x:v>dg-hq-0128</x:v>
      </x:c>
      <x:c r="I2448" s="5" t="str">
        <x:v>8.3.2</x:v>
      </x:c>
      <x:c r="J2448" s="5" t="str">
        <x:v>Vertriebscontrolling</x:v>
      </x:c>
      <x:c r="K2448" s="5" t="str"/>
      <x:c r="L2448" s="5" t="str">
        <x:v>Vertriebscontrolling</x:v>
      </x:c>
      <x:c r="M2448" s="5" t="n">
        <x:v>26</x:v>
      </x:c>
      <x:c r="N2448" s="5" t="n">
        <x:v>7</x:v>
      </x:c>
      <x:c r="O2448" s="5" t="str"/>
      <x:c r="P2448" s="5" t="str">
        <x:v>Zuordnungsvorschlag; Fachfreigabe ausstehend</x:v>
      </x:c>
      <x:c r="Q2448" s="5" t="str">
        <x:v>Bestehendes Lernthema fachlich unter passendem Rahmenplan-Unterbereich behalten</x:v>
      </x:c>
      <x:c r="R2448" s="5" t="str">
        <x:v>Fallbezug: Die folgenden betrieblichen Angaben und Situationen beziehen sich auf die Circle Harbor GmbH.
Für die Einführung einer neuen Produktgruppe über den Einzelhandel soll der Vertrieb künftig stärker über Kennzahlen gesteuert werden. Erläutern Sie drei geeignete Kennzahlen und zeigen Sie jeweils kurz, welche Steuerungsinformation sie liefern.</x:v>
      </x:c>
      <x:c r="S2448" s="5" t="str">
        <x:v>710a3703f5fbac3d6e62700c911ff86f65279c14ea6fba8910312d0949487c5d</x:v>
      </x:c>
    </x:row>
    <x:row r="2449" ht="36" customHeight="1">
      <x:c r="A2449" s="5" t="str">
        <x:v>V-0046</x:v>
      </x:c>
      <x:c r="B2449" s="5" t="str">
        <x:v>HQ</x:v>
      </x:c>
      <x:c r="C2449" s="5" t="str">
        <x:v>8</x:v>
      </x:c>
      <x:c r="D2449" s="5" t="str">
        <x:v>Marketing und Vertrieb</x:v>
      </x:c>
      <x:c r="E2449" s="5" t="str">
        <x:v>Vertrieb</x:v>
      </x:c>
      <x:c r="F2449" s="5" t="str">
        <x:v>ui-hq-0030</x:v>
      </x:c>
      <x:c r="G2449" s="5" t="str">
        <x:v>Internationale Geschäftsbeziehungen und Geschäftsentwicklung</x:v>
      </x:c>
      <x:c r="H2449" s="5" t="str">
        <x:v>dg-hq-0131</x:v>
      </x:c>
      <x:c r="I2449" s="5" t="str">
        <x:v>8.4.3</x:v>
      </x:c>
      <x:c r="J2449" s="5" t="str">
        <x:v>Interkulturelle Kommunikationsdimensionen</x:v>
      </x:c>
      <x:c r="K2449" s="5" t="str"/>
      <x:c r="L2449" s="5" t="str">
        <x:v>Interkulturelle Kommunikation</x:v>
      </x:c>
      <x:c r="M2449" s="5" t="n">
        <x:v>10</x:v>
      </x:c>
      <x:c r="N2449" s="5" t="n">
        <x:v>3</x:v>
      </x:c>
      <x:c r="O2449" s="5" t="str"/>
      <x:c r="P2449" s="5" t="str">
        <x:v>Zuordnungsvorschlag; Fachfreigabe ausstehend</x:v>
      </x:c>
      <x:c r="Q2449" s="5" t="str">
        <x:v>Bestehendes Lernthema fachlich unter passendem Rahmenplan-Unterbereich behalten</x:v>
      </x:c>
      <x:c r="R2449" s="5" t="str">
        <x:v>Circle Harbor als mittelständisches Unternehmen plant den Eintritt in mehrere europäische Auslandsmärkte. Stellen Sie den Zusammenhang zwischen interkultureller Kommunikation und interkultureller Kompetenz dar und erklären Sie, warum beides für die Expansion wichtig ist.</x:v>
      </x:c>
      <x:c r="S2449" s="5" t="str">
        <x:v>29c021239617b4caaea60e748abecb9217cbc8f804d9360f7705970a0d84e50e</x:v>
      </x:c>
    </x:row>
    <x:row r="2450" ht="36" customHeight="1">
      <x:c r="A2450" s="5" t="str">
        <x:v>V-0047</x:v>
      </x:c>
      <x:c r="B2450" s="5" t="str">
        <x:v>HQ</x:v>
      </x:c>
      <x:c r="C2450" s="5" t="str">
        <x:v>8</x:v>
      </x:c>
      <x:c r="D2450" s="5" t="str">
        <x:v>Marketing und Vertrieb</x:v>
      </x:c>
      <x:c r="E2450" s="5" t="str">
        <x:v>Vertrieb</x:v>
      </x:c>
      <x:c r="F2450" s="5" t="str">
        <x:v>ui-hq-0030</x:v>
      </x:c>
      <x:c r="G2450" s="5" t="str">
        <x:v>Internationale Geschäftsbeziehungen und Geschäftsentwicklung</x:v>
      </x:c>
      <x:c r="H2450" s="5" t="str">
        <x:v>dg-hq-0131</x:v>
      </x:c>
      <x:c r="I2450" s="5" t="str">
        <x:v>8.4.3</x:v>
      </x:c>
      <x:c r="J2450" s="5" t="str">
        <x:v>Interkulturelle Kommunikationsdimensionen</x:v>
      </x:c>
      <x:c r="K2450" s="5" t="str"/>
      <x:c r="L2450" s="5" t="str">
        <x:v>Interkulturelle Kommunikation</x:v>
      </x:c>
      <x:c r="M2450" s="5" t="n">
        <x:v>11</x:v>
      </x:c>
      <x:c r="N2450" s="5" t="n">
        <x:v>4</x:v>
      </x:c>
      <x:c r="O2450" s="5" t="str"/>
      <x:c r="P2450" s="5" t="str">
        <x:v>Zuordnungsvorschlag; Fachfreigabe ausstehend</x:v>
      </x:c>
      <x:c r="Q2450" s="5" t="str">
        <x:v>Bestehendes Lernthema fachlich unter passendem Rahmenplan-Unterbereich behalten</x:v>
      </x:c>
      <x:c r="R2450" s="5" t="str">
        <x:v>Erläutern Sie drei Kulturdimensionen, die bei internationalen Geschäftsbeziehungen als Analysehilfe dienen können, und zeigen Sie jeweils kurz eine mögliche Auswirkung auf Kommunikation oder Zusammenarbeit.</x:v>
      </x:c>
      <x:c r="S2450" s="5" t="str">
        <x:v>c1659bc1a38edac8f64515da0cb24a4ef00ce016859e2c422c953826b36e594a</x:v>
      </x:c>
    </x:row>
    <x:row r="2451" ht="36" customHeight="1">
      <x:c r="A2451" s="5" t="str">
        <x:v>V-0048</x:v>
      </x:c>
      <x:c r="B2451" s="5" t="str">
        <x:v>HQ</x:v>
      </x:c>
      <x:c r="C2451" s="5" t="str">
        <x:v>8</x:v>
      </x:c>
      <x:c r="D2451" s="5" t="str">
        <x:v>Marketing und Vertrieb</x:v>
      </x:c>
      <x:c r="E2451" s="5" t="str">
        <x:v>Vertrieb</x:v>
      </x:c>
      <x:c r="F2451" s="5" t="str">
        <x:v>ui-hq-0031</x:v>
      </x:c>
      <x:c r="G2451" s="5" t="str">
        <x:v>Spezielle Rechtsaspekte</x:v>
      </x:c>
      <x:c r="H2451" s="5" t="str">
        <x:v>dg-hq-0133</x:v>
      </x:c>
      <x:c r="I2451" s="5" t="str">
        <x:v>8.5.2.1</x:v>
      </x:c>
      <x:c r="J2451" s="5" t="str">
        <x:v>Schutz von Marken und geschäftlichen Bezeichnungen</x:v>
      </x:c>
      <x:c r="K2451" s="5" t="str"/>
      <x:c r="L2451" s="5" t="str">
        <x:v>Markenrecht</x:v>
      </x:c>
      <x:c r="M2451" s="5" t="n">
        <x:v>11</x:v>
      </x:c>
      <x:c r="N2451" s="5" t="n">
        <x:v>4</x:v>
      </x:c>
      <x:c r="O2451" s="5" t="str"/>
      <x:c r="P2451" s="5" t="str">
        <x:v>Zuordnungsvorschlag; Fachfreigabe ausstehend</x:v>
      </x:c>
      <x:c r="Q2451" s="5" t="str">
        <x:v>Bestehendes Lernthema fachlich unter passendem Rahmenplan-Unterbereich behalten</x:v>
      </x:c>
      <x:c r="R2451" s="5" t="str">
        <x:v>Fallbezug: Die folgenden betrieblichen Angaben und Situationen beziehen sich auf die Circle Harbor GmbH.
Ein Hersteller möchte eine neue Produktlinie unter einer eigenen Bezeichnung dauerhaft im Einzelhandel etablieren. Erläutern Sie die grundsätzliche Bedeutung des Markenrechts für dieses Vorhaben.</x:v>
      </x:c>
      <x:c r="S2451" s="5" t="str">
        <x:v>5c5a38c0a0b95b58a4aacbd392699db776fba27a363ba6e05edb5ce3547e09d0</x:v>
      </x:c>
    </x:row>
    <x:row r="2452" ht="36" customHeight="1">
      <x:c r="A2452" s="5" t="str">
        <x:v>V-0049</x:v>
      </x:c>
      <x:c r="B2452" s="5" t="str">
        <x:v>HQ</x:v>
      </x:c>
      <x:c r="C2452" s="5" t="str">
        <x:v>8</x:v>
      </x:c>
      <x:c r="D2452" s="5" t="str">
        <x:v>Marketing und Vertrieb</x:v>
      </x:c>
      <x:c r="E2452" s="5" t="str">
        <x:v>Vertrieb</x:v>
      </x:c>
      <x:c r="F2452" s="5" t="str">
        <x:v>ui-hq-0031</x:v>
      </x:c>
      <x:c r="G2452" s="5" t="str">
        <x:v>Spezielle Rechtsaspekte</x:v>
      </x:c>
      <x:c r="H2452" s="5" t="str">
        <x:v>dg-hq-0133</x:v>
      </x:c>
      <x:c r="I2452" s="5" t="str">
        <x:v>8.5.2.1</x:v>
      </x:c>
      <x:c r="J2452" s="5" t="str">
        <x:v>Schutz von Marken und geschäftlichen Bezeichnungen</x:v>
      </x:c>
      <x:c r="K2452" s="5" t="str"/>
      <x:c r="L2452" s="5" t="str">
        <x:v>Markenrecht</x:v>
      </x:c>
      <x:c r="M2452" s="5" t="n">
        <x:v>12</x:v>
      </x:c>
      <x:c r="N2452" s="5" t="n">
        <x:v>5</x:v>
      </x:c>
      <x:c r="O2452" s="5" t="str"/>
      <x:c r="P2452" s="5" t="str">
        <x:v>Zuordnungsvorschlag; Fachfreigabe ausstehend</x:v>
      </x:c>
      <x:c r="Q2452" s="5" t="str">
        <x:v>Bestehendes Lernthema fachlich unter passendem Rahmenplan-Unterbereich behalten</x:v>
      </x:c>
      <x:c r="R2452" s="5" t="str">
        <x:v>Fallbezug: Die folgenden betrieblichen Angaben und Situationen beziehen sich auf die Circle Harbor GmbH.
Eine Produktbezeichnung wird bereits im regionalen Markt benutzt und soll künftig stärker geschützt werden. Erläutern Sie zwei Möglichkeiten, durch die in diesem Fall Markenschutz entstehen kann.</x:v>
      </x:c>
      <x:c r="S2452" s="5" t="str">
        <x:v>9e66e520b3d43c786f13b38be53c0b855b8183466455d59c03c0531f2f8dc730</x:v>
      </x:c>
    </x:row>
    <x:row r="2453" ht="36" customHeight="1">
      <x:c r="A2453" s="5" t="str">
        <x:v>V-0050</x:v>
      </x:c>
      <x:c r="B2453" s="5" t="str">
        <x:v>HQ</x:v>
      </x:c>
      <x:c r="C2453" s="5" t="str">
        <x:v>8</x:v>
      </x:c>
      <x:c r="D2453" s="5" t="str">
        <x:v>Marketing und Vertrieb</x:v>
      </x:c>
      <x:c r="E2453" s="5" t="str">
        <x:v>Vertrieb</x:v>
      </x:c>
      <x:c r="F2453" s="5" t="str">
        <x:v>ui-hq-0031</x:v>
      </x:c>
      <x:c r="G2453" s="5" t="str">
        <x:v>Spezielle Rechtsaspekte</x:v>
      </x:c>
      <x:c r="H2453" s="5" t="str">
        <x:v>dg-hq-0132</x:v>
      </x:c>
      <x:c r="I2453" s="5" t="str">
        <x:v>8.5.1</x:v>
      </x:c>
      <x:c r="J2453" s="5" t="str">
        <x:v>Wettbewerbsrecht</x:v>
      </x:c>
      <x:c r="K2453" s="5" t="str"/>
      <x:c r="L2453" s="5" t="str">
        <x:v>Wettbewerbsrecht – UWG &amp; GWB</x:v>
      </x:c>
      <x:c r="M2453" s="5" t="n">
        <x:v>13</x:v>
      </x:c>
      <x:c r="N2453" s="5" t="n">
        <x:v>5</x:v>
      </x:c>
      <x:c r="O2453" s="5" t="str"/>
      <x:c r="P2453" s="5" t="str">
        <x:v>Zuordnungsvorschlag; Fachfreigabe ausstehend</x:v>
      </x:c>
      <x:c r="Q2453" s="5" t="str">
        <x:v>Bestehendes Lernthema fachlich unter passendem Rahmenplan-Unterbereich behalten</x:v>
      </x:c>
      <x:c r="R2453" s="5" t="str">
        <x:v>Fallbezug: Die folgenden betrieblichen Angaben und Situationen beziehen sich auf die Circle Harbor GmbH.
Ein Hersteller will eine neue Produktlinie aggressiv im Einzelhandel durchsetzen. Grenzen Sie UWG und GWB hinsichtlich ihres Anwendungsbereichs voneinander ab und nennen Sie für jedes Gesetz zwei konkrete Verhaltensweisen, die rechtlich problematisch bzw. unzulässig sein können.</x:v>
      </x:c>
      <x:c r="S2453" s="5" t="str">
        <x:v>be0108dd74f96eca7562ddae14c5b6bd696657a1e0a203d5ab504277c044327f</x:v>
      </x:c>
    </x:row>
    <x:row r="2454" ht="36" customHeight="1">
      <x:c r="A2454" s="5" t="str">
        <x:v>V-0051</x:v>
      </x:c>
      <x:c r="B2454" s="5" t="str">
        <x:v>HQ</x:v>
      </x:c>
      <x:c r="C2454" s="5" t="str">
        <x:v>8</x:v>
      </x:c>
      <x:c r="D2454" s="5" t="str">
        <x:v>Marketing und Vertrieb</x:v>
      </x:c>
      <x:c r="E2454" s="5" t="str">
        <x:v>Vertrieb</x:v>
      </x:c>
      <x:c r="F2454" s="5" t="str">
        <x:v>ui-hq-0029</x:v>
      </x:c>
      <x:c r="G2454" s="5" t="str">
        <x:v>Vertriebsmanagement</x:v>
      </x:c>
      <x:c r="H2454" s="5" t="str">
        <x:v>dg-hq-0127</x:v>
      </x:c>
      <x:c r="I2454" s="5" t="str">
        <x:v>8.3.1</x:v>
      </x:c>
      <x:c r="J2454" s="5" t="str">
        <x:v>Vertriebsorganisation</x:v>
      </x:c>
      <x:c r="K2454" s="5" t="str"/>
      <x:c r="L2454" s="5" t="str">
        <x:v>Vertriebsmanagement &amp; Kundenbeziehungen</x:v>
      </x:c>
      <x:c r="M2454" s="5" t="n">
        <x:v>27</x:v>
      </x:c>
      <x:c r="N2454" s="5" t="n">
        <x:v>20</x:v>
      </x:c>
      <x:c r="O2454" s="5" t="str"/>
      <x:c r="P2454" s="5" t="str">
        <x:v>Zuordnungsvorschlag; Fachfreigabe ausstehend</x:v>
      </x:c>
      <x:c r="Q2454" s="5" t="str">
        <x:v>Bestehendes Lernthema fachlich unter passendem Rahmenplan-Unterbereich behalten</x:v>
      </x:c>
      <x:c r="R2454" s="5" t="str">
        <x:v>Grenzen Sie strategisches und operatives Vertriebsmanagement voneinander ab. Nennen und erläutern Sie jeweils mindestens drei typische Entscheidungen oder Aufgaben.</x:v>
      </x:c>
      <x:c r="S2454" s="5" t="str">
        <x:v>4d71976c0ededd51a1f7674e204fd50e4b02236b85b99fb94654c7b0f2582f0d</x:v>
      </x:c>
    </x:row>
    <x:row r="2455" ht="36" customHeight="1">
      <x:c r="A2455" s="5" t="str">
        <x:v>V-0052</x:v>
      </x:c>
      <x:c r="B2455" s="5" t="str">
        <x:v>HQ</x:v>
      </x:c>
      <x:c r="C2455" s="5" t="str">
        <x:v>8</x:v>
      </x:c>
      <x:c r="D2455" s="5" t="str">
        <x:v>Marketing und Vertrieb</x:v>
      </x:c>
      <x:c r="E2455" s="5" t="str">
        <x:v>Vertrieb</x:v>
      </x:c>
      <x:c r="F2455" s="5" t="str">
        <x:v>ui-hq-0029</x:v>
      </x:c>
      <x:c r="G2455" s="5" t="str">
        <x:v>Vertriebsmanagement</x:v>
      </x:c>
      <x:c r="H2455" s="5" t="str">
        <x:v>dg-hq-0127</x:v>
      </x:c>
      <x:c r="I2455" s="5" t="str">
        <x:v>8.3.1</x:v>
      </x:c>
      <x:c r="J2455" s="5" t="str">
        <x:v>Vertriebsorganisation</x:v>
      </x:c>
      <x:c r="K2455" s="5" t="str"/>
      <x:c r="L2455" s="5" t="str">
        <x:v>Vertriebsmanagement &amp; Kundenbeziehungen</x:v>
      </x:c>
      <x:c r="M2455" s="5" t="n">
        <x:v>28</x:v>
      </x:c>
      <x:c r="N2455" s="5" t="n">
        <x:v>21</x:v>
      </x:c>
      <x:c r="O2455" s="5" t="str"/>
      <x:c r="P2455" s="5" t="str">
        <x:v>Zuordnungsvorschlag; Fachfreigabe ausstehend</x:v>
      </x:c>
      <x:c r="Q2455" s="5" t="str">
        <x:v>Bestehendes Lernthema fachlich unter passendem Rahmenplan-Unterbereich behalten</x:v>
      </x:c>
      <x:c r="R2455" s="5" t="str">
        <x:v>Circle Harbor möchte sein Vertriebsteam professionalisieren. Erläutern Sie drei zentrale Inhalte von Vertriebsschulungen und unterscheiden Sie materielle und immaterielle Motivationsmaßnahmen mit jeweils zwei Beispielen.</x:v>
      </x:c>
      <x:c r="S2455" s="5" t="str">
        <x:v>44ea73ab2a7c5a364a7ecbf85a005065056566e20b5f2561cec728e58026ff4f</x:v>
      </x:c>
    </x:row>
    <x:row r="2456" ht="36" customHeight="1">
      <x:c r="A2456" s="5" t="str">
        <x:v>V-0053</x:v>
      </x:c>
      <x:c r="B2456" s="5" t="str">
        <x:v>HQ</x:v>
      </x:c>
      <x:c r="C2456" s="5" t="str">
        <x:v>8</x:v>
      </x:c>
      <x:c r="D2456" s="5" t="str">
        <x:v>Marketing und Vertrieb</x:v>
      </x:c>
      <x:c r="E2456" s="5" t="str">
        <x:v>Vertrieb</x:v>
      </x:c>
      <x:c r="F2456" s="5" t="str">
        <x:v>ui-hq-0029</x:v>
      </x:c>
      <x:c r="G2456" s="5" t="str">
        <x:v>Vertriebsmanagement</x:v>
      </x:c>
      <x:c r="H2456" s="5" t="str">
        <x:v>dg-hq-0127</x:v>
      </x:c>
      <x:c r="I2456" s="5" t="str">
        <x:v>8.3.1</x:v>
      </x:c>
      <x:c r="J2456" s="5" t="str">
        <x:v>Vertriebsorganisation</x:v>
      </x:c>
      <x:c r="K2456" s="5" t="str"/>
      <x:c r="L2456" s="5" t="str">
        <x:v>Vertriebsmanagement &amp; Kundenbeziehungen</x:v>
      </x:c>
      <x:c r="M2456" s="5" t="n">
        <x:v>29</x:v>
      </x:c>
      <x:c r="N2456" s="5" t="n">
        <x:v>22</x:v>
      </x:c>
      <x:c r="O2456" s="5" t="str"/>
      <x:c r="P2456" s="5" t="str">
        <x:v>Zuordnungsvorschlag; Fachfreigabe ausstehend</x:v>
      </x:c>
      <x:c r="Q2456" s="5" t="str">
        <x:v>Bestehendes Lernthema fachlich unter passendem Rahmenplan-Unterbereich behalten</x:v>
      </x:c>
      <x:c r="R2456" s="5" t="str">
        <x:v>Ein Bestandskunde von Circle Harbor kauft regelmäßig ein Basismodell. Erläutern Sie Cross-Selling und Up-Selling und formulieren Sie für beide Ansätze je ein passendes Vertriebsbeispiel.</x:v>
      </x:c>
      <x:c r="S2456" s="5" t="str">
        <x:v>288e884ae783692093a3f9303e64a22f808ee6c39f32f21751994b2d72bed687</x:v>
      </x:c>
    </x:row>
    <x:row r="2457" ht="36" customHeight="1">
      <x:c r="A2457" s="5" t="str">
        <x:v>V-0054</x:v>
      </x:c>
      <x:c r="B2457" s="5" t="str">
        <x:v>HQ</x:v>
      </x:c>
      <x:c r="C2457" s="5" t="str">
        <x:v>8</x:v>
      </x:c>
      <x:c r="D2457" s="5" t="str">
        <x:v>Marketing und Vertrieb</x:v>
      </x:c>
      <x:c r="E2457" s="5" t="str">
        <x:v>Vertrieb</x:v>
      </x:c>
      <x:c r="F2457" s="5" t="str">
        <x:v>ui-hq-0029</x:v>
      </x:c>
      <x:c r="G2457" s="5" t="str">
        <x:v>Vertriebsmanagement</x:v>
      </x:c>
      <x:c r="H2457" s="5" t="str">
        <x:v>dg-hq-0127</x:v>
      </x:c>
      <x:c r="I2457" s="5" t="str">
        <x:v>8.3.1</x:v>
      </x:c>
      <x:c r="J2457" s="5" t="str">
        <x:v>Vertriebsorganisation</x:v>
      </x:c>
      <x:c r="K2457" s="5" t="str"/>
      <x:c r="L2457" s="5" t="str">
        <x:v>Vertriebsorganisation &amp; Key-Account-Management</x:v>
      </x:c>
      <x:c r="M2457" s="5" t="n">
        <x:v>30</x:v>
      </x:c>
      <x:c r="N2457" s="5" t="n">
        <x:v>23</x:v>
      </x:c>
      <x:c r="O2457" s="5" t="str"/>
      <x:c r="P2457" s="5" t="str">
        <x:v>Zuordnungsvorschlag; Fachfreigabe ausstehend</x:v>
      </x:c>
      <x:c r="Q2457" s="5" t="str">
        <x:v>Bestehendes Lernthema fachlich unter passendem Rahmenplan-Unterbereich behalten</x:v>
      </x:c>
      <x:c r="R2457" s="5" t="str">
        <x:v>Erläutern Sie die kundenorientierte Vertriebsorganisation. Nennen Sie zwei Einsatzvoraussetzungen, zwei Vorteile und zwei mögliche Nachteile und zeigen Sie den Zusammenhang zum Key-Account-Management.</x:v>
      </x:c>
      <x:c r="S2457" s="5" t="str">
        <x:v>b33294ad00ce77ba28a598a2a0841d6a73df9ef8d6dac3f9726f4e03ded71153</x:v>
      </x:c>
    </x:row>
    <x:row r="2458" ht="36" customHeight="1">
      <x:c r="A2458" s="5" t="str">
        <x:v>V-0055</x:v>
      </x:c>
      <x:c r="B2458" s="5" t="str">
        <x:v>HQ</x:v>
      </x:c>
      <x:c r="C2458" s="5" t="str">
        <x:v>8</x:v>
      </x:c>
      <x:c r="D2458" s="5" t="str">
        <x:v>Marketing und Vertrieb</x:v>
      </x:c>
      <x:c r="E2458" s="5" t="str">
        <x:v>Vertrieb</x:v>
      </x:c>
      <x:c r="F2458" s="5" t="str">
        <x:v>ui-hq-0029</x:v>
      </x:c>
      <x:c r="G2458" s="5" t="str">
        <x:v>Vertriebsmanagement</x:v>
      </x:c>
      <x:c r="H2458" s="5" t="str">
        <x:v>dg-hq-0127</x:v>
      </x:c>
      <x:c r="I2458" s="5" t="str">
        <x:v>8.3.1</x:v>
      </x:c>
      <x:c r="J2458" s="5" t="str">
        <x:v>Vertriebsorganisation</x:v>
      </x:c>
      <x:c r="K2458" s="5" t="str"/>
      <x:c r="L2458" s="5" t="str">
        <x:v>Vertriebsorganisation &amp; Key-Account-Management</x:v>
      </x:c>
      <x:c r="M2458" s="5" t="n">
        <x:v>31</x:v>
      </x:c>
      <x:c r="N2458" s="5" t="n">
        <x:v>24</x:v>
      </x:c>
      <x:c r="O2458" s="5" t="str"/>
      <x:c r="P2458" s="5" t="str">
        <x:v>Zuordnungsvorschlag; Fachfreigabe ausstehend</x:v>
      </x:c>
      <x:c r="Q2458" s="5" t="str">
        <x:v>Bestehendes Lernthema fachlich unter passendem Rahmenplan-Unterbereich behalten</x:v>
      </x:c>
      <x:c r="R2458" s="5" t="str">
        <x:v>Beschreiben Sie das Stab-Linien-System im Vertrieb. Erläutern Sie drei typische Aufgaben einer Stabsstelle und jeweils einen wesentlichen Vorteil und Nachteil dieser Organisationsform.</x:v>
      </x:c>
      <x:c r="S2458" s="5" t="str">
        <x:v>d18e983e8e7a7317914e402a48480cfd4dd0ec7e41ec49296c8ec26cad07b4bc</x:v>
      </x:c>
    </x:row>
    <x:row r="2459" ht="36" customHeight="1">
      <x:c r="A2459" s="5" t="str">
        <x:v>V-0056</x:v>
      </x:c>
      <x:c r="B2459" s="5" t="str">
        <x:v>HQ</x:v>
      </x:c>
      <x:c r="C2459" s="5" t="str">
        <x:v>8</x:v>
      </x:c>
      <x:c r="D2459" s="5" t="str">
        <x:v>Marketing und Vertrieb</x:v>
      </x:c>
      <x:c r="E2459" s="5" t="str">
        <x:v>Vertrieb</x:v>
      </x:c>
      <x:c r="F2459" s="5" t="str">
        <x:v>ui-hq-0029</x:v>
      </x:c>
      <x:c r="G2459" s="5" t="str">
        <x:v>Vertriebsmanagement</x:v>
      </x:c>
      <x:c r="H2459" s="5" t="str">
        <x:v>dg-hq-0127</x:v>
      </x:c>
      <x:c r="I2459" s="5" t="str">
        <x:v>8.3.1</x:v>
      </x:c>
      <x:c r="J2459" s="5" t="str">
        <x:v>Vertriebsorganisation</x:v>
      </x:c>
      <x:c r="K2459" s="5" t="str"/>
      <x:c r="L2459" s="5" t="str">
        <x:v>Vertriebsorganisation &amp; Key-Account-Management</x:v>
      </x:c>
      <x:c r="M2459" s="5" t="n">
        <x:v>32</x:v>
      </x:c>
      <x:c r="N2459" s="5" t="n">
        <x:v>25</x:v>
      </x:c>
      <x:c r="O2459" s="5" t="str"/>
      <x:c r="P2459" s="5" t="str">
        <x:v>Zuordnungsvorschlag; Fachfreigabe ausstehend</x:v>
      </x:c>
      <x:c r="Q2459" s="5" t="str">
        <x:v>Bestehendes Lernthema fachlich unter passendem Rahmenplan-Unterbereich behalten</x:v>
      </x:c>
      <x:c r="R2459" s="5" t="str">
        <x:v>Fallbezug: Die folgenden betrieblichen Angaben und Situationen beziehen sich auf die Circle Harbor GmbH.
Ein international tätiges Unternehmen möchte Produkte, Regionen und Vertriebsfunktionen gleichzeitig organisatorisch berücksichtigen. Erläutern Sie die Tensororganisation und nennen Sie zwei Vorteile bzw. Einsatzgründe sowie zwei Nachteile.</x:v>
      </x:c>
      <x:c r="S2459" s="5" t="str">
        <x:v>01f8107e36ff831560e123e6268d02b0c9f970f27815d1cff8b439b46a51adaf</x:v>
      </x:c>
    </x:row>
    <x:row r="2460" ht="36" customHeight="1">
      <x:c r="A2460" s="5" t="str">
        <x:v>V-0057</x:v>
      </x:c>
      <x:c r="B2460" s="5" t="str">
        <x:v>HQ</x:v>
      </x:c>
      <x:c r="C2460" s="5" t="str">
        <x:v>8</x:v>
      </x:c>
      <x:c r="D2460" s="5" t="str">
        <x:v>Marketing und Vertrieb</x:v>
      </x:c>
      <x:c r="E2460" s="5" t="str">
        <x:v>Vertrieb</x:v>
      </x:c>
      <x:c r="F2460" s="5" t="str">
        <x:v>ui-hq-0029</x:v>
      </x:c>
      <x:c r="G2460" s="5" t="str">
        <x:v>Vertriebsmanagement</x:v>
      </x:c>
      <x:c r="H2460" s="5" t="str">
        <x:v>dg-hq-0128</x:v>
      </x:c>
      <x:c r="I2460" s="5" t="str">
        <x:v>8.3.2</x:v>
      </x:c>
      <x:c r="J2460" s="5" t="str">
        <x:v>Vertriebscontrolling</x:v>
      </x:c>
      <x:c r="K2460" s="5" t="str"/>
      <x:c r="L2460" s="5" t="str">
        <x:v>Vertriebscontrolling</x:v>
      </x:c>
      <x:c r="M2460" s="5" t="n">
        <x:v>33</x:v>
      </x:c>
      <x:c r="N2460" s="5" t="n">
        <x:v>8</x:v>
      </x:c>
      <x:c r="O2460" s="5" t="str"/>
      <x:c r="P2460" s="5" t="str">
        <x:v>Zuordnungsvorschlag; Fachfreigabe ausstehend</x:v>
      </x:c>
      <x:c r="Q2460" s="5" t="str">
        <x:v>Bestehendes Lernthema fachlich unter passendem Rahmenplan-Unterbereich behalten</x:v>
      </x:c>
      <x:c r="R2460" s="5" t="str">
        <x:v>Unterscheiden Sie internes, wettbewerbsorientiertes und funktionsorientiertes Benchmarking. Nennen Sie für jede Form ein passendes Beispiel aus Vertrieb oder Marketing.</x:v>
      </x:c>
      <x:c r="S2460" s="5" t="str">
        <x:v>0504b7dc70c3006f492c4b21f4434c641712bf03f5d39a1b225bf76dcd6c3d65</x:v>
      </x:c>
    </x:row>
    <x:row r="2461" ht="36" customHeight="1">
      <x:c r="A2461" s="5" t="str">
        <x:v>V-0058</x:v>
      </x:c>
      <x:c r="B2461" s="5" t="str">
        <x:v>HQ</x:v>
      </x:c>
      <x:c r="C2461" s="5" t="str">
        <x:v>8</x:v>
      </x:c>
      <x:c r="D2461" s="5" t="str">
        <x:v>Marketing und Vertrieb</x:v>
      </x:c>
      <x:c r="E2461" s="5" t="str">
        <x:v>Vertrieb</x:v>
      </x:c>
      <x:c r="F2461" s="5" t="str">
        <x:v>ui-hq-0029</x:v>
      </x:c>
      <x:c r="G2461" s="5" t="str">
        <x:v>Vertriebsmanagement</x:v>
      </x:c>
      <x:c r="H2461" s="5" t="str">
        <x:v>dg-hq-0128</x:v>
      </x:c>
      <x:c r="I2461" s="5" t="str">
        <x:v>8.3.2</x:v>
      </x:c>
      <x:c r="J2461" s="5" t="str">
        <x:v>Vertriebscontrolling</x:v>
      </x:c>
      <x:c r="K2461" s="5" t="str"/>
      <x:c r="L2461" s="5" t="str">
        <x:v>Vertriebscontrolling</x:v>
      </x:c>
      <x:c r="M2461" s="5" t="n">
        <x:v>34</x:v>
      </x:c>
      <x:c r="N2461" s="5" t="n">
        <x:v>9</x:v>
      </x:c>
      <x:c r="O2461" s="5" t="str"/>
      <x:c r="P2461" s="5" t="str">
        <x:v>Zuordnungsvorschlag; Fachfreigabe ausstehend</x:v>
      </x:c>
      <x:c r="Q2461" s="5" t="str">
        <x:v>Bestehendes Lernthema fachlich unter passendem Rahmenplan-Unterbereich behalten</x:v>
      </x:c>
      <x:c r="R2461" s="5" t="str">
        <x:v>Circle Harbor erzielt mit einem Großkunden Bruttoerlöse von 120.000 €. Erlösschmälerungen betragen 10.000 €, variable Produktkosten 65.000 €, eindeutig kundenbedingte Auftragskosten 6.000 €, Besuchskosten 4.000 € und sonstige kundenbezogene Einzelkosten 5.000 €. Berechnen Sie Kundendeckungsbeitrag I, II und III und interpretieren Sie KDB III.</x:v>
      </x:c>
      <x:c r="S2461" s="5" t="str">
        <x:v>5868f0bf84b1e10bed4e5c03c7093042a19063f55946ef4e663e411f187b26d7</x:v>
      </x:c>
    </x:row>
    <x:row r="2462" ht="36" customHeight="1">
      <x:c r="A2462" s="5" t="str">
        <x:v>V-0059</x:v>
      </x:c>
      <x:c r="B2462" s="5" t="str">
        <x:v>HQ</x:v>
      </x:c>
      <x:c r="C2462" s="5" t="str">
        <x:v>8</x:v>
      </x:c>
      <x:c r="D2462" s="5" t="str">
        <x:v>Marketing und Vertrieb</x:v>
      </x:c>
      <x:c r="E2462" s="5" t="str">
        <x:v>Vertrieb</x:v>
      </x:c>
      <x:c r="F2462" s="5" t="str">
        <x:v>ui-hq-0029</x:v>
      </x:c>
      <x:c r="G2462" s="5" t="str">
        <x:v>Vertriebsmanagement</x:v>
      </x:c>
      <x:c r="H2462" s="5" t="str">
        <x:v>dg-hq-0128</x:v>
      </x:c>
      <x:c r="I2462" s="5" t="str">
        <x:v>8.3.2</x:v>
      </x:c>
      <x:c r="J2462" s="5" t="str">
        <x:v>Vertriebscontrolling</x:v>
      </x:c>
      <x:c r="K2462" s="5" t="str"/>
      <x:c r="L2462" s="5" t="str">
        <x:v>Vertriebscontrolling</x:v>
      </x:c>
      <x:c r="M2462" s="5" t="n">
        <x:v>35</x:v>
      </x:c>
      <x:c r="N2462" s="5" t="n">
        <x:v>10</x:v>
      </x:c>
      <x:c r="O2462" s="5" t="str"/>
      <x:c r="P2462" s="5" t="str">
        <x:v>Zuordnungsvorschlag; Fachfreigabe ausstehend</x:v>
      </x:c>
      <x:c r="Q2462" s="5" t="str">
        <x:v>Bestehendes Lernthema fachlich unter passendem Rahmenplan-Unterbereich behalten</x:v>
      </x:c>
      <x:c r="R2462" s="5" t="str">
        <x:v>Erläutern Sie einen vollständigen Controlling-Regelkreis für den Vertrieb und zeigen Sie, warum Controlling mehr ist als reine Kontrolle.</x:v>
      </x:c>
      <x:c r="S2462" s="5" t="str">
        <x:v>6f0a188fb853633102389a44dcdde393fc933255f16a4927a14d66f25c3cf858</x:v>
      </x:c>
    </x:row>
    <x:row r="2463" ht="36" customHeight="1">
      <x:c r="A2463" s="5" t="str">
        <x:v>V-0060</x:v>
      </x:c>
      <x:c r="B2463" s="5" t="str">
        <x:v>HQ</x:v>
      </x:c>
      <x:c r="C2463" s="5" t="str">
        <x:v>8</x:v>
      </x:c>
      <x:c r="D2463" s="5" t="str">
        <x:v>Marketing und Vertrieb</x:v>
      </x:c>
      <x:c r="E2463" s="5" t="str">
        <x:v>Vertrieb</x:v>
      </x:c>
      <x:c r="F2463" s="5" t="str">
        <x:v>ui-hq-0030</x:v>
      </x:c>
      <x:c r="G2463" s="5" t="str">
        <x:v>Internationale Geschäftsbeziehungen und Geschäftsentwicklung</x:v>
      </x:c>
      <x:c r="H2463" s="5" t="str">
        <x:v>dg-hq-0129</x:v>
      </x:c>
      <x:c r="I2463" s="5" t="str">
        <x:v>8.4.1</x:v>
      </x:c>
      <x:c r="J2463" s="5" t="str">
        <x:v>Einführung in den Außenhandel</x:v>
      </x:c>
      <x:c r="K2463" s="5" t="str"/>
      <x:c r="L2463" s="5" t="str">
        <x:v>Außenhandel &amp; Handelspolitik</x:v>
      </x:c>
      <x:c r="M2463" s="5" t="n">
        <x:v>12</x:v>
      </x:c>
      <x:c r="N2463" s="5" t="n">
        <x:v>5</x:v>
      </x:c>
      <x:c r="O2463" s="5" t="str"/>
      <x:c r="P2463" s="5" t="str">
        <x:v>Zuordnungsvorschlag; Fachfreigabe ausstehend</x:v>
      </x:c>
      <x:c r="Q2463" s="5" t="str">
        <x:v>Bestehendes Lernthema fachlich unter passendem Rahmenplan-Unterbereich behalten</x:v>
      </x:c>
      <x:c r="R2463" s="5" t="str">
        <x:v>Grenzen Sie Freihandel und Protektionismus voneinander ab und nennen Sie jeweils mindestens drei handelspolitische Instrumente bzw. Maßnahmen, mit denen Staaten Außenhandelsströme beeinflussen können.</x:v>
      </x:c>
      <x:c r="S2463" s="5" t="str">
        <x:v>883c51eceb71dee83885a8af2f2031d125ca0d24c9a873bcc7252040465c829c</x:v>
      </x:c>
    </x:row>
    <x:row r="2464" ht="36" customHeight="1">
      <x:c r="A2464" s="5" t="str">
        <x:v>V-0061</x:v>
      </x:c>
      <x:c r="B2464" s="5" t="str">
        <x:v>HQ</x:v>
      </x:c>
      <x:c r="C2464" s="5" t="str">
        <x:v>8</x:v>
      </x:c>
      <x:c r="D2464" s="5" t="str">
        <x:v>Marketing und Vertrieb</x:v>
      </x:c>
      <x:c r="E2464" s="5" t="str">
        <x:v>Vertrieb</x:v>
      </x:c>
      <x:c r="F2464" s="5" t="str">
        <x:v>ui-hq-0030</x:v>
      </x:c>
      <x:c r="G2464" s="5" t="str">
        <x:v>Internationale Geschäftsbeziehungen und Geschäftsentwicklung</x:v>
      </x:c>
      <x:c r="H2464" s="5" t="str">
        <x:v>dg-hq-0129</x:v>
      </x:c>
      <x:c r="I2464" s="5" t="str">
        <x:v>8.4.1</x:v>
      </x:c>
      <x:c r="J2464" s="5" t="str">
        <x:v>Einführung in den Außenhandel</x:v>
      </x:c>
      <x:c r="K2464" s="5" t="str"/>
      <x:c r="L2464" s="5" t="str">
        <x:v>Außenhandel &amp; Handelspolitik</x:v>
      </x:c>
      <x:c r="M2464" s="5" t="n">
        <x:v>13</x:v>
      </x:c>
      <x:c r="N2464" s="5" t="n">
        <x:v>6</x:v>
      </x:c>
      <x:c r="O2464" s="5" t="str"/>
      <x:c r="P2464" s="5" t="str">
        <x:v>Zuordnungsvorschlag; Fachfreigabe ausstehend</x:v>
      </x:c>
      <x:c r="Q2464" s="5" t="str">
        <x:v>Bestehendes Lernthema fachlich unter passendem Rahmenplan-Unterbereich behalten</x:v>
      </x:c>
      <x:c r="R2464" s="5" t="str">
        <x:v>Unterscheiden Sie nationale, bilaterale und multilaterale Instrumente der Handelspolitik und nennen Sie für jede Ebene mindestens zwei Beispiele.</x:v>
      </x:c>
      <x:c r="S2464" s="5" t="str">
        <x:v>5e3f48b055bb7c22bbcb398f39e05ab953e309dd9fa40432726d93be63479b79</x:v>
      </x:c>
    </x:row>
    <x:row r="2465" ht="36" customHeight="1">
      <x:c r="A2465" s="5" t="str">
        <x:v>V-0062</x:v>
      </x:c>
      <x:c r="B2465" s="5" t="str">
        <x:v>HQ</x:v>
      </x:c>
      <x:c r="C2465" s="5" t="str">
        <x:v>8</x:v>
      </x:c>
      <x:c r="D2465" s="5" t="str">
        <x:v>Marketing und Vertrieb</x:v>
      </x:c>
      <x:c r="E2465" s="5" t="str">
        <x:v>Vertrieb</x:v>
      </x:c>
      <x:c r="F2465" s="5" t="str">
        <x:v>ui-hq-0030</x:v>
      </x:c>
      <x:c r="G2465" s="5" t="str">
        <x:v>Internationale Geschäftsbeziehungen und Geschäftsentwicklung</x:v>
      </x:c>
      <x:c r="H2465" s="5" t="str">
        <x:v>dg-hq-0129</x:v>
      </x:c>
      <x:c r="I2465" s="5" t="str">
        <x:v>8.4.1</x:v>
      </x:c>
      <x:c r="J2465" s="5" t="str">
        <x:v>Einführung in den Außenhandel</x:v>
      </x:c>
      <x:c r="K2465" s="5" t="str"/>
      <x:c r="L2465" s="5" t="str">
        <x:v>Außenhandel &amp; Handelspolitik</x:v>
      </x:c>
      <x:c r="M2465" s="5" t="n">
        <x:v>14</x:v>
      </x:c>
      <x:c r="N2465" s="5" t="n">
        <x:v>7</x:v>
      </x:c>
      <x:c r="O2465" s="5" t="str"/>
      <x:c r="P2465" s="5" t="str">
        <x:v>Zuordnungsvorschlag; Fachfreigabe ausstehend</x:v>
      </x:c>
      <x:c r="Q2465" s="5" t="str">
        <x:v>Bestehendes Lernthema fachlich unter passendem Rahmenplan-Unterbereich behalten</x:v>
      </x:c>
      <x:c r="R2465" s="5" t="str">
        <x:v>Ordnen und erläutern Sie die Aufgaben von WTO, IWF und Weltbank sowie die Abkommen GATT, GATS, TRIPS und TRIMS.</x:v>
      </x:c>
      <x:c r="S2465" s="5" t="str">
        <x:v>5b71d94f3660a331cda0779295824703990e7f587fe01836c19a3e5a27faeb11</x:v>
      </x:c>
    </x:row>
    <x:row r="2466" ht="36" customHeight="1">
      <x:c r="A2466" s="5" t="str">
        <x:v>V-0063</x:v>
      </x:c>
      <x:c r="B2466" s="5" t="str">
        <x:v>HQ</x:v>
      </x:c>
      <x:c r="C2466" s="5" t="str">
        <x:v>8</x:v>
      </x:c>
      <x:c r="D2466" s="5" t="str">
        <x:v>Marketing und Vertrieb</x:v>
      </x:c>
      <x:c r="E2466" s="5" t="str">
        <x:v>Vertrieb</x:v>
      </x:c>
      <x:c r="F2466" s="5" t="str">
        <x:v>ui-hq-0030</x:v>
      </x:c>
      <x:c r="G2466" s="5" t="str">
        <x:v>Internationale Geschäftsbeziehungen und Geschäftsentwicklung</x:v>
      </x:c>
      <x:c r="H2466" s="5" t="str">
        <x:v>dg-hq-0129</x:v>
      </x:c>
      <x:c r="I2466" s="5" t="str">
        <x:v>8.4.1</x:v>
      </x:c>
      <x:c r="J2466" s="5" t="str">
        <x:v>Einführung in den Außenhandel</x:v>
      </x:c>
      <x:c r="K2466" s="5" t="str"/>
      <x:c r="L2466" s="5" t="str">
        <x:v>Außenhandel &amp; Handelspolitik</x:v>
      </x:c>
      <x:c r="M2466" s="5" t="n">
        <x:v>15</x:v>
      </x:c>
      <x:c r="N2466" s="5" t="n">
        <x:v>8</x:v>
      </x:c>
      <x:c r="O2466" s="5" t="str"/>
      <x:c r="P2466" s="5" t="str">
        <x:v>Zuordnungsvorschlag; Fachfreigabe ausstehend</x:v>
      </x:c>
      <x:c r="Q2466" s="5" t="str">
        <x:v>Bestehendes Lernthema fachlich unter passendem Rahmenplan-Unterbereich behalten</x:v>
      </x:c>
      <x:c r="R2466" s="5" t="str">
        <x:v>Erläutern Sie den Grundgedanken des Außenwirtschaftsgesetzes (AWG) und zeigen Sie, weshalb aus der grundsätzlichen Freiheit des Außenwirtschaftsverkehrs keine uneingeschränkte Handlungsfreiheit folgt.</x:v>
      </x:c>
      <x:c r="S2466" s="5" t="str">
        <x:v>a75e8168a60b283eaab523e15d4fe0a776f08ab88027bde4bbc8fb1ed8226302</x:v>
      </x:c>
    </x:row>
    <x:row r="2467" ht="36" customHeight="1">
      <x:c r="A2467" s="5" t="str">
        <x:v>V-0064</x:v>
      </x:c>
      <x:c r="B2467" s="5" t="str">
        <x:v>HQ</x:v>
      </x:c>
      <x:c r="C2467" s="5" t="str">
        <x:v>8</x:v>
      </x:c>
      <x:c r="D2467" s="5" t="str">
        <x:v>Marketing und Vertrieb</x:v>
      </x:c>
      <x:c r="E2467" s="5" t="str">
        <x:v>Vertrieb</x:v>
      </x:c>
      <x:c r="F2467" s="5" t="str">
        <x:v>ui-hq-0030</x:v>
      </x:c>
      <x:c r="G2467" s="5" t="str">
        <x:v>Internationale Geschäftsbeziehungen und Geschäftsentwicklung</x:v>
      </x:c>
      <x:c r="H2467" s="5" t="str">
        <x:v>dg-hq-0129</x:v>
      </x:c>
      <x:c r="I2467" s="5" t="str">
        <x:v>8.4.1</x:v>
      </x:c>
      <x:c r="J2467" s="5" t="str">
        <x:v>Einführung in den Außenhandel</x:v>
      </x:c>
      <x:c r="K2467" s="5" t="str"/>
      <x:c r="L2467" s="5" t="str">
        <x:v>Außenhandel &amp; Handelspolitik</x:v>
      </x:c>
      <x:c r="M2467" s="5" t="n">
        <x:v>16</x:v>
      </x:c>
      <x:c r="N2467" s="5" t="n">
        <x:v>9</x:v>
      </x:c>
      <x:c r="O2467" s="5" t="str"/>
      <x:c r="P2467" s="5" t="str">
        <x:v>Zuordnungsvorschlag; Fachfreigabe ausstehend</x:v>
      </x:c>
      <x:c r="Q2467" s="5" t="str">
        <x:v>Bestehendes Lernthema fachlich unter passendem Rahmenplan-Unterbereich behalten</x:v>
      </x:c>
      <x:c r="R2467" s="5" t="str">
        <x:v>Vergleichen Sie direkten und indirekten Import. Gehen Sie auf Vertragsbeziehung, typische Einsatzsituationen sowie jeweils mindestens zwei Vorteile und zwei Nachteile ein.</x:v>
      </x:c>
      <x:c r="S2467" s="5" t="str">
        <x:v>48b2421b83fbeaf5511a77928efb91e6f19b8c53af89742a8841f30e47841349</x:v>
      </x:c>
    </x:row>
    <x:row r="2468" ht="36" customHeight="1">
      <x:c r="A2468" s="5" t="str">
        <x:v>V-0065</x:v>
      </x:c>
      <x:c r="B2468" s="5" t="str">
        <x:v>HQ</x:v>
      </x:c>
      <x:c r="C2468" s="5" t="str">
        <x:v>8</x:v>
      </x:c>
      <x:c r="D2468" s="5" t="str">
        <x:v>Marketing und Vertrieb</x:v>
      </x:c>
      <x:c r="E2468" s="5" t="str">
        <x:v>Vertrieb</x:v>
      </x:c>
      <x:c r="F2468" s="5" t="str">
        <x:v>ui-hq-0030</x:v>
      </x:c>
      <x:c r="G2468" s="5" t="str">
        <x:v>Internationale Geschäftsbeziehungen und Geschäftsentwicklung</x:v>
      </x:c>
      <x:c r="H2468" s="5" t="str">
        <x:v>dg-hq-0129</x:v>
      </x:c>
      <x:c r="I2468" s="5" t="str">
        <x:v>8.4.1</x:v>
      </x:c>
      <x:c r="J2468" s="5" t="str">
        <x:v>Einführung in den Außenhandel</x:v>
      </x:c>
      <x:c r="K2468" s="5" t="str"/>
      <x:c r="L2468" s="5" t="str">
        <x:v>Außenhandel &amp; Handelspolitik</x:v>
      </x:c>
      <x:c r="M2468" s="5" t="n">
        <x:v>17</x:v>
      </x:c>
      <x:c r="N2468" s="5" t="n">
        <x:v>10</x:v>
      </x:c>
      <x:c r="O2468" s="5" t="str"/>
      <x:c r="P2468" s="5" t="str">
        <x:v>Zuordnungsvorschlag; Fachfreigabe ausstehend</x:v>
      </x:c>
      <x:c r="Q2468" s="5" t="str">
        <x:v>Bestehendes Lernthema fachlich unter passendem Rahmenplan-Unterbereich behalten</x:v>
      </x:c>
      <x:c r="R2468" s="5" t="str">
        <x:v>Erläutern Sie den Transithandel als Dreiecksgeschäft und unterscheiden Sie aktiven und passiven Transithandel. Nennen Sie außerdem zwei typische Einsatzbereiche oder Warengruppen.</x:v>
      </x:c>
      <x:c r="S2468" s="5" t="str">
        <x:v>63360183c9492c2b526ffd0763f677519c6ca74c5514e79ff63760634bc6daa4</x:v>
      </x:c>
    </x:row>
    <x:row r="2469" ht="36" customHeight="1">
      <x:c r="A2469" s="5" t="str">
        <x:v>V-0066</x:v>
      </x:c>
      <x:c r="B2469" s="5" t="str">
        <x:v>HQ</x:v>
      </x:c>
      <x:c r="C2469" s="5" t="str">
        <x:v>8</x:v>
      </x:c>
      <x:c r="D2469" s="5" t="str">
        <x:v>Marketing und Vertrieb</x:v>
      </x:c>
      <x:c r="E2469" s="5" t="str">
        <x:v>Vertrieb</x:v>
      </x:c>
      <x:c r="F2469" s="5" t="str">
        <x:v>ui-hq-0030</x:v>
      </x:c>
      <x:c r="G2469" s="5" t="str">
        <x:v>Internationale Geschäftsbeziehungen und Geschäftsentwicklung</x:v>
      </x:c>
      <x:c r="H2469" s="5" t="str">
        <x:v>dg-hq-0129</x:v>
      </x:c>
      <x:c r="I2469" s="5" t="str">
        <x:v>8.4.1</x:v>
      </x:c>
      <x:c r="J2469" s="5" t="str">
        <x:v>Einführung in den Außenhandel</x:v>
      </x:c>
      <x:c r="K2469" s="5" t="str"/>
      <x:c r="L2469" s="5" t="str">
        <x:v>Außenhandel &amp; Handelspolitik</x:v>
      </x:c>
      <x:c r="M2469" s="5" t="n">
        <x:v>18</x:v>
      </x:c>
      <x:c r="N2469" s="5" t="n">
        <x:v>11</x:v>
      </x:c>
      <x:c r="O2469" s="5" t="str"/>
      <x:c r="P2469" s="5" t="str">
        <x:v>Zuordnungsvorschlag; Fachfreigabe ausstehend</x:v>
      </x:c>
      <x:c r="Q2469" s="5" t="str">
        <x:v>Bestehendes Lernthema fachlich unter passendem Rahmenplan-Unterbereich behalten</x:v>
      </x:c>
      <x:c r="R2469" s="5" t="str">
        <x:v>Vergleichen Sie Auslandsagent, Handelsmakler und Import-/Exportkommissionär hinsichtlich Selbstständigkeit, Handeln im eigenen oder fremden Namen und Handeln für eigene oder fremde Rechnung.</x:v>
      </x:c>
      <x:c r="S2469" s="5" t="str">
        <x:v>3614cec8c9124c17f64c6bae357fc9cd7f2f164f7414ef88cc38b2ae2bf56bca</x:v>
      </x:c>
    </x:row>
    <x:row r="2470" ht="36" customHeight="1">
      <x:c r="A2470" s="5" t="str">
        <x:v>V-0067</x:v>
      </x:c>
      <x:c r="B2470" s="5" t="str">
        <x:v>HQ</x:v>
      </x:c>
      <x:c r="C2470" s="5" t="str">
        <x:v>8</x:v>
      </x:c>
      <x:c r="D2470" s="5" t="str">
        <x:v>Marketing und Vertrieb</x:v>
      </x:c>
      <x:c r="E2470" s="5" t="str">
        <x:v>Vertrieb</x:v>
      </x:c>
      <x:c r="F2470" s="5" t="str">
        <x:v>ui-hq-0030</x:v>
      </x:c>
      <x:c r="G2470" s="5" t="str">
        <x:v>Internationale Geschäftsbeziehungen und Geschäftsentwicklung</x:v>
      </x:c>
      <x:c r="H2470" s="5" t="str">
        <x:v>dg-hq-0130</x:v>
      </x:c>
      <x:c r="I2470" s="5" t="str">
        <x:v>8.4.2</x:v>
      </x:c>
      <x:c r="J2470" s="5" t="str">
        <x:v>Kooperationen im Außenhandel</x:v>
      </x:c>
      <x:c r="K2470" s="5" t="str"/>
      <x:c r="L2470" s="5" t="str">
        <x:v>Internationale Kooperationen &amp; Markteintritt</x:v>
      </x:c>
      <x:c r="M2470" s="5" t="n">
        <x:v>19</x:v>
      </x:c>
      <x:c r="N2470" s="5" t="n">
        <x:v>4</x:v>
      </x:c>
      <x:c r="O2470" s="5" t="str"/>
      <x:c r="P2470" s="5" t="str">
        <x:v>Zuordnungsvorschlag; Fachfreigabe ausstehend</x:v>
      </x:c>
      <x:c r="Q2470" s="5" t="str">
        <x:v>Bestehendes Lernthema fachlich unter passendem Rahmenplan-Unterbereich behalten</x:v>
      </x:c>
      <x:c r="R2470" s="5" t="str">
        <x:v>Nennen und erläutern Sie vier typische Arten internationaler Lizenzen und beschreiben Sie drei mögliche Formen der Vergütung eines Lizenzgebers.</x:v>
      </x:c>
      <x:c r="S2470" s="5" t="str">
        <x:v>ee5f22351e991ce75401b049ac164e72c38a30b7c3a0269b162272dfb0183453</x:v>
      </x:c>
    </x:row>
    <x:row r="2471" ht="36" customHeight="1">
      <x:c r="A2471" s="5" t="str">
        <x:v>V-0068</x:v>
      </x:c>
      <x:c r="B2471" s="5" t="str">
        <x:v>HQ</x:v>
      </x:c>
      <x:c r="C2471" s="5" t="str">
        <x:v>8</x:v>
      </x:c>
      <x:c r="D2471" s="5" t="str">
        <x:v>Marketing und Vertrieb</x:v>
      </x:c>
      <x:c r="E2471" s="5" t="str">
        <x:v>Vertrieb</x:v>
      </x:c>
      <x:c r="F2471" s="5" t="str">
        <x:v>ui-hq-0030</x:v>
      </x:c>
      <x:c r="G2471" s="5" t="str">
        <x:v>Internationale Geschäftsbeziehungen und Geschäftsentwicklung</x:v>
      </x:c>
      <x:c r="H2471" s="5" t="str">
        <x:v>dg-hq-0130</x:v>
      </x:c>
      <x:c r="I2471" s="5" t="str">
        <x:v>8.4.2</x:v>
      </x:c>
      <x:c r="J2471" s="5" t="str">
        <x:v>Kooperationen im Außenhandel</x:v>
      </x:c>
      <x:c r="K2471" s="5" t="str"/>
      <x:c r="L2471" s="5" t="str">
        <x:v>Internationale Kooperationen &amp; Markteintritt</x:v>
      </x:c>
      <x:c r="M2471" s="5" t="n">
        <x:v>20</x:v>
      </x:c>
      <x:c r="N2471" s="5" t="n">
        <x:v>5</x:v>
      </x:c>
      <x:c r="O2471" s="5" t="str"/>
      <x:c r="P2471" s="5" t="str">
        <x:v>Zuordnungsvorschlag; Fachfreigabe ausstehend</x:v>
      </x:c>
      <x:c r="Q2471" s="5" t="str">
        <x:v>Bestehendes Lernthema fachlich unter passendem Rahmenplan-Unterbereich behalten</x:v>
      </x:c>
      <x:c r="R2471" s="5" t="str">
        <x:v>Beurteilen Sie eine internationale Lizenzvergabe aus Sicht von Lizenzgeber und Lizenznehmer. Nennen Sie für beide Seiten jeweils mindestens drei Vorteile oder Chancen und drei Risiken bzw. Nachteile.</x:v>
      </x:c>
      <x:c r="S2471" s="5" t="str">
        <x:v>23896210b2dd7026315aa832d0cf9f9ee6f5f1cad9b64963824152596c68f231</x:v>
      </x:c>
    </x:row>
    <x:row r="2472" ht="36" customHeight="1">
      <x:c r="A2472" s="5" t="str">
        <x:v>V-0069</x:v>
      </x:c>
      <x:c r="B2472" s="5" t="str">
        <x:v>HQ</x:v>
      </x:c>
      <x:c r="C2472" s="5" t="str">
        <x:v>8</x:v>
      </x:c>
      <x:c r="D2472" s="5" t="str">
        <x:v>Marketing und Vertrieb</x:v>
      </x:c>
      <x:c r="E2472" s="5" t="str">
        <x:v>Vertrieb</x:v>
      </x:c>
      <x:c r="F2472" s="5" t="str">
        <x:v>ui-hq-0030</x:v>
      </x:c>
      <x:c r="G2472" s="5" t="str">
        <x:v>Internationale Geschäftsbeziehungen und Geschäftsentwicklung</x:v>
      </x:c>
      <x:c r="H2472" s="5" t="str">
        <x:v>dg-hq-0130</x:v>
      </x:c>
      <x:c r="I2472" s="5" t="str">
        <x:v>8.4.2</x:v>
      </x:c>
      <x:c r="J2472" s="5" t="str">
        <x:v>Kooperationen im Außenhandel</x:v>
      </x:c>
      <x:c r="K2472" s="5" t="str"/>
      <x:c r="L2472" s="5" t="str">
        <x:v>Internationale Kooperationen &amp; Markteintritt</x:v>
      </x:c>
      <x:c r="M2472" s="5" t="n">
        <x:v>21</x:v>
      </x:c>
      <x:c r="N2472" s="5" t="n">
        <x:v>6</x:v>
      </x:c>
      <x:c r="O2472" s="5" t="str"/>
      <x:c r="P2472" s="5" t="str">
        <x:v>Zuordnungsvorschlag; Fachfreigabe ausstehend</x:v>
      </x:c>
      <x:c r="Q2472" s="5" t="str">
        <x:v>Bestehendes Lernthema fachlich unter passendem Rahmenplan-Unterbereich behalten</x:v>
      </x:c>
      <x:c r="R2472" s="5" t="str">
        <x:v>Unterscheiden Sie horizontale, vertikale, komplementäre und heterogene Kooperationen und formulieren Sie für jede Form ein geeignetes Unternehmensbeispiel.</x:v>
      </x:c>
      <x:c r="S2472" s="5" t="str">
        <x:v>b79a7349905d0341c1da9b25e2883df9415aca970a3b621236a0612fc0ecf291</x:v>
      </x:c>
    </x:row>
    <x:row r="2473" ht="36" customHeight="1">
      <x:c r="A2473" s="5" t="str">
        <x:v>V-0070</x:v>
      </x:c>
      <x:c r="B2473" s="5" t="str">
        <x:v>HQ</x:v>
      </x:c>
      <x:c r="C2473" s="5" t="str">
        <x:v>8</x:v>
      </x:c>
      <x:c r="D2473" s="5" t="str">
        <x:v>Marketing und Vertrieb</x:v>
      </x:c>
      <x:c r="E2473" s="5" t="str">
        <x:v>Vertrieb</x:v>
      </x:c>
      <x:c r="F2473" s="5" t="str">
        <x:v>ui-hq-0030</x:v>
      </x:c>
      <x:c r="G2473" s="5" t="str">
        <x:v>Internationale Geschäftsbeziehungen und Geschäftsentwicklung</x:v>
      </x:c>
      <x:c r="H2473" s="5" t="str">
        <x:v>dg-hq-0130</x:v>
      </x:c>
      <x:c r="I2473" s="5" t="str">
        <x:v>8.4.2</x:v>
      </x:c>
      <x:c r="J2473" s="5" t="str">
        <x:v>Kooperationen im Außenhandel</x:v>
      </x:c>
      <x:c r="K2473" s="5" t="str"/>
      <x:c r="L2473" s="5" t="str">
        <x:v>Internationale Kooperationen &amp; Markteintritt</x:v>
      </x:c>
      <x:c r="M2473" s="5" t="n">
        <x:v>22</x:v>
      </x:c>
      <x:c r="N2473" s="5" t="n">
        <x:v>7</x:v>
      </x:c>
      <x:c r="O2473" s="5" t="str"/>
      <x:c r="P2473" s="5" t="str">
        <x:v>Zuordnungsvorschlag; Fachfreigabe ausstehend</x:v>
      </x:c>
      <x:c r="Q2473" s="5" t="str">
        <x:v>Bestehendes Lernthema fachlich unter passendem Rahmenplan-Unterbereich behalten</x:v>
      </x:c>
      <x:c r="R2473" s="5" t="str">
        <x:v>Circle Harbor prüft ein Joint Venture mit einem ausländischen Partner. Erläutern Sie mindestens fünf Gestaltungskriterien eines Joint Ventures und vier typische Konfliktfelder.</x:v>
      </x:c>
      <x:c r="S2473" s="5" t="str">
        <x:v>a298fa4e5ec0afde2fd00a67d6b82ed6e5f5ca2486830d7395a92717f977e2fd</x:v>
      </x:c>
    </x:row>
    <x:row r="2474" ht="36" customHeight="1">
      <x:c r="A2474" s="5" t="str">
        <x:v>V-0071</x:v>
      </x:c>
      <x:c r="B2474" s="5" t="str">
        <x:v>HQ</x:v>
      </x:c>
      <x:c r="C2474" s="5" t="str">
        <x:v>8</x:v>
      </x:c>
      <x:c r="D2474" s="5" t="str">
        <x:v>Marketing und Vertrieb</x:v>
      </x:c>
      <x:c r="E2474" s="5" t="str">
        <x:v>Vertrieb</x:v>
      </x:c>
      <x:c r="F2474" s="5" t="str">
        <x:v>ui-hq-0030</x:v>
      </x:c>
      <x:c r="G2474" s="5" t="str">
        <x:v>Internationale Geschäftsbeziehungen und Geschäftsentwicklung</x:v>
      </x:c>
      <x:c r="H2474" s="5" t="str">
        <x:v>dg-hq-0130</x:v>
      </x:c>
      <x:c r="I2474" s="5" t="str">
        <x:v>8.4.2</x:v>
      </x:c>
      <x:c r="J2474" s="5" t="str">
        <x:v>Kooperationen im Außenhandel</x:v>
      </x:c>
      <x:c r="K2474" s="5" t="str"/>
      <x:c r="L2474" s="5" t="str">
        <x:v>Internationale Kooperationen &amp; Markteintritt</x:v>
      </x:c>
      <x:c r="M2474" s="5" t="n">
        <x:v>23</x:v>
      </x:c>
      <x:c r="N2474" s="5" t="n">
        <x:v>8</x:v>
      </x:c>
      <x:c r="O2474" s="5" t="str"/>
      <x:c r="P2474" s="5" t="str">
        <x:v>Zuordnungsvorschlag; Fachfreigabe ausstehend</x:v>
      </x:c>
      <x:c r="Q2474" s="5" t="str">
        <x:v>Bestehendes Lernthema fachlich unter passendem Rahmenplan-Unterbereich behalten</x:v>
      </x:c>
      <x:c r="R2474" s="5" t="str">
        <x:v>Vergleichen Sie Export, Lizenzierung, Franchising, Joint Venture und Direktinvestition hinsichtlich Kapitaleinsatz, Risiko, Kontrollmöglichkeiten und Kooperationsgrad. Leiten Sie daraus eine sinnvolle Reihenfolge der zunehmenden Internationalisierungsintensität ab.</x:v>
      </x:c>
      <x:c r="S2474" s="5" t="str">
        <x:v>04f1207e85a9be211b6d30bb12182712017c991ef314097ed90499f59c57e1ae</x:v>
      </x:c>
    </x:row>
    <x:row r="2475" ht="36" customHeight="1">
      <x:c r="A2475" s="5" t="str">
        <x:v>V-0072</x:v>
      </x:c>
      <x:c r="B2475" s="5" t="str">
        <x:v>HQ</x:v>
      </x:c>
      <x:c r="C2475" s="5" t="str">
        <x:v>8</x:v>
      </x:c>
      <x:c r="D2475" s="5" t="str">
        <x:v>Marketing und Vertrieb</x:v>
      </x:c>
      <x:c r="E2475" s="5" t="str">
        <x:v>Vertrieb</x:v>
      </x:c>
      <x:c r="F2475" s="5" t="str">
        <x:v>ui-hq-0030</x:v>
      </x:c>
      <x:c r="G2475" s="5" t="str">
        <x:v>Internationale Geschäftsbeziehungen und Geschäftsentwicklung</x:v>
      </x:c>
      <x:c r="H2475" s="5" t="str">
        <x:v>dg-hq-0131</x:v>
      </x:c>
      <x:c r="I2475" s="5" t="str">
        <x:v>8.4.3</x:v>
      </x:c>
      <x:c r="J2475" s="5" t="str">
        <x:v>Interkulturelle Kommunikationsdimensionen</x:v>
      </x:c>
      <x:c r="K2475" s="5" t="str"/>
      <x:c r="L2475" s="5" t="str">
        <x:v>Interkulturelle Kommunikation</x:v>
      </x:c>
      <x:c r="M2475" s="5" t="n">
        <x:v>24</x:v>
      </x:c>
      <x:c r="N2475" s="5" t="n">
        <x:v>5</x:v>
      </x:c>
      <x:c r="O2475" s="5" t="str"/>
      <x:c r="P2475" s="5" t="str">
        <x:v>Zuordnungsvorschlag; Fachfreigabe ausstehend</x:v>
      </x:c>
      <x:c r="Q2475" s="5" t="str">
        <x:v>Bestehendes Lernthema fachlich unter passendem Rahmenplan-Unterbereich behalten</x:v>
      </x:c>
      <x:c r="R2475" s="5" t="str">
        <x:v>Erläutern Sie fünf Kulturdimensionen nach Trompenaars/Hampden-Turner und zeigen Sie jeweils kurz, wie sich eine unterschiedliche Ausprägung auf internationale Geschäftsbeziehungen auswirken kann.</x:v>
      </x:c>
      <x:c r="S2475" s="5" t="str">
        <x:v>a907743f548850a142a78cea404a07184fc616f955613130bbd1173cc4ab41cb</x:v>
      </x:c>
    </x:row>
    <x:row r="2476" ht="36" customHeight="1">
      <x:c r="A2476" s="5" t="str">
        <x:v>V-0073</x:v>
      </x:c>
      <x:c r="B2476" s="5" t="str">
        <x:v>HQ</x:v>
      </x:c>
      <x:c r="C2476" s="5" t="str">
        <x:v>8</x:v>
      </x:c>
      <x:c r="D2476" s="5" t="str">
        <x:v>Marketing und Vertrieb</x:v>
      </x:c>
      <x:c r="E2476" s="5" t="str">
        <x:v>Vertrieb</x:v>
      </x:c>
      <x:c r="F2476" s="5" t="str">
        <x:v>ui-hq-0030</x:v>
      </x:c>
      <x:c r="G2476" s="5" t="str">
        <x:v>Internationale Geschäftsbeziehungen und Geschäftsentwicklung</x:v>
      </x:c>
      <x:c r="H2476" s="5" t="str">
        <x:v>dg-hq-0131</x:v>
      </x:c>
      <x:c r="I2476" s="5" t="str">
        <x:v>8.4.3</x:v>
      </x:c>
      <x:c r="J2476" s="5" t="str">
        <x:v>Interkulturelle Kommunikationsdimensionen</x:v>
      </x:c>
      <x:c r="K2476" s="5" t="str"/>
      <x:c r="L2476" s="5" t="str">
        <x:v>Interkulturelle Kommunikation</x:v>
      </x:c>
      <x:c r="M2476" s="5" t="n">
        <x:v>25</x:v>
      </x:c>
      <x:c r="N2476" s="5" t="n">
        <x:v>6</x:v>
      </x:c>
      <x:c r="O2476" s="5" t="str"/>
      <x:c r="P2476" s="5" t="str">
        <x:v>Zuordnungsvorschlag; Fachfreigabe ausstehend</x:v>
      </x:c>
      <x:c r="Q2476" s="5" t="str">
        <x:v>Bestehendes Lernthema fachlich unter passendem Rahmenplan-Unterbereich behalten</x:v>
      </x:c>
      <x:c r="R2476" s="5" t="str">
        <x:v>Circle Harbor möchte ein bestehendes Angebot in einen kulturell deutlich unterschiedlichen Auslandsmarkt übertragen. Erläutern Sie anhand von Produkt-, Kommunikations- und Distributionspolitik, wie kulturelle Unterschiede Anpassungen des Marketing- und Vertriebskonzepts erforderlich machen können.</x:v>
      </x:c>
      <x:c r="S2476" s="5" t="str">
        <x:v>e1ef8db6378ad2c49ceb63aadc4b9b31c4cb234a53e07c6605bb1654a45bce60</x:v>
      </x:c>
    </x:row>
    <x:row r="2477" ht="36" customHeight="1">
      <x:c r="A2477" s="5" t="str">
        <x:v>V-0074</x:v>
      </x:c>
      <x:c r="B2477" s="5" t="str">
        <x:v>HQ</x:v>
      </x:c>
      <x:c r="C2477" s="5" t="str">
        <x:v>8</x:v>
      </x:c>
      <x:c r="D2477" s="5" t="str">
        <x:v>Marketing und Vertrieb</x:v>
      </x:c>
      <x:c r="E2477" s="5" t="str">
        <x:v>Vertrieb</x:v>
      </x:c>
      <x:c r="F2477" s="5" t="str">
        <x:v>ui-hq-0031</x:v>
      </x:c>
      <x:c r="G2477" s="5" t="str">
        <x:v>Spezielle Rechtsaspekte</x:v>
      </x:c>
      <x:c r="H2477" s="5" t="str">
        <x:v>dg-hq-0132</x:v>
      </x:c>
      <x:c r="I2477" s="5" t="str">
        <x:v>8.5.1</x:v>
      </x:c>
      <x:c r="J2477" s="5" t="str">
        <x:v>Wettbewerbsrecht</x:v>
      </x:c>
      <x:c r="K2477" s="5" t="str"/>
      <x:c r="L2477" s="5" t="str">
        <x:v>Wettbewerbsrecht – UWG &amp; GWB</x:v>
      </x:c>
      <x:c r="M2477" s="5" t="n">
        <x:v>14</x:v>
      </x:c>
      <x:c r="N2477" s="5" t="n">
        <x:v>6</x:v>
      </x:c>
      <x:c r="O2477" s="5" t="str"/>
      <x:c r="P2477" s="5" t="str">
        <x:v>Zuordnungsvorschlag; Fachfreigabe ausstehend</x:v>
      </x:c>
      <x:c r="Q2477" s="5" t="str">
        <x:v>Bestehendes Lernthema fachlich unter passendem Rahmenplan-Unterbereich behalten</x:v>
      </x:c>
      <x:c r="R2477" s="5" t="str">
        <x:v>Prüfen Sie drei typische UWG-Fälle: Ein Unternehmen verschweigt eine wesentliche Preisbedingung, setzt Kunden mit unangemessenem Druck zum sofortigen Abschluss und vergleicht sein Produkt sachlich mit einem Wettbewerber. Erläutern Sie, welche rechtlichen Prüfbereiche betroffen sind und wann vergleichende Werbung zulässig sein kann.</x:v>
      </x:c>
      <x:c r="S2477" s="5" t="str">
        <x:v>7f851f4c9245d9a6f7a2b89d978af890a66df15e22d7385ebde5c408490c6e9f</x:v>
      </x:c>
    </x:row>
    <x:row r="2478" ht="36" customHeight="1">
      <x:c r="A2478" s="5" t="str">
        <x:v>V-0075</x:v>
      </x:c>
      <x:c r="B2478" s="5" t="str">
        <x:v>HQ</x:v>
      </x:c>
      <x:c r="C2478" s="5" t="str">
        <x:v>8</x:v>
      </x:c>
      <x:c r="D2478" s="5" t="str">
        <x:v>Marketing und Vertrieb</x:v>
      </x:c>
      <x:c r="E2478" s="5" t="str">
        <x:v>Vertrieb</x:v>
      </x:c>
      <x:c r="F2478" s="5" t="str">
        <x:v>ui-hq-0031</x:v>
      </x:c>
      <x:c r="G2478" s="5" t="str">
        <x:v>Spezielle Rechtsaspekte</x:v>
      </x:c>
      <x:c r="H2478" s="5" t="str">
        <x:v>dg-hq-0132</x:v>
      </x:c>
      <x:c r="I2478" s="5" t="str">
        <x:v>8.5.1</x:v>
      </x:c>
      <x:c r="J2478" s="5" t="str">
        <x:v>Wettbewerbsrecht</x:v>
      </x:c>
      <x:c r="K2478" s="5" t="str"/>
      <x:c r="L2478" s="5" t="str">
        <x:v>Wettbewerbsrecht – UWG &amp; GWB</x:v>
      </x:c>
      <x:c r="M2478" s="5" t="n">
        <x:v>15</x:v>
      </x:c>
      <x:c r="N2478" s="5" t="n">
        <x:v>7</x:v>
      </x:c>
      <x:c r="O2478" s="5" t="str"/>
      <x:c r="P2478" s="5" t="str">
        <x:v>Zuordnungsvorschlag; Fachfreigabe ausstehend</x:v>
      </x:c>
      <x:c r="Q2478" s="5" t="str">
        <x:v>Bestehendes Lernthema fachlich unter passendem Rahmenplan-Unterbereich behalten</x:v>
      </x:c>
      <x:c r="R2478" s="5" t="str">
        <x:v>Ein marktstarkes Unternehmen verlangt von abhängigen Handelspartnern sachlich nicht gerechtfertigte Sondervorteile, verweigert einzelnen Abnehmern ohne nachvollziehbaren Grund die Belieferung und versucht andere Händler zu einer Bezugssperre gegen einen Wettbewerber zu bewegen. Ordnen Sie die Fälle in die Systematik des GWB ein und erläutern Sie zusätzlich die Funktion der Fusionskontrolle.</x:v>
      </x:c>
      <x:c r="S2478" s="5" t="str">
        <x:v>3851ceecb779dba7174a4d085c61c9b8e9301fa57646293ac145365c68601141</x:v>
      </x:c>
    </x:row>
    <x:row r="2479" ht="36" customHeight="1">
      <x:c r="A2479" s="5" t="str">
        <x:v>V-0076</x:v>
      </x:c>
      <x:c r="B2479" s="5" t="str">
        <x:v>HQ</x:v>
      </x:c>
      <x:c r="C2479" s="5" t="str">
        <x:v>8</x:v>
      </x:c>
      <x:c r="D2479" s="5" t="str">
        <x:v>Marketing und Vertrieb</x:v>
      </x:c>
      <x:c r="E2479" s="5" t="str">
        <x:v>Vertrieb</x:v>
      </x:c>
      <x:c r="F2479" s="5" t="str">
        <x:v>ui-hq-0031</x:v>
      </x:c>
      <x:c r="G2479" s="5" t="str">
        <x:v>Spezielle Rechtsaspekte</x:v>
      </x:c>
      <x:c r="H2479" s="5" t="str">
        <x:v>dg-hq-0133</x:v>
      </x:c>
      <x:c r="I2479" s="5" t="str">
        <x:v>8.5.2.1</x:v>
      </x:c>
      <x:c r="J2479" s="5" t="str">
        <x:v>Schutz von Marken und geschäftlichen Bezeichnungen</x:v>
      </x:c>
      <x:c r="K2479" s="5" t="str"/>
      <x:c r="L2479" s="5" t="str">
        <x:v>Markenrecht</x:v>
      </x:c>
      <x:c r="M2479" s="5" t="n">
        <x:v>16</x:v>
      </x:c>
      <x:c r="N2479" s="5" t="n">
        <x:v>6</x:v>
      </x:c>
      <x:c r="O2479" s="5" t="str"/>
      <x:c r="P2479" s="5" t="str">
        <x:v>Zuordnungsvorschlag; Fachfreigabe ausstehend</x:v>
      </x:c>
      <x:c r="Q2479" s="5" t="str">
        <x:v>Bestehendes Lernthema fachlich unter passendem Rahmenplan-Unterbereich behalten</x:v>
      </x:c>
      <x:c r="R2479" s="5" t="str">
        <x:v>Circle Harbor will eine neue Marke in mehreren Märkten einführen. Entwickeln Sie eine sinnvolle Vorgehensweise von der Vorbereitung der Markenanmeldung bis zur laufenden Überwachung nach der Registrierung.</x:v>
      </x:c>
      <x:c r="S2479" s="5" t="str">
        <x:v>e99625fc39f59aae55b5dabe812dd18fa260775b8b8a47b1b37ff953f39a7251</x:v>
      </x:c>
    </x:row>
    <x:row r="2480" ht="36" customHeight="1">
      <x:c r="A2480" s="5" t="str">
        <x:v>V-0077</x:v>
      </x:c>
      <x:c r="B2480" s="5" t="str">
        <x:v>HQ</x:v>
      </x:c>
      <x:c r="C2480" s="5" t="str">
        <x:v>8</x:v>
      </x:c>
      <x:c r="D2480" s="5" t="str">
        <x:v>Marketing und Vertrieb</x:v>
      </x:c>
      <x:c r="E2480" s="5" t="str">
        <x:v>Vertrieb</x:v>
      </x:c>
      <x:c r="F2480" s="5" t="str">
        <x:v>ui-hq-0031</x:v>
      </x:c>
      <x:c r="G2480" s="5" t="str">
        <x:v>Spezielle Rechtsaspekte</x:v>
      </x:c>
      <x:c r="H2480" s="5" t="str">
        <x:v>dg-hq-0134</x:v>
      </x:c>
      <x:c r="I2480" s="5" t="str">
        <x:v>8.5.3.1</x:v>
      </x:c>
      <x:c r="J2480" s="5" t="str">
        <x:v>Besonderheiten des Verbrauchsgüterkaufs</x:v>
      </x:c>
      <x:c r="K2480" s="5" t="str"/>
      <x:c r="L2480" s="5" t="str">
        <x:v>Verbraucherschutz &amp; AGB</x:v>
      </x:c>
      <x:c r="M2480" s="5" t="n">
        <x:v>17</x:v>
      </x:c>
      <x:c r="N2480" s="5" t="n">
        <x:v>2</x:v>
      </x:c>
      <x:c r="O2480" s="5" t="str"/>
      <x:c r="P2480" s="5" t="str">
        <x:v>Zuordnungsvorschlag; Fachfreigabe ausstehend</x:v>
      </x:c>
      <x:c r="Q2480" s="5" t="str">
        <x:v>Gezielt geprüfter Einzelbeleg</x:v>
      </x:c>
      <x:c r="R2480" s="5" t="str">
        <x:v>Bei einem Verbrauchsgüterkauf wird eine Ware durch einen vom Händler ausgewählten Paketdienst versandt und geht auf dem Transport verloren. Monate später entsteht außerdem ein berechtigter Mängelfall beim Ersatzgerät. Erläutern Sie Gefahrtragung beim Versand, die regelmäßige Verjährung von Mängelansprüchen und die Grundidee des Rückgriffs des Verkäufers in der Lieferkette.</x:v>
      </x:c>
      <x:c r="S2480" s="5" t="str">
        <x:v>0a15702c9b88fee118a87e2544968fc54b9f2aa41ce0332f4cf239d17dcf36cc</x:v>
      </x:c>
    </x:row>
    <x:row r="2481" ht="36" customHeight="1">
      <x:c r="A2481" s="5" t="str">
        <x:v>V-0078</x:v>
      </x:c>
      <x:c r="B2481" s="5" t="str">
        <x:v>HQ</x:v>
      </x:c>
      <x:c r="C2481" s="5" t="str">
        <x:v>8</x:v>
      </x:c>
      <x:c r="D2481" s="5" t="str">
        <x:v>Marketing und Vertrieb</x:v>
      </x:c>
      <x:c r="E2481" s="5" t="str">
        <x:v>Vertrieb</x:v>
      </x:c>
      <x:c r="F2481" s="5" t="str">
        <x:v>ui-hq-0031</x:v>
      </x:c>
      <x:c r="G2481" s="5" t="str">
        <x:v>Spezielle Rechtsaspekte</x:v>
      </x:c>
      <x:c r="H2481" s="5" t="str">
        <x:v>dg-hq-0135</x:v>
      </x:c>
      <x:c r="I2481" s="5" t="str">
        <x:v>8.5.3.2</x:v>
      </x:c>
      <x:c r="J2481" s="5" t="str">
        <x:v>Widerrufsrecht bei Verbraucherverträgen</x:v>
      </x:c>
      <x:c r="K2481" s="5" t="str"/>
      <x:c r="L2481" s="5" t="str">
        <x:v>Verbraucherschutz &amp; AGB</x:v>
      </x:c>
      <x:c r="M2481" s="5" t="n">
        <x:v>18</x:v>
      </x:c>
      <x:c r="N2481" s="5" t="n">
        <x:v>3</x:v>
      </x:c>
      <x:c r="O2481" s="5" t="str"/>
      <x:c r="P2481" s="5" t="str">
        <x:v>Zuordnungsvorschlag; Fachfreigabe ausstehend</x:v>
      </x:c>
      <x:c r="Q2481" s="5" t="str">
        <x:v>Bestehendes Lernthema fachlich unter passendem Rahmenplan-Unterbereich behalten</x:v>
      </x:c>
      <x:c r="R2481" s="5" t="str">
        <x:v>Nennen und erläutern Sie mindestens fünf typische Fälle, in denen bei einem Fernabsatzvertrag das gesetzliche Widerrufsrecht nach § 312g BGB nicht besteht. Begründen Sie den gemeinsamen Zweck dieser Ausnahmen.</x:v>
      </x:c>
      <x:c r="S2481" s="5" t="str">
        <x:v>e302e456540e3b45c2d0c394f051e3f2b35ab1bcbdefb5fed0216b40a173cc68</x:v>
      </x:c>
    </x:row>
    <x:row r="2482" ht="36" customHeight="1">
      <x:c r="A2482" s="5" t="str">
        <x:v>V-0079</x:v>
      </x:c>
      <x:c r="B2482" s="5" t="str">
        <x:v>HQ</x:v>
      </x:c>
      <x:c r="C2482" s="5" t="str">
        <x:v>8</x:v>
      </x:c>
      <x:c r="D2482" s="5" t="str">
        <x:v>Marketing und Vertrieb</x:v>
      </x:c>
      <x:c r="E2482" s="5" t="str">
        <x:v>Vertrieb</x:v>
      </x:c>
      <x:c r="F2482" s="5" t="str">
        <x:v>ui-hq-0031</x:v>
      </x:c>
      <x:c r="G2482" s="5" t="str">
        <x:v>Spezielle Rechtsaspekte</x:v>
      </x:c>
      <x:c r="H2482" s="5" t="str">
        <x:v>dg-hq-0135</x:v>
      </x:c>
      <x:c r="I2482" s="5" t="str">
        <x:v>8.5.3.3</x:v>
      </x:c>
      <x:c r="J2482" s="5" t="str">
        <x:v>Einbeziehung und Inhaltskontrolle von AGB</x:v>
      </x:c>
      <x:c r="K2482" s="5" t="str"/>
      <x:c r="L2482" s="5" t="str">
        <x:v>Verbraucherschutz &amp; AGB</x:v>
      </x:c>
      <x:c r="M2482" s="5" t="n">
        <x:v>19</x:v>
      </x:c>
      <x:c r="N2482" s="5" t="n">
        <x:v>4</x:v>
      </x:c>
      <x:c r="O2482" s="5" t="str"/>
      <x:c r="P2482" s="5" t="str">
        <x:v>Zuordnungsvorschlag; Fachfreigabe ausstehend</x:v>
      </x:c>
      <x:c r="Q2482" s="5" t="str">
        <x:v>Bestehendes Lernthema fachlich unter passendem Rahmenplan-Unterbereich behalten</x:v>
      </x:c>
      <x:c r="R2482" s="5" t="str">
        <x:v>Prüfen Sie AGB systematisch: Welche Bedeutung haben Individualabreden und überraschende Klauseln, wie erfolgt die Inhaltskontrolle nach §§ 307–309 BGB und welche Rechtsfolge hat eine unwirksame AGB-Klausel grundsätzlich?</x:v>
      </x:c>
      <x:c r="S2482" s="5" t="str">
        <x:v>7224d807e043743bbd2ad4eaf17795c1fe20e45a3c4705a50a4d324ea9adbb69</x:v>
      </x:c>
    </x:row>
    <x:row r="2483" ht="36" customHeight="1">
      <x:c r="A2483" s="5" t="str">
        <x:v>V-0080</x:v>
      </x:c>
      <x:c r="B2483" s="5" t="str">
        <x:v>HQ</x:v>
      </x:c>
      <x:c r="C2483" s="5" t="str">
        <x:v>8</x:v>
      </x:c>
      <x:c r="D2483" s="5" t="str">
        <x:v>Marketing und Vertrieb</x:v>
      </x:c>
      <x:c r="E2483" s="5" t="str">
        <x:v>Vertrieb</x:v>
      </x:c>
      <x:c r="F2483" s="5" t="str">
        <x:v>ui-hq-0029</x:v>
      </x:c>
      <x:c r="G2483" s="5" t="str">
        <x:v>Vertriebsmanagement</x:v>
      </x:c>
      <x:c r="H2483" s="5" t="str">
        <x:v>dg-hq-0127</x:v>
      </x:c>
      <x:c r="I2483" s="5" t="str">
        <x:v>8.3.1</x:v>
      </x:c>
      <x:c r="J2483" s="5" t="str">
        <x:v>Vertriebsorganisation</x:v>
      </x:c>
      <x:c r="K2483" s="5" t="str"/>
      <x:c r="L2483" s="5" t="str">
        <x:v>Vertriebsorganisation &amp; Key-Account-Management</x:v>
      </x:c>
      <x:c r="M2483" s="5" t="n">
        <x:v>36</x:v>
      </x:c>
      <x:c r="N2483" s="5" t="n">
        <x:v>26</x:v>
      </x:c>
      <x:c r="O2483" s="5" t="str"/>
      <x:c r="P2483" s="5" t="str">
        <x:v>Zuordnungsvorschlag; Fachfreigabe ausstehend</x:v>
      </x:c>
      <x:c r="Q2483" s="5" t="str">
        <x:v>Bestehendes Lernthema fachlich unter passendem Rahmenplan-Unterbereich behalten</x:v>
      </x:c>
      <x:c r="R2483" s="5" t="str">
        <x:v>Die Circle Harbor GmbH möchte in einer zweidimensionalen Matrixorganisation gleichzeitig unterschiedliche Produkte, Kundengruppen und Vertriebsfunktionen berücksichtigen. Nennen Sie drei mögliche Matrixvarianten, erläutern Sie am Beispiel einer Produkt-Funktions-Matrix die typische Kompetenzverteilung zwischen Produktmanagement und Funktionsmanagement und nennen Sie zwei Vorteile sowie zwei Nachteile einer Matrixorganisation.</x:v>
      </x:c>
      <x:c r="S2483" s="5" t="str">
        <x:v>b48f8dd9754c16e04e6b30b447bdf8487b118c747dc5694cb710158ddf751a0a</x:v>
      </x:c>
    </x:row>
    <x:row r="2484" ht="36" customHeight="1">
      <x:c r="A2484" s="5" t="str">
        <x:v>V-0081</x:v>
      </x:c>
      <x:c r="B2484" s="5" t="str">
        <x:v>HQ</x:v>
      </x:c>
      <x:c r="C2484" s="5" t="str">
        <x:v>8</x:v>
      </x:c>
      <x:c r="D2484" s="5" t="str">
        <x:v>Marketing und Vertrieb</x:v>
      </x:c>
      <x:c r="E2484" s="5" t="str">
        <x:v>Vertrieb</x:v>
      </x:c>
      <x:c r="F2484" s="5" t="str">
        <x:v>ui-hq-0029</x:v>
      </x:c>
      <x:c r="G2484" s="5" t="str">
        <x:v>Vertriebsmanagement</x:v>
      </x:c>
      <x:c r="H2484" s="5" t="str">
        <x:v>dg-hq-0128</x:v>
      </x:c>
      <x:c r="I2484" s="5" t="str">
        <x:v>8.3.2</x:v>
      </x:c>
      <x:c r="J2484" s="5" t="str">
        <x:v>Vertriebscontrolling</x:v>
      </x:c>
      <x:c r="K2484" s="5" t="str"/>
      <x:c r="L2484" s="5" t="str">
        <x:v>Vertriebscontrolling</x:v>
      </x:c>
      <x:c r="M2484" s="5" t="n">
        <x:v>37</x:v>
      </x:c>
      <x:c r="N2484" s="5" t="n">
        <x:v>11</x:v>
      </x:c>
      <x:c r="O2484" s="5" t="str"/>
      <x:c r="P2484" s="5" t="str">
        <x:v>Zuordnungsvorschlag; Fachfreigabe ausstehend</x:v>
      </x:c>
      <x:c r="Q2484" s="5" t="str">
        <x:v>Bestehendes Lernthema fachlich unter passendem Rahmenplan-Unterbereich behalten</x:v>
      </x:c>
      <x:c r="R2484" s="5" t="str">
        <x:v>Circle Harbor analysiert 100 Bestandskunden nach Umsatz. 15 A-Kunden erzielen 82 % des Umsatzes, 25 B-Kunden 13 % und 60 C-Kunden 5 %. Interpretieren Sie die Konzentration, leiten Sie für A-, B- und C-Kunden jeweils eine sinnvolle Vertriebsmaßnahme ab und erläutern Sie zwei Risiken einer rein umsatzbezogenen ABC-Klassifikation.</x:v>
      </x:c>
      <x:c r="S2484" s="5" t="str">
        <x:v>19276ba44ebcb17307af867cb3f3fe31cb0883cbdbbfa7eb55efb27745046a80</x:v>
      </x:c>
    </x:row>
    <x:row r="2485" ht="36" customHeight="1">
      <x:c r="A2485" s="5" t="str">
        <x:v>V-0082</x:v>
      </x:c>
      <x:c r="B2485" s="5" t="str">
        <x:v>HQ</x:v>
      </x:c>
      <x:c r="C2485" s="5" t="str">
        <x:v>8</x:v>
      </x:c>
      <x:c r="D2485" s="5" t="str">
        <x:v>Marketing und Vertrieb</x:v>
      </x:c>
      <x:c r="E2485" s="5" t="str">
        <x:v>Vertrieb</x:v>
      </x:c>
      <x:c r="F2485" s="5" t="str">
        <x:v>ui-hq-0029</x:v>
      </x:c>
      <x:c r="G2485" s="5" t="str">
        <x:v>Vertriebsmanagement</x:v>
      </x:c>
      <x:c r="H2485" s="5" t="str">
        <x:v>dg-hq-0128</x:v>
      </x:c>
      <x:c r="I2485" s="5" t="str">
        <x:v>8.3.2</x:v>
      </x:c>
      <x:c r="J2485" s="5" t="str">
        <x:v>Vertriebscontrolling</x:v>
      </x:c>
      <x:c r="K2485" s="5" t="str"/>
      <x:c r="L2485" s="5" t="str">
        <x:v>Vertriebscontrolling</x:v>
      </x:c>
      <x:c r="M2485" s="5" t="n">
        <x:v>38</x:v>
      </x:c>
      <x:c r="N2485" s="5" t="n">
        <x:v>12</x:v>
      </x:c>
      <x:c r="O2485" s="5" t="str"/>
      <x:c r="P2485" s="5" t="str">
        <x:v>Zuordnungsvorschlag; Fachfreigabe ausstehend</x:v>
      </x:c>
      <x:c r="Q2485" s="5" t="str">
        <x:v>Bestehendes Lernthema fachlich unter passendem Rahmenplan-Unterbereich behalten</x:v>
      </x:c>
      <x:c r="R2485" s="5" t="str">
        <x:v>Ordnen Sie Vertriebskennzahlen systematisch ein. Erklären Sie erst den Unterschied zwischen absoluten und relativen Kennzahlen sowie zwischen zeitraum- und zeitpunktbezogenen Kennzahlen. Ordnen Sie anschließend die Beispiele Jahresumsatz, Umsatz je Kunde, Auftragseingang im Monat und Auftragsbestand am 31. Dezember zu.</x:v>
      </x:c>
      <x:c r="S2485" s="5" t="str">
        <x:v>6af6c5830c8ec07bb639cb32b637e1621d6be30465af976f9a9eb29c3701dcdd</x:v>
      </x:c>
    </x:row>
    <x:row r="2486" ht="36" customHeight="1">
      <x:c r="A2486" s="5" t="str">
        <x:v>V-0083</x:v>
      </x:c>
      <x:c r="B2486" s="5" t="str">
        <x:v>HQ</x:v>
      </x:c>
      <x:c r="C2486" s="5" t="str">
        <x:v>8</x:v>
      </x:c>
      <x:c r="D2486" s="5" t="str">
        <x:v>Marketing und Vertrieb</x:v>
      </x:c>
      <x:c r="E2486" s="5" t="str">
        <x:v>Vertrieb</x:v>
      </x:c>
      <x:c r="F2486" s="5" t="str">
        <x:v>ui-hq-0030</x:v>
      </x:c>
      <x:c r="G2486" s="5" t="str">
        <x:v>Internationale Geschäftsbeziehungen und Geschäftsentwicklung</x:v>
      </x:c>
      <x:c r="H2486" s="5" t="str">
        <x:v>dg-hq-0129</x:v>
      </x:c>
      <x:c r="I2486" s="5" t="str">
        <x:v>8.4.1</x:v>
      </x:c>
      <x:c r="J2486" s="5" t="str">
        <x:v>Einführung in den Außenhandel</x:v>
      </x:c>
      <x:c r="K2486" s="5" t="str"/>
      <x:c r="L2486" s="5" t="str">
        <x:v>Außenhandel &amp; Handelspolitik</x:v>
      </x:c>
      <x:c r="M2486" s="5" t="n">
        <x:v>26</x:v>
      </x:c>
      <x:c r="N2486" s="5" t="n">
        <x:v>12</x:v>
      </x:c>
      <x:c r="O2486" s="5" t="str"/>
      <x:c r="P2486" s="5" t="str">
        <x:v>Zuordnungsvorschlag; Fachfreigabe ausstehend</x:v>
      </x:c>
      <x:c r="Q2486" s="5" t="str">
        <x:v>Bestehendes Lernthema fachlich unter passendem Rahmenplan-Unterbereich behalten</x:v>
      </x:c>
      <x:c r="R2486" s="5" t="str">
        <x:v>Circle Harbor verkauft in Schweden über einen dort ansässigen selbstständigen Handelsagenten. In Deutschland wird kein selbstständiges Außenhandels- oder Exportunternehmen eingeschaltet. Handelt es sich um direkten oder indirekten Export? Begründen Sie die Abgrenzung und erklären Sie, wie sich die Einordnung ändern würde, wenn stattdessen ein selbstständiges deutsches Exportunternehmen zwischengeschaltet wird.</x:v>
      </x:c>
      <x:c r="S2486" s="5" t="str">
        <x:v>07ab800144503a1da427cca85fa5bb93c850b634c5b5a84c69d1a90031e9794a</x:v>
      </x:c>
    </x:row>
    <x:row r="2487" ht="36" customHeight="1">
      <x:c r="A2487" s="5" t="str">
        <x:v>V-0084</x:v>
      </x:c>
      <x:c r="B2487" s="5" t="str">
        <x:v>HQ</x:v>
      </x:c>
      <x:c r="C2487" s="5" t="str">
        <x:v>8</x:v>
      </x:c>
      <x:c r="D2487" s="5" t="str">
        <x:v>Marketing und Vertrieb</x:v>
      </x:c>
      <x:c r="E2487" s="5" t="str">
        <x:v>Vertrieb</x:v>
      </x:c>
      <x:c r="F2487" s="5" t="str">
        <x:v>ui-hq-0030</x:v>
      </x:c>
      <x:c r="G2487" s="5" t="str">
        <x:v>Internationale Geschäftsbeziehungen und Geschäftsentwicklung</x:v>
      </x:c>
      <x:c r="H2487" s="5" t="str">
        <x:v>dg-hq-0130</x:v>
      </x:c>
      <x:c r="I2487" s="5" t="str">
        <x:v>8.4.2</x:v>
      </x:c>
      <x:c r="J2487" s="5" t="str">
        <x:v>Kooperationen im Außenhandel</x:v>
      </x:c>
      <x:c r="K2487" s="5" t="str"/>
      <x:c r="L2487" s="5" t="str">
        <x:v>Internationale Kooperationen &amp; Markteintritt</x:v>
      </x:c>
      <x:c r="M2487" s="5" t="n">
        <x:v>27</x:v>
      </x:c>
      <x:c r="N2487" s="5" t="n">
        <x:v>9</x:v>
      </x:c>
      <x:c r="O2487" s="5" t="str"/>
      <x:c r="P2487" s="5" t="str">
        <x:v>Zuordnungsvorschlag; Fachfreigabe ausstehend</x:v>
      </x:c>
      <x:c r="Q2487" s="5" t="str">
        <x:v>Bestehendes Lernthema fachlich unter passendem Rahmenplan-Unterbereich behalten</x:v>
      </x:c>
      <x:c r="R2487" s="5" t="str">
        <x:v>Circle Harbor plant eine Direktinvestition in einem neuen Auslandsmarkt und vergleicht den organischen Aufbau einer eigenen Tochtergesellschaft mit der Übernahme eines bereits bestehenden Unternehmens. Erläutern Sie beide Markteintrittsformen und nennen Sie jeweils mindestens zwei Vorteile und zwei Nachteile.</x:v>
      </x:c>
      <x:c r="S2487" s="5" t="str">
        <x:v>f65f719fe47c12e2e0a4724e6430c291b0c5c086bf2f90f8a4a35aa64228c4a7</x:v>
      </x:c>
    </x:row>
    <x:row r="2488" ht="36" customHeight="1">
      <x:c r="A2488" s="5" t="str">
        <x:v>PF-0001</x:v>
      </x:c>
      <x:c r="B2488" s="5" t="str">
        <x:v>HQ</x:v>
      </x:c>
      <x:c r="C2488" s="5" t="str">
        <x:v>9</x:v>
      </x:c>
      <x:c r="D2488" s="5" t="str">
        <x:v>Führung und Zusammenarbeit</x:v>
      </x:c>
      <x:c r="E2488" s="5" t="str">
        <x:v>Führung und Zusammenarbeit</x:v>
      </x:c>
      <x:c r="F2488" s="5" t="str">
        <x:v>ui-hq-0032</x:v>
      </x:c>
      <x:c r="G2488" s="5" t="str">
        <x:v>Zusammenarbeit, Kommunikation und Kooperation</x:v>
      </x:c>
      <x:c r="H2488" s="5" t="str">
        <x:v>dg-hq-0001</x:v>
      </x:c>
      <x:c r="I2488" s="5" t="str">
        <x:v>9.1.4</x:v>
      </x:c>
      <x:c r="J2488" s="5" t="str">
        <x:v>Zielorientiertes Führen</x:v>
      </x:c>
      <x:c r="K2488" s="5" t="str"/>
      <x:c r="L2488" s="5" t="str">
        <x:v>Zielorientierte Führung &amp; Führungskonzepte</x:v>
      </x:c>
      <x:c r="M2488" s="5" t="n">
        <x:v>1</x:v>
      </x:c>
      <x:c r="N2488" s="5" t="n">
        <x:v>1</x:v>
      </x:c>
      <x:c r="O2488" s="5" t="str"/>
      <x:c r="P2488" s="5" t="str">
        <x:v>Zuordnungsvorschlag; Fachfreigabe ausstehend</x:v>
      </x:c>
      <x:c r="Q2488" s="5" t="str">
        <x:v>Bestehendes Lernthema fachlich unter passendem Rahmenplan-Unterbereich behalten</x:v>
      </x:c>
      <x:c r="R2488" s="5" t="str">
        <x:v>Was ist Personalführung?</x:v>
      </x:c>
      <x:c r="S2488" s="5" t="str">
        <x:v>fdf41efcab9afa1ef69aef841ff3235105bc833b417ae7a90e214032857c7c56</x:v>
      </x:c>
    </x:row>
    <x:row r="2489" ht="36" customHeight="1">
      <x:c r="A2489" s="5" t="str">
        <x:v>PF-0002</x:v>
      </x:c>
      <x:c r="B2489" s="5" t="str">
        <x:v>HQ</x:v>
      </x:c>
      <x:c r="C2489" s="5" t="str">
        <x:v>9</x:v>
      </x:c>
      <x:c r="D2489" s="5" t="str">
        <x:v>Führung und Zusammenarbeit</x:v>
      </x:c>
      <x:c r="E2489" s="5" t="str">
        <x:v>Führung und Zusammenarbeit</x:v>
      </x:c>
      <x:c r="F2489" s="5" t="str">
        <x:v>ui-hq-0032</x:v>
      </x:c>
      <x:c r="G2489" s="5" t="str">
        <x:v>Zusammenarbeit, Kommunikation und Kooperation</x:v>
      </x:c>
      <x:c r="H2489" s="5" t="str">
        <x:v>dg-hq-0001</x:v>
      </x:c>
      <x:c r="I2489" s="5" t="str">
        <x:v>9.1.4</x:v>
      </x:c>
      <x:c r="J2489" s="5" t="str">
        <x:v>Zielorientiertes Führen</x:v>
      </x:c>
      <x:c r="K2489" s="5" t="str"/>
      <x:c r="L2489" s="5" t="str">
        <x:v>Zielorientierte Führung &amp; Führungskonzepte</x:v>
      </x:c>
      <x:c r="M2489" s="5" t="n">
        <x:v>2</x:v>
      </x:c>
      <x:c r="N2489" s="5" t="n">
        <x:v>2</x:v>
      </x:c>
      <x:c r="O2489" s="5" t="str"/>
      <x:c r="P2489" s="5" t="str">
        <x:v>Zuordnungsvorschlag; Fachfreigabe ausstehend</x:v>
      </x:c>
      <x:c r="Q2489" s="5" t="str">
        <x:v>Bestehendes Lernthema fachlich unter passendem Rahmenplan-Unterbereich behalten</x:v>
      </x:c>
      <x:c r="R2489" s="5" t="str">
        <x:v>Welche Führungstechniken kennen Sie?</x:v>
      </x:c>
      <x:c r="S2489" s="5" t="str">
        <x:v>625691b75111c04c1bf766c47ad2c5849e3609c59f7fbe5e77df6df114f584ec</x:v>
      </x:c>
    </x:row>
    <x:row r="2490" ht="36" customHeight="1">
      <x:c r="A2490" s="5" t="str">
        <x:v>PF-0003</x:v>
      </x:c>
      <x:c r="B2490" s="5" t="str">
        <x:v>HQ</x:v>
      </x:c>
      <x:c r="C2490" s="5" t="str">
        <x:v>9</x:v>
      </x:c>
      <x:c r="D2490" s="5" t="str">
        <x:v>Führung und Zusammenarbeit</x:v>
      </x:c>
      <x:c r="E2490" s="5" t="str">
        <x:v>Führung und Zusammenarbeit</x:v>
      </x:c>
      <x:c r="F2490" s="5" t="str">
        <x:v>ui-hq-0032</x:v>
      </x:c>
      <x:c r="G2490" s="5" t="str">
        <x:v>Zusammenarbeit, Kommunikation und Kooperation</x:v>
      </x:c>
      <x:c r="H2490" s="5" t="str">
        <x:v>dg-hq-0001</x:v>
      </x:c>
      <x:c r="I2490" s="5" t="str">
        <x:v>9.1.4</x:v>
      </x:c>
      <x:c r="J2490" s="5" t="str">
        <x:v>Zielorientiertes Führen</x:v>
      </x:c>
      <x:c r="K2490" s="5" t="str"/>
      <x:c r="L2490" s="5" t="str">
        <x:v>Zielorientierte Führung &amp; Führungskonzepte</x:v>
      </x:c>
      <x:c r="M2490" s="5" t="n">
        <x:v>3</x:v>
      </x:c>
      <x:c r="N2490" s="5" t="n">
        <x:v>3</x:v>
      </x:c>
      <x:c r="O2490" s="5" t="str"/>
      <x:c r="P2490" s="5" t="str">
        <x:v>Zuordnungsvorschlag; Fachfreigabe ausstehend</x:v>
      </x:c>
      <x:c r="Q2490" s="5" t="str">
        <x:v>Bestehendes Lernthema fachlich unter passendem Rahmenplan-Unterbereich behalten</x:v>
      </x:c>
      <x:c r="R2490" s="5" t="str">
        <x:v>Definieren Sie Management by Rules</x:v>
      </x:c>
      <x:c r="S2490" s="5" t="str">
        <x:v>af726f90a39a5f083651489b7163f2c01b89fab30aad4c78b8129b5b7813359e</x:v>
      </x:c>
    </x:row>
    <x:row r="2491" ht="36" customHeight="1">
      <x:c r="A2491" s="5" t="str">
        <x:v>PF-0004</x:v>
      </x:c>
      <x:c r="B2491" s="5" t="str">
        <x:v>HQ</x:v>
      </x:c>
      <x:c r="C2491" s="5" t="str">
        <x:v>9</x:v>
      </x:c>
      <x:c r="D2491" s="5" t="str">
        <x:v>Führung und Zusammenarbeit</x:v>
      </x:c>
      <x:c r="E2491" s="5" t="str">
        <x:v>Führung und Zusammenarbeit</x:v>
      </x:c>
      <x:c r="F2491" s="5" t="str">
        <x:v>ui-hq-0032</x:v>
      </x:c>
      <x:c r="G2491" s="5" t="str">
        <x:v>Zusammenarbeit, Kommunikation und Kooperation</x:v>
      </x:c>
      <x:c r="H2491" s="5" t="str">
        <x:v>dg-hq-0001</x:v>
      </x:c>
      <x:c r="I2491" s="5" t="str">
        <x:v>9.1.4</x:v>
      </x:c>
      <x:c r="J2491" s="5" t="str">
        <x:v>Zielorientiertes Führen</x:v>
      </x:c>
      <x:c r="K2491" s="5" t="str"/>
      <x:c r="L2491" s="5" t="str">
        <x:v>Zielorientierte Führung &amp; Führungskonzepte</x:v>
      </x:c>
      <x:c r="M2491" s="5" t="n">
        <x:v>4</x:v>
      </x:c>
      <x:c r="N2491" s="5" t="n">
        <x:v>4</x:v>
      </x:c>
      <x:c r="O2491" s="5" t="str"/>
      <x:c r="P2491" s="5" t="str">
        <x:v>Zuordnungsvorschlag; Fachfreigabe ausstehend</x:v>
      </x:c>
      <x:c r="Q2491" s="5" t="str">
        <x:v>Bestehendes Lernthema fachlich unter passendem Rahmenplan-Unterbereich behalten</x:v>
      </x:c>
      <x:c r="R2491" s="5" t="str">
        <x:v>Nennen Sie die Aspekte von Management by Rules, die Vorteile und die Nachteile</x:v>
      </x:c>
      <x:c r="S2491" s="5" t="str">
        <x:v>57d62b51effbd200bc7e5ccb57cb65018c9b02d8d4be99eed1c16d591d427952</x:v>
      </x:c>
    </x:row>
    <x:row r="2492" ht="36" customHeight="1">
      <x:c r="A2492" s="5" t="str">
        <x:v>PF-0005</x:v>
      </x:c>
      <x:c r="B2492" s="5" t="str">
        <x:v>HQ</x:v>
      </x:c>
      <x:c r="C2492" s="5" t="str">
        <x:v>9</x:v>
      </x:c>
      <x:c r="D2492" s="5" t="str">
        <x:v>Führung und Zusammenarbeit</x:v>
      </x:c>
      <x:c r="E2492" s="5" t="str">
        <x:v>Führung und Zusammenarbeit</x:v>
      </x:c>
      <x:c r="F2492" s="5" t="str">
        <x:v>ui-hq-0032</x:v>
      </x:c>
      <x:c r="G2492" s="5" t="str">
        <x:v>Zusammenarbeit, Kommunikation und Kooperation</x:v>
      </x:c>
      <x:c r="H2492" s="5" t="str">
        <x:v>dg-hq-0001</x:v>
      </x:c>
      <x:c r="I2492" s="5" t="str">
        <x:v>9.1.4</x:v>
      </x:c>
      <x:c r="J2492" s="5" t="str">
        <x:v>Zielorientiertes Führen</x:v>
      </x:c>
      <x:c r="K2492" s="5" t="str"/>
      <x:c r="L2492" s="5" t="str">
        <x:v>Zielorientierte Führung &amp; Führungskonzepte</x:v>
      </x:c>
      <x:c r="M2492" s="5" t="n">
        <x:v>5</x:v>
      </x:c>
      <x:c r="N2492" s="5" t="n">
        <x:v>5</x:v>
      </x:c>
      <x:c r="O2492" s="5" t="str"/>
      <x:c r="P2492" s="5" t="str">
        <x:v>Zuordnungsvorschlag; Fachfreigabe ausstehend</x:v>
      </x:c>
      <x:c r="Q2492" s="5" t="str">
        <x:v>Bestehendes Lernthema fachlich unter passendem Rahmenplan-Unterbereich behalten</x:v>
      </x:c>
      <x:c r="R2492" s="5" t="str">
        <x:v>Definieren Sie Management by Objectives.</x:v>
      </x:c>
      <x:c r="S2492" s="5" t="str">
        <x:v>bcc0d4da33424ad00e3eec67c5a482db998bbe28632d0eb7fd7c9d3825239f71</x:v>
      </x:c>
    </x:row>
    <x:row r="2493" ht="36" customHeight="1">
      <x:c r="A2493" s="5" t="str">
        <x:v>PF-0006</x:v>
      </x:c>
      <x:c r="B2493" s="5" t="str">
        <x:v>HQ</x:v>
      </x:c>
      <x:c r="C2493" s="5" t="str">
        <x:v>9</x:v>
      </x:c>
      <x:c r="D2493" s="5" t="str">
        <x:v>Führung und Zusammenarbeit</x:v>
      </x:c>
      <x:c r="E2493" s="5" t="str">
        <x:v>Führung und Zusammenarbeit</x:v>
      </x:c>
      <x:c r="F2493" s="5" t="str">
        <x:v>ui-hq-0032</x:v>
      </x:c>
      <x:c r="G2493" s="5" t="str">
        <x:v>Zusammenarbeit, Kommunikation und Kooperation</x:v>
      </x:c>
      <x:c r="H2493" s="5" t="str">
        <x:v>dg-hq-0001</x:v>
      </x:c>
      <x:c r="I2493" s="5" t="str">
        <x:v>9.1.4</x:v>
      </x:c>
      <x:c r="J2493" s="5" t="str">
        <x:v>Zielorientiertes Führen</x:v>
      </x:c>
      <x:c r="K2493" s="5" t="str"/>
      <x:c r="L2493" s="5" t="str">
        <x:v>Zielorientierte Führung &amp; Führungskonzepte</x:v>
      </x:c>
      <x:c r="M2493" s="5" t="n">
        <x:v>6</x:v>
      </x:c>
      <x:c r="N2493" s="5" t="n">
        <x:v>6</x:v>
      </x:c>
      <x:c r="O2493" s="5" t="str"/>
      <x:c r="P2493" s="5" t="str">
        <x:v>Zuordnungsvorschlag; Fachfreigabe ausstehend</x:v>
      </x:c>
      <x:c r="Q2493" s="5" t="str">
        <x:v>Bestehendes Lernthema fachlich unter passendem Rahmenplan-Unterbereich behalten</x:v>
      </x:c>
      <x:c r="R2493" s="5" t="str">
        <x:v>Nennen Sie die Merkmale sowie die Vor- und Nachteile von Management by Objectives.</x:v>
      </x:c>
      <x:c r="S2493" s="5" t="str">
        <x:v>916f4b09246f87dcdb3a940a2a8e0a1e2cbf41e04b654e0071dcdc2b53620235</x:v>
      </x:c>
    </x:row>
    <x:row r="2494" ht="36" customHeight="1">
      <x:c r="A2494" s="5" t="str">
        <x:v>PF-0007</x:v>
      </x:c>
      <x:c r="B2494" s="5" t="str">
        <x:v>HQ</x:v>
      </x:c>
      <x:c r="C2494" s="5" t="str">
        <x:v>9</x:v>
      </x:c>
      <x:c r="D2494" s="5" t="str">
        <x:v>Führung und Zusammenarbeit</x:v>
      </x:c>
      <x:c r="E2494" s="5" t="str">
        <x:v>Führung und Zusammenarbeit</x:v>
      </x:c>
      <x:c r="F2494" s="5" t="str">
        <x:v>ui-hq-0032</x:v>
      </x:c>
      <x:c r="G2494" s="5" t="str">
        <x:v>Zusammenarbeit, Kommunikation und Kooperation</x:v>
      </x:c>
      <x:c r="H2494" s="5" t="str">
        <x:v>dg-hq-0001</x:v>
      </x:c>
      <x:c r="I2494" s="5" t="str">
        <x:v>9.1.4</x:v>
      </x:c>
      <x:c r="J2494" s="5" t="str">
        <x:v>Zielorientiertes Führen</x:v>
      </x:c>
      <x:c r="K2494" s="5" t="str"/>
      <x:c r="L2494" s="5" t="str">
        <x:v>Zielorientierte Führung &amp; Führungskonzepte</x:v>
      </x:c>
      <x:c r="M2494" s="5" t="n">
        <x:v>7</x:v>
      </x:c>
      <x:c r="N2494" s="5" t="n">
        <x:v>7</x:v>
      </x:c>
      <x:c r="O2494" s="5" t="str"/>
      <x:c r="P2494" s="5" t="str">
        <x:v>Zuordnungsvorschlag; Fachfreigabe ausstehend</x:v>
      </x:c>
      <x:c r="Q2494" s="5" t="str">
        <x:v>Bestehendes Lernthema fachlich unter passendem Rahmenplan-Unterbereich behalten</x:v>
      </x:c>
      <x:c r="R2494" s="5" t="str">
        <x:v>Definieren Sie Management by Exception.</x:v>
      </x:c>
      <x:c r="S2494" s="5" t="str">
        <x:v>51e4e9b311493b174a9b5fac8c80463b1d02d2b5ebf9fbc7e380e35bd271a883</x:v>
      </x:c>
    </x:row>
    <x:row r="2495" ht="36" customHeight="1">
      <x:c r="A2495" s="5" t="str">
        <x:v>PF-0008</x:v>
      </x:c>
      <x:c r="B2495" s="5" t="str">
        <x:v>HQ</x:v>
      </x:c>
      <x:c r="C2495" s="5" t="str">
        <x:v>9</x:v>
      </x:c>
      <x:c r="D2495" s="5" t="str">
        <x:v>Führung und Zusammenarbeit</x:v>
      </x:c>
      <x:c r="E2495" s="5" t="str">
        <x:v>Führung und Zusammenarbeit</x:v>
      </x:c>
      <x:c r="F2495" s="5" t="str">
        <x:v>ui-hq-0032</x:v>
      </x:c>
      <x:c r="G2495" s="5" t="str">
        <x:v>Zusammenarbeit, Kommunikation und Kooperation</x:v>
      </x:c>
      <x:c r="H2495" s="5" t="str">
        <x:v>dg-hq-0001</x:v>
      </x:c>
      <x:c r="I2495" s="5" t="str">
        <x:v>9.1.4</x:v>
      </x:c>
      <x:c r="J2495" s="5" t="str">
        <x:v>Zielorientiertes Führen</x:v>
      </x:c>
      <x:c r="K2495" s="5" t="str"/>
      <x:c r="L2495" s="5" t="str">
        <x:v>Zielorientierte Führung &amp; Führungskonzepte</x:v>
      </x:c>
      <x:c r="M2495" s="5" t="n">
        <x:v>8</x:v>
      </x:c>
      <x:c r="N2495" s="5" t="n">
        <x:v>8</x:v>
      </x:c>
      <x:c r="O2495" s="5" t="str"/>
      <x:c r="P2495" s="5" t="str">
        <x:v>Zuordnungsvorschlag; Fachfreigabe ausstehend</x:v>
      </x:c>
      <x:c r="Q2495" s="5" t="str">
        <x:v>Bestehendes Lernthema fachlich unter passendem Rahmenplan-Unterbereich behalten</x:v>
      </x:c>
      <x:c r="R2495" s="5" t="str">
        <x:v>Nennen Sie die Merkmale sowie die Vor- und Nachteile von Management by Exception.</x:v>
      </x:c>
      <x:c r="S2495" s="5" t="str">
        <x:v>7ece9372a34c56fcac403b07261b9a70893093c106fb4341995332ac34277efa</x:v>
      </x:c>
    </x:row>
    <x:row r="2496" ht="36" customHeight="1">
      <x:c r="A2496" s="5" t="str">
        <x:v>PF-0009</x:v>
      </x:c>
      <x:c r="B2496" s="5" t="str">
        <x:v>HQ</x:v>
      </x:c>
      <x:c r="C2496" s="5" t="str">
        <x:v>9</x:v>
      </x:c>
      <x:c r="D2496" s="5" t="str">
        <x:v>Führung und Zusammenarbeit</x:v>
      </x:c>
      <x:c r="E2496" s="5" t="str">
        <x:v>Führung und Zusammenarbeit</x:v>
      </x:c>
      <x:c r="F2496" s="5" t="str">
        <x:v>ui-hq-0032</x:v>
      </x:c>
      <x:c r="G2496" s="5" t="str">
        <x:v>Zusammenarbeit, Kommunikation und Kooperation</x:v>
      </x:c>
      <x:c r="H2496" s="5" t="str">
        <x:v>dg-hq-0001</x:v>
      </x:c>
      <x:c r="I2496" s="5" t="str">
        <x:v>9.1.4</x:v>
      </x:c>
      <x:c r="J2496" s="5" t="str">
        <x:v>Zielorientiertes Führen</x:v>
      </x:c>
      <x:c r="K2496" s="5" t="str"/>
      <x:c r="L2496" s="5" t="str">
        <x:v>Zielorientierte Führung &amp; Führungskonzepte</x:v>
      </x:c>
      <x:c r="M2496" s="5" t="n">
        <x:v>9</x:v>
      </x:c>
      <x:c r="N2496" s="5" t="n">
        <x:v>9</x:v>
      </x:c>
      <x:c r="O2496" s="5" t="str"/>
      <x:c r="P2496" s="5" t="str">
        <x:v>Zuordnungsvorschlag; Fachfreigabe ausstehend</x:v>
      </x:c>
      <x:c r="Q2496" s="5" t="str">
        <x:v>Bestehendes Lernthema fachlich unter passendem Rahmenplan-Unterbereich behalten</x:v>
      </x:c>
      <x:c r="R2496" s="5" t="str">
        <x:v>Definieren Sie Management by Delegation</x:v>
      </x:c>
      <x:c r="S2496" s="5" t="str">
        <x:v>2f090eb948a5dbfceefb5e7f21be6ffa839bcfa6f791ed8161f49877181eaf90</x:v>
      </x:c>
    </x:row>
    <x:row r="2497" ht="36" customHeight="1">
      <x:c r="A2497" s="5" t="str">
        <x:v>PF-0010</x:v>
      </x:c>
      <x:c r="B2497" s="5" t="str">
        <x:v>HQ</x:v>
      </x:c>
      <x:c r="C2497" s="5" t="str">
        <x:v>9</x:v>
      </x:c>
      <x:c r="D2497" s="5" t="str">
        <x:v>Führung und Zusammenarbeit</x:v>
      </x:c>
      <x:c r="E2497" s="5" t="str">
        <x:v>Führung und Zusammenarbeit</x:v>
      </x:c>
      <x:c r="F2497" s="5" t="str">
        <x:v>ui-hq-0032</x:v>
      </x:c>
      <x:c r="G2497" s="5" t="str">
        <x:v>Zusammenarbeit, Kommunikation und Kooperation</x:v>
      </x:c>
      <x:c r="H2497" s="5" t="str">
        <x:v>dg-hq-0001</x:v>
      </x:c>
      <x:c r="I2497" s="5" t="str">
        <x:v>9.1.4</x:v>
      </x:c>
      <x:c r="J2497" s="5" t="str">
        <x:v>Zielorientiertes Führen</x:v>
      </x:c>
      <x:c r="K2497" s="5" t="str"/>
      <x:c r="L2497" s="5" t="str">
        <x:v>Zielorientierte Führung &amp; Führungskonzepte</x:v>
      </x:c>
      <x:c r="M2497" s="5" t="n">
        <x:v>10</x:v>
      </x:c>
      <x:c r="N2497" s="5" t="n">
        <x:v>10</x:v>
      </x:c>
      <x:c r="O2497" s="5" t="str"/>
      <x:c r="P2497" s="5" t="str">
        <x:v>Zuordnungsvorschlag; Fachfreigabe ausstehend</x:v>
      </x:c>
      <x:c r="Q2497" s="5" t="str">
        <x:v>Bestehendes Lernthema fachlich unter passendem Rahmenplan-Unterbereich behalten</x:v>
      </x:c>
      <x:c r="R2497" s="5" t="str">
        <x:v>Nennen Sie die Aspekte von Management by Delegation, die Vorteile und die Nachteile</x:v>
      </x:c>
      <x:c r="S2497" s="5" t="str">
        <x:v>53f0132b253e807fc0a890e38b5cef2e5f5b56c293f723ea0d21f4c8975b8281</x:v>
      </x:c>
    </x:row>
    <x:row r="2498" ht="36" customHeight="1">
      <x:c r="A2498" s="5" t="str">
        <x:v>PF-0011</x:v>
      </x:c>
      <x:c r="B2498" s="5" t="str">
        <x:v>HQ</x:v>
      </x:c>
      <x:c r="C2498" s="5" t="str">
        <x:v>9</x:v>
      </x:c>
      <x:c r="D2498" s="5" t="str">
        <x:v>Führung und Zusammenarbeit</x:v>
      </x:c>
      <x:c r="E2498" s="5" t="str">
        <x:v>Führung und Zusammenarbeit</x:v>
      </x:c>
      <x:c r="F2498" s="5" t="str">
        <x:v>ui-hq-0032</x:v>
      </x:c>
      <x:c r="G2498" s="5" t="str">
        <x:v>Zusammenarbeit, Kommunikation und Kooperation</x:v>
      </x:c>
      <x:c r="H2498" s="5" t="str">
        <x:v>dg-hq-0001</x:v>
      </x:c>
      <x:c r="I2498" s="5" t="str">
        <x:v>9.1.4</x:v>
      </x:c>
      <x:c r="J2498" s="5" t="str">
        <x:v>Zielorientiertes Führen</x:v>
      </x:c>
      <x:c r="K2498" s="5" t="str"/>
      <x:c r="L2498" s="5" t="str">
        <x:v>Zielorientierte Führung &amp; Führungskonzepte</x:v>
      </x:c>
      <x:c r="M2498" s="5" t="n">
        <x:v>11</x:v>
      </x:c>
      <x:c r="N2498" s="5" t="n">
        <x:v>11</x:v>
      </x:c>
      <x:c r="O2498" s="5" t="str"/>
      <x:c r="P2498" s="5" t="str">
        <x:v>Zuordnungsvorschlag; Fachfreigabe ausstehend</x:v>
      </x:c>
      <x:c r="Q2498" s="5" t="str">
        <x:v>Bestehendes Lernthema fachlich unter passendem Rahmenplan-Unterbereich behalten</x:v>
      </x:c>
      <x:c r="R2498" s="5" t="str">
        <x:v>Definieren Sie Management by Systems.</x:v>
      </x:c>
      <x:c r="S2498" s="5" t="str">
        <x:v>42b5e284e92fcf2b3149d6d8cde6c07a9050137b8277493849333cc1f761687c</x:v>
      </x:c>
    </x:row>
    <x:row r="2499" ht="36" customHeight="1">
      <x:c r="A2499" s="5" t="str">
        <x:v>PF-0012</x:v>
      </x:c>
      <x:c r="B2499" s="5" t="str">
        <x:v>HQ</x:v>
      </x:c>
      <x:c r="C2499" s="5" t="str">
        <x:v>9</x:v>
      </x:c>
      <x:c r="D2499" s="5" t="str">
        <x:v>Führung und Zusammenarbeit</x:v>
      </x:c>
      <x:c r="E2499" s="5" t="str">
        <x:v>Führung und Zusammenarbeit</x:v>
      </x:c>
      <x:c r="F2499" s="5" t="str">
        <x:v>ui-hq-0032</x:v>
      </x:c>
      <x:c r="G2499" s="5" t="str">
        <x:v>Zusammenarbeit, Kommunikation und Kooperation</x:v>
      </x:c>
      <x:c r="H2499" s="5" t="str">
        <x:v>dg-hq-0001</x:v>
      </x:c>
      <x:c r="I2499" s="5" t="str">
        <x:v>9.1.4</x:v>
      </x:c>
      <x:c r="J2499" s="5" t="str">
        <x:v>Zielorientiertes Führen</x:v>
      </x:c>
      <x:c r="K2499" s="5" t="str"/>
      <x:c r="L2499" s="5" t="str">
        <x:v>Zielorientierte Führung &amp; Führungskonzepte</x:v>
      </x:c>
      <x:c r="M2499" s="5" t="n">
        <x:v>12</x:v>
      </x:c>
      <x:c r="N2499" s="5" t="n">
        <x:v>12</x:v>
      </x:c>
      <x:c r="O2499" s="5" t="str"/>
      <x:c r="P2499" s="5" t="str">
        <x:v>Zuordnungsvorschlag; Fachfreigabe ausstehend</x:v>
      </x:c>
      <x:c r="Q2499" s="5" t="str">
        <x:v>Bestehendes Lernthema fachlich unter passendem Rahmenplan-Unterbereich behalten</x:v>
      </x:c>
      <x:c r="R2499" s="5" t="str">
        <x:v>Nennen Sie die Aspekte von Management by Systems, die Vorteile und die Nachteile</x:v>
      </x:c>
      <x:c r="S2499" s="5" t="str">
        <x:v>f9a6ba2f0be02273706049f8cc9dd896c6e3b16fc0449457d166f202f2c3a554</x:v>
      </x:c>
    </x:row>
    <x:row r="2500" ht="36" customHeight="1">
      <x:c r="A2500" s="5" t="str">
        <x:v>PF-0013</x:v>
      </x:c>
      <x:c r="B2500" s="5" t="str">
        <x:v>HQ</x:v>
      </x:c>
      <x:c r="C2500" s="5" t="str">
        <x:v>9</x:v>
      </x:c>
      <x:c r="D2500" s="5" t="str">
        <x:v>Führung und Zusammenarbeit</x:v>
      </x:c>
      <x:c r="E2500" s="5" t="str">
        <x:v>Führung und Zusammenarbeit</x:v>
      </x:c>
      <x:c r="F2500" s="5" t="str">
        <x:v>ui-hq-0033</x:v>
      </x:c>
      <x:c r="G2500" s="5" t="str">
        <x:v>Mitarbeitergespräche</x:v>
      </x:c>
      <x:c r="H2500" s="5" t="str">
        <x:v>dg-hq-0002</x:v>
      </x:c>
      <x:c r="I2500" s="5" t="str">
        <x:v>9.2.2.1</x:v>
      </x:c>
      <x:c r="J2500" s="5" t="str">
        <x:v>Grundsätze, Ziele und Anlässe</x:v>
      </x:c>
      <x:c r="K2500" s="5" t="str"/>
      <x:c r="L2500" s="5" t="str">
        <x:v>Mitarbeitergespräche &amp; Beurteilung</x:v>
      </x:c>
      <x:c r="M2500" s="5" t="n">
        <x:v>1</x:v>
      </x:c>
      <x:c r="N2500" s="5" t="n">
        <x:v>1</x:v>
      </x:c>
      <x:c r="O2500" s="5" t="str"/>
      <x:c r="P2500" s="5" t="str">
        <x:v>Zuordnungsvorschlag; Fachfreigabe ausstehend</x:v>
      </x:c>
      <x:c r="Q2500" s="5" t="str">
        <x:v>Bestehendes Lernthema fachlich unter passendem Rahmenplan-Unterbereich behalten</x:v>
      </x:c>
      <x:c r="R2500" s="5" t="str">
        <x:v>Was ist ein Mitarbeitergespräch, welchen Nutzen hat es und welche typischen Gesprächsanlässe gibt es?</x:v>
      </x:c>
      <x:c r="S2500" s="5" t="str">
        <x:v>9ce2cd6eaea023426efddc3201dfdd1268b00b1df4a5a3221fb9f6ca2d6a8831</x:v>
      </x:c>
    </x:row>
    <x:row r="2501" ht="36" customHeight="1">
      <x:c r="A2501" s="5" t="str">
        <x:v>PF-0014</x:v>
      </x:c>
      <x:c r="B2501" s="5" t="str">
        <x:v>HQ</x:v>
      </x:c>
      <x:c r="C2501" s="5" t="str">
        <x:v>9</x:v>
      </x:c>
      <x:c r="D2501" s="5" t="str">
        <x:v>Führung und Zusammenarbeit</x:v>
      </x:c>
      <x:c r="E2501" s="5" t="str">
        <x:v>Führung und Zusammenarbeit</x:v>
      </x:c>
      <x:c r="F2501" s="5" t="str">
        <x:v>ui-hq-0033</x:v>
      </x:c>
      <x:c r="G2501" s="5" t="str">
        <x:v>Mitarbeitergespräche</x:v>
      </x:c>
      <x:c r="H2501" s="5" t="str">
        <x:v>dg-hq-0002</x:v>
      </x:c>
      <x:c r="I2501" s="5" t="str">
        <x:v>9.2.2</x:v>
      </x:c>
      <x:c r="J2501" s="5" t="str">
        <x:v>Beurteilungsgespräch</x:v>
      </x:c>
      <x:c r="K2501" s="5" t="str"/>
      <x:c r="L2501" s="5" t="str">
        <x:v>Mitarbeitergespräche &amp; Beurteilung</x:v>
      </x:c>
      <x:c r="M2501" s="5" t="n">
        <x:v>2</x:v>
      </x:c>
      <x:c r="N2501" s="5" t="n">
        <x:v>2</x:v>
      </x:c>
      <x:c r="O2501" s="5" t="str"/>
      <x:c r="P2501" s="5" t="str">
        <x:v>Zuordnungsvorschlag; Fachfreigabe ausstehend</x:v>
      </x:c>
      <x:c r="Q2501" s="5" t="str">
        <x:v>Bestehendes Lernthema fachlich unter passendem Rahmenplan-Unterbereich behalten</x:v>
      </x:c>
      <x:c r="R2501" s="5" t="str">
        <x:v>Beschreiben Sie die Vorbereitung, Durchführung und Nachbereitung eines strukturierten Mitarbeitergesprächs.</x:v>
      </x:c>
      <x:c r="S2501" s="5" t="str">
        <x:v>b77b04cb338cc7deab2fec5dd0530d7c09166c9b011b35ec4b01cdab81ff01f8</x:v>
      </x:c>
    </x:row>
    <x:row r="2502" ht="36" customHeight="1">
      <x:c r="A2502" s="5" t="str">
        <x:v>PF-0015</x:v>
      </x:c>
      <x:c r="B2502" s="5" t="str">
        <x:v>HQ</x:v>
      </x:c>
      <x:c r="C2502" s="5" t="str">
        <x:v>9</x:v>
      </x:c>
      <x:c r="D2502" s="5" t="str">
        <x:v>Führung und Zusammenarbeit</x:v>
      </x:c>
      <x:c r="E2502" s="5" t="str">
        <x:v>Führung und Zusammenarbeit</x:v>
      </x:c>
      <x:c r="F2502" s="5" t="str">
        <x:v>ui-hq-0033</x:v>
      </x:c>
      <x:c r="G2502" s="5" t="str">
        <x:v>Mitarbeitergespräche</x:v>
      </x:c>
      <x:c r="H2502" s="5" t="str">
        <x:v>dg-hq-0002</x:v>
      </x:c>
      <x:c r="I2502" s="5" t="str">
        <x:v>9.2.2</x:v>
      </x:c>
      <x:c r="J2502" s="5" t="str">
        <x:v>Beurteilungsgespräch</x:v>
      </x:c>
      <x:c r="K2502" s="5" t="str"/>
      <x:c r="L2502" s="5" t="str">
        <x:v>Mitarbeitergespräche &amp; Beurteilung</x:v>
      </x:c>
      <x:c r="M2502" s="5" t="n">
        <x:v>3</x:v>
      </x:c>
      <x:c r="N2502" s="5" t="n">
        <x:v>3</x:v>
      </x:c>
      <x:c r="O2502" s="5" t="str"/>
      <x:c r="P2502" s="5" t="str">
        <x:v>Zuordnungsvorschlag; Fachfreigabe ausstehend</x:v>
      </x:c>
      <x:c r="Q2502" s="5" t="str">
        <x:v>Bestehendes Lernthema fachlich unter passendem Rahmenplan-Unterbereich behalten</x:v>
      </x:c>
      <x:c r="R2502" s="5" t="str">
        <x:v>Welche fünf Phasen umfasst eine systematische Mitarbeiterbeurteilung?</x:v>
      </x:c>
      <x:c r="S2502" s="5" t="str">
        <x:v>2e0538bd780f33352f7a48fd98d2fc8a93e8e89893c3118fa517c0d23abe48f0</x:v>
      </x:c>
    </x:row>
    <x:row r="2503" ht="36" customHeight="1">
      <x:c r="A2503" s="5" t="str">
        <x:v>PF-0016</x:v>
      </x:c>
      <x:c r="B2503" s="5" t="str">
        <x:v>HQ</x:v>
      </x:c>
      <x:c r="C2503" s="5" t="str">
        <x:v>9</x:v>
      </x:c>
      <x:c r="D2503" s="5" t="str">
        <x:v>Führung und Zusammenarbeit</x:v>
      </x:c>
      <x:c r="E2503" s="5" t="str">
        <x:v>Führung und Zusammenarbeit</x:v>
      </x:c>
      <x:c r="F2503" s="5" t="str">
        <x:v>ui-hq-0033</x:v>
      </x:c>
      <x:c r="G2503" s="5" t="str">
        <x:v>Mitarbeitergespräche</x:v>
      </x:c>
      <x:c r="H2503" s="5" t="str">
        <x:v>dg-hq-0003</x:v>
      </x:c>
      <x:c r="I2503" s="5" t="str">
        <x:v>9.2.1</x:v>
      </x:c>
      <x:c r="J2503" s="5" t="str">
        <x:v>Anerkennungs- und Kritikgespräch</x:v>
      </x:c>
      <x:c r="K2503" s="5" t="str"/>
      <x:c r="L2503" s="5" t="str">
        <x:v>Mitarbeitergespräche &amp; Beurteilung</x:v>
      </x:c>
      <x:c r="M2503" s="5" t="n">
        <x:v>4</x:v>
      </x:c>
      <x:c r="N2503" s="5" t="n">
        <x:v>1</x:v>
      </x:c>
      <x:c r="O2503" s="5" t="str"/>
      <x:c r="P2503" s="5" t="str">
        <x:v>Zuordnungsvorschlag; Fachfreigabe ausstehend</x:v>
      </x:c>
      <x:c r="Q2503" s="5" t="str">
        <x:v>Frageinhalt präzisiert bzw. teilt bisheriges Sammelthema</x:v>
      </x:c>
      <x:c r="R2503" s="5" t="str">
        <x:v>Wie sollte ein Anerkennungsgespräch geführt werden und welche Fehler sind dabei zu vermeiden?</x:v>
      </x:c>
      <x:c r="S2503" s="5" t="str">
        <x:v>9b7a05b173c69ab81b7efa2ba46875cb5822ccbf5771b3fd2391d80dc2c5af70</x:v>
      </x:c>
    </x:row>
    <x:row r="2504" ht="36" customHeight="1">
      <x:c r="A2504" s="5" t="str">
        <x:v>PF-0017</x:v>
      </x:c>
      <x:c r="B2504" s="5" t="str">
        <x:v>HQ</x:v>
      </x:c>
      <x:c r="C2504" s="5" t="str">
        <x:v>9</x:v>
      </x:c>
      <x:c r="D2504" s="5" t="str">
        <x:v>Führung und Zusammenarbeit</x:v>
      </x:c>
      <x:c r="E2504" s="5" t="str">
        <x:v>Führung und Zusammenarbeit</x:v>
      </x:c>
      <x:c r="F2504" s="5" t="str">
        <x:v>ui-hq-0033</x:v>
      </x:c>
      <x:c r="G2504" s="5" t="str">
        <x:v>Mitarbeitergespräche</x:v>
      </x:c>
      <x:c r="H2504" s="5" t="str">
        <x:v>dg-hq-0003</x:v>
      </x:c>
      <x:c r="I2504" s="5" t="str">
        <x:v>9.2.1</x:v>
      </x:c>
      <x:c r="J2504" s="5" t="str">
        <x:v>Anerkennungs- und Kritikgespräch</x:v>
      </x:c>
      <x:c r="K2504" s="5" t="str"/>
      <x:c r="L2504" s="5" t="str">
        <x:v>Mitarbeitergespräche &amp; Beurteilung</x:v>
      </x:c>
      <x:c r="M2504" s="5" t="n">
        <x:v>5</x:v>
      </x:c>
      <x:c r="N2504" s="5" t="n">
        <x:v>2</x:v>
      </x:c>
      <x:c r="O2504" s="5" t="str"/>
      <x:c r="P2504" s="5" t="str">
        <x:v>Zuordnungsvorschlag; Fachfreigabe ausstehend</x:v>
      </x:c>
      <x:c r="Q2504" s="5" t="str">
        <x:v>Frageinhalt präzisiert bzw. teilt bisheriges Sammelthema</x:v>
      </x:c>
      <x:c r="R2504" s="5" t="str">
        <x:v>Vergleichen Sie Anerkennungs- und Kritikgespräch hinsichtlich Anlass, Ziel und Gesprächsführung.</x:v>
      </x:c>
      <x:c r="S2504" s="5" t="str">
        <x:v>2276d426d65b8ce4efc102d7b7e674f1459e23bfe3d4c4b8b77a42b44ab100c8</x:v>
      </x:c>
    </x:row>
    <x:row r="2505" ht="36" customHeight="1">
      <x:c r="A2505" s="5" t="str">
        <x:v>PF-0018</x:v>
      </x:c>
      <x:c r="B2505" s="5" t="str">
        <x:v>HQ</x:v>
      </x:c>
      <x:c r="C2505" s="5" t="str">
        <x:v>9</x:v>
      </x:c>
      <x:c r="D2505" s="5" t="str">
        <x:v>Führung und Zusammenarbeit</x:v>
      </x:c>
      <x:c r="E2505" s="5" t="str">
        <x:v>Führung und Zusammenarbeit</x:v>
      </x:c>
      <x:c r="F2505" s="5" t="str">
        <x:v>ui-hq-0032</x:v>
      </x:c>
      <x:c r="G2505" s="5" t="str">
        <x:v>Zusammenarbeit, Kommunikation und Kooperation</x:v>
      </x:c>
      <x:c r="H2505" s="5" t="str">
        <x:v>dg-hq-0001</x:v>
      </x:c>
      <x:c r="I2505" s="5" t="str">
        <x:v>9.1.4</x:v>
      </x:c>
      <x:c r="J2505" s="5" t="str">
        <x:v>Zielorientiertes Führen</x:v>
      </x:c>
      <x:c r="K2505" s="5" t="str"/>
      <x:c r="L2505" s="5" t="str">
        <x:v>Zielorientierte Führung &amp; Führungskonzepte</x:v>
      </x:c>
      <x:c r="M2505" s="5" t="n">
        <x:v>13</x:v>
      </x:c>
      <x:c r="N2505" s="5" t="n">
        <x:v>13</x:v>
      </x:c>
      <x:c r="O2505" s="5" t="str"/>
      <x:c r="P2505" s="5" t="str">
        <x:v>Zuordnungsvorschlag; Fachfreigabe ausstehend</x:v>
      </x:c>
      <x:c r="Q2505" s="5" t="str">
        <x:v>Bestehendes Lernthema fachlich unter passendem Rahmenplan-Unterbereich behalten</x:v>
      </x:c>
      <x:c r="R2505" s="5" t="str">
        <x:v>Welche Ziele kennen Sie im Zusammenhang mit den Mitarbeiterzielvereinbarungen? Klassifizieren Sie diese</x:v>
      </x:c>
      <x:c r="S2505" s="5" t="str">
        <x:v>66815a7282af167eaf458133f0af85a24d15713b183b7cd283cabc2b8614e668</x:v>
      </x:c>
    </x:row>
    <x:row r="2506" ht="36" customHeight="1">
      <x:c r="A2506" s="5" t="str">
        <x:v>PF-0019</x:v>
      </x:c>
      <x:c r="B2506" s="5" t="str">
        <x:v>HQ</x:v>
      </x:c>
      <x:c r="C2506" s="5" t="str">
        <x:v>9</x:v>
      </x:c>
      <x:c r="D2506" s="5" t="str">
        <x:v>Führung und Zusammenarbeit</x:v>
      </x:c>
      <x:c r="E2506" s="5" t="str">
        <x:v>Führung und Zusammenarbeit</x:v>
      </x:c>
      <x:c r="F2506" s="5" t="str">
        <x:v>ui-hq-0032</x:v>
      </x:c>
      <x:c r="G2506" s="5" t="str">
        <x:v>Zusammenarbeit, Kommunikation und Kooperation</x:v>
      </x:c>
      <x:c r="H2506" s="5" t="str">
        <x:v>dg-hq-0001</x:v>
      </x:c>
      <x:c r="I2506" s="5" t="str">
        <x:v>9.1.4</x:v>
      </x:c>
      <x:c r="J2506" s="5" t="str">
        <x:v>Zielorientiertes Führen</x:v>
      </x:c>
      <x:c r="K2506" s="5" t="str"/>
      <x:c r="L2506" s="5" t="str">
        <x:v>Zielorientierte Führung &amp; Führungskonzepte</x:v>
      </x:c>
      <x:c r="M2506" s="5" t="n">
        <x:v>14</x:v>
      </x:c>
      <x:c r="N2506" s="5" t="n">
        <x:v>14</x:v>
      </x:c>
      <x:c r="O2506" s="5" t="str"/>
      <x:c r="P2506" s="5" t="str">
        <x:v>Zuordnungsvorschlag; Fachfreigabe ausstehend</x:v>
      </x:c>
      <x:c r="Q2506" s="5" t="str">
        <x:v>Bestehendes Lernthema fachlich unter passendem Rahmenplan-Unterbereich behalten</x:v>
      </x:c>
      <x:c r="R2506" s="5" t="str">
        <x:v>Welchen Sinn bzw. welche konkreten Funktionen haben Zielvereinbarungen für den Vorgesetzten, Mitarbeiter und das Unternehmen?</x:v>
      </x:c>
      <x:c r="S2506" s="5" t="str">
        <x:v>b0b6a203a08b1f41718dc6ebcb9b300e48f5e0cb61332840d2a1bc48a2f8c1bf</x:v>
      </x:c>
    </x:row>
    <x:row r="2507" ht="36" customHeight="1">
      <x:c r="A2507" s="5" t="str">
        <x:v>PF-0020</x:v>
      </x:c>
      <x:c r="B2507" s="5" t="str">
        <x:v>HQ</x:v>
      </x:c>
      <x:c r="C2507" s="5" t="str">
        <x:v>9</x:v>
      </x:c>
      <x:c r="D2507" s="5" t="str">
        <x:v>Führung und Zusammenarbeit</x:v>
      </x:c>
      <x:c r="E2507" s="5" t="str">
        <x:v>Führung und Zusammenarbeit</x:v>
      </x:c>
      <x:c r="F2507" s="5" t="str">
        <x:v>ui-hq-0032</x:v>
      </x:c>
      <x:c r="G2507" s="5" t="str">
        <x:v>Zusammenarbeit, Kommunikation und Kooperation</x:v>
      </x:c>
      <x:c r="H2507" s="5" t="str">
        <x:v>dg-hq-0001</x:v>
      </x:c>
      <x:c r="I2507" s="5" t="str">
        <x:v>9.1.4</x:v>
      </x:c>
      <x:c r="J2507" s="5" t="str">
        <x:v>Zielorientiertes Führen</x:v>
      </x:c>
      <x:c r="K2507" s="5" t="str"/>
      <x:c r="L2507" s="5" t="str">
        <x:v>Zielorientierte Führung &amp; Führungskonzepte</x:v>
      </x:c>
      <x:c r="M2507" s="5" t="n">
        <x:v>15</x:v>
      </x:c>
      <x:c r="N2507" s="5" t="n">
        <x:v>15</x:v>
      </x:c>
      <x:c r="O2507" s="5" t="str"/>
      <x:c r="P2507" s="5" t="str">
        <x:v>Zuordnungsvorschlag; Fachfreigabe ausstehend</x:v>
      </x:c>
      <x:c r="Q2507" s="5" t="str">
        <x:v>Bestehendes Lernthema fachlich unter passendem Rahmenplan-Unterbereich behalten</x:v>
      </x:c>
      <x:c r="R2507" s="5" t="str">
        <x:v>Welche organisatorischen Elemente bzw. Bausteine muss ein modernes Zielvereinbarungssystem beinhalten?</x:v>
      </x:c>
      <x:c r="S2507" s="5" t="str">
        <x:v>c7e1c3c698aa5eeaa6a6e23bb0bb7b53ddf25c882acf0424ab07b01e6ba11f0a</x:v>
      </x:c>
    </x:row>
    <x:row r="2508" ht="36" customHeight="1">
      <x:c r="A2508" s="5" t="str">
        <x:v>PF-0021</x:v>
      </x:c>
      <x:c r="B2508" s="5" t="str">
        <x:v>HQ</x:v>
      </x:c>
      <x:c r="C2508" s="5" t="str">
        <x:v>9</x:v>
      </x:c>
      <x:c r="D2508" s="5" t="str">
        <x:v>Führung und Zusammenarbeit</x:v>
      </x:c>
      <x:c r="E2508" s="5" t="str">
        <x:v>Führung und Zusammenarbeit</x:v>
      </x:c>
      <x:c r="F2508" s="5" t="str">
        <x:v>ui-hq-0032</x:v>
      </x:c>
      <x:c r="G2508" s="5" t="str">
        <x:v>Zusammenarbeit, Kommunikation und Kooperation</x:v>
      </x:c>
      <x:c r="H2508" s="5" t="str">
        <x:v>dg-hq-0001</x:v>
      </x:c>
      <x:c r="I2508" s="5" t="str">
        <x:v>9.1.4</x:v>
      </x:c>
      <x:c r="J2508" s="5" t="str">
        <x:v>Zielorientiertes Führen</x:v>
      </x:c>
      <x:c r="K2508" s="5" t="str"/>
      <x:c r="L2508" s="5" t="str">
        <x:v>Zielorientierte Führung &amp; Führungskonzepte</x:v>
      </x:c>
      <x:c r="M2508" s="5" t="n">
        <x:v>16</x:v>
      </x:c>
      <x:c r="N2508" s="5" t="n">
        <x:v>16</x:v>
      </x:c>
      <x:c r="O2508" s="5" t="str"/>
      <x:c r="P2508" s="5" t="str">
        <x:v>Zuordnungsvorschlag; Fachfreigabe ausstehend</x:v>
      </x:c>
      <x:c r="Q2508" s="5" t="str">
        <x:v>Bestehendes Lernthema fachlich unter passendem Rahmenplan-Unterbereich behalten</x:v>
      </x:c>
      <x:c r="R2508" s="5" t="str">
        <x:v>Worauf sollten Vorgesetzte und Mitarbeiter im Rahmen einer Zielvereinbarung achten?</x:v>
      </x:c>
      <x:c r="S2508" s="5" t="str">
        <x:v>8a2a1fc9147718715a93203542947c39438ca5bcf6e4138a8f6f68ee5a3fcb0a</x:v>
      </x:c>
    </x:row>
    <x:row r="2509" ht="36" customHeight="1">
      <x:c r="A2509" s="5" t="str">
        <x:v>PF-0022</x:v>
      </x:c>
      <x:c r="B2509" s="5" t="str">
        <x:v>HQ</x:v>
      </x:c>
      <x:c r="C2509" s="5" t="str">
        <x:v>9</x:v>
      </x:c>
      <x:c r="D2509" s="5" t="str">
        <x:v>Führung und Zusammenarbeit</x:v>
      </x:c>
      <x:c r="E2509" s="5" t="str">
        <x:v>Führung und Zusammenarbeit</x:v>
      </x:c>
      <x:c r="F2509" s="5" t="str">
        <x:v>ui-hq-0032</x:v>
      </x:c>
      <x:c r="G2509" s="5" t="str">
        <x:v>Zusammenarbeit, Kommunikation und Kooperation</x:v>
      </x:c>
      <x:c r="H2509" s="5" t="str">
        <x:v>dg-hq-0001</x:v>
      </x:c>
      <x:c r="I2509" s="5" t="str">
        <x:v>9.1.4</x:v>
      </x:c>
      <x:c r="J2509" s="5" t="str">
        <x:v>Zielorientiertes Führen</x:v>
      </x:c>
      <x:c r="K2509" s="5" t="str"/>
      <x:c r="L2509" s="5" t="str">
        <x:v>Zielorientierte Führung &amp; Führungskonzepte</x:v>
      </x:c>
      <x:c r="M2509" s="5" t="n">
        <x:v>17</x:v>
      </x:c>
      <x:c r="N2509" s="5" t="n">
        <x:v>17</x:v>
      </x:c>
      <x:c r="O2509" s="5" t="str"/>
      <x:c r="P2509" s="5" t="str">
        <x:v>Zuordnungsvorschlag; Fachfreigabe ausstehend</x:v>
      </x:c>
      <x:c r="Q2509" s="5" t="str">
        <x:v>Bestehendes Lernthema fachlich unter passendem Rahmenplan-Unterbereich behalten</x:v>
      </x:c>
      <x:c r="R2509" s="5" t="str">
        <x:v>Ist die Vereinbarung von Zielen immer ein sinnvoller Weg zur Steuerung und Führung der Mitarbeiteraktivitäten?</x:v>
      </x:c>
      <x:c r="S2509" s="5" t="str">
        <x:v>bf6caa75dd490e383cd5eb8a75fa8f7a3c13eec3c95e418efb04ffb809e31011</x:v>
      </x:c>
    </x:row>
    <x:row r="2510" ht="36" customHeight="1">
      <x:c r="A2510" s="5" t="str">
        <x:v>PF-0023</x:v>
      </x:c>
      <x:c r="B2510" s="5" t="str">
        <x:v>HQ</x:v>
      </x:c>
      <x:c r="C2510" s="5" t="str">
        <x:v>9</x:v>
      </x:c>
      <x:c r="D2510" s="5" t="str">
        <x:v>Führung und Zusammenarbeit</x:v>
      </x:c>
      <x:c r="E2510" s="5" t="str">
        <x:v>Führung und Zusammenarbeit</x:v>
      </x:c>
      <x:c r="F2510" s="5" t="str">
        <x:v>ui-hq-0032</x:v>
      </x:c>
      <x:c r="G2510" s="5" t="str">
        <x:v>Zusammenarbeit, Kommunikation und Kooperation</x:v>
      </x:c>
      <x:c r="H2510" s="5" t="str">
        <x:v>dg-hq-0004</x:v>
      </x:c>
      <x:c r="I2510" s="5" t="str">
        <x:v>9.1.1</x:v>
      </x:c>
      <x:c r="J2510" s="5" t="str">
        <x:v>Zusammenhang Persönlichkeit und beruflicher Entwicklung</x:v>
      </x:c>
      <x:c r="K2510" s="5" t="str"/>
      <x:c r="L2510" s="5" t="str">
        <x:v>Persönlichkeit, Sozialverhalten &amp; Vielfalt</x:v>
      </x:c>
      <x:c r="M2510" s="5" t="n">
        <x:v>18</x:v>
      </x:c>
      <x:c r="N2510" s="5" t="n">
        <x:v>1</x:v>
      </x:c>
      <x:c r="O2510" s="5" t="str"/>
      <x:c r="P2510" s="5" t="str">
        <x:v>Zuordnungsvorschlag; Fachfreigabe ausstehend</x:v>
      </x:c>
      <x:c r="Q2510" s="5" t="str">
        <x:v>Bestehendes Lernthema fachlich unter passendem Rahmenplan-Unterbereich behalten</x:v>
      </x:c>
      <x:c r="R2510" s="5" t="str">
        <x:v>Im Rahmen einer Kompetenzanalyse sollen folgende Fähigkeiten einem oder mehreren Kompetenzbereichen zugeordnet werden: Teamfähigkeit, Lernfähigkeit, Selbstreflexion, Zeitmanagement, digitale Fähigkeiten, Empathie, Ausdauer, Konfliktfähigkeit, analytisches Denken, Kommunikationsfähigkeit, Kritikfähigkeit und Verantwortungsbewusstsein. Ordnen Sie sie den Bereichen Individual-, Sozial-, Fach- und Methodenkompetenz zu.</x:v>
      </x:c>
      <x:c r="S2510" s="5" t="str">
        <x:v>7fbf33a30ad2fb6ba1bcfaeb7af70c636d69e48f1dca9710a854571eeb261f15</x:v>
      </x:c>
    </x:row>
    <x:row r="2511" ht="36" customHeight="1">
      <x:c r="A2511" s="5" t="str">
        <x:v>PF-0024</x:v>
      </x:c>
      <x:c r="B2511" s="5" t="str">
        <x:v>HQ</x:v>
      </x:c>
      <x:c r="C2511" s="5" t="str">
        <x:v>9</x:v>
      </x:c>
      <x:c r="D2511" s="5" t="str">
        <x:v>Führung und Zusammenarbeit</x:v>
      </x:c>
      <x:c r="E2511" s="5" t="str">
        <x:v>Führung und Zusammenarbeit</x:v>
      </x:c>
      <x:c r="F2511" s="5" t="str">
        <x:v>ui-hq-0032</x:v>
      </x:c>
      <x:c r="G2511" s="5" t="str">
        <x:v>Zusammenarbeit, Kommunikation und Kooperation</x:v>
      </x:c>
      <x:c r="H2511" s="5" t="str">
        <x:v>dg-hq-0004</x:v>
      </x:c>
      <x:c r="I2511" s="5" t="str">
        <x:v>9.1.1</x:v>
      </x:c>
      <x:c r="J2511" s="5" t="str">
        <x:v>Zusammenhang Persönlichkeit und beruflicher Entwicklung</x:v>
      </x:c>
      <x:c r="K2511" s="5" t="str"/>
      <x:c r="L2511" s="5" t="str">
        <x:v>Persönlichkeit, Sozialverhalten &amp; Vielfalt</x:v>
      </x:c>
      <x:c r="M2511" s="5" t="n">
        <x:v>19</x:v>
      </x:c>
      <x:c r="N2511" s="5" t="n">
        <x:v>2</x:v>
      </x:c>
      <x:c r="O2511" s="5" t="str"/>
      <x:c r="P2511" s="5" t="str">
        <x:v>Zuordnungsvorschlag; Fachfreigabe ausstehend</x:v>
      </x:c>
      <x:c r="Q2511" s="5" t="str">
        <x:v>Bestehendes Lernthema fachlich unter passendem Rahmenplan-Unterbereich behalten</x:v>
      </x:c>
      <x:c r="R2511" s="5" t="str">
        <x:v>Nennen Sie mindestens fünf typische Sozialisationsinstanzen, die die Entwicklung eines Menschen von der Kindheit bis ins Berufsleben prägen können.</x:v>
      </x:c>
      <x:c r="S2511" s="5" t="str">
        <x:v>477dbddeb96f7ccebd722f7f73bc4f3a3c17b4e19fca7e933e95d500d5b80c58</x:v>
      </x:c>
    </x:row>
    <x:row r="2512" ht="36" customHeight="1">
      <x:c r="A2512" s="5" t="str">
        <x:v>PF-0025</x:v>
      </x:c>
      <x:c r="B2512" s="5" t="str">
        <x:v>HQ</x:v>
      </x:c>
      <x:c r="C2512" s="5" t="str">
        <x:v>9</x:v>
      </x:c>
      <x:c r="D2512" s="5" t="str">
        <x:v>Führung und Zusammenarbeit</x:v>
      </x:c>
      <x:c r="E2512" s="5" t="str">
        <x:v>Führung und Zusammenarbeit</x:v>
      </x:c>
      <x:c r="F2512" s="5" t="str">
        <x:v>ui-hq-0032</x:v>
      </x:c>
      <x:c r="G2512" s="5" t="str">
        <x:v>Zusammenarbeit, Kommunikation und Kooperation</x:v>
      </x:c>
      <x:c r="H2512" s="5" t="str">
        <x:v>dg-hq-0004</x:v>
      </x:c>
      <x:c r="I2512" s="5" t="str">
        <x:v>9.1.1</x:v>
      </x:c>
      <x:c r="J2512" s="5" t="str">
        <x:v>Zusammenhang Persönlichkeit und beruflicher Entwicklung</x:v>
      </x:c>
      <x:c r="K2512" s="5" t="str"/>
      <x:c r="L2512" s="5" t="str">
        <x:v>Persönlichkeit, Sozialverhalten &amp; Vielfalt</x:v>
      </x:c>
      <x:c r="M2512" s="5" t="n">
        <x:v>20</x:v>
      </x:c>
      <x:c r="N2512" s="5" t="n">
        <x:v>3</x:v>
      </x:c>
      <x:c r="O2512" s="5" t="str"/>
      <x:c r="P2512" s="5" t="str">
        <x:v>Zuordnungsvorschlag; Fachfreigabe ausstehend</x:v>
      </x:c>
      <x:c r="Q2512" s="5" t="str">
        <x:v>Bestehendes Lernthema fachlich unter passendem Rahmenplan-Unterbereich behalten</x:v>
      </x:c>
      <x:c r="R2512" s="5" t="str">
        <x:v>Welche Einflüsse können Persönlichkeit und berufliche Entwicklung einer beschäftigten Person prägen? Nennen Sie mindestens acht Faktoren.</x:v>
      </x:c>
      <x:c r="S2512" s="5" t="str">
        <x:v>ab898a31836d0d848fb4eae2adbb7c06eb5b271d30233f5bed00b43bff2f29b5</x:v>
      </x:c>
    </x:row>
    <x:row r="2513" ht="36" customHeight="1">
      <x:c r="A2513" s="5" t="str">
        <x:v>PF-0026</x:v>
      </x:c>
      <x:c r="B2513" s="5" t="str">
        <x:v>HQ</x:v>
      </x:c>
      <x:c r="C2513" s="5" t="str">
        <x:v>9</x:v>
      </x:c>
      <x:c r="D2513" s="5" t="str">
        <x:v>Führung und Zusammenarbeit</x:v>
      </x:c>
      <x:c r="E2513" s="5" t="str">
        <x:v>Führung und Zusammenarbeit</x:v>
      </x:c>
      <x:c r="F2513" s="5" t="str">
        <x:v>ui-hq-0032</x:v>
      </x:c>
      <x:c r="G2513" s="5" t="str">
        <x:v>Zusammenarbeit, Kommunikation und Kooperation</x:v>
      </x:c>
      <x:c r="H2513" s="5" t="str">
        <x:v>dg-hq-0004</x:v>
      </x:c>
      <x:c r="I2513" s="5" t="str">
        <x:v>9.1.1</x:v>
      </x:c>
      <x:c r="J2513" s="5" t="str">
        <x:v>Zusammenhang Persönlichkeit und beruflicher Entwicklung</x:v>
      </x:c>
      <x:c r="K2513" s="5" t="str"/>
      <x:c r="L2513" s="5" t="str">
        <x:v>Persönlichkeit, Sozialverhalten &amp; Vielfalt</x:v>
      </x:c>
      <x:c r="M2513" s="5" t="n">
        <x:v>21</x:v>
      </x:c>
      <x:c r="N2513" s="5" t="n">
        <x:v>4</x:v>
      </x:c>
      <x:c r="O2513" s="5" t="str"/>
      <x:c r="P2513" s="5" t="str">
        <x:v>Zuordnungsvorschlag; Fachfreigabe ausstehend</x:v>
      </x:c>
      <x:c r="Q2513" s="5" t="str">
        <x:v>Bestehendes Lernthema fachlich unter passendem Rahmenplan-Unterbereich behalten</x:v>
      </x:c>
      <x:c r="R2513" s="5" t="str">
        <x:v>Beschreiben Sie anhand von mindestens drei Lebensbereichen oder Lebensphasen, wie Sozialisation das Verhalten eines Menschen gegenüber anderen und gegenüber sich selbst beeinflussen kann.</x:v>
      </x:c>
      <x:c r="S2513" s="5" t="str">
        <x:v>dc1d1c59c40e274c5673d6ea4d6a7cb63f2ed7d15f18f90889839d65118bbfe7</x:v>
      </x:c>
    </x:row>
    <x:row r="2514" ht="36" customHeight="1">
      <x:c r="A2514" s="5" t="str">
        <x:v>PF-0027</x:v>
      </x:c>
      <x:c r="B2514" s="5" t="str">
        <x:v>HQ</x:v>
      </x:c>
      <x:c r="C2514" s="5" t="str">
        <x:v>9</x:v>
      </x:c>
      <x:c r="D2514" s="5" t="str">
        <x:v>Führung und Zusammenarbeit</x:v>
      </x:c>
      <x:c r="E2514" s="5" t="str">
        <x:v>Führung und Zusammenarbeit</x:v>
      </x:c>
      <x:c r="F2514" s="5" t="str">
        <x:v>ui-hq-0032</x:v>
      </x:c>
      <x:c r="G2514" s="5" t="str">
        <x:v>Zusammenarbeit, Kommunikation und Kooperation</x:v>
      </x:c>
      <x:c r="H2514" s="5" t="str">
        <x:v>dg-hq-0004</x:v>
      </x:c>
      <x:c r="I2514" s="5" t="str">
        <x:v>9.1.1</x:v>
      </x:c>
      <x:c r="J2514" s="5" t="str">
        <x:v>Zusammenhang Persönlichkeit und beruflicher Entwicklung</x:v>
      </x:c>
      <x:c r="K2514" s="5" t="str"/>
      <x:c r="L2514" s="5" t="str">
        <x:v>Persönlichkeit, Sozialverhalten &amp; Vielfalt</x:v>
      </x:c>
      <x:c r="M2514" s="5" t="n">
        <x:v>22</x:v>
      </x:c>
      <x:c r="N2514" s="5" t="n">
        <x:v>5</x:v>
      </x:c>
      <x:c r="O2514" s="5" t="str"/>
      <x:c r="P2514" s="5" t="str">
        <x:v>Zuordnungsvorschlag; Fachfreigabe ausstehend</x:v>
      </x:c>
      <x:c r="Q2514" s="5" t="str">
        <x:v>Bestehendes Lernthema fachlich unter passendem Rahmenplan-Unterbereich behalten</x:v>
      </x:c>
      <x:c r="R2514" s="5" t="str">
        <x:v>Welche der folgenden Eigenschaften unterstützen eine Führungskraft dabei, Mitarbeitende in ihrer Entwicklung und Sozialisation konstruktiv zu begleiten? Entscheiden Sie jeweils mit ja oder nein.</x:v>
      </x:c>
      <x:c r="S2514" s="5" t="str">
        <x:v>a6074e12ddbd86e1422ecad8cb48b27efc9d5bb5b45d41c4f6413a8ca6c3cd38</x:v>
      </x:c>
    </x:row>
    <x:row r="2515" ht="36" customHeight="1">
      <x:c r="A2515" s="5" t="str">
        <x:v>PF-0028</x:v>
      </x:c>
      <x:c r="B2515" s="5" t="str">
        <x:v>HQ</x:v>
      </x:c>
      <x:c r="C2515" s="5" t="str">
        <x:v>9</x:v>
      </x:c>
      <x:c r="D2515" s="5" t="str">
        <x:v>Führung und Zusammenarbeit</x:v>
      </x:c>
      <x:c r="E2515" s="5" t="str">
        <x:v>Führung und Zusammenarbeit</x:v>
      </x:c>
      <x:c r="F2515" s="5" t="str">
        <x:v>ui-hq-0032</x:v>
      </x:c>
      <x:c r="G2515" s="5" t="str">
        <x:v>Zusammenarbeit, Kommunikation und Kooperation</x:v>
      </x:c>
      <x:c r="H2515" s="5" t="str">
        <x:v>dg-hq-0004</x:v>
      </x:c>
      <x:c r="I2515" s="5" t="str">
        <x:v>9.1.1</x:v>
      </x:c>
      <x:c r="J2515" s="5" t="str">
        <x:v>Zusammenhang Persönlichkeit und beruflicher Entwicklung</x:v>
      </x:c>
      <x:c r="K2515" s="5" t="str"/>
      <x:c r="L2515" s="5" t="str">
        <x:v>Persönlichkeit, Sozialverhalten &amp; Vielfalt</x:v>
      </x:c>
      <x:c r="M2515" s="5" t="n">
        <x:v>23</x:v>
      </x:c>
      <x:c r="N2515" s="5" t="n">
        <x:v>6</x:v>
      </x:c>
      <x:c r="O2515" s="5" t="str"/>
      <x:c r="P2515" s="5" t="str">
        <x:v>Zuordnungsvorschlag; Fachfreigabe ausstehend</x:v>
      </x:c>
      <x:c r="Q2515" s="5" t="str">
        <x:v>Bestehendes Lernthema fachlich unter passendem Rahmenplan-Unterbereich behalten</x:v>
      </x:c>
      <x:c r="R2515" s="5" t="str">
        <x:v>Warum sollten Führungskräfte biografische Hintergründe von Mitarbeitenden berücksichtigen? Nennen Sie außerdem mindestens sechs mögliche Anzeichen einer inneren Kündigung und beschreiben Sie ein geeignetes Vorgehen der Führungskraft.</x:v>
      </x:c>
      <x:c r="S2515" s="5" t="str">
        <x:v>1819f4e5711f0fd19fe21feef65114554faf2737260ed0cc7e87f5bf6ee4f090</x:v>
      </x:c>
    </x:row>
    <x:row r="2516" ht="36" customHeight="1">
      <x:c r="A2516" s="5" t="str">
        <x:v>PF-0029</x:v>
      </x:c>
      <x:c r="B2516" s="5" t="str">
        <x:v>HQ</x:v>
      </x:c>
      <x:c r="C2516" s="5" t="str">
        <x:v>9</x:v>
      </x:c>
      <x:c r="D2516" s="5" t="str">
        <x:v>Führung und Zusammenarbeit</x:v>
      </x:c>
      <x:c r="E2516" s="5" t="str">
        <x:v>Führung und Zusammenarbeit</x:v>
      </x:c>
      <x:c r="F2516" s="5" t="str">
        <x:v>ui-hq-0032</x:v>
      </x:c>
      <x:c r="G2516" s="5" t="str">
        <x:v>Zusammenarbeit, Kommunikation und Kooperation</x:v>
      </x:c>
      <x:c r="H2516" s="5" t="str">
        <x:v>dg-hq-0004</x:v>
      </x:c>
      <x:c r="I2516" s="5" t="str">
        <x:v>9.1.1</x:v>
      </x:c>
      <x:c r="J2516" s="5" t="str">
        <x:v>Zusammenhang Persönlichkeit und beruflicher Entwicklung</x:v>
      </x:c>
      <x:c r="K2516" s="5" t="str"/>
      <x:c r="L2516" s="5" t="str">
        <x:v>Persönlichkeit, Sozialverhalten &amp; Vielfalt</x:v>
      </x:c>
      <x:c r="M2516" s="5" t="n">
        <x:v>24</x:v>
      </x:c>
      <x:c r="N2516" s="5" t="n">
        <x:v>7</x:v>
      </x:c>
      <x:c r="O2516" s="5" t="str"/>
      <x:c r="P2516" s="5" t="str">
        <x:v>Zuordnungsvorschlag; Fachfreigabe ausstehend</x:v>
      </x:c>
      <x:c r="Q2516" s="5" t="str">
        <x:v>Bestehendes Lernthema fachlich unter passendem Rahmenplan-Unterbereich behalten</x:v>
      </x:c>
      <x:c r="R2516" s="5" t="str">
        <x:v>Vervollständigen Sie den Lückentext zu Zielsetzung, Schutzmerkmalen und Pflichten nach dem Allgemeinen Gleichbehandlungsgesetz.</x:v>
      </x:c>
      <x:c r="S2516" s="5" t="str">
        <x:v>153cb3cf51c4fef3d016e475a0239aa8d76ea9a7e656a2831c9c439c704a7f5a</x:v>
      </x:c>
    </x:row>
    <x:row r="2517" ht="36" customHeight="1">
      <x:c r="A2517" s="5" t="str">
        <x:v>PF-0030</x:v>
      </x:c>
      <x:c r="B2517" s="5" t="str">
        <x:v>HQ</x:v>
      </x:c>
      <x:c r="C2517" s="5" t="str">
        <x:v>9</x:v>
      </x:c>
      <x:c r="D2517" s="5" t="str">
        <x:v>Führung und Zusammenarbeit</x:v>
      </x:c>
      <x:c r="E2517" s="5" t="str">
        <x:v>Führung und Zusammenarbeit</x:v>
      </x:c>
      <x:c r="F2517" s="5" t="str">
        <x:v>ui-hq-0032</x:v>
      </x:c>
      <x:c r="G2517" s="5" t="str">
        <x:v>Zusammenarbeit, Kommunikation und Kooperation</x:v>
      </x:c>
      <x:c r="H2517" s="5" t="str">
        <x:v>dg-hq-0004</x:v>
      </x:c>
      <x:c r="I2517" s="5" t="str">
        <x:v>9.1.1</x:v>
      </x:c>
      <x:c r="J2517" s="5" t="str">
        <x:v>Zusammenhang Persönlichkeit und beruflicher Entwicklung</x:v>
      </x:c>
      <x:c r="K2517" s="5" t="str"/>
      <x:c r="L2517" s="5" t="str">
        <x:v>Persönlichkeit, Sozialverhalten &amp; Vielfalt</x:v>
      </x:c>
      <x:c r="M2517" s="5" t="n">
        <x:v>25</x:v>
      </x:c>
      <x:c r="N2517" s="5" t="n">
        <x:v>8</x:v>
      </x:c>
      <x:c r="O2517" s="5" t="str"/>
      <x:c r="P2517" s="5" t="str">
        <x:v>Zuordnungsvorschlag; Fachfreigabe ausstehend</x:v>
      </x:c>
      <x:c r="Q2517" s="5" t="str">
        <x:v>Bestehendes Lernthema fachlich unter passendem Rahmenplan-Unterbereich behalten</x:v>
      </x:c>
      <x:c r="R2517" s="5" t="str">
        <x:v>Warum wurde ein umfassender gesetzlicher Diskriminierungsschutz im Arbeitsleben notwendig? Nennen Sie mindestens drei gesellschaftliche oder rechtliche Gründe und erläutern Sie kurz, welche Schutzfunktion das AGG erfüllt.</x:v>
      </x:c>
      <x:c r="S2517" s="5" t="str">
        <x:v>d79286c3138c7d7ddc94d50849dd158dcce5e5f32e6b52ff9d8e5dda8faf0a9e</x:v>
      </x:c>
    </x:row>
    <x:row r="2518" ht="36" customHeight="1">
      <x:c r="A2518" s="5" t="str">
        <x:v>PF-0031</x:v>
      </x:c>
      <x:c r="B2518" s="5" t="str">
        <x:v>HQ</x:v>
      </x:c>
      <x:c r="C2518" s="5" t="str">
        <x:v>9</x:v>
      </x:c>
      <x:c r="D2518" s="5" t="str">
        <x:v>Führung und Zusammenarbeit</x:v>
      </x:c>
      <x:c r="E2518" s="5" t="str">
        <x:v>Führung und Zusammenarbeit</x:v>
      </x:c>
      <x:c r="F2518" s="5" t="str">
        <x:v>ui-hq-0032</x:v>
      </x:c>
      <x:c r="G2518" s="5" t="str">
        <x:v>Zusammenarbeit, Kommunikation und Kooperation</x:v>
      </x:c>
      <x:c r="H2518" s="5" t="str">
        <x:v>dg-hq-0001</x:v>
      </x:c>
      <x:c r="I2518" s="5" t="str">
        <x:v>9.1.4</x:v>
      </x:c>
      <x:c r="J2518" s="5" t="str">
        <x:v>Zielorientiertes Führen</x:v>
      </x:c>
      <x:c r="K2518" s="5" t="str"/>
      <x:c r="L2518" s="5" t="str">
        <x:v>Führungsstile, Führungsmittel &amp; Zusammenarbeit</x:v>
      </x:c>
      <x:c r="M2518" s="5" t="n">
        <x:v>26</x:v>
      </x:c>
      <x:c r="N2518" s="5" t="n">
        <x:v>18</x:v>
      </x:c>
      <x:c r="O2518" s="5" t="str"/>
      <x:c r="P2518" s="5" t="str">
        <x:v>Zuordnungsvorschlag; Fachfreigabe ausstehend</x:v>
      </x:c>
      <x:c r="Q2518" s="5" t="str">
        <x:v>Bestehendes Lernthema fachlich unter passendem Rahmenplan-Unterbereich behalten</x:v>
      </x:c>
      <x:c r="R2518" s="5" t="str">
        <x:v>Welche Aussagen kennzeichnen eine zeitgemäße Führungskultur? Entscheiden Sie jeweils mit ja oder nein.</x:v>
      </x:c>
      <x:c r="S2518" s="5" t="str">
        <x:v>02d62e056189eba9e840901f33f2af5fe28b6d70c91450799dc8278f1dc2db89</x:v>
      </x:c>
    </x:row>
    <x:row r="2519" ht="36" customHeight="1">
      <x:c r="A2519" s="5" t="str">
        <x:v>PF-0032</x:v>
      </x:c>
      <x:c r="B2519" s="5" t="str">
        <x:v>HQ</x:v>
      </x:c>
      <x:c r="C2519" s="5" t="str">
        <x:v>9</x:v>
      </x:c>
      <x:c r="D2519" s="5" t="str">
        <x:v>Führung und Zusammenarbeit</x:v>
      </x:c>
      <x:c r="E2519" s="5" t="str">
        <x:v>Führung und Zusammenarbeit</x:v>
      </x:c>
      <x:c r="F2519" s="5" t="str">
        <x:v>ui-hq-0032</x:v>
      </x:c>
      <x:c r="G2519" s="5" t="str">
        <x:v>Zusammenarbeit, Kommunikation und Kooperation</x:v>
      </x:c>
      <x:c r="H2519" s="5" t="str">
        <x:v>dg-hq-0001</x:v>
      </x:c>
      <x:c r="I2519" s="5" t="str">
        <x:v>9.1.4.2</x:v>
      </x:c>
      <x:c r="J2519" s="5" t="str">
        <x:v>Führungsstile und ihre Auswirkungen auf die Führungsleistung</x:v>
      </x:c>
      <x:c r="K2519" s="5" t="str"/>
      <x:c r="L2519" s="5" t="str">
        <x:v>Führungsstile, Führungsmittel &amp; Zusammenarbeit</x:v>
      </x:c>
      <x:c r="M2519" s="5" t="n">
        <x:v>27</x:v>
      </x:c>
      <x:c r="N2519" s="5" t="n">
        <x:v>19</x:v>
      </x:c>
      <x:c r="O2519" s="5" t="str"/>
      <x:c r="P2519" s="5" t="str">
        <x:v>Zuordnungsvorschlag; Fachfreigabe ausstehend</x:v>
      </x:c>
      <x:c r="Q2519" s="5" t="str">
        <x:v>Bestehendes Lernthema fachlich unter passendem Rahmenplan-Unterbereich behalten</x:v>
      </x:c>
      <x:c r="R2519" s="5" t="str">
        <x:v>Nennen Sie mindestens zwei Führungsstile aus dem Führungskontinuum nach Tannenbaum und Schmidt und erläutern Sie jeweils eine Situation, in der der betreffende Stil sinnvoll eingesetzt werden kann.</x:v>
      </x:c>
      <x:c r="S2519" s="5" t="str">
        <x:v>2c34638394632e2b85f29c49fa7f0e63058476c6eceeffb099b5e570f38e2e23</x:v>
      </x:c>
    </x:row>
    <x:row r="2520" ht="36" customHeight="1">
      <x:c r="A2520" s="5" t="str">
        <x:v>PF-0033</x:v>
      </x:c>
      <x:c r="B2520" s="5" t="str">
        <x:v>HQ</x:v>
      </x:c>
      <x:c r="C2520" s="5" t="str">
        <x:v>9</x:v>
      </x:c>
      <x:c r="D2520" s="5" t="str">
        <x:v>Führung und Zusammenarbeit</x:v>
      </x:c>
      <x:c r="E2520" s="5" t="str">
        <x:v>Führung und Zusammenarbeit</x:v>
      </x:c>
      <x:c r="F2520" s="5" t="str">
        <x:v>ui-hq-0032</x:v>
      </x:c>
      <x:c r="G2520" s="5" t="str">
        <x:v>Zusammenarbeit, Kommunikation und Kooperation</x:v>
      </x:c>
      <x:c r="H2520" s="5" t="str">
        <x:v>dg-hq-0001</x:v>
      </x:c>
      <x:c r="I2520" s="5" t="str">
        <x:v>9.1.4</x:v>
      </x:c>
      <x:c r="J2520" s="5" t="str">
        <x:v>Zielorientiertes Führen</x:v>
      </x:c>
      <x:c r="K2520" s="5" t="str"/>
      <x:c r="L2520" s="5" t="str">
        <x:v>Führungsstile, Führungsmittel &amp; Zusammenarbeit</x:v>
      </x:c>
      <x:c r="M2520" s="5" t="n">
        <x:v>28</x:v>
      </x:c>
      <x:c r="N2520" s="5" t="n">
        <x:v>20</x:v>
      </x:c>
      <x:c r="O2520" s="5" t="str"/>
      <x:c r="P2520" s="5" t="str">
        <x:v>Zuordnungsvorschlag; Fachfreigabe ausstehend</x:v>
      </x:c>
      <x:c r="Q2520" s="5" t="str">
        <x:v>Bestehendes Lernthema fachlich unter passendem Rahmenplan-Unterbereich behalten</x:v>
      </x:c>
      <x:c r="R2520" s="5" t="str">
        <x:v>Ordnen Sie jeder Führungssituation den am ehesten passenden Führungsstil zu.</x:v>
      </x:c>
      <x:c r="S2520" s="5" t="str">
        <x:v>efc88bc4909d3999d306191a224b3687e840c19ce74f5c8a1befe674d87e46eb</x:v>
      </x:c>
    </x:row>
    <x:row r="2521" ht="36" customHeight="1">
      <x:c r="A2521" s="5" t="str">
        <x:v>PF-0034</x:v>
      </x:c>
      <x:c r="B2521" s="5" t="str">
        <x:v>HQ</x:v>
      </x:c>
      <x:c r="C2521" s="5" t="str">
        <x:v>9</x:v>
      </x:c>
      <x:c r="D2521" s="5" t="str">
        <x:v>Führung und Zusammenarbeit</x:v>
      </x:c>
      <x:c r="E2521" s="5" t="str">
        <x:v>Führung und Zusammenarbeit</x:v>
      </x:c>
      <x:c r="F2521" s="5" t="str">
        <x:v>ui-hq-0032</x:v>
      </x:c>
      <x:c r="G2521" s="5" t="str">
        <x:v>Zusammenarbeit, Kommunikation und Kooperation</x:v>
      </x:c>
      <x:c r="H2521" s="5" t="str">
        <x:v>dg-hq-0001</x:v>
      </x:c>
      <x:c r="I2521" s="5" t="str">
        <x:v>9.1.4</x:v>
      </x:c>
      <x:c r="J2521" s="5" t="str">
        <x:v>Zielorientiertes Führen</x:v>
      </x:c>
      <x:c r="K2521" s="5" t="str"/>
      <x:c r="L2521" s="5" t="str">
        <x:v>Zielorientierte Führung &amp; Führungskonzepte</x:v>
      </x:c>
      <x:c r="M2521" s="5" t="n">
        <x:v>29</x:v>
      </x:c>
      <x:c r="N2521" s="5" t="n">
        <x:v>21</x:v>
      </x:c>
      <x:c r="O2521" s="5" t="str"/>
      <x:c r="P2521" s="5" t="str">
        <x:v>Zuordnungsvorschlag; Fachfreigabe ausstehend</x:v>
      </x:c>
      <x:c r="Q2521" s="5" t="str">
        <x:v>Bestehendes Lernthema fachlich unter passendem Rahmenplan-Unterbereich behalten</x:v>
      </x:c>
      <x:c r="R2521" s="5" t="str">
        <x:v>Erläutern Sie mit mindestens zwei Argumenten, warum Mitarbeiterführung mit Unternehmenszielen, Leitbild und Führungsgrundsätzen abgestimmt sein sollte.</x:v>
      </x:c>
      <x:c r="S2521" s="5" t="str">
        <x:v>860a9eed3acf062b0a3593e9659d1d5982da3aec05b3ab7fc749b0727f100dfc</x:v>
      </x:c>
    </x:row>
    <x:row r="2522" ht="36" customHeight="1">
      <x:c r="A2522" s="5" t="str">
        <x:v>PF-0035</x:v>
      </x:c>
      <x:c r="B2522" s="5" t="str">
        <x:v>HQ</x:v>
      </x:c>
      <x:c r="C2522" s="5" t="str">
        <x:v>9</x:v>
      </x:c>
      <x:c r="D2522" s="5" t="str">
        <x:v>Führung und Zusammenarbeit</x:v>
      </x:c>
      <x:c r="E2522" s="5" t="str">
        <x:v>Führung und Zusammenarbeit</x:v>
      </x:c>
      <x:c r="F2522" s="5" t="str">
        <x:v>ui-hq-0032</x:v>
      </x:c>
      <x:c r="G2522" s="5" t="str">
        <x:v>Zusammenarbeit, Kommunikation und Kooperation</x:v>
      </x:c>
      <x:c r="H2522" s="5" t="str">
        <x:v>dg-hq-0001</x:v>
      </x:c>
      <x:c r="I2522" s="5" t="str">
        <x:v>9.1.4</x:v>
      </x:c>
      <x:c r="J2522" s="5" t="str">
        <x:v>Zielorientiertes Führen</x:v>
      </x:c>
      <x:c r="K2522" s="5" t="str"/>
      <x:c r="L2522" s="5" t="str">
        <x:v>Zielorientierte Führung &amp; Führungskonzepte</x:v>
      </x:c>
      <x:c r="M2522" s="5" t="n">
        <x:v>30</x:v>
      </x:c>
      <x:c r="N2522" s="5" t="n">
        <x:v>22</x:v>
      </x:c>
      <x:c r="O2522" s="5" t="str"/>
      <x:c r="P2522" s="5" t="str">
        <x:v>Zuordnungsvorschlag; Fachfreigabe ausstehend</x:v>
      </x:c>
      <x:c r="Q2522" s="5" t="str">
        <x:v>Bestehendes Lernthema fachlich unter passendem Rahmenplan-Unterbereich behalten</x:v>
      </x:c>
      <x:c r="R2522" s="5" t="str">
        <x:v>Circle Harbor möchte sein Leitbild neu entwickeln. Nennen Sie mindestens fünf typische Inhaltsbereiche, mindestens drei Gruppen, die in den Entwicklungsprozess einbezogen werden sollten, und mindestens vier Erfolgsfaktoren für die spätere Umsetzung.</x:v>
      </x:c>
      <x:c r="S2522" s="5" t="str">
        <x:v>5a978b0f5e3d04e4c3ae1b1cc5ac48de35fe94e20fc2d11534a29e297bf4d64f</x:v>
      </x:c>
    </x:row>
    <x:row r="2523" ht="36" customHeight="1">
      <x:c r="A2523" s="5" t="str">
        <x:v>PF-0036</x:v>
      </x:c>
      <x:c r="B2523" s="5" t="str">
        <x:v>HQ</x:v>
      </x:c>
      <x:c r="C2523" s="5" t="str">
        <x:v>9</x:v>
      </x:c>
      <x:c r="D2523" s="5" t="str">
        <x:v>Führung und Zusammenarbeit</x:v>
      </x:c>
      <x:c r="E2523" s="5" t="str">
        <x:v>Führung und Zusammenarbeit</x:v>
      </x:c>
      <x:c r="F2523" s="5" t="str">
        <x:v>ui-hq-0032</x:v>
      </x:c>
      <x:c r="G2523" s="5" t="str">
        <x:v>Zusammenarbeit, Kommunikation und Kooperation</x:v>
      </x:c>
      <x:c r="H2523" s="5" t="str">
        <x:v>dg-hq-0001</x:v>
      </x:c>
      <x:c r="I2523" s="5" t="str">
        <x:v>9.1.4</x:v>
      </x:c>
      <x:c r="J2523" s="5" t="str">
        <x:v>Zielorientiertes Führen</x:v>
      </x:c>
      <x:c r="K2523" s="5" t="str"/>
      <x:c r="L2523" s="5" t="str">
        <x:v>Führungsstile, Führungsmittel &amp; Zusammenarbeit</x:v>
      </x:c>
      <x:c r="M2523" s="5" t="n">
        <x:v>31</x:v>
      </x:c>
      <x:c r="N2523" s="5" t="n">
        <x:v>23</x:v>
      </x:c>
      <x:c r="O2523" s="5" t="str"/>
      <x:c r="P2523" s="5" t="str">
        <x:v>Zuordnungsvorschlag; Fachfreigabe ausstehend</x:v>
      </x:c>
      <x:c r="Q2523" s="5" t="str">
        <x:v>Bestehendes Lernthema fachlich unter passendem Rahmenplan-Unterbereich behalten</x:v>
      </x:c>
      <x:c r="R2523" s="5" t="str">
        <x:v>Ordnen Sie die Führungsmodelle und Kennzeichen der ein-, zwei- oder dreidimensionalen Betrachtung zu.</x:v>
      </x:c>
      <x:c r="S2523" s="5" t="str">
        <x:v>5e3ed7c83bd4c709622325156a6eee056545cba23eeb9a2a035d9af7ef6a95be</x:v>
      </x:c>
    </x:row>
    <x:row r="2524" ht="36" customHeight="1">
      <x:c r="A2524" s="5" t="str">
        <x:v>PF-0037</x:v>
      </x:c>
      <x:c r="B2524" s="5" t="str">
        <x:v>HQ</x:v>
      </x:c>
      <x:c r="C2524" s="5" t="str">
        <x:v>9</x:v>
      </x:c>
      <x:c r="D2524" s="5" t="str">
        <x:v>Führung und Zusammenarbeit</x:v>
      </x:c>
      <x:c r="E2524" s="5" t="str">
        <x:v>Führung und Zusammenarbeit</x:v>
      </x:c>
      <x:c r="F2524" s="5" t="str">
        <x:v>ui-hq-0032</x:v>
      </x:c>
      <x:c r="G2524" s="5" t="str">
        <x:v>Zusammenarbeit, Kommunikation und Kooperation</x:v>
      </x:c>
      <x:c r="H2524" s="5" t="str">
        <x:v>dg-hq-0001</x:v>
      </x:c>
      <x:c r="I2524" s="5" t="str">
        <x:v>9.1.4</x:v>
      </x:c>
      <x:c r="J2524" s="5" t="str">
        <x:v>Zielorientiertes Führen</x:v>
      </x:c>
      <x:c r="K2524" s="5" t="str"/>
      <x:c r="L2524" s="5" t="str">
        <x:v>Führungsstile, Führungsmittel &amp; Zusammenarbeit</x:v>
      </x:c>
      <x:c r="M2524" s="5" t="n">
        <x:v>32</x:v>
      </x:c>
      <x:c r="N2524" s="5" t="n">
        <x:v>24</x:v>
      </x:c>
      <x:c r="O2524" s="5" t="str"/>
      <x:c r="P2524" s="5" t="str">
        <x:v>Zuordnungsvorschlag; Fachfreigabe ausstehend</x:v>
      </x:c>
      <x:c r="Q2524" s="5" t="str">
        <x:v>Bestehendes Lernthema fachlich unter passendem Rahmenplan-Unterbereich behalten</x:v>
      </x:c>
      <x:c r="R2524" s="5" t="str">
        <x:v>Nennen und erläutern Sie mindestens drei wesentliche Unterschiede zwischen autoritärem und demokratischem Führungsstil.</x:v>
      </x:c>
      <x:c r="S2524" s="5" t="str">
        <x:v>0f06fb0bcb955b30c0f3d92af14b34eb0c969f5da38a3d950751b434e94c0a77</x:v>
      </x:c>
    </x:row>
    <x:row r="2525" ht="36" customHeight="1">
      <x:c r="A2525" s="5" t="str">
        <x:v>PF-0038</x:v>
      </x:c>
      <x:c r="B2525" s="5" t="str">
        <x:v>HQ</x:v>
      </x:c>
      <x:c r="C2525" s="5" t="str">
        <x:v>9</x:v>
      </x:c>
      <x:c r="D2525" s="5" t="str">
        <x:v>Führung und Zusammenarbeit</x:v>
      </x:c>
      <x:c r="E2525" s="5" t="str">
        <x:v>Führung und Zusammenarbeit</x:v>
      </x:c>
      <x:c r="F2525" s="5" t="str">
        <x:v>ui-hq-0032</x:v>
      </x:c>
      <x:c r="G2525" s="5" t="str">
        <x:v>Zusammenarbeit, Kommunikation und Kooperation</x:v>
      </x:c>
      <x:c r="H2525" s="5" t="str">
        <x:v>dg-hq-0001</x:v>
      </x:c>
      <x:c r="I2525" s="5" t="str">
        <x:v>9.1.4.3</x:v>
      </x:c>
      <x:c r="J2525" s="5" t="str">
        <x:v>Führungsmethoden und Führungsmittel</x:v>
      </x:c>
      <x:c r="K2525" s="5" t="str"/>
      <x:c r="L2525" s="5" t="str">
        <x:v>Führungsstile, Führungsmittel &amp; Zusammenarbeit</x:v>
      </x:c>
      <x:c r="M2525" s="5" t="n">
        <x:v>33</x:v>
      </x:c>
      <x:c r="N2525" s="5" t="n">
        <x:v>25</x:v>
      </x:c>
      <x:c r="O2525" s="5" t="str"/>
      <x:c r="P2525" s="5" t="str">
        <x:v>Zuordnungsvorschlag; Fachfreigabe ausstehend</x:v>
      </x:c>
      <x:c r="Q2525" s="5" t="str">
        <x:v>Bestehendes Lernthema fachlich unter passendem Rahmenplan-Unterbereich behalten</x:v>
      </x:c>
      <x:c r="R2525" s="5" t="str">
        <x:v>Nennen und erläutern Sie mindestens drei Rahmenbedingungen, die eine Führungskraft bei der Auswahl von Führungsmethode und Führungsmitteln berücksichtigen sollte.</x:v>
      </x:c>
      <x:c r="S2525" s="5" t="str">
        <x:v>64f7b78d2cfb11aa19933c941369575061e57b454e8bfdcc3dce7c72ee3c6593</x:v>
      </x:c>
    </x:row>
    <x:row r="2526" ht="36" customHeight="1">
      <x:c r="A2526" s="5" t="str">
        <x:v>PF-0039</x:v>
      </x:c>
      <x:c r="B2526" s="5" t="str">
        <x:v>HQ</x:v>
      </x:c>
      <x:c r="C2526" s="5" t="str">
        <x:v>9</x:v>
      </x:c>
      <x:c r="D2526" s="5" t="str">
        <x:v>Führung und Zusammenarbeit</x:v>
      </x:c>
      <x:c r="E2526" s="5" t="str">
        <x:v>Führung und Zusammenarbeit</x:v>
      </x:c>
      <x:c r="F2526" s="5" t="str">
        <x:v>ui-hq-0032</x:v>
      </x:c>
      <x:c r="G2526" s="5" t="str">
        <x:v>Zusammenarbeit, Kommunikation und Kooperation</x:v>
      </x:c>
      <x:c r="H2526" s="5" t="str">
        <x:v>dg-hq-0001</x:v>
      </x:c>
      <x:c r="I2526" s="5" t="str">
        <x:v>9.1.4.1</x:v>
      </x:c>
      <x:c r="J2526" s="5" t="str">
        <x:v>Grundsätze für zielorientiertes Führen</x:v>
      </x:c>
      <x:c r="K2526" s="5" t="str"/>
      <x:c r="L2526" s="5" t="str">
        <x:v>Zielorientierte Führung &amp; Führungskonzepte</x:v>
      </x:c>
      <x:c r="M2526" s="5" t="n">
        <x:v>34</x:v>
      </x:c>
      <x:c r="N2526" s="5" t="n">
        <x:v>26</x:v>
      </x:c>
      <x:c r="O2526" s="5" t="str"/>
      <x:c r="P2526" s="5" t="str">
        <x:v>Zuordnungsvorschlag; Fachfreigabe ausstehend</x:v>
      </x:c>
      <x:c r="Q2526" s="5" t="str">
        <x:v>Bestehendes Lernthema fachlich unter passendem Rahmenplan-Unterbereich behalten</x:v>
      </x:c>
      <x:c r="R2526" s="5" t="str">
        <x:v>Circle Harbor möchte Management by Objectives einführen. Nennen und erläutern Sie mindestens zwei Anforderungen an gute Zielvereinbarungen und geben Sie jeweils ein Beispiel. Stellen Sie außerdem mindestens drei Vorteile und drei Nachteile des Systems dar und begründen Sie, welcher Führungsstil die Einführung besonders unterstützt.</x:v>
      </x:c>
      <x:c r="S2526" s="5" t="str">
        <x:v>b64fcb565f20f49d2f1115d31fb97276e8b26bb23af8acd0e45766b6186ee339</x:v>
      </x:c>
    </x:row>
    <x:row r="2527" ht="36" customHeight="1">
      <x:c r="A2527" s="5" t="str">
        <x:v>PF-0040</x:v>
      </x:c>
      <x:c r="B2527" s="5" t="str">
        <x:v>HQ</x:v>
      </x:c>
      <x:c r="C2527" s="5" t="str">
        <x:v>9</x:v>
      </x:c>
      <x:c r="D2527" s="5" t="str">
        <x:v>Führung und Zusammenarbeit</x:v>
      </x:c>
      <x:c r="E2527" s="5" t="str">
        <x:v>Führung und Zusammenarbeit</x:v>
      </x:c>
      <x:c r="F2527" s="5" t="str">
        <x:v>ui-hq-0032</x:v>
      </x:c>
      <x:c r="G2527" s="5" t="str">
        <x:v>Zusammenarbeit, Kommunikation und Kooperation</x:v>
      </x:c>
      <x:c r="H2527" s="5" t="str">
        <x:v>dg-hq-0001</x:v>
      </x:c>
      <x:c r="I2527" s="5" t="str">
        <x:v>9.1.4</x:v>
      </x:c>
      <x:c r="J2527" s="5" t="str">
        <x:v>Zielorientiertes Führen</x:v>
      </x:c>
      <x:c r="K2527" s="5" t="str"/>
      <x:c r="L2527" s="5" t="str">
        <x:v>Führungsstile, Führungsmittel &amp; Zusammenarbeit</x:v>
      </x:c>
      <x:c r="M2527" s="5" t="n">
        <x:v>35</x:v>
      </x:c>
      <x:c r="N2527" s="5" t="n">
        <x:v>27</x:v>
      </x:c>
      <x:c r="O2527" s="5" t="str"/>
      <x:c r="P2527" s="5" t="str">
        <x:v>Zuordnungsvorschlag; Fachfreigabe ausstehend</x:v>
      </x:c>
      <x:c r="Q2527" s="5" t="str">
        <x:v>Bestehendes Lernthema fachlich unter passendem Rahmenplan-Unterbereich behalten</x:v>
      </x:c>
      <x:c r="R2527" s="5" t="str">
        <x:v>Ordnen Sie die folgenden Führungsinstrumente der direkten oder indirekten Führung zu.</x:v>
      </x:c>
      <x:c r="S2527" s="5" t="str">
        <x:v>92254c6aa011b0191df4b85f4619228c0c33f57c6a224f02e9fa7882ac29f6dc</x:v>
      </x:c>
    </x:row>
    <x:row r="2528" ht="36" customHeight="1">
      <x:c r="A2528" s="5" t="str">
        <x:v>PF-0041</x:v>
      </x:c>
      <x:c r="B2528" s="5" t="str">
        <x:v>HQ</x:v>
      </x:c>
      <x:c r="C2528" s="5" t="str">
        <x:v>9</x:v>
      </x:c>
      <x:c r="D2528" s="5" t="str">
        <x:v>Führung und Zusammenarbeit</x:v>
      </x:c>
      <x:c r="E2528" s="5" t="str">
        <x:v>Führung und Zusammenarbeit</x:v>
      </x:c>
      <x:c r="F2528" s="5" t="str">
        <x:v>ui-hq-0032</x:v>
      </x:c>
      <x:c r="G2528" s="5" t="str">
        <x:v>Zusammenarbeit, Kommunikation und Kooperation</x:v>
      </x:c>
      <x:c r="H2528" s="5" t="str">
        <x:v>dg-hq-0001</x:v>
      </x:c>
      <x:c r="I2528" s="5" t="str">
        <x:v>9.1.4.4</x:v>
      </x:c>
      <x:c r="J2528" s="5" t="str">
        <x:v>Führungsdefizite und Maßnahmen zu deren Abhilfe</x:v>
      </x:c>
      <x:c r="K2528" s="5" t="str"/>
      <x:c r="L2528" s="5" t="str">
        <x:v>Führungsstile, Führungsmittel &amp; Zusammenarbeit</x:v>
      </x:c>
      <x:c r="M2528" s="5" t="n">
        <x:v>36</x:v>
      </x:c>
      <x:c r="N2528" s="5" t="n">
        <x:v>28</x:v>
      </x:c>
      <x:c r="O2528" s="5" t="str"/>
      <x:c r="P2528" s="5" t="str">
        <x:v>Zuordnungsvorschlag; Fachfreigabe ausstehend</x:v>
      </x:c>
      <x:c r="Q2528" s="5" t="str">
        <x:v>Bestehendes Lernthema fachlich unter passendem Rahmenplan-Unterbereich behalten</x:v>
      </x:c>
      <x:c r="R2528" s="5" t="str">
        <x:v>Nennen Sie mindestens sechs typische Führungsdefizite, die im betrieblichen Alltag auftreten können.</x:v>
      </x:c>
      <x:c r="S2528" s="5" t="str">
        <x:v>83720b7d6c40175c902c7af2261a3d07e5cc671e2dc6e27f5c6d9a680fe7b85c</x:v>
      </x:c>
    </x:row>
    <x:row r="2529" ht="36" customHeight="1">
      <x:c r="A2529" s="5" t="str">
        <x:v>PF-0042</x:v>
      </x:c>
      <x:c r="B2529" s="5" t="str">
        <x:v>HQ</x:v>
      </x:c>
      <x:c r="C2529" s="5" t="str">
        <x:v>9</x:v>
      </x:c>
      <x:c r="D2529" s="5" t="str">
        <x:v>Führung und Zusammenarbeit</x:v>
      </x:c>
      <x:c r="E2529" s="5" t="str">
        <x:v>Führung und Zusammenarbeit</x:v>
      </x:c>
      <x:c r="F2529" s="5" t="str">
        <x:v>ui-hq-0032</x:v>
      </x:c>
      <x:c r="G2529" s="5" t="str">
        <x:v>Zusammenarbeit, Kommunikation und Kooperation</x:v>
      </x:c>
      <x:c r="H2529" s="5" t="str">
        <x:v>dg-hq-0001</x:v>
      </x:c>
      <x:c r="I2529" s="5" t="str">
        <x:v>9.1.4.4</x:v>
      </x:c>
      <x:c r="J2529" s="5" t="str">
        <x:v>Führungsdefizite und Maßnahmen zu deren Abhilfe</x:v>
      </x:c>
      <x:c r="K2529" s="5" t="str"/>
      <x:c r="L2529" s="5" t="str">
        <x:v>Führungsstile, Führungsmittel &amp; Zusammenarbeit</x:v>
      </x:c>
      <x:c r="M2529" s="5" t="n">
        <x:v>37</x:v>
      </x:c>
      <x:c r="N2529" s="5" t="n">
        <x:v>29</x:v>
      </x:c>
      <x:c r="O2529" s="5" t="str"/>
      <x:c r="P2529" s="5" t="str">
        <x:v>Zuordnungsvorschlag; Fachfreigabe ausstehend</x:v>
      </x:c>
      <x:c r="Q2529" s="5" t="str">
        <x:v>Bestehendes Lernthema fachlich unter passendem Rahmenplan-Unterbereich behalten</x:v>
      </x:c>
      <x:c r="R2529" s="5" t="str">
        <x:v>Beschreiben Sie mindestens fünf Maßnahmen, mit denen Führungsdefizite behoben oder bereits im Vorfeld vermieden werden können. Gehen Sie auch auf notwendige organisatorische Bedingungen ein.</x:v>
      </x:c>
      <x:c r="S2529" s="5" t="str">
        <x:v>a4a131ec4e0f014f59487e8cde7270ecb71a048841e81eeb97415688f0ff4ab4</x:v>
      </x:c>
    </x:row>
    <x:row r="2530" ht="36" customHeight="1">
      <x:c r="A2530" s="5" t="str">
        <x:v>PF-0043</x:v>
      </x:c>
      <x:c r="B2530" s="5" t="str">
        <x:v>HQ</x:v>
      </x:c>
      <x:c r="C2530" s="5" t="str">
        <x:v>9</x:v>
      </x:c>
      <x:c r="D2530" s="5" t="str">
        <x:v>Führung und Zusammenarbeit</x:v>
      </x:c>
      <x:c r="E2530" s="5" t="str">
        <x:v>Führung und Zusammenarbeit</x:v>
      </x:c>
      <x:c r="F2530" s="5" t="str">
        <x:v>ui-hq-0032</x:v>
      </x:c>
      <x:c r="G2530" s="5" t="str">
        <x:v>Zusammenarbeit, Kommunikation und Kooperation</x:v>
      </x:c>
      <x:c r="H2530" s="5" t="str">
        <x:v>dg-hq-0001</x:v>
      </x:c>
      <x:c r="I2530" s="5" t="str">
        <x:v>9.1.4</x:v>
      </x:c>
      <x:c r="J2530" s="5" t="str">
        <x:v>Zielorientiertes Führen</x:v>
      </x:c>
      <x:c r="K2530" s="5" t="str"/>
      <x:c r="L2530" s="5" t="str">
        <x:v>Führungsstile, Führungsmittel &amp; Zusammenarbeit</x:v>
      </x:c>
      <x:c r="M2530" s="5" t="n">
        <x:v>38</x:v>
      </x:c>
      <x:c r="N2530" s="5" t="n">
        <x:v>30</x:v>
      </x:c>
      <x:c r="O2530" s="5" t="str"/>
      <x:c r="P2530" s="5" t="str">
        <x:v>Zuordnungsvorschlag; Fachfreigabe ausstehend</x:v>
      </x:c>
      <x:c r="Q2530" s="5" t="str">
        <x:v>Bestehendes Lernthema fachlich unter passendem Rahmenplan-Unterbereich behalten</x:v>
      </x:c>
      <x:c r="R2530" s="5" t="str">
        <x:v>Nennen Sie mindestens fünf Grundsätze, die eine gute Zusammenarbeit im Betrieb fördern, und erläutern Sie jeweils kurz, wie sie im Arbeitsalltag umgesetzt werden können.</x:v>
      </x:c>
      <x:c r="S2530" s="5" t="str">
        <x:v>1e6c6701ab78d2072dc42ba175354eb7a5fe6c240d6d20fbfc77980903a1f1e4</x:v>
      </x:c>
    </x:row>
    <x:row r="2531" ht="36" customHeight="1">
      <x:c r="A2531" s="5" t="str">
        <x:v>PF-0044</x:v>
      </x:c>
      <x:c r="B2531" s="5" t="str">
        <x:v>HQ</x:v>
      </x:c>
      <x:c r="C2531" s="5" t="str">
        <x:v>9</x:v>
      </x:c>
      <x:c r="D2531" s="5" t="str">
        <x:v>Führung und Zusammenarbeit</x:v>
      </x:c>
      <x:c r="E2531" s="5" t="str">
        <x:v>Führung und Zusammenarbeit</x:v>
      </x:c>
      <x:c r="F2531" s="5" t="str">
        <x:v>ui-hq-0032</x:v>
      </x:c>
      <x:c r="G2531" s="5" t="str">
        <x:v>Zusammenarbeit, Kommunikation und Kooperation</x:v>
      </x:c>
      <x:c r="H2531" s="5" t="str">
        <x:v>dg-hq-0001</x:v>
      </x:c>
      <x:c r="I2531" s="5" t="str">
        <x:v>9.1.4</x:v>
      </x:c>
      <x:c r="J2531" s="5" t="str">
        <x:v>Zielorientiertes Führen</x:v>
      </x:c>
      <x:c r="K2531" s="5" t="str"/>
      <x:c r="L2531" s="5" t="str">
        <x:v>Führungsstile, Führungsmittel &amp; Zusammenarbeit</x:v>
      </x:c>
      <x:c r="M2531" s="5" t="n">
        <x:v>39</x:v>
      </x:c>
      <x:c r="N2531" s="5" t="n">
        <x:v>31</x:v>
      </x:c>
      <x:c r="O2531" s="5" t="str"/>
      <x:c r="P2531" s="5" t="str">
        <x:v>Zuordnungsvorschlag; Fachfreigabe ausstehend</x:v>
      </x:c>
      <x:c r="Q2531" s="5" t="str">
        <x:v>Bestehendes Lernthema fachlich unter passendem Rahmenplan-Unterbereich behalten</x:v>
      </x:c>
      <x:c r="R2531" s="5" t="str">
        <x:v>Beurteilen Sie, ob die folgenden Aussagen eine gute Zusammenarbeit im Betrieb fördern.</x:v>
      </x:c>
      <x:c r="S2531" s="5" t="str">
        <x:v>f5281890b0ae9588f49a85a9497b234392dde2d7c83a41fb27c3de6191455359</x:v>
      </x:c>
    </x:row>
    <x:row r="2532" ht="36" customHeight="1">
      <x:c r="A2532" s="5" t="str">
        <x:v>PF-0045</x:v>
      </x:c>
      <x:c r="B2532" s="5" t="str">
        <x:v>HQ</x:v>
      </x:c>
      <x:c r="C2532" s="5" t="str">
        <x:v>9</x:v>
      </x:c>
      <x:c r="D2532" s="5" t="str">
        <x:v>Führung und Zusammenarbeit</x:v>
      </x:c>
      <x:c r="E2532" s="5" t="str">
        <x:v>Führung und Zusammenarbeit</x:v>
      </x:c>
      <x:c r="F2532" s="5" t="str">
        <x:v>ui-hq-0032</x:v>
      </x:c>
      <x:c r="G2532" s="5" t="str">
        <x:v>Zusammenarbeit, Kommunikation und Kooperation</x:v>
      </x:c>
      <x:c r="H2532" s="5" t="str">
        <x:v>dg-hq-0001</x:v>
      </x:c>
      <x:c r="I2532" s="5" t="str">
        <x:v>9.1.4</x:v>
      </x:c>
      <x:c r="J2532" s="5" t="str">
        <x:v>Zielorientiertes Führen</x:v>
      </x:c>
      <x:c r="K2532" s="5" t="str"/>
      <x:c r="L2532" s="5" t="str">
        <x:v>Führungsstile, Führungsmittel &amp; Zusammenarbeit</x:v>
      </x:c>
      <x:c r="M2532" s="5" t="n">
        <x:v>40</x:v>
      </x:c>
      <x:c r="N2532" s="5" t="n">
        <x:v>32</x:v>
      </x:c>
      <x:c r="O2532" s="5" t="str"/>
      <x:c r="P2532" s="5" t="str">
        <x:v>Zuordnungsvorschlag; Fachfreigabe ausstehend</x:v>
      </x:c>
      <x:c r="Q2532" s="5" t="str">
        <x:v>Bestehendes Lernthema fachlich unter passendem Rahmenplan-Unterbereich behalten</x:v>
      </x:c>
      <x:c r="R2532" s="5" t="str">
        <x:v>Beschreiben Sie die Führungsinstrumente Delegation und Motivation und stellen Sie mindestens drei wesentliche Unterschiede beziehungsweise Zusammenhänge zwischen beiden Instrumenten dar.</x:v>
      </x:c>
      <x:c r="S2532" s="5" t="str">
        <x:v>b2c2d19f4473e534f10717b155052799700219b0caac1845aa265947da9c0595</x:v>
      </x:c>
    </x:row>
    <x:row r="2533" ht="36" customHeight="1">
      <x:c r="A2533" s="5" t="str">
        <x:v>PF-0046</x:v>
      </x:c>
      <x:c r="B2533" s="5" t="str">
        <x:v>HQ</x:v>
      </x:c>
      <x:c r="C2533" s="5" t="str">
        <x:v>9</x:v>
      </x:c>
      <x:c r="D2533" s="5" t="str">
        <x:v>Führung und Zusammenarbeit</x:v>
      </x:c>
      <x:c r="E2533" s="5" t="str">
        <x:v>Führung und Zusammenarbeit</x:v>
      </x:c>
      <x:c r="F2533" s="5" t="str">
        <x:v>ui-hq-0032</x:v>
      </x:c>
      <x:c r="G2533" s="5" t="str">
        <x:v>Zusammenarbeit, Kommunikation und Kooperation</x:v>
      </x:c>
      <x:c r="H2533" s="5" t="str">
        <x:v>dg-hq-0001</x:v>
      </x:c>
      <x:c r="I2533" s="5" t="str">
        <x:v>9.1.4.4</x:v>
      </x:c>
      <x:c r="J2533" s="5" t="str">
        <x:v>Führungsdefizite und Maßnahmen zu deren Abhilfe</x:v>
      </x:c>
      <x:c r="K2533" s="5" t="str"/>
      <x:c r="L2533" s="5" t="str">
        <x:v>Führungsstile, Führungsmittel &amp; Zusammenarbeit</x:v>
      </x:c>
      <x:c r="M2533" s="5" t="n">
        <x:v>41</x:v>
      </x:c>
      <x:c r="N2533" s="5" t="n">
        <x:v>33</x:v>
      </x:c>
      <x:c r="O2533" s="5" t="str"/>
      <x:c r="P2533" s="5" t="str">
        <x:v>Zuordnungsvorschlag; Fachfreigabe ausstehend</x:v>
      </x:c>
      <x:c r="Q2533" s="5" t="str">
        <x:v>Bestehendes Lernthema fachlich unter passendem Rahmenplan-Unterbereich behalten</x:v>
      </x:c>
      <x:c r="R2533" s="5" t="str">
        <x:v>Fallbezug: Die folgenden betrieblichen Angaben und Situationen beziehen sich auf die Circle Harbor GmbH.
In einem wissensintensiven Unternehmen werden fachlich sehr gute Beschäftigte regelmäßig ohne besondere Vorbereitung zu Führungskräften ernannt. Ziele werden uneinheitlich vereinbart, Führungsprozesse sind wenig transparent, Entscheidungen ziehen sich durch viele Abstimmungsrunden und im Team wächst die Frustration. Analysieren Sie mindestens drei Führungsdefizite und schlagen Sie mindestens vier geeignete Maßnahmen vor.</x:v>
      </x:c>
      <x:c r="S2533" s="5" t="str">
        <x:v>c5bc9ac29243878d198fb6791f87a802c72ad45d780fdf57ca0163cdf378267d</x:v>
      </x:c>
    </x:row>
    <x:row r="2534" ht="36" customHeight="1">
      <x:c r="A2534" s="5" t="str">
        <x:v>PF-0047</x:v>
      </x:c>
      <x:c r="B2534" s="5" t="str">
        <x:v>HQ</x:v>
      </x:c>
      <x:c r="C2534" s="5" t="str">
        <x:v>9</x:v>
      </x:c>
      <x:c r="D2534" s="5" t="str">
        <x:v>Führung und Zusammenarbeit</x:v>
      </x:c>
      <x:c r="E2534" s="5" t="str">
        <x:v>Führung und Zusammenarbeit</x:v>
      </x:c>
      <x:c r="F2534" s="5" t="str">
        <x:v>ui-hq-0032</x:v>
      </x:c>
      <x:c r="G2534" s="5" t="str">
        <x:v>Zusammenarbeit, Kommunikation und Kooperation</x:v>
      </x:c>
      <x:c r="H2534" s="5" t="str">
        <x:v>dg-hq-0001</x:v>
      </x:c>
      <x:c r="I2534" s="5" t="str">
        <x:v>9.1.4</x:v>
      </x:c>
      <x:c r="J2534" s="5" t="str">
        <x:v>Zielorientiertes Führen</x:v>
      </x:c>
      <x:c r="K2534" s="5" t="str"/>
      <x:c r="L2534" s="5" t="str">
        <x:v>Führungsstile, Führungsmittel &amp; Zusammenarbeit</x:v>
      </x:c>
      <x:c r="M2534" s="5" t="n">
        <x:v>42</x:v>
      </x:c>
      <x:c r="N2534" s="5" t="n">
        <x:v>34</x:v>
      </x:c>
      <x:c r="O2534" s="5" t="str"/>
      <x:c r="P2534" s="5" t="str">
        <x:v>Zuordnungsvorschlag; Fachfreigabe ausstehend</x:v>
      </x:c>
      <x:c r="Q2534" s="5" t="str">
        <x:v>Bestehendes Lernthema fachlich unter passendem Rahmenplan-Unterbereich behalten</x:v>
      </x:c>
      <x:c r="R2534" s="5" t="str">
        <x:v>Nennen Sie mindestens acht Eigenschaften beziehungsweise Kompetenzen, die eine wirksame und verantwortungsvolle Führungskraft auszeichnen.</x:v>
      </x:c>
      <x:c r="S2534" s="5" t="str">
        <x:v>05681cf4af9170d4891e5ad041925db5e2b79cb265a0149ad875ef2ef994c281</x:v>
      </x:c>
    </x:row>
    <x:row r="2535" ht="36" customHeight="1">
      <x:c r="A2535" s="5" t="str">
        <x:v>PF-0048</x:v>
      </x:c>
      <x:c r="B2535" s="5" t="str">
        <x:v>HQ</x:v>
      </x:c>
      <x:c r="C2535" s="5" t="str">
        <x:v>9</x:v>
      </x:c>
      <x:c r="D2535" s="5" t="str">
        <x:v>Führung und Zusammenarbeit</x:v>
      </x:c>
      <x:c r="E2535" s="5" t="str">
        <x:v>Führung und Zusammenarbeit</x:v>
      </x:c>
      <x:c r="F2535" s="5" t="str">
        <x:v>ui-hq-0032</x:v>
      </x:c>
      <x:c r="G2535" s="5" t="str">
        <x:v>Zusammenarbeit, Kommunikation und Kooperation</x:v>
      </x:c>
      <x:c r="H2535" s="5" t="str">
        <x:v>dg-hq-0001</x:v>
      </x:c>
      <x:c r="I2535" s="5" t="str">
        <x:v>9.1.4</x:v>
      </x:c>
      <x:c r="J2535" s="5" t="str">
        <x:v>Zielorientiertes Führen</x:v>
      </x:c>
      <x:c r="K2535" s="5" t="str"/>
      <x:c r="L2535" s="5" t="str">
        <x:v>Führungsstile, Führungsmittel &amp; Zusammenarbeit</x:v>
      </x:c>
      <x:c r="M2535" s="5" t="n">
        <x:v>43</x:v>
      </x:c>
      <x:c r="N2535" s="5" t="n">
        <x:v>35</x:v>
      </x:c>
      <x:c r="O2535" s="5" t="str"/>
      <x:c r="P2535" s="5" t="str">
        <x:v>Zuordnungsvorschlag; Fachfreigabe ausstehend</x:v>
      </x:c>
      <x:c r="Q2535" s="5" t="str">
        <x:v>Bestehendes Lernthema fachlich unter passendem Rahmenplan-Unterbereich behalten</x:v>
      </x:c>
      <x:c r="R2535" s="5" t="str">
        <x:v>Vergleichen Sie die Bedürfnishierarchie nach Maslow mit der Zwei-Faktoren-Theorie nach Herzberg. Erläutern Sie jeweils die Grundidee und nennen Sie mindestens einen Kritikpunkt.</x:v>
      </x:c>
      <x:c r="S2535" s="5" t="str">
        <x:v>08385cd5c3fc6e63c35246a04a00c1875977412cde7d3089fc1404c3c1f3dd12</x:v>
      </x:c>
    </x:row>
    <x:row r="2536" ht="36" customHeight="1">
      <x:c r="A2536" s="5" t="str">
        <x:v>PF-0049</x:v>
      </x:c>
      <x:c r="B2536" s="5" t="str">
        <x:v>HQ</x:v>
      </x:c>
      <x:c r="C2536" s="5" t="str">
        <x:v>9</x:v>
      </x:c>
      <x:c r="D2536" s="5" t="str">
        <x:v>Führung und Zusammenarbeit</x:v>
      </x:c>
      <x:c r="E2536" s="5" t="str">
        <x:v>Führung und Zusammenarbeit</x:v>
      </x:c>
      <x:c r="F2536" s="5" t="str">
        <x:v>ui-hq-0032</x:v>
      </x:c>
      <x:c r="G2536" s="5" t="str">
        <x:v>Zusammenarbeit, Kommunikation und Kooperation</x:v>
      </x:c>
      <x:c r="H2536" s="5" t="str">
        <x:v>dg-hq-0001</x:v>
      </x:c>
      <x:c r="I2536" s="5" t="str">
        <x:v>9.1.4</x:v>
      </x:c>
      <x:c r="J2536" s="5" t="str">
        <x:v>Zielorientiertes Führen</x:v>
      </x:c>
      <x:c r="K2536" s="5" t="str"/>
      <x:c r="L2536" s="5" t="str">
        <x:v>Führungsstile, Führungsmittel &amp; Zusammenarbeit</x:v>
      </x:c>
      <x:c r="M2536" s="5" t="n">
        <x:v>44</x:v>
      </x:c>
      <x:c r="N2536" s="5" t="n">
        <x:v>36</x:v>
      </x:c>
      <x:c r="O2536" s="5" t="str"/>
      <x:c r="P2536" s="5" t="str">
        <x:v>Zuordnungsvorschlag; Fachfreigabe ausstehend</x:v>
      </x:c>
      <x:c r="Q2536" s="5" t="str">
        <x:v>Bestehendes Lernthema fachlich unter passendem Rahmenplan-Unterbereich behalten</x:v>
      </x:c>
      <x:c r="R2536" s="5" t="str">
        <x:v>Erläutern Sie, wie die Bedürfnishierarchie nach Maslow zur Analyse von Motivation im Arbeitsleben genutzt werden kann. Nennen Sie zu mindestens drei Bedürfnisebenen jeweils ein betriebliches Beispiel und weisen Sie auf eine Grenze des Modells hin.</x:v>
      </x:c>
      <x:c r="S2536" s="5" t="str">
        <x:v>298103f9ed5d29f1c5f1699467aa952847b7a5861a22206ad35ce554266b47a3</x:v>
      </x:c>
    </x:row>
    <x:row r="2537" ht="36" customHeight="1">
      <x:c r="A2537" s="5" t="str">
        <x:v>PF-0050</x:v>
      </x:c>
      <x:c r="B2537" s="5" t="str">
        <x:v>HQ</x:v>
      </x:c>
      <x:c r="C2537" s="5" t="str">
        <x:v>9</x:v>
      </x:c>
      <x:c r="D2537" s="5" t="str">
        <x:v>Führung und Zusammenarbeit</x:v>
      </x:c>
      <x:c r="E2537" s="5" t="str">
        <x:v>Führung und Zusammenarbeit</x:v>
      </x:c>
      <x:c r="F2537" s="5" t="str">
        <x:v>ui-hq-0032</x:v>
      </x:c>
      <x:c r="G2537" s="5" t="str">
        <x:v>Zusammenarbeit, Kommunikation und Kooperation</x:v>
      </x:c>
      <x:c r="H2537" s="5" t="str">
        <x:v>dg-hq-0001</x:v>
      </x:c>
      <x:c r="I2537" s="5" t="str">
        <x:v>9.1.4</x:v>
      </x:c>
      <x:c r="J2537" s="5" t="str">
        <x:v>Zielorientiertes Führen</x:v>
      </x:c>
      <x:c r="K2537" s="5" t="str"/>
      <x:c r="L2537" s="5" t="str">
        <x:v>Führungsstile, Führungsmittel &amp; Zusammenarbeit</x:v>
      </x:c>
      <x:c r="M2537" s="5" t="n">
        <x:v>45</x:v>
      </x:c>
      <x:c r="N2537" s="5" t="n">
        <x:v>37</x:v>
      </x:c>
      <x:c r="O2537" s="5" t="str"/>
      <x:c r="P2537" s="5" t="str">
        <x:v>Zuordnungsvorschlag; Fachfreigabe ausstehend</x:v>
      </x:c>
      <x:c r="Q2537" s="5" t="str">
        <x:v>Bestehendes Lernthema fachlich unter passendem Rahmenplan-Unterbereich behalten</x:v>
      </x:c>
      <x:c r="R2537" s="5" t="str">
        <x:v>Ordnen Sie die folgenden Arbeitsbedingungen nach Herzberg als Motivator oder Hygienefaktor ein.</x:v>
      </x:c>
      <x:c r="S2537" s="5" t="str">
        <x:v>1b9f6cecefa5d1952e225b65db8b69c5ec7c1227a54ee895e387a27feb100acf</x:v>
      </x:c>
    </x:row>
    <x:row r="2538" ht="36" customHeight="1">
      <x:c r="A2538" s="5" t="str">
        <x:v>PF-0051</x:v>
      </x:c>
      <x:c r="B2538" s="5" t="str">
        <x:v>HQ</x:v>
      </x:c>
      <x:c r="C2538" s="5" t="str">
        <x:v>9</x:v>
      </x:c>
      <x:c r="D2538" s="5" t="str">
        <x:v>Führung und Zusammenarbeit</x:v>
      </x:c>
      <x:c r="E2538" s="5" t="str">
        <x:v>Führung und Zusammenarbeit</x:v>
      </x:c>
      <x:c r="F2538" s="5" t="str">
        <x:v>ui-hq-0032</x:v>
      </x:c>
      <x:c r="G2538" s="5" t="str">
        <x:v>Zusammenarbeit, Kommunikation und Kooperation</x:v>
      </x:c>
      <x:c r="H2538" s="5" t="str">
        <x:v>dg-hq-0001</x:v>
      </x:c>
      <x:c r="I2538" s="5" t="str">
        <x:v>9.1.4</x:v>
      </x:c>
      <x:c r="J2538" s="5" t="str">
        <x:v>Zielorientiertes Führen</x:v>
      </x:c>
      <x:c r="K2538" s="5" t="str"/>
      <x:c r="L2538" s="5" t="str">
        <x:v>Führungsstile, Führungsmittel &amp; Zusammenarbeit</x:v>
      </x:c>
      <x:c r="M2538" s="5" t="n">
        <x:v>46</x:v>
      </x:c>
      <x:c r="N2538" s="5" t="n">
        <x:v>38</x:v>
      </x:c>
      <x:c r="O2538" s="5" t="str"/>
      <x:c r="P2538" s="5" t="str">
        <x:v>Zuordnungsvorschlag; Fachfreigabe ausstehend</x:v>
      </x:c>
      <x:c r="Q2538" s="5" t="str">
        <x:v>Bestehendes Lernthema fachlich unter passendem Rahmenplan-Unterbereich behalten</x:v>
      </x:c>
      <x:c r="R2538" s="5" t="str">
        <x:v>Definieren Sie den Begriff Betriebsklima und nennen Sie mindestens fünf Faktoren, die das Betriebsklima eines Unternehmens beeinflussen können.</x:v>
      </x:c>
      <x:c r="S2538" s="5" t="str">
        <x:v>61e1b423a2c9e9b3832b6a6253fc9b6d802a7c5b42fb620b6124fe552e28ae04</x:v>
      </x:c>
    </x:row>
    <x:row r="2539" ht="36" customHeight="1">
      <x:c r="A2539" s="5" t="str">
        <x:v>PF-0052</x:v>
      </x:c>
      <x:c r="B2539" s="5" t="str">
        <x:v>HQ</x:v>
      </x:c>
      <x:c r="C2539" s="5" t="str">
        <x:v>9</x:v>
      </x:c>
      <x:c r="D2539" s="5" t="str">
        <x:v>Führung und Zusammenarbeit</x:v>
      </x:c>
      <x:c r="E2539" s="5" t="str">
        <x:v>Führung und Zusammenarbeit</x:v>
      </x:c>
      <x:c r="F2539" s="5" t="str">
        <x:v>ui-hq-0032</x:v>
      </x:c>
      <x:c r="G2539" s="5" t="str">
        <x:v>Zusammenarbeit, Kommunikation und Kooperation</x:v>
      </x:c>
      <x:c r="H2539" s="5" t="str">
        <x:v>dg-hq-0001</x:v>
      </x:c>
      <x:c r="I2539" s="5" t="str">
        <x:v>9.1.4.4</x:v>
      </x:c>
      <x:c r="J2539" s="5" t="str">
        <x:v>Führungsdefizite und Maßnahmen zu deren Abhilfe</x:v>
      </x:c>
      <x:c r="K2539" s="5" t="str"/>
      <x:c r="L2539" s="5" t="str">
        <x:v>Führungsstile, Führungsmittel &amp; Zusammenarbeit</x:v>
      </x:c>
      <x:c r="M2539" s="5" t="n">
        <x:v>47</x:v>
      </x:c>
      <x:c r="N2539" s="5" t="n">
        <x:v>39</x:v>
      </x:c>
      <x:c r="O2539" s="5" t="str"/>
      <x:c r="P2539" s="5" t="str">
        <x:v>Zuordnungsvorschlag; Fachfreigabe ausstehend</x:v>
      </x:c>
      <x:c r="Q2539" s="5" t="str">
        <x:v>Bestehendes Lernthema fachlich unter passendem Rahmenplan-Unterbereich behalten</x:v>
      </x:c>
      <x:c r="R2539" s="5" t="str">
        <x:v>Ordnen Sie die folgenden personalpolitischen Maßnahmen dem passenden Handlungsfeld zu: Entgelt- und Sozialleistungspolitik, Ausbildungs- und Stellenbesetzungspolitik oder Gestaltung der Arbeitsbedingungen.</x:v>
      </x:c>
      <x:c r="S2539" s="5" t="str">
        <x:v>66a13ae60d155b2c1247d989365dc165d902ef19a2c900713464d04f5e9d49c2</x:v>
      </x:c>
    </x:row>
    <x:row r="2540" ht="36" customHeight="1">
      <x:c r="A2540" s="5" t="str">
        <x:v>PF-0053</x:v>
      </x:c>
      <x:c r="B2540" s="5" t="str">
        <x:v>HQ</x:v>
      </x:c>
      <x:c r="C2540" s="5" t="str">
        <x:v>9</x:v>
      </x:c>
      <x:c r="D2540" s="5" t="str">
        <x:v>Führung und Zusammenarbeit</x:v>
      </x:c>
      <x:c r="E2540" s="5" t="str">
        <x:v>Führung und Zusammenarbeit</x:v>
      </x:c>
      <x:c r="F2540" s="5" t="str">
        <x:v>ui-hq-0032</x:v>
      </x:c>
      <x:c r="G2540" s="5" t="str">
        <x:v>Zusammenarbeit, Kommunikation und Kooperation</x:v>
      </x:c>
      <x:c r="H2540" s="5" t="str">
        <x:v>dg-hq-0001</x:v>
      </x:c>
      <x:c r="I2540" s="5" t="str">
        <x:v>9.1.4</x:v>
      </x:c>
      <x:c r="J2540" s="5" t="str">
        <x:v>Zielorientiertes Führen</x:v>
      </x:c>
      <x:c r="K2540" s="5" t="str"/>
      <x:c r="L2540" s="5" t="str">
        <x:v>Führungsstile, Führungsmittel &amp; Zusammenarbeit</x:v>
      </x:c>
      <x:c r="M2540" s="5" t="n">
        <x:v>48</x:v>
      </x:c>
      <x:c r="N2540" s="5" t="n">
        <x:v>40</x:v>
      </x:c>
      <x:c r="O2540" s="5" t="str"/>
      <x:c r="P2540" s="5" t="str">
        <x:v>Zuordnungsvorschlag; Fachfreigabe ausstehend</x:v>
      </x:c>
      <x:c r="Q2540" s="5" t="str">
        <x:v>Bestehendes Lernthema fachlich unter passendem Rahmenplan-Unterbereich behalten</x:v>
      </x:c>
      <x:c r="R2540" s="5" t="str">
        <x:v>Warum ist die Identifikation der Beschäftigten mit dem Unternehmen für die Personalführung bedeutsam? Erläutern Sie, wie Führung dazu beitragen kann, persönliche Ziele und Unternehmensziele möglichst gut miteinander zu verbinden.</x:v>
      </x:c>
      <x:c r="S2540" s="5" t="str">
        <x:v>2f1bcfec88c775205ff15f5e877b42179b52ae2ed2a8d1af4502712f77996435</x:v>
      </x:c>
    </x:row>
    <x:row r="2541" ht="36" customHeight="1">
      <x:c r="A2541" s="5" t="str">
        <x:v>PF-0054</x:v>
      </x:c>
      <x:c r="B2541" s="5" t="str">
        <x:v>HQ</x:v>
      </x:c>
      <x:c r="C2541" s="5" t="str">
        <x:v>9</x:v>
      </x:c>
      <x:c r="D2541" s="5" t="str">
        <x:v>Führung und Zusammenarbeit</x:v>
      </x:c>
      <x:c r="E2541" s="5" t="str">
        <x:v>Führung und Zusammenarbeit</x:v>
      </x:c>
      <x:c r="F2541" s="5" t="str">
        <x:v>ui-hq-0032</x:v>
      </x:c>
      <x:c r="G2541" s="5" t="str">
        <x:v>Zusammenarbeit, Kommunikation und Kooperation</x:v>
      </x:c>
      <x:c r="H2541" s="5" t="str">
        <x:v>dg-hq-0004</x:v>
      </x:c>
      <x:c r="I2541" s="5" t="str">
        <x:v>9.1.1</x:v>
      </x:c>
      <x:c r="J2541" s="5" t="str">
        <x:v>Zusammenhang Persönlichkeit und beruflicher Entwicklung</x:v>
      </x:c>
      <x:c r="K2541" s="5" t="str"/>
      <x:c r="L2541" s="5" t="str">
        <x:v>Persönlichkeit, Sozialverhalten &amp; Vielfalt</x:v>
      </x:c>
      <x:c r="M2541" s="5" t="n">
        <x:v>49</x:v>
      </x:c>
      <x:c r="N2541" s="5" t="n">
        <x:v>9</x:v>
      </x:c>
      <x:c r="O2541" s="5" t="str"/>
      <x:c r="P2541" s="5" t="str">
        <x:v>Zuordnungsvorschlag; Fachfreigabe ausstehend</x:v>
      </x:c>
      <x:c r="Q2541" s="5" t="str">
        <x:v>Bestehendes Lernthema fachlich unter passendem Rahmenplan-Unterbereich behalten</x:v>
      </x:c>
      <x:c r="R2541" s="5" t="str">
        <x:v>Vervollständigen Sie die Zusammenhänge zwischen Selbstwertgefühl und Sozialverhalten.</x:v>
      </x:c>
      <x:c r="S2541" s="5" t="str">
        <x:v>2669528579148903ed7fd8a21fbe2a7aa9146458b8bd670825ccfea96371cef9</x:v>
      </x:c>
    </x:row>
    <x:row r="2542" ht="36" customHeight="1">
      <x:c r="A2542" s="5" t="str">
        <x:v>PF-0055</x:v>
      </x:c>
      <x:c r="B2542" s="5" t="str">
        <x:v>HQ</x:v>
      </x:c>
      <x:c r="C2542" s="5" t="str">
        <x:v>9</x:v>
      </x:c>
      <x:c r="D2542" s="5" t="str">
        <x:v>Führung und Zusammenarbeit</x:v>
      </x:c>
      <x:c r="E2542" s="5" t="str">
        <x:v>Führung und Zusammenarbeit</x:v>
      </x:c>
      <x:c r="F2542" s="5" t="str">
        <x:v>ui-hq-0032</x:v>
      </x:c>
      <x:c r="G2542" s="5" t="str">
        <x:v>Zusammenarbeit, Kommunikation und Kooperation</x:v>
      </x:c>
      <x:c r="H2542" s="5" t="str">
        <x:v>dg-hq-0001</x:v>
      </x:c>
      <x:c r="I2542" s="5" t="str">
        <x:v>9.1.4</x:v>
      </x:c>
      <x:c r="J2542" s="5" t="str">
        <x:v>Zielorientiertes Führen</x:v>
      </x:c>
      <x:c r="K2542" s="5" t="str"/>
      <x:c r="L2542" s="5" t="str">
        <x:v>Führungsstile, Führungsmittel &amp; Zusammenarbeit</x:v>
      </x:c>
      <x:c r="M2542" s="5" t="n">
        <x:v>50</x:v>
      </x:c>
      <x:c r="N2542" s="5" t="n">
        <x:v>41</x:v>
      </x:c>
      <x:c r="O2542" s="5" t="str"/>
      <x:c r="P2542" s="5" t="str">
        <x:v>Zuordnungsvorschlag; Fachfreigabe ausstehend</x:v>
      </x:c>
      <x:c r="Q2542" s="5" t="str">
        <x:v>Bestehendes Lernthema fachlich unter passendem Rahmenplan-Unterbereich behalten</x:v>
      </x:c>
      <x:c r="R2542" s="5" t="str">
        <x:v>Ergänzen Sie das vereinfachte Sender-Empfänger-Modell der Kommunikation.</x:v>
      </x:c>
      <x:c r="S2542" s="5" t="str">
        <x:v>01ff24db110be9f22255441fdea7484d77d4654d972cd751692fa40813934eaf</x:v>
      </x:c>
    </x:row>
    <x:row r="2543" ht="36" customHeight="1">
      <x:c r="A2543" s="5" t="str">
        <x:v>PF-0056</x:v>
      </x:c>
      <x:c r="B2543" s="5" t="str">
        <x:v>HQ</x:v>
      </x:c>
      <x:c r="C2543" s="5" t="str">
        <x:v>9</x:v>
      </x:c>
      <x:c r="D2543" s="5" t="str">
        <x:v>Führung und Zusammenarbeit</x:v>
      </x:c>
      <x:c r="E2543" s="5" t="str">
        <x:v>Führung und Zusammenarbeit</x:v>
      </x:c>
      <x:c r="F2543" s="5" t="str">
        <x:v>ui-hq-0032</x:v>
      </x:c>
      <x:c r="G2543" s="5" t="str">
        <x:v>Zusammenarbeit, Kommunikation und Kooperation</x:v>
      </x:c>
      <x:c r="H2543" s="5" t="str">
        <x:v>dg-hq-0001</x:v>
      </x:c>
      <x:c r="I2543" s="5" t="str">
        <x:v>9.1.4</x:v>
      </x:c>
      <x:c r="J2543" s="5" t="str">
        <x:v>Zielorientiertes Führen</x:v>
      </x:c>
      <x:c r="K2543" s="5" t="str"/>
      <x:c r="L2543" s="5" t="str">
        <x:v>Führungsstile, Führungsmittel &amp; Zusammenarbeit</x:v>
      </x:c>
      <x:c r="M2543" s="5" t="n">
        <x:v>51</x:v>
      </x:c>
      <x:c r="N2543" s="5" t="n">
        <x:v>42</x:v>
      </x:c>
      <x:c r="O2543" s="5" t="str"/>
      <x:c r="P2543" s="5" t="str">
        <x:v>Zuordnungsvorschlag; Fachfreigabe ausstehend</x:v>
      </x:c>
      <x:c r="Q2543" s="5" t="str">
        <x:v>Bestehendes Lernthema fachlich unter passendem Rahmenplan-Unterbereich behalten</x:v>
      </x:c>
      <x:c r="R2543" s="5" t="str">
        <x:v>Ordnen Sie die folgenden Kommunikationsaspekte der Sach- oder Beziehungsebene zu.</x:v>
      </x:c>
      <x:c r="S2543" s="5" t="str">
        <x:v>699252357bb0c213a0e819669841cab024a93fa786d0374b8f68b08890650f74</x:v>
      </x:c>
    </x:row>
    <x:row r="2544" ht="36" customHeight="1">
      <x:c r="A2544" s="5" t="str">
        <x:v>PF-0057</x:v>
      </x:c>
      <x:c r="B2544" s="5" t="str">
        <x:v>HQ</x:v>
      </x:c>
      <x:c r="C2544" s="5" t="str">
        <x:v>9</x:v>
      </x:c>
      <x:c r="D2544" s="5" t="str">
        <x:v>Führung und Zusammenarbeit</x:v>
      </x:c>
      <x:c r="E2544" s="5" t="str">
        <x:v>Führung und Zusammenarbeit</x:v>
      </x:c>
      <x:c r="F2544" s="5" t="str">
        <x:v>ui-hq-0032</x:v>
      </x:c>
      <x:c r="G2544" s="5" t="str">
        <x:v>Zusammenarbeit, Kommunikation und Kooperation</x:v>
      </x:c>
      <x:c r="H2544" s="5" t="str">
        <x:v>dg-hq-0001</x:v>
      </x:c>
      <x:c r="I2544" s="5" t="str">
        <x:v>9.1.4</x:v>
      </x:c>
      <x:c r="J2544" s="5" t="str">
        <x:v>Zielorientiertes Führen</x:v>
      </x:c>
      <x:c r="K2544" s="5" t="str"/>
      <x:c r="L2544" s="5" t="str">
        <x:v>Führungsstile, Führungsmittel &amp; Zusammenarbeit</x:v>
      </x:c>
      <x:c r="M2544" s="5" t="n">
        <x:v>52</x:v>
      </x:c>
      <x:c r="N2544" s="5" t="n">
        <x:v>43</x:v>
      </x:c>
      <x:c r="O2544" s="5" t="str"/>
      <x:c r="P2544" s="5" t="str">
        <x:v>Zuordnungsvorschlag; Fachfreigabe ausstehend</x:v>
      </x:c>
      <x:c r="Q2544" s="5" t="str">
        <x:v>Bestehendes Lernthema fachlich unter passendem Rahmenplan-Unterbereich behalten</x:v>
      </x:c>
      <x:c r="R2544" s="5" t="str">
        <x:v>Fallbezug: Die folgenden betrieblichen Angaben und Situationen beziehen sich auf die Circle Harbor GmbH.
Eine Führungskraft sagt: „Der Monatsbericht zur Umsatzentwicklung muss heute fertig werden.“ Ordnen Sie die möglichen Bedeutungen den vier Seiten einer Nachricht zu.</x:v>
      </x:c>
      <x:c r="S2544" s="5" t="str">
        <x:v>7a5a791215a0676d3188828f46ebc4ee9b210409ee6ff79fc689651a475ddef3</x:v>
      </x:c>
    </x:row>
    <x:row r="2545" ht="36" customHeight="1">
      <x:c r="A2545" s="5" t="str">
        <x:v>PF-0058</x:v>
      </x:c>
      <x:c r="B2545" s="5" t="str">
        <x:v>HQ</x:v>
      </x:c>
      <x:c r="C2545" s="5" t="str">
        <x:v>9</x:v>
      </x:c>
      <x:c r="D2545" s="5" t="str">
        <x:v>Führung und Zusammenarbeit</x:v>
      </x:c>
      <x:c r="E2545" s="5" t="str">
        <x:v>Führung und Zusammenarbeit</x:v>
      </x:c>
      <x:c r="F2545" s="5" t="str">
        <x:v>ui-hq-0033</x:v>
      </x:c>
      <x:c r="G2545" s="5" t="str">
        <x:v>Mitarbeitergespräche</x:v>
      </x:c>
      <x:c r="H2545" s="5" t="str">
        <x:v>dg-hq-0003</x:v>
      </x:c>
      <x:c r="I2545" s="5" t="str">
        <x:v>9.2.1</x:v>
      </x:c>
      <x:c r="J2545" s="5" t="str">
        <x:v>Anerkennungs- und Kritikgespräch</x:v>
      </x:c>
      <x:c r="K2545" s="5" t="str"/>
      <x:c r="L2545" s="5" t="str">
        <x:v>Mitarbeitergespräche &amp; Beurteilung</x:v>
      </x:c>
      <x:c r="M2545" s="5" t="n">
        <x:v>6</x:v>
      </x:c>
      <x:c r="N2545" s="5" t="n">
        <x:v>3</x:v>
      </x:c>
      <x:c r="O2545" s="5" t="str"/>
      <x:c r="P2545" s="5" t="str">
        <x:v>Zuordnungsvorschlag; Fachfreigabe ausstehend</x:v>
      </x:c>
      <x:c r="Q2545" s="5" t="str">
        <x:v>Frageinhalt präzisiert bzw. teilt bisheriges Sammelthema</x:v>
      </x:c>
      <x:c r="R2545" s="5" t="str">
        <x:v>Beschreiben Sie die Vorbereitung, Durchführung und Nachbereitung eines professionellen Kritikgesprächs. Nennen Sie zu jeder Phase mindestens zwei wichtige Maßnahmen.</x:v>
      </x:c>
      <x:c r="S2545" s="5" t="str">
        <x:v>be84095823d81b5e676de3dfc71b7d162494078dab14e5ca6b79839763c95bb7</x:v>
      </x:c>
    </x:row>
    <x:row r="2546" ht="36" customHeight="1">
      <x:c r="A2546" s="5" t="str">
        <x:v>PF-0059</x:v>
      </x:c>
      <x:c r="B2546" s="5" t="str">
        <x:v>HQ</x:v>
      </x:c>
      <x:c r="C2546" s="5" t="str">
        <x:v>9</x:v>
      </x:c>
      <x:c r="D2546" s="5" t="str">
        <x:v>Führung und Zusammenarbeit</x:v>
      </x:c>
      <x:c r="E2546" s="5" t="str">
        <x:v>Führung und Zusammenarbeit</x:v>
      </x:c>
      <x:c r="F2546" s="5" t="str">
        <x:v>ui-hq-0033</x:v>
      </x:c>
      <x:c r="G2546" s="5" t="str">
        <x:v>Mitarbeitergespräche</x:v>
      </x:c>
      <x:c r="H2546" s="5" t="str">
        <x:v>dg-hq-0003</x:v>
      </x:c>
      <x:c r="I2546" s="5" t="str">
        <x:v>9.2.1</x:v>
      </x:c>
      <x:c r="J2546" s="5" t="str">
        <x:v>Anerkennungs- und Kritikgespräch</x:v>
      </x:c>
      <x:c r="K2546" s="5" t="str"/>
      <x:c r="L2546" s="5" t="str">
        <x:v>Mitarbeitergespräche &amp; Beurteilung</x:v>
      </x:c>
      <x:c r="M2546" s="5" t="n">
        <x:v>7</x:v>
      </x:c>
      <x:c r="N2546" s="5" t="n">
        <x:v>4</x:v>
      </x:c>
      <x:c r="O2546" s="5" t="str"/>
      <x:c r="P2546" s="5" t="str">
        <x:v>Zuordnungsvorschlag; Fachfreigabe ausstehend</x:v>
      </x:c>
      <x:c r="Q2546" s="5" t="str">
        <x:v>Frageinhalt präzisiert bzw. teilt bisheriges Sammelthema</x:v>
      </x:c>
      <x:c r="R2546" s="5" t="str">
        <x:v>Beurteilen Sie, welche Verhaltensweisen in einem Kritikgespräch sinnvoll oder nicht sinnvoll sind.</x:v>
      </x:c>
      <x:c r="S2546" s="5" t="str">
        <x:v>6b58ae050ba3af06f757c4bdd997676895d88d981a053c61aac6b9e8132d0383</x:v>
      </x:c>
    </x:row>
    <x:row r="2547" ht="36" customHeight="1">
      <x:c r="A2547" s="5" t="str">
        <x:v>PF-0060</x:v>
      </x:c>
      <x:c r="B2547" s="5" t="str">
        <x:v>HQ</x:v>
      </x:c>
      <x:c r="C2547" s="5" t="str">
        <x:v>9</x:v>
      </x:c>
      <x:c r="D2547" s="5" t="str">
        <x:v>Führung und Zusammenarbeit</x:v>
      </x:c>
      <x:c r="E2547" s="5" t="str">
        <x:v>Führung und Zusammenarbeit</x:v>
      </x:c>
      <x:c r="F2547" s="5" t="str">
        <x:v>ui-hq-0033</x:v>
      </x:c>
      <x:c r="G2547" s="5" t="str">
        <x:v>Mitarbeitergespräche</x:v>
      </x:c>
      <x:c r="H2547" s="5" t="str">
        <x:v>dg-hq-0002</x:v>
      </x:c>
      <x:c r="I2547" s="5" t="str">
        <x:v>9.2.2</x:v>
      </x:c>
      <x:c r="J2547" s="5" t="str">
        <x:v>Beurteilungsgespräch</x:v>
      </x:c>
      <x:c r="K2547" s="5" t="str"/>
      <x:c r="L2547" s="5" t="str">
        <x:v>Mitarbeitergespräche &amp; Beurteilung</x:v>
      </x:c>
      <x:c r="M2547" s="5" t="n">
        <x:v>8</x:v>
      </x:c>
      <x:c r="N2547" s="5" t="n">
        <x:v>4</x:v>
      </x:c>
      <x:c r="O2547" s="5" t="str"/>
      <x:c r="P2547" s="5" t="str">
        <x:v>Zuordnungsvorschlag; Fachfreigabe ausstehend</x:v>
      </x:c>
      <x:c r="Q2547" s="5" t="str">
        <x:v>Bestehendes Lernthema fachlich unter passendem Rahmenplan-Unterbereich behalten</x:v>
      </x:c>
      <x:c r="R2547" s="5" t="str">
        <x:v>Ordnen Sie die Fragen für ein reguläres Beurteilungsgespräch ohne besonderen arbeitsplatzbezogenen Anlass grundsätzlich als zulässig oder nicht zulässig ein.</x:v>
      </x:c>
      <x:c r="S2547" s="5" t="str">
        <x:v>1df6d4c91e18225a5f5cf3a23b86fbe0e5a430b693cb4ce848a3176cabbde079</x:v>
      </x:c>
    </x:row>
    <x:row r="2548" ht="36" customHeight="1">
      <x:c r="A2548" s="5" t="str">
        <x:v>PF-0061</x:v>
      </x:c>
      <x:c r="B2548" s="5" t="str">
        <x:v>HQ</x:v>
      </x:c>
      <x:c r="C2548" s="5" t="str">
        <x:v>9</x:v>
      </x:c>
      <x:c r="D2548" s="5" t="str">
        <x:v>Führung und Zusammenarbeit</x:v>
      </x:c>
      <x:c r="E2548" s="5" t="str">
        <x:v>Führung und Zusammenarbeit</x:v>
      </x:c>
      <x:c r="F2548" s="5" t="str">
        <x:v>ui-hq-0033</x:v>
      </x:c>
      <x:c r="G2548" s="5" t="str">
        <x:v>Mitarbeitergespräche</x:v>
      </x:c>
      <x:c r="H2548" s="5" t="str">
        <x:v>dg-hq-0002</x:v>
      </x:c>
      <x:c r="I2548" s="5" t="str">
        <x:v>9.2.2</x:v>
      </x:c>
      <x:c r="J2548" s="5" t="str">
        <x:v>Beurteilungsgespräch</x:v>
      </x:c>
      <x:c r="K2548" s="5" t="str"/>
      <x:c r="L2548" s="5" t="str">
        <x:v>Mitarbeitergespräche &amp; Beurteilung</x:v>
      </x:c>
      <x:c r="M2548" s="5" t="n">
        <x:v>9</x:v>
      </x:c>
      <x:c r="N2548" s="5" t="n">
        <x:v>5</x:v>
      </x:c>
      <x:c r="O2548" s="5" t="str"/>
      <x:c r="P2548" s="5" t="str">
        <x:v>Zuordnungsvorschlag; Fachfreigabe ausstehend</x:v>
      </x:c>
      <x:c r="Q2548" s="5" t="str">
        <x:v>Bestehendes Lernthema fachlich unter passendem Rahmenplan-Unterbereich behalten</x:v>
      </x:c>
      <x:c r="R2548" s="5" t="str">
        <x:v>Entscheiden Sie, ob die Aussagen zu Beurteilungsgesprächen fachlich zutreffen.</x:v>
      </x:c>
      <x:c r="S2548" s="5" t="str">
        <x:v>c89d84e33edeed2923f6dce7e0e4626d0b0704be5c4a63ea15bce268f3604e80</x:v>
      </x:c>
    </x:row>
    <x:row r="2549" ht="36" customHeight="1">
      <x:c r="A2549" s="5" t="str">
        <x:v>PF-0062</x:v>
      </x:c>
      <x:c r="B2549" s="5" t="str">
        <x:v>HQ</x:v>
      </x:c>
      <x:c r="C2549" s="5" t="str">
        <x:v>9</x:v>
      </x:c>
      <x:c r="D2549" s="5" t="str">
        <x:v>Führung und Zusammenarbeit</x:v>
      </x:c>
      <x:c r="E2549" s="5" t="str">
        <x:v>Führung und Zusammenarbeit</x:v>
      </x:c>
      <x:c r="F2549" s="5" t="str">
        <x:v>ui-hq-0033</x:v>
      </x:c>
      <x:c r="G2549" s="5" t="str">
        <x:v>Mitarbeitergespräche</x:v>
      </x:c>
      <x:c r="H2549" s="5" t="str">
        <x:v>dg-hq-0002</x:v>
      </x:c>
      <x:c r="I2549" s="5" t="str">
        <x:v>9.2.2</x:v>
      </x:c>
      <x:c r="J2549" s="5" t="str">
        <x:v>Beurteilungsgespräch</x:v>
      </x:c>
      <x:c r="K2549" s="5" t="str"/>
      <x:c r="L2549" s="5" t="str">
        <x:v>Mitarbeitergespräche &amp; Beurteilung</x:v>
      </x:c>
      <x:c r="M2549" s="5" t="n">
        <x:v>10</x:v>
      </x:c>
      <x:c r="N2549" s="5" t="n">
        <x:v>6</x:v>
      </x:c>
      <x:c r="O2549" s="5" t="str"/>
      <x:c r="P2549" s="5" t="str">
        <x:v>Zuordnungsvorschlag; Fachfreigabe ausstehend</x:v>
      </x:c>
      <x:c r="Q2549" s="5" t="str">
        <x:v>Bestehendes Lernthema fachlich unter passendem Rahmenplan-Unterbereich behalten</x:v>
      </x:c>
      <x:c r="R2549" s="5" t="str">
        <x:v>Nennen Sie mindestens fünf Grundsätze, die ein nachvollziehbares und möglichst objektives Beurteilungssystem erfüllen sollte.</x:v>
      </x:c>
      <x:c r="S2549" s="5" t="str">
        <x:v>b80c14eec8649ace9ea3ed3e88dc1fbecf000c0c704029da4a9c5d7093238050</x:v>
      </x:c>
    </x:row>
    <x:row r="2550" ht="36" customHeight="1">
      <x:c r="A2550" s="5" t="str">
        <x:v>PF-0063</x:v>
      </x:c>
      <x:c r="B2550" s="5" t="str">
        <x:v>HQ</x:v>
      </x:c>
      <x:c r="C2550" s="5" t="str">
        <x:v>9</x:v>
      </x:c>
      <x:c r="D2550" s="5" t="str">
        <x:v>Führung und Zusammenarbeit</x:v>
      </x:c>
      <x:c r="E2550" s="5" t="str">
        <x:v>Führung und Zusammenarbeit</x:v>
      </x:c>
      <x:c r="F2550" s="5" t="str">
        <x:v>ui-hq-0033</x:v>
      </x:c>
      <x:c r="G2550" s="5" t="str">
        <x:v>Mitarbeitergespräche</x:v>
      </x:c>
      <x:c r="H2550" s="5" t="str">
        <x:v>dg-hq-0002</x:v>
      </x:c>
      <x:c r="I2550" s="5" t="str">
        <x:v>9.2.2</x:v>
      </x:c>
      <x:c r="J2550" s="5" t="str">
        <x:v>Beurteilungsgespräch</x:v>
      </x:c>
      <x:c r="K2550" s="5" t="str"/>
      <x:c r="L2550" s="5" t="str">
        <x:v>Mitarbeitergespräche &amp; Beurteilung</x:v>
      </x:c>
      <x:c r="M2550" s="5" t="n">
        <x:v>11</x:v>
      </x:c>
      <x:c r="N2550" s="5" t="n">
        <x:v>7</x:v>
      </x:c>
      <x:c r="O2550" s="5" t="str"/>
      <x:c r="P2550" s="5" t="str">
        <x:v>Zuordnungsvorschlag; Fachfreigabe ausstehend</x:v>
      </x:c>
      <x:c r="Q2550" s="5" t="str">
        <x:v>Bestehendes Lernthema fachlich unter passendem Rahmenplan-Unterbereich behalten</x:v>
      </x:c>
      <x:c r="R2550" s="5" t="str">
        <x:v>Nennen Sie mindestens vier Faktoren, die bei der Planung und Auswertung einer Mitarbeiterbefragung zur Führungskultur berücksichtigt werden sollten.</x:v>
      </x:c>
      <x:c r="S2550" s="5" t="str">
        <x:v>97eca8a2b1ad2067b8effe535b5848bc7a5599a321c7dc2fdbef950824f8f987</x:v>
      </x:c>
    </x:row>
    <x:row r="2551" ht="36" customHeight="1">
      <x:c r="A2551" s="5" t="str">
        <x:v>PF-0064</x:v>
      </x:c>
      <x:c r="B2551" s="5" t="str">
        <x:v>HQ</x:v>
      </x:c>
      <x:c r="C2551" s="5" t="str">
        <x:v>9</x:v>
      </x:c>
      <x:c r="D2551" s="5" t="str">
        <x:v>Führung und Zusammenarbeit</x:v>
      </x:c>
      <x:c r="E2551" s="5" t="str">
        <x:v>Führung und Zusammenarbeit</x:v>
      </x:c>
      <x:c r="F2551" s="5" t="str">
        <x:v>ui-hq-0033</x:v>
      </x:c>
      <x:c r="G2551" s="5" t="str">
        <x:v>Mitarbeitergespräche</x:v>
      </x:c>
      <x:c r="H2551" s="5" t="str">
        <x:v>dg-hq-0002</x:v>
      </x:c>
      <x:c r="I2551" s="5" t="str">
        <x:v>9.2.2</x:v>
      </x:c>
      <x:c r="J2551" s="5" t="str">
        <x:v>Beurteilungsgespräch</x:v>
      </x:c>
      <x:c r="K2551" s="5" t="str"/>
      <x:c r="L2551" s="5" t="str">
        <x:v>Mitarbeitergespräche &amp; Beurteilung</x:v>
      </x:c>
      <x:c r="M2551" s="5" t="n">
        <x:v>12</x:v>
      </x:c>
      <x:c r="N2551" s="5" t="n">
        <x:v>8</x:v>
      </x:c>
      <x:c r="O2551" s="5" t="str"/>
      <x:c r="P2551" s="5" t="str">
        <x:v>Zuordnungsvorschlag; Fachfreigabe ausstehend</x:v>
      </x:c>
      <x:c r="Q2551" s="5" t="str">
        <x:v>Bestehendes Lernthema fachlich unter passendem Rahmenplan-Unterbereich behalten</x:v>
      </x:c>
      <x:c r="R2551" s="5" t="str">
        <x:v>Circle Harbor möchte ein neues Beurteilungssystem einführen. Beschreiben Sie mindestens vier Anforderungen an die Gestaltung des Systems und mindestens drei Punkte, die bei der konkreten Leistungsbewertung zu beachten sind.</x:v>
      </x:c>
      <x:c r="S2551" s="5" t="str">
        <x:v>4bac9bbad738e317fbe631b21e2b7064b4362367eb28e049d94243b1e337e292</x:v>
      </x:c>
    </x:row>
    <x:row r="2552" ht="36" customHeight="1">
      <x:c r="A2552" s="5" t="str">
        <x:v>PF-0065</x:v>
      </x:c>
      <x:c r="B2552" s="5" t="str">
        <x:v>HQ</x:v>
      </x:c>
      <x:c r="C2552" s="5" t="str">
        <x:v>9</x:v>
      </x:c>
      <x:c r="D2552" s="5" t="str">
        <x:v>Führung und Zusammenarbeit</x:v>
      </x:c>
      <x:c r="E2552" s="5" t="str">
        <x:v>Führung und Zusammenarbeit</x:v>
      </x:c>
      <x:c r="F2552" s="5" t="str">
        <x:v>ui-hq-0033</x:v>
      </x:c>
      <x:c r="G2552" s="5" t="str">
        <x:v>Mitarbeitergespräche</x:v>
      </x:c>
      <x:c r="H2552" s="5" t="str">
        <x:v>dg-hq-0002</x:v>
      </x:c>
      <x:c r="I2552" s="5" t="str">
        <x:v>9.2.2</x:v>
      </x:c>
      <x:c r="J2552" s="5" t="str">
        <x:v>Beurteilungsgespräch</x:v>
      </x:c>
      <x:c r="K2552" s="5" t="str"/>
      <x:c r="L2552" s="5" t="str">
        <x:v>Mitarbeitergespräche &amp; Beurteilung</x:v>
      </x:c>
      <x:c r="M2552" s="5" t="n">
        <x:v>13</x:v>
      </x:c>
      <x:c r="N2552" s="5" t="n">
        <x:v>9</x:v>
      </x:c>
      <x:c r="O2552" s="5" t="str"/>
      <x:c r="P2552" s="5" t="str">
        <x:v>Zuordnungsvorschlag; Fachfreigabe ausstehend</x:v>
      </x:c>
      <x:c r="Q2552" s="5" t="str">
        <x:v>Bestehendes Lernthema fachlich unter passendem Rahmenplan-Unterbereich behalten</x:v>
      </x:c>
      <x:c r="R2552" s="5" t="str">
        <x:v>Welche Beteiligungsrechte hat der Betriebsrat bei der Aufstellung allgemeiner Beurteilungsgrundsätze und welchen Zweck kann ein einheitliches Beurteilungssystem erfüllen?</x:v>
      </x:c>
      <x:c r="S2552" s="5" t="str">
        <x:v>7d609afc80cb5d63e8a7ee5bb1073c2068effef24e8165d3823c53ecbf3b92af</x:v>
      </x:c>
    </x:row>
    <x:row r="2553" ht="36" customHeight="1">
      <x:c r="A2553" s="5" t="str">
        <x:v>PF-0066</x:v>
      </x:c>
      <x:c r="B2553" s="5" t="str">
        <x:v>HQ</x:v>
      </x:c>
      <x:c r="C2553" s="5" t="str">
        <x:v>9</x:v>
      </x:c>
      <x:c r="D2553" s="5" t="str">
        <x:v>Führung und Zusammenarbeit</x:v>
      </x:c>
      <x:c r="E2553" s="5" t="str">
        <x:v>Führung und Zusammenarbeit</x:v>
      </x:c>
      <x:c r="F2553" s="5" t="str">
        <x:v>ui-hq-0033</x:v>
      </x:c>
      <x:c r="G2553" s="5" t="str">
        <x:v>Mitarbeitergespräche</x:v>
      </x:c>
      <x:c r="H2553" s="5" t="str">
        <x:v>dg-hq-0002</x:v>
      </x:c>
      <x:c r="I2553" s="5" t="str">
        <x:v>9.2.2.2</x:v>
      </x:c>
      <x:c r="J2553" s="5" t="str">
        <x:v>Beurteilungskriterien und -systeme</x:v>
      </x:c>
      <x:c r="K2553" s="5" t="str"/>
      <x:c r="L2553" s="5" t="str">
        <x:v>Mitarbeitergespräche &amp; Beurteilung</x:v>
      </x:c>
      <x:c r="M2553" s="5" t="n">
        <x:v>14</x:v>
      </x:c>
      <x:c r="N2553" s="5" t="n">
        <x:v>10</x:v>
      </x:c>
      <x:c r="O2553" s="5" t="str"/>
      <x:c r="P2553" s="5" t="str">
        <x:v>Zuordnungsvorschlag; Fachfreigabe ausstehend</x:v>
      </x:c>
      <x:c r="Q2553" s="5" t="str">
        <x:v>Bestehendes Lernthema fachlich unter passendem Rahmenplan-Unterbereich behalten</x:v>
      </x:c>
      <x:c r="R2553" s="5" t="str">
        <x:v>Ordnen Sie die Beschreibungen den Beurteilungsarten beziehungsweise Beurteilungssystemen zu.</x:v>
      </x:c>
      <x:c r="S2553" s="5" t="str">
        <x:v>3662b2b5e453f41ac62ae73076305382d4ae959d0dd07f0d741c5590d41974c0</x:v>
      </x:c>
    </x:row>
    <x:row r="2554" ht="36" customHeight="1">
      <x:c r="A2554" s="5" t="str">
        <x:v>PF-0067</x:v>
      </x:c>
      <x:c r="B2554" s="5" t="str">
        <x:v>HQ</x:v>
      </x:c>
      <x:c r="C2554" s="5" t="str">
        <x:v>9</x:v>
      </x:c>
      <x:c r="D2554" s="5" t="str">
        <x:v>Führung und Zusammenarbeit</x:v>
      </x:c>
      <x:c r="E2554" s="5" t="str">
        <x:v>Führung und Zusammenarbeit</x:v>
      </x:c>
      <x:c r="F2554" s="5" t="str">
        <x:v>ui-hq-0033</x:v>
      </x:c>
      <x:c r="G2554" s="5" t="str">
        <x:v>Mitarbeitergespräche</x:v>
      </x:c>
      <x:c r="H2554" s="5" t="str">
        <x:v>dg-hq-0002</x:v>
      </x:c>
      <x:c r="I2554" s="5" t="str">
        <x:v>9.2.2.3</x:v>
      </x:c>
      <x:c r="J2554" s="5" t="str">
        <x:v>Ablauf des Beurteilungsgesprächs</x:v>
      </x:c>
      <x:c r="K2554" s="5" t="str"/>
      <x:c r="L2554" s="5" t="str">
        <x:v>Mitarbeitergespräche &amp; Beurteilung</x:v>
      </x:c>
      <x:c r="M2554" s="5" t="n">
        <x:v>15</x:v>
      </x:c>
      <x:c r="N2554" s="5" t="n">
        <x:v>11</x:v>
      </x:c>
      <x:c r="O2554" s="5" t="str"/>
      <x:c r="P2554" s="5" t="str">
        <x:v>Zuordnungsvorschlag; Fachfreigabe ausstehend</x:v>
      </x:c>
      <x:c r="Q2554" s="5" t="str">
        <x:v>Bestehendes Lernthema fachlich unter passendem Rahmenplan-Unterbereich behalten</x:v>
      </x:c>
      <x:c r="R2554" s="5" t="str">
        <x:v>Vervollständigen Sie die typische Abfolge eines Beurteilungsgesprächs mit den passenden Phasen.</x:v>
      </x:c>
      <x:c r="S2554" s="5" t="str">
        <x:v>1097362b3ed231a2c9b9a6197248e86096f2f24d46296b1849fd08315fefa22e</x:v>
      </x:c>
    </x:row>
    <x:row r="2555" ht="36" customHeight="1">
      <x:c r="A2555" s="5" t="str">
        <x:v>PF-0068</x:v>
      </x:c>
      <x:c r="B2555" s="5" t="str">
        <x:v>HQ</x:v>
      </x:c>
      <x:c r="C2555" s="5" t="str">
        <x:v>9</x:v>
      </x:c>
      <x:c r="D2555" s="5" t="str">
        <x:v>Führung und Zusammenarbeit</x:v>
      </x:c>
      <x:c r="E2555" s="5" t="str">
        <x:v>Führung und Zusammenarbeit</x:v>
      </x:c>
      <x:c r="F2555" s="5" t="str">
        <x:v>ui-hq-0033</x:v>
      </x:c>
      <x:c r="G2555" s="5" t="str">
        <x:v>Mitarbeitergespräche</x:v>
      </x:c>
      <x:c r="H2555" s="5" t="str">
        <x:v>dg-hq-0002</x:v>
      </x:c>
      <x:c r="I2555" s="5" t="str">
        <x:v>9.2.2</x:v>
      </x:c>
      <x:c r="J2555" s="5" t="str">
        <x:v>Beurteilungsgespräch</x:v>
      </x:c>
      <x:c r="K2555" s="5" t="str"/>
      <x:c r="L2555" s="5" t="str">
        <x:v>Mitarbeitergespräche &amp; Beurteilung</x:v>
      </x:c>
      <x:c r="M2555" s="5" t="n">
        <x:v>16</x:v>
      </x:c>
      <x:c r="N2555" s="5" t="n">
        <x:v>12</x:v>
      </x:c>
      <x:c r="O2555" s="5" t="str"/>
      <x:c r="P2555" s="5" t="str">
        <x:v>Zuordnungsvorschlag; Fachfreigabe ausstehend</x:v>
      </x:c>
      <x:c r="Q2555" s="5" t="str">
        <x:v>Bestehendes Lernthema fachlich unter passendem Rahmenplan-Unterbereich behalten</x:v>
      </x:c>
      <x:c r="R2555" s="5" t="str">
        <x:v>Welche Rechte haben Beschäftigte nach dem Betriebsverfassungsgesetz im Zusammenhang mit der Erläuterung ihrer Leistungsbeurteilung und der Einsicht in ihre Personalakte?</x:v>
      </x:c>
      <x:c r="S2555" s="5" t="str">
        <x:v>876565a6adc674587479ae7e8d329f91d96e3cc683cf34f90c7331e3dca57247</x:v>
      </x:c>
    </x:row>
    <x:row r="2556" ht="36" customHeight="1">
      <x:c r="A2556" s="5" t="str">
        <x:v>PF-0069</x:v>
      </x:c>
      <x:c r="B2556" s="5" t="str">
        <x:v>HQ</x:v>
      </x:c>
      <x:c r="C2556" s="5" t="str">
        <x:v>9</x:v>
      </x:c>
      <x:c r="D2556" s="5" t="str">
        <x:v>Führung und Zusammenarbeit</x:v>
      </x:c>
      <x:c r="E2556" s="5" t="str">
        <x:v>Führung und Zusammenarbeit</x:v>
      </x:c>
      <x:c r="F2556" s="5" t="str">
        <x:v>ui-hq-0033</x:v>
      </x:c>
      <x:c r="G2556" s="5" t="str">
        <x:v>Mitarbeitergespräche</x:v>
      </x:c>
      <x:c r="H2556" s="5" t="str">
        <x:v>dg-hq-0002</x:v>
      </x:c>
      <x:c r="I2556" s="5" t="str">
        <x:v>9.2.2</x:v>
      </x:c>
      <x:c r="J2556" s="5" t="str">
        <x:v>Beurteilungsgespräch</x:v>
      </x:c>
      <x:c r="K2556" s="5" t="str"/>
      <x:c r="L2556" s="5" t="str">
        <x:v>Mitarbeitergespräche &amp; Beurteilung</x:v>
      </x:c>
      <x:c r="M2556" s="5" t="n">
        <x:v>17</x:v>
      </x:c>
      <x:c r="N2556" s="5" t="n">
        <x:v>13</x:v>
      </x:c>
      <x:c r="O2556" s="5" t="str"/>
      <x:c r="P2556" s="5" t="str">
        <x:v>Zuordnungsvorschlag; Fachfreigabe ausstehend</x:v>
      </x:c>
      <x:c r="Q2556" s="5" t="str">
        <x:v>Bestehendes Lernthema fachlich unter passendem Rahmenplan-Unterbereich behalten</x:v>
      </x:c>
      <x:c r="R2556" s="5" t="str">
        <x:v>Erläutern Sie, warum eine faire und konstruktive Mitarbeiterbeurteilung sowohl für Beschäftigte als auch für das Unternehmen bedeutsam ist. Nennen Sie mindestens vier mögliche Wirkungen.</x:v>
      </x:c>
      <x:c r="S2556" s="5" t="str">
        <x:v>28b4639500e5c08cfb3a0472cbd2822eb343aae401d0aa86392d73acf945ec0b</x:v>
      </x:c>
    </x:row>
    <x:row r="2557" ht="36" customHeight="1">
      <x:c r="A2557" s="5" t="str">
        <x:v>PF-0070</x:v>
      </x:c>
      <x:c r="B2557" s="5" t="str">
        <x:v>HQ</x:v>
      </x:c>
      <x:c r="C2557" s="5" t="str">
        <x:v>9</x:v>
      </x:c>
      <x:c r="D2557" s="5" t="str">
        <x:v>Führung und Zusammenarbeit</x:v>
      </x:c>
      <x:c r="E2557" s="5" t="str">
        <x:v>Führung und Zusammenarbeit</x:v>
      </x:c>
      <x:c r="F2557" s="5" t="str">
        <x:v>ui-hq-0033</x:v>
      </x:c>
      <x:c r="G2557" s="5" t="str">
        <x:v>Mitarbeitergespräche</x:v>
      </x:c>
      <x:c r="H2557" s="5" t="str">
        <x:v>dg-hq-0002</x:v>
      </x:c>
      <x:c r="I2557" s="5" t="str">
        <x:v>9.2.2</x:v>
      </x:c>
      <x:c r="J2557" s="5" t="str">
        <x:v>Beurteilungsgespräch</x:v>
      </x:c>
      <x:c r="K2557" s="5" t="str"/>
      <x:c r="L2557" s="5" t="str">
        <x:v>Mitarbeitergespräche &amp; Beurteilung</x:v>
      </x:c>
      <x:c r="M2557" s="5" t="n">
        <x:v>18</x:v>
      </x:c>
      <x:c r="N2557" s="5" t="n">
        <x:v>14</x:v>
      </x:c>
      <x:c r="O2557" s="5" t="str"/>
      <x:c r="P2557" s="5" t="str">
        <x:v>Zuordnungsvorschlag; Fachfreigabe ausstehend</x:v>
      </x:c>
      <x:c r="Q2557" s="5" t="str">
        <x:v>Bestehendes Lernthema fachlich unter passendem Rahmenplan-Unterbereich behalten</x:v>
      </x:c>
      <x:c r="R2557" s="5" t="str">
        <x:v>Nennen Sie mindestens fünf Ziele einer systematischen Mitarbeiterbeurteilung und mindestens fünf Grundsätze, die bei der Durchführung beachtet werden sollten.</x:v>
      </x:c>
      <x:c r="S2557" s="5" t="str">
        <x:v>525b5343e14bb7f04306c8c63bd7fde63482187f257c489e75cbb581dd1503bd</x:v>
      </x:c>
    </x:row>
    <x:row r="2558" ht="36" customHeight="1">
      <x:c r="A2558" s="5" t="str">
        <x:v>PF-0071</x:v>
      </x:c>
      <x:c r="B2558" s="5" t="str">
        <x:v>HQ</x:v>
      </x:c>
      <x:c r="C2558" s="5" t="str">
        <x:v>9</x:v>
      </x:c>
      <x:c r="D2558" s="5" t="str">
        <x:v>Führung und Zusammenarbeit</x:v>
      </x:c>
      <x:c r="E2558" s="5" t="str">
        <x:v>Führung und Zusammenarbeit</x:v>
      </x:c>
      <x:c r="F2558" s="5" t="str">
        <x:v>ui-hq-0033</x:v>
      </x:c>
      <x:c r="G2558" s="5" t="str">
        <x:v>Mitarbeitergespräche</x:v>
      </x:c>
      <x:c r="H2558" s="5" t="str">
        <x:v>dg-hq-0002</x:v>
      </x:c>
      <x:c r="I2558" s="5" t="str">
        <x:v>9.2.2</x:v>
      </x:c>
      <x:c r="J2558" s="5" t="str">
        <x:v>Beurteilungsgespräch</x:v>
      </x:c>
      <x:c r="K2558" s="5" t="str"/>
      <x:c r="L2558" s="5" t="str">
        <x:v>Mitarbeitergespräche &amp; Beurteilung</x:v>
      </x:c>
      <x:c r="M2558" s="5" t="n">
        <x:v>19</x:v>
      </x:c>
      <x:c r="N2558" s="5" t="n">
        <x:v>15</x:v>
      </x:c>
      <x:c r="O2558" s="5" t="str"/>
      <x:c r="P2558" s="5" t="str">
        <x:v>Zuordnungsvorschlag; Fachfreigabe ausstehend</x:v>
      </x:c>
      <x:c r="Q2558" s="5" t="str">
        <x:v>Bestehendes Lernthema fachlich unter passendem Rahmenplan-Unterbereich behalten</x:v>
      </x:c>
      <x:c r="R2558" s="5" t="str">
        <x:v>Welche Auswirkungen können Mitarbeiterbeurteilungen auf Verhalten und Leistung haben? Stellen Sie jeweils mögliche Folgen einer als gerecht und einer als ungerecht empfundenen Beurteilung dar.</x:v>
      </x:c>
      <x:c r="S2558" s="5" t="str">
        <x:v>9982430722867429c3bdf9fe377876f3ec735744bd3dfb046546789c5e83dce8</x:v>
      </x:c>
    </x:row>
    <x:row r="2559" ht="36" customHeight="1">
      <x:c r="A2559" s="5" t="str">
        <x:v>PF-0072</x:v>
      </x:c>
      <x:c r="B2559" s="5" t="str">
        <x:v>HQ</x:v>
      </x:c>
      <x:c r="C2559" s="5" t="str">
        <x:v>9</x:v>
      </x:c>
      <x:c r="D2559" s="5" t="str">
        <x:v>Führung und Zusammenarbeit</x:v>
      </x:c>
      <x:c r="E2559" s="5" t="str">
        <x:v>Führung und Zusammenarbeit</x:v>
      </x:c>
      <x:c r="F2559" s="5" t="str">
        <x:v>ui-hq-0033</x:v>
      </x:c>
      <x:c r="G2559" s="5" t="str">
        <x:v>Mitarbeitergespräche</x:v>
      </x:c>
      <x:c r="H2559" s="5" t="str">
        <x:v>dg-hq-0002</x:v>
      </x:c>
      <x:c r="I2559" s="5" t="str">
        <x:v>9.2.2.4</x:v>
      </x:c>
      <x:c r="J2559" s="5" t="str">
        <x:v>Beurteilungsfehler</x:v>
      </x:c>
      <x:c r="K2559" s="5" t="str"/>
      <x:c r="L2559" s="5" t="str">
        <x:v>Mitarbeitergespräche &amp; Beurteilung</x:v>
      </x:c>
      <x:c r="M2559" s="5" t="n">
        <x:v>20</x:v>
      </x:c>
      <x:c r="N2559" s="5" t="n">
        <x:v>16</x:v>
      </x:c>
      <x:c r="O2559" s="5" t="str"/>
      <x:c r="P2559" s="5" t="str">
        <x:v>Zuordnungsvorschlag; Fachfreigabe ausstehend</x:v>
      </x:c>
      <x:c r="Q2559" s="5" t="str">
        <x:v>Bestehendes Lernthema fachlich unter passendem Rahmenplan-Unterbereich behalten</x:v>
      </x:c>
      <x:c r="R2559" s="5" t="str">
        <x:v>Ordnen Sie die Beispiele dem jeweils passenden Beurteilungsfehler zu.</x:v>
      </x:c>
      <x:c r="S2559" s="5" t="str">
        <x:v>e41b1c0d12cdc6633f608518e9bc8703253990f17e345f6ce08028aeb3bfdb33</x:v>
      </x:c>
    </x:row>
    <x:row r="2560" ht="36" customHeight="1">
      <x:c r="A2560" s="5" t="str">
        <x:v>PF-0073</x:v>
      </x:c>
      <x:c r="B2560" s="5" t="str">
        <x:v>HQ</x:v>
      </x:c>
      <x:c r="C2560" s="5" t="str">
        <x:v>9</x:v>
      </x:c>
      <x:c r="D2560" s="5" t="str">
        <x:v>Führung und Zusammenarbeit</x:v>
      </x:c>
      <x:c r="E2560" s="5" t="str">
        <x:v>Führung und Zusammenarbeit</x:v>
      </x:c>
      <x:c r="F2560" s="5" t="str">
        <x:v>ui-hq-0033</x:v>
      </x:c>
      <x:c r="G2560" s="5" t="str">
        <x:v>Mitarbeitergespräche</x:v>
      </x:c>
      <x:c r="H2560" s="5" t="str">
        <x:v>dg-hq-0002</x:v>
      </x:c>
      <x:c r="I2560" s="5" t="str">
        <x:v>9.2.2</x:v>
      </x:c>
      <x:c r="J2560" s="5" t="str">
        <x:v>Beurteilungsgespräch</x:v>
      </x:c>
      <x:c r="K2560" s="5" t="str"/>
      <x:c r="L2560" s="5" t="str">
        <x:v>Mitarbeitergespräche &amp; Beurteilung</x:v>
      </x:c>
      <x:c r="M2560" s="5" t="n">
        <x:v>21</x:v>
      </x:c>
      <x:c r="N2560" s="5" t="n">
        <x:v>17</x:v>
      </x:c>
      <x:c r="O2560" s="5" t="str"/>
      <x:c r="P2560" s="5" t="str">
        <x:v>Zuordnungsvorschlag; Fachfreigabe ausstehend</x:v>
      </x:c>
      <x:c r="Q2560" s="5" t="str">
        <x:v>Bestehendes Lernthema fachlich unter passendem Rahmenplan-Unterbereich behalten</x:v>
      </x:c>
      <x:c r="R2560" s="5" t="str">
        <x:v>Ordnen Sie die Aussagen danach ein, ob sie objektiv oder subjektiv formuliert und für eine Leistungsbeurteilung geeignet oder ungeeignet sind. Ausgangspunkt ist eine kaufmännische Tätigkeit ohne besondere Kleiderordnung.</x:v>
      </x:c>
      <x:c r="S2560" s="5" t="str">
        <x:v>98bfc8a6e7d58f8309f2ba888a0eb8c4e0156fd0b1864bb6be3f13a3ca8b4ad3</x:v>
      </x:c>
    </x:row>
    <x:row r="2561" ht="36" customHeight="1">
      <x:c r="A2561" s="5" t="str">
        <x:v>PF-0074</x:v>
      </x:c>
      <x:c r="B2561" s="5" t="str">
        <x:v>HQ</x:v>
      </x:c>
      <x:c r="C2561" s="5" t="str">
        <x:v>9</x:v>
      </x:c>
      <x:c r="D2561" s="5" t="str">
        <x:v>Führung und Zusammenarbeit</x:v>
      </x:c>
      <x:c r="E2561" s="5" t="str">
        <x:v>Führung und Zusammenarbeit</x:v>
      </x:c>
      <x:c r="F2561" s="5" t="str">
        <x:v>ui-hq-0034</x:v>
      </x:c>
      <x:c r="G2561" s="5" t="str">
        <x:v>Konfliktmanagement</x:v>
      </x:c>
      <x:c r="H2561" s="5" t="str">
        <x:v>dg-hq-0005</x:v>
      </x:c>
      <x:c r="I2561" s="5" t="str">
        <x:v>9.3.3</x:v>
      </x:c>
      <x:c r="J2561" s="5" t="str">
        <x:v>Maßnahmen im Umgang mit Konflikten</x:v>
      </x:c>
      <x:c r="K2561" s="5" t="str"/>
      <x:c r="L2561" s="5" t="str">
        <x:v>Konfliktmanagement &amp; Veränderungswiderstände</x:v>
      </x:c>
      <x:c r="M2561" s="5" t="n">
        <x:v>1</x:v>
      </x:c>
      <x:c r="N2561" s="5" t="n">
        <x:v>1</x:v>
      </x:c>
      <x:c r="O2561" s="5" t="str"/>
      <x:c r="P2561" s="5" t="str">
        <x:v>Zuordnungsvorschlag; Fachfreigabe ausstehend</x:v>
      </x:c>
      <x:c r="Q2561" s="5" t="str">
        <x:v>Bestehendes Lernthema fachlich unter passendem Rahmenplan-Unterbereich behalten</x:v>
      </x:c>
      <x:c r="R2561" s="5" t="str">
        <x:v>Ordnen Sie die Konfliktursachen danach ein, ob sie überwiegend sachlich-organisatorischer oder persönlich-emotionaler Natur sind.</x:v>
      </x:c>
      <x:c r="S2561" s="5" t="str">
        <x:v>9ac320a414f7d2a37e79a1cb4de0bcf534f214bbe61d54bfe2bbaef919373885</x:v>
      </x:c>
    </x:row>
    <x:row r="2562" ht="36" customHeight="1">
      <x:c r="A2562" s="5" t="str">
        <x:v>PF-0075</x:v>
      </x:c>
      <x:c r="B2562" s="5" t="str">
        <x:v>HQ</x:v>
      </x:c>
      <x:c r="C2562" s="5" t="str">
        <x:v>9</x:v>
      </x:c>
      <x:c r="D2562" s="5" t="str">
        <x:v>Führung und Zusammenarbeit</x:v>
      </x:c>
      <x:c r="E2562" s="5" t="str">
        <x:v>Führung und Zusammenarbeit</x:v>
      </x:c>
      <x:c r="F2562" s="5" t="str">
        <x:v>ui-hq-0034</x:v>
      </x:c>
      <x:c r="G2562" s="5" t="str">
        <x:v>Konfliktmanagement</x:v>
      </x:c>
      <x:c r="H2562" s="5" t="str">
        <x:v>dg-hq-0005</x:v>
      </x:c>
      <x:c r="I2562" s="5" t="str">
        <x:v>9.3.3</x:v>
      </x:c>
      <x:c r="J2562" s="5" t="str">
        <x:v>Maßnahmen im Umgang mit Konflikten</x:v>
      </x:c>
      <x:c r="K2562" s="5" t="str"/>
      <x:c r="L2562" s="5" t="str">
        <x:v>Konfliktmanagement &amp; Veränderungswiderstände</x:v>
      </x:c>
      <x:c r="M2562" s="5" t="n">
        <x:v>2</x:v>
      </x:c>
      <x:c r="N2562" s="5" t="n">
        <x:v>2</x:v>
      </x:c>
      <x:c r="O2562" s="5" t="str"/>
      <x:c r="P2562" s="5" t="str">
        <x:v>Zuordnungsvorschlag; Fachfreigabe ausstehend</x:v>
      </x:c>
      <x:c r="Q2562" s="5" t="str">
        <x:v>Bestehendes Lernthema fachlich unter passendem Rahmenplan-Unterbereich behalten</x:v>
      </x:c>
      <x:c r="R2562" s="5" t="str">
        <x:v>Fallbezug: Die folgenden betrieblichen Angaben und Situationen beziehen sich auf die Circle Harbor GmbH.
In einem Unternehmen geraten Geschäftsleitung, Führungskräfte und Beschäftigte wegen unterschiedlicher Ziele und Erwartungen wiederholt aneinander. Erläutern Sie mindestens vier Ursachen solcher Interessenkonflikte und nennen Sie mindestens fünf Maßnahmen, mit denen eine Führungskraft Konflikten vorbeugen oder sie deeskalieren kann.</x:v>
      </x:c>
      <x:c r="S2562" s="5" t="str">
        <x:v>b466b8165d5dc86d729cd429473183032be4a92e96483779b05e3c1152f13139</x:v>
      </x:c>
    </x:row>
    <x:row r="2563" ht="36" customHeight="1">
      <x:c r="A2563" s="5" t="str">
        <x:v>PF-0076</x:v>
      </x:c>
      <x:c r="B2563" s="5" t="str">
        <x:v>HQ</x:v>
      </x:c>
      <x:c r="C2563" s="5" t="str">
        <x:v>9</x:v>
      </x:c>
      <x:c r="D2563" s="5" t="str">
        <x:v>Führung und Zusammenarbeit</x:v>
      </x:c>
      <x:c r="E2563" s="5" t="str">
        <x:v>Führung und Zusammenarbeit</x:v>
      </x:c>
      <x:c r="F2563" s="5" t="str">
        <x:v>ui-hq-0034</x:v>
      </x:c>
      <x:c r="G2563" s="5" t="str">
        <x:v>Konfliktmanagement</x:v>
      </x:c>
      <x:c r="H2563" s="5" t="str">
        <x:v>dg-hq-0005</x:v>
      </x:c>
      <x:c r="I2563" s="5" t="str">
        <x:v>9.3.3</x:v>
      </x:c>
      <x:c r="J2563" s="5" t="str">
        <x:v>Maßnahmen im Umgang mit Konflikten</x:v>
      </x:c>
      <x:c r="K2563" s="5" t="str"/>
      <x:c r="L2563" s="5" t="str">
        <x:v>Konfliktmanagement &amp; Veränderungswiderstände</x:v>
      </x:c>
      <x:c r="M2563" s="5" t="n">
        <x:v>3</x:v>
      </x:c>
      <x:c r="N2563" s="5" t="n">
        <x:v>3</x:v>
      </x:c>
      <x:c r="O2563" s="5" t="str"/>
      <x:c r="P2563" s="5" t="str">
        <x:v>Zuordnungsvorschlag; Fachfreigabe ausstehend</x:v>
      </x:c>
      <x:c r="Q2563" s="5" t="str">
        <x:v>Bestehendes Lernthema fachlich unter passendem Rahmenplan-Unterbereich behalten</x:v>
      </x:c>
      <x:c r="R2563" s="5" t="str">
        <x:v>Ordnen Sie die Situationen einem Sachkonflikt oder Beziehungskonflikt zu.</x:v>
      </x:c>
      <x:c r="S2563" s="5" t="str">
        <x:v>030984cda581715a2bdf5e51352c645fa5b4c0485a5da2ac3f889efbf5aae52a</x:v>
      </x:c>
    </x:row>
    <x:row r="2564" ht="36" customHeight="1">
      <x:c r="A2564" s="5" t="str">
        <x:v>PF-0077</x:v>
      </x:c>
      <x:c r="B2564" s="5" t="str">
        <x:v>HQ</x:v>
      </x:c>
      <x:c r="C2564" s="5" t="str">
        <x:v>9</x:v>
      </x:c>
      <x:c r="D2564" s="5" t="str">
        <x:v>Führung und Zusammenarbeit</x:v>
      </x:c>
      <x:c r="E2564" s="5" t="str">
        <x:v>Führung und Zusammenarbeit</x:v>
      </x:c>
      <x:c r="F2564" s="5" t="str">
        <x:v>ui-hq-0034</x:v>
      </x:c>
      <x:c r="G2564" s="5" t="str">
        <x:v>Konfliktmanagement</x:v>
      </x:c>
      <x:c r="H2564" s="5" t="str">
        <x:v>dg-hq-0005</x:v>
      </x:c>
      <x:c r="I2564" s="5" t="str">
        <x:v>9.3.3</x:v>
      </x:c>
      <x:c r="J2564" s="5" t="str">
        <x:v>Maßnahmen im Umgang mit Konflikten</x:v>
      </x:c>
      <x:c r="K2564" s="5" t="str"/>
      <x:c r="L2564" s="5" t="str">
        <x:v>Konfliktmanagement &amp; Veränderungswiderstände</x:v>
      </x:c>
      <x:c r="M2564" s="5" t="n">
        <x:v>4</x:v>
      </x:c>
      <x:c r="N2564" s="5" t="n">
        <x:v>4</x:v>
      </x:c>
      <x:c r="O2564" s="5" t="str"/>
      <x:c r="P2564" s="5" t="str">
        <x:v>Zuordnungsvorschlag; Fachfreigabe ausstehend</x:v>
      </x:c>
      <x:c r="Q2564" s="5" t="str">
        <x:v>Bestehendes Lernthema fachlich unter passendem Rahmenplan-Unterbereich behalten</x:v>
      </x:c>
      <x:c r="R2564" s="5" t="str">
        <x:v>Welche Verhaltensweisen können auf einen sich entwickelnden Konflikt hindeuten? Entscheiden Sie, ob die Beispiele typische Warnsignale sein können.</x:v>
      </x:c>
      <x:c r="S2564" s="5" t="str">
        <x:v>d49fb9a4273ab8df6f978a264a1698438d5b47eba87c1abef889529893a1eeee</x:v>
      </x:c>
    </x:row>
    <x:row r="2565" ht="36" customHeight="1">
      <x:c r="A2565" s="5" t="str">
        <x:v>PF-0078</x:v>
      </x:c>
      <x:c r="B2565" s="5" t="str">
        <x:v>HQ</x:v>
      </x:c>
      <x:c r="C2565" s="5" t="str">
        <x:v>9</x:v>
      </x:c>
      <x:c r="D2565" s="5" t="str">
        <x:v>Führung und Zusammenarbeit</x:v>
      </x:c>
      <x:c r="E2565" s="5" t="str">
        <x:v>Führung und Zusammenarbeit</x:v>
      </x:c>
      <x:c r="F2565" s="5" t="str">
        <x:v>ui-hq-0032</x:v>
      </x:c>
      <x:c r="G2565" s="5" t="str">
        <x:v>Zusammenarbeit, Kommunikation und Kooperation</x:v>
      </x:c>
      <x:c r="H2565" s="5" t="str">
        <x:v>dg-hq-0001</x:v>
      </x:c>
      <x:c r="I2565" s="5" t="str">
        <x:v>9.1.4</x:v>
      </x:c>
      <x:c r="J2565" s="5" t="str">
        <x:v>Zielorientiertes Führen</x:v>
      </x:c>
      <x:c r="K2565" s="5" t="str"/>
      <x:c r="L2565" s="5" t="str">
        <x:v>Zielorientierte Führung &amp; Führungskonzepte</x:v>
      </x:c>
      <x:c r="M2565" s="5" t="n">
        <x:v>53</x:v>
      </x:c>
      <x:c r="N2565" s="5" t="n">
        <x:v>44</x:v>
      </x:c>
      <x:c r="O2565" s="5" t="str"/>
      <x:c r="P2565" s="5" t="str">
        <x:v>Zuordnungsvorschlag; Fachfreigabe ausstehend</x:v>
      </x:c>
      <x:c r="Q2565" s="5" t="str">
        <x:v>Bestehendes Lernthema fachlich unter passendem Rahmenplan-Unterbereich behalten</x:v>
      </x:c>
      <x:c r="R2565" s="5" t="str">
        <x:v>Welche Funktionen erfüllen betriebliche Ziele? Nennen Sie fünf zentrale Funktionen und erläutern Sie anschließend, wie Unternehmens-, Abteilungs- und Individualziele in einem Zielsystem zusammenhängen.</x:v>
      </x:c>
      <x:c r="S2565" s="5" t="str">
        <x:v>ffaa14d7b1ae6d7c7a1d8f74f2d094dbb6daa606dad4856bd4a35e21b65441a8</x:v>
      </x:c>
    </x:row>
    <x:row r="2566" ht="36" customHeight="1">
      <x:c r="A2566" s="5" t="str">
        <x:v>PF-0079</x:v>
      </x:c>
      <x:c r="B2566" s="5" t="str">
        <x:v>HQ</x:v>
      </x:c>
      <x:c r="C2566" s="5" t="str">
        <x:v>9</x:v>
      </x:c>
      <x:c r="D2566" s="5" t="str">
        <x:v>Führung und Zusammenarbeit</x:v>
      </x:c>
      <x:c r="E2566" s="5" t="str">
        <x:v>Führung und Zusammenarbeit</x:v>
      </x:c>
      <x:c r="F2566" s="5" t="str">
        <x:v>ui-hq-0034</x:v>
      </x:c>
      <x:c r="G2566" s="5" t="str">
        <x:v>Konfliktmanagement</x:v>
      </x:c>
      <x:c r="H2566" s="5" t="str">
        <x:v>dg-hq-0005</x:v>
      </x:c>
      <x:c r="I2566" s="5" t="str">
        <x:v>9.3.3</x:v>
      </x:c>
      <x:c r="J2566" s="5" t="str">
        <x:v>Maßnahmen im Umgang mit Konflikten</x:v>
      </x:c>
      <x:c r="K2566" s="5" t="str"/>
      <x:c r="L2566" s="5" t="str">
        <x:v>Konfliktmanagement &amp; Veränderungswiderstände</x:v>
      </x:c>
      <x:c r="M2566" s="5" t="n">
        <x:v>5</x:v>
      </x:c>
      <x:c r="N2566" s="5" t="n">
        <x:v>5</x:v>
      </x:c>
      <x:c r="O2566" s="5" t="str"/>
      <x:c r="P2566" s="5" t="str">
        <x:v>Zuordnungsvorschlag; Fachfreigabe ausstehend</x:v>
      </x:c>
      <x:c r="Q2566" s="5" t="str">
        <x:v>Bestehendes Lernthema fachlich unter passendem Rahmenplan-Unterbereich behalten</x:v>
      </x:c>
      <x:c r="R2566" s="5" t="str">
        <x:v>Beschreiben Sie mindestens vier Grundsätze einer wirksamen Konfliktprophylaxe im Unternehmen. Gehen Sie dabei auch auf die Verantwortung von Führungskräften und die möglichen positiven Wirkungen frühzeitig bearbeiteter Konflikte ein.</x:v>
      </x:c>
      <x:c r="S2566" s="5" t="str">
        <x:v>8d2e2b81a94b630d06dd0056d7f62a7bf0bb5006d295acb79393339649a5fba8</x:v>
      </x:c>
    </x:row>
    <x:row r="2567" ht="36" customHeight="1">
      <x:c r="A2567" s="5" t="str">
        <x:v>PF-0080</x:v>
      </x:c>
      <x:c r="B2567" s="5" t="str">
        <x:v>HQ</x:v>
      </x:c>
      <x:c r="C2567" s="5" t="str">
        <x:v>9</x:v>
      </x:c>
      <x:c r="D2567" s="5" t="str">
        <x:v>Führung und Zusammenarbeit</x:v>
      </x:c>
      <x:c r="E2567" s="5" t="str">
        <x:v>Führung und Zusammenarbeit</x:v>
      </x:c>
      <x:c r="F2567" s="5" t="str">
        <x:v>ui-hq-0034</x:v>
      </x:c>
      <x:c r="G2567" s="5" t="str">
        <x:v>Konfliktmanagement</x:v>
      </x:c>
      <x:c r="H2567" s="5" t="str">
        <x:v>dg-hq-0005</x:v>
      </x:c>
      <x:c r="I2567" s="5" t="str">
        <x:v>9.3.3</x:v>
      </x:c>
      <x:c r="J2567" s="5" t="str">
        <x:v>Maßnahmen im Umgang mit Konflikten</x:v>
      </x:c>
      <x:c r="K2567" s="5" t="str"/>
      <x:c r="L2567" s="5" t="str">
        <x:v>Konfliktmanagement &amp; Veränderungswiderstände</x:v>
      </x:c>
      <x:c r="M2567" s="5" t="n">
        <x:v>6</x:v>
      </x:c>
      <x:c r="N2567" s="5" t="n">
        <x:v>6</x:v>
      </x:c>
      <x:c r="O2567" s="5" t="str"/>
      <x:c r="P2567" s="5" t="str">
        <x:v>Zuordnungsvorschlag; Fachfreigabe ausstehend</x:v>
      </x:c>
      <x:c r="Q2567" s="5" t="str">
        <x:v>Bestehendes Lernthema fachlich unter passendem Rahmenplan-Unterbereich behalten</x:v>
      </x:c>
      <x:c r="R2567" s="5" t="str">
        <x:v>Unterscheiden Sie Zielkonflikte, Beurteilungskonflikte und Beziehungskonflikte. Nennen Sie für jede Konfliktart mindestens eine geeignete vorbeugende Maßnahme.</x:v>
      </x:c>
      <x:c r="S2567" s="5" t="str">
        <x:v>171bbaeceb995e13fd30a4ddaeb35f4c8ff3f827cef572872e65cb090ce1d377</x:v>
      </x:c>
    </x:row>
    <x:row r="2568" ht="36" customHeight="1">
      <x:c r="A2568" s="5" t="str">
        <x:v>PF-0081</x:v>
      </x:c>
      <x:c r="B2568" s="5" t="str">
        <x:v>HQ</x:v>
      </x:c>
      <x:c r="C2568" s="5" t="str">
        <x:v>9</x:v>
      </x:c>
      <x:c r="D2568" s="5" t="str">
        <x:v>Führung und Zusammenarbeit</x:v>
      </x:c>
      <x:c r="E2568" s="5" t="str">
        <x:v>Führung und Zusammenarbeit</x:v>
      </x:c>
      <x:c r="F2568" s="5" t="str">
        <x:v>ui-hq-0034</x:v>
      </x:c>
      <x:c r="G2568" s="5" t="str">
        <x:v>Konfliktmanagement</x:v>
      </x:c>
      <x:c r="H2568" s="5" t="str">
        <x:v>dg-hq-0005</x:v>
      </x:c>
      <x:c r="I2568" s="5" t="str">
        <x:v>9.3.3</x:v>
      </x:c>
      <x:c r="J2568" s="5" t="str">
        <x:v>Maßnahmen im Umgang mit Konflikten</x:v>
      </x:c>
      <x:c r="K2568" s="5" t="str"/>
      <x:c r="L2568" s="5" t="str">
        <x:v>Konfliktmanagement &amp; Veränderungswiderstände</x:v>
      </x:c>
      <x:c r="M2568" s="5" t="n">
        <x:v>7</x:v>
      </x:c>
      <x:c r="N2568" s="5" t="n">
        <x:v>7</x:v>
      </x:c>
      <x:c r="O2568" s="5" t="str"/>
      <x:c r="P2568" s="5" t="str">
        <x:v>Zuordnungsvorschlag; Fachfreigabe ausstehend</x:v>
      </x:c>
      <x:c r="Q2568" s="5" t="str">
        <x:v>Bestehendes Lernthema fachlich unter passendem Rahmenplan-Unterbereich behalten</x:v>
      </x:c>
      <x:c r="R2568" s="5" t="str">
        <x:v>Ordnen Sie die neun Eskalationsstufen nach Friedrich Glasl den Bereichen Win-win, Lose-win oder Lose-lose zu.</x:v>
      </x:c>
      <x:c r="S2568" s="5" t="str">
        <x:v>6d1c56f99e46dc43f669bf692b9ad3da81e87233508c0439d5285db9d80cb453</x:v>
      </x:c>
    </x:row>
    <x:row r="2569" ht="36" customHeight="1">
      <x:c r="A2569" s="5" t="str">
        <x:v>PF-0082</x:v>
      </x:c>
      <x:c r="B2569" s="5" t="str">
        <x:v>HQ</x:v>
      </x:c>
      <x:c r="C2569" s="5" t="str">
        <x:v>9</x:v>
      </x:c>
      <x:c r="D2569" s="5" t="str">
        <x:v>Führung und Zusammenarbeit</x:v>
      </x:c>
      <x:c r="E2569" s="5" t="str">
        <x:v>Führung und Zusammenarbeit</x:v>
      </x:c>
      <x:c r="F2569" s="5" t="str">
        <x:v>ui-hq-0034</x:v>
      </x:c>
      <x:c r="G2569" s="5" t="str">
        <x:v>Konfliktmanagement</x:v>
      </x:c>
      <x:c r="H2569" s="5" t="str">
        <x:v>dg-hq-0005</x:v>
      </x:c>
      <x:c r="I2569" s="5" t="str">
        <x:v>9.3.3</x:v>
      </x:c>
      <x:c r="J2569" s="5" t="str">
        <x:v>Maßnahmen im Umgang mit Konflikten</x:v>
      </x:c>
      <x:c r="K2569" s="5" t="str"/>
      <x:c r="L2569" s="5" t="str">
        <x:v>Konfliktmanagement &amp; Veränderungswiderstände</x:v>
      </x:c>
      <x:c r="M2569" s="5" t="n">
        <x:v>8</x:v>
      </x:c>
      <x:c r="N2569" s="5" t="n">
        <x:v>8</x:v>
      </x:c>
      <x:c r="O2569" s="5" t="str"/>
      <x:c r="P2569" s="5" t="str">
        <x:v>Zuordnungsvorschlag; Fachfreigabe ausstehend</x:v>
      </x:c>
      <x:c r="Q2569" s="5" t="str">
        <x:v>Bestehendes Lernthema fachlich unter passendem Rahmenplan-Unterbereich behalten</x:v>
      </x:c>
      <x:c r="R2569" s="5" t="str">
        <x:v>Beurteilen Sie die folgenden Verhaltensweisen einer Führungskraft in einem betrieblichen Konflikt als sinnvoll oder nicht sinnvoll.</x:v>
      </x:c>
      <x:c r="S2569" s="5" t="str">
        <x:v>dada3f065e744c6a69ce8f5928787af70f00a2df1cae2f3e57e4bbb5bfcc6ccd</x:v>
      </x:c>
    </x:row>
    <x:row r="2570" ht="36" customHeight="1">
      <x:c r="A2570" s="5" t="str">
        <x:v>PF-0083</x:v>
      </x:c>
      <x:c r="B2570" s="5" t="str">
        <x:v>HQ</x:v>
      </x:c>
      <x:c r="C2570" s="5" t="str">
        <x:v>9</x:v>
      </x:c>
      <x:c r="D2570" s="5" t="str">
        <x:v>Führung und Zusammenarbeit</x:v>
      </x:c>
      <x:c r="E2570" s="5" t="str">
        <x:v>Führung und Zusammenarbeit</x:v>
      </x:c>
      <x:c r="F2570" s="5" t="str">
        <x:v>ui-hq-0034</x:v>
      </x:c>
      <x:c r="G2570" s="5" t="str">
        <x:v>Konfliktmanagement</x:v>
      </x:c>
      <x:c r="H2570" s="5" t="str">
        <x:v>dg-hq-0005</x:v>
      </x:c>
      <x:c r="I2570" s="5" t="str">
        <x:v>9.3.3</x:v>
      </x:c>
      <x:c r="J2570" s="5" t="str">
        <x:v>Maßnahmen im Umgang mit Konflikten</x:v>
      </x:c>
      <x:c r="K2570" s="5" t="str"/>
      <x:c r="L2570" s="5" t="str">
        <x:v>Konfliktmanagement &amp; Veränderungswiderstände</x:v>
      </x:c>
      <x:c r="M2570" s="5" t="n">
        <x:v>9</x:v>
      </x:c>
      <x:c r="N2570" s="5" t="n">
        <x:v>9</x:v>
      </x:c>
      <x:c r="O2570" s="5" t="str"/>
      <x:c r="P2570" s="5" t="str">
        <x:v>Zuordnungsvorschlag; Fachfreigabe ausstehend</x:v>
      </x:c>
      <x:c r="Q2570" s="5" t="str">
        <x:v>Bestehendes Lernthema fachlich unter passendem Rahmenplan-Unterbereich behalten</x:v>
      </x:c>
      <x:c r="R2570" s="5" t="str">
        <x:v>Beschreiben Sie, wie eine Führungskraft ein Gespräch zur Konfliktklärung vorbereiten, durchführen und abschließen sollte. Nennen Sie mindestens sechs konkrete Gesprächsgrundsätze.</x:v>
      </x:c>
      <x:c r="S2570" s="5" t="str">
        <x:v>cd84df17929b2e755588f563432e77f11c067f1f103814c14112ad9dd32b8cd9</x:v>
      </x:c>
    </x:row>
    <x:row r="2571" ht="36" customHeight="1">
      <x:c r="A2571" s="5" t="str">
        <x:v>PF-0084</x:v>
      </x:c>
      <x:c r="B2571" s="5" t="str">
        <x:v>HQ</x:v>
      </x:c>
      <x:c r="C2571" s="5" t="str">
        <x:v>9</x:v>
      </x:c>
      <x:c r="D2571" s="5" t="str">
        <x:v>Führung und Zusammenarbeit</x:v>
      </x:c>
      <x:c r="E2571" s="5" t="str">
        <x:v>Führung und Zusammenarbeit</x:v>
      </x:c>
      <x:c r="F2571" s="5" t="str">
        <x:v>ui-hq-0034</x:v>
      </x:c>
      <x:c r="G2571" s="5" t="str">
        <x:v>Konfliktmanagement</x:v>
      </x:c>
      <x:c r="H2571" s="5" t="str">
        <x:v>dg-hq-0005</x:v>
      </x:c>
      <x:c r="I2571" s="5" t="str">
        <x:v>9.3.3</x:v>
      </x:c>
      <x:c r="J2571" s="5" t="str">
        <x:v>Maßnahmen im Umgang mit Konflikten</x:v>
      </x:c>
      <x:c r="K2571" s="5" t="str"/>
      <x:c r="L2571" s="5" t="str">
        <x:v>Konfliktmanagement &amp; Veränderungswiderstände</x:v>
      </x:c>
      <x:c r="M2571" s="5" t="n">
        <x:v>10</x:v>
      </x:c>
      <x:c r="N2571" s="5" t="n">
        <x:v>10</x:v>
      </x:c>
      <x:c r="O2571" s="5" t="str"/>
      <x:c r="P2571" s="5" t="str">
        <x:v>Zuordnungsvorschlag; Fachfreigabe ausstehend</x:v>
      </x:c>
      <x:c r="Q2571" s="5" t="str">
        <x:v>Bestehendes Lernthema fachlich unter passendem Rahmenplan-Unterbereich behalten</x:v>
      </x:c>
      <x:c r="R2571" s="5" t="str">
        <x:v>Ordnen Sie die folgenden Maßnahmen entweder der Konfliktdiagnose oder der Konfliktbewältigung zu.</x:v>
      </x:c>
      <x:c r="S2571" s="5" t="str">
        <x:v>491f228bb016dc881ad481a4f8a5b81d1d6af9925beb8a142f01daeded2bd5c8</x:v>
      </x:c>
    </x:row>
    <x:row r="2572" ht="36" customHeight="1">
      <x:c r="A2572" s="5" t="str">
        <x:v>PF-0085</x:v>
      </x:c>
      <x:c r="B2572" s="5" t="str">
        <x:v>HQ</x:v>
      </x:c>
      <x:c r="C2572" s="5" t="str">
        <x:v>9</x:v>
      </x:c>
      <x:c r="D2572" s="5" t="str">
        <x:v>Führung und Zusammenarbeit</x:v>
      </x:c>
      <x:c r="E2572" s="5" t="str">
        <x:v>Führung und Zusammenarbeit</x:v>
      </x:c>
      <x:c r="F2572" s="5" t="str">
        <x:v>ui-hq-0034</x:v>
      </x:c>
      <x:c r="G2572" s="5" t="str">
        <x:v>Konfliktmanagement</x:v>
      </x:c>
      <x:c r="H2572" s="5" t="str">
        <x:v>dg-hq-0005</x:v>
      </x:c>
      <x:c r="I2572" s="5" t="str">
        <x:v>9.3.3</x:v>
      </x:c>
      <x:c r="J2572" s="5" t="str">
        <x:v>Maßnahmen im Umgang mit Konflikten</x:v>
      </x:c>
      <x:c r="K2572" s="5" t="str"/>
      <x:c r="L2572" s="5" t="str">
        <x:v>Konfliktmanagement &amp; Veränderungswiderstände</x:v>
      </x:c>
      <x:c r="M2572" s="5" t="n">
        <x:v>11</x:v>
      </x:c>
      <x:c r="N2572" s="5" t="n">
        <x:v>11</x:v>
      </x:c>
      <x:c r="O2572" s="5" t="str"/>
      <x:c r="P2572" s="5" t="str">
        <x:v>Zuordnungsvorschlag; Fachfreigabe ausstehend</x:v>
      </x:c>
      <x:c r="Q2572" s="5" t="str">
        <x:v>Bestehendes Lernthema fachlich unter passendem Rahmenplan-Unterbereich behalten</x:v>
      </x:c>
      <x:c r="R2572" s="5" t="str">
        <x:v>Vergleichen Sie Mediation mit einer abgestuften Drei-Stufen-Strategie zur Konfliktlösung. Erläutern Sie Vorgehen, Einsatzbereich sowie jeweils mindestens einen Vorteil und einen Nachteil.</x:v>
      </x:c>
      <x:c r="S2572" s="5" t="str">
        <x:v>21550f5205d79028dac06a7f26142a04dece0c5c7503cb95a0565adf4ea065d3</x:v>
      </x:c>
    </x:row>
    <x:row r="2573" ht="36" customHeight="1">
      <x:c r="A2573" s="5" t="str">
        <x:v>PF-0086</x:v>
      </x:c>
      <x:c r="B2573" s="5" t="str">
        <x:v>HQ</x:v>
      </x:c>
      <x:c r="C2573" s="5" t="str">
        <x:v>9</x:v>
      </x:c>
      <x:c r="D2573" s="5" t="str">
        <x:v>Führung und Zusammenarbeit</x:v>
      </x:c>
      <x:c r="E2573" s="5" t="str">
        <x:v>Führung und Zusammenarbeit</x:v>
      </x:c>
      <x:c r="F2573" s="5" t="str">
        <x:v>ui-hq-0034</x:v>
      </x:c>
      <x:c r="G2573" s="5" t="str">
        <x:v>Konfliktmanagement</x:v>
      </x:c>
      <x:c r="H2573" s="5" t="str">
        <x:v>dg-hq-0005</x:v>
      </x:c>
      <x:c r="I2573" s="5" t="str">
        <x:v>9.3.3</x:v>
      </x:c>
      <x:c r="J2573" s="5" t="str">
        <x:v>Maßnahmen im Umgang mit Konflikten</x:v>
      </x:c>
      <x:c r="K2573" s="5" t="str"/>
      <x:c r="L2573" s="5" t="str">
        <x:v>Konfliktmanagement &amp; Veränderungswiderstände</x:v>
      </x:c>
      <x:c r="M2573" s="5" t="n">
        <x:v>12</x:v>
      </x:c>
      <x:c r="N2573" s="5" t="n">
        <x:v>12</x:v>
      </x:c>
      <x:c r="O2573" s="5" t="str"/>
      <x:c r="P2573" s="5" t="str">
        <x:v>Zuordnungsvorschlag; Fachfreigabe ausstehend</x:v>
      </x:c>
      <x:c r="Q2573" s="5" t="str">
        <x:v>Bestehendes Lernthema fachlich unter passendem Rahmenplan-Unterbereich behalten</x:v>
      </x:c>
      <x:c r="R2573" s="5" t="str">
        <x:v>Warum reagieren Beschäftigte auf betriebliche Veränderungen häufig zunächst zurückhaltend oder ablehnend? Nennen Sie mindestens vier Einflussfaktoren und erläutern Sie, wodurch Veränderungsbereitschaft gefördert werden kann.</x:v>
      </x:c>
      <x:c r="S2573" s="5" t="str">
        <x:v>109993a813c5da4c4266f0324c19f73a4fc238b397856b64fc6cd82419c6d5c8</x:v>
      </x:c>
    </x:row>
    <x:row r="2574" ht="36" customHeight="1">
      <x:c r="A2574" s="5" t="str">
        <x:v>PF-0087</x:v>
      </x:c>
      <x:c r="B2574" s="5" t="str">
        <x:v>HQ</x:v>
      </x:c>
      <x:c r="C2574" s="5" t="str">
        <x:v>9</x:v>
      </x:c>
      <x:c r="D2574" s="5" t="str">
        <x:v>Führung und Zusammenarbeit</x:v>
      </x:c>
      <x:c r="E2574" s="5" t="str">
        <x:v>Führung und Zusammenarbeit</x:v>
      </x:c>
      <x:c r="F2574" s="5" t="str">
        <x:v>ui-hq-0034</x:v>
      </x:c>
      <x:c r="G2574" s="5" t="str">
        <x:v>Konfliktmanagement</x:v>
      </x:c>
      <x:c r="H2574" s="5" t="str">
        <x:v>dg-hq-0005</x:v>
      </x:c>
      <x:c r="I2574" s="5" t="str">
        <x:v>9.3.3</x:v>
      </x:c>
      <x:c r="J2574" s="5" t="str">
        <x:v>Maßnahmen im Umgang mit Konflikten</x:v>
      </x:c>
      <x:c r="K2574" s="5" t="str"/>
      <x:c r="L2574" s="5" t="str">
        <x:v>Konfliktmanagement &amp; Veränderungswiderstände</x:v>
      </x:c>
      <x:c r="M2574" s="5" t="n">
        <x:v>13</x:v>
      </x:c>
      <x:c r="N2574" s="5" t="n">
        <x:v>13</x:v>
      </x:c>
      <x:c r="O2574" s="5" t="str"/>
      <x:c r="P2574" s="5" t="str">
        <x:v>Zuordnungsvorschlag; Fachfreigabe ausstehend</x:v>
      </x:c>
      <x:c r="Q2574" s="5" t="str">
        <x:v>Bestehendes Lernthema fachlich unter passendem Rahmenplan-Unterbereich behalten</x:v>
      </x:c>
      <x:c r="R2574" s="5" t="str">
        <x:v>Fallbezug: Die folgenden betrieblichen Angaben und Situationen beziehen sich auf die Circle Harbor GmbH.
In einem Veränderungsprojekt häufen sich Beschwerden, Informationsblockaden und Aussagen wie „Früher war alles besser“. Vorschläge werden pauschal abgelehnt. Analysieren Sie diese Reaktionen und nennen Sie mindestens fünf Maßnahmen, mit denen die Projekt- oder Führungskraft konstruktiv auf Widerstand reagieren sollte.</x:v>
      </x:c>
      <x:c r="S2574" s="5" t="str">
        <x:v>2d4da3a26fbdb75c4222a5fc432f96cb3ead82bab77406cca7ce98b78a3e7023</x:v>
      </x:c>
    </x:row>
    <x:row r="2575" ht="36" customHeight="1">
      <x:c r="A2575" s="5" t="str">
        <x:v>PF-0088</x:v>
      </x:c>
      <x:c r="B2575" s="5" t="str">
        <x:v>HQ</x:v>
      </x:c>
      <x:c r="C2575" s="5" t="str">
        <x:v>9</x:v>
      </x:c>
      <x:c r="D2575" s="5" t="str">
        <x:v>Führung und Zusammenarbeit</x:v>
      </x:c>
      <x:c r="E2575" s="5" t="str">
        <x:v>Führung und Zusammenarbeit</x:v>
      </x:c>
      <x:c r="F2575" s="5" t="str">
        <x:v>ui-hq-0035</x:v>
      </x:c>
      <x:c r="G2575" s="5" t="str">
        <x:v>Mitarbeiterförderung</x:v>
      </x:c>
      <x:c r="H2575" s="5" t="str">
        <x:v>dg-hq-0006</x:v>
      </x:c>
      <x:c r="I2575" s="5" t="str">
        <x:v>9.4.1</x:v>
      </x:c>
      <x:c r="J2575" s="5" t="str">
        <x:v>Personalentwicklung als Mittel der Steuerung und Förderung der personellen Ressourcen</x:v>
      </x:c>
      <x:c r="K2575" s="5" t="str"/>
      <x:c r="L2575" s="5" t="str">
        <x:v>Mitarbeiterförderung &amp; Personalentwicklung</x:v>
      </x:c>
      <x:c r="M2575" s="5" t="n">
        <x:v>1</x:v>
      </x:c>
      <x:c r="N2575" s="5" t="n">
        <x:v>1</x:v>
      </x:c>
      <x:c r="O2575" s="5" t="str"/>
      <x:c r="P2575" s="5" t="str">
        <x:v>Zuordnungsvorschlag; Fachfreigabe ausstehend</x:v>
      </x:c>
      <x:c r="Q2575" s="5" t="str">
        <x:v>Bestehendes Lernthema fachlich unter passendem Rahmenplan-Unterbereich behalten</x:v>
      </x:c>
      <x:c r="R2575" s="5" t="str">
        <x:v>Nennen Sie mindestens sechs Merkmale, anhand derer sich beurteilen lässt, ob Arbeitsorganisation und Personalentwicklung in einem Unternehmen lern- und beteiligungsförderlich gestaltet sind.</x:v>
      </x:c>
      <x:c r="S2575" s="5" t="str">
        <x:v>50a97a006a952e2c71c069c2839f42344f66fafc9e69a7110947b91592855310</x:v>
      </x:c>
    </x:row>
    <x:row r="2576" ht="36" customHeight="1">
      <x:c r="A2576" s="5" t="str">
        <x:v>PF-0089</x:v>
      </x:c>
      <x:c r="B2576" s="5" t="str">
        <x:v>HQ</x:v>
      </x:c>
      <x:c r="C2576" s="5" t="str">
        <x:v>9</x:v>
      </x:c>
      <x:c r="D2576" s="5" t="str">
        <x:v>Führung und Zusammenarbeit</x:v>
      </x:c>
      <x:c r="E2576" s="5" t="str">
        <x:v>Führung und Zusammenarbeit</x:v>
      </x:c>
      <x:c r="F2576" s="5" t="str">
        <x:v>ui-hq-0034</x:v>
      </x:c>
      <x:c r="G2576" s="5" t="str">
        <x:v>Konfliktmanagement</x:v>
      </x:c>
      <x:c r="H2576" s="5" t="str">
        <x:v>dg-hq-0005</x:v>
      </x:c>
      <x:c r="I2576" s="5" t="str">
        <x:v>9.3.3</x:v>
      </x:c>
      <x:c r="J2576" s="5" t="str">
        <x:v>Maßnahmen im Umgang mit Konflikten</x:v>
      </x:c>
      <x:c r="K2576" s="5" t="str"/>
      <x:c r="L2576" s="5" t="str">
        <x:v>Konfliktmanagement &amp; Veränderungswiderstände</x:v>
      </x:c>
      <x:c r="M2576" s="5" t="n">
        <x:v>14</x:v>
      </x:c>
      <x:c r="N2576" s="5" t="n">
        <x:v>14</x:v>
      </x:c>
      <x:c r="O2576" s="5" t="str"/>
      <x:c r="P2576" s="5" t="str">
        <x:v>Zuordnungsvorschlag; Fachfreigabe ausstehend</x:v>
      </x:c>
      <x:c r="Q2576" s="5" t="str">
        <x:v>Bestehendes Lernthema fachlich unter passendem Rahmenplan-Unterbereich behalten</x:v>
      </x:c>
      <x:c r="R2576" s="5" t="str">
        <x:v>Welche Folgen kann es haben, wenn Beschäftigte bei betrieblichen Veränderungen zu spät oder nur unzureichend informiert und kaum beteiligt werden? Nennen Sie mindestens vier mögliche Folgen und mindestens vier geeignete Gegenmaßnahmen.</x:v>
      </x:c>
      <x:c r="S2576" s="5" t="str">
        <x:v>d5595847fdeede57334671a107c45975371d82ce0b396260826879815c4519b0</x:v>
      </x:c>
    </x:row>
    <x:row r="2577" ht="36" customHeight="1">
      <x:c r="A2577" s="5" t="str">
        <x:v>PF-0090</x:v>
      </x:c>
      <x:c r="B2577" s="5" t="str">
        <x:v>HQ</x:v>
      </x:c>
      <x:c r="C2577" s="5" t="str">
        <x:v>9</x:v>
      </x:c>
      <x:c r="D2577" s="5" t="str">
        <x:v>Führung und Zusammenarbeit</x:v>
      </x:c>
      <x:c r="E2577" s="5" t="str">
        <x:v>Führung und Zusammenarbeit</x:v>
      </x:c>
      <x:c r="F2577" s="5" t="str">
        <x:v>ui-hq-0035</x:v>
      </x:c>
      <x:c r="G2577" s="5" t="str">
        <x:v>Mitarbeiterförderung</x:v>
      </x:c>
      <x:c r="H2577" s="5" t="str">
        <x:v>dg-hq-0006</x:v>
      </x:c>
      <x:c r="I2577" s="5" t="str">
        <x:v>9.4.1</x:v>
      </x:c>
      <x:c r="J2577" s="5" t="str">
        <x:v>Personalentwicklung als Mittel der Steuerung und Förderung der personellen Ressourcen</x:v>
      </x:c>
      <x:c r="K2577" s="5" t="str"/>
      <x:c r="L2577" s="5" t="str">
        <x:v>Mitarbeiterförderung &amp; Personalentwicklung</x:v>
      </x:c>
      <x:c r="M2577" s="5" t="n">
        <x:v>2</x:v>
      </x:c>
      <x:c r="N2577" s="5" t="n">
        <x:v>2</x:v>
      </x:c>
      <x:c r="O2577" s="5" t="str"/>
      <x:c r="P2577" s="5" t="str">
        <x:v>Zuordnungsvorschlag; Fachfreigabe ausstehend</x:v>
      </x:c>
      <x:c r="Q2577" s="5" t="str">
        <x:v>Bestehendes Lernthema fachlich unter passendem Rahmenplan-Unterbereich behalten</x:v>
      </x:c>
      <x:c r="R2577" s="5" t="str">
        <x:v>Erläutern Sie den Begriff Personalentwicklung. Nennen Sie mindestens drei Ziele aus Unternehmenssicht und drei Ziele aus Sicht der Beschäftigten. Erklären Sie außerdem die Methoden into the job, on the job, near the job, off the job und along the job jeweils mit einem Beispiel.</x:v>
      </x:c>
      <x:c r="S2577" s="5" t="str">
        <x:v>b3f60fba07060717c8f90217ad5bf0368c53823916b5e5081fd3453dac12538d</x:v>
      </x:c>
    </x:row>
    <x:row r="2578" ht="36" customHeight="1">
      <x:c r="A2578" s="5" t="str">
        <x:v>PF-0091</x:v>
      </x:c>
      <x:c r="B2578" s="5" t="str">
        <x:v>HQ</x:v>
      </x:c>
      <x:c r="C2578" s="5" t="str">
        <x:v>9</x:v>
      </x:c>
      <x:c r="D2578" s="5" t="str">
        <x:v>Führung und Zusammenarbeit</x:v>
      </x:c>
      <x:c r="E2578" s="5" t="str">
        <x:v>Führung und Zusammenarbeit</x:v>
      </x:c>
      <x:c r="F2578" s="5" t="str">
        <x:v>ui-hq-0035</x:v>
      </x:c>
      <x:c r="G2578" s="5" t="str">
        <x:v>Mitarbeiterförderung</x:v>
      </x:c>
      <x:c r="H2578" s="5" t="str">
        <x:v>dg-hq-0006</x:v>
      </x:c>
      <x:c r="I2578" s="5" t="str">
        <x:v>9.4.1</x:v>
      </x:c>
      <x:c r="J2578" s="5" t="str">
        <x:v>Personalentwicklung als Mittel der Steuerung und Förderung der personellen Ressourcen</x:v>
      </x:c>
      <x:c r="K2578" s="5" t="str"/>
      <x:c r="L2578" s="5" t="str">
        <x:v>Mitarbeiterförderung &amp; Personalentwicklung</x:v>
      </x:c>
      <x:c r="M2578" s="5" t="n">
        <x:v>3</x:v>
      </x:c>
      <x:c r="N2578" s="5" t="n">
        <x:v>3</x:v>
      </x:c>
      <x:c r="O2578" s="5" t="str"/>
      <x:c r="P2578" s="5" t="str">
        <x:v>Zuordnungsvorschlag; Fachfreigabe ausstehend</x:v>
      </x:c>
      <x:c r="Q2578" s="5" t="str">
        <x:v>Bestehendes Lernthema fachlich unter passendem Rahmenplan-Unterbereich behalten</x:v>
      </x:c>
      <x:c r="R2578" s="5" t="str">
        <x:v>Warum sollte Personalentwicklung als fortlaufender Prozess verstanden werden? Beschreiben Sie einen sinnvollen Grundablauf und erläutern Sie drei typische Probleme, die die Wirksamkeit von Personalentwicklungsmaßnahmen beeinträchtigen können.</x:v>
      </x:c>
      <x:c r="S2578" s="5" t="str">
        <x:v>ff851446b5b01dd1ec437dcc7c7519020372b904ed245070c5db9c8e0bf85e48</x:v>
      </x:c>
    </x:row>
    <x:row r="2579" ht="36" customHeight="1">
      <x:c r="A2579" s="5" t="str">
        <x:v>PF-0092</x:v>
      </x:c>
      <x:c r="B2579" s="5" t="str">
        <x:v>HQ</x:v>
      </x:c>
      <x:c r="C2579" s="5" t="str">
        <x:v>9</x:v>
      </x:c>
      <x:c r="D2579" s="5" t="str">
        <x:v>Führung und Zusammenarbeit</x:v>
      </x:c>
      <x:c r="E2579" s="5" t="str">
        <x:v>Führung und Zusammenarbeit</x:v>
      </x:c>
      <x:c r="F2579" s="5" t="str">
        <x:v>ui-hq-0035</x:v>
      </x:c>
      <x:c r="G2579" s="5" t="str">
        <x:v>Mitarbeiterförderung</x:v>
      </x:c>
      <x:c r="H2579" s="5" t="str">
        <x:v>dg-hq-0006</x:v>
      </x:c>
      <x:c r="I2579" s="5" t="str">
        <x:v>9.4.1</x:v>
      </x:c>
      <x:c r="J2579" s="5" t="str">
        <x:v>Personalentwicklung als Mittel der Steuerung und Förderung der personellen Ressourcen</x:v>
      </x:c>
      <x:c r="K2579" s="5" t="str"/>
      <x:c r="L2579" s="5" t="str">
        <x:v>Mitarbeiterförderung &amp; Personalentwicklung</x:v>
      </x:c>
      <x:c r="M2579" s="5" t="n">
        <x:v>4</x:v>
      </x:c>
      <x:c r="N2579" s="5" t="n">
        <x:v>4</x:v>
      </x:c>
      <x:c r="O2579" s="5" t="str"/>
      <x:c r="P2579" s="5" t="str">
        <x:v>Zuordnungsvorschlag; Fachfreigabe ausstehend</x:v>
      </x:c>
      <x:c r="Q2579" s="5" t="str">
        <x:v>Bestehendes Lernthema fachlich unter passendem Rahmenplan-Unterbereich behalten</x:v>
      </x:c>
      <x:c r="R2579" s="5" t="str">
        <x:v>Fallbezug: Die folgenden betrieblichen Angaben und Situationen beziehen sich auf die Circle Harbor GmbH.
Eine erfahrene Sachbearbeiterin soll innerhalb von neun Monaten schrittweise Aufgaben der Teamkoordination übernehmen. Entwickeln Sie einen Personalentwicklungsplan mit mindestens vier Maßnahmen aus mindestens drei unterschiedlichen Kategorien der betrieblichen Personalentwicklung. Begründen Sie Ihre Auswahl kurz.</x:v>
      </x:c>
      <x:c r="S2579" s="5" t="str">
        <x:v>1ad8c8090effb217bea8bff3a90b4bf905d4b7415758bffbff4c9eb8447e075e</x:v>
      </x:c>
    </x:row>
    <x:row r="2580" ht="36" customHeight="1">
      <x:c r="A2580" s="5" t="str">
        <x:v>PF-0093</x:v>
      </x:c>
      <x:c r="B2580" s="5" t="str">
        <x:v>HQ</x:v>
      </x:c>
      <x:c r="C2580" s="5" t="str">
        <x:v>9</x:v>
      </x:c>
      <x:c r="D2580" s="5" t="str">
        <x:v>Führung und Zusammenarbeit</x:v>
      </x:c>
      <x:c r="E2580" s="5" t="str">
        <x:v>Führung und Zusammenarbeit</x:v>
      </x:c>
      <x:c r="F2580" s="5" t="str">
        <x:v>ui-hq-0035</x:v>
      </x:c>
      <x:c r="G2580" s="5" t="str">
        <x:v>Mitarbeiterförderung</x:v>
      </x:c>
      <x:c r="H2580" s="5" t="str">
        <x:v>dg-hq-0006</x:v>
      </x:c>
      <x:c r="I2580" s="5" t="str">
        <x:v>9.4.1</x:v>
      </x:c>
      <x:c r="J2580" s="5" t="str">
        <x:v>Personalentwicklung als Mittel der Steuerung und Förderung der personellen Ressourcen</x:v>
      </x:c>
      <x:c r="K2580" s="5" t="str"/>
      <x:c r="L2580" s="5" t="str">
        <x:v>Mitarbeiterförderung &amp; Personalentwicklung</x:v>
      </x:c>
      <x:c r="M2580" s="5" t="n">
        <x:v>5</x:v>
      </x:c>
      <x:c r="N2580" s="5" t="n">
        <x:v>5</x:v>
      </x:c>
      <x:c r="O2580" s="5" t="str"/>
      <x:c r="P2580" s="5" t="str">
        <x:v>Zuordnungsvorschlag; Fachfreigabe ausstehend</x:v>
      </x:c>
      <x:c r="Q2580" s="5" t="str">
        <x:v>Bestehendes Lernthema fachlich unter passendem Rahmenplan-Unterbereich behalten</x:v>
      </x:c>
      <x:c r="R2580" s="5" t="str">
        <x:v>Ergänzen Sie die Kategorien betrieblicher Personalentwicklungsmaßnahmen anhand der genannten Beispiele.</x:v>
      </x:c>
      <x:c r="S2580" s="5" t="str">
        <x:v>e0c8d17b0a2a11b5196ebd504229bfec35f20693e8b1fe47658df95b8b398f20</x:v>
      </x:c>
    </x:row>
    <x:row r="2581" ht="36" customHeight="1">
      <x:c r="A2581" s="5" t="str">
        <x:v>PF-0094</x:v>
      </x:c>
      <x:c r="B2581" s="5" t="str">
        <x:v>HQ</x:v>
      </x:c>
      <x:c r="C2581" s="5" t="str">
        <x:v>9</x:v>
      </x:c>
      <x:c r="D2581" s="5" t="str">
        <x:v>Führung und Zusammenarbeit</x:v>
      </x:c>
      <x:c r="E2581" s="5" t="str">
        <x:v>Führung und Zusammenarbeit</x:v>
      </x:c>
      <x:c r="F2581" s="5" t="str">
        <x:v>ui-hq-0035</x:v>
      </x:c>
      <x:c r="G2581" s="5" t="str">
        <x:v>Mitarbeiterförderung</x:v>
      </x:c>
      <x:c r="H2581" s="5" t="str">
        <x:v>dg-hq-0006</x:v>
      </x:c>
      <x:c r="I2581" s="5" t="str">
        <x:v>9.4.1</x:v>
      </x:c>
      <x:c r="J2581" s="5" t="str">
        <x:v>Personalentwicklung als Mittel der Steuerung und Förderung der personellen Ressourcen</x:v>
      </x:c>
      <x:c r="K2581" s="5" t="str"/>
      <x:c r="L2581" s="5" t="str">
        <x:v>Mitarbeiterförderung &amp; Personalentwicklung</x:v>
      </x:c>
      <x:c r="M2581" s="5" t="n">
        <x:v>6</x:v>
      </x:c>
      <x:c r="N2581" s="5" t="n">
        <x:v>6</x:v>
      </x:c>
      <x:c r="O2581" s="5" t="str"/>
      <x:c r="P2581" s="5" t="str">
        <x:v>Zuordnungsvorschlag; Fachfreigabe ausstehend</x:v>
      </x:c>
      <x:c r="Q2581" s="5" t="str">
        <x:v>Bestehendes Lernthema fachlich unter passendem Rahmenplan-Unterbereich behalten</x:v>
      </x:c>
      <x:c r="R2581" s="5" t="str">
        <x:v>Ordnen Sie die Aussagen dem Anforderungsprofil, Fähigkeitsprofil, Eignungsprofil, Fähigkeitsdefizit oder Anforderungsdefizit zu.</x:v>
      </x:c>
      <x:c r="S2581" s="5" t="str">
        <x:v>263ad8b5f4b4fab66a11ff5785f40543833e4faf63edecd2e7f92010c95f4913</x:v>
      </x:c>
    </x:row>
    <x:row r="2582" ht="36" customHeight="1">
      <x:c r="A2582" s="5" t="str">
        <x:v>PF-0095</x:v>
      </x:c>
      <x:c r="B2582" s="5" t="str">
        <x:v>HQ</x:v>
      </x:c>
      <x:c r="C2582" s="5" t="str">
        <x:v>9</x:v>
      </x:c>
      <x:c r="D2582" s="5" t="str">
        <x:v>Führung und Zusammenarbeit</x:v>
      </x:c>
      <x:c r="E2582" s="5" t="str">
        <x:v>Führung und Zusammenarbeit</x:v>
      </x:c>
      <x:c r="F2582" s="5" t="str">
        <x:v>ui-hq-0033</x:v>
      </x:c>
      <x:c r="G2582" s="5" t="str">
        <x:v>Mitarbeitergespräche</x:v>
      </x:c>
      <x:c r="H2582" s="5" t="str">
        <x:v>dg-hq-0002</x:v>
      </x:c>
      <x:c r="I2582" s="5" t="str">
        <x:v>9.2.2</x:v>
      </x:c>
      <x:c r="J2582" s="5" t="str">
        <x:v>Beurteilungsgespräch</x:v>
      </x:c>
      <x:c r="K2582" s="5" t="str"/>
      <x:c r="L2582" s="5" t="str">
        <x:v>Mitarbeitergespräche &amp; Beurteilung</x:v>
      </x:c>
      <x:c r="M2582" s="5" t="n">
        <x:v>22</x:v>
      </x:c>
      <x:c r="N2582" s="5" t="n">
        <x:v>18</x:v>
      </x:c>
      <x:c r="O2582" s="5" t="str"/>
      <x:c r="P2582" s="5" t="str">
        <x:v>Zuordnungsvorschlag; Fachfreigabe ausstehend</x:v>
      </x:c>
      <x:c r="Q2582" s="5" t="str">
        <x:v>Bestehendes Lernthema fachlich unter passendem Rahmenplan-Unterbereich behalten</x:v>
      </x:c>
      <x:c r="R2582" s="5" t="str">
        <x:v>Welche Bedeutung hat die Leistungsbeurteilung für Personalentscheidungen und Personalentwicklung? Nennen Sie mindestens vier mögliche Verwendungszwecke und erläutern Sie, wodurch sich ein Beurteilungs- bzw. Beratungsgespräch von einem rein informationsorientierten Interview unterscheidet.</x:v>
      </x:c>
      <x:c r="S2582" s="5" t="str">
        <x:v>6ae3e0b5c90fae878f36db9c55305650c28eae25a160d20403e62ea2bfbb7c7c</x:v>
      </x:c>
    </x:row>
    <x:row r="2583" ht="36" customHeight="1">
      <x:c r="A2583" s="5" t="str">
        <x:v>PF-0096</x:v>
      </x:c>
      <x:c r="B2583" s="5" t="str">
        <x:v>HQ</x:v>
      </x:c>
      <x:c r="C2583" s="5" t="str">
        <x:v>9</x:v>
      </x:c>
      <x:c r="D2583" s="5" t="str">
        <x:v>Führung und Zusammenarbeit</x:v>
      </x:c>
      <x:c r="E2583" s="5" t="str">
        <x:v>Führung und Zusammenarbeit</x:v>
      </x:c>
      <x:c r="F2583" s="5" t="str">
        <x:v>ui-hq-0036</x:v>
      </x:c>
      <x:c r="G2583" s="5" t="str">
        <x:v>Ausbildung</x:v>
      </x:c>
      <x:c r="H2583" s="5" t="str">
        <x:v>dg-hq-0007</x:v>
      </x:c>
      <x:c r="I2583" s="5" t="str">
        <x:v>9.5.1</x:v>
      </x:c>
      <x:c r="J2583" s="5" t="str">
        <x:v>Rechtliche Rahmenbedingungen</x:v>
      </x:c>
      <x:c r="K2583" s="5" t="str"/>
      <x:c r="L2583" s="5" t="str">
        <x:v>Berufsausbildung</x:v>
      </x:c>
      <x:c r="M2583" s="5" t="n">
        <x:v>1</x:v>
      </x:c>
      <x:c r="N2583" s="5" t="n">
        <x:v>1</x:v>
      </x:c>
      <x:c r="O2583" s="5" t="str"/>
      <x:c r="P2583" s="5" t="str">
        <x:v>Zuordnungsvorschlag; Fachfreigabe ausstehend</x:v>
      </x:c>
      <x:c r="Q2583" s="5" t="str">
        <x:v>Gezielt geprüfter Einzelbeleg</x:v>
      </x:c>
      <x:c r="R2583" s="5" t="str">
        <x:v>Ordnen Sie die Regelungsbereiche der jeweils passenden Rechtsgrundlage zu.</x:v>
      </x:c>
      <x:c r="S2583" s="5" t="str">
        <x:v>2714700d32a04f933d31eee5c3f86ae1e6109db4f440211bb0cebb1cce60999b</x:v>
      </x:c>
    </x:row>
    <x:row r="2584" ht="36" customHeight="1">
      <x:c r="A2584" s="5" t="str">
        <x:v>PF-0097</x:v>
      </x:c>
      <x:c r="B2584" s="5" t="str">
        <x:v>HQ</x:v>
      </x:c>
      <x:c r="C2584" s="5" t="str">
        <x:v>9</x:v>
      </x:c>
      <x:c r="D2584" s="5" t="str">
        <x:v>Führung und Zusammenarbeit</x:v>
      </x:c>
      <x:c r="E2584" s="5" t="str">
        <x:v>Führung und Zusammenarbeit</x:v>
      </x:c>
      <x:c r="F2584" s="5" t="str">
        <x:v>ui-hq-0036</x:v>
      </x:c>
      <x:c r="G2584" s="5" t="str">
        <x:v>Ausbildung</x:v>
      </x:c>
      <x:c r="H2584" s="5" t="str">
        <x:v>dg-hq-0007</x:v>
      </x:c>
      <x:c r="I2584" s="5" t="str">
        <x:v>9.5.1</x:v>
      </x:c>
      <x:c r="J2584" s="5" t="str">
        <x:v>Rechtliche Rahmenbedingungen</x:v>
      </x:c>
      <x:c r="K2584" s="5" t="str"/>
      <x:c r="L2584" s="5" t="str">
        <x:v>Berufsausbildung</x:v>
      </x:c>
      <x:c r="M2584" s="5" t="n">
        <x:v>2</x:v>
      </x:c>
      <x:c r="N2584" s="5" t="n">
        <x:v>2</x:v>
      </x:c>
      <x:c r="O2584" s="5" t="str"/>
      <x:c r="P2584" s="5" t="str">
        <x:v>Zuordnungsvorschlag; Fachfreigabe ausstehend</x:v>
      </x:c>
      <x:c r="Q2584" s="5" t="str">
        <x:v>Gezielt geprüfter Einzelbeleg</x:v>
      </x:c>
      <x:c r="R2584" s="5" t="str">
        <x:v>Erläutern Sie die Bedeutung von BBiG, Jugendarbeitsschutzgesetz und Ausbildungsordnung für die betriebliche Berufsausbildung. Nennen Sie außerdem mindestens vier weitere Rechtsgrundlagen oder Regelwerke, die je nach Situation für Ausbildungsverhältnisse relevant sein können.</x:v>
      </x:c>
      <x:c r="S2584" s="5" t="str">
        <x:v>f6628104fcf67884d1f2263210623923ea9858334326b602656834529e1115cc</x:v>
      </x:c>
    </x:row>
    <x:row r="2585" ht="36" customHeight="1">
      <x:c r="A2585" s="5" t="str">
        <x:v>PF-0098</x:v>
      </x:c>
      <x:c r="B2585" s="5" t="str">
        <x:v>HQ</x:v>
      </x:c>
      <x:c r="C2585" s="5" t="str">
        <x:v>9</x:v>
      </x:c>
      <x:c r="D2585" s="5" t="str">
        <x:v>Führung und Zusammenarbeit</x:v>
      </x:c>
      <x:c r="E2585" s="5" t="str">
        <x:v>Führung und Zusammenarbeit</x:v>
      </x:c>
      <x:c r="F2585" s="5" t="str">
        <x:v>ui-hq-0036</x:v>
      </x:c>
      <x:c r="G2585" s="5" t="str">
        <x:v>Ausbildung</x:v>
      </x:c>
      <x:c r="H2585" s="5" t="str">
        <x:v>dg-hq-0008</x:v>
      </x:c>
      <x:c r="I2585" s="5" t="str">
        <x:v>9.5.4</x:v>
      </x:c>
      <x:c r="J2585" s="5" t="str">
        <x:v>Beteiligte und Mitwirkende an der Ausbildung</x:v>
      </x:c>
      <x:c r="K2585" s="5" t="str"/>
      <x:c r="L2585" s="5" t="str">
        <x:v>Berufsausbildung</x:v>
      </x:c>
      <x:c r="M2585" s="5" t="n">
        <x:v>3</x:v>
      </x:c>
      <x:c r="N2585" s="5" t="n">
        <x:v>1</x:v>
      </x:c>
      <x:c r="O2585" s="5" t="str"/>
      <x:c r="P2585" s="5" t="str">
        <x:v>Zuordnungsvorschlag; Fachfreigabe ausstehend</x:v>
      </x:c>
      <x:c r="Q2585" s="5" t="str">
        <x:v>Gezielt geprüfter Einzelbeleg</x:v>
      </x:c>
      <x:c r="R2585" s="5" t="str">
        <x:v>Unter welchen Voraussetzungen wird in einem Betrieb eine Jugend- und Auszubildendenvertretung gewählt und welche grundlegende Aufgabe hat sie?</x:v>
      </x:c>
      <x:c r="S2585" s="5" t="str">
        <x:v>478ed1159861ec7c909b5d81261d3e6fefd74b0800037e7681b40658b12c362f</x:v>
      </x:c>
    </x:row>
    <x:row r="2586" ht="36" customHeight="1">
      <x:c r="A2586" s="5" t="str">
        <x:v>PF-0099</x:v>
      </x:c>
      <x:c r="B2586" s="5" t="str">
        <x:v>HQ</x:v>
      </x:c>
      <x:c r="C2586" s="5" t="str">
        <x:v>9</x:v>
      </x:c>
      <x:c r="D2586" s="5" t="str">
        <x:v>Führung und Zusammenarbeit</x:v>
      </x:c>
      <x:c r="E2586" s="5" t="str">
        <x:v>Führung und Zusammenarbeit</x:v>
      </x:c>
      <x:c r="F2586" s="5" t="str">
        <x:v>ui-hq-0036</x:v>
      </x:c>
      <x:c r="G2586" s="5" t="str">
        <x:v>Ausbildung</x:v>
      </x:c>
      <x:c r="H2586" s="5" t="str">
        <x:v>dg-hq-0009</x:v>
      </x:c>
      <x:c r="I2586" s="5" t="str">
        <x:v>9.5.3</x:v>
      </x:c>
      <x:c r="J2586" s="5" t="str">
        <x:v>Anforderungen an die Eignung der Ausbilder und Ausbilderinnen</x:v>
      </x:c>
      <x:c r="K2586" s="5" t="str"/>
      <x:c r="L2586" s="5" t="str">
        <x:v>Berufsausbildung</x:v>
      </x:c>
      <x:c r="M2586" s="5" t="n">
        <x:v>4</x:v>
      </x:c>
      <x:c r="N2586" s="5" t="n">
        <x:v>1</x:v>
      </x:c>
      <x:c r="O2586" s="5" t="str"/>
      <x:c r="P2586" s="5" t="str">
        <x:v>Zuordnungsvorschlag; Fachfreigabe ausstehend</x:v>
      </x:c>
      <x:c r="Q2586" s="5" t="str">
        <x:v>Gezielt geprüfter Einzelbeleg</x:v>
      </x:c>
      <x:c r="R2586" s="5" t="str">
        <x:v>Wie verändert sich die Rolle von Ausbilderinnen und Ausbildern in einer modernen, handlungsorientierten Berufsausbildung? Nennen Sie mindestens fünf Merkmale.</x:v>
      </x:c>
      <x:c r="S2586" s="5" t="str">
        <x:v>22dda6cf24ee0b48e68a47303055f0afb7995cab5f8d16b6482eff36bc9c0b0a</x:v>
      </x:c>
    </x:row>
    <x:row r="2587" ht="36" customHeight="1">
      <x:c r="A2587" s="5" t="str">
        <x:v>PF-0100</x:v>
      </x:c>
      <x:c r="B2587" s="5" t="str">
        <x:v>HQ</x:v>
      </x:c>
      <x:c r="C2587" s="5" t="str">
        <x:v>9</x:v>
      </x:c>
      <x:c r="D2587" s="5" t="str">
        <x:v>Führung und Zusammenarbeit</x:v>
      </x:c>
      <x:c r="E2587" s="5" t="str">
        <x:v>Führung und Zusammenarbeit</x:v>
      </x:c>
      <x:c r="F2587" s="5" t="str">
        <x:v>ui-hq-0036</x:v>
      </x:c>
      <x:c r="G2587" s="5" t="str">
        <x:v>Ausbildung</x:v>
      </x:c>
      <x:c r="H2587" s="5" t="str">
        <x:v>dg-hq-0010</x:v>
      </x:c>
      <x:c r="I2587" s="5" t="str">
        <x:v>9.5.2</x:v>
      </x:c>
      <x:c r="J2587" s="5" t="str">
        <x:v>Ausbilder-Eignungsverordnung (AEVO)</x:v>
      </x:c>
      <x:c r="K2587" s="5" t="str"/>
      <x:c r="L2587" s="5" t="str">
        <x:v>Berufsausbildung</x:v>
      </x:c>
      <x:c r="M2587" s="5" t="n">
        <x:v>5</x:v>
      </x:c>
      <x:c r="N2587" s="5" t="n">
        <x:v>1</x:v>
      </x:c>
      <x:c r="O2587" s="5" t="str"/>
      <x:c r="P2587" s="5" t="str">
        <x:v>Zuordnungsvorschlag; Fachfreigabe ausstehend</x:v>
      </x:c>
      <x:c r="Q2587" s="5" t="str">
        <x:v>Gezielt geprüfter Einzelbeleg</x:v>
      </x:c>
      <x:c r="R2587" s="5" t="str">
        <x:v>Welche Bedeutung hat die Ausbilder-Eignungsverordnung für die betriebliche Ausbildung und welche Kompetenz soll mit der berufs- und arbeitspädagogischen Eignung nachgewiesen werden?</x:v>
      </x:c>
      <x:c r="S2587" s="5" t="str">
        <x:v>9313e8bdc0f0fd350e9148cab3fbd08b4c15e301a35a1c6f85d0773146fdaba1</x:v>
      </x:c>
    </x:row>
    <x:row r="2588" ht="36" customHeight="1">
      <x:c r="A2588" s="5" t="str">
        <x:v>PF-0101</x:v>
      </x:c>
      <x:c r="B2588" s="5" t="str">
        <x:v>HQ</x:v>
      </x:c>
      <x:c r="C2588" s="5" t="str">
        <x:v>9</x:v>
      </x:c>
      <x:c r="D2588" s="5" t="str">
        <x:v>Führung und Zusammenarbeit</x:v>
      </x:c>
      <x:c r="E2588" s="5" t="str">
        <x:v>Führung und Zusammenarbeit</x:v>
      </x:c>
      <x:c r="F2588" s="5" t="str">
        <x:v>ui-hq-0036</x:v>
      </x:c>
      <x:c r="G2588" s="5" t="str">
        <x:v>Ausbildung</x:v>
      </x:c>
      <x:c r="H2588" s="5" t="str">
        <x:v>dg-hq-0010</x:v>
      </x:c>
      <x:c r="I2588" s="5" t="str">
        <x:v>9.5.2</x:v>
      </x:c>
      <x:c r="J2588" s="5" t="str">
        <x:v>Ausbilder-Eignungsverordnung (AEVO)</x:v>
      </x:c>
      <x:c r="K2588" s="5" t="str"/>
      <x:c r="L2588" s="5" t="str">
        <x:v>Berufsausbildung</x:v>
      </x:c>
      <x:c r="M2588" s="5" t="n">
        <x:v>6</x:v>
      </x:c>
      <x:c r="N2588" s="5" t="n">
        <x:v>2</x:v>
      </x:c>
      <x:c r="O2588" s="5" t="str"/>
      <x:c r="P2588" s="5" t="str">
        <x:v>Zuordnungsvorschlag; Fachfreigabe ausstehend</x:v>
      </x:c>
      <x:c r="Q2588" s="5" t="str">
        <x:v>Gezielt geprüfter Einzelbeleg</x:v>
      </x:c>
      <x:c r="R2588" s="5" t="str">
        <x:v>Ordnen Sie die Aufgaben dem passenden Handlungsfeld der AEVO zu.</x:v>
      </x:c>
      <x:c r="S2588" s="5" t="str">
        <x:v>c544b2557942f546444edb013e1c0ebd2796d4ae4c492ee3713021f8935eaa0f</x:v>
      </x:c>
    </x:row>
    <x:row r="2589" ht="36" customHeight="1">
      <x:c r="A2589" s="5" t="str">
        <x:v>PF-0102</x:v>
      </x:c>
      <x:c r="B2589" s="5" t="str">
        <x:v>HQ</x:v>
      </x:c>
      <x:c r="C2589" s="5" t="str">
        <x:v>9</x:v>
      </x:c>
      <x:c r="D2589" s="5" t="str">
        <x:v>Führung und Zusammenarbeit</x:v>
      </x:c>
      <x:c r="E2589" s="5" t="str">
        <x:v>Führung und Zusammenarbeit</x:v>
      </x:c>
      <x:c r="F2589" s="5" t="str">
        <x:v>ui-hq-0036</x:v>
      </x:c>
      <x:c r="G2589" s="5" t="str">
        <x:v>Ausbildung</x:v>
      </x:c>
      <x:c r="H2589" s="5" t="str">
        <x:v>dg-hq-0007</x:v>
      </x:c>
      <x:c r="I2589" s="5" t="str">
        <x:v>9.5.1</x:v>
      </x:c>
      <x:c r="J2589" s="5" t="str">
        <x:v>Rechtliche Rahmenbedingungen</x:v>
      </x:c>
      <x:c r="K2589" s="5" t="str"/>
      <x:c r="L2589" s="5" t="str">
        <x:v>Berufsausbildung</x:v>
      </x:c>
      <x:c r="M2589" s="5" t="n">
        <x:v>7</x:v>
      </x:c>
      <x:c r="N2589" s="5" t="n">
        <x:v>3</x:v>
      </x:c>
      <x:c r="O2589" s="5" t="str"/>
      <x:c r="P2589" s="5" t="str">
        <x:v>Zuordnungsvorschlag; Fachfreigabe ausstehend</x:v>
      </x:c>
      <x:c r="Q2589" s="5" t="str">
        <x:v>Gezielt geprüfter Einzelbeleg</x:v>
      </x:c>
      <x:c r="R2589" s="5" t="str">
        <x:v>Entscheiden Sie, ob die Aussagen zur betrieblichen Berufsausbildung richtig oder falsch sind.</x:v>
      </x:c>
      <x:c r="S2589" s="5" t="str">
        <x:v>342291d79578984c603a8fb4ea91dd4885bf0526a9cbe206872988ecd3a0f37b</x:v>
      </x:c>
    </x:row>
    <x:row r="2590" ht="36" customHeight="1">
      <x:c r="A2590" s="5" t="str">
        <x:v>PF-0103</x:v>
      </x:c>
      <x:c r="B2590" s="5" t="str">
        <x:v>HQ</x:v>
      </x:c>
      <x:c r="C2590" s="5" t="str">
        <x:v>9</x:v>
      </x:c>
      <x:c r="D2590" s="5" t="str">
        <x:v>Führung und Zusammenarbeit</x:v>
      </x:c>
      <x:c r="E2590" s="5" t="str">
        <x:v>Führung und Zusammenarbeit</x:v>
      </x:c>
      <x:c r="F2590" s="5" t="str">
        <x:v>ui-hq-0036</x:v>
      </x:c>
      <x:c r="G2590" s="5" t="str">
        <x:v>Ausbildung</x:v>
      </x:c>
      <x:c r="H2590" s="5" t="str">
        <x:v>dg-hq-0011</x:v>
      </x:c>
      <x:c r="I2590" s="5" t="str">
        <x:v>9.5.8</x:v>
      </x:c>
      <x:c r="J2590" s="5" t="str">
        <x:v>Unterweisung</x:v>
      </x:c>
      <x:c r="K2590" s="5" t="str"/>
      <x:c r="L2590" s="5" t="str">
        <x:v>Berufsausbildung</x:v>
      </x:c>
      <x:c r="M2590" s="5" t="n">
        <x:v>8</x:v>
      </x:c>
      <x:c r="N2590" s="5" t="n">
        <x:v>1</x:v>
      </x:c>
      <x:c r="O2590" s="5" t="str"/>
      <x:c r="P2590" s="5" t="str">
        <x:v>Zuordnungsvorschlag; Fachfreigabe ausstehend</x:v>
      </x:c>
      <x:c r="Q2590" s="5" t="str">
        <x:v>Gezielt geprüfter Einzelbeleg</x:v>
      </x:c>
      <x:c r="R2590" s="5" t="str">
        <x:v>Als Führungskraft bei Circle Harbor: Sie übernehmen die Einführung einer neuen Auszubildenden am ersten Ausbildungstag. Erstellen Sie einen sinnvollen Ablauf mit mindestens sechs Schritten.</x:v>
      </x:c>
      <x:c r="S2590" s="5" t="str">
        <x:v>84e5751560b946a0cdeb30f408a9457cba788d23ac55fbac71b42e06ab65da59</x:v>
      </x:c>
    </x:row>
    <x:row r="2591" ht="36" customHeight="1">
      <x:c r="A2591" s="5" t="str">
        <x:v>PF-0104</x:v>
      </x:c>
      <x:c r="B2591" s="5" t="str">
        <x:v>HQ</x:v>
      </x:c>
      <x:c r="C2591" s="5" t="str">
        <x:v>9</x:v>
      </x:c>
      <x:c r="D2591" s="5" t="str">
        <x:v>Führung und Zusammenarbeit</x:v>
      </x:c>
      <x:c r="E2591" s="5" t="str">
        <x:v>Führung und Zusammenarbeit</x:v>
      </x:c>
      <x:c r="F2591" s="5" t="str">
        <x:v>ui-hq-0036</x:v>
      </x:c>
      <x:c r="G2591" s="5" t="str">
        <x:v>Ausbildung</x:v>
      </x:c>
      <x:c r="H2591" s="5" t="str">
        <x:v>dg-hq-0011</x:v>
      </x:c>
      <x:c r="I2591" s="5" t="str">
        <x:v>9.5.8</x:v>
      </x:c>
      <x:c r="J2591" s="5" t="str">
        <x:v>Unterweisung</x:v>
      </x:c>
      <x:c r="K2591" s="5" t="str"/>
      <x:c r="L2591" s="5" t="str">
        <x:v>Berufsausbildung</x:v>
      </x:c>
      <x:c r="M2591" s="5" t="n">
        <x:v>9</x:v>
      </x:c>
      <x:c r="N2591" s="5" t="n">
        <x:v>2</x:v>
      </x:c>
      <x:c r="O2591" s="5" t="str"/>
      <x:c r="P2591" s="5" t="str">
        <x:v>Zuordnungsvorschlag; Fachfreigabe ausstehend</x:v>
      </x:c>
      <x:c r="Q2591" s="5" t="str">
        <x:v>Gezielt geprüfter Einzelbeleg</x:v>
      </x:c>
      <x:c r="R2591" s="5" t="str">
        <x:v>Nennen und erläutern Sie vier praxisnahe Methoden, mit denen Auszubildende neben Fachwissen auch Schlüsselqualifikationen entwickeln können.</x:v>
      </x:c>
      <x:c r="S2591" s="5" t="str">
        <x:v>d2e855f69328c0460c63cac195dd63324f83cb500e82662368a200c3b6b541c1</x:v>
      </x:c>
    </x:row>
    <x:row r="2592" ht="36" customHeight="1">
      <x:c r="A2592" s="5" t="str">
        <x:v>PF-0105</x:v>
      </x:c>
      <x:c r="B2592" s="5" t="str">
        <x:v>HQ</x:v>
      </x:c>
      <x:c r="C2592" s="5" t="str">
        <x:v>9</x:v>
      </x:c>
      <x:c r="D2592" s="5" t="str">
        <x:v>Führung und Zusammenarbeit</x:v>
      </x:c>
      <x:c r="E2592" s="5" t="str">
        <x:v>Führung und Zusammenarbeit</x:v>
      </x:c>
      <x:c r="F2592" s="5" t="str">
        <x:v>ui-hq-0036</x:v>
      </x:c>
      <x:c r="G2592" s="5" t="str">
        <x:v>Ausbildung</x:v>
      </x:c>
      <x:c r="H2592" s="5" t="str">
        <x:v>dg-hq-0012</x:v>
      </x:c>
      <x:c r="I2592" s="5" t="str">
        <x:v>9.5.6</x:v>
      </x:c>
      <x:c r="J2592" s="5" t="str">
        <x:v>Prüfungsdurchführung</x:v>
      </x:c>
      <x:c r="K2592" s="5" t="str"/>
      <x:c r="L2592" s="5" t="str">
        <x:v>Berufsausbildung</x:v>
      </x:c>
      <x:c r="M2592" s="5" t="n">
        <x:v>10</x:v>
      </x:c>
      <x:c r="N2592" s="5" t="n">
        <x:v>1</x:v>
      </x:c>
      <x:c r="O2592" s="5" t="str"/>
      <x:c r="P2592" s="5" t="str">
        <x:v>Zuordnungsvorschlag; Fachfreigabe ausstehend</x:v>
      </x:c>
      <x:c r="Q2592" s="5" t="str">
        <x:v>Gezielt geprüfter Einzelbeleg</x:v>
      </x:c>
      <x:c r="R2592" s="5" t="str">
        <x:v>Ordnen Sie die Merkmale der Zwischenprüfung, der gestreckten Abschlussprüfung oder beiden zu.</x:v>
      </x:c>
      <x:c r="S2592" s="5" t="str">
        <x:v>e826b3c830c97fed9176c82b6a40663f2052eb4dea815002aa60878c8a8419fc</x:v>
      </x:c>
    </x:row>
    <x:row r="2593" ht="36" customHeight="1">
      <x:c r="A2593" s="5" t="str">
        <x:v>PF-0106</x:v>
      </x:c>
      <x:c r="B2593" s="5" t="str">
        <x:v>HQ</x:v>
      </x:c>
      <x:c r="C2593" s="5" t="str">
        <x:v>9</x:v>
      </x:c>
      <x:c r="D2593" s="5" t="str">
        <x:v>Führung und Zusammenarbeit</x:v>
      </x:c>
      <x:c r="E2593" s="5" t="str">
        <x:v>Führung und Zusammenarbeit</x:v>
      </x:c>
      <x:c r="F2593" s="5" t="str">
        <x:v>ui-hq-0036</x:v>
      </x:c>
      <x:c r="G2593" s="5" t="str">
        <x:v>Ausbildung</x:v>
      </x:c>
      <x:c r="H2593" s="5" t="str">
        <x:v>dg-hq-0012</x:v>
      </x:c>
      <x:c r="I2593" s="5" t="str">
        <x:v>9.5.6</x:v>
      </x:c>
      <x:c r="J2593" s="5" t="str">
        <x:v>Prüfungsdurchführung</x:v>
      </x:c>
      <x:c r="K2593" s="5" t="str"/>
      <x:c r="L2593" s="5" t="str">
        <x:v>Berufsausbildung</x:v>
      </x:c>
      <x:c r="M2593" s="5" t="n">
        <x:v>11</x:v>
      </x:c>
      <x:c r="N2593" s="5" t="n">
        <x:v>2</x:v>
      </x:c>
      <x:c r="O2593" s="5" t="str"/>
      <x:c r="P2593" s="5" t="str">
        <x:v>Zuordnungsvorschlag; Fachfreigabe ausstehend</x:v>
      </x:c>
      <x:c r="Q2593" s="5" t="str">
        <x:v>Gezielt geprüfter Einzelbeleg</x:v>
      </x:c>
      <x:c r="R2593" s="5" t="str">
        <x:v>Welche Folgen hat das Nichtbestehen einer Abschlussprüfung für die Wiederholungsmöglichkeiten und das Berufsausbildungsverhältnis?</x:v>
      </x:c>
      <x:c r="S2593" s="5" t="str">
        <x:v>abb6db88ec575af505ab873083cc9d1c11f22f1cd309663a7bbc0d437666133f</x:v>
      </x:c>
    </x:row>
    <x:row r="2594" ht="36" customHeight="1">
      <x:c r="A2594" s="5" t="str">
        <x:v>PF-0107</x:v>
      </x:c>
      <x:c r="B2594" s="5" t="str">
        <x:v>HQ</x:v>
      </x:c>
      <x:c r="C2594" s="5" t="str">
        <x:v>9</x:v>
      </x:c>
      <x:c r="D2594" s="5" t="str">
        <x:v>Führung und Zusammenarbeit</x:v>
      </x:c>
      <x:c r="E2594" s="5" t="str">
        <x:v>Führung und Zusammenarbeit</x:v>
      </x:c>
      <x:c r="F2594" s="5" t="str">
        <x:v>ui-hq-0036</x:v>
      </x:c>
      <x:c r="G2594" s="5" t="str">
        <x:v>Ausbildung</x:v>
      </x:c>
      <x:c r="H2594" s="5" t="str">
        <x:v>dg-hq-0013</x:v>
      </x:c>
      <x:c r="I2594" s="5" t="str">
        <x:v>9.5.7</x:v>
      </x:c>
      <x:c r="J2594" s="5" t="str">
        <x:v>Anforderungen an Ausstattung und Ergonomie der Arbeitsumgebung</x:v>
      </x:c>
      <x:c r="K2594" s="5" t="str"/>
      <x:c r="L2594" s="5" t="str">
        <x:v>Berufsausbildung</x:v>
      </x:c>
      <x:c r="M2594" s="5" t="n">
        <x:v>12</x:v>
      </x:c>
      <x:c r="N2594" s="5" t="n">
        <x:v>1</x:v>
      </x:c>
      <x:c r="O2594" s="5" t="str"/>
      <x:c r="P2594" s="5" t="str">
        <x:v>Zuordnungsvorschlag; Fachfreigabe ausstehend</x:v>
      </x:c>
      <x:c r="Q2594" s="5" t="str">
        <x:v>Gezielt geprüfter Einzelbeleg</x:v>
      </x:c>
      <x:c r="R2594" s="5" t="str">
        <x:v>Warum müssen Arbeitsschutz und Ergonomie bei der Gestaltung von Ausbildungsplätzen besonders berücksichtigt werden? Nennen Sie mindestens drei einschlägige Regelungsbereiche.</x:v>
      </x:c>
      <x:c r="S2594" s="5" t="str">
        <x:v>4112a70c089139c0e7ff71914cc2d598fb6d6a7c22dfb95beda53cea0e352a53</x:v>
      </x:c>
    </x:row>
    <x:row r="2595" ht="36" customHeight="1">
      <x:c r="A2595" s="5" t="str">
        <x:v>PF-0108</x:v>
      </x:c>
      <x:c r="B2595" s="5" t="str">
        <x:v>HQ</x:v>
      </x:c>
      <x:c r="C2595" s="5" t="str">
        <x:v>9</x:v>
      </x:c>
      <x:c r="D2595" s="5" t="str">
        <x:v>Führung und Zusammenarbeit</x:v>
      </x:c>
      <x:c r="E2595" s="5" t="str">
        <x:v>Führung und Zusammenarbeit</x:v>
      </x:c>
      <x:c r="F2595" s="5" t="str">
        <x:v>ui-hq-0036</x:v>
      </x:c>
      <x:c r="G2595" s="5" t="str">
        <x:v>Ausbildung</x:v>
      </x:c>
      <x:c r="H2595" s="5" t="str">
        <x:v>dg-hq-0013</x:v>
      </x:c>
      <x:c r="I2595" s="5" t="str">
        <x:v>9.5.7</x:v>
      </x:c>
      <x:c r="J2595" s="5" t="str">
        <x:v>Anforderungen an Ausstattung und Ergonomie der Arbeitsumgebung</x:v>
      </x:c>
      <x:c r="K2595" s="5" t="str"/>
      <x:c r="L2595" s="5" t="str">
        <x:v>Berufsausbildung</x:v>
      </x:c>
      <x:c r="M2595" s="5" t="n">
        <x:v>13</x:v>
      </x:c>
      <x:c r="N2595" s="5" t="n">
        <x:v>2</x:v>
      </x:c>
      <x:c r="O2595" s="5" t="str"/>
      <x:c r="P2595" s="5" t="str">
        <x:v>Zuordnungsvorschlag; Fachfreigabe ausstehend</x:v>
      </x:c>
      <x:c r="Q2595" s="5" t="str">
        <x:v>Gezielt geprüfter Einzelbeleg</x:v>
      </x:c>
      <x:c r="R2595" s="5" t="str">
        <x:v>Beurteilen Sie die Maßnahmen danach, ob sie eine ergonomische Arbeitsplatzgestaltung unterstützen.</x:v>
      </x:c>
      <x:c r="S2595" s="5" t="str">
        <x:v>063c909b877b2c93b7ceb8cf99899078626220621a6d304ed32159bd0fe0de6a</x:v>
      </x:c>
    </x:row>
    <x:row r="2596" ht="36" customHeight="1">
      <x:c r="A2596" s="5" t="str">
        <x:v>PF-0109</x:v>
      </x:c>
      <x:c r="B2596" s="5" t="str">
        <x:v>HQ</x:v>
      </x:c>
      <x:c r="C2596" s="5" t="str">
        <x:v>9</x:v>
      </x:c>
      <x:c r="D2596" s="5" t="str">
        <x:v>Führung und Zusammenarbeit</x:v>
      </x:c>
      <x:c r="E2596" s="5" t="str">
        <x:v>Führung und Zusammenarbeit</x:v>
      </x:c>
      <x:c r="F2596" s="5" t="str">
        <x:v>ui-hq-0036</x:v>
      </x:c>
      <x:c r="G2596" s="5" t="str">
        <x:v>Ausbildung</x:v>
      </x:c>
      <x:c r="H2596" s="5" t="str">
        <x:v>dg-hq-0011</x:v>
      </x:c>
      <x:c r="I2596" s="5" t="str">
        <x:v>9.5.8</x:v>
      </x:c>
      <x:c r="J2596" s="5" t="str">
        <x:v>Unterweisung</x:v>
      </x:c>
      <x:c r="K2596" s="5" t="str"/>
      <x:c r="L2596" s="5" t="str">
        <x:v>Berufsausbildung</x:v>
      </x:c>
      <x:c r="M2596" s="5" t="n">
        <x:v>14</x:v>
      </x:c>
      <x:c r="N2596" s="5" t="n">
        <x:v>3</x:v>
      </x:c>
      <x:c r="O2596" s="5" t="str"/>
      <x:c r="P2596" s="5" t="str">
        <x:v>Zuordnungsvorschlag; Fachfreigabe ausstehend</x:v>
      </x:c>
      <x:c r="Q2596" s="5" t="str">
        <x:v>Gezielt geprüfter Einzelbeleg</x:v>
      </x:c>
      <x:c r="R2596" s="5" t="str">
        <x:v>Erläutern Sie, nach welchen Kriterien eine Lehrmethode ausgewählt werden sollte, und vervollständigen Sie anschließend die Vier-Stufen-Methode.</x:v>
      </x:c>
      <x:c r="S2596" s="5" t="str">
        <x:v>cabf9e7a701bee0d4cd2daaf3c088c8d83900d485a39e8b2ee6c654303891d15</x:v>
      </x:c>
    </x:row>
    <x:row r="2597" ht="36" customHeight="1">
      <x:c r="A2597" s="5" t="str">
        <x:v>PF-0110</x:v>
      </x:c>
      <x:c r="B2597" s="5" t="str">
        <x:v>HQ</x:v>
      </x:c>
      <x:c r="C2597" s="5" t="str">
        <x:v>9</x:v>
      </x:c>
      <x:c r="D2597" s="5" t="str">
        <x:v>Führung und Zusammenarbeit</x:v>
      </x:c>
      <x:c r="E2597" s="5" t="str">
        <x:v>Führung und Zusammenarbeit</x:v>
      </x:c>
      <x:c r="F2597" s="5" t="str">
        <x:v>ui-hq-0036</x:v>
      </x:c>
      <x:c r="G2597" s="5" t="str">
        <x:v>Ausbildung</x:v>
      </x:c>
      <x:c r="H2597" s="5" t="str">
        <x:v>dg-hq-0011</x:v>
      </x:c>
      <x:c r="I2597" s="5" t="str">
        <x:v>9.5.8</x:v>
      </x:c>
      <x:c r="J2597" s="5" t="str">
        <x:v>Unterweisung</x:v>
      </x:c>
      <x:c r="K2597" s="5" t="str"/>
      <x:c r="L2597" s="5" t="str">
        <x:v>Berufsausbildung</x:v>
      </x:c>
      <x:c r="M2597" s="5" t="n">
        <x:v>15</x:v>
      </x:c>
      <x:c r="N2597" s="5" t="n">
        <x:v>4</x:v>
      </x:c>
      <x:c r="O2597" s="5" t="str"/>
      <x:c r="P2597" s="5" t="str">
        <x:v>Zuordnungsvorschlag; Fachfreigabe ausstehend</x:v>
      </x:c>
      <x:c r="Q2597" s="5" t="str">
        <x:v>Gezielt geprüfter Einzelbeleg</x:v>
      </x:c>
      <x:c r="R2597" s="5" t="str">
        <x:v>Ordnen Sie die Lern- und Ausbildungssituationen der passenden Methode zu.</x:v>
      </x:c>
      <x:c r="S2597" s="5" t="str">
        <x:v>d8d92092c575f94f26fb5f6447723cd60b8f855504392cf94ed1359e7a2bdde7</x:v>
      </x:c>
    </x:row>
    <x:row r="2598" ht="36" customHeight="1">
      <x:c r="A2598" s="5" t="str">
        <x:v>PF-0111</x:v>
      </x:c>
      <x:c r="B2598" s="5" t="str">
        <x:v>HQ</x:v>
      </x:c>
      <x:c r="C2598" s="5" t="str">
        <x:v>9</x:v>
      </x:c>
      <x:c r="D2598" s="5" t="str">
        <x:v>Führung und Zusammenarbeit</x:v>
      </x:c>
      <x:c r="E2598" s="5" t="str">
        <x:v>Führung und Zusammenarbeit</x:v>
      </x:c>
      <x:c r="F2598" s="5" t="str">
        <x:v>ui-hq-0036</x:v>
      </x:c>
      <x:c r="G2598" s="5" t="str">
        <x:v>Ausbildung</x:v>
      </x:c>
      <x:c r="H2598" s="5" t="str">
        <x:v>dg-hq-0014</x:v>
      </x:c>
      <x:c r="I2598" s="5" t="str">
        <x:v>9.5.9</x:v>
      </x:c>
      <x:c r="J2598" s="5" t="str">
        <x:v>Außer- und überbetriebliche Ausbildung</x:v>
      </x:c>
      <x:c r="K2598" s="5" t="str"/>
      <x:c r="L2598" s="5" t="str">
        <x:v>Berufsausbildung</x:v>
      </x:c>
      <x:c r="M2598" s="5" t="n">
        <x:v>16</x:v>
      </x:c>
      <x:c r="N2598" s="5" t="n">
        <x:v>1</x:v>
      </x:c>
      <x:c r="O2598" s="5" t="str"/>
      <x:c r="P2598" s="5" t="str">
        <x:v>Zuordnungsvorschlag; Fachfreigabe ausstehend</x:v>
      </x:c>
      <x:c r="Q2598" s="5" t="str">
        <x:v>Gezielt geprüfter Einzelbeleg</x:v>
      </x:c>
      <x:c r="R2598" s="5" t="str">
        <x:v>Ordnen Sie die Situationen der außerbetrieblichen oder der überbetrieblichen Ausbildung zu.</x:v>
      </x:c>
      <x:c r="S2598" s="5" t="str">
        <x:v>bb8615860ff05c5c970cfc95132373ab6027ab5da12d23133d9cfbb577a2f090</x:v>
      </x:c>
    </x:row>
    <x:row r="2599" ht="36" customHeight="1">
      <x:c r="A2599" s="5" t="str">
        <x:v>PF-0112</x:v>
      </x:c>
      <x:c r="B2599" s="5" t="str">
        <x:v>HQ</x:v>
      </x:c>
      <x:c r="C2599" s="5" t="str">
        <x:v>9</x:v>
      </x:c>
      <x:c r="D2599" s="5" t="str">
        <x:v>Führung und Zusammenarbeit</x:v>
      </x:c>
      <x:c r="E2599" s="5" t="str">
        <x:v>Führung und Zusammenarbeit</x:v>
      </x:c>
      <x:c r="F2599" s="5" t="str">
        <x:v>ui-hq-0036</x:v>
      </x:c>
      <x:c r="G2599" s="5" t="str">
        <x:v>Ausbildung</x:v>
      </x:c>
      <x:c r="H2599" s="5" t="str">
        <x:v>dg-hq-0014</x:v>
      </x:c>
      <x:c r="I2599" s="5" t="str">
        <x:v>9.5.9</x:v>
      </x:c>
      <x:c r="J2599" s="5" t="str">
        <x:v>Außer- und überbetriebliche Ausbildung</x:v>
      </x:c>
      <x:c r="K2599" s="5" t="str"/>
      <x:c r="L2599" s="5" t="str">
        <x:v>Berufsausbildung</x:v>
      </x:c>
      <x:c r="M2599" s="5" t="n">
        <x:v>17</x:v>
      </x:c>
      <x:c r="N2599" s="5" t="n">
        <x:v>2</x:v>
      </x:c>
      <x:c r="O2599" s="5" t="str"/>
      <x:c r="P2599" s="5" t="str">
        <x:v>Zuordnungsvorschlag; Fachfreigabe ausstehend</x:v>
      </x:c>
      <x:c r="Q2599" s="5" t="str">
        <x:v>Gezielt geprüfter Einzelbeleg</x:v>
      </x:c>
      <x:c r="R2599" s="5" t="str">
        <x:v>Ein kleiner Ausbildungsbetrieb kann einzelne vorgeschriebene Ausbildungsinhalte technisch nicht selbst vermitteln. Welche organisatorischen Lösungen kommen in Betracht und worauf ist bei der Auswahl zu achten?</x:v>
      </x:c>
      <x:c r="S2599" s="5" t="str">
        <x:v>bcbb34af8ce111fde43a9dfd6b4bee2aa80ef61141ddc619d550644097e3215a</x:v>
      </x:c>
    </x:row>
    <x:row r="2600" ht="36" customHeight="1">
      <x:c r="A2600" s="5" t="str">
        <x:v>PF-0113</x:v>
      </x:c>
      <x:c r="B2600" s="5" t="str">
        <x:v>HQ</x:v>
      </x:c>
      <x:c r="C2600" s="5" t="str">
        <x:v>9</x:v>
      </x:c>
      <x:c r="D2600" s="5" t="str">
        <x:v>Führung und Zusammenarbeit</x:v>
      </x:c>
      <x:c r="E2600" s="5" t="str">
        <x:v>Führung und Zusammenarbeit</x:v>
      </x:c>
      <x:c r="F2600" s="5" t="str">
        <x:v>ui-hq-0036</x:v>
      </x:c>
      <x:c r="G2600" s="5" t="str">
        <x:v>Ausbildung</x:v>
      </x:c>
      <x:c r="H2600" s="5" t="str">
        <x:v>dg-hq-0015</x:v>
      </x:c>
      <x:c r="I2600" s="5" t="str">
        <x:v>9.5.10</x:v>
      </x:c>
      <x:c r="J2600" s="5" t="str">
        <x:v>Maßnahmen der Personalentwicklung</x:v>
      </x:c>
      <x:c r="K2600" s="5" t="str"/>
      <x:c r="L2600" s="5" t="str">
        <x:v>Berufsausbildung</x:v>
      </x:c>
      <x:c r="M2600" s="5" t="n">
        <x:v>18</x:v>
      </x:c>
      <x:c r="N2600" s="5" t="n">
        <x:v>1</x:v>
      </x:c>
      <x:c r="O2600" s="5" t="str"/>
      <x:c r="P2600" s="5" t="str">
        <x:v>Zuordnungsvorschlag; Fachfreigabe ausstehend</x:v>
      </x:c>
      <x:c r="Q2600" s="5" t="str">
        <x:v>Gezielt geprüfter Einzelbeleg</x:v>
      </x:c>
      <x:c r="R2600" s="5" t="str">
        <x:v>Warum ist eine qualitativ hochwertige Berufsausbildung zugleich ein Instrument der Personalentwicklung?</x:v>
      </x:c>
      <x:c r="S2600" s="5" t="str">
        <x:v>3cef55e547c137db2342b309544c4fb068fe3b334c8b4bd7654b7caca1c02071</x:v>
      </x:c>
    </x:row>
    <x:row r="2601" ht="36" customHeight="1">
      <x:c r="A2601" s="5" t="str">
        <x:v>PF-0114</x:v>
      </x:c>
      <x:c r="B2601" s="5" t="str">
        <x:v>HQ</x:v>
      </x:c>
      <x:c r="C2601" s="5" t="str">
        <x:v>9</x:v>
      </x:c>
      <x:c r="D2601" s="5" t="str">
        <x:v>Führung und Zusammenarbeit</x:v>
      </x:c>
      <x:c r="E2601" s="5" t="str">
        <x:v>Führung und Zusammenarbeit</x:v>
      </x:c>
      <x:c r="F2601" s="5" t="str">
        <x:v>ui-hq-0037</x:v>
      </x:c>
      <x:c r="G2601" s="5" t="str">
        <x:v>Moderation von Projektgruppen</x:v>
      </x:c>
      <x:c r="H2601" s="5" t="str">
        <x:v>dg-hq-0016</x:v>
      </x:c>
      <x:c r="I2601" s="5" t="str">
        <x:v>9.6.1.2</x:v>
      </x:c>
      <x:c r="J2601" s="5" t="str">
        <x:v>Besetzung, Organisation und sachliche Ausrichtung von Projektgruppen</x:v>
      </x:c>
      <x:c r="K2601" s="5" t="str"/>
      <x:c r="L2601" s="5" t="str">
        <x:v>Gruppen, Teams &amp; Projektgruppen</x:v>
      </x:c>
      <x:c r="M2601" s="5" t="n">
        <x:v>1</x:v>
      </x:c>
      <x:c r="N2601" s="5" t="n">
        <x:v>1</x:v>
      </x:c>
      <x:c r="O2601" s="5" t="str"/>
      <x:c r="P2601" s="5" t="str">
        <x:v>Zuordnungsvorschlag; Fachfreigabe ausstehend</x:v>
      </x:c>
      <x:c r="Q2601" s="5" t="str">
        <x:v>Bestehendes Lernthema fachlich unter passendem Rahmenplan-Unterbereich behalten</x:v>
      </x:c>
      <x:c r="R2601" s="5" t="str">
        <x:v>Nennen Sie mindestens fünf Vorteile und drei mögliche Nachteile von Projektarbeit für die Personal- und Organisationsentwicklung.</x:v>
      </x:c>
      <x:c r="S2601" s="5" t="str">
        <x:v>3f59e31f162cf2f201f433c623f3cc3f349cb95c980c5d7e4d00d230d6716fe7</x:v>
      </x:c>
    </x:row>
    <x:row r="2602" ht="36" customHeight="1">
      <x:c r="A2602" s="5" t="str">
        <x:v>PF-0115</x:v>
      </x:c>
      <x:c r="B2602" s="5" t="str">
        <x:v>HQ</x:v>
      </x:c>
      <x:c r="C2602" s="5" t="str">
        <x:v>9</x:v>
      </x:c>
      <x:c r="D2602" s="5" t="str">
        <x:v>Führung und Zusammenarbeit</x:v>
      </x:c>
      <x:c r="E2602" s="5" t="str">
        <x:v>Führung und Zusammenarbeit</x:v>
      </x:c>
      <x:c r="F2602" s="5" t="str">
        <x:v>ui-hq-0032</x:v>
      </x:c>
      <x:c r="G2602" s="5" t="str">
        <x:v>Zusammenarbeit, Kommunikation und Kooperation</x:v>
      </x:c>
      <x:c r="H2602" s="5" t="str">
        <x:v>dg-hq-0004</x:v>
      </x:c>
      <x:c r="I2602" s="5" t="str">
        <x:v>9.1.1</x:v>
      </x:c>
      <x:c r="J2602" s="5" t="str">
        <x:v>Zusammenhang Persönlichkeit und beruflicher Entwicklung</x:v>
      </x:c>
      <x:c r="K2602" s="5" t="str"/>
      <x:c r="L2602" s="5" t="str">
        <x:v>Persönlichkeit, Sozialverhalten &amp; Vielfalt</x:v>
      </x:c>
      <x:c r="M2602" s="5" t="n">
        <x:v>54</x:v>
      </x:c>
      <x:c r="N2602" s="5" t="n">
        <x:v>10</x:v>
      </x:c>
      <x:c r="O2602" s="5" t="str"/>
      <x:c r="P2602" s="5" t="str">
        <x:v>Zuordnungsvorschlag; Fachfreigabe ausstehend</x:v>
      </x:c>
      <x:c r="Q2602" s="5" t="str">
        <x:v>Bestehendes Lernthema fachlich unter passendem Rahmenplan-Unterbereich behalten</x:v>
      </x:c>
      <x:c r="R2602" s="5" t="str">
        <x:v>Welche Chancen bietet die Zusammenarbeit von berufserfahrenen Beschäftigten und Berufseinsteigenden, und welche Führungsaufgabe ergibt sich daraus?</x:v>
      </x:c>
      <x:c r="S2602" s="5" t="str">
        <x:v>701196ce5c2de00e9bc98af063cee85a85eb5f07f689a2f007c6ec05f0e9b36f</x:v>
      </x:c>
    </x:row>
    <x:row r="2603" ht="36" customHeight="1">
      <x:c r="A2603" s="5" t="str">
        <x:v>PF-0116</x:v>
      </x:c>
      <x:c r="B2603" s="5" t="str">
        <x:v>HQ</x:v>
      </x:c>
      <x:c r="C2603" s="5" t="str">
        <x:v>9</x:v>
      </x:c>
      <x:c r="D2603" s="5" t="str">
        <x:v>Führung und Zusammenarbeit</x:v>
      </x:c>
      <x:c r="E2603" s="5" t="str">
        <x:v>Führung und Zusammenarbeit</x:v>
      </x:c>
      <x:c r="F2603" s="5" t="str">
        <x:v>ui-hq-0037</x:v>
      </x:c>
      <x:c r="G2603" s="5" t="str">
        <x:v>Moderation von Projektgruppen</x:v>
      </x:c>
      <x:c r="H2603" s="5" t="str">
        <x:v>dg-hq-0016</x:v>
      </x:c>
      <x:c r="I2603" s="5" t="str">
        <x:v>9.6.1.1</x:v>
      </x:c>
      <x:c r="J2603" s="5" t="str">
        <x:v>Kernelemente und Gütekriterien der Gruppenarbeit</x:v>
      </x:c>
      <x:c r="K2603" s="5" t="str"/>
      <x:c r="L2603" s="5" t="str">
        <x:v>Gruppen, Teams &amp; Projektgruppen</x:v>
      </x:c>
      <x:c r="M2603" s="5" t="n">
        <x:v>2</x:v>
      </x:c>
      <x:c r="N2603" s="5" t="n">
        <x:v>2</x:v>
      </x:c>
      <x:c r="O2603" s="5" t="str"/>
      <x:c r="P2603" s="5" t="str">
        <x:v>Zuordnungsvorschlag; Fachfreigabe ausstehend</x:v>
      </x:c>
      <x:c r="Q2603" s="5" t="str">
        <x:v>Bestehendes Lernthema fachlich unter passendem Rahmenplan-Unterbereich behalten</x:v>
      </x:c>
      <x:c r="R2603" s="5" t="str">
        <x:v>Ordnen Sie die Merkmale der passenden Form der Gruppenarbeit zu.</x:v>
      </x:c>
      <x:c r="S2603" s="5" t="str">
        <x:v>cbbf474dab77d9adb514006937656a57ed920c86799b84376505f0d96841c84e</x:v>
      </x:c>
    </x:row>
    <x:row r="2604" ht="36" customHeight="1">
      <x:c r="A2604" s="5" t="str">
        <x:v>PF-0117</x:v>
      </x:c>
      <x:c r="B2604" s="5" t="str">
        <x:v>HQ</x:v>
      </x:c>
      <x:c r="C2604" s="5" t="str">
        <x:v>9</x:v>
      </x:c>
      <x:c r="D2604" s="5" t="str">
        <x:v>Führung und Zusammenarbeit</x:v>
      </x:c>
      <x:c r="E2604" s="5" t="str">
        <x:v>Führung und Zusammenarbeit</x:v>
      </x:c>
      <x:c r="F2604" s="5" t="str">
        <x:v>ui-hq-0037</x:v>
      </x:c>
      <x:c r="G2604" s="5" t="str">
        <x:v>Moderation von Projektgruppen</x:v>
      </x:c>
      <x:c r="H2604" s="5" t="str">
        <x:v>dg-hq-0016</x:v>
      </x:c>
      <x:c r="I2604" s="5" t="str">
        <x:v>9.6.1</x:v>
      </x:c>
      <x:c r="J2604" s="5" t="str">
        <x:v>Arbeitsgruppen, Teams und Projektgruppen</x:v>
      </x:c>
      <x:c r="K2604" s="5" t="str"/>
      <x:c r="L2604" s="5" t="str">
        <x:v>Gruppen, Teams &amp; Projektgruppen</x:v>
      </x:c>
      <x:c r="M2604" s="5" t="n">
        <x:v>3</x:v>
      </x:c>
      <x:c r="N2604" s="5" t="n">
        <x:v>3</x:v>
      </x:c>
      <x:c r="O2604" s="5" t="str"/>
      <x:c r="P2604" s="5" t="str">
        <x:v>Zuordnungsvorschlag; Fachfreigabe ausstehend</x:v>
      </x:c>
      <x:c r="Q2604" s="5" t="str">
        <x:v>Bestehendes Lernthema fachlich unter passendem Rahmenplan-Unterbereich behalten</x:v>
      </x:c>
      <x:c r="R2604" s="5" t="str">
        <x:v>Welche typischen Probleme können in Projekten auftreten und wie trägt professionelles Projektmanagement dazu bei, diese zu beherrschen?</x:v>
      </x:c>
      <x:c r="S2604" s="5" t="str">
        <x:v>4272592f8c135f50c04f09900b672b51098a6a36d0be80bddd164ac8f351e8bc</x:v>
      </x:c>
    </x:row>
    <x:row r="2605" ht="36" customHeight="1">
      <x:c r="A2605" s="5" t="str">
        <x:v>PF-0118</x:v>
      </x:c>
      <x:c r="B2605" s="5" t="str">
        <x:v>HQ</x:v>
      </x:c>
      <x:c r="C2605" s="5" t="str">
        <x:v>9</x:v>
      </x:c>
      <x:c r="D2605" s="5" t="str">
        <x:v>Führung und Zusammenarbeit</x:v>
      </x:c>
      <x:c r="E2605" s="5" t="str">
        <x:v>Führung und Zusammenarbeit</x:v>
      </x:c>
      <x:c r="F2605" s="5" t="str">
        <x:v>ui-hq-0037</x:v>
      </x:c>
      <x:c r="G2605" s="5" t="str">
        <x:v>Moderation von Projektgruppen</x:v>
      </x:c>
      <x:c r="H2605" s="5" t="str">
        <x:v>dg-hq-0016</x:v>
      </x:c>
      <x:c r="I2605" s="5" t="str">
        <x:v>9.6.1</x:v>
      </x:c>
      <x:c r="J2605" s="5" t="str">
        <x:v>Arbeitsgruppen, Teams und Projektgruppen</x:v>
      </x:c>
      <x:c r="K2605" s="5" t="str"/>
      <x:c r="L2605" s="5" t="str">
        <x:v>Gruppen, Teams &amp; Projektgruppen</x:v>
      </x:c>
      <x:c r="M2605" s="5" t="n">
        <x:v>4</x:v>
      </x:c>
      <x:c r="N2605" s="5" t="n">
        <x:v>4</x:v>
      </x:c>
      <x:c r="O2605" s="5" t="str"/>
      <x:c r="P2605" s="5" t="str">
        <x:v>Zuordnungsvorschlag; Fachfreigabe ausstehend</x:v>
      </x:c>
      <x:c r="Q2605" s="5" t="str">
        <x:v>Bestehendes Lernthema fachlich unter passendem Rahmenplan-Unterbereich behalten</x:v>
      </x:c>
      <x:c r="R2605" s="5" t="str">
        <x:v>Ordnen Sie die Aussagen danach ein, ob sie eher für ein Team oder eine klassische Arbeitsgruppe typisch sind.</x:v>
      </x:c>
      <x:c r="S2605" s="5" t="str">
        <x:v>cc7de5e254eb652fceacc8bd027a306d9b53dbf8f80a24bad7adaeb497174a52</x:v>
      </x:c>
    </x:row>
    <x:row r="2606" ht="36" customHeight="1">
      <x:c r="A2606" s="5" t="str">
        <x:v>PF-0119</x:v>
      </x:c>
      <x:c r="B2606" s="5" t="str">
        <x:v>HQ</x:v>
      </x:c>
      <x:c r="C2606" s="5" t="str">
        <x:v>9</x:v>
      </x:c>
      <x:c r="D2606" s="5" t="str">
        <x:v>Führung und Zusammenarbeit</x:v>
      </x:c>
      <x:c r="E2606" s="5" t="str">
        <x:v>Führung und Zusammenarbeit</x:v>
      </x:c>
      <x:c r="F2606" s="5" t="str">
        <x:v>ui-hq-0037</x:v>
      </x:c>
      <x:c r="G2606" s="5" t="str">
        <x:v>Moderation von Projektgruppen</x:v>
      </x:c>
      <x:c r="H2606" s="5" t="str">
        <x:v>dg-hq-0016</x:v>
      </x:c>
      <x:c r="I2606" s="5" t="str">
        <x:v>9.6.1</x:v>
      </x:c>
      <x:c r="J2606" s="5" t="str">
        <x:v>Arbeitsgruppen, Teams und Projektgruppen</x:v>
      </x:c>
      <x:c r="K2606" s="5" t="str"/>
      <x:c r="L2606" s="5" t="str">
        <x:v>Gruppen, Teams &amp; Projektgruppen</x:v>
      </x:c>
      <x:c r="M2606" s="5" t="n">
        <x:v>5</x:v>
      </x:c>
      <x:c r="N2606" s="5" t="n">
        <x:v>5</x:v>
      </x:c>
      <x:c r="O2606" s="5" t="str"/>
      <x:c r="P2606" s="5" t="str">
        <x:v>Zuordnungsvorschlag; Fachfreigabe ausstehend</x:v>
      </x:c>
      <x:c r="Q2606" s="5" t="str">
        <x:v>Bestehendes Lernthema fachlich unter passendem Rahmenplan-Unterbereich behalten</x:v>
      </x:c>
      <x:c r="R2606" s="5" t="str">
        <x:v>Welche Bedeutung haben Rollen in Gruppen und informelle Gruppen für die Zusammenarbeit im Betrieb? Nennen Sie jeweils Chancen und Risiken.</x:v>
      </x:c>
      <x:c r="S2606" s="5" t="str">
        <x:v>3266f6e735c011e17d6e64878cd5ef385f6baa689e85ae83713442a1d57fab6b</x:v>
      </x:c>
    </x:row>
    <x:row r="2607" ht="36" customHeight="1">
      <x:c r="A2607" s="5" t="str">
        <x:v>PF-0120</x:v>
      </x:c>
      <x:c r="B2607" s="5" t="str">
        <x:v>HQ</x:v>
      </x:c>
      <x:c r="C2607" s="5" t="str">
        <x:v>9</x:v>
      </x:c>
      <x:c r="D2607" s="5" t="str">
        <x:v>Führung und Zusammenarbeit</x:v>
      </x:c>
      <x:c r="E2607" s="5" t="str">
        <x:v>Führung und Zusammenarbeit</x:v>
      </x:c>
      <x:c r="F2607" s="5" t="str">
        <x:v>ui-hq-0032</x:v>
      </x:c>
      <x:c r="G2607" s="5" t="str">
        <x:v>Zusammenarbeit, Kommunikation und Kooperation</x:v>
      </x:c>
      <x:c r="H2607" s="5" t="str">
        <x:v>dg-hq-0001</x:v>
      </x:c>
      <x:c r="I2607" s="5" t="str">
        <x:v>9.1.4</x:v>
      </x:c>
      <x:c r="J2607" s="5" t="str">
        <x:v>Zielorientiertes Führen</x:v>
      </x:c>
      <x:c r="K2607" s="5" t="str"/>
      <x:c r="L2607" s="5" t="str">
        <x:v>Führungsstile, Führungsmittel &amp; Zusammenarbeit</x:v>
      </x:c>
      <x:c r="M2607" s="5" t="n">
        <x:v>55</x:v>
      </x:c>
      <x:c r="N2607" s="5" t="n">
        <x:v>45</x:v>
      </x:c>
      <x:c r="O2607" s="5" t="str"/>
      <x:c r="P2607" s="5" t="str">
        <x:v>Zuordnungsvorschlag; Fachfreigabe ausstehend</x:v>
      </x:c>
      <x:c r="Q2607" s="5" t="str">
        <x:v>Bestehendes Lernthema fachlich unter passendem Rahmenplan-Unterbereich behalten</x:v>
      </x:c>
      <x:c r="R2607" s="5" t="str">
        <x:v>Als Führungskraft bei Circle Harbor: Welche Vorteile kann eine enge, partnerschaftliche Zusammenarbeit mit Kunden und Lieferanten für ein Unternehmen haben? Erläutern Sie außerdem den Synergieeffekt.</x:v>
      </x:c>
      <x:c r="S2607" s="5" t="str">
        <x:v>6d922d8224a71b2048367c346c41c4236b34da80b1fe93dbb5521d3869ffa819</x:v>
      </x:c>
    </x:row>
    <x:row r="2608" ht="36" customHeight="1">
      <x:c r="A2608" s="5" t="str">
        <x:v>PF-0121</x:v>
      </x:c>
      <x:c r="B2608" s="5" t="str">
        <x:v>HQ</x:v>
      </x:c>
      <x:c r="C2608" s="5" t="str">
        <x:v>9</x:v>
      </x:c>
      <x:c r="D2608" s="5" t="str">
        <x:v>Führung und Zusammenarbeit</x:v>
      </x:c>
      <x:c r="E2608" s="5" t="str">
        <x:v>Führung und Zusammenarbeit</x:v>
      </x:c>
      <x:c r="F2608" s="5" t="str">
        <x:v>ui-hq-0037</x:v>
      </x:c>
      <x:c r="G2608" s="5" t="str">
        <x:v>Moderation von Projektgruppen</x:v>
      </x:c>
      <x:c r="H2608" s="5" t="str">
        <x:v>dg-hq-0016</x:v>
      </x:c>
      <x:c r="I2608" s="5" t="str">
        <x:v>9.6.1.1</x:v>
      </x:c>
      <x:c r="J2608" s="5" t="str">
        <x:v>Kernelemente und Gütekriterien der Gruppenarbeit</x:v>
      </x:c>
      <x:c r="K2608" s="5" t="str"/>
      <x:c r="L2608" s="5" t="str">
        <x:v>Gruppen, Teams &amp; Projektgruppen</x:v>
      </x:c>
      <x:c r="M2608" s="5" t="n">
        <x:v>6</x:v>
      </x:c>
      <x:c r="N2608" s="5" t="n">
        <x:v>6</x:v>
      </x:c>
      <x:c r="O2608" s="5" t="str"/>
      <x:c r="P2608" s="5" t="str">
        <x:v>Zuordnungsvorschlag; Fachfreigabe ausstehend</x:v>
      </x:c>
      <x:c r="Q2608" s="5" t="str">
        <x:v>Bestehendes Lernthema fachlich unter passendem Rahmenplan-Unterbereich behalten</x:v>
      </x:c>
      <x:c r="R2608" s="5" t="str">
        <x:v>Ordnen Sie die Aussagen als möglichen Vorteil oder möglichen Nachteil von Gruppenarbeit ein.</x:v>
      </x:c>
      <x:c r="S2608" s="5" t="str">
        <x:v>9571d01cb0a8fc80c732ee3036a7b10235f617c47ebf49423cfdba562daa78da</x:v>
      </x:c>
    </x:row>
    <x:row r="2609" ht="36" customHeight="1">
      <x:c r="A2609" s="5" t="str">
        <x:v>PF-0122</x:v>
      </x:c>
      <x:c r="B2609" s="5" t="str">
        <x:v>HQ</x:v>
      </x:c>
      <x:c r="C2609" s="5" t="str">
        <x:v>9</x:v>
      </x:c>
      <x:c r="D2609" s="5" t="str">
        <x:v>Führung und Zusammenarbeit</x:v>
      </x:c>
      <x:c r="E2609" s="5" t="str">
        <x:v>Führung und Zusammenarbeit</x:v>
      </x:c>
      <x:c r="F2609" s="5" t="str">
        <x:v>ui-hq-0037</x:v>
      </x:c>
      <x:c r="G2609" s="5" t="str">
        <x:v>Moderation von Projektgruppen</x:v>
      </x:c>
      <x:c r="H2609" s="5" t="str">
        <x:v>dg-hq-0017</x:v>
      </x:c>
      <x:c r="I2609" s="5" t="str">
        <x:v>9.6.2.1</x:v>
      </x:c>
      <x:c r="J2609" s="5" t="str">
        <x:v>Moderation als Methode der aktiven Beteiligung und einer entsprechenden Zielorientierung</x:v>
      </x:c>
      <x:c r="K2609" s="5" t="str"/>
      <x:c r="L2609" s="5" t="str">
        <x:v>Moderation &amp; Kreativitätstechniken</x:v>
      </x:c>
      <x:c r="M2609" s="5" t="n">
        <x:v>7</x:v>
      </x:c>
      <x:c r="N2609" s="5" t="n">
        <x:v>1</x:v>
      </x:c>
      <x:c r="O2609" s="5" t="str"/>
      <x:c r="P2609" s="5" t="str">
        <x:v>Zuordnungsvorschlag; Fachfreigabe ausstehend</x:v>
      </x:c>
      <x:c r="Q2609" s="5" t="str">
        <x:v>Bestehendes Lernthema fachlich unter passendem Rahmenplan-Unterbereich behalten</x:v>
      </x:c>
      <x:c r="R2609" s="5" t="str">
        <x:v>Entscheiden Sie, ob die Aussagen zur Moderation richtig oder falsch sind.</x:v>
      </x:c>
      <x:c r="S2609" s="5" t="str">
        <x:v>ef6946a3f12b6b5878fbc75316edf6f84686c3dfb46658d1158ae8acff6e6027</x:v>
      </x:c>
    </x:row>
    <x:row r="2610" ht="36" customHeight="1">
      <x:c r="A2610" s="5" t="str">
        <x:v>PF-0123</x:v>
      </x:c>
      <x:c r="B2610" s="5" t="str">
        <x:v>HQ</x:v>
      </x:c>
      <x:c r="C2610" s="5" t="str">
        <x:v>9</x:v>
      </x:c>
      <x:c r="D2610" s="5" t="str">
        <x:v>Führung und Zusammenarbeit</x:v>
      </x:c>
      <x:c r="E2610" s="5" t="str">
        <x:v>Führung und Zusammenarbeit</x:v>
      </x:c>
      <x:c r="F2610" s="5" t="str">
        <x:v>ui-hq-0037</x:v>
      </x:c>
      <x:c r="G2610" s="5" t="str">
        <x:v>Moderation von Projektgruppen</x:v>
      </x:c>
      <x:c r="H2610" s="5" t="str">
        <x:v>dg-hq-0017</x:v>
      </x:c>
      <x:c r="I2610" s="5" t="str">
        <x:v>9.6.2.1</x:v>
      </x:c>
      <x:c r="J2610" s="5" t="str">
        <x:v>Moderation als Methode der aktiven Beteiligung und einer entsprechenden Zielorientierung</x:v>
      </x:c>
      <x:c r="K2610" s="5" t="str"/>
      <x:c r="L2610" s="5" t="str">
        <x:v>Moderation &amp; Kreativitätstechniken</x:v>
      </x:c>
      <x:c r="M2610" s="5" t="n">
        <x:v>8</x:v>
      </x:c>
      <x:c r="N2610" s="5" t="n">
        <x:v>2</x:v>
      </x:c>
      <x:c r="O2610" s="5" t="str"/>
      <x:c r="P2610" s="5" t="str">
        <x:v>Zuordnungsvorschlag; Fachfreigabe ausstehend</x:v>
      </x:c>
      <x:c r="Q2610" s="5" t="str">
        <x:v>Bestehendes Lernthema fachlich unter passendem Rahmenplan-Unterbereich behalten</x:v>
      </x:c>
      <x:c r="R2610" s="5" t="str">
        <x:v>Erläutern Sie die Bedeutung von Teilnehmerorientierung, didaktischem Handeln, Authentizität und vereinbarten Gruppenregeln für eine Moderation.</x:v>
      </x:c>
      <x:c r="S2610" s="5" t="str">
        <x:v>32d5819478d8eb4d97db4d2f2ef731db0b9d269f7e78c8d0494d4246b4284b61</x:v>
      </x:c>
    </x:row>
    <x:row r="2611" ht="36" customHeight="1">
      <x:c r="A2611" s="5" t="str">
        <x:v>PF-0124</x:v>
      </x:c>
      <x:c r="B2611" s="5" t="str">
        <x:v>HQ</x:v>
      </x:c>
      <x:c r="C2611" s="5" t="str">
        <x:v>9</x:v>
      </x:c>
      <x:c r="D2611" s="5" t="str">
        <x:v>Führung und Zusammenarbeit</x:v>
      </x:c>
      <x:c r="E2611" s="5" t="str">
        <x:v>Führung und Zusammenarbeit</x:v>
      </x:c>
      <x:c r="F2611" s="5" t="str">
        <x:v>ui-hq-0037</x:v>
      </x:c>
      <x:c r="G2611" s="5" t="str">
        <x:v>Moderation von Projektgruppen</x:v>
      </x:c>
      <x:c r="H2611" s="5" t="str">
        <x:v>dg-hq-0017</x:v>
      </x:c>
      <x:c r="I2611" s="5" t="str">
        <x:v>9.6.2.3</x:v>
      </x:c>
      <x:c r="J2611" s="5" t="str">
        <x:v>Regeln für die Vorbereitung</x:v>
      </x:c>
      <x:c r="K2611" s="5" t="str"/>
      <x:c r="L2611" s="5" t="str">
        <x:v>Moderation &amp; Kreativitätstechniken</x:v>
      </x:c>
      <x:c r="M2611" s="5" t="n">
        <x:v>9</x:v>
      </x:c>
      <x:c r="N2611" s="5" t="n">
        <x:v>3</x:v>
      </x:c>
      <x:c r="O2611" s="5" t="str"/>
      <x:c r="P2611" s="5" t="str">
        <x:v>Zuordnungsvorschlag; Fachfreigabe ausstehend</x:v>
      </x:c>
      <x:c r="Q2611" s="5" t="str">
        <x:v>Bestehendes Lernthema fachlich unter passendem Rahmenplan-Unterbereich behalten</x:v>
      </x:c>
      <x:c r="R2611" s="5" t="str">
        <x:v>Vervollständigen Sie die Aussagen zu konstruktiven Gruppenregeln.</x:v>
      </x:c>
      <x:c r="S2611" s="5" t="str">
        <x:v>a87f7f74d1598eb850a03436249e8f677163944b68d94e0b4e894c745077708c</x:v>
      </x:c>
    </x:row>
    <x:row r="2612" ht="36" customHeight="1">
      <x:c r="A2612" s="5" t="str">
        <x:v>PF-0125</x:v>
      </x:c>
      <x:c r="B2612" s="5" t="str">
        <x:v>HQ</x:v>
      </x:c>
      <x:c r="C2612" s="5" t="str">
        <x:v>9</x:v>
      </x:c>
      <x:c r="D2612" s="5" t="str">
        <x:v>Führung und Zusammenarbeit</x:v>
      </x:c>
      <x:c r="E2612" s="5" t="str">
        <x:v>Führung und Zusammenarbeit</x:v>
      </x:c>
      <x:c r="F2612" s="5" t="str">
        <x:v>ui-hq-0037</x:v>
      </x:c>
      <x:c r="G2612" s="5" t="str">
        <x:v>Moderation von Projektgruppen</x:v>
      </x:c>
      <x:c r="H2612" s="5" t="str">
        <x:v>dg-hq-0017</x:v>
      </x:c>
      <x:c r="I2612" s="5" t="str">
        <x:v>9.6.2.1</x:v>
      </x:c>
      <x:c r="J2612" s="5" t="str">
        <x:v>Moderation als Methode der aktiven Beteiligung und einer entsprechenden Zielorientierung</x:v>
      </x:c>
      <x:c r="K2612" s="5" t="str"/>
      <x:c r="L2612" s="5" t="str">
        <x:v>Moderation &amp; Kreativitätstechniken</x:v>
      </x:c>
      <x:c r="M2612" s="5" t="n">
        <x:v>10</x:v>
      </x:c>
      <x:c r="N2612" s="5" t="n">
        <x:v>4</x:v>
      </x:c>
      <x:c r="O2612" s="5" t="str"/>
      <x:c r="P2612" s="5" t="str">
        <x:v>Zuordnungsvorschlag; Fachfreigabe ausstehend</x:v>
      </x:c>
      <x:c r="Q2612" s="5" t="str">
        <x:v>Bestehendes Lernthema fachlich unter passendem Rahmenplan-Unterbereich behalten</x:v>
      </x:c>
      <x:c r="R2612" s="5" t="str">
        <x:v>Welche Aufgaben und Kompetenzen benötigt eine Person, die Arbeitsgruppen, Workshops oder Besprechungen professionell moderiert?</x:v>
      </x:c>
      <x:c r="S2612" s="5" t="str">
        <x:v>a31d0e6ff2f87b5a74182eaf02cd08fb1acab455d2f3d21ee1ec7a4366ab6c4c</x:v>
      </x:c>
    </x:row>
    <x:row r="2613" ht="36" customHeight="1">
      <x:c r="A2613" s="5" t="str">
        <x:v>PF-0126</x:v>
      </x:c>
      <x:c r="B2613" s="5" t="str">
        <x:v>HQ</x:v>
      </x:c>
      <x:c r="C2613" s="5" t="str">
        <x:v>9</x:v>
      </x:c>
      <x:c r="D2613" s="5" t="str">
        <x:v>Führung und Zusammenarbeit</x:v>
      </x:c>
      <x:c r="E2613" s="5" t="str">
        <x:v>Führung und Zusammenarbeit</x:v>
      </x:c>
      <x:c r="F2613" s="5" t="str">
        <x:v>ui-hq-0037</x:v>
      </x:c>
      <x:c r="G2613" s="5" t="str">
        <x:v>Moderation von Projektgruppen</x:v>
      </x:c>
      <x:c r="H2613" s="5" t="str">
        <x:v>dg-hq-0017</x:v>
      </x:c>
      <x:c r="I2613" s="5" t="str">
        <x:v>9.6.2</x:v>
      </x:c>
      <x:c r="J2613" s="5" t="str">
        <x:v>Moderieren von Arbeits- und Projektgruppen</x:v>
      </x:c>
      <x:c r="K2613" s="5" t="str"/>
      <x:c r="L2613" s="5" t="str">
        <x:v>Moderation &amp; Kreativitätstechniken</x:v>
      </x:c>
      <x:c r="M2613" s="5" t="n">
        <x:v>11</x:v>
      </x:c>
      <x:c r="N2613" s="5" t="n">
        <x:v>5</x:v>
      </x:c>
      <x:c r="O2613" s="5" t="str"/>
      <x:c r="P2613" s="5" t="str">
        <x:v>Zuordnungsvorschlag; Fachfreigabe ausstehend</x:v>
      </x:c>
      <x:c r="Q2613" s="5" t="str">
        <x:v>Bestehendes Lernthema fachlich unter passendem Rahmenplan-Unterbereich behalten</x:v>
      </x:c>
      <x:c r="R2613" s="5" t="str">
        <x:v>Welche Bedeutung haben gruppendynamische Prozesse für Moderation und Personalentwicklung? Erläutern Sie außerdem die Grundidee der Themenzentrierten Interaktion (TZI).</x:v>
      </x:c>
      <x:c r="S2613" s="5" t="str">
        <x:v>262a7a4830f723157f22c330c27541c3c796ee7395a518362fd3af4ee3bc92c3</x:v>
      </x:c>
    </x:row>
    <x:row r="2614" ht="36" customHeight="1">
      <x:c r="A2614" s="5" t="str">
        <x:v>PF-0127</x:v>
      </x:c>
      <x:c r="B2614" s="5" t="str">
        <x:v>HQ</x:v>
      </x:c>
      <x:c r="C2614" s="5" t="str">
        <x:v>9</x:v>
      </x:c>
      <x:c r="D2614" s="5" t="str">
        <x:v>Führung und Zusammenarbeit</x:v>
      </x:c>
      <x:c r="E2614" s="5" t="str">
        <x:v>Führung und Zusammenarbeit</x:v>
      </x:c>
      <x:c r="F2614" s="5" t="str">
        <x:v>ui-hq-0037</x:v>
      </x:c>
      <x:c r="G2614" s="5" t="str">
        <x:v>Moderation von Projektgruppen</x:v>
      </x:c>
      <x:c r="H2614" s="5" t="str">
        <x:v>dg-hq-0017</x:v>
      </x:c>
      <x:c r="I2614" s="5" t="str">
        <x:v>9.6.2.3</x:v>
      </x:c>
      <x:c r="J2614" s="5" t="str">
        <x:v>Regeln für die Vorbereitung</x:v>
      </x:c>
      <x:c r="K2614" s="5" t="str"/>
      <x:c r="L2614" s="5" t="str">
        <x:v>Moderation &amp; Kreativitätstechniken</x:v>
      </x:c>
      <x:c r="M2614" s="5" t="n">
        <x:v>12</x:v>
      </x:c>
      <x:c r="N2614" s="5" t="n">
        <x:v>6</x:v>
      </x:c>
      <x:c r="O2614" s="5" t="str"/>
      <x:c r="P2614" s="5" t="str">
        <x:v>Zuordnungsvorschlag; Fachfreigabe ausstehend</x:v>
      </x:c>
      <x:c r="Q2614" s="5" t="str">
        <x:v>Bestehendes Lernthema fachlich unter passendem Rahmenplan-Unterbereich behalten</x:v>
      </x:c>
      <x:c r="R2614" s="5" t="str">
        <x:v>Ordnen Sie die Vorbereitungsschritte der passenden Kategorie zu.</x:v>
      </x:c>
      <x:c r="S2614" s="5" t="str">
        <x:v>fc8e10f43e7261c89adc81b671b85c589a690fa42b20c94600dd10bce1b0280a</x:v>
      </x:c>
    </x:row>
    <x:row r="2615" ht="36" customHeight="1">
      <x:c r="A2615" s="5" t="str">
        <x:v>PF-0128</x:v>
      </x:c>
      <x:c r="B2615" s="5" t="str">
        <x:v>HQ</x:v>
      </x:c>
      <x:c r="C2615" s="5" t="str">
        <x:v>9</x:v>
      </x:c>
      <x:c r="D2615" s="5" t="str">
        <x:v>Führung und Zusammenarbeit</x:v>
      </x:c>
      <x:c r="E2615" s="5" t="str">
        <x:v>Führung und Zusammenarbeit</x:v>
      </x:c>
      <x:c r="F2615" s="5" t="str">
        <x:v>ui-hq-0037</x:v>
      </x:c>
      <x:c r="G2615" s="5" t="str">
        <x:v>Moderation von Projektgruppen</x:v>
      </x:c>
      <x:c r="H2615" s="5" t="str">
        <x:v>dg-hq-0017</x:v>
      </x:c>
      <x:c r="I2615" s="5" t="str">
        <x:v>9.6.2</x:v>
      </x:c>
      <x:c r="J2615" s="5" t="str">
        <x:v>Moderieren von Arbeits- und Projektgruppen</x:v>
      </x:c>
      <x:c r="K2615" s="5" t="str"/>
      <x:c r="L2615" s="5" t="str">
        <x:v>Moderation &amp; Kreativitätstechniken</x:v>
      </x:c>
      <x:c r="M2615" s="5" t="n">
        <x:v>13</x:v>
      </x:c>
      <x:c r="N2615" s="5" t="n">
        <x:v>7</x:v>
      </x:c>
      <x:c r="O2615" s="5" t="str"/>
      <x:c r="P2615" s="5" t="str">
        <x:v>Zuordnungsvorschlag; Fachfreigabe ausstehend</x:v>
      </x:c>
      <x:c r="Q2615" s="5" t="str">
        <x:v>Bestehendes Lernthema fachlich unter passendem Rahmenplan-Unterbereich behalten</x:v>
      </x:c>
      <x:c r="R2615" s="5" t="str">
        <x:v>Ordnen Sie die Einsatzsituationen dem passenden Visualisierungsmedium zu.</x:v>
      </x:c>
      <x:c r="S2615" s="5" t="str">
        <x:v>0ec7dd07e87d128dc015e7ed1872dfd099dc78b29337651d6e7941473419b68d</x:v>
      </x:c>
    </x:row>
    <x:row r="2616" ht="36" customHeight="1">
      <x:c r="A2616" s="5" t="str">
        <x:v>PF-0129</x:v>
      </x:c>
      <x:c r="B2616" s="5" t="str">
        <x:v>HQ</x:v>
      </x:c>
      <x:c r="C2616" s="5" t="str">
        <x:v>9</x:v>
      </x:c>
      <x:c r="D2616" s="5" t="str">
        <x:v>Führung und Zusammenarbeit</x:v>
      </x:c>
      <x:c r="E2616" s="5" t="str">
        <x:v>Führung und Zusammenarbeit</x:v>
      </x:c>
      <x:c r="F2616" s="5" t="str">
        <x:v>ui-hq-0037</x:v>
      </x:c>
      <x:c r="G2616" s="5" t="str">
        <x:v>Moderation von Projektgruppen</x:v>
      </x:c>
      <x:c r="H2616" s="5" t="str">
        <x:v>dg-hq-0017</x:v>
      </x:c>
      <x:c r="I2616" s="5" t="str">
        <x:v>9.6.2.4</x:v>
      </x:c>
      <x:c r="J2616" s="5" t="str">
        <x:v>Kreativitätstechniken und Methoden der Ideenfindung</x:v>
      </x:c>
      <x:c r="K2616" s="5" t="str"/>
      <x:c r="L2616" s="5" t="str">
        <x:v>Moderation &amp; Kreativitätstechniken</x:v>
      </x:c>
      <x:c r="M2616" s="5" t="n">
        <x:v>14</x:v>
      </x:c>
      <x:c r="N2616" s="5" t="n">
        <x:v>8</x:v>
      </x:c>
      <x:c r="O2616" s="5" t="str"/>
      <x:c r="P2616" s="5" t="str">
        <x:v>Zuordnungsvorschlag; Fachfreigabe ausstehend</x:v>
      </x:c>
      <x:c r="Q2616" s="5" t="str">
        <x:v>Bestehendes Lernthema fachlich unter passendem Rahmenplan-Unterbereich behalten</x:v>
      </x:c>
      <x:c r="R2616" s="5" t="str">
        <x:v>Warum werden Kreativitätstechniken in betrieblichen Problemlösungs- und Moderationsprozessen eingesetzt und welche Anforderungen sollte eine gute Ideenfindungsphase erfüllen?</x:v>
      </x:c>
      <x:c r="S2616" s="5" t="str">
        <x:v>5e6c1f04532cec4333b6e22c4ec58d2da3b83826671f34e910e904db32334133</x:v>
      </x:c>
    </x:row>
    <x:row r="2617" ht="36" customHeight="1">
      <x:c r="A2617" s="5" t="str">
        <x:v>PF-0130</x:v>
      </x:c>
      <x:c r="B2617" s="5" t="str">
        <x:v>HQ</x:v>
      </x:c>
      <x:c r="C2617" s="5" t="str">
        <x:v>9</x:v>
      </x:c>
      <x:c r="D2617" s="5" t="str">
        <x:v>Führung und Zusammenarbeit</x:v>
      </x:c>
      <x:c r="E2617" s="5" t="str">
        <x:v>Führung und Zusammenarbeit</x:v>
      </x:c>
      <x:c r="F2617" s="5" t="str">
        <x:v>ui-hq-0037</x:v>
      </x:c>
      <x:c r="G2617" s="5" t="str">
        <x:v>Moderation von Projektgruppen</x:v>
      </x:c>
      <x:c r="H2617" s="5" t="str">
        <x:v>dg-hq-0017</x:v>
      </x:c>
      <x:c r="I2617" s="5" t="str">
        <x:v>9.6.2.1</x:v>
      </x:c>
      <x:c r="J2617" s="5" t="str">
        <x:v>Moderation als Methode der aktiven Beteiligung und einer entsprechenden Zielorientierung</x:v>
      </x:c>
      <x:c r="K2617" s="5" t="str"/>
      <x:c r="L2617" s="5" t="str">
        <x:v>Moderation &amp; Kreativitätstechniken</x:v>
      </x:c>
      <x:c r="M2617" s="5" t="n">
        <x:v>15</x:v>
      </x:c>
      <x:c r="N2617" s="5" t="n">
        <x:v>9</x:v>
      </x:c>
      <x:c r="O2617" s="5" t="str"/>
      <x:c r="P2617" s="5" t="str">
        <x:v>Zuordnungsvorschlag; Fachfreigabe ausstehend</x:v>
      </x:c>
      <x:c r="Q2617" s="5" t="str">
        <x:v>Bestehendes Lernthema fachlich unter passendem Rahmenplan-Unterbereich behalten</x:v>
      </x:c>
      <x:c r="R2617" s="5" t="str">
        <x:v>Entscheiden Sie, ob die Aussagen zu professionellem Moderationsverhalten richtig oder falsch sind.</x:v>
      </x:c>
      <x:c r="S2617" s="5" t="str">
        <x:v>59e9fabc34794398226f4c44078acf5fc748e3fc91c68db093de2539f2948255</x:v>
      </x:c>
    </x:row>
    <x:row r="2618" ht="36" customHeight="1">
      <x:c r="A2618" s="5" t="str">
        <x:v>PF-0131</x:v>
      </x:c>
      <x:c r="B2618" s="5" t="str">
        <x:v>HQ</x:v>
      </x:c>
      <x:c r="C2618" s="5" t="str">
        <x:v>9</x:v>
      </x:c>
      <x:c r="D2618" s="5" t="str">
        <x:v>Führung und Zusammenarbeit</x:v>
      </x:c>
      <x:c r="E2618" s="5" t="str">
        <x:v>Führung und Zusammenarbeit</x:v>
      </x:c>
      <x:c r="F2618" s="5" t="str">
        <x:v>ui-hq-0037</x:v>
      </x:c>
      <x:c r="G2618" s="5" t="str">
        <x:v>Moderation von Projektgruppen</x:v>
      </x:c>
      <x:c r="H2618" s="5" t="str">
        <x:v>dg-hq-0017</x:v>
      </x:c>
      <x:c r="I2618" s="5" t="str">
        <x:v>9.6.2.1</x:v>
      </x:c>
      <x:c r="J2618" s="5" t="str">
        <x:v>Moderation als Methode der aktiven Beteiligung und einer entsprechenden Zielorientierung</x:v>
      </x:c>
      <x:c r="K2618" s="5" t="str"/>
      <x:c r="L2618" s="5" t="str">
        <x:v>Moderation &amp; Kreativitätstechniken</x:v>
      </x:c>
      <x:c r="M2618" s="5" t="n">
        <x:v>16</x:v>
      </x:c>
      <x:c r="N2618" s="5" t="n">
        <x:v>10</x:v>
      </x:c>
      <x:c r="O2618" s="5" t="str"/>
      <x:c r="P2618" s="5" t="str">
        <x:v>Zuordnungsvorschlag; Fachfreigabe ausstehend</x:v>
      </x:c>
      <x:c r="Q2618" s="5" t="str">
        <x:v>Bestehendes Lernthema fachlich unter passendem Rahmenplan-Unterbereich behalten</x:v>
      </x:c>
      <x:c r="R2618" s="5" t="str">
        <x:v>Ordnen Sie die Beschreibungen der passenden Kreativitäts- oder Analysemethode zu.</x:v>
      </x:c>
      <x:c r="S2618" s="5" t="str">
        <x:v>6f868aa996482ad1d1eadca26c64fcbb54393882e4d72acc87989fbbe6450278</x:v>
      </x:c>
    </x:row>
    <x:row r="2619" ht="36" customHeight="1">
      <x:c r="A2619" s="5" t="str">
        <x:v>PF-0132</x:v>
      </x:c>
      <x:c r="B2619" s="5" t="str">
        <x:v>HQ</x:v>
      </x:c>
      <x:c r="C2619" s="5" t="str">
        <x:v>9</x:v>
      </x:c>
      <x:c r="D2619" s="5" t="str">
        <x:v>Führung und Zusammenarbeit</x:v>
      </x:c>
      <x:c r="E2619" s="5" t="str">
        <x:v>Führung und Zusammenarbeit</x:v>
      </x:c>
      <x:c r="F2619" s="5" t="str">
        <x:v>ui-hq-0037</x:v>
      </x:c>
      <x:c r="G2619" s="5" t="str">
        <x:v>Moderation von Projektgruppen</x:v>
      </x:c>
      <x:c r="H2619" s="5" t="str">
        <x:v>dg-hq-0017</x:v>
      </x:c>
      <x:c r="I2619" s="5" t="str">
        <x:v>9.6.2.5</x:v>
      </x:c>
      <x:c r="J2619" s="5" t="str">
        <x:v>Nachbereitung der Moderation</x:v>
      </x:c>
      <x:c r="K2619" s="5" t="str"/>
      <x:c r="L2619" s="5" t="str">
        <x:v>Moderation &amp; Kreativitätstechniken</x:v>
      </x:c>
      <x:c r="M2619" s="5" t="n">
        <x:v>17</x:v>
      </x:c>
      <x:c r="N2619" s="5" t="n">
        <x:v>11</x:v>
      </x:c>
      <x:c r="O2619" s="5" t="str"/>
      <x:c r="P2619" s="5" t="str">
        <x:v>Zuordnungsvorschlag; Fachfreigabe ausstehend</x:v>
      </x:c>
      <x:c r="Q2619" s="5" t="str">
        <x:v>Bestehendes Lernthema fachlich unter passendem Rahmenplan-Unterbereich behalten</x:v>
      </x:c>
      <x:c r="R2619" s="5" t="str">
        <x:v>Ordnen Sie die Nachbereitungsaufgaben überwiegend der organisatorischen, persönlichen oder administrativen Ebene zu.</x:v>
      </x:c>
      <x:c r="S2619" s="5" t="str">
        <x:v>17e8c67955bad23507cf39dcbcf6157c4fe608ba6c18a51383d670ff2ae6bbf1</x:v>
      </x:c>
    </x:row>
    <x:row r="2620" ht="36" customHeight="1">
      <x:c r="A2620" s="5" t="str">
        <x:v>PF-0133</x:v>
      </x:c>
      <x:c r="B2620" s="5" t="str">
        <x:v>HQ</x:v>
      </x:c>
      <x:c r="C2620" s="5" t="str">
        <x:v>9</x:v>
      </x:c>
      <x:c r="D2620" s="5" t="str">
        <x:v>Führung und Zusammenarbeit</x:v>
      </x:c>
      <x:c r="E2620" s="5" t="str">
        <x:v>Führung und Zusammenarbeit</x:v>
      </x:c>
      <x:c r="F2620" s="5" t="str">
        <x:v>ui-hq-0037</x:v>
      </x:c>
      <x:c r="G2620" s="5" t="str">
        <x:v>Moderation von Projektgruppen</x:v>
      </x:c>
      <x:c r="H2620" s="5" t="str">
        <x:v>dg-hq-0017</x:v>
      </x:c>
      <x:c r="I2620" s="5" t="str">
        <x:v>9.6.2.1</x:v>
      </x:c>
      <x:c r="J2620" s="5" t="str">
        <x:v>Moderation als Methode der aktiven Beteiligung und einer entsprechenden Zielorientierung</x:v>
      </x:c>
      <x:c r="K2620" s="5" t="str"/>
      <x:c r="L2620" s="5" t="str">
        <x:v>Moderation &amp; Kreativitätstechniken</x:v>
      </x:c>
      <x:c r="M2620" s="5" t="n">
        <x:v>18</x:v>
      </x:c>
      <x:c r="N2620" s="5" t="n">
        <x:v>12</x:v>
      </x:c>
      <x:c r="O2620" s="5" t="str"/>
      <x:c r="P2620" s="5" t="str">
        <x:v>Zuordnungsvorschlag; Fachfreigabe ausstehend</x:v>
      </x:c>
      <x:c r="Q2620" s="5" t="str">
        <x:v>Bestehendes Lernthema fachlich unter passendem Rahmenplan-Unterbereich behalten</x:v>
      </x:c>
      <x:c r="R2620" s="5" t="str">
        <x:v>Welche Maßnahmen helfen nach einer Moderation oder einem Workshop, Ergebnisse zu sichern und den Transfer in die weitere Arbeit zu unterstützen?</x:v>
      </x:c>
      <x:c r="S2620" s="5" t="str">
        <x:v>807bc1ca70e5f3dab4a2e91bb5b1ff4bd065032f02be85ba6298db953abac258</x:v>
      </x:c>
    </x:row>
    <x:row r="2621" ht="36" customHeight="1">
      <x:c r="A2621" s="5" t="str">
        <x:v>PF-0134</x:v>
      </x:c>
      <x:c r="B2621" s="5" t="str">
        <x:v>HQ</x:v>
      </x:c>
      <x:c r="C2621" s="5" t="str">
        <x:v>9</x:v>
      </x:c>
      <x:c r="D2621" s="5" t="str">
        <x:v>Führung und Zusammenarbeit</x:v>
      </x:c>
      <x:c r="E2621" s="5" t="str">
        <x:v>Führung und Zusammenarbeit</x:v>
      </x:c>
      <x:c r="F2621" s="5" t="str">
        <x:v>ui-hq-0037</x:v>
      </x:c>
      <x:c r="G2621" s="5" t="str">
        <x:v>Moderation von Projektgruppen</x:v>
      </x:c>
      <x:c r="H2621" s="5" t="str">
        <x:v>dg-hq-0017</x:v>
      </x:c>
      <x:c r="I2621" s="5" t="str">
        <x:v>9.6.2</x:v>
      </x:c>
      <x:c r="J2621" s="5" t="str">
        <x:v>Moderieren von Arbeits- und Projektgruppen</x:v>
      </x:c>
      <x:c r="K2621" s="5" t="str"/>
      <x:c r="L2621" s="5" t="str">
        <x:v>Moderation &amp; Kreativitätstechniken</x:v>
      </x:c>
      <x:c r="M2621" s="5" t="n">
        <x:v>19</x:v>
      </x:c>
      <x:c r="N2621" s="5" t="n">
        <x:v>13</x:v>
      </x:c>
      <x:c r="O2621" s="5" t="str"/>
      <x:c r="P2621" s="5" t="str">
        <x:v>Zuordnungsvorschlag; Fachfreigabe ausstehend</x:v>
      </x:c>
      <x:c r="Q2621" s="5" t="str">
        <x:v>Bestehendes Lernthema fachlich unter passendem Rahmenplan-Unterbereich behalten</x:v>
      </x:c>
      <x:c r="R2621" s="5" t="str">
        <x:v>Vervollständigen Sie die typische Abfolge eines Moderationsprozesses.</x:v>
      </x:c>
      <x:c r="S2621" s="5" t="str">
        <x:v>b2fcb80ea32260ee7470cdd50045f21b531583216572f6626c2f91d8b18137c1</x:v>
      </x:c>
    </x:row>
    <x:row r="2622" ht="36" customHeight="1">
      <x:c r="A2622" s="5" t="str">
        <x:v>PF-0135</x:v>
      </x:c>
      <x:c r="B2622" s="5" t="str">
        <x:v>HQ</x:v>
      </x:c>
      <x:c r="C2622" s="5" t="str">
        <x:v>9</x:v>
      </x:c>
      <x:c r="D2622" s="5" t="str">
        <x:v>Führung und Zusammenarbeit</x:v>
      </x:c>
      <x:c r="E2622" s="5" t="str">
        <x:v>Führung und Zusammenarbeit</x:v>
      </x:c>
      <x:c r="F2622" s="5" t="str">
        <x:v>ui-hq-0037</x:v>
      </x:c>
      <x:c r="G2622" s="5" t="str">
        <x:v>Moderation von Projektgruppen</x:v>
      </x:c>
      <x:c r="H2622" s="5" t="str">
        <x:v>dg-hq-0017</x:v>
      </x:c>
      <x:c r="I2622" s="5" t="str">
        <x:v>9.6.2.5</x:v>
      </x:c>
      <x:c r="J2622" s="5" t="str">
        <x:v>Nachbereitung der Moderation</x:v>
      </x:c>
      <x:c r="K2622" s="5" t="str"/>
      <x:c r="L2622" s="5" t="str">
        <x:v>Moderation &amp; Kreativitätstechniken</x:v>
      </x:c>
      <x:c r="M2622" s="5" t="n">
        <x:v>20</x:v>
      </x:c>
      <x:c r="N2622" s="5" t="n">
        <x:v>14</x:v>
      </x:c>
      <x:c r="O2622" s="5" t="str"/>
      <x:c r="P2622" s="5" t="str">
        <x:v>Zuordnungsvorschlag; Fachfreigabe ausstehend</x:v>
      </x:c>
      <x:c r="Q2622" s="5" t="str">
        <x:v>Bestehendes Lernthema fachlich unter passendem Rahmenplan-Unterbereich behalten</x:v>
      </x:c>
      <x:c r="R2622" s="5" t="str">
        <x:v>Entscheiden Sie, ob die Aussagen zu einem lern- und zielorientierten Moderationsprozess richtig oder falsch sind.</x:v>
      </x:c>
      <x:c r="S2622" s="5" t="str">
        <x:v>532536b6c640ddd0cce14573cb0a2310b176c6fd447da3913c4a6bacc61cfc3d</x:v>
      </x:c>
    </x:row>
    <x:row r="2623" ht="36" customHeight="1">
      <x:c r="A2623" s="5" t="str">
        <x:v>PF-0136</x:v>
      </x:c>
      <x:c r="B2623" s="5" t="str">
        <x:v>HQ</x:v>
      </x:c>
      <x:c r="C2623" s="5" t="str">
        <x:v>9</x:v>
      </x:c>
      <x:c r="D2623" s="5" t="str">
        <x:v>Führung und Zusammenarbeit</x:v>
      </x:c>
      <x:c r="E2623" s="5" t="str">
        <x:v>Führung und Zusammenarbeit</x:v>
      </x:c>
      <x:c r="F2623" s="5" t="str">
        <x:v>ui-hq-0037</x:v>
      </x:c>
      <x:c r="G2623" s="5" t="str">
        <x:v>Moderation von Projektgruppen</x:v>
      </x:c>
      <x:c r="H2623" s="5" t="str">
        <x:v>dg-hq-0018</x:v>
      </x:c>
      <x:c r="I2623" s="5" t="str">
        <x:v>9.6.4</x:v>
      </x:c>
      <x:c r="J2623" s="5" t="str">
        <x:v>Projektabschluss durch Projektleitung</x:v>
      </x:c>
      <x:c r="K2623" s="5" t="str"/>
      <x:c r="L2623" s="5" t="str">
        <x:v>Gruppen, Teams &amp; Projektgruppen</x:v>
      </x:c>
      <x:c r="M2623" s="5" t="n">
        <x:v>21</x:v>
      </x:c>
      <x:c r="N2623" s="5" t="n">
        <x:v>1</x:v>
      </x:c>
      <x:c r="O2623" s="5" t="str"/>
      <x:c r="P2623" s="5" t="str">
        <x:v>Zuordnungsvorschlag; Fachfreigabe ausstehend</x:v>
      </x:c>
      <x:c r="Q2623" s="5" t="str">
        <x:v>Frageinhalt präzisiert bzw. teilt bisheriges Sammelthema</x:v>
      </x:c>
      <x:c r="R2623" s="5" t="str">
        <x:v>Welche Bestandteile gehören zu einem professionellen Projektabschluss und warum sind sie wichtig?</x:v>
      </x:c>
      <x:c r="S2623" s="5" t="str">
        <x:v>134577fc72b512bf5319d6a7638b3789ee47abb25710c28139c0f5fe94434b91</x:v>
      </x:c>
    </x:row>
    <x:row r="2624" ht="36" customHeight="1">
      <x:c r="A2624" s="5" t="str">
        <x:v>PF-0137</x:v>
      </x:c>
      <x:c r="B2624" s="5" t="str">
        <x:v>HQ</x:v>
      </x:c>
      <x:c r="C2624" s="5" t="str">
        <x:v>9</x:v>
      </x:c>
      <x:c r="D2624" s="5" t="str">
        <x:v>Führung und Zusammenarbeit</x:v>
      </x:c>
      <x:c r="E2624" s="5" t="str">
        <x:v>Führung und Zusammenarbeit</x:v>
      </x:c>
      <x:c r="F2624" s="5" t="str">
        <x:v>ui-hq-0037</x:v>
      </x:c>
      <x:c r="G2624" s="5" t="str">
        <x:v>Moderation von Projektgruppen</x:v>
      </x:c>
      <x:c r="H2624" s="5" t="str">
        <x:v>dg-hq-0018</x:v>
      </x:c>
      <x:c r="I2624" s="5" t="str">
        <x:v>9.6.4</x:v>
      </x:c>
      <x:c r="J2624" s="5" t="str">
        <x:v>Projektabschluss durch Projektleitung</x:v>
      </x:c>
      <x:c r="K2624" s="5" t="str"/>
      <x:c r="L2624" s="5" t="str">
        <x:v>Gruppen, Teams &amp; Projektgruppen</x:v>
      </x:c>
      <x:c r="M2624" s="5" t="n">
        <x:v>22</x:v>
      </x:c>
      <x:c r="N2624" s="5" t="n">
        <x:v>2</x:v>
      </x:c>
      <x:c r="O2624" s="5" t="str"/>
      <x:c r="P2624" s="5" t="str">
        <x:v>Zuordnungsvorschlag; Fachfreigabe ausstehend</x:v>
      </x:c>
      <x:c r="Q2624" s="5" t="str">
        <x:v>Frageinhalt präzisiert bzw. teilt bisheriges Sammelthema</x:v>
      </x:c>
      <x:c r="R2624" s="5" t="str">
        <x:v>Beurteilen Sie, welche Maßnahmen typischerweise zu einem geordneten Projektabschluss gehören.</x:v>
      </x:c>
      <x:c r="S2624" s="5" t="str">
        <x:v>db80dc459c47c1bffa1876aa636ba52a7ef4e4c315692942912d1d6507a0665a</x:v>
      </x:c>
    </x:row>
    <x:row r="2625" ht="36" customHeight="1">
      <x:c r="A2625" s="5" t="str">
        <x:v>PF-0138</x:v>
      </x:c>
      <x:c r="B2625" s="5" t="str">
        <x:v>HQ</x:v>
      </x:c>
      <x:c r="C2625" s="5" t="str">
        <x:v>9</x:v>
      </x:c>
      <x:c r="D2625" s="5" t="str">
        <x:v>Führung und Zusammenarbeit</x:v>
      </x:c>
      <x:c r="E2625" s="5" t="str">
        <x:v>Führung und Zusammenarbeit</x:v>
      </x:c>
      <x:c r="F2625" s="5" t="str">
        <x:v>ui-hq-0038</x:v>
      </x:c>
      <x:c r="G2625" s="5" t="str">
        <x:v>Präsentationstechniken</x:v>
      </x:c>
      <x:c r="H2625" s="5" t="str">
        <x:v>dg-hq-0019</x:v>
      </x:c>
      <x:c r="I2625" s="5" t="str">
        <x:v>9.7.3.1</x:v>
      </x:c>
      <x:c r="J2625" s="5" t="str">
        <x:v>Thema und Ziel der Präsentation</x:v>
      </x:c>
      <x:c r="K2625" s="5" t="str"/>
      <x:c r="L2625" s="5" t="str">
        <x:v>Präsentationstechniken</x:v>
      </x:c>
      <x:c r="M2625" s="5" t="n">
        <x:v>1</x:v>
      </x:c>
      <x:c r="N2625" s="5" t="n">
        <x:v>1</x:v>
      </x:c>
      <x:c r="O2625" s="5" t="str"/>
      <x:c r="P2625" s="5" t="str">
        <x:v>Zuordnungsvorschlag; Fachfreigabe ausstehend</x:v>
      </x:c>
      <x:c r="Q2625" s="5" t="str">
        <x:v>Bestehendes Lernthema fachlich unter passendem Rahmenplan-Unterbereich behalten</x:v>
      </x:c>
      <x:c r="R2625" s="5" t="str">
        <x:v>Entscheiden Sie, ob die Aussagen zu einer wirkungsvollen Präsentation richtig oder falsch sind.</x:v>
      </x:c>
      <x:c r="S2625" s="5" t="str">
        <x:v>24f4aa4272feed6f91c10403139f36893247f7860585a8fdf03e43e53d7631f4</x:v>
      </x:c>
    </x:row>
    <x:row r="2626" ht="36" customHeight="1">
      <x:c r="A2626" s="5" t="str">
        <x:v>PF-0139</x:v>
      </x:c>
      <x:c r="B2626" s="5" t="str">
        <x:v>HQ</x:v>
      </x:c>
      <x:c r="C2626" s="5" t="str">
        <x:v>9</x:v>
      </x:c>
      <x:c r="D2626" s="5" t="str">
        <x:v>Führung und Zusammenarbeit</x:v>
      </x:c>
      <x:c r="E2626" s="5" t="str">
        <x:v>Führung und Zusammenarbeit</x:v>
      </x:c>
      <x:c r="F2626" s="5" t="str">
        <x:v>ui-hq-0038</x:v>
      </x:c>
      <x:c r="G2626" s="5" t="str">
        <x:v>Präsentationstechniken</x:v>
      </x:c>
      <x:c r="H2626" s="5" t="str">
        <x:v>dg-hq-0019</x:v>
      </x:c>
      <x:c r="I2626" s="5" t="str">
        <x:v>9.7.3.1</x:v>
      </x:c>
      <x:c r="J2626" s="5" t="str">
        <x:v>Thema und Ziel der Präsentation</x:v>
      </x:c>
      <x:c r="K2626" s="5" t="str"/>
      <x:c r="L2626" s="5" t="str">
        <x:v>Präsentationstechniken</x:v>
      </x:c>
      <x:c r="M2626" s="5" t="n">
        <x:v>2</x:v>
      </x:c>
      <x:c r="N2626" s="5" t="n">
        <x:v>2</x:v>
      </x:c>
      <x:c r="O2626" s="5" t="str"/>
      <x:c r="P2626" s="5" t="str">
        <x:v>Zuordnungsvorschlag; Fachfreigabe ausstehend</x:v>
      </x:c>
      <x:c r="Q2626" s="5" t="str">
        <x:v>Bestehendes Lernthema fachlich unter passendem Rahmenplan-Unterbereich behalten</x:v>
      </x:c>
      <x:c r="R2626" s="5" t="str">
        <x:v>Fallbezug: Die folgenden betrieblichen Angaben und Situationen beziehen sich auf die Circle Harbor GmbH.
Eine fachlich richtige Präsentation überzeugt das Publikum trotzdem nicht. Welche möglichen Ursachen sollten bei einer Analyse betrachtet werden? Nennen Sie mindestens sechs.</x:v>
      </x:c>
      <x:c r="S2626" s="5" t="str">
        <x:v>e090970884e8c0992fa020a40586055041d31bfd85fde529fc80a6794edaeb8a</x:v>
      </x:c>
    </x:row>
    <x:row r="2627" ht="36" customHeight="1">
      <x:c r="A2627" s="5" t="str">
        <x:v>PF-0140</x:v>
      </x:c>
      <x:c r="B2627" s="5" t="str">
        <x:v>HQ</x:v>
      </x:c>
      <x:c r="C2627" s="5" t="str">
        <x:v>9</x:v>
      </x:c>
      <x:c r="D2627" s="5" t="str">
        <x:v>Führung und Zusammenarbeit</x:v>
      </x:c>
      <x:c r="E2627" s="5" t="str">
        <x:v>Führung und Zusammenarbeit</x:v>
      </x:c>
      <x:c r="F2627" s="5" t="str">
        <x:v>ui-hq-0038</x:v>
      </x:c>
      <x:c r="G2627" s="5" t="str">
        <x:v>Präsentationstechniken</x:v>
      </x:c>
      <x:c r="H2627" s="5" t="str">
        <x:v>dg-hq-0019</x:v>
      </x:c>
      <x:c r="I2627" s="5" t="str">
        <x:v>9.7.3.1</x:v>
      </x:c>
      <x:c r="J2627" s="5" t="str">
        <x:v>Thema und Ziel der Präsentation</x:v>
      </x:c>
      <x:c r="K2627" s="5" t="str"/>
      <x:c r="L2627" s="5" t="str">
        <x:v>Präsentationstechniken</x:v>
      </x:c>
      <x:c r="M2627" s="5" t="n">
        <x:v>3</x:v>
      </x:c>
      <x:c r="N2627" s="5" t="n">
        <x:v>3</x:v>
      </x:c>
      <x:c r="O2627" s="5" t="str"/>
      <x:c r="P2627" s="5" t="str">
        <x:v>Zuordnungsvorschlag; Fachfreigabe ausstehend</x:v>
      </x:c>
      <x:c r="Q2627" s="5" t="str">
        <x:v>Bestehendes Lernthema fachlich unter passendem Rahmenplan-Unterbereich behalten</x:v>
      </x:c>
      <x:c r="R2627" s="5" t="str">
        <x:v>Warum ist es sinnvoll, gesprochene Inhalte in Präsentationen durch geeignete visuelle und interaktive Elemente zu ergänzen?</x:v>
      </x:c>
      <x:c r="S2627" s="5" t="str">
        <x:v>c6957cc43e3aa1c800d80966e5d7638459132ababd48f0cbb26b156ff9658a71</x:v>
      </x:c>
    </x:row>
    <x:row r="2628" ht="36" customHeight="1">
      <x:c r="A2628" s="5" t="str">
        <x:v>PF-0141</x:v>
      </x:c>
      <x:c r="B2628" s="5" t="str">
        <x:v>HQ</x:v>
      </x:c>
      <x:c r="C2628" s="5" t="str">
        <x:v>9</x:v>
      </x:c>
      <x:c r="D2628" s="5" t="str">
        <x:v>Führung und Zusammenarbeit</x:v>
      </x:c>
      <x:c r="E2628" s="5" t="str">
        <x:v>Führung und Zusammenarbeit</x:v>
      </x:c>
      <x:c r="F2628" s="5" t="str">
        <x:v>ui-hq-0038</x:v>
      </x:c>
      <x:c r="G2628" s="5" t="str">
        <x:v>Präsentationstechniken</x:v>
      </x:c>
      <x:c r="H2628" s="5" t="str">
        <x:v>dg-hq-0019</x:v>
      </x:c>
      <x:c r="I2628" s="5" t="str">
        <x:v>9.7.3</x:v>
      </x:c>
      <x:c r="J2628" s="5" t="str">
        <x:v>Präsentation</x:v>
      </x:c>
      <x:c r="K2628" s="5" t="str"/>
      <x:c r="L2628" s="5" t="str">
        <x:v>Präsentationstechniken</x:v>
      </x:c>
      <x:c r="M2628" s="5" t="n">
        <x:v>4</x:v>
      </x:c>
      <x:c r="N2628" s="5" t="n">
        <x:v>4</x:v>
      </x:c>
      <x:c r="O2628" s="5" t="str"/>
      <x:c r="P2628" s="5" t="str">
        <x:v>Zuordnungsvorschlag; Fachfreigabe ausstehend</x:v>
      </x:c>
      <x:c r="Q2628" s="5" t="str">
        <x:v>Bestehendes Lernthema fachlich unter passendem Rahmenplan-Unterbereich behalten</x:v>
      </x:c>
      <x:c r="R2628" s="5" t="str">
        <x:v>Formulieren Sie aus mindestens vier eher konfrontativen oder negativen Leitfragen konstruktive Übergänge, mit denen eine präsentierende Person das Publikum zum Weiterdenken motiviert.</x:v>
      </x:c>
      <x:c r="S2628" s="5" t="str">
        <x:v>7748a55a72f9bf606dc6b4ae6f7f60c4834093911d86bbbcd977871bc7775888</x:v>
      </x:c>
    </x:row>
    <x:row r="2629" ht="36" customHeight="1">
      <x:c r="A2629" s="5" t="str">
        <x:v>PF-0142</x:v>
      </x:c>
      <x:c r="B2629" s="5" t="str">
        <x:v>HQ</x:v>
      </x:c>
      <x:c r="C2629" s="5" t="str">
        <x:v>9</x:v>
      </x:c>
      <x:c r="D2629" s="5" t="str">
        <x:v>Führung und Zusammenarbeit</x:v>
      </x:c>
      <x:c r="E2629" s="5" t="str">
        <x:v>Führung und Zusammenarbeit</x:v>
      </x:c>
      <x:c r="F2629" s="5" t="str">
        <x:v>ui-hq-0038</x:v>
      </x:c>
      <x:c r="G2629" s="5" t="str">
        <x:v>Präsentationstechniken</x:v>
      </x:c>
      <x:c r="H2629" s="5" t="str">
        <x:v>dg-hq-0019</x:v>
      </x:c>
      <x:c r="I2629" s="5" t="str">
        <x:v>9.7.3.1</x:v>
      </x:c>
      <x:c r="J2629" s="5" t="str">
        <x:v>Thema und Ziel der Präsentation</x:v>
      </x:c>
      <x:c r="K2629" s="5" t="str"/>
      <x:c r="L2629" s="5" t="str">
        <x:v>Präsentationstechniken</x:v>
      </x:c>
      <x:c r="M2629" s="5" t="n">
        <x:v>5</x:v>
      </x:c>
      <x:c r="N2629" s="5" t="n">
        <x:v>5</x:v>
      </x:c>
      <x:c r="O2629" s="5" t="str"/>
      <x:c r="P2629" s="5" t="str">
        <x:v>Zuordnungsvorschlag; Fachfreigabe ausstehend</x:v>
      </x:c>
      <x:c r="Q2629" s="5" t="str">
        <x:v>Bestehendes Lernthema fachlich unter passendem Rahmenplan-Unterbereich behalten</x:v>
      </x:c>
      <x:c r="R2629" s="5" t="str">
        <x:v>Vervollständigen Sie die SMART-Kriterien und erläutern Sie kurz, wie sie bei der Planung einer Präsentation angewendet werden.</x:v>
      </x:c>
      <x:c r="S2629" s="5" t="str">
        <x:v>c2ce3802379c27a2c570765f6563b265ed674c60e58b2f6cd41c9c14a5fa7057</x:v>
      </x:c>
    </x:row>
    <x:row r="2630" ht="36" customHeight="1">
      <x:c r="A2630" s="5" t="str">
        <x:v>PF-0143</x:v>
      </x:c>
      <x:c r="B2630" s="5" t="str">
        <x:v>HQ</x:v>
      </x:c>
      <x:c r="C2630" s="5" t="str">
        <x:v>9</x:v>
      </x:c>
      <x:c r="D2630" s="5" t="str">
        <x:v>Führung und Zusammenarbeit</x:v>
      </x:c>
      <x:c r="E2630" s="5" t="str">
        <x:v>Führung und Zusammenarbeit</x:v>
      </x:c>
      <x:c r="F2630" s="5" t="str">
        <x:v>ui-hq-0038</x:v>
      </x:c>
      <x:c r="G2630" s="5" t="str">
        <x:v>Präsentationstechniken</x:v>
      </x:c>
      <x:c r="H2630" s="5" t="str">
        <x:v>dg-hq-0019</x:v>
      </x:c>
      <x:c r="I2630" s="5" t="str">
        <x:v>9.7.3</x:v>
      </x:c>
      <x:c r="J2630" s="5" t="str">
        <x:v>Präsentation</x:v>
      </x:c>
      <x:c r="K2630" s="5" t="str"/>
      <x:c r="L2630" s="5" t="str">
        <x:v>Präsentationstechniken</x:v>
      </x:c>
      <x:c r="M2630" s="5" t="n">
        <x:v>6</x:v>
      </x:c>
      <x:c r="N2630" s="5" t="n">
        <x:v>6</x:v>
      </x:c>
      <x:c r="O2630" s="5" t="str"/>
      <x:c r="P2630" s="5" t="str">
        <x:v>Zuordnungsvorschlag; Fachfreigabe ausstehend</x:v>
      </x:c>
      <x:c r="Q2630" s="5" t="str">
        <x:v>Bestehendes Lernthema fachlich unter passendem Rahmenplan-Unterbereich behalten</x:v>
      </x:c>
      <x:c r="R2630" s="5" t="str">
        <x:v>Welche Informationen über das Publikum sollten vor einer Präsentation möglichst bekannt sein und welchen Nutzen hat eine Zielgruppenanalyse?</x:v>
      </x:c>
      <x:c r="S2630" s="5" t="str">
        <x:v>2906d8862b212a1a80e5528cfce0d1b83eec72de377d14af8da361791d5879db</x:v>
      </x:c>
    </x:row>
    <x:row r="2631" ht="36" customHeight="1">
      <x:c r="A2631" s="5" t="str">
        <x:v>PF-0144</x:v>
      </x:c>
      <x:c r="B2631" s="5" t="str">
        <x:v>HQ</x:v>
      </x:c>
      <x:c r="C2631" s="5" t="str">
        <x:v>9</x:v>
      </x:c>
      <x:c r="D2631" s="5" t="str">
        <x:v>Führung und Zusammenarbeit</x:v>
      </x:c>
      <x:c r="E2631" s="5" t="str">
        <x:v>Führung und Zusammenarbeit</x:v>
      </x:c>
      <x:c r="F2631" s="5" t="str">
        <x:v>ui-hq-0038</x:v>
      </x:c>
      <x:c r="G2631" s="5" t="str">
        <x:v>Präsentationstechniken</x:v>
      </x:c>
      <x:c r="H2631" s="5" t="str">
        <x:v>dg-hq-0019</x:v>
      </x:c>
      <x:c r="I2631" s="5" t="str">
        <x:v>9.7.3</x:v>
      </x:c>
      <x:c r="J2631" s="5" t="str">
        <x:v>Präsentation</x:v>
      </x:c>
      <x:c r="K2631" s="5" t="str"/>
      <x:c r="L2631" s="5" t="str">
        <x:v>Präsentationstechniken</x:v>
      </x:c>
      <x:c r="M2631" s="5" t="n">
        <x:v>7</x:v>
      </x:c>
      <x:c r="N2631" s="5" t="n">
        <x:v>7</x:v>
      </x:c>
      <x:c r="O2631" s="5" t="str"/>
      <x:c r="P2631" s="5" t="str">
        <x:v>Zuordnungsvorschlag; Fachfreigabe ausstehend</x:v>
      </x:c>
      <x:c r="Q2631" s="5" t="str">
        <x:v>Bestehendes Lernthema fachlich unter passendem Rahmenplan-Unterbereich behalten</x:v>
      </x:c>
      <x:c r="R2631" s="5" t="str">
        <x:v>Ordnen Sie die Leitfragen der jeweils naheliegenden Zielgruppe beziehungsweise Präsentationssituation zu.</x:v>
      </x:c>
      <x:c r="S2631" s="5" t="str">
        <x:v>275fe02135692113f0c8a917d41e848869e49ae2aa157e52841a854c071be44f</x:v>
      </x:c>
    </x:row>
    <x:row r="2632" ht="36" customHeight="1">
      <x:c r="A2632" s="5" t="str">
        <x:v>PF-0145</x:v>
      </x:c>
      <x:c r="B2632" s="5" t="str">
        <x:v>HQ</x:v>
      </x:c>
      <x:c r="C2632" s="5" t="str">
        <x:v>9</x:v>
      </x:c>
      <x:c r="D2632" s="5" t="str">
        <x:v>Führung und Zusammenarbeit</x:v>
      </x:c>
      <x:c r="E2632" s="5" t="str">
        <x:v>Führung und Zusammenarbeit</x:v>
      </x:c>
      <x:c r="F2632" s="5" t="str">
        <x:v>ui-hq-0038</x:v>
      </x:c>
      <x:c r="G2632" s="5" t="str">
        <x:v>Präsentationstechniken</x:v>
      </x:c>
      <x:c r="H2632" s="5" t="str">
        <x:v>dg-hq-0019</x:v>
      </x:c>
      <x:c r="I2632" s="5" t="str">
        <x:v>9.7.3.2</x:v>
      </x:c>
      <x:c r="J2632" s="5" t="str">
        <x:v>Zielgruppe und deren Zusammensetzung</x:v>
      </x:c>
      <x:c r="K2632" s="5" t="str"/>
      <x:c r="L2632" s="5" t="str">
        <x:v>Präsentationstechniken</x:v>
      </x:c>
      <x:c r="M2632" s="5" t="n">
        <x:v>8</x:v>
      </x:c>
      <x:c r="N2632" s="5" t="n">
        <x:v>8</x:v>
      </x:c>
      <x:c r="O2632" s="5" t="str"/>
      <x:c r="P2632" s="5" t="str">
        <x:v>Zuordnungsvorschlag; Fachfreigabe ausstehend</x:v>
      </x:c>
      <x:c r="Q2632" s="5" t="str">
        <x:v>Bestehendes Lernthema fachlich unter passendem Rahmenplan-Unterbereich behalten</x:v>
      </x:c>
      <x:c r="R2632" s="5" t="str">
        <x:v>Vervollständigen Sie die vier Merkmale des Hamburger Verständlichkeitsmodells und erläutern Sie deren Bedeutung für Präsentationen.</x:v>
      </x:c>
      <x:c r="S2632" s="5" t="str">
        <x:v>3896bf97c83411f7c55af5934d53d4406c1bb0c58a96f25a4ec04826a4e763be</x:v>
      </x:c>
    </x:row>
    <x:row r="2633" ht="36" customHeight="1">
      <x:c r="A2633" s="5" t="str">
        <x:v>PF-0146</x:v>
      </x:c>
      <x:c r="B2633" s="5" t="str">
        <x:v>HQ</x:v>
      </x:c>
      <x:c r="C2633" s="5" t="str">
        <x:v>9</x:v>
      </x:c>
      <x:c r="D2633" s="5" t="str">
        <x:v>Führung und Zusammenarbeit</x:v>
      </x:c>
      <x:c r="E2633" s="5" t="str">
        <x:v>Führung und Zusammenarbeit</x:v>
      </x:c>
      <x:c r="F2633" s="5" t="str">
        <x:v>ui-hq-0038</x:v>
      </x:c>
      <x:c r="G2633" s="5" t="str">
        <x:v>Präsentationstechniken</x:v>
      </x:c>
      <x:c r="H2633" s="5" t="str">
        <x:v>dg-hq-0019</x:v>
      </x:c>
      <x:c r="I2633" s="5" t="str">
        <x:v>9.7.3</x:v>
      </x:c>
      <x:c r="J2633" s="5" t="str">
        <x:v>Präsentation</x:v>
      </x:c>
      <x:c r="K2633" s="5" t="str"/>
      <x:c r="L2633" s="5" t="str">
        <x:v>Präsentationstechniken</x:v>
      </x:c>
      <x:c r="M2633" s="5" t="n">
        <x:v>9</x:v>
      </x:c>
      <x:c r="N2633" s="5" t="n">
        <x:v>9</x:v>
      </x:c>
      <x:c r="O2633" s="5" t="str"/>
      <x:c r="P2633" s="5" t="str">
        <x:v>Zuordnungsvorschlag; Fachfreigabe ausstehend</x:v>
      </x:c>
      <x:c r="Q2633" s="5" t="str">
        <x:v>Bestehendes Lernthema fachlich unter passendem Rahmenplan-Unterbereich behalten</x:v>
      </x:c>
      <x:c r="R2633" s="5" t="str">
        <x:v>Ordnen Sie die Formeln ihrem typischen Einsatzbereich zu.</x:v>
      </x:c>
      <x:c r="S2633" s="5" t="str">
        <x:v>f3f57ceeacec2fe2ce4d8582dc2a80dd0f9b5c9bd5e5084a8d8699d053f62590</x:v>
      </x:c>
    </x:row>
    <x:row r="2634" ht="36" customHeight="1">
      <x:c r="A2634" s="5" t="str">
        <x:v>PF-0147</x:v>
      </x:c>
      <x:c r="B2634" s="5" t="str">
        <x:v>HQ</x:v>
      </x:c>
      <x:c r="C2634" s="5" t="str">
        <x:v>9</x:v>
      </x:c>
      <x:c r="D2634" s="5" t="str">
        <x:v>Führung und Zusammenarbeit</x:v>
      </x:c>
      <x:c r="E2634" s="5" t="str">
        <x:v>Führung und Zusammenarbeit</x:v>
      </x:c>
      <x:c r="F2634" s="5" t="str">
        <x:v>ui-hq-0038</x:v>
      </x:c>
      <x:c r="G2634" s="5" t="str">
        <x:v>Präsentationstechniken</x:v>
      </x:c>
      <x:c r="H2634" s="5" t="str">
        <x:v>dg-hq-0019</x:v>
      </x:c>
      <x:c r="I2634" s="5" t="str">
        <x:v>9.7.3.1</x:v>
      </x:c>
      <x:c r="J2634" s="5" t="str">
        <x:v>Thema und Ziel der Präsentation</x:v>
      </x:c>
      <x:c r="K2634" s="5" t="str"/>
      <x:c r="L2634" s="5" t="str">
        <x:v>Präsentationstechniken</x:v>
      </x:c>
      <x:c r="M2634" s="5" t="n">
        <x:v>10</x:v>
      </x:c>
      <x:c r="N2634" s="5" t="n">
        <x:v>10</x:v>
      </x:c>
      <x:c r="O2634" s="5" t="str"/>
      <x:c r="P2634" s="5" t="str">
        <x:v>Zuordnungsvorschlag; Fachfreigabe ausstehend</x:v>
      </x:c>
      <x:c r="Q2634" s="5" t="str">
        <x:v>Bestehendes Lernthema fachlich unter passendem Rahmenplan-Unterbereich behalten</x:v>
      </x:c>
      <x:c r="R2634" s="5" t="str">
        <x:v>Welche Funktionen hat Visualisierung in einer Präsentation und welche Grundsätze sollten bei der Auswahl der Medien beachtet werden?</x:v>
      </x:c>
      <x:c r="S2634" s="5" t="str">
        <x:v>b4d67d0826f62ccfd61e67069c421b6ac01108a29b6cce534979cb6d03b6a4fe</x:v>
      </x:c>
    </x:row>
    <x:row r="2635" ht="36" customHeight="1">
      <x:c r="A2635" s="5" t="str">
        <x:v>PF-0148</x:v>
      </x:c>
      <x:c r="B2635" s="5" t="str">
        <x:v>HQ</x:v>
      </x:c>
      <x:c r="C2635" s="5" t="str">
        <x:v>9</x:v>
      </x:c>
      <x:c r="D2635" s="5" t="str">
        <x:v>Führung und Zusammenarbeit</x:v>
      </x:c>
      <x:c r="E2635" s="5" t="str">
        <x:v>Führung und Zusammenarbeit</x:v>
      </x:c>
      <x:c r="F2635" s="5" t="str">
        <x:v>ui-hq-0038</x:v>
      </x:c>
      <x:c r="G2635" s="5" t="str">
        <x:v>Präsentationstechniken</x:v>
      </x:c>
      <x:c r="H2635" s="5" t="str">
        <x:v>dg-hq-0019</x:v>
      </x:c>
      <x:c r="I2635" s="5" t="str">
        <x:v>9.7.3.4</x:v>
      </x:c>
      <x:c r="J2635" s="5" t="str">
        <x:v>Organisatorische Vorbereitung</x:v>
      </x:c>
      <x:c r="K2635" s="5" t="str"/>
      <x:c r="L2635" s="5" t="str">
        <x:v>Präsentationstechniken</x:v>
      </x:c>
      <x:c r="M2635" s="5" t="n">
        <x:v>11</x:v>
      </x:c>
      <x:c r="N2635" s="5" t="n">
        <x:v>11</x:v>
      </x:c>
      <x:c r="O2635" s="5" t="str"/>
      <x:c r="P2635" s="5" t="str">
        <x:v>Zuordnungsvorschlag; Fachfreigabe ausstehend</x:v>
      </x:c>
      <x:c r="Q2635" s="5" t="str">
        <x:v>Bestehendes Lernthema fachlich unter passendem Rahmenplan-Unterbereich behalten</x:v>
      </x:c>
      <x:c r="R2635" s="5" t="str">
        <x:v>Entscheiden Sie, ob die Aussagen zur organisatorischen Vorbereitung einer Präsentation richtig oder falsch sind.</x:v>
      </x:c>
      <x:c r="S2635" s="5" t="str">
        <x:v>1bb85acf4d0376e5dc24bb8bbb46cebd3a60ebdf1de0dae4975ccff39bcd4cae</x:v>
      </x:c>
    </x:row>
    <x:row r="2636" ht="36" customHeight="1">
      <x:c r="A2636" s="5" t="str">
        <x:v>PF-0149</x:v>
      </x:c>
      <x:c r="B2636" s="5" t="str">
        <x:v>HQ</x:v>
      </x:c>
      <x:c r="C2636" s="5" t="str">
        <x:v>9</x:v>
      </x:c>
      <x:c r="D2636" s="5" t="str">
        <x:v>Führung und Zusammenarbeit</x:v>
      </x:c>
      <x:c r="E2636" s="5" t="str">
        <x:v>Führung und Zusammenarbeit</x:v>
      </x:c>
      <x:c r="F2636" s="5" t="str">
        <x:v>ui-hq-0038</x:v>
      </x:c>
      <x:c r="G2636" s="5" t="str">
        <x:v>Präsentationstechniken</x:v>
      </x:c>
      <x:c r="H2636" s="5" t="str">
        <x:v>dg-hq-0019</x:v>
      </x:c>
      <x:c r="I2636" s="5" t="str">
        <x:v>9.7.3.1</x:v>
      </x:c>
      <x:c r="J2636" s="5" t="str">
        <x:v>Thema und Ziel der Präsentation</x:v>
      </x:c>
      <x:c r="K2636" s="5" t="str"/>
      <x:c r="L2636" s="5" t="str">
        <x:v>Präsentationstechniken</x:v>
      </x:c>
      <x:c r="M2636" s="5" t="n">
        <x:v>12</x:v>
      </x:c>
      <x:c r="N2636" s="5" t="n">
        <x:v>12</x:v>
      </x:c>
      <x:c r="O2636" s="5" t="str"/>
      <x:c r="P2636" s="5" t="str">
        <x:v>Zuordnungsvorschlag; Fachfreigabe ausstehend</x:v>
      </x:c>
      <x:c r="Q2636" s="5" t="str">
        <x:v>Bestehendes Lernthema fachlich unter passendem Rahmenplan-Unterbereich behalten</x:v>
      </x:c>
      <x:c r="R2636" s="5" t="str">
        <x:v>Vervollständigen Sie die Grundstruktur einer Präsentation und nennen Sie je Teil typische Elemente.</x:v>
      </x:c>
      <x:c r="S2636" s="5" t="str">
        <x:v>fd472390b5c6a5608177706d0c95db5ac393b42175bcdd854764fd024af6d232</x:v>
      </x:c>
    </x:row>
    <x:row r="2637" ht="36" customHeight="1">
      <x:c r="A2637" s="5" t="str">
        <x:v>PF-0150</x:v>
      </x:c>
      <x:c r="B2637" s="5" t="str">
        <x:v>HQ</x:v>
      </x:c>
      <x:c r="C2637" s="5" t="str">
        <x:v>9</x:v>
      </x:c>
      <x:c r="D2637" s="5" t="str">
        <x:v>Führung und Zusammenarbeit</x:v>
      </x:c>
      <x:c r="E2637" s="5" t="str">
        <x:v>Führung und Zusammenarbeit</x:v>
      </x:c>
      <x:c r="F2637" s="5" t="str">
        <x:v>ui-hq-0038</x:v>
      </x:c>
      <x:c r="G2637" s="5" t="str">
        <x:v>Präsentationstechniken</x:v>
      </x:c>
      <x:c r="H2637" s="5" t="str">
        <x:v>dg-hq-0019</x:v>
      </x:c>
      <x:c r="I2637" s="5" t="str">
        <x:v>9.7.3</x:v>
      </x:c>
      <x:c r="J2637" s="5" t="str">
        <x:v>Präsentation</x:v>
      </x:c>
      <x:c r="K2637" s="5" t="str"/>
      <x:c r="L2637" s="5" t="str">
        <x:v>Präsentationstechniken</x:v>
      </x:c>
      <x:c r="M2637" s="5" t="n">
        <x:v>13</x:v>
      </x:c>
      <x:c r="N2637" s="5" t="n">
        <x:v>13</x:v>
      </x:c>
      <x:c r="O2637" s="5" t="str"/>
      <x:c r="P2637" s="5" t="str">
        <x:v>Zuordnungsvorschlag; Fachfreigabe ausstehend</x:v>
      </x:c>
      <x:c r="Q2637" s="5" t="str">
        <x:v>Bestehendes Lernthema fachlich unter passendem Rahmenplan-Unterbereich behalten</x:v>
      </x:c>
      <x:c r="R2637" s="5" t="str">
        <x:v>Wie sollte eine präsentierende Person konstruktiv mit Zwischenrufen, Rückfragen und störenden Bemerkungen umgehen?</x:v>
      </x:c>
      <x:c r="S2637" s="5" t="str">
        <x:v>ca00548afb0641c42dd22b6c66c9666f828782ebf585b6d9cf4e65aba49854b9</x:v>
      </x:c>
    </x:row>
    <x:row r="2638" ht="36" customHeight="1">
      <x:c r="A2638" s="5" t="str">
        <x:v>PF-0151</x:v>
      </x:c>
      <x:c r="B2638" s="5" t="str">
        <x:v>HQ</x:v>
      </x:c>
      <x:c r="C2638" s="5" t="str">
        <x:v>9</x:v>
      </x:c>
      <x:c r="D2638" s="5" t="str">
        <x:v>Führung und Zusammenarbeit</x:v>
      </x:c>
      <x:c r="E2638" s="5" t="str">
        <x:v>Führung und Zusammenarbeit</x:v>
      </x:c>
      <x:c r="F2638" s="5" t="str">
        <x:v>ui-hq-0038</x:v>
      </x:c>
      <x:c r="G2638" s="5" t="str">
        <x:v>Präsentationstechniken</x:v>
      </x:c>
      <x:c r="H2638" s="5" t="str">
        <x:v>dg-hq-0019</x:v>
      </x:c>
      <x:c r="I2638" s="5" t="str">
        <x:v>9.7.3.1</x:v>
      </x:c>
      <x:c r="J2638" s="5" t="str">
        <x:v>Thema und Ziel der Präsentation</x:v>
      </x:c>
      <x:c r="K2638" s="5" t="str"/>
      <x:c r="L2638" s="5" t="str">
        <x:v>Präsentationstechniken</x:v>
      </x:c>
      <x:c r="M2638" s="5" t="n">
        <x:v>14</x:v>
      </x:c>
      <x:c r="N2638" s="5" t="n">
        <x:v>14</x:v>
      </x:c>
      <x:c r="O2638" s="5" t="str"/>
      <x:c r="P2638" s="5" t="str">
        <x:v>Zuordnungsvorschlag; Fachfreigabe ausstehend</x:v>
      </x:c>
      <x:c r="Q2638" s="5" t="str">
        <x:v>Bestehendes Lernthema fachlich unter passendem Rahmenplan-Unterbereich behalten</x:v>
      </x:c>
      <x:c r="R2638" s="5" t="str">
        <x:v>Welche Maßnahmen gehören zu einer sinnvollen Nachbereitung einer Präsentation?</x:v>
      </x:c>
      <x:c r="S2638" s="5" t="str">
        <x:v>fa7e8805cd5e43245b62277a55eb10e972c69dd98449314685d824cbb68f1344</x:v>
      </x:c>
    </x:row>
    <x:row r="2639" ht="36" customHeight="1">
      <x:c r="A2639" s="5" t="str">
        <x:v>PF-0152</x:v>
      </x:c>
      <x:c r="B2639" s="5" t="str">
        <x:v>HQ</x:v>
      </x:c>
      <x:c r="C2639" s="5" t="str">
        <x:v>9</x:v>
      </x:c>
      <x:c r="D2639" s="5" t="str">
        <x:v>Führung und Zusammenarbeit</x:v>
      </x:c>
      <x:c r="E2639" s="5" t="str">
        <x:v>Führung und Zusammenarbeit</x:v>
      </x:c>
      <x:c r="F2639" s="5" t="str">
        <x:v>ui-hq-0032</x:v>
      </x:c>
      <x:c r="G2639" s="5" t="str">
        <x:v>Zusammenarbeit, Kommunikation und Kooperation</x:v>
      </x:c>
      <x:c r="H2639" s="5" t="str">
        <x:v>dg-hq-0004</x:v>
      </x:c>
      <x:c r="I2639" s="5" t="str">
        <x:v>9.1.1</x:v>
      </x:c>
      <x:c r="J2639" s="5" t="str">
        <x:v>Zusammenhang Persönlichkeit und beruflicher Entwicklung</x:v>
      </x:c>
      <x:c r="K2639" s="5" t="str"/>
      <x:c r="L2639" s="5" t="str">
        <x:v>Persönlichkeit, Sozialverhalten &amp; Vielfalt</x:v>
      </x:c>
      <x:c r="M2639" s="5" t="n">
        <x:v>56</x:v>
      </x:c>
      <x:c r="N2639" s="5" t="n">
        <x:v>11</x:v>
      </x:c>
      <x:c r="O2639" s="5" t="str"/>
      <x:c r="P2639" s="5" t="str">
        <x:v>Zuordnungsvorschlag; Fachfreigabe ausstehend</x:v>
      </x:c>
      <x:c r="Q2639" s="5" t="str">
        <x:v>Bestehendes Lernthema fachlich unter passendem Rahmenplan-Unterbereich behalten</x:v>
      </x:c>
      <x:c r="R2639" s="5" t="str">
        <x:v>Circle Harbor möchte seine Belegschaft gezielt vielfältiger zusammensetzen und dabei Beschäftigte unterschiedlicher Altersgruppen, kultureller Hintergründe sowie Menschen mit Behinderungen stärker einbeziehen. Erläutern Sie drei konkrete betriebliche Nutzenpotenziale dieser Vielfalt und nennen Sie jeweils eine Voraussetzung, damit der jeweilige Nutzen tatsächlich entstehen kann.</x:v>
      </x:c>
      <x:c r="S2639" s="5" t="str">
        <x:v>7979b035c38e41a946d96e08440dce862f191cb4608cca17a25e839e79a620e3</x:v>
      </x:c>
    </x:row>
    <x:row r="2640" ht="36" customHeight="1">
      <x:c r="A2640" s="5" t="str">
        <x:v>PF-0153</x:v>
      </x:c>
      <x:c r="B2640" s="5" t="str">
        <x:v>HQ</x:v>
      </x:c>
      <x:c r="C2640" s="5" t="str">
        <x:v>9</x:v>
      </x:c>
      <x:c r="D2640" s="5" t="str">
        <x:v>Führung und Zusammenarbeit</x:v>
      </x:c>
      <x:c r="E2640" s="5" t="str">
        <x:v>Führung und Zusammenarbeit</x:v>
      </x:c>
      <x:c r="F2640" s="5" t="str">
        <x:v>ui-hq-0033</x:v>
      </x:c>
      <x:c r="G2640" s="5" t="str">
        <x:v>Mitarbeitergespräche</x:v>
      </x:c>
      <x:c r="H2640" s="5" t="str">
        <x:v>dg-hq-0002</x:v>
      </x:c>
      <x:c r="I2640" s="5" t="str">
        <x:v>9.2.2.4</x:v>
      </x:c>
      <x:c r="J2640" s="5" t="str">
        <x:v>Beurteilungsfehler</x:v>
      </x:c>
      <x:c r="K2640" s="5" t="str"/>
      <x:c r="L2640" s="5" t="str">
        <x:v>Mitarbeitergespräche &amp; Beurteilung</x:v>
      </x:c>
      <x:c r="M2640" s="5" t="n">
        <x:v>23</x:v>
      </x:c>
      <x:c r="N2640" s="5" t="n">
        <x:v>19</x:v>
      </x:c>
      <x:c r="O2640" s="5" t="str"/>
      <x:c r="P2640" s="5" t="str">
        <x:v>Zuordnungsvorschlag; Fachfreigabe ausstehend</x:v>
      </x:c>
      <x:c r="Q2640" s="5" t="str">
        <x:v>Bestehendes Lernthema fachlich unter passendem Rahmenplan-Unterbereich behalten</x:v>
      </x:c>
      <x:c r="R2640" s="5" t="str">
        <x:v>Circle Harbor möchte Mitarbeiterbeurteilungen stärker standardisieren. Die Führungskräfte sollen ihre Bewertungen auf dokumentierte Beobachtungen stützen. Erläutern Sie vier typische Beobachtungs- oder Beurteilungsfehler, die das Ergebnis verzerren können, und nennen Sie zwei organisatorische Maßnahmen, mit denen solche Fehler reduziert werden.</x:v>
      </x:c>
      <x:c r="S2640" s="5" t="str">
        <x:v>1cb69595d9764dc07490dd7b0c38eeeb009c27b0314c2fb70120f90504c417a7</x:v>
      </x:c>
    </x:row>
    <x:row r="2641" ht="36" customHeight="1">
      <x:c r="A2641" s="5" t="str">
        <x:v>PF-0154</x:v>
      </x:c>
      <x:c r="B2641" s="5" t="str">
        <x:v>HQ</x:v>
      </x:c>
      <x:c r="C2641" s="5" t="str">
        <x:v>9</x:v>
      </x:c>
      <x:c r="D2641" s="5" t="str">
        <x:v>Führung und Zusammenarbeit</x:v>
      </x:c>
      <x:c r="E2641" s="5" t="str">
        <x:v>Führung und Zusammenarbeit</x:v>
      </x:c>
      <x:c r="F2641" s="5" t="str">
        <x:v>ui-hq-0034</x:v>
      </x:c>
      <x:c r="G2641" s="5" t="str">
        <x:v>Konfliktmanagement</x:v>
      </x:c>
      <x:c r="H2641" s="5" t="str">
        <x:v>dg-hq-0005</x:v>
      </x:c>
      <x:c r="I2641" s="5" t="str">
        <x:v>9.3.3</x:v>
      </x:c>
      <x:c r="J2641" s="5" t="str">
        <x:v>Maßnahmen im Umgang mit Konflikten</x:v>
      </x:c>
      <x:c r="K2641" s="5" t="str"/>
      <x:c r="L2641" s="5" t="str">
        <x:v>Konfliktmanagement &amp; Veränderungswiderstände</x:v>
      </x:c>
      <x:c r="M2641" s="5" t="n">
        <x:v>15</x:v>
      </x:c>
      <x:c r="N2641" s="5" t="n">
        <x:v>15</x:v>
      </x:c>
      <x:c r="O2641" s="5" t="str"/>
      <x:c r="P2641" s="5" t="str">
        <x:v>Zuordnungsvorschlag; Fachfreigabe ausstehend</x:v>
      </x:c>
      <x:c r="Q2641" s="5" t="str">
        <x:v>Bestehendes Lernthema fachlich unter passendem Rahmenplan-Unterbereich behalten</x:v>
      </x:c>
      <x:c r="R2641" s="5" t="str">
        <x:v>Fallbezug: Die folgenden betrieblichen Angaben und Situationen beziehen sich auf die Circle Harbor GmbH.
Zwei Bereichsleitungen geraten regelmäßig aneinander. Beide beanspruchen einen großen Teil eines begrenzten Investitionsbudgets für ihren Bereich. Zusätzlich ist unklar, wer bei bereichsübergreifenden Projekten die endgültige Entscheidung treffen darf. Ordnen Sie der Situation zwei passende Konfliktarten zu und entwickeln Sie für jede Konfliktursache eine konkrete Lösungsmaßnahme.</x:v>
      </x:c>
      <x:c r="S2641" s="5" t="str">
        <x:v>4b8887e29bda0e7b91bad877b199ff247e6ec1457e7160fd9d79713ff2c850f4</x:v>
      </x:c>
    </x:row>
    <x:row r="2642" ht="36" customHeight="1">
      <x:c r="A2642" s="5" t="str">
        <x:v>PF-0155</x:v>
      </x:c>
      <x:c r="B2642" s="5" t="str">
        <x:v>HQ</x:v>
      </x:c>
      <x:c r="C2642" s="5" t="str">
        <x:v>9</x:v>
      </x:c>
      <x:c r="D2642" s="5" t="str">
        <x:v>Führung und Zusammenarbeit</x:v>
      </x:c>
      <x:c r="E2642" s="5" t="str">
        <x:v>Führung und Zusammenarbeit</x:v>
      </x:c>
      <x:c r="F2642" s="5" t="str">
        <x:v>ui-hq-0035</x:v>
      </x:c>
      <x:c r="G2642" s="5" t="str">
        <x:v>Mitarbeiterförderung</x:v>
      </x:c>
      <x:c r="H2642" s="5" t="str">
        <x:v>dg-hq-0006</x:v>
      </x:c>
      <x:c r="I2642" s="5" t="str">
        <x:v>9.4.1</x:v>
      </x:c>
      <x:c r="J2642" s="5" t="str">
        <x:v>Personalentwicklung als Mittel der Steuerung und Förderung der personellen Ressourcen</x:v>
      </x:c>
      <x:c r="K2642" s="5" t="str"/>
      <x:c r="L2642" s="5" t="str">
        <x:v>Mitarbeiterförderung &amp; Personalentwicklung</x:v>
      </x:c>
      <x:c r="M2642" s="5" t="n">
        <x:v>7</x:v>
      </x:c>
      <x:c r="N2642" s="5" t="n">
        <x:v>7</x:v>
      </x:c>
      <x:c r="O2642" s="5" t="str"/>
      <x:c r="P2642" s="5" t="str">
        <x:v>Zuordnungsvorschlag; Fachfreigabe ausstehend</x:v>
      </x:c>
      <x:c r="Q2642" s="5" t="str">
        <x:v>Bestehendes Lernthema fachlich unter passendem Rahmenplan-Unterbereich behalten</x:v>
      </x:c>
      <x:c r="R2642" s="5" t="str">
        <x:v>Fallbezug: Die folgenden betrieblichen Angaben und Situationen beziehen sich auf die Circle Harbor GmbH.
Für eine zukünftige Teamleitungsfunktion soll das Entwicklungspotenzial mehrerer Beschäftigter eingeschätzt werden. Entwickeln Sie je eine praxisnahe Aufgabe zur Beurteilung von Organisationsfähigkeit, Sozialverhalten und fachlicher Qualifikation und begründen Sie kurz, warum die jeweilige Aufgabe für den Kompetenzbereich geeignet ist.</x:v>
      </x:c>
      <x:c r="S2642" s="5" t="str">
        <x:v>f8b17876fe7633dfd06214dccbb4822027dc18bdc3a54cc07d109251fbbda7b8</x:v>
      </x:c>
    </x:row>
    <x:row r="2643" ht="36" customHeight="1">
      <x:c r="A2643" s="5" t="str">
        <x:v>PF-0156</x:v>
      </x:c>
      <x:c r="B2643" s="5" t="str">
        <x:v>HQ</x:v>
      </x:c>
      <x:c r="C2643" s="5" t="str">
        <x:v>9</x:v>
      </x:c>
      <x:c r="D2643" s="5" t="str">
        <x:v>Führung und Zusammenarbeit</x:v>
      </x:c>
      <x:c r="E2643" s="5" t="str">
        <x:v>Führung und Zusammenarbeit</x:v>
      </x:c>
      <x:c r="F2643" s="5" t="str">
        <x:v>ui-hq-0036</x:v>
      </x:c>
      <x:c r="G2643" s="5" t="str">
        <x:v>Ausbildung</x:v>
      </x:c>
      <x:c r="H2643" s="5" t="str">
        <x:v>dg-hq-0011</x:v>
      </x:c>
      <x:c r="I2643" s="5" t="str">
        <x:v>9.5.8</x:v>
      </x:c>
      <x:c r="J2643" s="5" t="str">
        <x:v>Unterweisung</x:v>
      </x:c>
      <x:c r="K2643" s="5" t="str"/>
      <x:c r="L2643" s="5" t="str">
        <x:v>Berufsausbildung</x:v>
      </x:c>
      <x:c r="M2643" s="5" t="n">
        <x:v>19</x:v>
      </x:c>
      <x:c r="N2643" s="5" t="n">
        <x:v>5</x:v>
      </x:c>
      <x:c r="O2643" s="5" t="str"/>
      <x:c r="P2643" s="5" t="str">
        <x:v>Zuordnungsvorschlag; Fachfreigabe ausstehend</x:v>
      </x:c>
      <x:c r="Q2643" s="5" t="str">
        <x:v>Gezielt geprüfter Einzelbeleg</x:v>
      </x:c>
      <x:c r="R2643" s="5" t="str">
        <x:v>Fallbezug: Die folgenden betrieblichen Angaben und Situationen beziehen sich auf die Circle Harbor GmbH.
Eine Auszubildende soll künftig selbstständig ein vollständiges Kundenangebot nach den betrieblichen Vorgaben erstellen. Formulieren Sie ein geeignetes Feinlernziel sowie je ein kognitives, psychomotorisches und affektives Teilziel. Wählen Sie anschließend eine passende Ausbildungsmethode, begründen Sie Ihre Wahl mit drei Argumenten und nennen Sie zwei Möglichkeiten der Erfolgskontrolle.</x:v>
      </x:c>
      <x:c r="S2643" s="5" t="str">
        <x:v>1ca4336793711406005d146e93482b971740922513adca2d543c8c19251a700b</x:v>
      </x:c>
    </x:row>
    <x:row r="2644" ht="36" customHeight="1">
      <x:c r="A2644" s="5" t="str">
        <x:v>PF-0157</x:v>
      </x:c>
      <x:c r="B2644" s="5" t="str">
        <x:v>HQ</x:v>
      </x:c>
      <x:c r="C2644" s="5" t="str">
        <x:v>9</x:v>
      </x:c>
      <x:c r="D2644" s="5" t="str">
        <x:v>Führung und Zusammenarbeit</x:v>
      </x:c>
      <x:c r="E2644" s="5" t="str">
        <x:v>Führung und Zusammenarbeit</x:v>
      </x:c>
      <x:c r="F2644" s="5" t="str">
        <x:v>ui-hq-0037</x:v>
      </x:c>
      <x:c r="G2644" s="5" t="str">
        <x:v>Moderation von Projektgruppen</x:v>
      </x:c>
      <x:c r="H2644" s="5" t="str">
        <x:v>dg-hq-0017</x:v>
      </x:c>
      <x:c r="I2644" s="5" t="str">
        <x:v>9.6.2.1</x:v>
      </x:c>
      <x:c r="J2644" s="5" t="str">
        <x:v>Moderation als Methode der aktiven Beteiligung und einer entsprechenden Zielorientierung</x:v>
      </x:c>
      <x:c r="K2644" s="5" t="str"/>
      <x:c r="L2644" s="5" t="str">
        <x:v>Moderation &amp; Kreativitätstechniken</x:v>
      </x:c>
      <x:c r="M2644" s="5" t="n">
        <x:v>23</x:v>
      </x:c>
      <x:c r="N2644" s="5" t="n">
        <x:v>15</x:v>
      </x:c>
      <x:c r="O2644" s="5" t="str"/>
      <x:c r="P2644" s="5" t="str">
        <x:v>Zuordnungsvorschlag; Fachfreigabe ausstehend</x:v>
      </x:c>
      <x:c r="Q2644" s="5" t="str">
        <x:v>Bestehendes Lernthema fachlich unter passendem Rahmenplan-Unterbereich behalten</x:v>
      </x:c>
      <x:c r="R2644" s="5" t="str">
        <x:v>Fallbezug: Die folgenden betrieblichen Angaben und Situationen beziehen sich auf die Circle Harbor GmbH.
In einem Workshop sollen neue Ideen zur Gewinnung von Auszubildenden entwickelt werden. Klassisches Brainstorming wurde in früheren Sitzungen von wenigen sehr aktiven Personen dominiert. Nennen und erläutern Sie drei alternative Kreativitätstechniken, wählen Sie eine für diesen Workshop aus und begründen Sie Ihre Wahl. Nennen Sie außerdem zwei persönliche Vorbereitungspunkte für die moderierende Person.</x:v>
      </x:c>
      <x:c r="S2644" s="5" t="str">
        <x:v>9f3e8037da33e2052527ca96b8cddae85f413486ddbe0d86138d0e4eca3b1420</x:v>
      </x:c>
    </x:row>
    <x:row r="2645" ht="36" customHeight="1">
      <x:c r="A2645" s="5" t="str">
        <x:v>PF-0158</x:v>
      </x:c>
      <x:c r="B2645" s="5" t="str">
        <x:v>HQ</x:v>
      </x:c>
      <x:c r="C2645" s="5" t="str">
        <x:v>9</x:v>
      </x:c>
      <x:c r="D2645" s="5" t="str">
        <x:v>Führung und Zusammenarbeit</x:v>
      </x:c>
      <x:c r="E2645" s="5" t="str">
        <x:v>Führung und Zusammenarbeit</x:v>
      </x:c>
      <x:c r="F2645" s="5" t="str">
        <x:v>ui-hq-0038</x:v>
      </x:c>
      <x:c r="G2645" s="5" t="str">
        <x:v>Präsentationstechniken</x:v>
      </x:c>
      <x:c r="H2645" s="5" t="str">
        <x:v>dg-hq-0019</x:v>
      </x:c>
      <x:c r="I2645" s="5" t="str">
        <x:v>9.7.3</x:v>
      </x:c>
      <x:c r="J2645" s="5" t="str">
        <x:v>Präsentation</x:v>
      </x:c>
      <x:c r="K2645" s="5" t="str"/>
      <x:c r="L2645" s="5" t="str">
        <x:v>Präsentationstechniken</x:v>
      </x:c>
      <x:c r="M2645" s="5" t="n">
        <x:v>15</x:v>
      </x:c>
      <x:c r="N2645" s="5" t="n">
        <x:v>15</x:v>
      </x:c>
      <x:c r="O2645" s="5" t="str"/>
      <x:c r="P2645" s="5" t="str">
        <x:v>Zuordnungsvorschlag; Fachfreigabe ausstehend</x:v>
      </x:c>
      <x:c r="Q2645" s="5" t="str">
        <x:v>Bestehendes Lernthema fachlich unter passendem Rahmenplan-Unterbereich behalten</x:v>
      </x:c>
      <x:c r="R2645" s="5" t="str">
        <x:v>Fallbezug: Die folgenden betrieblichen Angaben und Situationen beziehen sich auf die Circle Harbor GmbH.
Sie präsentieren mehreren Standortleitungen eine geplante strategische Erweiterung des Leistungsangebots. Entwickeln Sie drei konkrete Präsentationsziele, begründen Sie jeweils deren Bedeutung und nennen Sie zu jedem Ziel eine geeignete Möglichkeit, mit der Sie nach oder während der Präsentation prüfen können, ob das Ziel erreicht wurde.</x:v>
      </x:c>
      <x:c r="S2645" s="5" t="str">
        <x:v>7df7d38e895346e08900308b08bc51ea335521be69016751ee2e988d4f3648ce</x:v>
      </x:c>
    </x:row>
    <x:row r="2646" ht="36" customHeight="1">
      <x:c r="A2646" s="5" t="str">
        <x:v>PF-0159</x:v>
      </x:c>
      <x:c r="B2646" s="5" t="str">
        <x:v>HQ</x:v>
      </x:c>
      <x:c r="C2646" s="5" t="str">
        <x:v>9</x:v>
      </x:c>
      <x:c r="D2646" s="5" t="str">
        <x:v>Führung und Zusammenarbeit</x:v>
      </x:c>
      <x:c r="E2646" s="5" t="str">
        <x:v>Führung und Zusammenarbeit</x:v>
      </x:c>
      <x:c r="F2646" s="5" t="str">
        <x:v>ui-hq-0032</x:v>
      </x:c>
      <x:c r="G2646" s="5" t="str">
        <x:v>Zusammenarbeit, Kommunikation und Kooperation</x:v>
      </x:c>
      <x:c r="H2646" s="5" t="str">
        <x:v>dg-hq-0004</x:v>
      </x:c>
      <x:c r="I2646" s="5" t="str">
        <x:v>9.1.1</x:v>
      </x:c>
      <x:c r="J2646" s="5" t="str">
        <x:v>Zusammenhang Persönlichkeit und beruflicher Entwicklung</x:v>
      </x:c>
      <x:c r="K2646" s="5" t="str"/>
      <x:c r="L2646" s="5" t="str">
        <x:v>Persönlichkeit, Sozialverhalten &amp; Vielfalt</x:v>
      </x:c>
      <x:c r="M2646" s="5" t="n">
        <x:v>57</x:v>
      </x:c>
      <x:c r="N2646" s="5" t="n">
        <x:v>12</x:v>
      </x:c>
      <x:c r="O2646" s="5" t="str"/>
      <x:c r="P2646" s="5" t="str">
        <x:v>Zuordnungsvorschlag; Fachfreigabe ausstehend</x:v>
      </x:c>
      <x:c r="Q2646" s="5" t="str">
        <x:v>Bestehendes Lernthema fachlich unter passendem Rahmenplan-Unterbereich behalten</x:v>
      </x:c>
      <x:c r="R2646" s="5" t="str">
        <x:v>Fallbezug: Die folgenden betrieblichen Angaben und Situationen beziehen sich auf die Circle Harbor GmbH.
Eine Führungskraft betreut sowohl minderjährige Auszubildende als auch Beschäftigte mit Familienpflichten. Welche psychologischen, sozialen und rechtlichen Besonderheiten sollte sie berücksichtigen?</x:v>
      </x:c>
      <x:c r="S2646" s="5" t="str">
        <x:v>3bcaed28f7a558c3fad56acc1b9255ea918947f9ca9b33c7a60f7ce4f209c220</x:v>
      </x:c>
    </x:row>
    <x:row r="2647" ht="36" customHeight="1">
      <x:c r="A2647" s="5" t="str">
        <x:v>PF-0160</x:v>
      </x:c>
      <x:c r="B2647" s="5" t="str">
        <x:v>HQ</x:v>
      </x:c>
      <x:c r="C2647" s="5" t="str">
        <x:v>9</x:v>
      </x:c>
      <x:c r="D2647" s="5" t="str">
        <x:v>Führung und Zusammenarbeit</x:v>
      </x:c>
      <x:c r="E2647" s="5" t="str">
        <x:v>Führung und Zusammenarbeit</x:v>
      </x:c>
      <x:c r="F2647" s="5" t="str">
        <x:v>ui-hq-0032</x:v>
      </x:c>
      <x:c r="G2647" s="5" t="str">
        <x:v>Zusammenarbeit, Kommunikation und Kooperation</x:v>
      </x:c>
      <x:c r="H2647" s="5" t="str">
        <x:v>dg-hq-0004</x:v>
      </x:c>
      <x:c r="I2647" s="5" t="str">
        <x:v>9.1.1</x:v>
      </x:c>
      <x:c r="J2647" s="5" t="str">
        <x:v>Zusammenhang Persönlichkeit und beruflicher Entwicklung</x:v>
      </x:c>
      <x:c r="K2647" s="5" t="str"/>
      <x:c r="L2647" s="5" t="str">
        <x:v>Persönlichkeit, Sozialverhalten &amp; Vielfalt</x:v>
      </x:c>
      <x:c r="M2647" s="5" t="n">
        <x:v>58</x:v>
      </x:c>
      <x:c r="N2647" s="5" t="n">
        <x:v>13</x:v>
      </x:c>
      <x:c r="O2647" s="5" t="str"/>
      <x:c r="P2647" s="5" t="str">
        <x:v>Zuordnungsvorschlag; Fachfreigabe ausstehend</x:v>
      </x:c>
      <x:c r="Q2647" s="5" t="str">
        <x:v>Bestehendes Lernthema fachlich unter passendem Rahmenplan-Unterbereich behalten</x:v>
      </x:c>
      <x:c r="R2647" s="5" t="str">
        <x:v>Welche Führungs- und Gestaltungsmaßnahmen sind bei Beschäftigten aus anderen Kulturkreisen, Menschen mit Behinderungen und älteren Beschäftigten besonders wichtig?</x:v>
      </x:c>
      <x:c r="S2647" s="5" t="str">
        <x:v>463cfd3ee401e09b0ff05293d474a536240de4de4b45722c503645d3b6ce2677</x:v>
      </x:c>
    </x:row>
    <x:row r="2648" ht="36" customHeight="1">
      <x:c r="A2648" s="5" t="str">
        <x:v>PF-0161</x:v>
      </x:c>
      <x:c r="B2648" s="5" t="str">
        <x:v>HQ</x:v>
      </x:c>
      <x:c r="C2648" s="5" t="str">
        <x:v>9</x:v>
      </x:c>
      <x:c r="D2648" s="5" t="str">
        <x:v>Führung und Zusammenarbeit</x:v>
      </x:c>
      <x:c r="E2648" s="5" t="str">
        <x:v>Führung und Zusammenarbeit</x:v>
      </x:c>
      <x:c r="F2648" s="5" t="str">
        <x:v>ui-hq-0032</x:v>
      </x:c>
      <x:c r="G2648" s="5" t="str">
        <x:v>Zusammenarbeit, Kommunikation und Kooperation</x:v>
      </x:c>
      <x:c r="H2648" s="5" t="str">
        <x:v>dg-hq-0001</x:v>
      </x:c>
      <x:c r="I2648" s="5" t="str">
        <x:v>9.1.4.2</x:v>
      </x:c>
      <x:c r="J2648" s="5" t="str">
        <x:v>Führungsstile und ihre Auswirkungen auf die Führungsleistung</x:v>
      </x:c>
      <x:c r="K2648" s="5" t="str"/>
      <x:c r="L2648" s="5" t="str">
        <x:v>Führungsstile, Führungsmittel &amp; Zusammenarbeit</x:v>
      </x:c>
      <x:c r="M2648" s="5" t="n">
        <x:v>59</x:v>
      </x:c>
      <x:c r="N2648" s="5" t="n">
        <x:v>46</x:v>
      </x:c>
      <x:c r="O2648" s="5" t="str"/>
      <x:c r="P2648" s="5" t="str">
        <x:v>Zuordnungsvorschlag; Fachfreigabe ausstehend</x:v>
      </x:c>
      <x:c r="Q2648" s="5" t="str">
        <x:v>Bestehendes Lernthema fachlich unter passendem Rahmenplan-Unterbereich behalten</x:v>
      </x:c>
      <x:c r="R2648" s="5" t="str">
        <x:v>Erläutern Sie die fünf zentralen Führungsstile des Managerial Grid nach Blake und Mouton und den Grundgedanken des Reifegradmodells nach Hersey und Blanchard.</x:v>
      </x:c>
      <x:c r="S2648" s="5" t="str">
        <x:v>aafc8305ebc463f6ed40dbf766dad749a65bf80d27c91dae225dfba26e4713b6</x:v>
      </x:c>
    </x:row>
    <x:row r="2649" ht="36" customHeight="1">
      <x:c r="A2649" s="5" t="str">
        <x:v>PF-0162</x:v>
      </x:c>
      <x:c r="B2649" s="5" t="str">
        <x:v>HQ</x:v>
      </x:c>
      <x:c r="C2649" s="5" t="str">
        <x:v>9</x:v>
      </x:c>
      <x:c r="D2649" s="5" t="str">
        <x:v>Führung und Zusammenarbeit</x:v>
      </x:c>
      <x:c r="E2649" s="5" t="str">
        <x:v>Führung und Zusammenarbeit</x:v>
      </x:c>
      <x:c r="F2649" s="5" t="str">
        <x:v>ui-hq-0032</x:v>
      </x:c>
      <x:c r="G2649" s="5" t="str">
        <x:v>Zusammenarbeit, Kommunikation und Kooperation</x:v>
      </x:c>
      <x:c r="H2649" s="5" t="str">
        <x:v>dg-hq-0001</x:v>
      </x:c>
      <x:c r="I2649" s="5" t="str">
        <x:v>9.1.4</x:v>
      </x:c>
      <x:c r="J2649" s="5" t="str">
        <x:v>Zielorientiertes Führen</x:v>
      </x:c>
      <x:c r="K2649" s="5" t="str"/>
      <x:c r="L2649" s="5" t="str">
        <x:v>Zielorientierte Führung &amp; Führungskonzepte</x:v>
      </x:c>
      <x:c r="M2649" s="5" t="n">
        <x:v>60</x:v>
      </x:c>
      <x:c r="N2649" s="5" t="n">
        <x:v>47</x:v>
      </x:c>
      <x:c r="O2649" s="5" t="str"/>
      <x:c r="P2649" s="5" t="str">
        <x:v>Zuordnungsvorschlag; Fachfreigabe ausstehend</x:v>
      </x:c>
      <x:c r="Q2649" s="5" t="str">
        <x:v>Bestehendes Lernthema fachlich unter passendem Rahmenplan-Unterbereich behalten</x:v>
      </x:c>
      <x:c r="R2649" s="5" t="str">
        <x:v>Vergleichen Sie das Harzburger Modell mit dem St. Galler Managementmodell.</x:v>
      </x:c>
      <x:c r="S2649" s="5" t="str">
        <x:v>7ab55bbd9489f402b55026207a5aa1735600a5364b4e904abf57e6cf7de5df71</x:v>
      </x:c>
    </x:row>
    <x:row r="2650" ht="36" customHeight="1">
      <x:c r="A2650" s="5" t="str">
        <x:v>PF-0163</x:v>
      </x:c>
      <x:c r="B2650" s="5" t="str">
        <x:v>HQ</x:v>
      </x:c>
      <x:c r="C2650" s="5" t="str">
        <x:v>9</x:v>
      </x:c>
      <x:c r="D2650" s="5" t="str">
        <x:v>Führung und Zusammenarbeit</x:v>
      </x:c>
      <x:c r="E2650" s="5" t="str">
        <x:v>Führung und Zusammenarbeit</x:v>
      </x:c>
      <x:c r="F2650" s="5" t="str">
        <x:v>ui-hq-0032</x:v>
      </x:c>
      <x:c r="G2650" s="5" t="str">
        <x:v>Zusammenarbeit, Kommunikation und Kooperation</x:v>
      </x:c>
      <x:c r="H2650" s="5" t="str">
        <x:v>dg-hq-0001</x:v>
      </x:c>
      <x:c r="I2650" s="5" t="str">
        <x:v>9.1.4.2</x:v>
      </x:c>
      <x:c r="J2650" s="5" t="str">
        <x:v>Führungsstile und ihre Auswirkungen auf die Führungsleistung</x:v>
      </x:c>
      <x:c r="K2650" s="5" t="str"/>
      <x:c r="L2650" s="5" t="str">
        <x:v>Führungsstile, Führungsmittel &amp; Zusammenarbeit</x:v>
      </x:c>
      <x:c r="M2650" s="5" t="n">
        <x:v>61</x:v>
      </x:c>
      <x:c r="N2650" s="5" t="n">
        <x:v>48</x:v>
      </x:c>
      <x:c r="O2650" s="5" t="str"/>
      <x:c r="P2650" s="5" t="str">
        <x:v>Zuordnungsvorschlag; Fachfreigabe ausstehend</x:v>
      </x:c>
      <x:c r="Q2650" s="5" t="str">
        <x:v>Bestehendes Lernthema fachlich unter passendem Rahmenplan-Unterbereich behalten</x:v>
      </x:c>
      <x:c r="R2650" s="5" t="str">
        <x:v>Woran lässt sich Führungsleistung erkennen und messen, und welche besondere Belastung beschreibt die Sandwich-Position mittlerer Führungskräfte?</x:v>
      </x:c>
      <x:c r="S2650" s="5" t="str">
        <x:v>c9baf28c8e74caf3ae098a1500844efd91d9784297c8cef9f4f3c83ce5624157</x:v>
      </x:c>
    </x:row>
    <x:row r="2651" ht="36" customHeight="1">
      <x:c r="A2651" s="5" t="str">
        <x:v>PF-0164</x:v>
      </x:c>
      <x:c r="B2651" s="5" t="str">
        <x:v>HQ</x:v>
      </x:c>
      <x:c r="C2651" s="5" t="str">
        <x:v>9</x:v>
      </x:c>
      <x:c r="D2651" s="5" t="str">
        <x:v>Führung und Zusammenarbeit</x:v>
      </x:c>
      <x:c r="E2651" s="5" t="str">
        <x:v>Führung und Zusammenarbeit</x:v>
      </x:c>
      <x:c r="F2651" s="5" t="str">
        <x:v>ui-hq-0034</x:v>
      </x:c>
      <x:c r="G2651" s="5" t="str">
        <x:v>Konfliktmanagement</x:v>
      </x:c>
      <x:c r="H2651" s="5" t="str">
        <x:v>dg-hq-0005</x:v>
      </x:c>
      <x:c r="I2651" s="5" t="str">
        <x:v>9.3.3</x:v>
      </x:c>
      <x:c r="J2651" s="5" t="str">
        <x:v>Maßnahmen im Umgang mit Konflikten</x:v>
      </x:c>
      <x:c r="K2651" s="5" t="str"/>
      <x:c r="L2651" s="5" t="str">
        <x:v>Konfliktmanagement &amp; Veränderungswiderstände</x:v>
      </x:c>
      <x:c r="M2651" s="5" t="n">
        <x:v>16</x:v>
      </x:c>
      <x:c r="N2651" s="5" t="n">
        <x:v>16</x:v>
      </x:c>
      <x:c r="O2651" s="5" t="str"/>
      <x:c r="P2651" s="5" t="str">
        <x:v>Zuordnungsvorschlag; Fachfreigabe ausstehend</x:v>
      </x:c>
      <x:c r="Q2651" s="5" t="str">
        <x:v>Bestehendes Lernthema fachlich unter passendem Rahmenplan-Unterbereich behalten</x:v>
      </x:c>
      <x:c r="R2651" s="5" t="str">
        <x:v>Unterscheiden Sie Sach-, Beziehungs-, Beurteilungs-, Ziel-, Verteilungs- und Wertekonflikt und nennen Sie jeweils einen geeigneten Ansatz zur Vorbeugung oder Bearbeitung.</x:v>
      </x:c>
      <x:c r="S2651" s="5" t="str">
        <x:v>6ec3c67f9d38ff6a92e0e9cffbfc9ad1d7648e7f5067dc29526561acc8a63894</x:v>
      </x:c>
    </x:row>
    <x:row r="2652" ht="36" customHeight="1">
      <x:c r="A2652" s="5" t="str">
        <x:v>PF-0165</x:v>
      </x:c>
      <x:c r="B2652" s="5" t="str">
        <x:v>HQ</x:v>
      </x:c>
      <x:c r="C2652" s="5" t="str">
        <x:v>9</x:v>
      </x:c>
      <x:c r="D2652" s="5" t="str">
        <x:v>Führung und Zusammenarbeit</x:v>
      </x:c>
      <x:c r="E2652" s="5" t="str">
        <x:v>Führung und Zusammenarbeit</x:v>
      </x:c>
      <x:c r="F2652" s="5" t="str">
        <x:v>ui-hq-0035</x:v>
      </x:c>
      <x:c r="G2652" s="5" t="str">
        <x:v>Mitarbeiterförderung</x:v>
      </x:c>
      <x:c r="H2652" s="5" t="str">
        <x:v>dg-hq-0006</x:v>
      </x:c>
      <x:c r="I2652" s="5" t="str">
        <x:v>9.4.1</x:v>
      </x:c>
      <x:c r="J2652" s="5" t="str">
        <x:v>Personalentwicklung als Mittel der Steuerung und Förderung der personellen Ressourcen</x:v>
      </x:c>
      <x:c r="K2652" s="5" t="str"/>
      <x:c r="L2652" s="5" t="str">
        <x:v>Mitarbeiterförderung &amp; Personalentwicklung</x:v>
      </x:c>
      <x:c r="M2652" s="5" t="n">
        <x:v>8</x:v>
      </x:c>
      <x:c r="N2652" s="5" t="n">
        <x:v>8</x:v>
      </x:c>
      <x:c r="O2652" s="5" t="str"/>
      <x:c r="P2652" s="5" t="str">
        <x:v>Zuordnungsvorschlag; Fachfreigabe ausstehend</x:v>
      </x:c>
      <x:c r="Q2652" s="5" t="str">
        <x:v>Bestehendes Lernthema fachlich unter passendem Rahmenplan-Unterbereich behalten</x:v>
      </x:c>
      <x:c r="R2652" s="5" t="str">
        <x:v>Welche vier Bereiche gehören nach § 1 BBiG zur beruflichen Bildung, und wie hängen Personal-, Organisations- und Unternehmensentwicklung zusammen?</x:v>
      </x:c>
      <x:c r="S2652" s="5" t="str">
        <x:v>fe68b267d051a0febfbc82f17088d3e40df20053dda97738f7977942797ae2b8</x:v>
      </x:c>
    </x:row>
    <x:row r="2653" ht="36" customHeight="1">
      <x:c r="A2653" s="5" t="str">
        <x:v>PF-0166</x:v>
      </x:c>
      <x:c r="B2653" s="5" t="str">
        <x:v>HQ</x:v>
      </x:c>
      <x:c r="C2653" s="5" t="str">
        <x:v>9</x:v>
      </x:c>
      <x:c r="D2653" s="5" t="str">
        <x:v>Führung und Zusammenarbeit</x:v>
      </x:c>
      <x:c r="E2653" s="5" t="str">
        <x:v>Führung und Zusammenarbeit</x:v>
      </x:c>
      <x:c r="F2653" s="5" t="str">
        <x:v>ui-hq-0035</x:v>
      </x:c>
      <x:c r="G2653" s="5" t="str">
        <x:v>Mitarbeiterförderung</x:v>
      </x:c>
      <x:c r="H2653" s="5" t="str">
        <x:v>dg-hq-0020</x:v>
      </x:c>
      <x:c r="I2653" s="5" t="str">
        <x:v>9.4.2.2</x:v>
      </x:c>
      <x:c r="J2653" s="5" t="str">
        <x:v>Formen von Potenzialeinschätzungen als Stärke-Schwäche-Profil</x:v>
      </x:c>
      <x:c r="K2653" s="5" t="str"/>
      <x:c r="L2653" s="5" t="str">
        <x:v>Mitarbeiterförderung &amp; Personalentwicklung</x:v>
      </x:c>
      <x:c r="M2653" s="5" t="n">
        <x:v>9</x:v>
      </x:c>
      <x:c r="N2653" s="5" t="n">
        <x:v>1</x:v>
      </x:c>
      <x:c r="O2653" s="5" t="str"/>
      <x:c r="P2653" s="5" t="str">
        <x:v>Zuordnungsvorschlag; Fachfreigabe ausstehend</x:v>
      </x:c>
      <x:c r="Q2653" s="5" t="str">
        <x:v>Frageinhalt präzisiert bzw. teilt bisheriges Sammelthema</x:v>
      </x:c>
      <x:c r="R2653" s="5" t="str">
        <x:v>Wie wird ein Stärken-Schwächen-Profil zur Potenzialeinschätzung erstellt und genutzt?</x:v>
      </x:c>
      <x:c r="S2653" s="5" t="str">
        <x:v>0862f26fc44dc41fbe0188a1ce3d441f0bdc98699b472201a3ac77f25f5a1905</x:v>
      </x:c>
    </x:row>
    <x:row r="2654" ht="36" customHeight="1">
      <x:c r="A2654" s="5" t="str">
        <x:v>PF-0167</x:v>
      </x:c>
      <x:c r="B2654" s="5" t="str">
        <x:v>HQ</x:v>
      </x:c>
      <x:c r="C2654" s="5" t="str">
        <x:v>9</x:v>
      </x:c>
      <x:c r="D2654" s="5" t="str">
        <x:v>Führung und Zusammenarbeit</x:v>
      </x:c>
      <x:c r="E2654" s="5" t="str">
        <x:v>Führung und Zusammenarbeit</x:v>
      </x:c>
      <x:c r="F2654" s="5" t="str">
        <x:v>ui-hq-0035</x:v>
      </x:c>
      <x:c r="G2654" s="5" t="str">
        <x:v>Mitarbeiterförderung</x:v>
      </x:c>
      <x:c r="H2654" s="5" t="str">
        <x:v>dg-hq-0006</x:v>
      </x:c>
      <x:c r="I2654" s="5" t="str">
        <x:v>9.4.1</x:v>
      </x:c>
      <x:c r="J2654" s="5" t="str">
        <x:v>Personalentwicklung als Mittel der Steuerung und Förderung der personellen Ressourcen</x:v>
      </x:c>
      <x:c r="K2654" s="5" t="str"/>
      <x:c r="L2654" s="5" t="str">
        <x:v>Mitarbeiterförderung &amp; Personalentwicklung</x:v>
      </x:c>
      <x:c r="M2654" s="5" t="n">
        <x:v>10</x:v>
      </x:c>
      <x:c r="N2654" s="5" t="n">
        <x:v>9</x:v>
      </x:c>
      <x:c r="O2654" s="5" t="str"/>
      <x:c r="P2654" s="5" t="str">
        <x:v>Zuordnungsvorschlag; Fachfreigabe ausstehend</x:v>
      </x:c>
      <x:c r="Q2654" s="5" t="str">
        <x:v>Bestehendes Lernthema fachlich unter passendem Rahmenplan-Unterbereich behalten</x:v>
      </x:c>
      <x:c r="R2654" s="5" t="str">
        <x:v>Unterscheiden Sie Job Enlargement, Job Enrichment und Job Rotation als Instrumente der Personalentwicklung.</x:v>
      </x:c>
      <x:c r="S2654" s="5" t="str">
        <x:v>7721f467cb5322244223673647e40f1573be3bc8d933d1684971c188ce3148ba</x:v>
      </x:c>
    </x:row>
    <x:row r="2655" ht="36" customHeight="1">
      <x:c r="A2655" s="5" t="str">
        <x:v>PF-0168</x:v>
      </x:c>
      <x:c r="B2655" s="5" t="str">
        <x:v>HQ</x:v>
      </x:c>
      <x:c r="C2655" s="5" t="str">
        <x:v>9</x:v>
      </x:c>
      <x:c r="D2655" s="5" t="str">
        <x:v>Führung und Zusammenarbeit</x:v>
      </x:c>
      <x:c r="E2655" s="5" t="str">
        <x:v>Führung und Zusammenarbeit</x:v>
      </x:c>
      <x:c r="F2655" s="5" t="str">
        <x:v>ui-hq-0036</x:v>
      </x:c>
      <x:c r="G2655" s="5" t="str">
        <x:v>Ausbildung</x:v>
      </x:c>
      <x:c r="H2655" s="5" t="str">
        <x:v>dg-hq-0007</x:v>
      </x:c>
      <x:c r="I2655" s="5" t="str">
        <x:v>9.5.1</x:v>
      </x:c>
      <x:c r="J2655" s="5" t="str">
        <x:v>Rechtliche Rahmenbedingungen</x:v>
      </x:c>
      <x:c r="K2655" s="5" t="str"/>
      <x:c r="L2655" s="5" t="str">
        <x:v>Berufsausbildung</x:v>
      </x:c>
      <x:c r="M2655" s="5" t="n">
        <x:v>20</x:v>
      </x:c>
      <x:c r="N2655" s="5" t="n">
        <x:v>4</x:v>
      </x:c>
      <x:c r="O2655" s="5" t="str"/>
      <x:c r="P2655" s="5" t="str">
        <x:v>Zuordnungsvorschlag; Fachfreigabe ausstehend</x:v>
      </x:c>
      <x:c r="Q2655" s="5" t="str">
        <x:v>Gezielt geprüfter Einzelbeleg</x:v>
      </x:c>
      <x:c r="R2655" s="5" t="str">
        <x:v>Erläutern Sie das duale Ausbildungssystem, die Hierarchie der Ausbildungsunterlagen und die gesetzliche Staffelung der Mindestausbildungsvergütung.</x:v>
      </x:c>
      <x:c r="S2655" s="5" t="str">
        <x:v>75795d7b4d8edd8cdd4309065c540cd393fbbd7dcf3406f943d715c946b0a631</x:v>
      </x:c>
    </x:row>
    <x:row r="2656" ht="36" customHeight="1">
      <x:c r="A2656" s="5" t="str">
        <x:v>PF-0169</x:v>
      </x:c>
      <x:c r="B2656" s="5" t="str">
        <x:v>HQ</x:v>
      </x:c>
      <x:c r="C2656" s="5" t="str">
        <x:v>9</x:v>
      </x:c>
      <x:c r="D2656" s="5" t="str">
        <x:v>Führung und Zusammenarbeit</x:v>
      </x:c>
      <x:c r="E2656" s="5" t="str">
        <x:v>Führung und Zusammenarbeit</x:v>
      </x:c>
      <x:c r="F2656" s="5" t="str">
        <x:v>ui-hq-0036</x:v>
      </x:c>
      <x:c r="G2656" s="5" t="str">
        <x:v>Ausbildung</x:v>
      </x:c>
      <x:c r="H2656" s="5" t="str">
        <x:v>dg-hq-0009</x:v>
      </x:c>
      <x:c r="I2656" s="5" t="str">
        <x:v>9.5.3</x:v>
      </x:c>
      <x:c r="J2656" s="5" t="str">
        <x:v>Anforderungen an die Eignung der Ausbilder und Ausbilderinnen</x:v>
      </x:c>
      <x:c r="K2656" s="5" t="str"/>
      <x:c r="L2656" s="5" t="str">
        <x:v>Berufsausbildung</x:v>
      </x:c>
      <x:c r="M2656" s="5" t="n">
        <x:v>21</x:v>
      </x:c>
      <x:c r="N2656" s="5" t="n">
        <x:v>2</x:v>
      </x:c>
      <x:c r="O2656" s="5" t="str"/>
      <x:c r="P2656" s="5" t="str">
        <x:v>Zuordnungsvorschlag; Fachfreigabe ausstehend</x:v>
      </x:c>
      <x:c r="Q2656" s="5" t="str">
        <x:v>Gezielt geprüfter Einzelbeleg</x:v>
      </x:c>
      <x:c r="R2656" s="5" t="str">
        <x:v>Welche Voraussetzungen gelten für die Eignung von Ausbildungsstätte und Ausbildungspersonal, und wie ist die Ausbildereignungsprüfung aufgebaut?</x:v>
      </x:c>
      <x:c r="S2656" s="5" t="str">
        <x:v>097fb69eaf168fd852d5aca0c93095ec0b2d261a745045de60f452de0876bb35</x:v>
      </x:c>
    </x:row>
    <x:row r="2657" ht="36" customHeight="1">
      <x:c r="A2657" s="5" t="str">
        <x:v>PF-0170</x:v>
      </x:c>
      <x:c r="B2657" s="5" t="str">
        <x:v>HQ</x:v>
      </x:c>
      <x:c r="C2657" s="5" t="str">
        <x:v>9</x:v>
      </x:c>
      <x:c r="D2657" s="5" t="str">
        <x:v>Führung und Zusammenarbeit</x:v>
      </x:c>
      <x:c r="E2657" s="5" t="str">
        <x:v>Führung und Zusammenarbeit</x:v>
      </x:c>
      <x:c r="F2657" s="5" t="str">
        <x:v>ui-hq-0036</x:v>
      </x:c>
      <x:c r="G2657" s="5" t="str">
        <x:v>Ausbildung</x:v>
      </x:c>
      <x:c r="H2657" s="5" t="str">
        <x:v>dg-hq-0008</x:v>
      </x:c>
      <x:c r="I2657" s="5" t="str">
        <x:v>9.5.4</x:v>
      </x:c>
      <x:c r="J2657" s="5" t="str">
        <x:v>Beteiligte und Mitwirkende an der Ausbildung</x:v>
      </x:c>
      <x:c r="K2657" s="5" t="str"/>
      <x:c r="L2657" s="5" t="str">
        <x:v>Berufsausbildung</x:v>
      </x:c>
      <x:c r="M2657" s="5" t="n">
        <x:v>22</x:v>
      </x:c>
      <x:c r="N2657" s="5" t="n">
        <x:v>2</x:v>
      </x:c>
      <x:c r="O2657" s="5" t="str"/>
      <x:c r="P2657" s="5" t="str">
        <x:v>Zuordnungsvorschlag; Fachfreigabe ausstehend</x:v>
      </x:c>
      <x:c r="Q2657" s="5" t="str">
        <x:v>Gezielt geprüfter Einzelbeleg</x:v>
      </x:c>
      <x:c r="R2657" s="5" t="str">
        <x:v>Welche Personen und Stellen wirken an der Berufsausbildung mit, und welche Funktion hat die Einstiegsqualifizierung?</x:v>
      </x:c>
      <x:c r="S2657" s="5" t="str">
        <x:v>0ce75c3b5ba8bc6836f0af5639969fc8fdd048a9a87a877856267d11ebb2bece</x:v>
      </x:c>
    </x:row>
    <x:row r="2658" ht="36" customHeight="1">
      <x:c r="A2658" s="5" t="str">
        <x:v>PF-0171</x:v>
      </x:c>
      <x:c r="B2658" s="5" t="str">
        <x:v>HQ</x:v>
      </x:c>
      <x:c r="C2658" s="5" t="str">
        <x:v>9</x:v>
      </x:c>
      <x:c r="D2658" s="5" t="str">
        <x:v>Führung und Zusammenarbeit</x:v>
      </x:c>
      <x:c r="E2658" s="5" t="str">
        <x:v>Führung und Zusammenarbeit</x:v>
      </x:c>
      <x:c r="F2658" s="5" t="str">
        <x:v>ui-hq-0036</x:v>
      </x:c>
      <x:c r="G2658" s="5" t="str">
        <x:v>Ausbildung</x:v>
      </x:c>
      <x:c r="H2658" s="5" t="str">
        <x:v>dg-hq-0021</x:v>
      </x:c>
      <x:c r="I2658" s="5" t="str">
        <x:v>9.5.5</x:v>
      </x:c>
      <x:c r="J2658" s="5" t="str">
        <x:v>Ergänzende individuelle Bildungsmaßnahmen</x:v>
      </x:c>
      <x:c r="K2658" s="5" t="str"/>
      <x:c r="L2658" s="5" t="str">
        <x:v>Berufsausbildung</x:v>
      </x:c>
      <x:c r="M2658" s="5" t="n">
        <x:v>23</x:v>
      </x:c>
      <x:c r="N2658" s="5" t="n">
        <x:v>1</x:v>
      </x:c>
      <x:c r="O2658" s="5" t="str"/>
      <x:c r="P2658" s="5" t="str">
        <x:v>Zuordnungsvorschlag; Fachfreigabe ausstehend</x:v>
      </x:c>
      <x:c r="Q2658" s="5" t="str">
        <x:v>Gezielt geprüfter Einzelbeleg</x:v>
      </x:c>
      <x:c r="R2658" s="5" t="str">
        <x:v>Vergleichen Sie Auslandsabschnitt, Teilzeitausbildung, Assistierte Ausbildung flexibel und Berufsausbildung in einer außerbetrieblichen Einrichtung.</x:v>
      </x:c>
      <x:c r="S2658" s="5" t="str">
        <x:v>3980f55a668f82d9dde4ea2130070898b3ea07f3721ea02244fe4abf64639144</x:v>
      </x:c>
    </x:row>
    <x:row r="2659" ht="36" customHeight="1">
      <x:c r="A2659" s="5" t="str">
        <x:v>PF-0172</x:v>
      </x:c>
      <x:c r="B2659" s="5" t="str">
        <x:v>HQ</x:v>
      </x:c>
      <x:c r="C2659" s="5" t="str">
        <x:v>9</x:v>
      </x:c>
      <x:c r="D2659" s="5" t="str">
        <x:v>Führung und Zusammenarbeit</x:v>
      </x:c>
      <x:c r="E2659" s="5" t="str">
        <x:v>Führung und Zusammenarbeit</x:v>
      </x:c>
      <x:c r="F2659" s="5" t="str">
        <x:v>ui-hq-0036</x:v>
      </x:c>
      <x:c r="G2659" s="5" t="str">
        <x:v>Ausbildung</x:v>
      </x:c>
      <x:c r="H2659" s="5" t="str">
        <x:v>dg-hq-0012</x:v>
      </x:c>
      <x:c r="I2659" s="5" t="str">
        <x:v>9.5.6</x:v>
      </x:c>
      <x:c r="J2659" s="5" t="str">
        <x:v>Prüfungsdurchführung</x:v>
      </x:c>
      <x:c r="K2659" s="5" t="str"/>
      <x:c r="L2659" s="5" t="str">
        <x:v>Berufsausbildung</x:v>
      </x:c>
      <x:c r="M2659" s="5" t="n">
        <x:v>24</x:v>
      </x:c>
      <x:c r="N2659" s="5" t="n">
        <x:v>3</x:v>
      </x:c>
      <x:c r="O2659" s="5" t="str"/>
      <x:c r="P2659" s="5" t="str">
        <x:v>Zuordnungsvorschlag; Fachfreigabe ausstehend</x:v>
      </x:c>
      <x:c r="Q2659" s="5" t="str">
        <x:v>Gezielt geprüfter Einzelbeleg</x:v>
      </x:c>
      <x:c r="R2659" s="5" t="str">
        <x:v>Wie setzt sich ein Prüfungsausschuss in der beruflichen Bildung zusammen und welche Aufgaben haben Betrieb und zuständige Stelle rund um die Abschlussprüfung?</x:v>
      </x:c>
      <x:c r="S2659" s="5" t="str">
        <x:v>a11cf0d39eb2179cc4a4ba8a81696068e43fd73ae8e5b62bbc8d97c2d02d0772</x:v>
      </x:c>
    </x:row>
    <x:row r="2660" ht="36" customHeight="1">
      <x:c r="A2660" s="5" t="str">
        <x:v>PF-0173</x:v>
      </x:c>
      <x:c r="B2660" s="5" t="str">
        <x:v>HQ</x:v>
      </x:c>
      <x:c r="C2660" s="5" t="str">
        <x:v>9</x:v>
      </x:c>
      <x:c r="D2660" s="5" t="str">
        <x:v>Führung und Zusammenarbeit</x:v>
      </x:c>
      <x:c r="E2660" s="5" t="str">
        <x:v>Führung und Zusammenarbeit</x:v>
      </x:c>
      <x:c r="F2660" s="5" t="str">
        <x:v>ui-hq-0036</x:v>
      </x:c>
      <x:c r="G2660" s="5" t="str">
        <x:v>Ausbildung</x:v>
      </x:c>
      <x:c r="H2660" s="5" t="str">
        <x:v>dg-hq-0011</x:v>
      </x:c>
      <x:c r="I2660" s="5" t="str">
        <x:v>9.5.8</x:v>
      </x:c>
      <x:c r="J2660" s="5" t="str">
        <x:v>Unterweisung</x:v>
      </x:c>
      <x:c r="K2660" s="5" t="str"/>
      <x:c r="L2660" s="5" t="str">
        <x:v>Berufsausbildung</x:v>
      </x:c>
      <x:c r="M2660" s="5" t="n">
        <x:v>25</x:v>
      </x:c>
      <x:c r="N2660" s="5" t="n">
        <x:v>6</x:v>
      </x:c>
      <x:c r="O2660" s="5" t="str"/>
      <x:c r="P2660" s="5" t="str">
        <x:v>Zuordnungsvorschlag; Fachfreigabe ausstehend</x:v>
      </x:c>
      <x:c r="Q2660" s="5" t="str">
        <x:v>Gezielt geprüfter Einzelbeleg</x:v>
      </x:c>
      <x:c r="R2660" s="5" t="str">
        <x:v>Vergleichen Sie die Vier-Stufen-Methode mit dem Modell der vollständigen Handlung und der Leittextmethode.</x:v>
      </x:c>
      <x:c r="S2660" s="5" t="str">
        <x:v>1d455b6857ad9cd1fd76686a6c1fc3362b0135f41a5288004a9c2a63c030a1f9</x:v>
      </x:c>
    </x:row>
    <x:row r="2661" ht="36" customHeight="1">
      <x:c r="A2661" s="5" t="str">
        <x:v>PF-0174</x:v>
      </x:c>
      <x:c r="B2661" s="5" t="str">
        <x:v>HQ</x:v>
      </x:c>
      <x:c r="C2661" s="5" t="str">
        <x:v>9</x:v>
      </x:c>
      <x:c r="D2661" s="5" t="str">
        <x:v>Führung und Zusammenarbeit</x:v>
      </x:c>
      <x:c r="E2661" s="5" t="str">
        <x:v>Führung und Zusammenarbeit</x:v>
      </x:c>
      <x:c r="F2661" s="5" t="str">
        <x:v>ui-hq-0036</x:v>
      </x:c>
      <x:c r="G2661" s="5" t="str">
        <x:v>Ausbildung</x:v>
      </x:c>
      <x:c r="H2661" s="5" t="str">
        <x:v>dg-hq-0014</x:v>
      </x:c>
      <x:c r="I2661" s="5" t="str">
        <x:v>9.5.9</x:v>
      </x:c>
      <x:c r="J2661" s="5" t="str">
        <x:v>Außer- und überbetriebliche Ausbildung</x:v>
      </x:c>
      <x:c r="K2661" s="5" t="str"/>
      <x:c r="L2661" s="5" t="str">
        <x:v>Berufsausbildung</x:v>
      </x:c>
      <x:c r="M2661" s="5" t="n">
        <x:v>26</x:v>
      </x:c>
      <x:c r="N2661" s="5" t="n">
        <x:v>3</x:v>
      </x:c>
      <x:c r="O2661" s="5" t="str"/>
      <x:c r="P2661" s="5" t="str">
        <x:v>Zuordnungsvorschlag; Fachfreigabe ausstehend</x:v>
      </x:c>
      <x:c r="Q2661" s="5" t="str">
        <x:v>Gezielt geprüfter Einzelbeleg</x:v>
      </x:c>
      <x:c r="R2661" s="5" t="str">
        <x:v>Welche Formen des Ausbildungsverbundes gibt es und was muss bei einer Verbundausbildung sichergestellt sein?</x:v>
      </x:c>
      <x:c r="S2661" s="5" t="str">
        <x:v>3b9c781d26bd2ecfd6f513bccfb4ad858e79a09f4aca264ff5b8047f01f39613</x:v>
      </x:c>
    </x:row>
    <x:row r="2662" ht="36" customHeight="1">
      <x:c r="A2662" s="5" t="str">
        <x:v>PF-0175</x:v>
      </x:c>
      <x:c r="B2662" s="5" t="str">
        <x:v>HQ</x:v>
      </x:c>
      <x:c r="C2662" s="5" t="str">
        <x:v>9</x:v>
      </x:c>
      <x:c r="D2662" s="5" t="str">
        <x:v>Führung und Zusammenarbeit</x:v>
      </x:c>
      <x:c r="E2662" s="5" t="str">
        <x:v>Führung und Zusammenarbeit</x:v>
      </x:c>
      <x:c r="F2662" s="5" t="str">
        <x:v>ui-hq-0037</x:v>
      </x:c>
      <x:c r="G2662" s="5" t="str">
        <x:v>Moderation von Projektgruppen</x:v>
      </x:c>
      <x:c r="H2662" s="5" t="str">
        <x:v>dg-hq-0016</x:v>
      </x:c>
      <x:c r="I2662" s="5" t="str">
        <x:v>9.6.1.2</x:v>
      </x:c>
      <x:c r="J2662" s="5" t="str">
        <x:v>Besetzung, Organisation und sachliche Ausrichtung von Projektgruppen</x:v>
      </x:c>
      <x:c r="K2662" s="5" t="str"/>
      <x:c r="L2662" s="5" t="str">
        <x:v>Gruppen, Teams &amp; Projektgruppen</x:v>
      </x:c>
      <x:c r="M2662" s="5" t="n">
        <x:v>24</x:v>
      </x:c>
      <x:c r="N2662" s="5" t="n">
        <x:v>7</x:v>
      </x:c>
      <x:c r="O2662" s="5" t="str"/>
      <x:c r="P2662" s="5" t="str">
        <x:v>Zuordnungsvorschlag; Fachfreigabe ausstehend</x:v>
      </x:c>
      <x:c r="Q2662" s="5" t="str">
        <x:v>Bestehendes Lernthema fachlich unter passendem Rahmenplan-Unterbereich behalten</x:v>
      </x:c>
      <x:c r="R2662" s="5" t="str">
        <x:v>Welche Merkmale kennzeichnen ein Projekt und was ist bei der sachlichen, personellen und finanziellen Ausrichtung einer Projektgruppe zu beachten?</x:v>
      </x:c>
      <x:c r="S2662" s="5" t="str">
        <x:v>88fd591b8000d9ae9bdd339e2071c305f27e0ab814501d861683ff7d6257a67d</x:v>
      </x:c>
    </x:row>
    <x:row r="2663" ht="36" customHeight="1">
      <x:c r="A2663" s="5" t="str">
        <x:v>PF-0176</x:v>
      </x:c>
      <x:c r="B2663" s="5" t="str">
        <x:v>HQ</x:v>
      </x:c>
      <x:c r="C2663" s="5" t="str">
        <x:v>9</x:v>
      </x:c>
      <x:c r="D2663" s="5" t="str">
        <x:v>Führung und Zusammenarbeit</x:v>
      </x:c>
      <x:c r="E2663" s="5" t="str">
        <x:v>Führung und Zusammenarbeit</x:v>
      </x:c>
      <x:c r="F2663" s="5" t="str">
        <x:v>ui-hq-0037</x:v>
      </x:c>
      <x:c r="G2663" s="5" t="str">
        <x:v>Moderation von Projektgruppen</x:v>
      </x:c>
      <x:c r="H2663" s="5" t="str">
        <x:v>dg-hq-0016</x:v>
      </x:c>
      <x:c r="I2663" s="5" t="str">
        <x:v>9.6.1</x:v>
      </x:c>
      <x:c r="J2663" s="5" t="str">
        <x:v>Arbeitsgruppen, Teams und Projektgruppen</x:v>
      </x:c>
      <x:c r="K2663" s="5" t="str"/>
      <x:c r="L2663" s="5" t="str">
        <x:v>Gruppen, Teams &amp; Projektgruppen</x:v>
      </x:c>
      <x:c r="M2663" s="5" t="n">
        <x:v>25</x:v>
      </x:c>
      <x:c r="N2663" s="5" t="n">
        <x:v>8</x:v>
      </x:c>
      <x:c r="O2663" s="5" t="str"/>
      <x:c r="P2663" s="5" t="str">
        <x:v>Zuordnungsvorschlag; Fachfreigabe ausstehend</x:v>
      </x:c>
      <x:c r="Q2663" s="5" t="str">
        <x:v>Bestehendes Lernthema fachlich unter passendem Rahmenplan-Unterbereich behalten</x:v>
      </x:c>
      <x:c r="R2663" s="5" t="str">
        <x:v>Beschreiben Sie die fünf Phasen der Teamentwicklung nach Tuckman und passende Aufgaben der Führungskraft.</x:v>
      </x:c>
      <x:c r="S2663" s="5" t="str">
        <x:v>0d55b62eb9041501fcd5b94b75a873398c847d137cda08b4454c3a19a2f07b57</x:v>
      </x:c>
    </x:row>
    <x:row r="2664" ht="36" customHeight="1">
      <x:c r="A2664" s="5" t="str">
        <x:v>PF-0177</x:v>
      </x:c>
      <x:c r="B2664" s="5" t="str">
        <x:v>HQ</x:v>
      </x:c>
      <x:c r="C2664" s="5" t="str">
        <x:v>9</x:v>
      </x:c>
      <x:c r="D2664" s="5" t="str">
        <x:v>Führung und Zusammenarbeit</x:v>
      </x:c>
      <x:c r="E2664" s="5" t="str">
        <x:v>Führung und Zusammenarbeit</x:v>
      </x:c>
      <x:c r="F2664" s="5" t="str">
        <x:v>ui-hq-0037</x:v>
      </x:c>
      <x:c r="G2664" s="5" t="str">
        <x:v>Moderation von Projektgruppen</x:v>
      </x:c>
      <x:c r="H2664" s="5" t="str">
        <x:v>dg-hq-0017</x:v>
      </x:c>
      <x:c r="I2664" s="5" t="str">
        <x:v>9.6.2.2</x:v>
      </x:c>
      <x:c r="J2664" s="5" t="str">
        <x:v>Geteilte Moderation</x:v>
      </x:c>
      <x:c r="K2664" s="5" t="str"/>
      <x:c r="L2664" s="5" t="str">
        <x:v>Moderation &amp; Kreativitätstechniken</x:v>
      </x:c>
      <x:c r="M2664" s="5" t="n">
        <x:v>26</x:v>
      </x:c>
      <x:c r="N2664" s="5" t="n">
        <x:v>16</x:v>
      </x:c>
      <x:c r="O2664" s="5" t="str"/>
      <x:c r="P2664" s="5" t="str">
        <x:v>Zuordnungsvorschlag; Fachfreigabe ausstehend</x:v>
      </x:c>
      <x:c r="Q2664" s="5" t="str">
        <x:v>Bestehendes Lernthema fachlich unter passendem Rahmenplan-Unterbereich behalten</x:v>
      </x:c>
      <x:c r="R2664" s="5" t="str">
        <x:v>Wann ist eine geteilte Moderation sinnvoll und wie werden Arbeits- und Projektgruppen in Orientierungs-, Arbeits- und Abschlussphase gesteuert?</x:v>
      </x:c>
      <x:c r="S2664" s="5" t="str">
        <x:v>d838cc9118fc19c25cf9c993c75699b668cd27c5a8aa3d4fc06903ece082d45e</x:v>
      </x:c>
    </x:row>
    <x:row r="2665" ht="36" customHeight="1">
      <x:c r="A2665" s="5" t="str">
        <x:v>PF-0178</x:v>
      </x:c>
      <x:c r="B2665" s="5" t="str">
        <x:v>HQ</x:v>
      </x:c>
      <x:c r="C2665" s="5" t="str">
        <x:v>9</x:v>
      </x:c>
      <x:c r="D2665" s="5" t="str">
        <x:v>Führung und Zusammenarbeit</x:v>
      </x:c>
      <x:c r="E2665" s="5" t="str">
        <x:v>Führung und Zusammenarbeit</x:v>
      </x:c>
      <x:c r="F2665" s="5" t="str">
        <x:v>ui-hq-0037</x:v>
      </x:c>
      <x:c r="G2665" s="5" t="str">
        <x:v>Moderation von Projektgruppen</x:v>
      </x:c>
      <x:c r="H2665" s="5" t="str">
        <x:v>dg-hq-0016</x:v>
      </x:c>
      <x:c r="I2665" s="5" t="str">
        <x:v>9.6.1</x:v>
      </x:c>
      <x:c r="J2665" s="5" t="str">
        <x:v>Arbeitsgruppen, Teams und Projektgruppen</x:v>
      </x:c>
      <x:c r="K2665" s="5" t="str"/>
      <x:c r="L2665" s="5" t="str">
        <x:v>Gruppen, Teams &amp; Projektgruppen</x:v>
      </x:c>
      <x:c r="M2665" s="5" t="n">
        <x:v>27</x:v>
      </x:c>
      <x:c r="N2665" s="5" t="n">
        <x:v>9</x:v>
      </x:c>
      <x:c r="O2665" s="5" t="str"/>
      <x:c r="P2665" s="5" t="str">
        <x:v>Zuordnungsvorschlag; Fachfreigabe ausstehend</x:v>
      </x:c>
      <x:c r="Q2665" s="5" t="str">
        <x:v>Bestehendes Lernthema fachlich unter passendem Rahmenplan-Unterbereich behalten</x:v>
      </x:c>
      <x:c r="R2665" s="5" t="str">
        <x:v>Welche typischen informellen Rollen können Gruppenmitglieder einnehmen und wie sollte die Führungskraft jeweils reagieren?</x:v>
      </x:c>
      <x:c r="S2665" s="5" t="str">
        <x:v>dc75970623f0d2d577bc8cba3868db4ac2061b434664d7714210609468aeceeb</x:v>
      </x:c>
    </x:row>
    <x:row r="2666" ht="36" customHeight="1">
      <x:c r="A2666" s="5" t="str">
        <x:v>PF-0179</x:v>
      </x:c>
      <x:c r="B2666" s="5" t="str">
        <x:v>HQ</x:v>
      </x:c>
      <x:c r="C2666" s="5" t="str">
        <x:v>9</x:v>
      </x:c>
      <x:c r="D2666" s="5" t="str">
        <x:v>Führung und Zusammenarbeit</x:v>
      </x:c>
      <x:c r="E2666" s="5" t="str">
        <x:v>Führung und Zusammenarbeit</x:v>
      </x:c>
      <x:c r="F2666" s="5" t="str">
        <x:v>ui-hq-0038</x:v>
      </x:c>
      <x:c r="G2666" s="5" t="str">
        <x:v>Präsentationstechniken</x:v>
      </x:c>
      <x:c r="H2666" s="5" t="str">
        <x:v>dg-hq-0019</x:v>
      </x:c>
      <x:c r="I2666" s="5" t="str">
        <x:v>9.7.3.1</x:v>
      </x:c>
      <x:c r="J2666" s="5" t="str">
        <x:v>Thema und Ziel der Präsentation</x:v>
      </x:c>
      <x:c r="K2666" s="5" t="str"/>
      <x:c r="L2666" s="5" t="str">
        <x:v>Präsentationstechniken</x:v>
      </x:c>
      <x:c r="M2666" s="5" t="n">
        <x:v>16</x:v>
      </x:c>
      <x:c r="N2666" s="5" t="n">
        <x:v>16</x:v>
      </x:c>
      <x:c r="O2666" s="5" t="str"/>
      <x:c r="P2666" s="5" t="str">
        <x:v>Zuordnungsvorschlag; Fachfreigabe ausstehend</x:v>
      </x:c>
      <x:c r="Q2666" s="5" t="str">
        <x:v>Bestehendes Lernthema fachlich unter passendem Rahmenplan-Unterbereich behalten</x:v>
      </x:c>
      <x:c r="R2666" s="5" t="str">
        <x:v>Was bedeutet Watzlawicks Aussage „Man kann nicht nicht kommunizieren“, und warum ist kongruente Kommunikation für Präsentationen wichtig?</x:v>
      </x:c>
      <x:c r="S2666" s="5" t="str">
        <x:v>f238dcfb00c355da4cabee2ad801203520582e1a5f5e7744a2beb256479777c1</x:v>
      </x:c>
    </x:row>
    <x:row r="2667" ht="36" customHeight="1">
      <x:c r="A2667" s="5" t="str">
        <x:v>PF-0180</x:v>
      </x:c>
      <x:c r="B2667" s="5" t="str">
        <x:v>HQ</x:v>
      </x:c>
      <x:c r="C2667" s="5" t="str">
        <x:v>9</x:v>
      </x:c>
      <x:c r="D2667" s="5" t="str">
        <x:v>Führung und Zusammenarbeit</x:v>
      </x:c>
      <x:c r="E2667" s="5" t="str">
        <x:v>Führung und Zusammenarbeit</x:v>
      </x:c>
      <x:c r="F2667" s="5" t="str">
        <x:v>ui-hq-0038</x:v>
      </x:c>
      <x:c r="G2667" s="5" t="str">
        <x:v>Präsentationstechniken</x:v>
      </x:c>
      <x:c r="H2667" s="5" t="str">
        <x:v>dg-hq-0019</x:v>
      </x:c>
      <x:c r="I2667" s="5" t="str">
        <x:v>9.7.3.1</x:v>
      </x:c>
      <x:c r="J2667" s="5" t="str">
        <x:v>Thema und Ziel der Präsentation</x:v>
      </x:c>
      <x:c r="K2667" s="5" t="str"/>
      <x:c r="L2667" s="5" t="str">
        <x:v>Präsentationstechniken</x:v>
      </x:c>
      <x:c r="M2667" s="5" t="n">
        <x:v>17</x:v>
      </x:c>
      <x:c r="N2667" s="5" t="n">
        <x:v>17</x:v>
      </x:c>
      <x:c r="O2667" s="5" t="str"/>
      <x:c r="P2667" s="5" t="str">
        <x:v>Zuordnungsvorschlag; Fachfreigabe ausstehend</x:v>
      </x:c>
      <x:c r="Q2667" s="5" t="str">
        <x:v>Bestehendes Lernthema fachlich unter passendem Rahmenplan-Unterbereich behalten</x:v>
      </x:c>
      <x:c r="R2667" s="5" t="str">
        <x:v>Wählen Sie für verschiedene Präsentationssituationen geeignete Medien und Diagrammarten aus und begründen Sie die Auswahl.</x:v>
      </x:c>
      <x:c r="S2667" s="5" t="str">
        <x:v>469b84de5bda575a0007de9345d6c33c6a1ae918be94431c19bfeda6b94ed5c6</x:v>
      </x:c>
    </x:row>
    <x:row r="2668" ht="36" customHeight="1">
      <x:c r="A2668" s="5" t="str">
        <x:v>PF-0181</x:v>
      </x:c>
      <x:c r="B2668" s="5" t="str">
        <x:v>HQ</x:v>
      </x:c>
      <x:c r="C2668" s="5" t="str">
        <x:v>9</x:v>
      </x:c>
      <x:c r="D2668" s="5" t="str">
        <x:v>Führung und Zusammenarbeit</x:v>
      </x:c>
      <x:c r="E2668" s="5" t="str">
        <x:v>Führung und Zusammenarbeit</x:v>
      </x:c>
      <x:c r="F2668" s="5" t="str">
        <x:v>ui-hq-0032</x:v>
      </x:c>
      <x:c r="G2668" s="5" t="str">
        <x:v>Zusammenarbeit, Kommunikation und Kooperation</x:v>
      </x:c>
      <x:c r="H2668" s="5" t="str">
        <x:v>dg-hq-0001</x:v>
      </x:c>
      <x:c r="I2668" s="5" t="str">
        <x:v>9.1.4.4</x:v>
      </x:c>
      <x:c r="J2668" s="5" t="str">
        <x:v>Führungsdefizite und Maßnahmen zu deren Abhilfe</x:v>
      </x:c>
      <x:c r="K2668" s="5" t="str"/>
      <x:c r="L2668" s="5" t="str">
        <x:v>Grundlagen der Führung</x:v>
      </x:c>
      <x:c r="M2668" s="5" t="n">
        <x:v>62</x:v>
      </x:c>
      <x:c r="N2668" s="5" t="n">
        <x:v>49</x:v>
      </x:c>
      <x:c r="O2668" s="5" t="str"/>
      <x:c r="P2668" s="5" t="str">
        <x:v>Zuordnungsvorschlag; Fachfreigabe ausstehend</x:v>
      </x:c>
      <x:c r="Q2668" s="5" t="str">
        <x:v>Bestehendes Lernthema fachlich unter passendem Rahmenplan-Unterbereich behalten</x:v>
      </x:c>
      <x:c r="R2668" s="5" t="str">
        <x:v>Bei der Circle Harbor GmbH erreicht eine fachlich sehr qualifizierte Mitarbeiterin ihre Ziele nicht. Sie ist motiviert, erhält aber für wichtige Entscheidungen weder die notwendigen Systemrechte noch ausreichende Informationen. Analysieren Sie die Situation mit dem Modell Können – Wollen – Dürfen und leiten Sie geeignete Führungsmaßnahmen ab.</x:v>
      </x:c>
      <x:c r="S2668" s="5" t="str">
        <x:v>d7f750e2986478d4e3f01880be47b7fe1f17bbf6819a30b39575afee582210f1</x:v>
      </x:c>
    </x:row>
    <x:row r="2669" ht="36" customHeight="1">
      <x:c r="A2669" s="5" t="str">
        <x:v>PF-0182</x:v>
      </x:c>
      <x:c r="B2669" s="5" t="str">
        <x:v>HQ</x:v>
      </x:c>
      <x:c r="C2669" s="5" t="str">
        <x:v>9</x:v>
      </x:c>
      <x:c r="D2669" s="5" t="str">
        <x:v>Führung und Zusammenarbeit</x:v>
      </x:c>
      <x:c r="E2669" s="5" t="str">
        <x:v>Führung und Zusammenarbeit</x:v>
      </x:c>
      <x:c r="F2669" s="5" t="str">
        <x:v>ui-hq-0032</x:v>
      </x:c>
      <x:c r="G2669" s="5" t="str">
        <x:v>Zusammenarbeit, Kommunikation und Kooperation</x:v>
      </x:c>
      <x:c r="H2669" s="5" t="str">
        <x:v>dg-hq-0001</x:v>
      </x:c>
      <x:c r="I2669" s="5" t="str">
        <x:v>9.1.4</x:v>
      </x:c>
      <x:c r="J2669" s="5" t="str">
        <x:v>Zielorientiertes Führen</x:v>
      </x:c>
      <x:c r="K2669" s="5" t="str"/>
      <x:c r="L2669" s="5" t="str">
        <x:v>Grundlagen der Führung</x:v>
      </x:c>
      <x:c r="M2669" s="5" t="n">
        <x:v>63</x:v>
      </x:c>
      <x:c r="N2669" s="5" t="n">
        <x:v>50</x:v>
      </x:c>
      <x:c r="O2669" s="5" t="str"/>
      <x:c r="P2669" s="5" t="str">
        <x:v>Zuordnungsvorschlag; Fachfreigabe ausstehend</x:v>
      </x:c>
      <x:c r="Q2669" s="5" t="str">
        <x:v>Bestehendes Lernthema fachlich unter passendem Rahmenplan-Unterbereich behalten</x:v>
      </x:c>
      <x:c r="R2669" s="5" t="str">
        <x:v>Unterscheiden Sie Amts- beziehungsweise Positionsautorität, Fachautorität und persönliche Autorität. Grenzen Sie außerdem Handlungsverantwortung der Mitarbeitenden von Führungs- beziehungsweise Gesamtverantwortung der Führungskraft ab.</x:v>
      </x:c>
      <x:c r="S2669" s="5" t="str">
        <x:v>480a988117fda266dd5ee20971e3c38468670f3a7492544679d064ec07e77348</x:v>
      </x:c>
    </x:row>
    <x:row r="2670" ht="36" customHeight="1">
      <x:c r="A2670" s="5" t="str">
        <x:v>PF-0183</x:v>
      </x:c>
      <x:c r="B2670" s="5" t="str">
        <x:v>HQ</x:v>
      </x:c>
      <x:c r="C2670" s="5" t="str">
        <x:v>9</x:v>
      </x:c>
      <x:c r="D2670" s="5" t="str">
        <x:v>Führung und Zusammenarbeit</x:v>
      </x:c>
      <x:c r="E2670" s="5" t="str">
        <x:v>Führung und Zusammenarbeit</x:v>
      </x:c>
      <x:c r="F2670" s="5" t="str">
        <x:v>ui-hq-0032</x:v>
      </x:c>
      <x:c r="G2670" s="5" t="str">
        <x:v>Zusammenarbeit, Kommunikation und Kooperation</x:v>
      </x:c>
      <x:c r="H2670" s="5" t="str">
        <x:v>dg-hq-0001</x:v>
      </x:c>
      <x:c r="I2670" s="5" t="str">
        <x:v>9.1.4</x:v>
      </x:c>
      <x:c r="J2670" s="5" t="str">
        <x:v>Zielorientiertes Führen</x:v>
      </x:c>
      <x:c r="K2670" s="5" t="str"/>
      <x:c r="L2670" s="5" t="str">
        <x:v>Führungstechniken</x:v>
      </x:c>
      <x:c r="M2670" s="5" t="n">
        <x:v>64</x:v>
      </x:c>
      <x:c r="N2670" s="5" t="n">
        <x:v>51</x:v>
      </x:c>
      <x:c r="O2670" s="5" t="str"/>
      <x:c r="P2670" s="5" t="str">
        <x:v>Zuordnungsvorschlag; Fachfreigabe ausstehend</x:v>
      </x:c>
      <x:c r="Q2670" s="5" t="str">
        <x:v>Bestehendes Lernthema fachlich unter passendem Rahmenplan-Unterbereich behalten</x:v>
      </x:c>
      <x:c r="R2670" s="5" t="str">
        <x:v>Erläutern Sie Management by Options. Nennen Sie jeweils drei Vorteile und drei mögliche Nachteile und grenzen Sie die Technik von Management by Objectives ab.</x:v>
      </x:c>
      <x:c r="S2670" s="5" t="str">
        <x:v>53ae0744421a0db0e860dc075227dc4526029fa08b55583f5443eb5667c22112</x:v>
      </x:c>
    </x:row>
    <x:row r="2671" ht="36" customHeight="1">
      <x:c r="A2671" s="5" t="str">
        <x:v>PF-0184</x:v>
      </x:c>
      <x:c r="B2671" s="5" t="str">
        <x:v>HQ</x:v>
      </x:c>
      <x:c r="C2671" s="5" t="str">
        <x:v>9</x:v>
      </x:c>
      <x:c r="D2671" s="5" t="str">
        <x:v>Führung und Zusammenarbeit</x:v>
      </x:c>
      <x:c r="E2671" s="5" t="str">
        <x:v>Führung und Zusammenarbeit</x:v>
      </x:c>
      <x:c r="F2671" s="5" t="str">
        <x:v>ui-hq-0032</x:v>
      </x:c>
      <x:c r="G2671" s="5" t="str">
        <x:v>Zusammenarbeit, Kommunikation und Kooperation</x:v>
      </x:c>
      <x:c r="H2671" s="5" t="str">
        <x:v>dg-hq-0001</x:v>
      </x:c>
      <x:c r="I2671" s="5" t="str">
        <x:v>9.1.4</x:v>
      </x:c>
      <x:c r="J2671" s="5" t="str">
        <x:v>Zielorientiertes Führen</x:v>
      </x:c>
      <x:c r="K2671" s="5" t="str"/>
      <x:c r="L2671" s="5" t="str">
        <x:v>Führungsstile &amp; -konzepte</x:v>
      </x:c>
      <x:c r="M2671" s="5" t="n">
        <x:v>65</x:v>
      </x:c>
      <x:c r="N2671" s="5" t="n">
        <x:v>52</x:v>
      </x:c>
      <x:c r="O2671" s="5" t="str"/>
      <x:c r="P2671" s="5" t="str">
        <x:v>Zuordnungsvorschlag; Fachfreigabe ausstehend</x:v>
      </x:c>
      <x:c r="Q2671" s="5" t="str">
        <x:v>Bestehendes Lernthema fachlich unter passendem Rahmenplan-Unterbereich behalten</x:v>
      </x:c>
      <x:c r="R2671" s="5" t="str">
        <x:v>Die Circle Harbor GmbH führt einen neuen digitalen Service ein. Für den laufenden Betrieb sind klare Qualitäts- und Reaktionsziele nötig; gleichzeitig sollen die Mitarbeitenden die Veränderung verstehen, eigene Ideen entwickeln und Verantwortung übernehmen. Vergleichen Sie transaktionale und transformationale Führung und entwickeln Sie eine passende Kombination für die Situation.</x:v>
      </x:c>
      <x:c r="S2671" s="5" t="str">
        <x:v>108ed375262ce80410fa7ca2fe44d232f1afad0ae783005747ed3bbe4617086f</x:v>
      </x:c>
    </x:row>
    <x:row r="2672" ht="36" customHeight="1">
      <x:c r="A2672" s="5" t="str">
        <x:v>PF-0185</x:v>
      </x:c>
      <x:c r="B2672" s="5" t="str">
        <x:v>HQ</x:v>
      </x:c>
      <x:c r="C2672" s="5" t="str">
        <x:v>9</x:v>
      </x:c>
      <x:c r="D2672" s="5" t="str">
        <x:v>Führung und Zusammenarbeit</x:v>
      </x:c>
      <x:c r="E2672" s="5" t="str">
        <x:v>Führung und Zusammenarbeit</x:v>
      </x:c>
      <x:c r="F2672" s="5" t="str">
        <x:v>ui-hq-0032</x:v>
      </x:c>
      <x:c r="G2672" s="5" t="str">
        <x:v>Zusammenarbeit, Kommunikation und Kooperation</x:v>
      </x:c>
      <x:c r="H2672" s="5" t="str">
        <x:v>dg-hq-0001</x:v>
      </x:c>
      <x:c r="I2672" s="5" t="str">
        <x:v>9.1.4</x:v>
      </x:c>
      <x:c r="J2672" s="5" t="str">
        <x:v>Zielorientiertes Führen</x:v>
      </x:c>
      <x:c r="K2672" s="5" t="str"/>
      <x:c r="L2672" s="5" t="str">
        <x:v>Motivation &amp; Menschenbilder</x:v>
      </x:c>
      <x:c r="M2672" s="5" t="n">
        <x:v>66</x:v>
      </x:c>
      <x:c r="N2672" s="5" t="n">
        <x:v>53</x:v>
      </x:c>
      <x:c r="O2672" s="5" t="str"/>
      <x:c r="P2672" s="5" t="str">
        <x:v>Zuordnungsvorschlag; Fachfreigabe ausstehend</x:v>
      </x:c>
      <x:c r="Q2672" s="5" t="str">
        <x:v>Bestehendes Lernthema fachlich unter passendem Rahmenplan-Unterbereich behalten</x:v>
      </x:c>
      <x:c r="R2672" s="5" t="str">
        <x:v>Erläutern Sie Theorie X und Theorie Y nach Douglas McGregor. Zeigen Sie, wie die jeweilige Führungsannahme das Führungsverhalten beeinflussen kann, und erklären Sie, warum das Modell nicht zur starren Einteilung einzelner Beschäftigter verwendet werden sollte.</x:v>
      </x:c>
      <x:c r="S2672" s="5" t="str">
        <x:v>a0a700a17e0edad030642449cf61114eb97ef67a621c80b302a6a87f1b52fd5b</x:v>
      </x:c>
    </x:row>
    <x:row r="2673" ht="36" customHeight="1">
      <x:c r="A2673" s="5" t="str">
        <x:v>PF-0186</x:v>
      </x:c>
      <x:c r="B2673" s="5" t="str">
        <x:v>HQ</x:v>
      </x:c>
      <x:c r="C2673" s="5" t="str">
        <x:v>9</x:v>
      </x:c>
      <x:c r="D2673" s="5" t="str">
        <x:v>Führung und Zusammenarbeit</x:v>
      </x:c>
      <x:c r="E2673" s="5" t="str">
        <x:v>Führung und Zusammenarbeit</x:v>
      </x:c>
      <x:c r="F2673" s="5" t="str">
        <x:v>ui-hq-0032</x:v>
      </x:c>
      <x:c r="G2673" s="5" t="str">
        <x:v>Zusammenarbeit, Kommunikation und Kooperation</x:v>
      </x:c>
      <x:c r="H2673" s="5" t="str">
        <x:v>dg-hq-0022</x:v>
      </x:c>
      <x:c r="I2673" s="5" t="str">
        <x:v>9.1.5</x:v>
      </x:c>
      <x:c r="J2673" s="5" t="str">
        <x:v>Grundsätze der Zusammenarbeit</x:v>
      </x:c>
      <x:c r="K2673" s="5" t="str"/>
      <x:c r="L2673" s="5" t="str">
        <x:v>Kommunikation &amp; Gesprächsführung</x:v>
      </x:c>
      <x:c r="M2673" s="5" t="n">
        <x:v>67</x:v>
      </x:c>
      <x:c r="N2673" s="5" t="n">
        <x:v>1</x:v>
      </x:c>
      <x:c r="O2673" s="5" t="str"/>
      <x:c r="P2673" s="5" t="str">
        <x:v>Zuordnungsvorschlag; Fachfreigabe ausstehend</x:v>
      </x:c>
      <x:c r="Q2673" s="5" t="str">
        <x:v>Bestehendes Lernthema fachlich unter passendem Rahmenplan-Unterbereich behalten</x:v>
      </x:c>
      <x:c r="R2673" s="5" t="str">
        <x:v>Beschreiben Sie die drei grundlegenden Ich-Zustände der Transaktionsanalyse und nennen Sie die in den Dozentenunterlagen verwendeten Unterformen des Eltern- und Kind-Ichs.</x:v>
      </x:c>
      <x:c r="S2673" s="5" t="str">
        <x:v>604da74b862905a38c1f5ad20e33f2c7c9260b787d43d5cf5a9dfdff95cac60a</x:v>
      </x:c>
    </x:row>
    <x:row r="2674" ht="36" customHeight="1">
      <x:c r="A2674" s="5" t="str">
        <x:v>PF-0187</x:v>
      </x:c>
      <x:c r="B2674" s="5" t="str">
        <x:v>HQ</x:v>
      </x:c>
      <x:c r="C2674" s="5" t="str">
        <x:v>9</x:v>
      </x:c>
      <x:c r="D2674" s="5" t="str">
        <x:v>Führung und Zusammenarbeit</x:v>
      </x:c>
      <x:c r="E2674" s="5" t="str">
        <x:v>Führung und Zusammenarbeit</x:v>
      </x:c>
      <x:c r="F2674" s="5" t="str">
        <x:v>ui-hq-0032</x:v>
      </x:c>
      <x:c r="G2674" s="5" t="str">
        <x:v>Zusammenarbeit, Kommunikation und Kooperation</x:v>
      </x:c>
      <x:c r="H2674" s="5" t="str">
        <x:v>dg-hq-0022</x:v>
      </x:c>
      <x:c r="I2674" s="5" t="str">
        <x:v>9.1.5</x:v>
      </x:c>
      <x:c r="J2674" s="5" t="str">
        <x:v>Grundsätze der Zusammenarbeit</x:v>
      </x:c>
      <x:c r="K2674" s="5" t="str"/>
      <x:c r="L2674" s="5" t="str">
        <x:v>Kommunikation &amp; Gesprächsführung</x:v>
      </x:c>
      <x:c r="M2674" s="5" t="n">
        <x:v>68</x:v>
      </x:c>
      <x:c r="N2674" s="5" t="n">
        <x:v>2</x:v>
      </x:c>
      <x:c r="O2674" s="5" t="str"/>
      <x:c r="P2674" s="5" t="str">
        <x:v>Zuordnungsvorschlag; Fachfreigabe ausstehend</x:v>
      </x:c>
      <x:c r="Q2674" s="5" t="str">
        <x:v>Bestehendes Lernthema fachlich unter passendem Rahmenplan-Unterbereich behalten</x:v>
      </x:c>
      <x:c r="R2674" s="5" t="str">
        <x:v>Bei der Circle Harbor GmbH fragt eine Führungskraft sachlich: „Welche Daten fehlen Ihnen noch, damit Sie die Entscheidung treffen können?“ Der Mitarbeiter antwortet gereizt: „Sie glauben doch sowieso, dass ich das nicht kann!“ Erläutern Sie mit der Transaktionsanalyse, warum der Gesprächsfluss gestört ist. Unterscheiden Sie komplementäre, gekreuzte und verdeckte Transaktionen und nennen Sie die konstruktive Grundeinstellung der vier OK-Positionen.</x:v>
      </x:c>
      <x:c r="S2674" s="5" t="str">
        <x:v>618bfec3d0d0b5d32dfdeffabb8f589da0e3633eb7a57e2722754851e7c896d9</x:v>
      </x:c>
    </x:row>
    <x:row r="2675" ht="36" customHeight="1">
      <x:c r="A2675" s="5" t="str">
        <x:v>PF-0188</x:v>
      </x:c>
      <x:c r="B2675" s="5" t="str">
        <x:v>HQ</x:v>
      </x:c>
      <x:c r="C2675" s="5" t="str">
        <x:v>9</x:v>
      </x:c>
      <x:c r="D2675" s="5" t="str">
        <x:v>Führung und Zusammenarbeit</x:v>
      </x:c>
      <x:c r="E2675" s="5" t="str">
        <x:v>Führung und Zusammenarbeit</x:v>
      </x:c>
      <x:c r="F2675" s="5" t="str">
        <x:v>ui-hq-0034</x:v>
      </x:c>
      <x:c r="G2675" s="5" t="str">
        <x:v>Konfliktmanagement</x:v>
      </x:c>
      <x:c r="H2675" s="5" t="str">
        <x:v>dg-hq-0005</x:v>
      </x:c>
      <x:c r="I2675" s="5" t="str">
        <x:v>9.3.3</x:v>
      </x:c>
      <x:c r="J2675" s="5" t="str">
        <x:v>Maßnahmen im Umgang mit Konflikten</x:v>
      </x:c>
      <x:c r="K2675" s="5" t="str"/>
      <x:c r="L2675" s="5" t="str">
        <x:v>Konfliktmanagement &amp; Veränderungswiderstände</x:v>
      </x:c>
      <x:c r="M2675" s="5" t="n">
        <x:v>17</x:v>
      </x:c>
      <x:c r="N2675" s="5" t="n">
        <x:v>17</x:v>
      </x:c>
      <x:c r="O2675" s="5" t="str"/>
      <x:c r="P2675" s="5" t="str">
        <x:v>Zuordnungsvorschlag; Fachfreigabe ausstehend</x:v>
      </x:c>
      <x:c r="Q2675" s="5" t="str">
        <x:v>Bestehendes Lernthema fachlich unter passendem Rahmenplan-Unterbereich behalten</x:v>
      </x:c>
      <x:c r="R2675" s="5" t="str">
        <x:v>Nennen und erläutern Sie die fünf zentralen Schritte beziehungsweise Grundgedanken der interessenorientierten Verhandlung nach der Harvard-Logik.</x:v>
      </x:c>
      <x:c r="S2675" s="5" t="str">
        <x:v>13b47e0ad3b0794535d44c56b1acc57d85587747bb4b681aa2b7aed46cc86797</x:v>
      </x:c>
    </x:row>
    <x:row r="2676" ht="36" customHeight="1">
      <x:c r="A2676" s="5" t="str">
        <x:v>PF-0189</x:v>
      </x:c>
      <x:c r="B2676" s="5" t="str">
        <x:v>HQ</x:v>
      </x:c>
      <x:c r="C2676" s="5" t="str">
        <x:v>9</x:v>
      </x:c>
      <x:c r="D2676" s="5" t="str">
        <x:v>Führung und Zusammenarbeit</x:v>
      </x:c>
      <x:c r="E2676" s="5" t="str">
        <x:v>Führung und Zusammenarbeit</x:v>
      </x:c>
      <x:c r="F2676" s="5" t="str">
        <x:v>ui-hq-0034</x:v>
      </x:c>
      <x:c r="G2676" s="5" t="str">
        <x:v>Konfliktmanagement</x:v>
      </x:c>
      <x:c r="H2676" s="5" t="str">
        <x:v>dg-hq-0005</x:v>
      </x:c>
      <x:c r="I2676" s="5" t="str">
        <x:v>9.3.3</x:v>
      </x:c>
      <x:c r="J2676" s="5" t="str">
        <x:v>Maßnahmen im Umgang mit Konflikten</x:v>
      </x:c>
      <x:c r="K2676" s="5" t="str"/>
      <x:c r="L2676" s="5" t="str">
        <x:v>Konfliktmanagement &amp; Veränderungswiderstände</x:v>
      </x:c>
      <x:c r="M2676" s="5" t="n">
        <x:v>18</x:v>
      </x:c>
      <x:c r="N2676" s="5" t="n">
        <x:v>18</x:v>
      </x:c>
      <x:c r="O2676" s="5" t="str"/>
      <x:c r="P2676" s="5" t="str">
        <x:v>Zuordnungsvorschlag; Fachfreigabe ausstehend</x:v>
      </x:c>
      <x:c r="Q2676" s="5" t="str">
        <x:v>Bestehendes Lernthema fachlich unter passendem Rahmenplan-Unterbereich behalten</x:v>
      </x:c>
      <x:c r="R2676" s="5" t="str">
        <x:v>Die Leitung der Circle Harbor GmbH erwartet von einer Teamleiterin konsequente Kostensenkung. Gleichzeitig erwartet ihr Team zusätzliche Ressourcen, um die zugesagte Servicequalität einzuhalten. Ordnen Sie die Situation als Rollenkonflikt ein und unterscheiden Sie Intra-Rollen-, Inter-Rollen- und Person-Rollen-Konflikt.</x:v>
      </x:c>
      <x:c r="S2676" s="5" t="str">
        <x:v>d9ae2c4b87194d66db14cc2112e3a10260962d0257000b13678ca349e4986718</x:v>
      </x:c>
    </x:row>
    <x:row r="2677" ht="36" customHeight="1">
      <x:c r="A2677" s="5" t="str">
        <x:v>PF-0190</x:v>
      </x:c>
      <x:c r="B2677" s="5" t="str">
        <x:v>HQ</x:v>
      </x:c>
      <x:c r="C2677" s="5" t="str">
        <x:v>9</x:v>
      </x:c>
      <x:c r="D2677" s="5" t="str">
        <x:v>Führung und Zusammenarbeit</x:v>
      </x:c>
      <x:c r="E2677" s="5" t="str">
        <x:v>Führung und Zusammenarbeit</x:v>
      </x:c>
      <x:c r="F2677" s="5" t="str">
        <x:v>ui-hq-0033</x:v>
      </x:c>
      <x:c r="G2677" s="5" t="str">
        <x:v>Mitarbeitergespräche</x:v>
      </x:c>
      <x:c r="H2677" s="5" t="str">
        <x:v>dg-hq-0002</x:v>
      </x:c>
      <x:c r="I2677" s="5" t="str">
        <x:v>9.2.2</x:v>
      </x:c>
      <x:c r="J2677" s="5" t="str">
        <x:v>Beurteilungsgespräch</x:v>
      </x:c>
      <x:c r="K2677" s="5" t="str"/>
      <x:c r="L2677" s="5" t="str">
        <x:v>Mitarbeitergespräche</x:v>
      </x:c>
      <x:c r="M2677" s="5" t="n">
        <x:v>24</x:v>
      </x:c>
      <x:c r="N2677" s="5" t="n">
        <x:v>20</x:v>
      </x:c>
      <x:c r="O2677" s="5" t="str"/>
      <x:c r="P2677" s="5" t="str">
        <x:v>Zuordnungsvorschlag; Fachfreigabe ausstehend</x:v>
      </x:c>
      <x:c r="Q2677" s="5" t="str">
        <x:v>Bestehendes Lernthema fachlich unter passendem Rahmenplan-Unterbereich behalten</x:v>
      </x:c>
      <x:c r="R2677" s="5" t="str">
        <x:v>Die Circle Harbor GmbH plant nach längerer krankheitsbedingter Abwesenheit eines Mitarbeiters ein Rückkehrgespräch. Erläutern Sie Ziel und Ablauf eines sinnvollen Wiedereinstiegsgesprächs und grenzen Sie es vom betrieblichen Eingliederungsmanagement nach § 167 Abs. 2 SGB IX ab.</x:v>
      </x:c>
      <x:c r="S2677" s="5" t="str">
        <x:v>fe0410b4e7c38e51be74f5a8ed06c46f77737a97853b14888bbe47a0f2d953f6</x:v>
      </x:c>
    </x:row>
    <x:row r="2678" ht="36" customHeight="1">
      <x:c r="A2678" s="5" t="str">
        <x:v>PF-0191</x:v>
      </x:c>
      <x:c r="B2678" s="5" t="str">
        <x:v>HQ</x:v>
      </x:c>
      <x:c r="C2678" s="5" t="str">
        <x:v>9</x:v>
      </x:c>
      <x:c r="D2678" s="5" t="str">
        <x:v>Führung und Zusammenarbeit</x:v>
      </x:c>
      <x:c r="E2678" s="5" t="str">
        <x:v>Führung und Zusammenarbeit</x:v>
      </x:c>
      <x:c r="F2678" s="5" t="str">
        <x:v>ui-hq-0033</x:v>
      </x:c>
      <x:c r="G2678" s="5" t="str">
        <x:v>Mitarbeitergespräche</x:v>
      </x:c>
      <x:c r="H2678" s="5" t="str">
        <x:v>dg-hq-0002</x:v>
      </x:c>
      <x:c r="I2678" s="5" t="str">
        <x:v>9.2.2</x:v>
      </x:c>
      <x:c r="J2678" s="5" t="str">
        <x:v>Beurteilungsgespräch</x:v>
      </x:c>
      <x:c r="K2678" s="5" t="str"/>
      <x:c r="L2678" s="5" t="str">
        <x:v>Mitarbeitergespräche</x:v>
      </x:c>
      <x:c r="M2678" s="5" t="n">
        <x:v>25</x:v>
      </x:c>
      <x:c r="N2678" s="5" t="n">
        <x:v>21</x:v>
      </x:c>
      <x:c r="O2678" s="5" t="str"/>
      <x:c r="P2678" s="5" t="str">
        <x:v>Zuordnungsvorschlag; Fachfreigabe ausstehend</x:v>
      </x:c>
      <x:c r="Q2678" s="5" t="str">
        <x:v>Bestehendes Lernthema fachlich unter passendem Rahmenplan-Unterbereich behalten</x:v>
      </x:c>
      <x:c r="R2678" s="5" t="str">
        <x:v>Die Circle Harbor GmbH überträgt einer erfahrenen Sachbearbeiterin erstmals die eigenständige Koordination eines kleinen Verbesserungsprojekts. Beschreiben Sie einen professionellen Ablauf des Delegationsgesprächs und nennen Sie die Punkte, die verbindlich geklärt werden müssen.</x:v>
      </x:c>
      <x:c r="S2678" s="5" t="str">
        <x:v>99d2b39bec2845410ae4939b12d645912d4e5aa4a70350257eaac4114cb91b48</x:v>
      </x:c>
    </x:row>
    <x:row r="2679" ht="36" customHeight="1">
      <x:c r="A2679" s="5" t="str">
        <x:v>PF-0192</x:v>
      </x:c>
      <x:c r="B2679" s="5" t="str">
        <x:v>HQ</x:v>
      </x:c>
      <x:c r="C2679" s="5" t="str">
        <x:v>9</x:v>
      </x:c>
      <x:c r="D2679" s="5" t="str">
        <x:v>Führung und Zusammenarbeit</x:v>
      </x:c>
      <x:c r="E2679" s="5" t="str">
        <x:v>Führung und Zusammenarbeit</x:v>
      </x:c>
      <x:c r="F2679" s="5" t="str">
        <x:v>ui-hq-0033</x:v>
      </x:c>
      <x:c r="G2679" s="5" t="str">
        <x:v>Mitarbeitergespräche</x:v>
      </x:c>
      <x:c r="H2679" s="5" t="str">
        <x:v>dg-hq-0002</x:v>
      </x:c>
      <x:c r="I2679" s="5" t="str">
        <x:v>9.2.2</x:v>
      </x:c>
      <x:c r="J2679" s="5" t="str">
        <x:v>Beurteilungsgespräch</x:v>
      </x:c>
      <x:c r="K2679" s="5" t="str"/>
      <x:c r="L2679" s="5" t="str">
        <x:v>Mitarbeitergespräche</x:v>
      </x:c>
      <x:c r="M2679" s="5" t="n">
        <x:v>26</x:v>
      </x:c>
      <x:c r="N2679" s="5" t="n">
        <x:v>22</x:v>
      </x:c>
      <x:c r="O2679" s="5" t="str"/>
      <x:c r="P2679" s="5" t="str">
        <x:v>Zuordnungsvorschlag; Fachfreigabe ausstehend</x:v>
      </x:c>
      <x:c r="Q2679" s="5" t="str">
        <x:v>Bestehendes Lernthema fachlich unter passendem Rahmenplan-Unterbereich behalten</x:v>
      </x:c>
      <x:c r="R2679" s="5" t="str">
        <x:v>Die Circle Harbor GmbH sucht eine Teamleitung für den Kundenservice. Beschreiben Sie den Ablauf eines strukturierten Bewerbungsgesprächs und erläutern Sie, wie Vergleichbarkeit und Anforderungsbezug sichergestellt werden.</x:v>
      </x:c>
      <x:c r="S2679" s="5" t="str">
        <x:v>133cda21e47b75f98b04fffa5b6634bbc4ba6c7a1db7cd2e14b6e28d5712daa5</x:v>
      </x:c>
    </x:row>
    <x:row r="2680" ht="36" customHeight="1">
      <x:c r="A2680" s="5" t="str">
        <x:v>PF-0193</x:v>
      </x:c>
      <x:c r="B2680" s="5" t="str">
        <x:v>HQ</x:v>
      </x:c>
      <x:c r="C2680" s="5" t="str">
        <x:v>9</x:v>
      </x:c>
      <x:c r="D2680" s="5" t="str">
        <x:v>Führung und Zusammenarbeit</x:v>
      </x:c>
      <x:c r="E2680" s="5" t="str">
        <x:v>Führung und Zusammenarbeit</x:v>
      </x:c>
      <x:c r="F2680" s="5" t="str">
        <x:v>ui-hq-0033</x:v>
      </x:c>
      <x:c r="G2680" s="5" t="str">
        <x:v>Mitarbeitergespräche</x:v>
      </x:c>
      <x:c r="H2680" s="5" t="str">
        <x:v>dg-hq-0002</x:v>
      </x:c>
      <x:c r="I2680" s="5" t="str">
        <x:v>9.2.2</x:v>
      </x:c>
      <x:c r="J2680" s="5" t="str">
        <x:v>Beurteilungsgespräch</x:v>
      </x:c>
      <x:c r="K2680" s="5" t="str"/>
      <x:c r="L2680" s="5" t="str">
        <x:v>Mitarbeitergespräche</x:v>
      </x:c>
      <x:c r="M2680" s="5" t="n">
        <x:v>27</x:v>
      </x:c>
      <x:c r="N2680" s="5" t="n">
        <x:v>23</x:v>
      </x:c>
      <x:c r="O2680" s="5" t="str"/>
      <x:c r="P2680" s="5" t="str">
        <x:v>Zuordnungsvorschlag; Fachfreigabe ausstehend</x:v>
      </x:c>
      <x:c r="Q2680" s="5" t="str">
        <x:v>Bestehendes Lernthema fachlich unter passendem Rahmenplan-Unterbereich behalten</x:v>
      </x:c>
      <x:c r="R2680" s="5" t="str">
        <x:v>Die Circle Harbor GmbH stellt fest, dass wöchentliche Teammeetings häufig 90 Minuten dauern, obwohl nur wenige Entscheidungen getroffen werden. Entwickeln Sie einen effizienteren Besprechungsprozess von der Prüfung der Notwendigkeit bis zur Nachbereitung.</x:v>
      </x:c>
      <x:c r="S2680" s="5" t="str">
        <x:v>35a506c583e0f0fa2fbc22f59d318f32499cd99d7b57e9da7b499112f81c458c</x:v>
      </x:c>
    </x:row>
    <x:row r="2681" ht="36" customHeight="1">
      <x:c r="A2681" s="5" t="str">
        <x:v>PF-0194</x:v>
      </x:c>
      <x:c r="B2681" s="5" t="str">
        <x:v>HQ</x:v>
      </x:c>
      <x:c r="C2681" s="5" t="str">
        <x:v>9</x:v>
      </x:c>
      <x:c r="D2681" s="5" t="str">
        <x:v>Führung und Zusammenarbeit</x:v>
      </x:c>
      <x:c r="E2681" s="5" t="str">
        <x:v>Führung und Zusammenarbeit</x:v>
      </x:c>
      <x:c r="F2681" s="5" t="str">
        <x:v>ui-hq-0035</x:v>
      </x:c>
      <x:c r="G2681" s="5" t="str">
        <x:v>Mitarbeiterförderung</x:v>
      </x:c>
      <x:c r="H2681" s="5" t="str">
        <x:v>dg-hq-0023</x:v>
      </x:c>
      <x:c r="I2681" s="5" t="str">
        <x:v>9.4.1</x:v>
      </x:c>
      <x:c r="J2681" s="5" t="str">
        <x:v>Personalentwicklung als Mittel der Steuerung und Förderung der personellen Ressourcen</x:v>
      </x:c>
      <x:c r="K2681" s="5" t="str">
        <x:v>4.2.6; 5.2.3.1</x:v>
      </x:c>
      <x:c r="L2681" s="5" t="str">
        <x:v>Personalmarketing &amp; Personalauswahl</x:v>
      </x:c>
      <x:c r="M2681" s="5" t="n">
        <x:v>11</x:v>
      </x:c>
      <x:c r="N2681" s="5" t="n">
        <x:v>1</x:v>
      </x:c>
      <x:c r="O2681" s="5" t="str">
        <x:v>E04</x:v>
      </x:c>
      <x:c r="P2681" s="5" t="str">
        <x:v>FACHLICHE ENTSCHEIDUNG FREIGEGEBEN; Inhaltsmaßnahme separat offen</x:v>
      </x:c>
      <x:c r="Q2681" s="5" t="str">
        <x:v>Freigegeben: sinnvolle Ergänzung unter Mitarbeiterförderung, jedoch ausdrücklich kein direkter Rahmenplan-Abdeckungsnachweis.</x:v>
      </x:c>
      <x:c r="R2681" s="5" t="str">
        <x:v>Die Circle Harbor GmbH möchte eine schwer zu besetzende Schnittstellenfunktion zwischen Vertrieb, Service und IT gewinnen. Entwickeln Sie ein zielgerichtetes internes und externes Personalmarketing und begründen Sie mindestens vier geeignete Kanäle beziehungsweise Maßnahmen.</x:v>
      </x:c>
      <x:c r="S2681" s="5" t="str">
        <x:v>4f4efa3de274b9c63c32c3e509880f9505c5cfcfeafa66180e48a81114425b9c</x:v>
      </x:c>
    </x:row>
    <x:row r="2682" ht="36" customHeight="1">
      <x:c r="A2682" s="5" t="str">
        <x:v>PF-0195</x:v>
      </x:c>
      <x:c r="B2682" s="5" t="str">
        <x:v>HQ</x:v>
      </x:c>
      <x:c r="C2682" s="5" t="str">
        <x:v>9</x:v>
      </x:c>
      <x:c r="D2682" s="5" t="str">
        <x:v>Führung und Zusammenarbeit</x:v>
      </x:c>
      <x:c r="E2682" s="5" t="str">
        <x:v>Führung und Zusammenarbeit</x:v>
      </x:c>
      <x:c r="F2682" s="5" t="str">
        <x:v>ui-hq-0035</x:v>
      </x:c>
      <x:c r="G2682" s="5" t="str">
        <x:v>Mitarbeiterförderung</x:v>
      </x:c>
      <x:c r="H2682" s="5" t="str">
        <x:v>dg-hq-0020</x:v>
      </x:c>
      <x:c r="I2682" s="5" t="str">
        <x:v>9.4.2.1</x:v>
      </x:c>
      <x:c r="J2682" s="5" t="str">
        <x:v>Instrument für den Entwicklungsprozess der Mitarbeiter</x:v>
      </x:c>
      <x:c r="K2682" s="5" t="str">
        <x:v>9.4.3; 5.2.3.3#4; 4.2.6</x:v>
      </x:c>
      <x:c r="L2682" s="5" t="str">
        <x:v>Personalmarketing &amp; Personalauswahl</x:v>
      </x:c>
      <x:c r="M2682" s="5" t="n">
        <x:v>12</x:v>
      </x:c>
      <x:c r="N2682" s="5" t="n">
        <x:v>2</x:v>
      </x:c>
      <x:c r="O2682" s="5" t="str">
        <x:v>E04</x:v>
      </x:c>
      <x:c r="P2682" s="5" t="str">
        <x:v>FACHLICHE ENTSCHEIDUNG FREIGEGEBEN; Inhaltsmaßnahme separat offen</x:v>
      </x:c>
      <x:c r="Q2682" s="5" t="str">
        <x:v>Freigegeben: anforderungsbezogene Potenzialdiagnostik; methodischer Teilbeleg.</x:v>
      </x:c>
      <x:c r="R2682" s="5" t="str">
        <x:v>Für eine neue Teamleitung im Kundenservice der Circle Harbor GmbH sind insbesondere Gesprächsführung, Priorisierung, Konfliktfähigkeit, fachliches Verständnis und Präsentationsfähigkeit wichtig. Ordnen Sie diesen Anforderungen jeweils ein geeignetes Auswahlverfahren zu und begründen Sie die Auswahl.</x:v>
      </x:c>
      <x:c r="S2682" s="5" t="str">
        <x:v>81d4f2d042330e42c3585a5d3ebb301c57700129c551c06cf9ed5c9645f0c5df</x:v>
      </x:c>
    </x:row>
    <x:row r="2683" ht="36" customHeight="1">
      <x:c r="A2683" s="5" t="str">
        <x:v>PF-0196</x:v>
      </x:c>
      <x:c r="B2683" s="5" t="str">
        <x:v>HQ</x:v>
      </x:c>
      <x:c r="C2683" s="5" t="str">
        <x:v>9</x:v>
      </x:c>
      <x:c r="D2683" s="5" t="str">
        <x:v>Führung und Zusammenarbeit</x:v>
      </x:c>
      <x:c r="E2683" s="5" t="str">
        <x:v>Führung und Zusammenarbeit</x:v>
      </x:c>
      <x:c r="F2683" s="5" t="str">
        <x:v>ui-hq-0035</x:v>
      </x:c>
      <x:c r="G2683" s="5" t="str">
        <x:v>Mitarbeiterförderung</x:v>
      </x:c>
      <x:c r="H2683" s="5" t="str">
        <x:v>dg-hq-0020</x:v>
      </x:c>
      <x:c r="I2683" s="5" t="str">
        <x:v>9.4.2.1</x:v>
      </x:c>
      <x:c r="J2683" s="5" t="str">
        <x:v>Instrument für den Entwicklungsprozess der Mitarbeiter</x:v>
      </x:c>
      <x:c r="K2683" s="5" t="str">
        <x:v>9.4.3; 5.2.3.3#4; 4.2.6</x:v>
      </x:c>
      <x:c r="L2683" s="5" t="str">
        <x:v>Personalmarketing &amp; Personalauswahl</x:v>
      </x:c>
      <x:c r="M2683" s="5" t="n">
        <x:v>13</x:v>
      </x:c>
      <x:c r="N2683" s="5" t="n">
        <x:v>3</x:v>
      </x:c>
      <x:c r="O2683" s="5" t="str">
        <x:v>E04</x:v>
      </x:c>
      <x:c r="P2683" s="5" t="str">
        <x:v>FACHLICHE ENTSCHEIDUNG FREIGEGEBEN; Inhaltsmaßnahme separat offen</x:v>
      </x:c>
      <x:c r="Q2683" s="5" t="str">
        <x:v>Freigegeben: Assessment-Center als Instrument der Potenzialdiagnostik.</x:v>
      </x:c>
      <x:c r="R2683" s="5" t="str">
        <x:v>Die Circle Harbor GmbH möchte für eine Bereichsleitung ein Assessment Center einsetzen. Beschreiben Sie, wie aus dem Anforderungsprofil ein belastbarer AC-Ablauf entwickelt wird. Nennen Sie mindestens vier geeignete Übungsformen.</x:v>
      </x:c>
      <x:c r="S2683" s="5" t="str">
        <x:v>f5cfb739f19d6c4fa6f16904422b02ba53c16135486647171293c43bef2bb07d</x:v>
      </x:c>
    </x:row>
    <x:row r="2684" ht="36" customHeight="1">
      <x:c r="A2684" s="5" t="str">
        <x:v>PF-0197</x:v>
      </x:c>
      <x:c r="B2684" s="5" t="str">
        <x:v>HQ</x:v>
      </x:c>
      <x:c r="C2684" s="5" t="str">
        <x:v>9</x:v>
      </x:c>
      <x:c r="D2684" s="5" t="str">
        <x:v>Führung und Zusammenarbeit</x:v>
      </x:c>
      <x:c r="E2684" s="5" t="str">
        <x:v>Führung und Zusammenarbeit</x:v>
      </x:c>
      <x:c r="F2684" s="5" t="str">
        <x:v>ui-hq-0035</x:v>
      </x:c>
      <x:c r="G2684" s="5" t="str">
        <x:v>Mitarbeiterförderung</x:v>
      </x:c>
      <x:c r="H2684" s="5" t="str">
        <x:v>dg-hq-0024</x:v>
      </x:c>
      <x:c r="I2684" s="5" t="str">
        <x:v>9.4.3</x:v>
      </x:c>
      <x:c r="J2684" s="5" t="str">
        <x:v>Personaleinschätzung</x:v>
      </x:c>
      <x:c r="K2684" s="5" t="str">
        <x:v>9.2.2.4; 9.4.2.1; 5.2.3.3#4</x:v>
      </x:c>
      <x:c r="L2684" s="5" t="str">
        <x:v>Personalmarketing &amp; Personalauswahl</x:v>
      </x:c>
      <x:c r="M2684" s="5" t="n">
        <x:v>14</x:v>
      </x:c>
      <x:c r="N2684" s="5" t="n">
        <x:v>1</x:v>
      </x:c>
      <x:c r="O2684" s="5" t="str">
        <x:v>E04</x:v>
      </x:c>
      <x:c r="P2684" s="5" t="str">
        <x:v>FACHLICHE ENTSCHEIDUNG FREIGEGEBEN; Inhaltsmaßnahme separat offen</x:v>
      </x:c>
      <x:c r="Q2684" s="5" t="str">
        <x:v>Freigegeben: Qualität und Fehler der Personaleinschätzung.</x:v>
      </x:c>
      <x:c r="R2684" s="5" t="str">
        <x:v>Erläutern Sie vier Qualitätsanforderungen an ein Assessment Center und nennen Sie vier typische Beobachtungs- oder Bewertungsfehler, die durch die Gestaltung reduziert werden sollten.</x:v>
      </x:c>
      <x:c r="S2684" s="5" t="str">
        <x:v>7a6b1723fbed4dc2528f26876bc5001ba1ab3b72aea4c01d58d37ede693c9e6c</x:v>
      </x:c>
    </x:row>
    <x:row r="2685" ht="36" customHeight="1">
      <x:c r="A2685" s="5" t="str">
        <x:v>PF-0198</x:v>
      </x:c>
      <x:c r="B2685" s="5" t="str">
        <x:v>HQ</x:v>
      </x:c>
      <x:c r="C2685" s="5" t="str">
        <x:v>9</x:v>
      </x:c>
      <x:c r="D2685" s="5" t="str">
        <x:v>Führung und Zusammenarbeit</x:v>
      </x:c>
      <x:c r="E2685" s="5" t="str">
        <x:v>Führung und Zusammenarbeit</x:v>
      </x:c>
      <x:c r="F2685" s="5" t="str">
        <x:v>ui-hq-0035</x:v>
      </x:c>
      <x:c r="G2685" s="5" t="str">
        <x:v>Mitarbeiterförderung</x:v>
      </x:c>
      <x:c r="H2685" s="5" t="str">
        <x:v>dg-hq-0006</x:v>
      </x:c>
      <x:c r="I2685" s="5" t="str">
        <x:v>9.4.1</x:v>
      </x:c>
      <x:c r="J2685" s="5" t="str">
        <x:v>Personalentwicklung als Mittel der Steuerung und Förderung der personellen Ressourcen</x:v>
      </x:c>
      <x:c r="K2685" s="5" t="str"/>
      <x:c r="L2685" s="5" t="str">
        <x:v>Personalentwicklung &amp; Bildungscontrolling</x:v>
      </x:c>
      <x:c r="M2685" s="5" t="n">
        <x:v>15</x:v>
      </x:c>
      <x:c r="N2685" s="5" t="n">
        <x:v>10</x:v>
      </x:c>
      <x:c r="O2685" s="5" t="str"/>
      <x:c r="P2685" s="5" t="str">
        <x:v>Zuordnungsvorschlag; Fachfreigabe ausstehend</x:v>
      </x:c>
      <x:c r="Q2685" s="5" t="str">
        <x:v>Bestehendes Lernthema fachlich unter passendem Rahmenplan-Unterbereich behalten</x:v>
      </x:c>
      <x:c r="R2685" s="5" t="str">
        <x:v>Nennen und erläutern Sie sechs Funktionen des Bildungscontrollings und erklären Sie, warum Bildungscontrolling bereits vor der Durchführung einer Personalentwicklungsmaßnahme beginnt.</x:v>
      </x:c>
      <x:c r="S2685" s="5" t="str">
        <x:v>442db66a93b6007227351f4fcbb406c2db9dd1f2f29e87d4fc4904aa9e544057</x:v>
      </x:c>
    </x:row>
    <x:row r="2686" ht="36" customHeight="1">
      <x:c r="A2686" s="5" t="str">
        <x:v>PF-0199</x:v>
      </x:c>
      <x:c r="B2686" s="5" t="str">
        <x:v>HQ</x:v>
      </x:c>
      <x:c r="C2686" s="5" t="str">
        <x:v>9</x:v>
      </x:c>
      <x:c r="D2686" s="5" t="str">
        <x:v>Führung und Zusammenarbeit</x:v>
      </x:c>
      <x:c r="E2686" s="5" t="str">
        <x:v>Führung und Zusammenarbeit</x:v>
      </x:c>
      <x:c r="F2686" s="5" t="str">
        <x:v>ui-hq-0035</x:v>
      </x:c>
      <x:c r="G2686" s="5" t="str">
        <x:v>Mitarbeiterförderung</x:v>
      </x:c>
      <x:c r="H2686" s="5" t="str">
        <x:v>dg-hq-0006</x:v>
      </x:c>
      <x:c r="I2686" s="5" t="str">
        <x:v>9.4.1</x:v>
      </x:c>
      <x:c r="J2686" s="5" t="str">
        <x:v>Personalentwicklung als Mittel der Steuerung und Förderung der personellen Ressourcen</x:v>
      </x:c>
      <x:c r="K2686" s="5" t="str"/>
      <x:c r="L2686" s="5" t="str">
        <x:v>Personalentwicklung &amp; Bildungscontrolling</x:v>
      </x:c>
      <x:c r="M2686" s="5" t="n">
        <x:v>16</x:v>
      </x:c>
      <x:c r="N2686" s="5" t="n">
        <x:v>11</x:v>
      </x:c>
      <x:c r="O2686" s="5" t="str"/>
      <x:c r="P2686" s="5" t="str">
        <x:v>Zuordnungsvorschlag; Fachfreigabe ausstehend</x:v>
      </x:c>
      <x:c r="Q2686" s="5" t="str">
        <x:v>Bestehendes Lernthema fachlich unter passendem Rahmenplan-Unterbereich behalten</x:v>
      </x:c>
      <x:c r="R2686" s="5" t="str">
        <x:v>Unterscheiden Sie Reaktion, Lernerfolg, Transfer und betriebliche Wirkung als Ebenen der Erfolgskontrolle von Personalentwicklungsmaßnahmen. Nennen Sie für jede Ebene eine geeignete Erhebungsmethode.</x:v>
      </x:c>
      <x:c r="S2686" s="5" t="str">
        <x:v>02a76697b84350c8a321cf84b47ea70b2fa1d75f91eb13a5df41023f4e4336c6</x:v>
      </x:c>
    </x:row>
    <x:row r="2687" ht="36" customHeight="1">
      <x:c r="A2687" s="5" t="str">
        <x:v>PF-0200</x:v>
      </x:c>
      <x:c r="B2687" s="5" t="str">
        <x:v>HQ</x:v>
      </x:c>
      <x:c r="C2687" s="5" t="str">
        <x:v>9</x:v>
      </x:c>
      <x:c r="D2687" s="5" t="str">
        <x:v>Führung und Zusammenarbeit</x:v>
      </x:c>
      <x:c r="E2687" s="5" t="str">
        <x:v>Führung und Zusammenarbeit</x:v>
      </x:c>
      <x:c r="F2687" s="5" t="str">
        <x:v>ui-hq-0036</x:v>
      </x:c>
      <x:c r="G2687" s="5" t="str">
        <x:v>Ausbildung</x:v>
      </x:c>
      <x:c r="H2687" s="5" t="str">
        <x:v>dg-hq-0015</x:v>
      </x:c>
      <x:c r="I2687" s="5" t="str">
        <x:v>9.5.10</x:v>
      </x:c>
      <x:c r="J2687" s="5" t="str">
        <x:v>Maßnahmen der Personalentwicklung</x:v>
      </x:c>
      <x:c r="K2687" s="5" t="str"/>
      <x:c r="L2687" s="5" t="str">
        <x:v>Berufsausbildung</x:v>
      </x:c>
      <x:c r="M2687" s="5" t="n">
        <x:v>27</x:v>
      </x:c>
      <x:c r="N2687" s="5" t="n">
        <x:v>2</x:v>
      </x:c>
      <x:c r="O2687" s="5" t="str"/>
      <x:c r="P2687" s="5" t="str">
        <x:v>Zuordnungsvorschlag; Fachfreigabe ausstehend</x:v>
      </x:c>
      <x:c r="Q2687" s="5" t="str">
        <x:v>Gezielt geprüfter Einzelbeleg</x:v>
      </x:c>
      <x:c r="R2687" s="5" t="str">
        <x:v>Eine Auszubildende der Circle Harbor GmbH macht seit einigen Wochen wiederholt Fehler bei einer bestimmten Arbeitsaufgabe und zieht sich bei Rückfragen zurück. Entwickeln Sie einen strukturierten Prozess von der Beobachtung bis zum Förderplan, ohne vorschnell eine persönliche Ursache zu unterstellen.</x:v>
      </x:c>
      <x:c r="S2687" s="5" t="str">
        <x:v>e3fdeb21ffaf088a4cf4d4a53eed881169356d0fee62f23f37089409365d5ebb</x:v>
      </x:c>
    </x:row>
    <x:row r="2688" ht="36" customHeight="1">
      <x:c r="A2688" s="5" t="str">
        <x:v>PF-0201</x:v>
      </x:c>
      <x:c r="B2688" s="5" t="str">
        <x:v>HQ</x:v>
      </x:c>
      <x:c r="C2688" s="5" t="str">
        <x:v>9</x:v>
      </x:c>
      <x:c r="D2688" s="5" t="str">
        <x:v>Führung und Zusammenarbeit</x:v>
      </x:c>
      <x:c r="E2688" s="5" t="str">
        <x:v>Führung und Zusammenarbeit</x:v>
      </x:c>
      <x:c r="F2688" s="5" t="str">
        <x:v>ui-hq-0036</x:v>
      </x:c>
      <x:c r="G2688" s="5" t="str">
        <x:v>Ausbildung</x:v>
      </x:c>
      <x:c r="H2688" s="5" t="str">
        <x:v>dg-hq-0015</x:v>
      </x:c>
      <x:c r="I2688" s="5" t="str">
        <x:v>9.5.10</x:v>
      </x:c>
      <x:c r="J2688" s="5" t="str">
        <x:v>Maßnahmen der Personalentwicklung</x:v>
      </x:c>
      <x:c r="K2688" s="5" t="str"/>
      <x:c r="L2688" s="5" t="str">
        <x:v>Berufsausbildung</x:v>
      </x:c>
      <x:c r="M2688" s="5" t="n">
        <x:v>28</x:v>
      </x:c>
      <x:c r="N2688" s="5" t="n">
        <x:v>3</x:v>
      </x:c>
      <x:c r="O2688" s="5" t="str"/>
      <x:c r="P2688" s="5" t="str">
        <x:v>Zuordnungsvorschlag; Fachfreigabe ausstehend</x:v>
      </x:c>
      <x:c r="Q2688" s="5" t="str">
        <x:v>Gezielt geprüfter Einzelbeleg</x:v>
      </x:c>
      <x:c r="R2688" s="5" t="str">
        <x:v>Welche Bestandteile sollte eine schriftliche Lern- beziehungsweise Fördervereinbarung enthalten, und wo liegen die Grenzen der Rolle von Ausbildenden bei vermuteten persönlichen oder gesundheitlichen Ursachen von Lernproblemen?</x:v>
      </x:c>
      <x:c r="S2688" s="5" t="str">
        <x:v>bccf24f3a30b4ee37d41b547a675e30ef6be085543b25d0fc365d8bccaffbd0e</x:v>
      </x:c>
    </x:row>
    <x:row r="2689" ht="36" customHeight="1">
      <x:c r="A2689" s="5" t="str">
        <x:v>PF-0204</x:v>
      </x:c>
      <x:c r="B2689" s="5" t="str">
        <x:v>HQ</x:v>
      </x:c>
      <x:c r="C2689" s="5" t="str">
        <x:v>9</x:v>
      </x:c>
      <x:c r="D2689" s="5" t="str">
        <x:v>Führung und Zusammenarbeit</x:v>
      </x:c>
      <x:c r="E2689" s="5" t="str">
        <x:v>Führung und Zusammenarbeit</x:v>
      </x:c>
      <x:c r="F2689" s="5" t="str">
        <x:v>ui-hq-0037</x:v>
      </x:c>
      <x:c r="G2689" s="5" t="str">
        <x:v>Moderation von Projektgruppen</x:v>
      </x:c>
      <x:c r="H2689" s="5" t="str">
        <x:v>dg-hq-0016</x:v>
      </x:c>
      <x:c r="I2689" s="5" t="str">
        <x:v>9.6.1</x:v>
      </x:c>
      <x:c r="J2689" s="5" t="str">
        <x:v>Arbeitsgruppen, Teams und Projektgruppen</x:v>
      </x:c>
      <x:c r="K2689" s="5" t="str"/>
      <x:c r="L2689" s="5" t="str">
        <x:v>Gruppen, Teams &amp; Projektgruppen</x:v>
      </x:c>
      <x:c r="M2689" s="5" t="n">
        <x:v>28</x:v>
      </x:c>
      <x:c r="N2689" s="5" t="n">
        <x:v>10</x:v>
      </x:c>
      <x:c r="O2689" s="5" t="str"/>
      <x:c r="P2689" s="5" t="str">
        <x:v>Zuordnungsvorschlag; Fachfreigabe ausstehend</x:v>
      </x:c>
      <x:c r="Q2689" s="5" t="str">
        <x:v>Bestehendes Lernthema fachlich unter passendem Rahmenplan-Unterbereich behalten</x:v>
      </x:c>
      <x:c r="R2689" s="5" t="str">
        <x:v>Unterscheiden Sie Lenkungsausschuss, Fachgremium, Projektleitung, Kernteam und Arbeitsgruppen hinsichtlich ihrer typischen Aufgaben und Entscheidungsebenen in einem Projekt.</x:v>
      </x:c>
      <x:c r="S2689" s="5" t="str">
        <x:v>ba2804cd65cd090fd917d8ea514a1f913ea0cb7309e18aedd2c93dad4e1f5a53</x:v>
      </x:c>
    </x:row>
    <x:row r="2690" ht="36" customHeight="1">
      <x:c r="A2690" s="5" t="str">
        <x:v>PF-0205</x:v>
      </x:c>
      <x:c r="B2690" s="5" t="str">
        <x:v>HQ</x:v>
      </x:c>
      <x:c r="C2690" s="5" t="str">
        <x:v>9</x:v>
      </x:c>
      <x:c r="D2690" s="5" t="str">
        <x:v>Führung und Zusammenarbeit</x:v>
      </x:c>
      <x:c r="E2690" s="5" t="str">
        <x:v>Führung und Zusammenarbeit</x:v>
      </x:c>
      <x:c r="F2690" s="5" t="str">
        <x:v>ui-hq-0037</x:v>
      </x:c>
      <x:c r="G2690" s="5" t="str">
        <x:v>Moderation von Projektgruppen</x:v>
      </x:c>
      <x:c r="H2690" s="5" t="str">
        <x:v>dg-hq-0016</x:v>
      </x:c>
      <x:c r="I2690" s="5" t="str">
        <x:v>9.6.1</x:v>
      </x:c>
      <x:c r="J2690" s="5" t="str">
        <x:v>Arbeitsgruppen, Teams und Projektgruppen</x:v>
      </x:c>
      <x:c r="K2690" s="5" t="str"/>
      <x:c r="L2690" s="5" t="str">
        <x:v>Gruppen, Teams &amp; Projektgruppen</x:v>
      </x:c>
      <x:c r="M2690" s="5" t="n">
        <x:v>29</x:v>
      </x:c>
      <x:c r="N2690" s="5" t="n">
        <x:v>11</x:v>
      </x:c>
      <x:c r="O2690" s="5" t="str"/>
      <x:c r="P2690" s="5" t="str">
        <x:v>Zuordnungsvorschlag; Fachfreigabe ausstehend</x:v>
      </x:c>
      <x:c r="Q2690" s="5" t="str">
        <x:v>Bestehendes Lernthema fachlich unter passendem Rahmenplan-Unterbereich behalten</x:v>
      </x:c>
      <x:c r="R2690" s="5" t="str">
        <x:v>Bei einem Circle-Harbor-Projekt verzögert sich eine technisch wichtige Arbeit um zwei Wochen. Gleichzeitig würde zusätzliche externe Kapazität das Budget erhöhen. Erläutern Sie, wie die Projektleitung mit Hilfe des Projekt-Dreiecks und eines aussagefähigen Statusberichts vorgehen sollte.</x:v>
      </x:c>
      <x:c r="S2690" s="5" t="str">
        <x:v>ca0b1f522a419a80b21c4fa1e7766f1e9d6dfc6fd61cc2658c685d979e8456a4</x:v>
      </x:c>
    </x:row>
    <x:row r="2691" ht="36" customHeight="1">
      <x:c r="A2691" s="5" t="str">
        <x:v>PF-0206</x:v>
      </x:c>
      <x:c r="B2691" s="5" t="str">
        <x:v>HQ</x:v>
      </x:c>
      <x:c r="C2691" s="5" t="str">
        <x:v>9</x:v>
      </x:c>
      <x:c r="D2691" s="5" t="str">
        <x:v>Führung und Zusammenarbeit</x:v>
      </x:c>
      <x:c r="E2691" s="5" t="str">
        <x:v>Führung und Zusammenarbeit</x:v>
      </x:c>
      <x:c r="F2691" s="5" t="str">
        <x:v>ui-hq-0037</x:v>
      </x:c>
      <x:c r="G2691" s="5" t="str">
        <x:v>Moderation von Projektgruppen</x:v>
      </x:c>
      <x:c r="H2691" s="5" t="str">
        <x:v>dg-hq-0017</x:v>
      </x:c>
      <x:c r="I2691" s="5" t="str">
        <x:v>9.6.2.5</x:v>
      </x:c>
      <x:c r="J2691" s="5" t="str">
        <x:v>Nachbereitung der Moderation</x:v>
      </x:c>
      <x:c r="K2691" s="5" t="str"/>
      <x:c r="L2691" s="5" t="str">
        <x:v>Moderation &amp; Kreativitätstechniken</x:v>
      </x:c>
      <x:c r="M2691" s="5" t="n">
        <x:v>30</x:v>
      </x:c>
      <x:c r="N2691" s="5" t="n">
        <x:v>17</x:v>
      </x:c>
      <x:c r="O2691" s="5" t="str"/>
      <x:c r="P2691" s="5" t="str">
        <x:v>Zuordnungsvorschlag; Fachfreigabe ausstehend</x:v>
      </x:c>
      <x:c r="Q2691" s="5" t="str">
        <x:v>Bestehendes Lernthema fachlich unter passendem Rahmenplan-Unterbereich behalten</x:v>
      </x:c>
      <x:c r="R2691" s="5" t="str">
        <x:v>Beschreiben Sie die sieben Phasen des Moderationszyklus und erläutern Sie ergänzend die Grundidee der Themenzentrierten Interaktion (TZI).</x:v>
      </x:c>
      <x:c r="S2691" s="5" t="str">
        <x:v>77119a44fb7775308dd42c3899d2e9bd10ef78007c6af10dde5eaa1b41229516</x:v>
      </x:c>
    </x:row>
    <x:row r="2692" ht="36" customHeight="1">
      <x:c r="A2692" s="5" t="str">
        <x:v>PF-0207</x:v>
      </x:c>
      <x:c r="B2692" s="5" t="str">
        <x:v>HQ</x:v>
      </x:c>
      <x:c r="C2692" s="5" t="str">
        <x:v>9</x:v>
      </x:c>
      <x:c r="D2692" s="5" t="str">
        <x:v>Führung und Zusammenarbeit</x:v>
      </x:c>
      <x:c r="E2692" s="5" t="str">
        <x:v>Führung und Zusammenarbeit</x:v>
      </x:c>
      <x:c r="F2692" s="5" t="str">
        <x:v>ui-hq-0037</x:v>
      </x:c>
      <x:c r="G2692" s="5" t="str">
        <x:v>Moderation von Projektgruppen</x:v>
      </x:c>
      <x:c r="H2692" s="5" t="str">
        <x:v>dg-hq-0017</x:v>
      </x:c>
      <x:c r="I2692" s="5" t="str">
        <x:v>9.6.2.1</x:v>
      </x:c>
      <x:c r="J2692" s="5" t="str">
        <x:v>Moderation als Methode der aktiven Beteiligung und einer entsprechenden Zielorientierung</x:v>
      </x:c>
      <x:c r="K2692" s="5" t="str"/>
      <x:c r="L2692" s="5" t="str">
        <x:v>Moderation &amp; Kreativitätstechniken</x:v>
      </x:c>
      <x:c r="M2692" s="5" t="n">
        <x:v>31</x:v>
      </x:c>
      <x:c r="N2692" s="5" t="n">
        <x:v>18</x:v>
      </x:c>
      <x:c r="O2692" s="5" t="str"/>
      <x:c r="P2692" s="5" t="str">
        <x:v>Zuordnungsvorschlag; Fachfreigabe ausstehend</x:v>
      </x:c>
      <x:c r="Q2692" s="5" t="str">
        <x:v>Bestehendes Lernthema fachlich unter passendem Rahmenplan-Unterbereich behalten</x:v>
      </x:c>
      <x:c r="R2692" s="5" t="str">
        <x:v>Grenzen Sie Präsentation, Diskussionsleitung und Moderation voneinander ab. Gehen Sie dabei auf Fachinput, Neutralität, Teilnehmeraktivierung, Prozesssteuerung und Ergebnisverantwortung ein.</x:v>
      </x:c>
      <x:c r="S2692" s="5" t="str">
        <x:v>4731008c24227135f835569df3cef9efa530504a9694187e0824acfe070c178c</x:v>
      </x:c>
    </x:row>
  </x:sheetData>
  <x:pageMargins left="0.7" right="0.7" top="0.75" bottom="0.75" header="0.3" footer="0.3"/>
  <x:tableParts count="1">
    <x:tablePart xmlns:r="http://schemas.openxmlformats.org/officeDocument/2006/relationships" r:id="Re27ff5cea6a64fef"/>
  </x:tableParts>
</x:worksheet>
</file>

<file path=xl/worksheets/sheet4.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4" hidden="0" customWidth="1"/>
    <x:col min="2" max="2" width="10" hidden="0" customWidth="1"/>
    <x:col min="3" max="3" width="11" hidden="0" customWidth="1"/>
    <x:col min="4" max="4" width="43" hidden="0" customWidth="1"/>
    <x:col min="5" max="5" width="28" hidden="0" customWidth="1"/>
    <x:col min="6" max="6" width="50" hidden="0" customWidth="1"/>
    <x:col min="7" max="7" width="62" hidden="0" customWidth="1"/>
    <x:col min="8" max="8" width="21" hidden="0" customWidth="1"/>
    <x:col min="9" max="9" width="38" hidden="0" customWidth="1"/>
    <x:col min="10" max="10" width="15" hidden="0" customWidth="1"/>
    <x:col min="11" max="11" width="55" hidden="0" customWidth="1"/>
    <x:col min="12" max="12" width="95" hidden="0" customWidth="1"/>
    <x:col min="13" max="13" width="12" hidden="0" customWidth="1"/>
  </x:cols>
  <x:sheetData>
    <x:row r="2">
      <x:c r="A2" s="1" t="str">
        <x:v>Interne Detailgruppen – niemals Dropdownoptionen</x:v>
      </x:c>
    </x:row>
    <x:row r="4">
      <x:c r="A4" s="2" t="str">
        <x:v>Planung / Revisionsstand · 28.09.2026 · WIFA-TR-GESAMT-20260927-REV2-FREIGEGEBENE-GRENZFAELLE · keine produktive Änderung</x:v>
      </x:c>
    </x:row>
    <x:row r="6" ht="34" customHeight="1">
      <x:c r="A6" s="9" t="str">
        <x:v>DetailKey</x:v>
      </x:c>
      <x:c r="B6" s="9" t="str">
        <x:v>Bereich</x:v>
      </x:c>
      <x:c r="C6" s="9" t="str">
        <x:v>Fachcode</x:v>
      </x:c>
      <x:c r="D6" s="9" t="str">
        <x:v>Fach</x:v>
      </x:c>
      <x:c r="E6" s="9" t="str">
        <x:v>UI-Key</x:v>
      </x:c>
      <x:c r="F6" s="9" t="str">
        <x:v>Oberthema</x:v>
      </x:c>
      <x:c r="G6" s="9" t="str">
        <x:v>Detailgruppe</x:v>
      </x:c>
      <x:c r="H6" s="9" t="str">
        <x:v>Rahmenplananker</x:v>
      </x:c>
      <x:c r="I6" s="9" t="str">
        <x:v>Quellfach</x:v>
      </x:c>
      <x:c r="J6" s="9" t="str">
        <x:v>ID-Anzahl</x:v>
      </x:c>
      <x:c r="K6" s="9" t="str">
        <x:v>Primärpunkte</x:v>
      </x:c>
      <x:c r="L6" s="9" t="str">
        <x:v>Trainer-IDs</x:v>
      </x:c>
      <x:c r="M6" s="9" t="str">
        <x:v>Sichtbar</x:v>
      </x:c>
    </x:row>
    <x:row r="7" ht="36" customHeight="1">
      <x:c r="A7" s="5" t="str">
        <x:v>dg-hq-0001</x:v>
      </x:c>
      <x:c r="B7" s="5" t="str">
        <x:v>HQ</x:v>
      </x:c>
      <x:c r="C7" s="5" t="str">
        <x:v>9</x:v>
      </x:c>
      <x:c r="D7" s="5" t="str">
        <x:v>Führung und Zusammenarbeit</x:v>
      </x:c>
      <x:c r="E7" s="5" t="str">
        <x:v>ui-hq-0032</x:v>
      </x:c>
      <x:c r="F7" s="5" t="str">
        <x:v>Zusammenarbeit, Kommunikation und Kooperation</x:v>
      </x:c>
      <x:c r="G7" s="5" t="str">
        <x:v>Zielorientiertes Führen</x:v>
      </x:c>
      <x:c r="H7" s="5" t="str">
        <x:v>9.1.4</x:v>
      </x:c>
      <x:c r="I7" s="5" t="str">
        <x:v>Führung und Zusammenarbeit</x:v>
      </x:c>
      <x:c r="J7" s="5" t="n">
        <x:f>COUNTIF('Einzel-ID-Zuordnung'!$H$7:$H$2692,A7)</x:f>
        <x:v>53</x:v>
      </x:c>
      <x:c r="K7" s="5" t="str">
        <x:v>9.1.4; 9.1.4.2; 9.1.4.3; 9.1.4.1; 9.1.4.4</x:v>
      </x:c>
      <x:c r="L7" s="5" t="str">
        <x:v>PF-0001; PF-0002; PF-0003; PF-0004; PF-0005; PF-0006; PF-0007; PF-0008; PF-0009; PF-0010; PF-0011; PF-0012; PF-0018; PF-0019; PF-0020; PF-0021; PF-0022; PF-0031; PF-0032; PF-0033; PF-0034; PF-0035; PF-0036; PF-0037; PF-0038; PF-0039; PF-0040; PF-0041; PF-0042; PF-0043; PF-0044; PF-0045; PF-0046; PF-0047; PF-0048; PF-0049; PF-0050; PF-0051; PF-0052; PF-0053; PF-0055; PF-0056; PF-0057; PF-0078; PF-0120; PF-0161; PF-0162; PF-0163; PF-0181; PF-0182; PF-0183; PF-0184; PF-0185</x:v>
      </x:c>
      <x:c r="M7" s="5" t="str">
        <x:v>nein</x:v>
      </x:c>
    </x:row>
    <x:row r="8" ht="36" customHeight="1">
      <x:c r="A8" s="5" t="str">
        <x:v>dg-hq-0002</x:v>
      </x:c>
      <x:c r="B8" s="5" t="str">
        <x:v>HQ</x:v>
      </x:c>
      <x:c r="C8" s="5" t="str">
        <x:v>9</x:v>
      </x:c>
      <x:c r="D8" s="5" t="str">
        <x:v>Führung und Zusammenarbeit</x:v>
      </x:c>
      <x:c r="E8" s="5" t="str">
        <x:v>ui-hq-0033</x:v>
      </x:c>
      <x:c r="F8" s="5" t="str">
        <x:v>Mitarbeitergespräche</x:v>
      </x:c>
      <x:c r="G8" s="5" t="str">
        <x:v>Beurteilungsgespräch</x:v>
      </x:c>
      <x:c r="H8" s="5" t="str">
        <x:v>9.2.2</x:v>
      </x:c>
      <x:c r="I8" s="5" t="str">
        <x:v>Führung und Zusammenarbeit</x:v>
      </x:c>
      <x:c r="J8" s="5" t="n">
        <x:f>COUNTIF('Einzel-ID-Zuordnung'!$H$7:$H$2692,A8)</x:f>
        <x:v>23</x:v>
      </x:c>
      <x:c r="K8" s="5" t="str">
        <x:v>9.2.2.1; 9.2.2; 9.2.2.2; 9.2.2.3; 9.2.2.4</x:v>
      </x:c>
      <x:c r="L8" s="5" t="str">
        <x:v>PF-0013; PF-0014; PF-0015; PF-0060; PF-0061; PF-0062; PF-0063; PF-0064; PF-0065; PF-0066; PF-0067; PF-0068; PF-0069; PF-0070; PF-0071; PF-0072; PF-0073; PF-0095; PF-0153; PF-0190; PF-0191; PF-0192; PF-0193</x:v>
      </x:c>
      <x:c r="M8" s="5" t="str">
        <x:v>nein</x:v>
      </x:c>
    </x:row>
    <x:row r="9" ht="36" customHeight="1">
      <x:c r="A9" s="5" t="str">
        <x:v>dg-hq-0003</x:v>
      </x:c>
      <x:c r="B9" s="5" t="str">
        <x:v>HQ</x:v>
      </x:c>
      <x:c r="C9" s="5" t="str">
        <x:v>9</x:v>
      </x:c>
      <x:c r="D9" s="5" t="str">
        <x:v>Führung und Zusammenarbeit</x:v>
      </x:c>
      <x:c r="E9" s="5" t="str">
        <x:v>ui-hq-0033</x:v>
      </x:c>
      <x:c r="F9" s="5" t="str">
        <x:v>Mitarbeitergespräche</x:v>
      </x:c>
      <x:c r="G9" s="5" t="str">
        <x:v>Anerkennungs- und Kritikgespräch</x:v>
      </x:c>
      <x:c r="H9" s="5" t="str">
        <x:v>9.2.1</x:v>
      </x:c>
      <x:c r="I9" s="5" t="str">
        <x:v>Führung und Zusammenarbeit</x:v>
      </x:c>
      <x:c r="J9" s="5" t="n">
        <x:f>COUNTIF('Einzel-ID-Zuordnung'!$H$7:$H$2692,A9)</x:f>
        <x:v>4</x:v>
      </x:c>
      <x:c r="K9" s="5" t="str">
        <x:v>9.2.1</x:v>
      </x:c>
      <x:c r="L9" s="5" t="str">
        <x:v>PF-0016; PF-0017; PF-0058; PF-0059</x:v>
      </x:c>
      <x:c r="M9" s="5" t="str">
        <x:v>nein</x:v>
      </x:c>
    </x:row>
    <x:row r="10" ht="36" customHeight="1">
      <x:c r="A10" s="5" t="str">
        <x:v>dg-hq-0004</x:v>
      </x:c>
      <x:c r="B10" s="5" t="str">
        <x:v>HQ</x:v>
      </x:c>
      <x:c r="C10" s="5" t="str">
        <x:v>9</x:v>
      </x:c>
      <x:c r="D10" s="5" t="str">
        <x:v>Führung und Zusammenarbeit</x:v>
      </x:c>
      <x:c r="E10" s="5" t="str">
        <x:v>ui-hq-0032</x:v>
      </x:c>
      <x:c r="F10" s="5" t="str">
        <x:v>Zusammenarbeit, Kommunikation und Kooperation</x:v>
      </x:c>
      <x:c r="G10" s="5" t="str">
        <x:v>Zusammenhang Persönlichkeit und beruflicher Entwicklung</x:v>
      </x:c>
      <x:c r="H10" s="5" t="str">
        <x:v>9.1.1</x:v>
      </x:c>
      <x:c r="I10" s="5" t="str">
        <x:v>Führung und Zusammenarbeit</x:v>
      </x:c>
      <x:c r="J10" s="5" t="n">
        <x:f>COUNTIF('Einzel-ID-Zuordnung'!$H$7:$H$2692,A10)</x:f>
        <x:v>13</x:v>
      </x:c>
      <x:c r="K10" s="5" t="str">
        <x:v>9.1.1</x:v>
      </x:c>
      <x:c r="L10" s="5" t="str">
        <x:v>PF-0023; PF-0024; PF-0025; PF-0026; PF-0027; PF-0028; PF-0029; PF-0030; PF-0054; PF-0115; PF-0152; PF-0159; PF-0160</x:v>
      </x:c>
      <x:c r="M10" s="5" t="str">
        <x:v>nein</x:v>
      </x:c>
    </x:row>
    <x:row r="11" ht="36" customHeight="1">
      <x:c r="A11" s="5" t="str">
        <x:v>dg-hq-0005</x:v>
      </x:c>
      <x:c r="B11" s="5" t="str">
        <x:v>HQ</x:v>
      </x:c>
      <x:c r="C11" s="5" t="str">
        <x:v>9</x:v>
      </x:c>
      <x:c r="D11" s="5" t="str">
        <x:v>Führung und Zusammenarbeit</x:v>
      </x:c>
      <x:c r="E11" s="5" t="str">
        <x:v>ui-hq-0034</x:v>
      </x:c>
      <x:c r="F11" s="5" t="str">
        <x:v>Konfliktmanagement</x:v>
      </x:c>
      <x:c r="G11" s="5" t="str">
        <x:v>Maßnahmen im Umgang mit Konflikten</x:v>
      </x:c>
      <x:c r="H11" s="5" t="str">
        <x:v>9.3.3</x:v>
      </x:c>
      <x:c r="I11" s="5" t="str">
        <x:v>Führung und Zusammenarbeit</x:v>
      </x:c>
      <x:c r="J11" s="5" t="n">
        <x:f>COUNTIF('Einzel-ID-Zuordnung'!$H$7:$H$2692,A11)</x:f>
        <x:v>18</x:v>
      </x:c>
      <x:c r="K11" s="5" t="str">
        <x:v>9.3.3</x:v>
      </x:c>
      <x:c r="L11" s="5" t="str">
        <x:v>PF-0074; PF-0075; PF-0076; PF-0077; PF-0079; PF-0080; PF-0081; PF-0082; PF-0083; PF-0084; PF-0085; PF-0086; PF-0087; PF-0089; PF-0154; PF-0164; PF-0188; PF-0189</x:v>
      </x:c>
      <x:c r="M11" s="5" t="str">
        <x:v>nein</x:v>
      </x:c>
    </x:row>
    <x:row r="12" ht="36" customHeight="1">
      <x:c r="A12" s="5" t="str">
        <x:v>dg-hq-0006</x:v>
      </x:c>
      <x:c r="B12" s="5" t="str">
        <x:v>HQ</x:v>
      </x:c>
      <x:c r="C12" s="5" t="str">
        <x:v>9</x:v>
      </x:c>
      <x:c r="D12" s="5" t="str">
        <x:v>Führung und Zusammenarbeit</x:v>
      </x:c>
      <x:c r="E12" s="5" t="str">
        <x:v>ui-hq-0035</x:v>
      </x:c>
      <x:c r="F12" s="5" t="str">
        <x:v>Mitarbeiterförderung</x:v>
      </x:c>
      <x:c r="G12" s="5" t="str">
        <x:v>Personalentwicklung als Mittel der Steuerung und Förderung der personellen Ressourcen</x:v>
      </x:c>
      <x:c r="H12" s="5" t="str">
        <x:v>9.4.1</x:v>
      </x:c>
      <x:c r="I12" s="5" t="str">
        <x:v>Führung und Zusammenarbeit</x:v>
      </x:c>
      <x:c r="J12" s="5" t="n">
        <x:f>COUNTIF('Einzel-ID-Zuordnung'!$H$7:$H$2692,A12)</x:f>
        <x:v>11</x:v>
      </x:c>
      <x:c r="K12" s="5" t="str">
        <x:v>9.4.1</x:v>
      </x:c>
      <x:c r="L12" s="5" t="str">
        <x:v>PF-0088; PF-0090; PF-0091; PF-0092; PF-0093; PF-0094; PF-0155; PF-0165; PF-0167; PF-0198; PF-0199</x:v>
      </x:c>
      <x:c r="M12" s="5" t="str">
        <x:v>nein</x:v>
      </x:c>
    </x:row>
    <x:row r="13" ht="36" customHeight="1">
      <x:c r="A13" s="5" t="str">
        <x:v>dg-hq-0007</x:v>
      </x:c>
      <x:c r="B13" s="5" t="str">
        <x:v>HQ</x:v>
      </x:c>
      <x:c r="C13" s="5" t="str">
        <x:v>9</x:v>
      </x:c>
      <x:c r="D13" s="5" t="str">
        <x:v>Führung und Zusammenarbeit</x:v>
      </x:c>
      <x:c r="E13" s="5" t="str">
        <x:v>ui-hq-0036</x:v>
      </x:c>
      <x:c r="F13" s="5" t="str">
        <x:v>Ausbildung</x:v>
      </x:c>
      <x:c r="G13" s="5" t="str">
        <x:v>Rechtliche Rahmenbedingungen</x:v>
      </x:c>
      <x:c r="H13" s="5" t="str">
        <x:v>9.5.1</x:v>
      </x:c>
      <x:c r="I13" s="5" t="str">
        <x:v>Führung und Zusammenarbeit</x:v>
      </x:c>
      <x:c r="J13" s="5" t="n">
        <x:f>COUNTIF('Einzel-ID-Zuordnung'!$H$7:$H$2692,A13)</x:f>
        <x:v>4</x:v>
      </x:c>
      <x:c r="K13" s="5" t="str">
        <x:v>9.5.1</x:v>
      </x:c>
      <x:c r="L13" s="5" t="str">
        <x:v>PF-0096; PF-0097; PF-0102; PF-0168</x:v>
      </x:c>
      <x:c r="M13" s="5" t="str">
        <x:v>nein</x:v>
      </x:c>
    </x:row>
    <x:row r="14" ht="36" customHeight="1">
      <x:c r="A14" s="5" t="str">
        <x:v>dg-hq-0008</x:v>
      </x:c>
      <x:c r="B14" s="5" t="str">
        <x:v>HQ</x:v>
      </x:c>
      <x:c r="C14" s="5" t="str">
        <x:v>9</x:v>
      </x:c>
      <x:c r="D14" s="5" t="str">
        <x:v>Führung und Zusammenarbeit</x:v>
      </x:c>
      <x:c r="E14" s="5" t="str">
        <x:v>ui-hq-0036</x:v>
      </x:c>
      <x:c r="F14" s="5" t="str">
        <x:v>Ausbildung</x:v>
      </x:c>
      <x:c r="G14" s="5" t="str">
        <x:v>Beteiligte und Mitwirkende an der Ausbildung</x:v>
      </x:c>
      <x:c r="H14" s="5" t="str">
        <x:v>9.5.4</x:v>
      </x:c>
      <x:c r="I14" s="5" t="str">
        <x:v>Führung und Zusammenarbeit</x:v>
      </x:c>
      <x:c r="J14" s="5" t="n">
        <x:f>COUNTIF('Einzel-ID-Zuordnung'!$H$7:$H$2692,A14)</x:f>
        <x:v>2</x:v>
      </x:c>
      <x:c r="K14" s="5" t="str">
        <x:v>9.5.4</x:v>
      </x:c>
      <x:c r="L14" s="5" t="str">
        <x:v>PF-0098; PF-0170</x:v>
      </x:c>
      <x:c r="M14" s="5" t="str">
        <x:v>nein</x:v>
      </x:c>
    </x:row>
    <x:row r="15" ht="36" customHeight="1">
      <x:c r="A15" s="5" t="str">
        <x:v>dg-hq-0009</x:v>
      </x:c>
      <x:c r="B15" s="5" t="str">
        <x:v>HQ</x:v>
      </x:c>
      <x:c r="C15" s="5" t="str">
        <x:v>9</x:v>
      </x:c>
      <x:c r="D15" s="5" t="str">
        <x:v>Führung und Zusammenarbeit</x:v>
      </x:c>
      <x:c r="E15" s="5" t="str">
        <x:v>ui-hq-0036</x:v>
      </x:c>
      <x:c r="F15" s="5" t="str">
        <x:v>Ausbildung</x:v>
      </x:c>
      <x:c r="G15" s="5" t="str">
        <x:v>Anforderungen an die Eignung der Ausbilder und Ausbilderinnen</x:v>
      </x:c>
      <x:c r="H15" s="5" t="str">
        <x:v>9.5.3</x:v>
      </x:c>
      <x:c r="I15" s="5" t="str">
        <x:v>Führung und Zusammenarbeit</x:v>
      </x:c>
      <x:c r="J15" s="5" t="n">
        <x:f>COUNTIF('Einzel-ID-Zuordnung'!$H$7:$H$2692,A15)</x:f>
        <x:v>2</x:v>
      </x:c>
      <x:c r="K15" s="5" t="str">
        <x:v>9.5.3</x:v>
      </x:c>
      <x:c r="L15" s="5" t="str">
        <x:v>PF-0099; PF-0169</x:v>
      </x:c>
      <x:c r="M15" s="5" t="str">
        <x:v>nein</x:v>
      </x:c>
    </x:row>
    <x:row r="16" ht="36" customHeight="1">
      <x:c r="A16" s="5" t="str">
        <x:v>dg-hq-0010</x:v>
      </x:c>
      <x:c r="B16" s="5" t="str">
        <x:v>HQ</x:v>
      </x:c>
      <x:c r="C16" s="5" t="str">
        <x:v>9</x:v>
      </x:c>
      <x:c r="D16" s="5" t="str">
        <x:v>Führung und Zusammenarbeit</x:v>
      </x:c>
      <x:c r="E16" s="5" t="str">
        <x:v>ui-hq-0036</x:v>
      </x:c>
      <x:c r="F16" s="5" t="str">
        <x:v>Ausbildung</x:v>
      </x:c>
      <x:c r="G16" s="5" t="str">
        <x:v>Ausbilder-Eignungsverordnung (AEVO)</x:v>
      </x:c>
      <x:c r="H16" s="5" t="str">
        <x:v>9.5.2</x:v>
      </x:c>
      <x:c r="I16" s="5" t="str">
        <x:v>Führung und Zusammenarbeit</x:v>
      </x:c>
      <x:c r="J16" s="5" t="n">
        <x:f>COUNTIF('Einzel-ID-Zuordnung'!$H$7:$H$2692,A16)</x:f>
        <x:v>2</x:v>
      </x:c>
      <x:c r="K16" s="5" t="str">
        <x:v>9.5.2</x:v>
      </x:c>
      <x:c r="L16" s="5" t="str">
        <x:v>PF-0100; PF-0101</x:v>
      </x:c>
      <x:c r="M16" s="5" t="str">
        <x:v>nein</x:v>
      </x:c>
    </x:row>
    <x:row r="17" ht="36" customHeight="1">
      <x:c r="A17" s="5" t="str">
        <x:v>dg-hq-0011</x:v>
      </x:c>
      <x:c r="B17" s="5" t="str">
        <x:v>HQ</x:v>
      </x:c>
      <x:c r="C17" s="5" t="str">
        <x:v>9</x:v>
      </x:c>
      <x:c r="D17" s="5" t="str">
        <x:v>Führung und Zusammenarbeit</x:v>
      </x:c>
      <x:c r="E17" s="5" t="str">
        <x:v>ui-hq-0036</x:v>
      </x:c>
      <x:c r="F17" s="5" t="str">
        <x:v>Ausbildung</x:v>
      </x:c>
      <x:c r="G17" s="5" t="str">
        <x:v>Unterweisung</x:v>
      </x:c>
      <x:c r="H17" s="5" t="str">
        <x:v>9.5.8</x:v>
      </x:c>
      <x:c r="I17" s="5" t="str">
        <x:v>Führung und Zusammenarbeit</x:v>
      </x:c>
      <x:c r="J17" s="5" t="n">
        <x:f>COUNTIF('Einzel-ID-Zuordnung'!$H$7:$H$2692,A17)</x:f>
        <x:v>6</x:v>
      </x:c>
      <x:c r="K17" s="5" t="str">
        <x:v>9.5.8</x:v>
      </x:c>
      <x:c r="L17" s="5" t="str">
        <x:v>PF-0103; PF-0104; PF-0109; PF-0110; PF-0156; PF-0173</x:v>
      </x:c>
      <x:c r="M17" s="5" t="str">
        <x:v>nein</x:v>
      </x:c>
    </x:row>
    <x:row r="18" ht="36" customHeight="1">
      <x:c r="A18" s="5" t="str">
        <x:v>dg-hq-0012</x:v>
      </x:c>
      <x:c r="B18" s="5" t="str">
        <x:v>HQ</x:v>
      </x:c>
      <x:c r="C18" s="5" t="str">
        <x:v>9</x:v>
      </x:c>
      <x:c r="D18" s="5" t="str">
        <x:v>Führung und Zusammenarbeit</x:v>
      </x:c>
      <x:c r="E18" s="5" t="str">
        <x:v>ui-hq-0036</x:v>
      </x:c>
      <x:c r="F18" s="5" t="str">
        <x:v>Ausbildung</x:v>
      </x:c>
      <x:c r="G18" s="5" t="str">
        <x:v>Prüfungsdurchführung</x:v>
      </x:c>
      <x:c r="H18" s="5" t="str">
        <x:v>9.5.6</x:v>
      </x:c>
      <x:c r="I18" s="5" t="str">
        <x:v>Führung und Zusammenarbeit</x:v>
      </x:c>
      <x:c r="J18" s="5" t="n">
        <x:f>COUNTIF('Einzel-ID-Zuordnung'!$H$7:$H$2692,A18)</x:f>
        <x:v>3</x:v>
      </x:c>
      <x:c r="K18" s="5" t="str">
        <x:v>9.5.6</x:v>
      </x:c>
      <x:c r="L18" s="5" t="str">
        <x:v>PF-0105; PF-0106; PF-0172</x:v>
      </x:c>
      <x:c r="M18" s="5" t="str">
        <x:v>nein</x:v>
      </x:c>
    </x:row>
    <x:row r="19" ht="36" customHeight="1">
      <x:c r="A19" s="5" t="str">
        <x:v>dg-hq-0013</x:v>
      </x:c>
      <x:c r="B19" s="5" t="str">
        <x:v>HQ</x:v>
      </x:c>
      <x:c r="C19" s="5" t="str">
        <x:v>9</x:v>
      </x:c>
      <x:c r="D19" s="5" t="str">
        <x:v>Führung und Zusammenarbeit</x:v>
      </x:c>
      <x:c r="E19" s="5" t="str">
        <x:v>ui-hq-0036</x:v>
      </x:c>
      <x:c r="F19" s="5" t="str">
        <x:v>Ausbildung</x:v>
      </x:c>
      <x:c r="G19" s="5" t="str">
        <x:v>Anforderungen an Ausstattung und Ergonomie der Arbeitsumgebung</x:v>
      </x:c>
      <x:c r="H19" s="5" t="str">
        <x:v>9.5.7</x:v>
      </x:c>
      <x:c r="I19" s="5" t="str">
        <x:v>Führung und Zusammenarbeit</x:v>
      </x:c>
      <x:c r="J19" s="5" t="n">
        <x:f>COUNTIF('Einzel-ID-Zuordnung'!$H$7:$H$2692,A19)</x:f>
        <x:v>2</x:v>
      </x:c>
      <x:c r="K19" s="5" t="str">
        <x:v>9.5.7</x:v>
      </x:c>
      <x:c r="L19" s="5" t="str">
        <x:v>PF-0107; PF-0108</x:v>
      </x:c>
      <x:c r="M19" s="5" t="str">
        <x:v>nein</x:v>
      </x:c>
    </x:row>
    <x:row r="20" ht="36" customHeight="1">
      <x:c r="A20" s="5" t="str">
        <x:v>dg-hq-0014</x:v>
      </x:c>
      <x:c r="B20" s="5" t="str">
        <x:v>HQ</x:v>
      </x:c>
      <x:c r="C20" s="5" t="str">
        <x:v>9</x:v>
      </x:c>
      <x:c r="D20" s="5" t="str">
        <x:v>Führung und Zusammenarbeit</x:v>
      </x:c>
      <x:c r="E20" s="5" t="str">
        <x:v>ui-hq-0036</x:v>
      </x:c>
      <x:c r="F20" s="5" t="str">
        <x:v>Ausbildung</x:v>
      </x:c>
      <x:c r="G20" s="5" t="str">
        <x:v>Außer- und überbetriebliche Ausbildung</x:v>
      </x:c>
      <x:c r="H20" s="5" t="str">
        <x:v>9.5.9</x:v>
      </x:c>
      <x:c r="I20" s="5" t="str">
        <x:v>Führung und Zusammenarbeit</x:v>
      </x:c>
      <x:c r="J20" s="5" t="n">
        <x:f>COUNTIF('Einzel-ID-Zuordnung'!$H$7:$H$2692,A20)</x:f>
        <x:v>3</x:v>
      </x:c>
      <x:c r="K20" s="5" t="str">
        <x:v>9.5.9</x:v>
      </x:c>
      <x:c r="L20" s="5" t="str">
        <x:v>PF-0111; PF-0112; PF-0174</x:v>
      </x:c>
      <x:c r="M20" s="5" t="str">
        <x:v>nein</x:v>
      </x:c>
    </x:row>
    <x:row r="21" ht="36" customHeight="1">
      <x:c r="A21" s="5" t="str">
        <x:v>dg-hq-0015</x:v>
      </x:c>
      <x:c r="B21" s="5" t="str">
        <x:v>HQ</x:v>
      </x:c>
      <x:c r="C21" s="5" t="str">
        <x:v>9</x:v>
      </x:c>
      <x:c r="D21" s="5" t="str">
        <x:v>Führung und Zusammenarbeit</x:v>
      </x:c>
      <x:c r="E21" s="5" t="str">
        <x:v>ui-hq-0036</x:v>
      </x:c>
      <x:c r="F21" s="5" t="str">
        <x:v>Ausbildung</x:v>
      </x:c>
      <x:c r="G21" s="5" t="str">
        <x:v>Maßnahmen der Personalentwicklung</x:v>
      </x:c>
      <x:c r="H21" s="5" t="str">
        <x:v>9.5.10</x:v>
      </x:c>
      <x:c r="I21" s="5" t="str">
        <x:v>Führung und Zusammenarbeit</x:v>
      </x:c>
      <x:c r="J21" s="5" t="n">
        <x:f>COUNTIF('Einzel-ID-Zuordnung'!$H$7:$H$2692,A21)</x:f>
        <x:v>3</x:v>
      </x:c>
      <x:c r="K21" s="5" t="str">
        <x:v>9.5.10</x:v>
      </x:c>
      <x:c r="L21" s="5" t="str">
        <x:v>PF-0113; PF-0200; PF-0201</x:v>
      </x:c>
      <x:c r="M21" s="5" t="str">
        <x:v>nein</x:v>
      </x:c>
    </x:row>
    <x:row r="22" ht="36" customHeight="1">
      <x:c r="A22" s="5" t="str">
        <x:v>dg-hq-0016</x:v>
      </x:c>
      <x:c r="B22" s="5" t="str">
        <x:v>HQ</x:v>
      </x:c>
      <x:c r="C22" s="5" t="str">
        <x:v>9</x:v>
      </x:c>
      <x:c r="D22" s="5" t="str">
        <x:v>Führung und Zusammenarbeit</x:v>
      </x:c>
      <x:c r="E22" s="5" t="str">
        <x:v>ui-hq-0037</x:v>
      </x:c>
      <x:c r="F22" s="5" t="str">
        <x:v>Moderation von Projektgruppen</x:v>
      </x:c>
      <x:c r="G22" s="5" t="str">
        <x:v>Arbeitsgruppen, Teams und Projektgruppen</x:v>
      </x:c>
      <x:c r="H22" s="5" t="str">
        <x:v>9.6.1</x:v>
      </x:c>
      <x:c r="I22" s="5" t="str">
        <x:v>Führung und Zusammenarbeit</x:v>
      </x:c>
      <x:c r="J22" s="5" t="n">
        <x:f>COUNTIF('Einzel-ID-Zuordnung'!$H$7:$H$2692,A22)</x:f>
        <x:v>11</x:v>
      </x:c>
      <x:c r="K22" s="5" t="str">
        <x:v>9.6.1.2; 9.6.1.1; 9.6.1</x:v>
      </x:c>
      <x:c r="L22" s="5" t="str">
        <x:v>PF-0114; PF-0116; PF-0117; PF-0118; PF-0119; PF-0121; PF-0175; PF-0176; PF-0178; PF-0204; PF-0205</x:v>
      </x:c>
      <x:c r="M22" s="5" t="str">
        <x:v>nein</x:v>
      </x:c>
    </x:row>
    <x:row r="23" ht="36" customHeight="1">
      <x:c r="A23" s="5" t="str">
        <x:v>dg-hq-0017</x:v>
      </x:c>
      <x:c r="B23" s="5" t="str">
        <x:v>HQ</x:v>
      </x:c>
      <x:c r="C23" s="5" t="str">
        <x:v>9</x:v>
      </x:c>
      <x:c r="D23" s="5" t="str">
        <x:v>Führung und Zusammenarbeit</x:v>
      </x:c>
      <x:c r="E23" s="5" t="str">
        <x:v>ui-hq-0037</x:v>
      </x:c>
      <x:c r="F23" s="5" t="str">
        <x:v>Moderation von Projektgruppen</x:v>
      </x:c>
      <x:c r="G23" s="5" t="str">
        <x:v>Moderieren von Arbeits- und Projektgruppen</x:v>
      </x:c>
      <x:c r="H23" s="5" t="str">
        <x:v>9.6.2</x:v>
      </x:c>
      <x:c r="I23" s="5" t="str">
        <x:v>Führung und Zusammenarbeit</x:v>
      </x:c>
      <x:c r="J23" s="5" t="n">
        <x:f>COUNTIF('Einzel-ID-Zuordnung'!$H$7:$H$2692,A23)</x:f>
        <x:v>18</x:v>
      </x:c>
      <x:c r="K23" s="5" t="str">
        <x:v>9.6.2.1; 9.6.2.3; 9.6.2; 9.6.2.4; 9.6.2.5; 9.6.2.2</x:v>
      </x:c>
      <x:c r="L23" s="5" t="str">
        <x:v>PF-0122; PF-0123; PF-0124; PF-0125; PF-0126; PF-0127; PF-0128; PF-0129; PF-0130; PF-0131; PF-0132; PF-0133; PF-0134; PF-0135; PF-0157; PF-0177; PF-0206; PF-0207</x:v>
      </x:c>
      <x:c r="M23" s="5" t="str">
        <x:v>nein</x:v>
      </x:c>
    </x:row>
    <x:row r="24" ht="36" customHeight="1">
      <x:c r="A24" s="5" t="str">
        <x:v>dg-hq-0018</x:v>
      </x:c>
      <x:c r="B24" s="5" t="str">
        <x:v>HQ</x:v>
      </x:c>
      <x:c r="C24" s="5" t="str">
        <x:v>9</x:v>
      </x:c>
      <x:c r="D24" s="5" t="str">
        <x:v>Führung und Zusammenarbeit</x:v>
      </x:c>
      <x:c r="E24" s="5" t="str">
        <x:v>ui-hq-0037</x:v>
      </x:c>
      <x:c r="F24" s="5" t="str">
        <x:v>Moderation von Projektgruppen</x:v>
      </x:c>
      <x:c r="G24" s="5" t="str">
        <x:v>Projektabschluss durch Projektleitung</x:v>
      </x:c>
      <x:c r="H24" s="5" t="str">
        <x:v>9.6.4</x:v>
      </x:c>
      <x:c r="I24" s="5" t="str">
        <x:v>Führung und Zusammenarbeit</x:v>
      </x:c>
      <x:c r="J24" s="5" t="n">
        <x:f>COUNTIF('Einzel-ID-Zuordnung'!$H$7:$H$2692,A24)</x:f>
        <x:v>2</x:v>
      </x:c>
      <x:c r="K24" s="5" t="str">
        <x:v>9.6.4</x:v>
      </x:c>
      <x:c r="L24" s="5" t="str">
        <x:v>PF-0136; PF-0137</x:v>
      </x:c>
      <x:c r="M24" s="5" t="str">
        <x:v>nein</x:v>
      </x:c>
    </x:row>
    <x:row r="25" ht="36" customHeight="1">
      <x:c r="A25" s="5" t="str">
        <x:v>dg-hq-0019</x:v>
      </x:c>
      <x:c r="B25" s="5" t="str">
        <x:v>HQ</x:v>
      </x:c>
      <x:c r="C25" s="5" t="str">
        <x:v>9</x:v>
      </x:c>
      <x:c r="D25" s="5" t="str">
        <x:v>Führung und Zusammenarbeit</x:v>
      </x:c>
      <x:c r="E25" s="5" t="str">
        <x:v>ui-hq-0038</x:v>
      </x:c>
      <x:c r="F25" s="5" t="str">
        <x:v>Präsentationstechniken</x:v>
      </x:c>
      <x:c r="G25" s="5" t="str">
        <x:v>Präsentation</x:v>
      </x:c>
      <x:c r="H25" s="5" t="str">
        <x:v>9.7.3</x:v>
      </x:c>
      <x:c r="I25" s="5" t="str">
        <x:v>Führung und Zusammenarbeit</x:v>
      </x:c>
      <x:c r="J25" s="5" t="n">
        <x:f>COUNTIF('Einzel-ID-Zuordnung'!$H$7:$H$2692,A25)</x:f>
        <x:v>17</x:v>
      </x:c>
      <x:c r="K25" s="5" t="str">
        <x:v>9.7.3.1; 9.7.3; 9.7.3.2; 9.7.3.4</x:v>
      </x:c>
      <x:c r="L25" s="5" t="str">
        <x:v>PF-0138; PF-0139; PF-0140; PF-0141; PF-0142; PF-0143; PF-0144; PF-0145; PF-0146; PF-0147; PF-0148; PF-0149; PF-0150; PF-0151; PF-0158; PF-0179; PF-0180</x:v>
      </x:c>
      <x:c r="M25" s="5" t="str">
        <x:v>nein</x:v>
      </x:c>
    </x:row>
    <x:row r="26" ht="36" customHeight="1">
      <x:c r="A26" s="5" t="str">
        <x:v>dg-hq-0020</x:v>
      </x:c>
      <x:c r="B26" s="5" t="str">
        <x:v>HQ</x:v>
      </x:c>
      <x:c r="C26" s="5" t="str">
        <x:v>9</x:v>
      </x:c>
      <x:c r="D26" s="5" t="str">
        <x:v>Führung und Zusammenarbeit</x:v>
      </x:c>
      <x:c r="E26" s="5" t="str">
        <x:v>ui-hq-0035</x:v>
      </x:c>
      <x:c r="F26" s="5" t="str">
        <x:v>Mitarbeiterförderung</x:v>
      </x:c>
      <x:c r="G26" s="5" t="str">
        <x:v>Potenzialanalyse von Mitarbeitern</x:v>
      </x:c>
      <x:c r="H26" s="5" t="str">
        <x:v>9.4.2</x:v>
      </x:c>
      <x:c r="I26" s="5" t="str">
        <x:v>Führung und Zusammenarbeit</x:v>
      </x:c>
      <x:c r="J26" s="5" t="n">
        <x:f>COUNTIF('Einzel-ID-Zuordnung'!$H$7:$H$2692,A26)</x:f>
        <x:v>3</x:v>
      </x:c>
      <x:c r="K26" s="5" t="str">
        <x:v>9.4.2.2; 9.4.2.1</x:v>
      </x:c>
      <x:c r="L26" s="5" t="str">
        <x:v>PF-0166; PF-0195; PF-0196</x:v>
      </x:c>
      <x:c r="M26" s="5" t="str">
        <x:v>nein</x:v>
      </x:c>
    </x:row>
    <x:row r="27" ht="36" customHeight="1">
      <x:c r="A27" s="5" t="str">
        <x:v>dg-hq-0021</x:v>
      </x:c>
      <x:c r="B27" s="5" t="str">
        <x:v>HQ</x:v>
      </x:c>
      <x:c r="C27" s="5" t="str">
        <x:v>9</x:v>
      </x:c>
      <x:c r="D27" s="5" t="str">
        <x:v>Führung und Zusammenarbeit</x:v>
      </x:c>
      <x:c r="E27" s="5" t="str">
        <x:v>ui-hq-0036</x:v>
      </x:c>
      <x:c r="F27" s="5" t="str">
        <x:v>Ausbildung</x:v>
      </x:c>
      <x:c r="G27" s="5" t="str">
        <x:v>Ergänzende individuelle Bildungsmaßnahmen</x:v>
      </x:c>
      <x:c r="H27" s="5" t="str">
        <x:v>9.5.5</x:v>
      </x:c>
      <x:c r="I27" s="5" t="str">
        <x:v>Führung und Zusammenarbeit</x:v>
      </x:c>
      <x:c r="J27" s="5" t="n">
        <x:f>COUNTIF('Einzel-ID-Zuordnung'!$H$7:$H$2692,A27)</x:f>
        <x:v>1</x:v>
      </x:c>
      <x:c r="K27" s="5" t="str">
        <x:v>9.5.5</x:v>
      </x:c>
      <x:c r="L27" s="5" t="str">
        <x:v>PF-0171</x:v>
      </x:c>
      <x:c r="M27" s="5" t="str">
        <x:v>nein</x:v>
      </x:c>
    </x:row>
    <x:row r="28" ht="36" customHeight="1">
      <x:c r="A28" s="5" t="str">
        <x:v>dg-hq-0022</x:v>
      </x:c>
      <x:c r="B28" s="5" t="str">
        <x:v>HQ</x:v>
      </x:c>
      <x:c r="C28" s="5" t="str">
        <x:v>9</x:v>
      </x:c>
      <x:c r="D28" s="5" t="str">
        <x:v>Führung und Zusammenarbeit</x:v>
      </x:c>
      <x:c r="E28" s="5" t="str">
        <x:v>ui-hq-0032</x:v>
      </x:c>
      <x:c r="F28" s="5" t="str">
        <x:v>Zusammenarbeit, Kommunikation und Kooperation</x:v>
      </x:c>
      <x:c r="G28" s="5" t="str">
        <x:v>Grundsätze der Zusammenarbeit</x:v>
      </x:c>
      <x:c r="H28" s="5" t="str">
        <x:v>9.1.5</x:v>
      </x:c>
      <x:c r="I28" s="5" t="str">
        <x:v>Führung und Zusammenarbeit</x:v>
      </x:c>
      <x:c r="J28" s="5" t="n">
        <x:f>COUNTIF('Einzel-ID-Zuordnung'!$H$7:$H$2692,A28)</x:f>
        <x:v>2</x:v>
      </x:c>
      <x:c r="K28" s="5" t="str">
        <x:v>9.1.5</x:v>
      </x:c>
      <x:c r="L28" s="5" t="str">
        <x:v>PF-0186; PF-0187</x:v>
      </x:c>
      <x:c r="M28" s="5" t="str">
        <x:v>nein</x:v>
      </x:c>
    </x:row>
    <x:row r="29" ht="36" customHeight="1">
      <x:c r="A29" s="5" t="str">
        <x:v>dg-hq-0023</x:v>
      </x:c>
      <x:c r="B29" s="5" t="str">
        <x:v>HQ</x:v>
      </x:c>
      <x:c r="C29" s="5" t="str">
        <x:v>9</x:v>
      </x:c>
      <x:c r="D29" s="5" t="str">
        <x:v>Führung und Zusammenarbeit</x:v>
      </x:c>
      <x:c r="E29" s="5" t="str">
        <x:v>ui-hq-0035</x:v>
      </x:c>
      <x:c r="F29" s="5" t="str">
        <x:v>Mitarbeiterförderung</x:v>
      </x:c>
      <x:c r="G29" s="5" t="str">
        <x:v>Personalgewinnung als ergänzendes Umfeld der Mitarbeiterförderung</x:v>
      </x:c>
      <x:c r="H29" s="5" t="str">
        <x:v>9.4.1</x:v>
      </x:c>
      <x:c r="I29" s="5" t="str">
        <x:v>Führung und Zusammenarbeit</x:v>
      </x:c>
      <x:c r="J29" s="5" t="n">
        <x:f>COUNTIF('Einzel-ID-Zuordnung'!$H$7:$H$2692,A29)</x:f>
        <x:v>1</x:v>
      </x:c>
      <x:c r="K29" s="5" t="str">
        <x:v>9.4.1</x:v>
      </x:c>
      <x:c r="L29" s="5" t="str">
        <x:v>PF-0194</x:v>
      </x:c>
      <x:c r="M29" s="5" t="str">
        <x:v>nein</x:v>
      </x:c>
    </x:row>
    <x:row r="30" ht="36" customHeight="1">
      <x:c r="A30" s="5" t="str">
        <x:v>dg-hq-0024</x:v>
      </x:c>
      <x:c r="B30" s="5" t="str">
        <x:v>HQ</x:v>
      </x:c>
      <x:c r="C30" s="5" t="str">
        <x:v>9</x:v>
      </x:c>
      <x:c r="D30" s="5" t="str">
        <x:v>Führung und Zusammenarbeit</x:v>
      </x:c>
      <x:c r="E30" s="5" t="str">
        <x:v>ui-hq-0035</x:v>
      </x:c>
      <x:c r="F30" s="5" t="str">
        <x:v>Mitarbeiterförderung</x:v>
      </x:c>
      <x:c r="G30" s="5" t="str">
        <x:v>Qualität und Fehler der Personaleinschätzung</x:v>
      </x:c>
      <x:c r="H30" s="5" t="str">
        <x:v>9.4.3</x:v>
      </x:c>
      <x:c r="I30" s="5" t="str">
        <x:v>Führung und Zusammenarbeit</x:v>
      </x:c>
      <x:c r="J30" s="5" t="n">
        <x:f>COUNTIF('Einzel-ID-Zuordnung'!$H$7:$H$2692,A30)</x:f>
        <x:v>1</x:v>
      </x:c>
      <x:c r="K30" s="5" t="str">
        <x:v>9.4.3</x:v>
      </x:c>
      <x:c r="L30" s="5" t="str">
        <x:v>PF-0197</x:v>
      </x:c>
      <x:c r="M30" s="5" t="str">
        <x:v>nein</x:v>
      </x:c>
    </x:row>
    <x:row r="31" ht="36" customHeight="1">
      <x:c r="A31" s="5" t="str">
        <x:v>dg-hq-0025</x:v>
      </x:c>
      <x:c r="B31" s="5" t="str">
        <x:v>HQ</x:v>
      </x:c>
      <x:c r="C31" s="5" t="str">
        <x:v>5</x:v>
      </x:c>
      <x:c r="D31" s="5" t="str">
        <x:v>Betriebliches Management</x:v>
      </x:c>
      <x:c r="E31" s="5" t="str">
        <x:v>ui-hq-0013</x:v>
      </x:c>
      <x:c r="F31" s="5" t="str">
        <x:v>Betriebliche Planungsprozesse</x:v>
      </x:c>
      <x:c r="G31" s="5" t="str">
        <x:v>Kennzahlengestützte Personalbedarfsplanung</x:v>
      </x:c>
      <x:c r="H31" s="5" t="str">
        <x:v>5.1.4</x:v>
      </x:c>
      <x:c r="I31" s="5" t="str">
        <x:v>Führung und Zusammenarbeit</x:v>
      </x:c>
      <x:c r="J31" s="5" t="n">
        <x:f>COUNTIF('Einzel-ID-Zuordnung'!$H$7:$H$2692,A31)</x:f>
        <x:v>1</x:v>
      </x:c>
      <x:c r="K31" s="5" t="str">
        <x:v>5.1.4</x:v>
      </x:c>
      <x:c r="L31" s="5" t="str">
        <x:v>PF-0202</x:v>
      </x:c>
      <x:c r="M31" s="5" t="str">
        <x:v>nein</x:v>
      </x:c>
    </x:row>
    <x:row r="32" ht="36" customHeight="1">
      <x:c r="A32" s="5" t="str">
        <x:v>dg-hq-0026</x:v>
      </x:c>
      <x:c r="B32" s="5" t="str">
        <x:v>HQ</x:v>
      </x:c>
      <x:c r="C32" s="5" t="str">
        <x:v>5</x:v>
      </x:c>
      <x:c r="D32" s="5" t="str">
        <x:v>Betriebliches Management</x:v>
      </x:c>
      <x:c r="E32" s="5" t="str">
        <x:v>ui-hq-0016</x:v>
      </x:c>
      <x:c r="F32" s="5" t="str">
        <x:v>Managementtechniken</x:v>
      </x:c>
      <x:c r="G32" s="5" t="str">
        <x:v>Projektressourcen- und Personalkapazitätsplanung</x:v>
      </x:c>
      <x:c r="H32" s="5" t="str">
        <x:v>5.4.3.2</x:v>
      </x:c>
      <x:c r="I32" s="5" t="str">
        <x:v>Führung und Zusammenarbeit</x:v>
      </x:c>
      <x:c r="J32" s="5" t="n">
        <x:f>COUNTIF('Einzel-ID-Zuordnung'!$H$7:$H$2692,A32)</x:f>
        <x:v>1</x:v>
      </x:c>
      <x:c r="K32" s="5" t="str">
        <x:v>5.4.3.2</x:v>
      </x:c>
      <x:c r="L32" s="5" t="str">
        <x:v>PF-0203</x:v>
      </x:c>
      <x:c r="M32" s="5" t="str">
        <x:v>nein</x:v>
      </x:c>
    </x:row>
    <x:row r="33" ht="36" customHeight="1">
      <x:c r="A33" s="5" t="str">
        <x:v>dg-wq-0027</x:v>
      </x:c>
      <x:c r="B33" s="5" t="str">
        <x:v>WQ</x:v>
      </x:c>
      <x:c r="C33" s="5" t="str">
        <x:v>2</x:v>
      </x:c>
      <x:c r="D33" s="5" t="str">
        <x:v>Rechnungswesen</x:v>
      </x:c>
      <x:c r="E33" s="5" t="str">
        <x:v>ui-wq-0007</x:v>
      </x:c>
      <x:c r="F33" s="5" t="str">
        <x:v>Kosten- und Leistungsrechnung</x:v>
      </x:c>
      <x:c r="G33" s="5" t="str">
        <x:v>Vergleich von Vollkosten- und Teilkostenrechnung</x:v>
      </x:c>
      <x:c r="H33" s="5" t="str">
        <x:v>2.3.5</x:v>
      </x:c>
      <x:c r="I33" s="5" t="str">
        <x:v>Rechnungswesen</x:v>
      </x:c>
      <x:c r="J33" s="5" t="n">
        <x:f>COUNTIF('Einzel-ID-Zuordnung'!$H$7:$H$2692,A33)</x:f>
        <x:v>19</x:v>
      </x:c>
      <x:c r="K33" s="5" t="str">
        <x:v>2.3.5; 2.3.5.1; 2.3.5.2</x:v>
      </x:c>
      <x:c r="L33" s="5" t="str">
        <x:v>BR-0001; BR-0002; BR-0003; BR-0004; BR-0035; BR-0086; BR-0087; BR-0088; BR-0089; BR-0090; BR-0091; BR-0092; BR-0093; BR-0094; BR-0095; BR-0096; BR-0110; BR-0111; BR-0118</x:v>
      </x:c>
      <x:c r="M33" s="5" t="str">
        <x:v>nein</x:v>
      </x:c>
    </x:row>
    <x:row r="34" ht="36" customHeight="1">
      <x:c r="A34" s="5" t="str">
        <x:v>dg-wq-0028</x:v>
      </x:c>
      <x:c r="B34" s="5" t="str">
        <x:v>WQ</x:v>
      </x:c>
      <x:c r="C34" s="5" t="str">
        <x:v>2</x:v>
      </x:c>
      <x:c r="D34" s="5" t="str">
        <x:v>Rechnungswesen</x:v>
      </x:c>
      <x:c r="E34" s="5" t="str">
        <x:v>ui-wq-0005</x:v>
      </x:c>
      <x:c r="F34" s="5" t="str">
        <x:v>Grundlegende Aspekte des Rechnungswesens</x:v>
      </x:c>
      <x:c r="G34" s="5" t="str">
        <x:v>Abgrenzung von Finanzbuchhaltung, Kosten- und Leistungsrechnung, Auswertungen und Planungsrechnung</x:v>
      </x:c>
      <x:c r="H34" s="5" t="str">
        <x:v>2.1.1</x:v>
      </x:c>
      <x:c r="I34" s="5" t="str">
        <x:v>Rechnungswesen</x:v>
      </x:c>
      <x:c r="J34" s="5" t="n">
        <x:f>COUNTIF('Einzel-ID-Zuordnung'!$H$7:$H$2692,A34)</x:f>
        <x:v>6</x:v>
      </x:c>
      <x:c r="K34" s="5" t="str">
        <x:v>2.1.1</x:v>
      </x:c>
      <x:c r="L34" s="5" t="str">
        <x:v>BR-0005; BR-0006; BR-0007; BR-0008; BR-0009; BR-0036</x:v>
      </x:c>
      <x:c r="M34" s="5" t="str">
        <x:v>nein</x:v>
      </x:c>
    </x:row>
    <x:row r="35" ht="36" customHeight="1">
      <x:c r="A35" s="5" t="str">
        <x:v>dg-wq-0029</x:v>
      </x:c>
      <x:c r="B35" s="5" t="str">
        <x:v>WQ</x:v>
      </x:c>
      <x:c r="C35" s="5" t="str">
        <x:v>2</x:v>
      </x:c>
      <x:c r="D35" s="5" t="str">
        <x:v>Rechnungswesen</x:v>
      </x:c>
      <x:c r="E35" s="5" t="str">
        <x:v>ui-wq-0009</x:v>
      </x:c>
      <x:c r="F35" s="5" t="str">
        <x:v>Planungsrechnung</x:v>
      </x:c>
      <x:c r="G35" s="5" t="str">
        <x:v>Inhalt der Planungsrechnung</x:v>
      </x:c>
      <x:c r="H35" s="5" t="str">
        <x:v>2.5.1</x:v>
      </x:c>
      <x:c r="I35" s="5" t="str">
        <x:v>Rechnungswesen</x:v>
      </x:c>
      <x:c r="J35" s="5" t="n">
        <x:f>COUNTIF('Einzel-ID-Zuordnung'!$H$7:$H$2692,A35)</x:f>
        <x:v>7</x:v>
      </x:c>
      <x:c r="K35" s="5" t="str">
        <x:v>2.5.1</x:v>
      </x:c>
      <x:c r="L35" s="5" t="str">
        <x:v>BR-0010; BR-0101; BR-0102; BR-0103; BR-0105; BR-0116; BR-0117</x:v>
      </x:c>
      <x:c r="M35" s="5" t="str">
        <x:v>nein</x:v>
      </x:c>
    </x:row>
    <x:row r="36" ht="36" customHeight="1">
      <x:c r="A36" s="5" t="str">
        <x:v>dg-wq-0030</x:v>
      </x:c>
      <x:c r="B36" s="5" t="str">
        <x:v>WQ</x:v>
      </x:c>
      <x:c r="C36" s="5" t="str">
        <x:v>2</x:v>
      </x:c>
      <x:c r="D36" s="5" t="str">
        <x:v>Rechnungswesen</x:v>
      </x:c>
      <x:c r="E36" s="5" t="str">
        <x:v>ui-wq-0006</x:v>
      </x:c>
      <x:c r="F36" s="5" t="str">
        <x:v>Finanzbuchhaltung</x:v>
      </x:c>
      <x:c r="G36" s="5" t="str">
        <x:v>Grundlagen</x:v>
      </x:c>
      <x:c r="H36" s="5" t="str">
        <x:v>2.2.1</x:v>
      </x:c>
      <x:c r="I36" s="5" t="str">
        <x:v>Rechnungswesen</x:v>
      </x:c>
      <x:c r="J36" s="5" t="n">
        <x:f>COUNTIF('Einzel-ID-Zuordnung'!$H$7:$H$2692,A36)</x:f>
        <x:v>13</x:v>
      </x:c>
      <x:c r="K36" s="5" t="str">
        <x:v>2.2.1</x:v>
      </x:c>
      <x:c r="L36" s="5" t="str">
        <x:v>BR-0011; BR-0015; BR-0016; BR-0020; BR-0027; BR-0032; BR-0045; BR-0046; BR-0047; BR-0052; BR-0053; BR-0108; BR-0109</x:v>
      </x:c>
      <x:c r="M36" s="5" t="str">
        <x:v>nein</x:v>
      </x:c>
    </x:row>
    <x:row r="37" ht="36" customHeight="1">
      <x:c r="A37" s="5" t="str">
        <x:v>dg-wq-0031</x:v>
      </x:c>
      <x:c r="B37" s="5" t="str">
        <x:v>WQ</x:v>
      </x:c>
      <x:c r="C37" s="5" t="str">
        <x:v>2</x:v>
      </x:c>
      <x:c r="D37" s="5" t="str">
        <x:v>Rechnungswesen</x:v>
      </x:c>
      <x:c r="E37" s="5" t="str">
        <x:v>ui-wq-0005</x:v>
      </x:c>
      <x:c r="F37" s="5" t="str">
        <x:v>Grundlegende Aspekte des Rechnungswesens</x:v>
      </x:c>
      <x:c r="G37" s="5" t="str">
        <x:v>Buchführungspflichten nach Handels- und Steuerrecht</x:v>
      </x:c>
      <x:c r="H37" s="5" t="str">
        <x:v>2.1.3</x:v>
      </x:c>
      <x:c r="I37" s="5" t="str">
        <x:v>Rechnungswesen</x:v>
      </x:c>
      <x:c r="J37" s="5" t="n">
        <x:f>COUNTIF('Einzel-ID-Zuordnung'!$H$7:$H$2692,A37)</x:f>
        <x:v>5</x:v>
      </x:c>
      <x:c r="K37" s="5" t="str">
        <x:v>2.1.3</x:v>
      </x:c>
      <x:c r="L37" s="5" t="str">
        <x:v>BR-0012; BR-0013; BR-0028; BR-0034; BR-0041</x:v>
      </x:c>
      <x:c r="M37" s="5" t="str">
        <x:v>nein</x:v>
      </x:c>
    </x:row>
    <x:row r="38" ht="36" customHeight="1">
      <x:c r="A38" s="5" t="str">
        <x:v>dg-wq-0032</x:v>
      </x:c>
      <x:c r="B38" s="5" t="str">
        <x:v>WQ</x:v>
      </x:c>
      <x:c r="C38" s="5" t="str">
        <x:v>2</x:v>
      </x:c>
      <x:c r="D38" s="5" t="str">
        <x:v>Rechnungswesen</x:v>
      </x:c>
      <x:c r="E38" s="5" t="str">
        <x:v>ui-wq-0006</x:v>
      </x:c>
      <x:c r="F38" s="5" t="str">
        <x:v>Finanzbuchhaltung</x:v>
      </x:c>
      <x:c r="G38" s="5" t="str">
        <x:v>Jahresabschluss</x:v>
      </x:c>
      <x:c r="H38" s="5" t="str">
        <x:v>2.2.2</x:v>
      </x:c>
      <x:c r="I38" s="5" t="str">
        <x:v>Rechnungswesen</x:v>
      </x:c>
      <x:c r="J38" s="5" t="n">
        <x:f>COUNTIF('Einzel-ID-Zuordnung'!$H$7:$H$2692,A38)</x:f>
        <x:v>14</x:v>
      </x:c>
      <x:c r="K38" s="5" t="str">
        <x:v>2.2.2.1; 2.2.2; 2.2.2.3</x:v>
      </x:c>
      <x:c r="L38" s="5" t="str">
        <x:v>BR-0014; BR-0017; BR-0018; BR-0019; BR-0031; BR-0048; BR-0049; BR-0050; BR-0051; BR-0059; BR-0060; BR-0061; BR-0062; BR-0122</x:v>
      </x:c>
      <x:c r="M38" s="5" t="str">
        <x:v>nein</x:v>
      </x:c>
    </x:row>
    <x:row r="39" ht="36" customHeight="1">
      <x:c r="A39" s="5" t="str">
        <x:v>dg-wq-0033</x:v>
      </x:c>
      <x:c r="B39" s="5" t="str">
        <x:v>WQ</x:v>
      </x:c>
      <x:c r="C39" s="5" t="str">
        <x:v>2</x:v>
      </x:c>
      <x:c r="D39" s="5" t="str">
        <x:v>Rechnungswesen</x:v>
      </x:c>
      <x:c r="E39" s="5" t="str">
        <x:v>ui-wq-0005</x:v>
      </x:c>
      <x:c r="F39" s="5" t="str">
        <x:v>Grundlegende Aspekte des Rechnungswesens</x:v>
      </x:c>
      <x:c r="G39" s="5" t="str">
        <x:v>Grundsätze ordnungsgemäßer Buchführung (GoB)</x:v>
      </x:c>
      <x:c r="H39" s="5" t="str">
        <x:v>2.1.2</x:v>
      </x:c>
      <x:c r="I39" s="5" t="str">
        <x:v>Rechnungswesen</x:v>
      </x:c>
      <x:c r="J39" s="5" t="n">
        <x:f>COUNTIF('Einzel-ID-Zuordnung'!$H$7:$H$2692,A39)</x:f>
        <x:v>9</x:v>
      </x:c>
      <x:c r="K39" s="5" t="str">
        <x:v>2.1.2</x:v>
      </x:c>
      <x:c r="L39" s="5" t="str">
        <x:v>BR-0021; BR-0022; BR-0026; BR-0033; BR-0039; BR-0040; BR-0042; BR-0043; BR-0058</x:v>
      </x:c>
      <x:c r="M39" s="5" t="str">
        <x:v>nein</x:v>
      </x:c>
    </x:row>
    <x:row r="40" ht="36" customHeight="1">
      <x:c r="A40" s="5" t="str">
        <x:v>dg-wq-0034</x:v>
      </x:c>
      <x:c r="B40" s="5" t="str">
        <x:v>WQ</x:v>
      </x:c>
      <x:c r="C40" s="5" t="str">
        <x:v>2</x:v>
      </x:c>
      <x:c r="D40" s="5" t="str">
        <x:v>Rechnungswesen</x:v>
      </x:c>
      <x:c r="E40" s="5" t="str">
        <x:v>ui-wq-0005</x:v>
      </x:c>
      <x:c r="F40" s="5" t="str">
        <x:v>Grundlegende Aspekte des Rechnungswesens</x:v>
      </x:c>
      <x:c r="G40" s="5" t="str">
        <x:v>Bilanzierungs- und Bewertungsgrundsätze</x:v>
      </x:c>
      <x:c r="H40" s="5" t="str">
        <x:v>2.1.4</x:v>
      </x:c>
      <x:c r="I40" s="5" t="str">
        <x:v>Rechnungswesen</x:v>
      </x:c>
      <x:c r="J40" s="5" t="n">
        <x:f>COUNTIF('Einzel-ID-Zuordnung'!$H$7:$H$2692,A40)</x:f>
        <x:v>6</x:v>
      </x:c>
      <x:c r="K40" s="5" t="str">
        <x:v>2.1.4</x:v>
      </x:c>
      <x:c r="L40" s="5" t="str">
        <x:v>BR-0023; BR-0024; BR-0025; BR-0104; BR-0106; BR-0107</x:v>
      </x:c>
      <x:c r="M40" s="5" t="str">
        <x:v>nein</x:v>
      </x:c>
    </x:row>
    <x:row r="41" ht="36" customHeight="1">
      <x:c r="A41" s="5" t="str">
        <x:v>dg-wq-0035</x:v>
      </x:c>
      <x:c r="B41" s="5" t="str">
        <x:v>WQ</x:v>
      </x:c>
      <x:c r="C41" s="5" t="str">
        <x:v>2</x:v>
      </x:c>
      <x:c r="D41" s="5" t="str">
        <x:v>Rechnungswesen</x:v>
      </x:c>
      <x:c r="E41" s="5" t="str">
        <x:v>ui-wq-0007</x:v>
      </x:c>
      <x:c r="F41" s="5" t="str">
        <x:v>Kosten- und Leistungsrechnung</x:v>
      </x:c>
      <x:c r="G41" s="5" t="str">
        <x:v>Kostenstellenrechnung</x:v>
      </x:c>
      <x:c r="H41" s="5" t="str">
        <x:v>2.3.3</x:v>
      </x:c>
      <x:c r="I41" s="5" t="str">
        <x:v>Rechnungswesen</x:v>
      </x:c>
      <x:c r="J41" s="5" t="n">
        <x:f>COUNTIF('Einzel-ID-Zuordnung'!$H$7:$H$2692,A41)</x:f>
        <x:v>7</x:v>
      </x:c>
      <x:c r="K41" s="5" t="str">
        <x:v>2.3.3.1; 2.3.3</x:v>
      </x:c>
      <x:c r="L41" s="5" t="str">
        <x:v>BR-0029; BR-0070; BR-0071; BR-0072; BR-0073; BR-0074; BR-0121</x:v>
      </x:c>
      <x:c r="M41" s="5" t="str">
        <x:v>nein</x:v>
      </x:c>
    </x:row>
    <x:row r="42" ht="36" customHeight="1">
      <x:c r="A42" s="5" t="str">
        <x:v>dg-wq-0036</x:v>
      </x:c>
      <x:c r="B42" s="5" t="str">
        <x:v>WQ</x:v>
      </x:c>
      <x:c r="C42" s="5" t="str">
        <x:v>2</x:v>
      </x:c>
      <x:c r="D42" s="5" t="str">
        <x:v>Rechnungswesen</x:v>
      </x:c>
      <x:c r="E42" s="5" t="str">
        <x:v>ui-wq-0007</x:v>
      </x:c>
      <x:c r="F42" s="5" t="str">
        <x:v>Kosten- und Leistungsrechnung</x:v>
      </x:c>
      <x:c r="G42" s="5" t="str">
        <x:v>Einführung in die Kosten- und Leistungsrechnung</x:v>
      </x:c>
      <x:c r="H42" s="5" t="str">
        <x:v>2.3.1</x:v>
      </x:c>
      <x:c r="I42" s="5" t="str">
        <x:v>Rechnungswesen</x:v>
      </x:c>
      <x:c r="J42" s="5" t="n">
        <x:f>COUNTIF('Einzel-ID-Zuordnung'!$H$7:$H$2692,A42)</x:f>
        <x:v>13</x:v>
      </x:c>
      <x:c r="K42" s="5" t="str">
        <x:v>2.3.1.4; 2.3.1.2; 2.3.1</x:v>
      </x:c>
      <x:c r="L42" s="5" t="str">
        <x:v>BR-0030; BR-0038; BR-0054; BR-0055; BR-0056; BR-0057; BR-0063; BR-0064; BR-0065; BR-0066; BR-0067; BR-0068; BR-0069</x:v>
      </x:c>
      <x:c r="M42" s="5" t="str">
        <x:v>nein</x:v>
      </x:c>
    </x:row>
    <x:row r="43" ht="36" customHeight="1">
      <x:c r="A43" s="5" t="str">
        <x:v>dg-wq-0037</x:v>
      </x:c>
      <x:c r="B43" s="5" t="str">
        <x:v>WQ</x:v>
      </x:c>
      <x:c r="C43" s="5" t="str">
        <x:v>2</x:v>
      </x:c>
      <x:c r="D43" s="5" t="str">
        <x:v>Rechnungswesen</x:v>
      </x:c>
      <x:c r="E43" s="5" t="str">
        <x:v>ui-wq-0007</x:v>
      </x:c>
      <x:c r="F43" s="5" t="str">
        <x:v>Kosten- und Leistungsrechnung</x:v>
      </x:c>
      <x:c r="G43" s="5" t="str">
        <x:v>Aufgaben und Ziele der Kosten- und Leistungsrechnung</x:v>
      </x:c>
      <x:c r="H43" s="5" t="str">
        <x:v>2.3.1.3</x:v>
      </x:c>
      <x:c r="I43" s="5" t="str">
        <x:v>Rechnungswesen</x:v>
      </x:c>
      <x:c r="J43" s="5" t="n">
        <x:f>COUNTIF('Einzel-ID-Zuordnung'!$H$7:$H$2692,A43)</x:f>
        <x:v>1</x:v>
      </x:c>
      <x:c r="K43" s="5" t="str">
        <x:v>2.3.1.3</x:v>
      </x:c>
      <x:c r="L43" s="5" t="str">
        <x:v>BR-0037</x:v>
      </x:c>
      <x:c r="M43" s="5" t="str">
        <x:v>nein</x:v>
      </x:c>
    </x:row>
    <x:row r="44" ht="36" customHeight="1">
      <x:c r="A44" s="5" t="str">
        <x:v>dg-wq-0038</x:v>
      </x:c>
      <x:c r="B44" s="5" t="str">
        <x:v>WQ</x:v>
      </x:c>
      <x:c r="C44" s="5" t="str">
        <x:v>2</x:v>
      </x:c>
      <x:c r="D44" s="5" t="str">
        <x:v>Rechnungswesen</x:v>
      </x:c>
      <x:c r="E44" s="5" t="str">
        <x:v>ui-wq-0006</x:v>
      </x:c>
      <x:c r="F44" s="5" t="str">
        <x:v>Finanzbuchhaltung</x:v>
      </x:c>
      <x:c r="G44" s="5" t="str">
        <x:v>Adressaten der Finanzbuchhaltung</x:v>
      </x:c>
      <x:c r="H44" s="5" t="str">
        <x:v>2.2.1.1</x:v>
      </x:c>
      <x:c r="I44" s="5" t="str">
        <x:v>Rechnungswesen</x:v>
      </x:c>
      <x:c r="J44" s="5" t="n">
        <x:f>COUNTIF('Einzel-ID-Zuordnung'!$H$7:$H$2692,A44)</x:f>
        <x:v>1</x:v>
      </x:c>
      <x:c r="K44" s="5" t="str">
        <x:v>2.2.1.1</x:v>
      </x:c>
      <x:c r="L44" s="5" t="str">
        <x:v>BR-0044</x:v>
      </x:c>
      <x:c r="M44" s="5" t="str">
        <x:v>nein</x:v>
      </x:c>
    </x:row>
    <x:row r="45" ht="36" customHeight="1">
      <x:c r="A45" s="5" t="str">
        <x:v>dg-wq-0039</x:v>
      </x:c>
      <x:c r="B45" s="5" t="str">
        <x:v>WQ</x:v>
      </x:c>
      <x:c r="C45" s="5" t="str">
        <x:v>2</x:v>
      </x:c>
      <x:c r="D45" s="5" t="str">
        <x:v>Rechnungswesen</x:v>
      </x:c>
      <x:c r="E45" s="5" t="str">
        <x:v>ui-wq-0007</x:v>
      </x:c>
      <x:c r="F45" s="5" t="str">
        <x:v>Kosten- und Leistungsrechnung</x:v>
      </x:c>
      <x:c r="G45" s="5" t="str">
        <x:v>Kostenträgerzeit- und Kostenträgerstückrechnung</x:v>
      </x:c>
      <x:c r="H45" s="5" t="str">
        <x:v>2.3.4</x:v>
      </x:c>
      <x:c r="I45" s="5" t="str">
        <x:v>Rechnungswesen</x:v>
      </x:c>
      <x:c r="J45" s="5" t="n">
        <x:f>COUNTIF('Einzel-ID-Zuordnung'!$H$7:$H$2692,A45)</x:f>
        <x:v>11</x:v>
      </x:c>
      <x:c r="K45" s="5" t="str">
        <x:v>2.3.4; 2.3.4.4</x:v>
      </x:c>
      <x:c r="L45" s="5" t="str">
        <x:v>BR-0075; BR-0077; BR-0078; BR-0079; BR-0080; BR-0081; BR-0082; BR-0083; BR-0084; BR-0085; BR-0119</x:v>
      </x:c>
      <x:c r="M45" s="5" t="str">
        <x:v>nein</x:v>
      </x:c>
    </x:row>
    <x:row r="46" ht="36" customHeight="1">
      <x:c r="A46" s="5" t="str">
        <x:v>dg-wq-0040</x:v>
      </x:c>
      <x:c r="B46" s="5" t="str">
        <x:v>WQ</x:v>
      </x:c>
      <x:c r="C46" s="5" t="str">
        <x:v>2</x:v>
      </x:c>
      <x:c r="D46" s="5" t="str">
        <x:v>Rechnungswesen</x:v>
      </x:c>
      <x:c r="E46" s="5" t="str">
        <x:v>ui-wq-0007</x:v>
      </x:c>
      <x:c r="F46" s="5" t="str">
        <x:v>Kosten- und Leistungsrechnung</x:v>
      </x:c>
      <x:c r="G46" s="5" t="str">
        <x:v>Kostenträgerzeitrechnung</x:v>
      </x:c>
      <x:c r="H46" s="5" t="str">
        <x:v>2.3.4.1</x:v>
      </x:c>
      <x:c r="I46" s="5" t="str">
        <x:v>Rechnungswesen</x:v>
      </x:c>
      <x:c r="J46" s="5" t="n">
        <x:f>COUNTIF('Einzel-ID-Zuordnung'!$H$7:$H$2692,A46)</x:f>
        <x:v>1</x:v>
      </x:c>
      <x:c r="K46" s="5" t="str">
        <x:v>2.3.4.1</x:v>
      </x:c>
      <x:c r="L46" s="5" t="str">
        <x:v>BR-0076</x:v>
      </x:c>
      <x:c r="M46" s="5" t="str">
        <x:v>nein</x:v>
      </x:c>
    </x:row>
    <x:row r="47" ht="36" customHeight="1">
      <x:c r="A47" s="5" t="str">
        <x:v>dg-wq-0041</x:v>
      </x:c>
      <x:c r="B47" s="5" t="str">
        <x:v>WQ</x:v>
      </x:c>
      <x:c r="C47" s="5" t="str">
        <x:v>2</x:v>
      </x:c>
      <x:c r="D47" s="5" t="str">
        <x:v>Rechnungswesen</x:v>
      </x:c>
      <x:c r="E47" s="5" t="str">
        <x:v>ui-wq-0008</x:v>
      </x:c>
      <x:c r="F47" s="5" t="str">
        <x:v>Auswertung der betriebswirtschaftlichen Zahlen</x:v>
      </x:c>
      <x:c r="G47" s="5" t="str">
        <x:v>Rentabilitätsrechnungen</x:v>
      </x:c>
      <x:c r="H47" s="5" t="str">
        <x:v>2.4.2</x:v>
      </x:c>
      <x:c r="I47" s="5" t="str">
        <x:v>Rechnungswesen</x:v>
      </x:c>
      <x:c r="J47" s="5" t="n">
        <x:f>COUNTIF('Einzel-ID-Zuordnung'!$H$7:$H$2692,A47)</x:f>
        <x:v>7</x:v>
      </x:c>
      <x:c r="K47" s="5" t="str">
        <x:v>2.4.2; 2.4.2.2</x:v>
      </x:c>
      <x:c r="L47" s="5" t="str">
        <x:v>BR-0097; BR-0098; BR-0099; BR-0100; BR-0113; BR-0114; BR-0115</x:v>
      </x:c>
      <x:c r="M47" s="5" t="str">
        <x:v>nein</x:v>
      </x:c>
    </x:row>
    <x:row r="48" ht="36" customHeight="1">
      <x:c r="A48" s="5" t="str">
        <x:v>dg-wq-0042</x:v>
      </x:c>
      <x:c r="B48" s="5" t="str">
        <x:v>WQ</x:v>
      </x:c>
      <x:c r="C48" s="5" t="str">
        <x:v>2</x:v>
      </x:c>
      <x:c r="D48" s="5" t="str">
        <x:v>Rechnungswesen</x:v>
      </x:c>
      <x:c r="E48" s="5" t="str">
        <x:v>ui-wq-0008</x:v>
      </x:c>
      <x:c r="F48" s="5" t="str">
        <x:v>Auswertung der betriebswirtschaftlichen Zahlen</x:v>
      </x:c>
      <x:c r="G48" s="5" t="str">
        <x:v>Adressaten der Auswertungen</x:v>
      </x:c>
      <x:c r="H48" s="5" t="str">
        <x:v>2.4.1.1</x:v>
      </x:c>
      <x:c r="I48" s="5" t="str">
        <x:v>Rechnungswesen</x:v>
      </x:c>
      <x:c r="J48" s="5" t="n">
        <x:f>COUNTIF('Einzel-ID-Zuordnung'!$H$7:$H$2692,A48)</x:f>
        <x:v>1</x:v>
      </x:c>
      <x:c r="K48" s="5" t="str">
        <x:v>2.4.1.1</x:v>
      </x:c>
      <x:c r="L48" s="5" t="str">
        <x:v>BR-0112</x:v>
      </x:c>
      <x:c r="M48" s="5" t="str">
        <x:v>nein</x:v>
      </x:c>
    </x:row>
    <x:row r="49" ht="36" customHeight="1">
      <x:c r="A49" s="5" t="str">
        <x:v>dg-wq-0043</x:v>
      </x:c>
      <x:c r="B49" s="5" t="str">
        <x:v>WQ</x:v>
      </x:c>
      <x:c r="C49" s="5" t="str">
        <x:v>2</x:v>
      </x:c>
      <x:c r="D49" s="5" t="str">
        <x:v>Rechnungswesen</x:v>
      </x:c>
      <x:c r="E49" s="5" t="str">
        <x:v>ui-wq-0007</x:v>
      </x:c>
      <x:c r="F49" s="5" t="str">
        <x:v>Kosten- und Leistungsrechnung</x:v>
      </x:c>
      <x:c r="G49" s="5" t="str">
        <x:v>Handelswarenkalkulation</x:v>
      </x:c>
      <x:c r="H49" s="5" t="str">
        <x:v>2.3.4.6</x:v>
      </x:c>
      <x:c r="I49" s="5" t="str">
        <x:v>Rechnungswesen</x:v>
      </x:c>
      <x:c r="J49" s="5" t="n">
        <x:f>COUNTIF('Einzel-ID-Zuordnung'!$H$7:$H$2692,A49)</x:f>
        <x:v>1</x:v>
      </x:c>
      <x:c r="K49" s="5" t="str">
        <x:v>2.3.4.6</x:v>
      </x:c>
      <x:c r="L49" s="5" t="str">
        <x:v>BR-0120</x:v>
      </x:c>
      <x:c r="M49" s="5" t="str">
        <x:v>nein</x:v>
      </x:c>
    </x:row>
    <x:row r="50" ht="36" customHeight="1">
      <x:c r="A50" s="5" t="str">
        <x:v>dg-wq-0044</x:v>
      </x:c>
      <x:c r="B50" s="5" t="str">
        <x:v>WQ</x:v>
      </x:c>
      <x:c r="C50" s="5" t="str">
        <x:v>1</x:v>
      </x:c>
      <x:c r="D50" s="5" t="str">
        <x:v>Volks- und Betriebswirtschaft</x:v>
      </x:c>
      <x:c r="E50" s="5" t="str">
        <x:v>ui-wq-0002</x:v>
      </x:c>
      <x:c r="F50" s="5" t="str">
        <x:v>Betriebliche Funktionen und deren Zusammenwirken</x:v>
      </x:c>
      <x:c r="G50" s="5" t="str">
        <x:v>Zusammenwirken der betrieblichen Funktionen</x:v>
      </x:c>
      <x:c r="H50" s="5" t="str">
        <x:v>1.2.2</x:v>
      </x:c>
      <x:c r="I50" s="5" t="str">
        <x:v>BWL</x:v>
      </x:c>
      <x:c r="J50" s="5" t="n">
        <x:f>COUNTIF('Einzel-ID-Zuordnung'!$H$7:$H$2692,A50)</x:f>
        <x:v>14</x:v>
      </x:c>
      <x:c r="K50" s="5" t="str">
        <x:v>1.2.2</x:v>
      </x:c>
      <x:c r="L50" s="5" t="str">
        <x:v>BWL-0001; BWL-0029; BWL-0062; BWL-0063; BWL-0064; BWL-0065; BWL-0088; BWL-0107; BWL-0108; BWL-0109; BWL-0114; BWL-0115; BWL-0117; BWL-0125</x:v>
      </x:c>
      <x:c r="M50" s="5" t="str">
        <x:v>nein</x:v>
      </x:c>
    </x:row>
    <x:row r="51" ht="36" customHeight="1">
      <x:c r="A51" s="5" t="str">
        <x:v>dg-wq-0045</x:v>
      </x:c>
      <x:c r="B51" s="5" t="str">
        <x:v>WQ</x:v>
      </x:c>
      <x:c r="C51" s="5" t="str">
        <x:v>1</x:v>
      </x:c>
      <x:c r="D51" s="5" t="str">
        <x:v>Volks- und Betriebswirtschaft</x:v>
      </x:c>
      <x:c r="E51" s="5" t="str">
        <x:v>ui-wq-0002</x:v>
      </x:c>
      <x:c r="F51" s="5" t="str">
        <x:v>Betriebliche Funktionen und deren Zusammenwirken</x:v>
      </x:c>
      <x:c r="G51" s="5" t="str">
        <x:v>Produktion</x:v>
      </x:c>
      <x:c r="H51" s="5" t="str">
        <x:v>1.2.1.1</x:v>
      </x:c>
      <x:c r="I51" s="5" t="str">
        <x:v>BWL</x:v>
      </x:c>
      <x:c r="J51" s="5" t="n">
        <x:f>COUNTIF('Einzel-ID-Zuordnung'!$H$7:$H$2692,A51)</x:f>
        <x:v>13</x:v>
      </x:c>
      <x:c r="K51" s="5" t="str">
        <x:v>1.2.1.1</x:v>
      </x:c>
      <x:c r="L51" s="5" t="str">
        <x:v>BWL-0002; BWL-0003; BWL-0004; BWL-0005; BWL-0006; BWL-0007; BWL-0092; BWL-0093; BWL-0094; BWL-0095; BWL-0116; BWL-0118; BWL-0119</x:v>
      </x:c>
      <x:c r="M51" s="5" t="str">
        <x:v>nein</x:v>
      </x:c>
    </x:row>
    <x:row r="52" ht="36" customHeight="1">
      <x:c r="A52" s="5" t="str">
        <x:v>dg-wq-0046</x:v>
      </x:c>
      <x:c r="B52" s="5" t="str">
        <x:v>WQ</x:v>
      </x:c>
      <x:c r="C52" s="5" t="str">
        <x:v>1</x:v>
      </x:c>
      <x:c r="D52" s="5" t="str">
        <x:v>Volks- und Betriebswirtschaft</x:v>
      </x:c>
      <x:c r="E52" s="5" t="str">
        <x:v>ui-wq-0002</x:v>
      </x:c>
      <x:c r="F52" s="5" t="str">
        <x:v>Betriebliche Funktionen und deren Zusammenwirken</x:v>
      </x:c>
      <x:c r="G52" s="5" t="str">
        <x:v>Logistik</x:v>
      </x:c>
      <x:c r="H52" s="5" t="str">
        <x:v>1.2.1.2</x:v>
      </x:c>
      <x:c r="I52" s="5" t="str">
        <x:v>BWL</x:v>
      </x:c>
      <x:c r="J52" s="5" t="n">
        <x:f>COUNTIF('Einzel-ID-Zuordnung'!$H$7:$H$2692,A52)</x:f>
        <x:v>10</x:v>
      </x:c>
      <x:c r="K52" s="5" t="str">
        <x:v>1.2.1.2</x:v>
      </x:c>
      <x:c r="L52" s="5" t="str">
        <x:v>BWL-0008; BWL-0009; BWL-0010; BWL-0011; BWL-0012; BWL-0013; BWL-0014; BWL-0096; BWL-0097; BWL-0120</x:v>
      </x:c>
      <x:c r="M52" s="5" t="str">
        <x:v>nein</x:v>
      </x:c>
    </x:row>
    <x:row r="53" ht="36" customHeight="1">
      <x:c r="A53" s="5" t="str">
        <x:v>dg-wq-0047</x:v>
      </x:c>
      <x:c r="B53" s="5" t="str">
        <x:v>WQ</x:v>
      </x:c>
      <x:c r="C53" s="5" t="str">
        <x:v>1</x:v>
      </x:c>
      <x:c r="D53" s="5" t="str">
        <x:v>Volks- und Betriebswirtschaft</x:v>
      </x:c>
      <x:c r="E53" s="5" t="str">
        <x:v>ui-wq-0002</x:v>
      </x:c>
      <x:c r="F53" s="5" t="str">
        <x:v>Betriebliche Funktionen und deren Zusammenwirken</x:v>
      </x:c>
      <x:c r="G53" s="5" t="str">
        <x:v>Absatz / Marketing</x:v>
      </x:c>
      <x:c r="H53" s="5" t="str">
        <x:v>1.2.1.3</x:v>
      </x:c>
      <x:c r="I53" s="5" t="str">
        <x:v>BWL</x:v>
      </x:c>
      <x:c r="J53" s="5" t="n">
        <x:f>COUNTIF('Einzel-ID-Zuordnung'!$H$7:$H$2692,A53)</x:f>
        <x:v>19</x:v>
      </x:c>
      <x:c r="K53" s="5" t="str">
        <x:v>1.2.1.3</x:v>
      </x:c>
      <x:c r="L53" s="5" t="str">
        <x:v>BWL-0015; BWL-0016; BWL-0017; BWL-0018; BWL-0019; BWL-0020; BWL-0021; BWL-0022; BWL-0023; BWL-0024; BWL-0025; BWL-0026; BWL-0027; BWL-0028; BWL-0030; BWL-0098; BWL-0099; BWL-0121; BWL-0122</x:v>
      </x:c>
      <x:c r="M53" s="5" t="str">
        <x:v>nein</x:v>
      </x:c>
    </x:row>
    <x:row r="54" ht="36" customHeight="1">
      <x:c r="A54" s="5" t="str">
        <x:v>dg-wq-0048</x:v>
      </x:c>
      <x:c r="B54" s="5" t="str">
        <x:v>WQ</x:v>
      </x:c>
      <x:c r="C54" s="5" t="str">
        <x:v>1</x:v>
      </x:c>
      <x:c r="D54" s="5" t="str">
        <x:v>Volks- und Betriebswirtschaft</x:v>
      </x:c>
      <x:c r="E54" s="5" t="str">
        <x:v>ui-wq-0002</x:v>
      </x:c>
      <x:c r="F54" s="5" t="str">
        <x:v>Betriebliche Funktionen und deren Zusammenwirken</x:v>
      </x:c>
      <x:c r="G54" s="5" t="str">
        <x:v>Rechnungswesen</x:v>
      </x:c>
      <x:c r="H54" s="5" t="str">
        <x:v>1.2.1.4</x:v>
      </x:c>
      <x:c r="I54" s="5" t="str">
        <x:v>BWL</x:v>
      </x:c>
      <x:c r="J54" s="5" t="n">
        <x:f>COUNTIF('Einzel-ID-Zuordnung'!$H$7:$H$2692,A54)</x:f>
        <x:v>12</x:v>
      </x:c>
      <x:c r="K54" s="5" t="str">
        <x:v>1.2.1.4</x:v>
      </x:c>
      <x:c r="L54" s="5" t="str">
        <x:v>BWL-0031; BWL-0032; BWL-0033; BWL-0034; BWL-0035; BWL-0036; BWL-0037; BWL-0038; BWL-0100; BWL-0101; BWL-0102; BWL-0103</x:v>
      </x:c>
      <x:c r="M54" s="5" t="str">
        <x:v>nein</x:v>
      </x:c>
    </x:row>
    <x:row r="55" ht="36" customHeight="1">
      <x:c r="A55" s="5" t="str">
        <x:v>dg-wq-0049</x:v>
      </x:c>
      <x:c r="B55" s="5" t="str">
        <x:v>WQ</x:v>
      </x:c>
      <x:c r="C55" s="5" t="str">
        <x:v>1</x:v>
      </x:c>
      <x:c r="D55" s="5" t="str">
        <x:v>Volks- und Betriebswirtschaft</x:v>
      </x:c>
      <x:c r="E55" s="5" t="str">
        <x:v>ui-wq-0002</x:v>
      </x:c>
      <x:c r="F55" s="5" t="str">
        <x:v>Betriebliche Funktionen und deren Zusammenwirken</x:v>
      </x:c>
      <x:c r="G55" s="5" t="str">
        <x:v>Finanzierung / Investition</x:v>
      </x:c>
      <x:c r="H55" s="5" t="str">
        <x:v>1.2.1.5</x:v>
      </x:c>
      <x:c r="I55" s="5" t="str">
        <x:v>BWL</x:v>
      </x:c>
      <x:c r="J55" s="5" t="n">
        <x:f>COUNTIF('Einzel-ID-Zuordnung'!$H$7:$H$2692,A55)</x:f>
        <x:v>17</x:v>
      </x:c>
      <x:c r="K55" s="5" t="str">
        <x:v>1.2.1.5</x:v>
      </x:c>
      <x:c r="L55" s="5" t="str">
        <x:v>BWL-0039; BWL-0040; BWL-0041; BWL-0042; BWL-0043; BWL-0044; BWL-0045; BWL-0046; BWL-0047; BWL-0048; BWL-0049; BWL-0051; BWL-0079; BWL-0104; BWL-0105; BWL-0123; BWL-0124</x:v>
      </x:c>
      <x:c r="M55" s="5" t="str">
        <x:v>nein</x:v>
      </x:c>
    </x:row>
    <x:row r="56" ht="36" customHeight="1">
      <x:c r="A56" s="5" t="str">
        <x:v>dg-wq-0050</x:v>
      </x:c>
      <x:c r="B56" s="5" t="str">
        <x:v>WQ</x:v>
      </x:c>
      <x:c r="C56" s="5" t="str">
        <x:v>1</x:v>
      </x:c>
      <x:c r="D56" s="5" t="str">
        <x:v>Volks- und Betriebswirtschaft</x:v>
      </x:c>
      <x:c r="E56" s="5" t="str">
        <x:v>ui-wq-0003</x:v>
      </x:c>
      <x:c r="F56" s="5" t="str">
        <x:v>Existenzgründung und Unternehmensrechtsformen</x:v>
      </x:c>
      <x:c r="G56" s="5" t="str">
        <x:v>Rechtsformen</x:v>
      </x:c>
      <x:c r="H56" s="5" t="str">
        <x:v>1.3.3</x:v>
      </x:c>
      <x:c r="I56" s="5" t="str">
        <x:v>BWL</x:v>
      </x:c>
      <x:c r="J56" s="5" t="n">
        <x:f>COUNTIF('Einzel-ID-Zuordnung'!$H$7:$H$2692,A56)</x:f>
        <x:v>17</x:v>
      </x:c>
      <x:c r="K56" s="5" t="str">
        <x:v>1.3.3; 1.3.3.2</x:v>
      </x:c>
      <x:c r="L56" s="5" t="str">
        <x:v>BWL-0050; BWL-0067; BWL-0068; BWL-0069; BWL-0070; BWL-0072; BWL-0073; BWL-0074; BWL-0075; BWL-0076; BWL-0077; BWL-0078; BWL-0090; BWL-0110; BWL-0111; BWL-0112; BWL-0126</x:v>
      </x:c>
      <x:c r="M56" s="5" t="str">
        <x:v>nein</x:v>
      </x:c>
    </x:row>
    <x:row r="57" ht="36" customHeight="1">
      <x:c r="A57" s="5" t="str">
        <x:v>dg-wq-0051</x:v>
      </x:c>
      <x:c r="B57" s="5" t="str">
        <x:v>WQ</x:v>
      </x:c>
      <x:c r="C57" s="5" t="str">
        <x:v>1</x:v>
      </x:c>
      <x:c r="D57" s="5" t="str">
        <x:v>Volks- und Betriebswirtschaft</x:v>
      </x:c>
      <x:c r="E57" s="5" t="str">
        <x:v>ui-wq-0002</x:v>
      </x:c>
      <x:c r="F57" s="5" t="str">
        <x:v>Betriebliche Funktionen und deren Zusammenwirken</x:v>
      </x:c>
      <x:c r="G57" s="5" t="str">
        <x:v>Controlling</x:v>
      </x:c>
      <x:c r="H57" s="5" t="str">
        <x:v>1.2.1.6</x:v>
      </x:c>
      <x:c r="I57" s="5" t="str">
        <x:v>BWL</x:v>
      </x:c>
      <x:c r="J57" s="5" t="n">
        <x:f>COUNTIF('Einzel-ID-Zuordnung'!$H$7:$H$2692,A57)</x:f>
        <x:v>4</x:v>
      </x:c>
      <x:c r="K57" s="5" t="str">
        <x:v>1.2.1.6</x:v>
      </x:c>
      <x:c r="L57" s="5" t="str">
        <x:v>BWL-0052; BWL-0053; BWL-0054; BWL-0055</x:v>
      </x:c>
      <x:c r="M57" s="5" t="str">
        <x:v>nein</x:v>
      </x:c>
    </x:row>
    <x:row r="58" ht="36" customHeight="1">
      <x:c r="A58" s="5" t="str">
        <x:v>dg-wq-0052</x:v>
      </x:c>
      <x:c r="B58" s="5" t="str">
        <x:v>WQ</x:v>
      </x:c>
      <x:c r="C58" s="5" t="str">
        <x:v>1</x:v>
      </x:c>
      <x:c r="D58" s="5" t="str">
        <x:v>Volks- und Betriebswirtschaft</x:v>
      </x:c>
      <x:c r="E58" s="5" t="str">
        <x:v>ui-wq-0002</x:v>
      </x:c>
      <x:c r="F58" s="5" t="str">
        <x:v>Betriebliche Funktionen und deren Zusammenwirken</x:v>
      </x:c>
      <x:c r="G58" s="5" t="str">
        <x:v>Personal</x:v>
      </x:c>
      <x:c r="H58" s="5" t="str">
        <x:v>1.2.1.7</x:v>
      </x:c>
      <x:c r="I58" s="5" t="str">
        <x:v>BWL</x:v>
      </x:c>
      <x:c r="J58" s="5" t="n">
        <x:f>COUNTIF('Einzel-ID-Zuordnung'!$H$7:$H$2692,A58)</x:f>
        <x:v>7</x:v>
      </x:c>
      <x:c r="K58" s="5" t="str">
        <x:v>1.2.1.7</x:v>
      </x:c>
      <x:c r="L58" s="5" t="str">
        <x:v>BWL-0056; BWL-0057; BWL-0058; BWL-0059; BWL-0060; BWL-0061; BWL-0106</x:v>
      </x:c>
      <x:c r="M58" s="5" t="str">
        <x:v>nein</x:v>
      </x:c>
    </x:row>
    <x:row r="59" ht="36" customHeight="1">
      <x:c r="A59" s="5" t="str">
        <x:v>dg-wq-0053</x:v>
      </x:c>
      <x:c r="B59" s="5" t="str">
        <x:v>WQ</x:v>
      </x:c>
      <x:c r="C59" s="5" t="str">
        <x:v>1</x:v>
      </x:c>
      <x:c r="D59" s="5" t="str">
        <x:v>Volks- und Betriebswirtschaft</x:v>
      </x:c>
      <x:c r="E59" s="5" t="str">
        <x:v>ui-wq-0003</x:v>
      </x:c>
      <x:c r="F59" s="5" t="str">
        <x:v>Existenzgründung und Unternehmensrechtsformen</x:v>
      </x:c>
      <x:c r="G59" s="5" t="str">
        <x:v>Voraussetzungen der Existenzgründung</x:v>
      </x:c>
      <x:c r="H59" s="5" t="str">
        <x:v>1.3.2</x:v>
      </x:c>
      <x:c r="I59" s="5" t="str">
        <x:v>BWL</x:v>
      </x:c>
      <x:c r="J59" s="5" t="n">
        <x:f>COUNTIF('Einzel-ID-Zuordnung'!$H$7:$H$2692,A59)</x:f>
        <x:v>3</x:v>
      </x:c>
      <x:c r="K59" s="5" t="str">
        <x:v>1.3.2</x:v>
      </x:c>
      <x:c r="L59" s="5" t="str">
        <x:v>BWL-0066; BWL-0071; BWL-0089</x:v>
      </x:c>
      <x:c r="M59" s="5" t="str">
        <x:v>nein</x:v>
      </x:c>
    </x:row>
    <x:row r="60" ht="36" customHeight="1">
      <x:c r="A60" s="5" t="str">
        <x:v>dg-wq-0054</x:v>
      </x:c>
      <x:c r="B60" s="5" t="str">
        <x:v>WQ</x:v>
      </x:c>
      <x:c r="C60" s="5" t="str">
        <x:v>1</x:v>
      </x:c>
      <x:c r="D60" s="5" t="str">
        <x:v>Volks- und Betriebswirtschaft</x:v>
      </x:c>
      <x:c r="E60" s="5" t="str">
        <x:v>ui-wq-0004</x:v>
      </x:c>
      <x:c r="F60" s="5" t="str">
        <x:v>Unternehmenszusammenschlüsse</x:v>
      </x:c>
      <x:c r="G60" s="5" t="str">
        <x:v>Formen der Konzentration</x:v>
      </x:c>
      <x:c r="H60" s="5" t="str">
        <x:v>1.4.2</x:v>
      </x:c>
      <x:c r="I60" s="5" t="str">
        <x:v>BWL</x:v>
      </x:c>
      <x:c r="J60" s="5" t="n">
        <x:f>COUNTIF('Einzel-ID-Zuordnung'!$H$7:$H$2692,A60)</x:f>
        <x:v>5</x:v>
      </x:c>
      <x:c r="K60" s="5" t="str">
        <x:v>1.4.2.2; 1.4.2</x:v>
      </x:c>
      <x:c r="L60" s="5" t="str">
        <x:v>BWL-0080; BWL-0082; BWL-0085; BWL-0087; BWL-0091</x:v>
      </x:c>
      <x:c r="M60" s="5" t="str">
        <x:v>nein</x:v>
      </x:c>
    </x:row>
    <x:row r="61" ht="36" customHeight="1">
      <x:c r="A61" s="5" t="str">
        <x:v>dg-wq-0055</x:v>
      </x:c>
      <x:c r="B61" s="5" t="str">
        <x:v>WQ</x:v>
      </x:c>
      <x:c r="C61" s="5" t="str">
        <x:v>1</x:v>
      </x:c>
      <x:c r="D61" s="5" t="str">
        <x:v>Volks- und Betriebswirtschaft</x:v>
      </x:c>
      <x:c r="E61" s="5" t="str">
        <x:v>ui-wq-0004</x:v>
      </x:c>
      <x:c r="F61" s="5" t="str">
        <x:v>Unternehmenszusammenschlüsse</x:v>
      </x:c>
      <x:c r="G61" s="5" t="str">
        <x:v>Formen der Kooperation</x:v>
      </x:c>
      <x:c r="H61" s="5" t="str">
        <x:v>1.4.1</x:v>
      </x:c>
      <x:c r="I61" s="5" t="str">
        <x:v>BWL</x:v>
      </x:c>
      <x:c r="J61" s="5" t="n">
        <x:f>COUNTIF('Einzel-ID-Zuordnung'!$H$7:$H$2692,A61)</x:f>
        <x:v>5</x:v>
      </x:c>
      <x:c r="K61" s="5" t="str">
        <x:v>1.4.1</x:v>
      </x:c>
      <x:c r="L61" s="5" t="str">
        <x:v>BWL-0081; BWL-0083; BWL-0084; BWL-0086; BWL-0113</x:v>
      </x:c>
      <x:c r="M61" s="5" t="str">
        <x:v>nein</x:v>
      </x:c>
    </x:row>
    <x:row r="62" ht="36" customHeight="1">
      <x:c r="A62" s="5" t="str">
        <x:v>dg-wq-0056</x:v>
      </x:c>
      <x:c r="B62" s="5" t="str">
        <x:v>WQ</x:v>
      </x:c>
      <x:c r="C62" s="5" t="str">
        <x:v>1</x:v>
      </x:c>
      <x:c r="D62" s="5" t="str">
        <x:v>Volks- und Betriebswirtschaft</x:v>
      </x:c>
      <x:c r="E62" s="5" t="str">
        <x:v>ui-wq-0001</x:v>
      </x:c>
      <x:c r="F62" s="5" t="str">
        <x:v>Volkswirtschaftliche Grundlagen</x:v>
      </x:c>
      <x:c r="G62" s="5" t="str">
        <x:v>Markt, Preis und Wettbewerb</x:v>
      </x:c>
      <x:c r="H62" s="5" t="str">
        <x:v>1.1.1</x:v>
      </x:c>
      <x:c r="I62" s="5" t="str">
        <x:v>VWL</x:v>
      </x:c>
      <x:c r="J62" s="5" t="n">
        <x:f>COUNTIF('Einzel-ID-Zuordnung'!$H$7:$H$2692,A62)</x:f>
        <x:v>30</x:v>
      </x:c>
      <x:c r="K62" s="5" t="str">
        <x:v>1.1.1</x:v>
      </x:c>
      <x:c r="L62" s="5" t="str">
        <x:v>VWL-0001; VWL-0002; VWL-0003; VWL-0004; VWL-0005; VWL-0006; VWL-0007; VWL-0008; VWL-0009; VWL-0010; VWL-0011; VWL-0012; VWL-0013; VWL-0014; VWL-0015; VWL-0016; VWL-0017; VWL-0018; VWL-0019; VWL-0020; VWL-0021; VWL-0022; VWL-0023; VWL-0024; VWL-0128; VWL-0143; VWL-0144; VWL-0145; VWL-0146; VWL-0147</x:v>
      </x:c>
      <x:c r="M62" s="5" t="str">
        <x:v>nein</x:v>
      </x:c>
    </x:row>
    <x:row r="63" ht="36" customHeight="1">
      <x:c r="A63" s="5" t="str">
        <x:v>dg-wq-0057</x:v>
      </x:c>
      <x:c r="B63" s="5" t="str">
        <x:v>WQ</x:v>
      </x:c>
      <x:c r="C63" s="5" t="str">
        <x:v>1</x:v>
      </x:c>
      <x:c r="D63" s="5" t="str">
        <x:v>Volks- und Betriebswirtschaft</x:v>
      </x:c>
      <x:c r="E63" s="5" t="str">
        <x:v>ui-wq-0001</x:v>
      </x:c>
      <x:c r="F63" s="5" t="str">
        <x:v>Volkswirtschaftliche Grundlagen</x:v>
      </x:c>
      <x:c r="G63" s="5" t="str">
        <x:v>Preisbildung auf den unterschiedlichen Märkten</x:v>
      </x:c>
      <x:c r="H63" s="5" t="str">
        <x:v>1.1.1.1</x:v>
      </x:c>
      <x:c r="I63" s="5" t="str">
        <x:v>VWL</x:v>
      </x:c>
      <x:c r="J63" s="5" t="n">
        <x:f>COUNTIF('Einzel-ID-Zuordnung'!$H$7:$H$2692,A63)</x:f>
        <x:v>25</x:v>
      </x:c>
      <x:c r="K63" s="5" t="str">
        <x:v>1.1.1.1; 1.1.1.1#2; 1.1.1.1#1</x:v>
      </x:c>
      <x:c r="L63" s="5" t="str">
        <x:v>VWL-0025; VWL-0026; VWL-0027; VWL-0028; VWL-0029; VWL-0030; VWL-0031; VWL-0032; VWL-0033; VWL-0034; VWL-0035; VWL-0036; VWL-0037; VWL-0038; VWL-0039; VWL-0040; VWL-0041; VWL-0042; VWL-0043; VWL-0129; VWL-0130; VWL-0131; VWL-0132; VWL-0148; VWL-0149</x:v>
      </x:c>
      <x:c r="M63" s="5" t="str">
        <x:v>nein</x:v>
      </x:c>
    </x:row>
    <x:row r="64" ht="36" customHeight="1">
      <x:c r="A64" s="5" t="str">
        <x:v>dg-wq-0058</x:v>
      </x:c>
      <x:c r="B64" s="5" t="str">
        <x:v>WQ</x:v>
      </x:c>
      <x:c r="C64" s="5" t="str">
        <x:v>1</x:v>
      </x:c>
      <x:c r="D64" s="5" t="str">
        <x:v>Volks- und Betriebswirtschaft</x:v>
      </x:c>
      <x:c r="E64" s="5" t="str">
        <x:v>ui-wq-0001</x:v>
      </x:c>
      <x:c r="F64" s="5" t="str">
        <x:v>Volkswirtschaftliche Grundlagen</x:v>
      </x:c>
      <x:c r="G64" s="5" t="str">
        <x:v>Wettbewerbspolitik</x:v>
      </x:c>
      <x:c r="H64" s="5" t="str">
        <x:v>1.1.1.2</x:v>
      </x:c>
      <x:c r="I64" s="5" t="str">
        <x:v>VWL</x:v>
      </x:c>
      <x:c r="J64" s="5" t="n">
        <x:f>COUNTIF('Einzel-ID-Zuordnung'!$H$7:$H$2692,A64)</x:f>
        <x:v>11</x:v>
      </x:c>
      <x:c r="K64" s="5" t="str">
        <x:v>1.1.1.2#1; 1.1.1.2</x:v>
      </x:c>
      <x:c r="L64" s="5" t="str">
        <x:v>VWL-0044; VWL-0045; VWL-0046; VWL-0047; VWL-0048; VWL-0049; VWL-0050; VWL-0051; VWL-0133; VWL-0134; VWL-0135</x:v>
      </x:c>
      <x:c r="M64" s="5" t="str">
        <x:v>nein</x:v>
      </x:c>
    </x:row>
    <x:row r="65" ht="36" customHeight="1">
      <x:c r="A65" s="5" t="str">
        <x:v>dg-wq-0059</x:v>
      </x:c>
      <x:c r="B65" s="5" t="str">
        <x:v>WQ</x:v>
      </x:c>
      <x:c r="C65" s="5" t="str">
        <x:v>1</x:v>
      </x:c>
      <x:c r="D65" s="5" t="str">
        <x:v>Volks- und Betriebswirtschaft</x:v>
      </x:c>
      <x:c r="E65" s="5" t="str">
        <x:v>ui-wq-0001</x:v>
      </x:c>
      <x:c r="F65" s="5" t="str">
        <x:v>Volkswirtschaftliche Grundlagen</x:v>
      </x:c>
      <x:c r="G65" s="5" t="str">
        <x:v>Volkswirtschaftliche Gesamtrechnung</x:v>
      </x:c>
      <x:c r="H65" s="5" t="str">
        <x:v>1.1.2</x:v>
      </x:c>
      <x:c r="I65" s="5" t="str">
        <x:v>VWL</x:v>
      </x:c>
      <x:c r="J65" s="5" t="n">
        <x:f>COUNTIF('Einzel-ID-Zuordnung'!$H$7:$H$2692,A65)</x:f>
        <x:v>15</x:v>
      </x:c>
      <x:c r="K65" s="5" t="str">
        <x:v>1.1.2; 1.1.2.1; 1.1.2.2#1; 1.1.2.2#2</x:v>
      </x:c>
      <x:c r="L65" s="5" t="str">
        <x:v>VWL-0052; VWL-0053; VWL-0054; VWL-0055; VWL-0056; VWL-0057; VWL-0058; VWL-0059; VWL-0060; VWL-0061; VWL-0062; VWL-0136; VWL-0137; VWL-0150; VWL-0151</x:v>
      </x:c>
      <x:c r="M65" s="5" t="str">
        <x:v>nein</x:v>
      </x:c>
    </x:row>
    <x:row r="66" ht="36" customHeight="1">
      <x:c r="A66" s="5" t="str">
        <x:v>dg-wq-0060</x:v>
      </x:c>
      <x:c r="B66" s="5" t="str">
        <x:v>WQ</x:v>
      </x:c>
      <x:c r="C66" s="5" t="str">
        <x:v>1</x:v>
      </x:c>
      <x:c r="D66" s="5" t="str">
        <x:v>Volks- und Betriebswirtschaft</x:v>
      </x:c>
      <x:c r="E66" s="5" t="str">
        <x:v>ui-wq-0001</x:v>
      </x:c>
      <x:c r="F66" s="5" t="str">
        <x:v>Volkswirtschaftliche Grundlagen</x:v>
      </x:c>
      <x:c r="G66" s="5" t="str">
        <x:v>Ziele der Stabilitätspolitik</x:v>
      </x:c>
      <x:c r="H66" s="5" t="str">
        <x:v>1.1.3.1</x:v>
      </x:c>
      <x:c r="I66" s="5" t="str">
        <x:v>VWL</x:v>
      </x:c>
      <x:c r="J66" s="5" t="n">
        <x:f>COUNTIF('Einzel-ID-Zuordnung'!$H$7:$H$2692,A66)</x:f>
        <x:v>24</x:v>
      </x:c>
      <x:c r="K66" s="5" t="str">
        <x:v>1.1.3.1</x:v>
      </x:c>
      <x:c r="L66" s="5" t="str">
        <x:v>VWL-0063; VWL-0064; VWL-0065; VWL-0066; VWL-0067; VWL-0068; VWL-0069; VWL-0070; VWL-0071; VWL-0072; VWL-0073; VWL-0074; VWL-0075; VWL-0076; VWL-0077; VWL-0078; VWL-0079; VWL-0080; VWL-0081; VWL-0082; VWL-0138; VWL-0139; VWL-0152; VWL-0153</x:v>
      </x:c>
      <x:c r="M66" s="5" t="str">
        <x:v>nein</x:v>
      </x:c>
    </x:row>
    <x:row r="67" ht="36" customHeight="1">
      <x:c r="A67" s="5" t="str">
        <x:v>dg-wq-0061</x:v>
      </x:c>
      <x:c r="B67" s="5" t="str">
        <x:v>WQ</x:v>
      </x:c>
      <x:c r="C67" s="5" t="str">
        <x:v>1</x:v>
      </x:c>
      <x:c r="D67" s="5" t="str">
        <x:v>Volks- und Betriebswirtschaft</x:v>
      </x:c>
      <x:c r="E67" s="5" t="str">
        <x:v>ui-wq-0001</x:v>
      </x:c>
      <x:c r="F67" s="5" t="str">
        <x:v>Volkswirtschaftliche Grundlagen</x:v>
      </x:c>
      <x:c r="G67" s="5" t="str">
        <x:v>Wirtschaftspolitische Maßnahmen und Konzeptionen</x:v>
      </x:c>
      <x:c r="H67" s="5" t="str">
        <x:v>1.1.3.2</x:v>
      </x:c>
      <x:c r="I67" s="5" t="str">
        <x:v>VWL</x:v>
      </x:c>
      <x:c r="J67" s="5" t="n">
        <x:f>COUNTIF('Einzel-ID-Zuordnung'!$H$7:$H$2692,A67)</x:f>
        <x:v>30</x:v>
      </x:c>
      <x:c r="K67" s="5" t="str">
        <x:v>1.1.3.2; 1.1.3.2#1; 1.1.3.2#5; 1.1.3.2#6; 1.1.3.2#7; 1.1.3.2#3</x:v>
      </x:c>
      <x:c r="L67" s="5" t="str">
        <x:v>VWL-0083; VWL-0084; VWL-0085; VWL-0086; VWL-0087; VWL-0088; VWL-0089; VWL-0090; VWL-0091; VWL-0092; VWL-0093; VWL-0094; VWL-0095; VWL-0096; VWL-0097; VWL-0098; VWL-0099; VWL-0100; VWL-0101; VWL-0102; VWL-0103; VWL-0104; VWL-0105; VWL-0106; VWL-0107; VWL-0108; VWL-0109; VWL-0110; VWL-0111; VWL-0140</x:v>
      </x:c>
      <x:c r="M67" s="5" t="str">
        <x:v>nein</x:v>
      </x:c>
    </x:row>
    <x:row r="68" ht="36" customHeight="1">
      <x:c r="A68" s="5" t="str">
        <x:v>dg-wq-0062</x:v>
      </x:c>
      <x:c r="B68" s="5" t="str">
        <x:v>WQ</x:v>
      </x:c>
      <x:c r="C68" s="5" t="str">
        <x:v>1</x:v>
      </x:c>
      <x:c r="D68" s="5" t="str">
        <x:v>Volks- und Betriebswirtschaft</x:v>
      </x:c>
      <x:c r="E68" s="5" t="str">
        <x:v>ui-wq-0001</x:v>
      </x:c>
      <x:c r="F68" s="5" t="str">
        <x:v>Volkswirtschaftliche Grundlagen</x:v>
      </x:c>
      <x:c r="G68" s="5" t="str">
        <x:v>Freihandel und Protektionismus</x:v>
      </x:c>
      <x:c r="H68" s="5" t="str">
        <x:v>1.1.4.1</x:v>
      </x:c>
      <x:c r="I68" s="5" t="str">
        <x:v>VWL</x:v>
      </x:c>
      <x:c r="J68" s="5" t="n">
        <x:f>COUNTIF('Einzel-ID-Zuordnung'!$H$7:$H$2692,A68)</x:f>
        <x:v>15</x:v>
      </x:c>
      <x:c r="K68" s="5" t="str">
        <x:v>1.1.4.1</x:v>
      </x:c>
      <x:c r="L68" s="5" t="str">
        <x:v>VWL-0112; VWL-0113; VWL-0114; VWL-0120; VWL-0121; VWL-0122; VWL-0123; VWL-0125; VWL-0126; VWL-0141; VWL-0142; VWL-0154; VWL-0155; VWL-0156; VWL-0157</x:v>
      </x:c>
      <x:c r="M68" s="5" t="str">
        <x:v>nein</x:v>
      </x:c>
    </x:row>
    <x:row r="69" ht="36" customHeight="1">
      <x:c r="A69" s="5" t="str">
        <x:v>dg-wq-0063</x:v>
      </x:c>
      <x:c r="B69" s="5" t="str">
        <x:v>WQ</x:v>
      </x:c>
      <x:c r="C69" s="5" t="str">
        <x:v>1</x:v>
      </x:c>
      <x:c r="D69" s="5" t="str">
        <x:v>Volks- und Betriebswirtschaft</x:v>
      </x:c>
      <x:c r="E69" s="5" t="str">
        <x:v>ui-wq-0001</x:v>
      </x:c>
      <x:c r="F69" s="5" t="str">
        <x:v>Volkswirtschaftliche Grundlagen</x:v>
      </x:c>
      <x:c r="G69" s="5" t="str">
        <x:v>Besonderheiten der EU</x:v>
      </x:c>
      <x:c r="H69" s="5" t="str">
        <x:v>1.1.4.2</x:v>
      </x:c>
      <x:c r="I69" s="5" t="str">
        <x:v>VWL</x:v>
      </x:c>
      <x:c r="J69" s="5" t="n">
        <x:f>COUNTIF('Einzel-ID-Zuordnung'!$H$7:$H$2692,A69)</x:f>
        <x:v>6</x:v>
      </x:c>
      <x:c r="K69" s="5" t="str">
        <x:v>1.1.4.2#2; 1.1.4.2; 1.1.4.2#1</x:v>
      </x:c>
      <x:c r="L69" s="5" t="str">
        <x:v>VWL-0115; VWL-0116; VWL-0117; VWL-0118; VWL-0119; VWL-0124</x:v>
      </x:c>
      <x:c r="M69" s="5" t="str">
        <x:v>nein</x:v>
      </x:c>
    </x:row>
    <x:row r="70" ht="36" customHeight="1">
      <x:c r="A70" s="5" t="str">
        <x:v>dg-wq-0064</x:v>
      </x:c>
      <x:c r="B70" s="5" t="str">
        <x:v>WQ</x:v>
      </x:c>
      <x:c r="C70" s="5" t="str">
        <x:v>1</x:v>
      </x:c>
      <x:c r="D70" s="5" t="str">
        <x:v>Volks- und Betriebswirtschaft</x:v>
      </x:c>
      <x:c r="E70" s="5" t="str">
        <x:v>ui-wq-0003</x:v>
      </x:c>
      <x:c r="F70" s="5" t="str">
        <x:v>Existenzgründung und Unternehmensrechtsformen</x:v>
      </x:c>
      <x:c r="G70" s="5" t="str">
        <x:v>Auslandsgesellschaft und Zweigniederlassung – Haftung und Leitung</x:v>
      </x:c>
      <x:c r="H70" s="5" t="str">
        <x:v>1.3.3.2</x:v>
      </x:c>
      <x:c r="I70" s="5" t="str">
        <x:v>VWL</x:v>
      </x:c>
      <x:c r="J70" s="5" t="n">
        <x:f>COUNTIF('Einzel-ID-Zuordnung'!$H$7:$H$2692,A70)</x:f>
        <x:v>1</x:v>
      </x:c>
      <x:c r="K70" s="5" t="str">
        <x:v>1.3.3.2</x:v>
      </x:c>
      <x:c r="L70" s="5" t="str">
        <x:v>VWL-0127</x:v>
      </x:c>
      <x:c r="M70" s="5" t="str">
        <x:v>nein</x:v>
      </x:c>
    </x:row>
    <x:row r="71" ht="36" customHeight="1">
      <x:c r="A71" s="5" t="str">
        <x:v>dg-wq-0065</x:v>
      </x:c>
      <x:c r="B71" s="5" t="str">
        <x:v>WQ</x:v>
      </x:c>
      <x:c r="C71" s="5" t="str">
        <x:v>4</x:v>
      </x:c>
      <x:c r="D71" s="5" t="str">
        <x:v>Unternehmensführung</x:v>
      </x:c>
      <x:c r="E71" s="5" t="str">
        <x:v>ui-wq-0010</x:v>
      </x:c>
      <x:c r="F71" s="5" t="str">
        <x:v>Betriebsorganisation</x:v>
      </x:c>
      <x:c r="G71" s="5" t="str">
        <x:v>Unternehmensleitbild, Unternehmensphilosophie, Unternehmenskultur und Corporate Identity</x:v>
      </x:c>
      <x:c r="H71" s="5" t="str">
        <x:v>4.1.1</x:v>
      </x:c>
      <x:c r="I71" s="5" t="str">
        <x:v>Unternehmensführung</x:v>
      </x:c>
      <x:c r="J71" s="5" t="n">
        <x:f>COUNTIF('Einzel-ID-Zuordnung'!$H$7:$H$2692,A71)</x:f>
        <x:v>33</x:v>
      </x:c>
      <x:c r="K71" s="5" t="str">
        <x:v>4.1.1</x:v>
      </x:c>
      <x:c r="L71" s="5" t="str">
        <x:v>UF-0001; UF-0002; UF-0003; UF-0004; UF-0005; UF-0006; UF-0007; UF-0008; UF-0014; UF-0015; UF-0016; UF-0017; UF-0018; UF-0019; UF-0020; UF-0021; UF-0022; UF-0023; UF-0024; UF-0025; UF-0026; UF-0027; UF-0079; UF-0081; UF-0082; UF-0086; UF-0087; UF-0186; UF-0187; UF-0188; UF-0189; UF-0190; UF-0191</x:v>
      </x:c>
      <x:c r="M71" s="5" t="str">
        <x:v>nein</x:v>
      </x:c>
    </x:row>
    <x:row r="72" ht="36" customHeight="1">
      <x:c r="A72" s="5" t="str">
        <x:v>dg-wq-0066</x:v>
      </x:c>
      <x:c r="B72" s="5" t="str">
        <x:v>WQ</x:v>
      </x:c>
      <x:c r="C72" s="5" t="str">
        <x:v>4</x:v>
      </x:c>
      <x:c r="D72" s="5" t="str">
        <x:v>Unternehmensführung</x:v>
      </x:c>
      <x:c r="E72" s="5" t="str">
        <x:v>ui-wq-0011</x:v>
      </x:c>
      <x:c r="F72" s="5" t="str">
        <x:v>Personalführung</x:v>
      </x:c>
      <x:c r="G72" s="5" t="str">
        <x:v>Führungsstile</x:v>
      </x:c>
      <x:c r="H72" s="5" t="str">
        <x:v>4.2.3</x:v>
      </x:c>
      <x:c r="I72" s="5" t="str">
        <x:v>Unternehmensführung</x:v>
      </x:c>
      <x:c r="J72" s="5" t="n">
        <x:f>COUNTIF('Einzel-ID-Zuordnung'!$H$7:$H$2692,A72)</x:f>
        <x:v>27</x:v>
      </x:c>
      <x:c r="K72" s="5" t="str">
        <x:v>4.2.3</x:v>
      </x:c>
      <x:c r="L72" s="5" t="str">
        <x:v>UF-0009; UF-0010; UF-0011; UF-0012; UF-0013; UF-0056; UF-0088; UF-0090; UF-0091; UF-0092; UF-0094; UF-0096; UF-0097; UF-0098; UF-0100; UF-0101; UF-0102; UF-0103; UF-0148; UF-0203; UF-0204; UF-0205; UF-0206; UF-0207; UF-0224; UF-0225; UF-0226</x:v>
      </x:c>
      <x:c r="M72" s="5" t="str">
        <x:v>nein</x:v>
      </x:c>
    </x:row>
    <x:row r="73" ht="36" customHeight="1">
      <x:c r="A73" s="5" t="str">
        <x:v>dg-wq-0067</x:v>
      </x:c>
      <x:c r="B73" s="5" t="str">
        <x:v>WQ</x:v>
      </x:c>
      <x:c r="C73" s="5" t="str">
        <x:v>4</x:v>
      </x:c>
      <x:c r="D73" s="5" t="str">
        <x:v>Unternehmensführung</x:v>
      </x:c>
      <x:c r="E73" s="5" t="str">
        <x:v>ui-wq-0010</x:v>
      </x:c>
      <x:c r="F73" s="5" t="str">
        <x:v>Betriebsorganisation</x:v>
      </x:c>
      <x:c r="G73" s="5" t="str">
        <x:v>Aufbauorganisation</x:v>
      </x:c>
      <x:c r="H73" s="5" t="str">
        <x:v>4.1.3</x:v>
      </x:c>
      <x:c r="I73" s="5" t="str">
        <x:v>Unternehmensführung</x:v>
      </x:c>
      <x:c r="J73" s="5" t="n">
        <x:f>COUNTIF('Einzel-ID-Zuordnung'!$H$7:$H$2692,A73)</x:f>
        <x:v>48</x:v>
      </x:c>
      <x:c r="K73" s="5" t="str">
        <x:v>4.1.3; 4.1.3.1</x:v>
      </x:c>
      <x:c r="L73" s="5" t="str">
        <x:v>UF-0028; UF-0029; UF-0030; UF-0031; UF-0032; UF-0033; UF-0034; UF-0035; UF-0036; UF-0037; UF-0038; UF-0039; UF-0040; UF-0041; UF-0042; UF-0043; UF-0044; UF-0045; UF-0046; UF-0047; UF-0048; UF-0049; UF-0050; UF-0051; UF-0052; UF-0053; UF-0054; UF-0057; UF-0058; UF-0060; UF-0061; UF-0063; UF-0093; UF-0099; UF-0111; UF-0159; UF-0182; UF-0183; UF-0192; UF-0193; UF-0194; UF-0195; UF-0196; UF-0197; UF-0220; UF-0221; UF-0222; UF-0223</x:v>
      </x:c>
      <x:c r="M73" s="5" t="str">
        <x:v>nein</x:v>
      </x:c>
    </x:row>
    <x:row r="74" ht="36" customHeight="1">
      <x:c r="A74" s="5" t="str">
        <x:v>dg-wq-0068</x:v>
      </x:c>
      <x:c r="B74" s="5" t="str">
        <x:v>WQ</x:v>
      </x:c>
      <x:c r="C74" s="5" t="str">
        <x:v>4</x:v>
      </x:c>
      <x:c r="D74" s="5" t="str">
        <x:v>Unternehmensführung</x:v>
      </x:c>
      <x:c r="E74" s="5" t="str">
        <x:v>ui-wq-0010</x:v>
      </x:c>
      <x:c r="F74" s="5" t="str">
        <x:v>Betriebsorganisation</x:v>
      </x:c>
      <x:c r="G74" s="5" t="str">
        <x:v>Ablauforganisation</x:v>
      </x:c>
      <x:c r="H74" s="5" t="str">
        <x:v>4.1.4</x:v>
      </x:c>
      <x:c r="I74" s="5" t="str">
        <x:v>Unternehmensführung</x:v>
      </x:c>
      <x:c r="J74" s="5" t="n">
        <x:f>COUNTIF('Einzel-ID-Zuordnung'!$H$7:$H$2692,A74)</x:f>
        <x:v>7</x:v>
      </x:c>
      <x:c r="K74" s="5" t="str">
        <x:v>4.1.4; 4.1.4.2#3</x:v>
      </x:c>
      <x:c r="L74" s="5" t="str">
        <x:v>UF-0055; UF-0059; UF-0062; UF-0198; UF-0233; UF-0234; UF-0235</x:v>
      </x:c>
      <x:c r="M74" s="5" t="str">
        <x:v>nein</x:v>
      </x:c>
    </x:row>
    <x:row r="75" ht="36" customHeight="1">
      <x:c r="A75" s="5" t="str">
        <x:v>dg-wq-0069</x:v>
      </x:c>
      <x:c r="B75" s="5" t="str">
        <x:v>WQ</x:v>
      </x:c>
      <x:c r="C75" s="5" t="str">
        <x:v>4</x:v>
      </x:c>
      <x:c r="D75" s="5" t="str">
        <x:v>Unternehmensführung</x:v>
      </x:c>
      <x:c r="E75" s="5" t="str">
        <x:v>ui-wq-0010</x:v>
      </x:c>
      <x:c r="F75" s="5" t="str">
        <x:v>Betriebsorganisation</x:v>
      </x:c>
      <x:c r="G75" s="5" t="str">
        <x:v>Analysemethoden</x:v>
      </x:c>
      <x:c r="H75" s="5" t="str">
        <x:v>4.1.5</x:v>
      </x:c>
      <x:c r="I75" s="5" t="str">
        <x:v>Unternehmensführung</x:v>
      </x:c>
      <x:c r="J75" s="5" t="n">
        <x:f>COUNTIF('Einzel-ID-Zuordnung'!$H$7:$H$2692,A75)</x:f>
        <x:v>21</x:v>
      </x:c>
      <x:c r="K75" s="5" t="str">
        <x:v>4.1.5; 4.1.5.1; 4.1.5.2</x:v>
      </x:c>
      <x:c r="L75" s="5" t="str">
        <x:v>UF-0064; UF-0065; UF-0066; UF-0067; UF-0068; UF-0069; UF-0070; UF-0071; UF-0072; UF-0073; UF-0074; UF-0075; UF-0076; UF-0077; UF-0078; UF-0080; UF-0184; UF-0199; UF-0200; UF-0201; UF-0202</x:v>
      </x:c>
      <x:c r="M75" s="5" t="str">
        <x:v>nein</x:v>
      </x:c>
    </x:row>
    <x:row r="76" ht="36" customHeight="1">
      <x:c r="A76" s="5" t="str">
        <x:v>dg-wq-0070</x:v>
      </x:c>
      <x:c r="B76" s="5" t="str">
        <x:v>WQ</x:v>
      </x:c>
      <x:c r="C76" s="5" t="str">
        <x:v>4</x:v>
      </x:c>
      <x:c r="D76" s="5" t="str">
        <x:v>Unternehmensführung</x:v>
      </x:c>
      <x:c r="E76" s="5" t="str">
        <x:v>ui-wq-0012</x:v>
      </x:c>
      <x:c r="F76" s="5" t="str">
        <x:v>Personalentwicklung</x:v>
      </x:c>
      <x:c r="G76" s="5" t="str">
        <x:v>Arten</x:v>
      </x:c>
      <x:c r="H76" s="5" t="str">
        <x:v>4.3.1</x:v>
      </x:c>
      <x:c r="I76" s="5" t="str">
        <x:v>Unternehmensführung</x:v>
      </x:c>
      <x:c r="J76" s="5" t="n">
        <x:f>COUNTIF('Einzel-ID-Zuordnung'!$H$7:$H$2692,A76)</x:f>
        <x:v>21</x:v>
      </x:c>
      <x:c r="K76" s="5" t="str">
        <x:v>4.3.1; 4.3.1.1; 4.3.1.3</x:v>
      </x:c>
      <x:c r="L76" s="5" t="str">
        <x:v>UF-0083; UF-0084; UF-0085; UF-0141; UF-0142; UF-0143; UF-0144; UF-0145; UF-0149; UF-0150; UF-0151; UF-0152; UF-0153; UF-0154; UF-0155; UF-0157; UF-0158; UF-0181; UF-0214; UF-0215; UF-0216</x:v>
      </x:c>
      <x:c r="M76" s="5" t="str">
        <x:v>nein</x:v>
      </x:c>
    </x:row>
    <x:row r="77" ht="36" customHeight="1">
      <x:c r="A77" s="5" t="str">
        <x:v>dg-wq-0071</x:v>
      </x:c>
      <x:c r="B77" s="5" t="str">
        <x:v>WQ</x:v>
      </x:c>
      <x:c r="C77" s="5" t="str">
        <x:v>4</x:v>
      </x:c>
      <x:c r="D77" s="5" t="str">
        <x:v>Unternehmensführung</x:v>
      </x:c>
      <x:c r="E77" s="5" t="str">
        <x:v>ui-wq-0011</x:v>
      </x:c>
      <x:c r="F77" s="5" t="str">
        <x:v>Personalführung</x:v>
      </x:c>
      <x:c r="G77" s="5" t="str">
        <x:v>Führen von Gruppen</x:v>
      </x:c>
      <x:c r="H77" s="5" t="str">
        <x:v>4.2.4</x:v>
      </x:c>
      <x:c r="I77" s="5" t="str">
        <x:v>Unternehmensführung</x:v>
      </x:c>
      <x:c r="J77" s="5" t="n">
        <x:f>COUNTIF('Einzel-ID-Zuordnung'!$H$7:$H$2692,A77)</x:f>
        <x:v>15</x:v>
      </x:c>
      <x:c r="K77" s="5" t="str">
        <x:v>4.2.4</x:v>
      </x:c>
      <x:c r="L77" s="5" t="str">
        <x:v>UF-0089; UF-0095; UF-0104; UF-0105; UF-0106; UF-0107; UF-0108; UF-0109; UF-0156; UF-0208; UF-0209; UF-0210; UF-0229; UF-0230; UF-0231</x:v>
      </x:c>
      <x:c r="M77" s="5" t="str">
        <x:v>nein</x:v>
      </x:c>
    </x:row>
    <x:row r="78" ht="36" customHeight="1">
      <x:c r="A78" s="5" t="str">
        <x:v>dg-wq-0072</x:v>
      </x:c>
      <x:c r="B78" s="5" t="str">
        <x:v>WQ</x:v>
      </x:c>
      <x:c r="C78" s="5" t="str">
        <x:v>4</x:v>
      </x:c>
      <x:c r="D78" s="5" t="str">
        <x:v>Unternehmensführung</x:v>
      </x:c>
      <x:c r="E78" s="5" t="str">
        <x:v>ui-wq-0011</x:v>
      </x:c>
      <x:c r="F78" s="5" t="str">
        <x:v>Personalführung</x:v>
      </x:c>
      <x:c r="G78" s="5" t="str">
        <x:v>Personalplanung</x:v>
      </x:c>
      <x:c r="H78" s="5" t="str">
        <x:v>4.2.5</x:v>
      </x:c>
      <x:c r="I78" s="5" t="str">
        <x:v>Unternehmensführung</x:v>
      </x:c>
      <x:c r="J78" s="5" t="n">
        <x:f>COUNTIF('Einzel-ID-Zuordnung'!$H$7:$H$2692,A78)</x:f>
        <x:v>13</x:v>
      </x:c>
      <x:c r="K78" s="5" t="str">
        <x:v>4.2.5</x:v>
      </x:c>
      <x:c r="L78" s="5" t="str">
        <x:v>UF-0110; UF-0112; UF-0113; UF-0114; UF-0115; UF-0117; UF-0118; UF-0119; UF-0120; UF-0123; UF-0140; UF-0185; UF-0211</x:v>
      </x:c>
      <x:c r="M78" s="5" t="str">
        <x:v>nein</x:v>
      </x:c>
    </x:row>
    <x:row r="79" ht="36" customHeight="1">
      <x:c r="A79" s="5" t="str">
        <x:v>dg-wq-0073</x:v>
      </x:c>
      <x:c r="B79" s="5" t="str">
        <x:v>WQ</x:v>
      </x:c>
      <x:c r="C79" s="5" t="str">
        <x:v>4</x:v>
      </x:c>
      <x:c r="D79" s="5" t="str">
        <x:v>Unternehmensführung</x:v>
      </x:c>
      <x:c r="E79" s="5" t="str">
        <x:v>ui-wq-0011</x:v>
      </x:c>
      <x:c r="F79" s="5" t="str">
        <x:v>Personalführung</x:v>
      </x:c>
      <x:c r="G79" s="5" t="str">
        <x:v>Personalbeschaffung</x:v>
      </x:c>
      <x:c r="H79" s="5" t="str">
        <x:v>4.2.6</x:v>
      </x:c>
      <x:c r="I79" s="5" t="str">
        <x:v>Unternehmensführung</x:v>
      </x:c>
      <x:c r="J79" s="5" t="n">
        <x:f>COUNTIF('Einzel-ID-Zuordnung'!$H$7:$H$2692,A79)</x:f>
        <x:v>5</x:v>
      </x:c>
      <x:c r="K79" s="5" t="str">
        <x:v>4.2.6</x:v>
      </x:c>
      <x:c r="L79" s="5" t="str">
        <x:v>UF-0116; UF-0121; UF-0122; UF-0124; UF-0212</x:v>
      </x:c>
      <x:c r="M79" s="5" t="str">
        <x:v>nein</x:v>
      </x:c>
    </x:row>
    <x:row r="80" ht="36" customHeight="1">
      <x:c r="A80" s="5" t="str">
        <x:v>dg-wq-0074</x:v>
      </x:c>
      <x:c r="B80" s="5" t="str">
        <x:v>WQ</x:v>
      </x:c>
      <x:c r="C80" s="5" t="str">
        <x:v>4</x:v>
      </x:c>
      <x:c r="D80" s="5" t="str">
        <x:v>Unternehmensführung</x:v>
      </x:c>
      <x:c r="E80" s="5" t="str">
        <x:v>ui-wq-0011</x:v>
      </x:c>
      <x:c r="F80" s="5" t="str">
        <x:v>Personalführung</x:v>
      </x:c>
      <x:c r="G80" s="5" t="str">
        <x:v>Personalanpassungsmaßnahmen</x:v>
      </x:c>
      <x:c r="H80" s="5" t="str">
        <x:v>4.2.7</x:v>
      </x:c>
      <x:c r="I80" s="5" t="str">
        <x:v>Unternehmensführung</x:v>
      </x:c>
      <x:c r="J80" s="5" t="n">
        <x:f>COUNTIF('Einzel-ID-Zuordnung'!$H$7:$H$2692,A80)</x:f>
        <x:v>9</x:v>
      </x:c>
      <x:c r="K80" s="5" t="str">
        <x:v>4.2.7</x:v>
      </x:c>
      <x:c r="L80" s="5" t="str">
        <x:v>UF-0125; UF-0126; UF-0127; UF-0128; UF-0129; UF-0132; UF-0133; UF-0136; UF-0137</x:v>
      </x:c>
      <x:c r="M80" s="5" t="str">
        <x:v>nein</x:v>
      </x:c>
    </x:row>
    <x:row r="81" ht="36" customHeight="1">
      <x:c r="A81" s="5" t="str">
        <x:v>dg-wq-0075</x:v>
      </x:c>
      <x:c r="B81" s="5" t="str">
        <x:v>WQ</x:v>
      </x:c>
      <x:c r="C81" s="5" t="str">
        <x:v>4</x:v>
      </x:c>
      <x:c r="D81" s="5" t="str">
        <x:v>Unternehmensführung</x:v>
      </x:c>
      <x:c r="E81" s="5" t="str">
        <x:v>ui-wq-0011</x:v>
      </x:c>
      <x:c r="F81" s="5" t="str">
        <x:v>Personalführung</x:v>
      </x:c>
      <x:c r="G81" s="5" t="str">
        <x:v>Entgeltformen</x:v>
      </x:c>
      <x:c r="H81" s="5" t="str">
        <x:v>4.2.8</x:v>
      </x:c>
      <x:c r="I81" s="5" t="str">
        <x:v>Unternehmensführung</x:v>
      </x:c>
      <x:c r="J81" s="5" t="n">
        <x:f>COUNTIF('Einzel-ID-Zuordnung'!$H$7:$H$2692,A81)</x:f>
        <x:v>8</x:v>
      </x:c>
      <x:c r="K81" s="5" t="str">
        <x:v>4.2.8; 4.2.8.1</x:v>
      </x:c>
      <x:c r="L81" s="5" t="str">
        <x:v>UF-0130; UF-0131; UF-0134; UF-0135; UF-0138; UF-0139; UF-0213; UF-0227</x:v>
      </x:c>
      <x:c r="M81" s="5" t="str">
        <x:v>nein</x:v>
      </x:c>
    </x:row>
    <x:row r="82" ht="36" customHeight="1">
      <x:c r="A82" s="5" t="str">
        <x:v>dg-wq-0076</x:v>
      </x:c>
      <x:c r="B82" s="5" t="str">
        <x:v>WQ</x:v>
      </x:c>
      <x:c r="C82" s="5" t="str">
        <x:v>4</x:v>
      </x:c>
      <x:c r="D82" s="5" t="str">
        <x:v>Unternehmensführung</x:v>
      </x:c>
      <x:c r="E82" s="5" t="str">
        <x:v>ui-wq-0012</x:v>
      </x:c>
      <x:c r="F82" s="5" t="str">
        <x:v>Personalentwicklung</x:v>
      </x:c>
      <x:c r="G82" s="5" t="str">
        <x:v>Potenzialanalyse</x:v>
      </x:c>
      <x:c r="H82" s="5" t="str">
        <x:v>4.3.2</x:v>
      </x:c>
      <x:c r="I82" s="5" t="str">
        <x:v>Unternehmensführung</x:v>
      </x:c>
      <x:c r="J82" s="5" t="n">
        <x:f>COUNTIF('Einzel-ID-Zuordnung'!$H$7:$H$2692,A82)</x:f>
        <x:v>23</x:v>
      </x:c>
      <x:c r="K82" s="5" t="str">
        <x:v>4.3.2</x:v>
      </x:c>
      <x:c r="L82" s="5" t="str">
        <x:v>UF-0146; UF-0147; UF-0160; UF-0161; UF-0162; UF-0163; UF-0164; UF-0165; UF-0166; UF-0167; UF-0168; UF-0169; UF-0170; UF-0171; UF-0172; UF-0173; UF-0175; UF-0176; UF-0177; UF-0178; UF-0179; UF-0180; UF-0232</x:v>
      </x:c>
      <x:c r="M82" s="5" t="str">
        <x:v>nein</x:v>
      </x:c>
    </x:row>
    <x:row r="83" ht="36" customHeight="1">
      <x:c r="A83" s="5" t="str">
        <x:v>dg-wq-0077</x:v>
      </x:c>
      <x:c r="B83" s="5" t="str">
        <x:v>WQ</x:v>
      </x:c>
      <x:c r="C83" s="5" t="str">
        <x:v>4</x:v>
      </x:c>
      <x:c r="D83" s="5" t="str">
        <x:v>Unternehmensführung</x:v>
      </x:c>
      <x:c r="E83" s="5" t="str">
        <x:v>ui-wq-0012</x:v>
      </x:c>
      <x:c r="F83" s="5" t="str">
        <x:v>Personalentwicklung</x:v>
      </x:c>
      <x:c r="G83" s="5" t="str">
        <x:v>Kosten- und Nutzenanalyse der Personalentwicklung</x:v>
      </x:c>
      <x:c r="H83" s="5" t="str">
        <x:v>4.3.3</x:v>
      </x:c>
      <x:c r="I83" s="5" t="str">
        <x:v>Unternehmensführung</x:v>
      </x:c>
      <x:c r="J83" s="5" t="n">
        <x:f>COUNTIF('Einzel-ID-Zuordnung'!$H$7:$H$2692,A83)</x:f>
        <x:v>2</x:v>
      </x:c>
      <x:c r="K83" s="5" t="str">
        <x:v>4.3.3</x:v>
      </x:c>
      <x:c r="L83" s="5" t="str">
        <x:v>UF-0174; UF-0217</x:v>
      </x:c>
      <x:c r="M83" s="5" t="str">
        <x:v>nein</x:v>
      </x:c>
    </x:row>
    <x:row r="84" ht="36" customHeight="1">
      <x:c r="A84" s="5" t="str">
        <x:v>dg-wq-0078</x:v>
      </x:c>
      <x:c r="B84" s="5" t="str">
        <x:v>WQ</x:v>
      </x:c>
      <x:c r="C84" s="5" t="str">
        <x:v>4</x:v>
      </x:c>
      <x:c r="D84" s="5" t="str">
        <x:v>Unternehmensführung</x:v>
      </x:c>
      <x:c r="E84" s="5" t="str">
        <x:v>ui-wq-0010</x:v>
      </x:c>
      <x:c r="F84" s="5" t="str">
        <x:v>Betriebsorganisation</x:v>
      </x:c>
      <x:c r="G84" s="5" t="str">
        <x:v>Strategische und operative Planung</x:v>
      </x:c>
      <x:c r="H84" s="5" t="str">
        <x:v>4.1.2</x:v>
      </x:c>
      <x:c r="I84" s="5" t="str">
        <x:v>Unternehmensführung</x:v>
      </x:c>
      <x:c r="J84" s="5" t="n">
        <x:f>COUNTIF('Einzel-ID-Zuordnung'!$H$7:$H$2692,A84)</x:f>
        <x:v>2</x:v>
      </x:c>
      <x:c r="K84" s="5" t="str">
        <x:v>4.1.2</x:v>
      </x:c>
      <x:c r="L84" s="5" t="str">
        <x:v>UF-0218; UF-0219</x:v>
      </x:c>
      <x:c r="M84" s="5" t="str">
        <x:v>nein</x:v>
      </x:c>
    </x:row>
    <x:row r="85" ht="36" customHeight="1">
      <x:c r="A85" s="5" t="str">
        <x:v>dg-wq-0079</x:v>
      </x:c>
      <x:c r="B85" s="5" t="str">
        <x:v>WQ</x:v>
      </x:c>
      <x:c r="C85" s="5" t="str">
        <x:v>4</x:v>
      </x:c>
      <x:c r="D85" s="5" t="str">
        <x:v>Unternehmensführung</x:v>
      </x:c>
      <x:c r="E85" s="5" t="str">
        <x:v>ui-wq-0011</x:v>
      </x:c>
      <x:c r="F85" s="5" t="str">
        <x:v>Personalführung</x:v>
      </x:c>
      <x:c r="G85" s="5" t="str">
        <x:v>Arten von Führung</x:v>
      </x:c>
      <x:c r="H85" s="5" t="str">
        <x:v>4.2.2</x:v>
      </x:c>
      <x:c r="I85" s="5" t="str">
        <x:v>Unternehmensführung</x:v>
      </x:c>
      <x:c r="J85" s="5" t="n">
        <x:f>COUNTIF('Einzel-ID-Zuordnung'!$H$7:$H$2692,A85)</x:f>
        <x:v>1</x:v>
      </x:c>
      <x:c r="K85" s="5" t="str">
        <x:v>4.2.2</x:v>
      </x:c>
      <x:c r="L85" s="5" t="str">
        <x:v>UF-0228</x:v>
      </x:c>
      <x:c r="M85" s="5" t="str">
        <x:v>nein</x:v>
      </x:c>
    </x:row>
    <x:row r="86" ht="36" customHeight="1">
      <x:c r="A86" s="5" t="str">
        <x:v>dg-hq-0080</x:v>
      </x:c>
      <x:c r="B86" s="5" t="str">
        <x:v>HQ</x:v>
      </x:c>
      <x:c r="C86" s="5" t="str">
        <x:v>5</x:v>
      </x:c>
      <x:c r="D86" s="5" t="str">
        <x:v>Betriebliches Management</x:v>
      </x:c>
      <x:c r="E86" s="5" t="str">
        <x:v>ui-hq-0013</x:v>
      </x:c>
      <x:c r="F86" s="5" t="str">
        <x:v>Betriebliche Planungsprozesse</x:v>
      </x:c>
      <x:c r="G86" s="5" t="str">
        <x:v>Betriebliches Zielsystem</x:v>
      </x:c>
      <x:c r="H86" s="5" t="str">
        <x:v>5.1.1</x:v>
      </x:c>
      <x:c r="I86" s="5" t="str">
        <x:v>Betriebliches Management</x:v>
      </x:c>
      <x:c r="J86" s="5" t="n">
        <x:f>COUNTIF('Einzel-ID-Zuordnung'!$H$7:$H$2692,A86)</x:f>
        <x:v>98</x:v>
      </x:c>
      <x:c r="K86" s="5" t="str">
        <x:v>5.1.1</x:v>
      </x:c>
      <x:c r="L86" s="5" t="str">
        <x:v>BM-0001; BM-0002; BM-0003; BM-0004; BM-0005; BM-0012; BM-0015; BM-0016; BM-0017; BM-0018; BM-0019; BM-0020; BM-0021; BM-0022; BM-0023; BM-0024; BM-0025; BM-0026; BM-0027; BM-0028; BM-0029; BM-0030; BM-0031; BM-0032; BM-0033; BM-0034; BM-0035; BM-0036; BM-0037; BM-0038; BM-0039; BM-0040; BM-0041; BM-0042; BM-0043; BM-0044; BM-0045; BM-0046; BM-0047; BM-0048; BM-0049; BM-0050; BM-0051; BM-0052; BM-0053; BM-0054; BM-0055; BM-0056; BM-0057; BM-0058; BM-0059; BM-0060; BM-0061; BM-0062; BM-0063; BM-0064; BM-0065; BM-0066; BM-0067; BM-0068; BM-0069; BM-0070; BM-0071; BM-0072; BM-0073; BM-0074; BM-0075; BM-0076; BM-0077; BM-0078; BM-0079; BM-0080; BM-0081; BM-0082; BM-0083; BM-0084; BM-0085; BM-0086; BM-0087; BM-0088; BM-0089; BM-0090; BM-0097; BM-0098; BM-0099; BM-0100; BM-0101; BM-0102; BM-0103; BM-0104; BM-0105; BM-0106; BM-0107; BM-0108; BM-0109; BM-0110; BM-0228; BM-0255</x:v>
      </x:c>
      <x:c r="M86" s="5" t="str">
        <x:v>nein</x:v>
      </x:c>
    </x:row>
    <x:row r="87" ht="36" customHeight="1">
      <x:c r="A87" s="5" t="str">
        <x:v>dg-hq-0081</x:v>
      </x:c>
      <x:c r="B87" s="5" t="str">
        <x:v>HQ</x:v>
      </x:c>
      <x:c r="C87" s="5" t="str">
        <x:v>5</x:v>
      </x:c>
      <x:c r="D87" s="5" t="str">
        <x:v>Betriebliches Management</x:v>
      </x:c>
      <x:c r="E87" s="5" t="str">
        <x:v>ui-hq-0013</x:v>
      </x:c>
      <x:c r="F87" s="5" t="str">
        <x:v>Betriebliche Planungsprozesse</x:v>
      </x:c>
      <x:c r="G87" s="5" t="str">
        <x:v>Zusammenhang zwischen strategischer und operativer Planung</x:v>
      </x:c>
      <x:c r="H87" s="5" t="str">
        <x:v>5.1.3</x:v>
      </x:c>
      <x:c r="I87" s="5" t="str">
        <x:v>Betriebliches Management</x:v>
      </x:c>
      <x:c r="J87" s="5" t="n">
        <x:f>COUNTIF('Einzel-ID-Zuordnung'!$H$7:$H$2692,A87)</x:f>
        <x:v>18</x:v>
      </x:c>
      <x:c r="K87" s="5" t="str">
        <x:v>5.1.3</x:v>
      </x:c>
      <x:c r="L87" s="5" t="str">
        <x:v>BM-0006; BM-0013; BM-0091; BM-0092; BM-0093; BM-0094; BM-0095; BM-0096; BM-0111; BM-0112; BM-0113; BM-0114; BM-0115; BM-0124; BM-0226; BM-0227; BM-0229; BM-0242</x:v>
      </x:c>
      <x:c r="M87" s="5" t="str">
        <x:v>nein</x:v>
      </x:c>
    </x:row>
    <x:row r="88" ht="36" customHeight="1">
      <x:c r="A88" s="5" t="str">
        <x:v>dg-hq-0082</x:v>
      </x:c>
      <x:c r="B88" s="5" t="str">
        <x:v>HQ</x:v>
      </x:c>
      <x:c r="C88" s="5" t="str">
        <x:v>5</x:v>
      </x:c>
      <x:c r="D88" s="5" t="str">
        <x:v>Betriebliches Management</x:v>
      </x:c>
      <x:c r="E88" s="5" t="str">
        <x:v>ui-hq-0014</x:v>
      </x:c>
      <x:c r="F88" s="5" t="str">
        <x:v>Organisations- und Personalentwicklung</x:v>
      </x:c>
      <x:c r="G88" s="5" t="str">
        <x:v>Organisationsentwicklung (OE)</x:v>
      </x:c>
      <x:c r="H88" s="5" t="str">
        <x:v>5.2.2</x:v>
      </x:c>
      <x:c r="I88" s="5" t="str">
        <x:v>Betriebliches Management</x:v>
      </x:c>
      <x:c r="J88" s="5" t="n">
        <x:f>COUNTIF('Einzel-ID-Zuordnung'!$H$7:$H$2692,A88)</x:f>
        <x:v>22</x:v>
      </x:c>
      <x:c r="K88" s="5" t="str">
        <x:v>5.2.2; 5.2.2.2#2; 5.2.2.3</x:v>
      </x:c>
      <x:c r="L88" s="5" t="str">
        <x:v>BM-0008; BM-0009; BM-0010; BM-0014; BM-0125; BM-0126; BM-0127; BM-0128; BM-0129; BM-0130; BM-0131; BM-0132; BM-0133; BM-0134; BM-0135; BM-0136; BM-0137; BM-0138; BM-0230; BM-0243; BM-0257; BM-0258</x:v>
      </x:c>
      <x:c r="M88" s="5" t="str">
        <x:v>nein</x:v>
      </x:c>
    </x:row>
    <x:row r="89" ht="36" customHeight="1">
      <x:c r="A89" s="5" t="str">
        <x:v>dg-hq-0083</x:v>
      </x:c>
      <x:c r="B89" s="5" t="str">
        <x:v>HQ</x:v>
      </x:c>
      <x:c r="C89" s="5" t="str">
        <x:v>5</x:v>
      </x:c>
      <x:c r="D89" s="5" t="str">
        <x:v>Betriebliches Management</x:v>
      </x:c>
      <x:c r="E89" s="5" t="str">
        <x:v>ui-hq-0013</x:v>
      </x:c>
      <x:c r="F89" s="5" t="str">
        <x:v>Betriebliche Planungsprozesse</x:v>
      </x:c>
      <x:c r="G89" s="5" t="str">
        <x:v>Betriebsstatistik, Vergleichsrechnung, Planungsrechnung als Grundlage betrieblicher Planungsprozesse</x:v>
      </x:c>
      <x:c r="H89" s="5" t="str">
        <x:v>5.1.4</x:v>
      </x:c>
      <x:c r="I89" s="5" t="str">
        <x:v>Betriebliches Management</x:v>
      </x:c>
      <x:c r="J89" s="5" t="n">
        <x:f>COUNTIF('Einzel-ID-Zuordnung'!$H$7:$H$2692,A89)</x:f>
        <x:v>11</x:v>
      </x:c>
      <x:c r="K89" s="5" t="str">
        <x:v>5.1.4</x:v>
      </x:c>
      <x:c r="L89" s="5" t="str">
        <x:v>BM-0011; BM-0116; BM-0117; BM-0118; BM-0119; BM-0120; BM-0121; BM-0122; BM-0123; BM-0241; BM-0256</x:v>
      </x:c>
      <x:c r="M89" s="5" t="str">
        <x:v>nein</x:v>
      </x:c>
    </x:row>
    <x:row r="90" ht="36" customHeight="1">
      <x:c r="A90" s="5" t="str">
        <x:v>dg-hq-0084</x:v>
      </x:c>
      <x:c r="B90" s="5" t="str">
        <x:v>HQ</x:v>
      </x:c>
      <x:c r="C90" s="5" t="str">
        <x:v>5</x:v>
      </x:c>
      <x:c r="D90" s="5" t="str">
        <x:v>Betriebliches Management</x:v>
      </x:c>
      <x:c r="E90" s="5" t="str">
        <x:v>ui-hq-0014</x:v>
      </x:c>
      <x:c r="F90" s="5" t="str">
        <x:v>Organisations- und Personalentwicklung</x:v>
      </x:c>
      <x:c r="G90" s="5" t="str">
        <x:v>Personalentwicklung (PE)</x:v>
      </x:c>
      <x:c r="H90" s="5" t="str">
        <x:v>5.2.3</x:v>
      </x:c>
      <x:c r="I90" s="5" t="str">
        <x:v>Betriebliches Management</x:v>
      </x:c>
      <x:c r="J90" s="5" t="n">
        <x:f>COUNTIF('Einzel-ID-Zuordnung'!$H$7:$H$2692,A90)</x:f>
        <x:v>25</x:v>
      </x:c>
      <x:c r="K90" s="5" t="str">
        <x:v>5.2.3</x:v>
      </x:c>
      <x:c r="L90" s="5" t="str">
        <x:v>BM-0139; BM-0140; BM-0141; BM-0142; BM-0143; BM-0144; BM-0145; BM-0146; BM-0147; BM-0148; BM-0149; BM-0150; BM-0151; BM-0152; BM-0153; BM-0154; BM-0155; BM-0156; BM-0157; BM-0231; BM-0232; BM-0239; BM-0244; BM-0259; BM-0260</x:v>
      </x:c>
      <x:c r="M90" s="5" t="str">
        <x:v>nein</x:v>
      </x:c>
    </x:row>
    <x:row r="91" ht="36" customHeight="1">
      <x:c r="A91" s="5" t="str">
        <x:v>dg-hq-0085</x:v>
      </x:c>
      <x:c r="B91" s="5" t="str">
        <x:v>HQ</x:v>
      </x:c>
      <x:c r="C91" s="5" t="str">
        <x:v>5</x:v>
      </x:c>
      <x:c r="D91" s="5" t="str">
        <x:v>Betriebliches Management</x:v>
      </x:c>
      <x:c r="E91" s="5" t="str">
        <x:v>ui-hq-0015</x:v>
      </x:c>
      <x:c r="F91" s="5" t="str">
        <x:v>Informationstechnologie und Wissensmanagement</x:v>
      </x:c>
      <x:c r="G91" s="5" t="str">
        <x:v>Wissensmanagement</x:v>
      </x:c>
      <x:c r="H91" s="5" t="str">
        <x:v>5.3.1</x:v>
      </x:c>
      <x:c r="I91" s="5" t="str">
        <x:v>Betriebliches Management</x:v>
      </x:c>
      <x:c r="J91" s="5" t="n">
        <x:f>COUNTIF('Einzel-ID-Zuordnung'!$H$7:$H$2692,A91)</x:f>
        <x:v>16</x:v>
      </x:c>
      <x:c r="K91" s="5" t="str">
        <x:v>5.3.1; 5.3.1.2; 5.3.1.3</x:v>
      </x:c>
      <x:c r="L91" s="5" t="str">
        <x:v>BM-0158; BM-0159; BM-0160; BM-0161; BM-0162; BM-0163; BM-0164; BM-0165; BM-0166; BM-0167; BM-0233; BM-0234; BM-0236; BM-0245; BM-0261; BM-0262</x:v>
      </x:c>
      <x:c r="M91" s="5" t="str">
        <x:v>nein</x:v>
      </x:c>
    </x:row>
    <x:row r="92" ht="36" customHeight="1">
      <x:c r="A92" s="5" t="str">
        <x:v>dg-hq-0086</x:v>
      </x:c>
      <x:c r="B92" s="5" t="str">
        <x:v>HQ</x:v>
      </x:c>
      <x:c r="C92" s="5" t="str">
        <x:v>5</x:v>
      </x:c>
      <x:c r="D92" s="5" t="str">
        <x:v>Betriebliches Management</x:v>
      </x:c>
      <x:c r="E92" s="5" t="str">
        <x:v>ui-hq-0015</x:v>
      </x:c>
      <x:c r="F92" s="5" t="str">
        <x:v>Informationstechnologie und Wissensmanagement</x:v>
      </x:c>
      <x:c r="G92" s="5" t="str">
        <x:v>Informationstechnologie</x:v>
      </x:c>
      <x:c r="H92" s="5" t="str">
        <x:v>5.3.2</x:v>
      </x:c>
      <x:c r="I92" s="5" t="str">
        <x:v>Betriebliches Management</x:v>
      </x:c>
      <x:c r="J92" s="5" t="n">
        <x:f>COUNTIF('Einzel-ID-Zuordnung'!$H$7:$H$2692,A92)</x:f>
        <x:v>10</x:v>
      </x:c>
      <x:c r="K92" s="5" t="str">
        <x:v>5.3.2</x:v>
      </x:c>
      <x:c r="L92" s="5" t="str">
        <x:v>BM-0168; BM-0169; BM-0170; BM-0171; BM-0172; BM-0173; BM-0174; BM-0175; BM-0235; BM-0246</x:v>
      </x:c>
      <x:c r="M92" s="5" t="str">
        <x:v>nein</x:v>
      </x:c>
    </x:row>
    <x:row r="93" ht="36" customHeight="1">
      <x:c r="A93" s="5" t="str">
        <x:v>dg-hq-0087</x:v>
      </x:c>
      <x:c r="B93" s="5" t="str">
        <x:v>HQ</x:v>
      </x:c>
      <x:c r="C93" s="5" t="str">
        <x:v>5</x:v>
      </x:c>
      <x:c r="D93" s="5" t="str">
        <x:v>Betriebliches Management</x:v>
      </x:c>
      <x:c r="E93" s="5" t="str">
        <x:v>ui-hq-0016</x:v>
      </x:c>
      <x:c r="F93" s="5" t="str">
        <x:v>Managementtechniken</x:v>
      </x:c>
      <x:c r="G93" s="5" t="str">
        <x:v>Zeit- und Selbstmanagement</x:v>
      </x:c>
      <x:c r="H93" s="5" t="str">
        <x:v>5.4.1</x:v>
      </x:c>
      <x:c r="I93" s="5" t="str">
        <x:v>Betriebliches Management</x:v>
      </x:c>
      <x:c r="J93" s="5" t="n">
        <x:f>COUNTIF('Einzel-ID-Zuordnung'!$H$7:$H$2692,A93)</x:f>
        <x:v>7</x:v>
      </x:c>
      <x:c r="K93" s="5" t="str">
        <x:v>5.4.1</x:v>
      </x:c>
      <x:c r="L93" s="5" t="str">
        <x:v>BM-0176; BM-0177; BM-0178; BM-0179; BM-0180; BM-0182; BM-0263</x:v>
      </x:c>
      <x:c r="M93" s="5" t="str">
        <x:v>nein</x:v>
      </x:c>
    </x:row>
    <x:row r="94" ht="36" customHeight="1">
      <x:c r="A94" s="5" t="str">
        <x:v>dg-hq-0088</x:v>
      </x:c>
      <x:c r="B94" s="5" t="str">
        <x:v>HQ</x:v>
      </x:c>
      <x:c r="C94" s="5" t="str">
        <x:v>5</x:v>
      </x:c>
      <x:c r="D94" s="5" t="str">
        <x:v>Betriebliches Management</x:v>
      </x:c>
      <x:c r="E94" s="5" t="str">
        <x:v>ui-hq-0016</x:v>
      </x:c>
      <x:c r="F94" s="5" t="str">
        <x:v>Managementtechniken</x:v>
      </x:c>
      <x:c r="G94" s="5" t="str">
        <x:v>Kreativitäts- und Entscheidungstechniken</x:v>
      </x:c>
      <x:c r="H94" s="5" t="str">
        <x:v>5.4.2</x:v>
      </x:c>
      <x:c r="I94" s="5" t="str">
        <x:v>Betriebliches Management</x:v>
      </x:c>
      <x:c r="J94" s="5" t="n">
        <x:f>COUNTIF('Einzel-ID-Zuordnung'!$H$7:$H$2692,A94)</x:f>
        <x:v>18</x:v>
      </x:c>
      <x:c r="K94" s="5" t="str">
        <x:v>5.4.2; 5.4.2.1#1; 5.4.2.2; 5.4.2.2#1; 5.4.2.2#5; 5.4.2.2#6; 5.4.2.3#3</x:v>
      </x:c>
      <x:c r="L94" s="5" t="str">
        <x:v>BM-0181; BM-0183; BM-0184; BM-0185; BM-0186; BM-0187; BM-0188; BM-0189; BM-0190; BM-0191; BM-0192; BM-0193; BM-0194; BM-0195; BM-0196; BM-0197; BM-0237; BM-0247</x:v>
      </x:c>
      <x:c r="M94" s="5" t="str">
        <x:v>nein</x:v>
      </x:c>
    </x:row>
    <x:row r="95" ht="36" customHeight="1">
      <x:c r="A95" s="5" t="str">
        <x:v>dg-hq-0089</x:v>
      </x:c>
      <x:c r="B95" s="5" t="str">
        <x:v>HQ</x:v>
      </x:c>
      <x:c r="C95" s="5" t="str">
        <x:v>5</x:v>
      </x:c>
      <x:c r="D95" s="5" t="str">
        <x:v>Betriebliches Management</x:v>
      </x:c>
      <x:c r="E95" s="5" t="str">
        <x:v>ui-hq-0016</x:v>
      </x:c>
      <x:c r="F95" s="5" t="str">
        <x:v>Managementtechniken</x:v>
      </x:c>
      <x:c r="G95" s="5" t="str">
        <x:v>Projektmanagement</x:v>
      </x:c>
      <x:c r="H95" s="5" t="str">
        <x:v>5.4.3</x:v>
      </x:c>
      <x:c r="I95" s="5" t="str">
        <x:v>Betriebliches Management</x:v>
      </x:c>
      <x:c r="J95" s="5" t="n">
        <x:f>COUNTIF('Einzel-ID-Zuordnung'!$H$7:$H$2692,A95)</x:f>
        <x:v>14</x:v>
      </x:c>
      <x:c r="K95" s="5" t="str">
        <x:v>5.4.3; 5.4.3.1; 5.4.3.3; 5.4.3.4</x:v>
      </x:c>
      <x:c r="L95" s="5" t="str">
        <x:v>BM-0198; BM-0199; BM-0200; BM-0201; BM-0202; BM-0203; BM-0204; BM-0205; BM-0206; BM-0248; BM-0249; BM-0250; BM-0251; BM-0252</x:v>
      </x:c>
      <x:c r="M95" s="5" t="str">
        <x:v>nein</x:v>
      </x:c>
    </x:row>
    <x:row r="96" ht="36" customHeight="1">
      <x:c r="A96" s="5" t="str">
        <x:v>dg-hq-0090</x:v>
      </x:c>
      <x:c r="B96" s="5" t="str">
        <x:v>HQ</x:v>
      </x:c>
      <x:c r="C96" s="5" t="str">
        <x:v>5</x:v>
      </x:c>
      <x:c r="D96" s="5" t="str">
        <x:v>Betriebliches Management</x:v>
      </x:c>
      <x:c r="E96" s="5" t="str">
        <x:v>ui-hq-0016</x:v>
      </x:c>
      <x:c r="F96" s="5" t="str">
        <x:v>Managementtechniken</x:v>
      </x:c>
      <x:c r="G96" s="5" t="str">
        <x:v>Gesprächs- und Kooperationstechniken</x:v>
      </x:c>
      <x:c r="H96" s="5" t="str">
        <x:v>5.4.4</x:v>
      </x:c>
      <x:c r="I96" s="5" t="str">
        <x:v>Betriebliches Management</x:v>
      </x:c>
      <x:c r="J96" s="5" t="n">
        <x:f>COUNTIF('Einzel-ID-Zuordnung'!$H$7:$H$2692,A96)</x:f>
        <x:v>23</x:v>
      </x:c>
      <x:c r="K96" s="5" t="str">
        <x:v>5.4.4.1; 5.4.4.2; 5.4.4; 5.4.4.3; 5.4.4.5; 5.4.4.6#1; 5.4.4.7</x:v>
      </x:c>
      <x:c r="L96" s="5" t="str">
        <x:v>BM-0207; BM-0208; BM-0209; BM-0210; BM-0211; BM-0212; BM-0213; BM-0214; BM-0215; BM-0216; BM-0217; BM-0218; BM-0219; BM-0220; BM-0221; BM-0222; BM-0223; BM-0224; BM-0225; BM-0238; BM-0240; BM-0253; BM-0254</x:v>
      </x:c>
      <x:c r="M96" s="5" t="str">
        <x:v>nein</x:v>
      </x:c>
    </x:row>
    <x:row r="97" ht="36" customHeight="1">
      <x:c r="A97" s="5" t="str">
        <x:v>dg-hq-0091</x:v>
      </x:c>
      <x:c r="B97" s="5" t="str">
        <x:v>HQ</x:v>
      </x:c>
      <x:c r="C97" s="5" t="str">
        <x:v>7</x:v>
      </x:c>
      <x:c r="D97" s="5" t="str">
        <x:v>Logistik</x:v>
      </x:c>
      <x:c r="E97" s="5" t="str">
        <x:v>ui-hq-0022</x:v>
      </x:c>
      <x:c r="F97" s="5" t="str">
        <x:v>Einkauf und Beschaffung</x:v>
      </x:c>
      <x:c r="G97" s="5" t="str">
        <x:v>Grundlagen der Logistik</x:v>
      </x:c>
      <x:c r="H97" s="5" t="str">
        <x:v>7.1.1</x:v>
      </x:c>
      <x:c r="I97" s="5" t="str">
        <x:v>Logistik</x:v>
      </x:c>
      <x:c r="J97" s="5" t="n">
        <x:f>COUNTIF('Einzel-ID-Zuordnung'!$H$7:$H$2692,A97)</x:f>
        <x:v>41</x:v>
      </x:c>
      <x:c r="K97" s="5" t="str">
        <x:v>7.1.1</x:v>
      </x:c>
      <x:c r="L97" s="5" t="str">
        <x:v>L-0001; L-0002; L-0003; L-0004; L-0005; L-0006; L-0007; L-0008; L-0009; L-0010; L-0011; L-0012; L-0013; L-0014; L-0015; L-0016; L-0017; L-0019; L-0020; L-0021; L-0022; L-0023; L-0024; L-0025; L-0026; L-0027; L-0028; L-0029; L-0030; L-0031; L-0032; L-0033; L-0034; L-0035; L-0036; L-0104; L-0105; L-0106; L-0107; L-0276; L-0277</x:v>
      </x:c>
      <x:c r="M97" s="5" t="str">
        <x:v>nein</x:v>
      </x:c>
    </x:row>
    <x:row r="98" ht="36" customHeight="1">
      <x:c r="A98" s="5" t="str">
        <x:v>dg-hq-0092</x:v>
      </x:c>
      <x:c r="B98" s="5" t="str">
        <x:v>HQ</x:v>
      </x:c>
      <x:c r="C98" s="5" t="str">
        <x:v>7</x:v>
      </x:c>
      <x:c r="D98" s="5" t="str">
        <x:v>Logistik</x:v>
      </x:c>
      <x:c r="E98" s="5" t="str">
        <x:v>ui-hq-0022</x:v>
      </x:c>
      <x:c r="F98" s="5" t="str">
        <x:v>Einkauf und Beschaffung</x:v>
      </x:c>
      <x:c r="G98" s="5" t="str">
        <x:v>Analysetechniken</x:v>
      </x:c>
      <x:c r="H98" s="5" t="str">
        <x:v>7.1.2.4</x:v>
      </x:c>
      <x:c r="I98" s="5" t="str">
        <x:v>Logistik</x:v>
      </x:c>
      <x:c r="J98" s="5" t="n">
        <x:f>COUNTIF('Einzel-ID-Zuordnung'!$H$7:$H$2692,A98)</x:f>
        <x:v>30</x:v>
      </x:c>
      <x:c r="K98" s="5" t="str">
        <x:v>7.1.2.4</x:v>
      </x:c>
      <x:c r="L98" s="5" t="str">
        <x:v>L-0018; L-0076; L-0077; L-0078; L-0079; L-0080; L-0081; L-0082; L-0083; L-0084; L-0085; L-0086; L-0087; L-0088; L-0089; L-0090; L-0091; L-0092; L-0093; L-0094; L-0095; L-0102; L-0103; L-0133; L-0134; L-0135; L-0136; L-0137; L-0282; L-0283</x:v>
      </x:c>
      <x:c r="M98" s="5" t="str">
        <x:v>nein</x:v>
      </x:c>
    </x:row>
    <x:row r="99" ht="36" customHeight="1">
      <x:c r="A99" s="5" t="str">
        <x:v>dg-hq-0093</x:v>
      </x:c>
      <x:c r="B99" s="5" t="str">
        <x:v>HQ</x:v>
      </x:c>
      <x:c r="C99" s="5" t="str">
        <x:v>7</x:v>
      </x:c>
      <x:c r="D99" s="5" t="str">
        <x:v>Logistik</x:v>
      </x:c>
      <x:c r="E99" s="5" t="str">
        <x:v>ui-hq-0024</x:v>
      </x:c>
      <x:c r="F99" s="5" t="str">
        <x:v>Wertschöpfungskette</x:v>
      </x:c>
      <x:c r="G99" s="5" t="str">
        <x:v>Extern</x:v>
      </x:c>
      <x:c r="H99" s="5" t="str">
        <x:v>7.3.2.2</x:v>
      </x:c>
      <x:c r="I99" s="5" t="str">
        <x:v>Logistik</x:v>
      </x:c>
      <x:c r="J99" s="5" t="n">
        <x:f>COUNTIF('Einzel-ID-Zuordnung'!$H$7:$H$2692,A99)</x:f>
        <x:v>20</x:v>
      </x:c>
      <x:c r="K99" s="5" t="str">
        <x:v>7.3.2.2</x:v>
      </x:c>
      <x:c r="L99" s="5" t="str">
        <x:v>L-0037; L-0038; L-0222; L-0223; L-0224; L-0225; L-0226; L-0231; L-0232; L-0233; L-0234; L-0236; L-0296; L-0297; L-0299; L-0301; L-0302; L-0314; L-0315; L-0320</x:v>
      </x:c>
      <x:c r="M99" s="5" t="str">
        <x:v>nein</x:v>
      </x:c>
    </x:row>
    <x:row r="100" ht="36" customHeight="1">
      <x:c r="A100" s="5" t="str">
        <x:v>dg-hq-0094</x:v>
      </x:c>
      <x:c r="B100" s="5" t="str">
        <x:v>HQ</x:v>
      </x:c>
      <x:c r="C100" s="5" t="str">
        <x:v>7</x:v>
      </x:c>
      <x:c r="D100" s="5" t="str">
        <x:v>Logistik</x:v>
      </x:c>
      <x:c r="E100" s="5" t="str">
        <x:v>ui-hq-0022</x:v>
      </x:c>
      <x:c r="F100" s="5" t="str">
        <x:v>Einkauf und Beschaffung</x:v>
      </x:c>
      <x:c r="G100" s="5" t="str">
        <x:v>Der Ablauf</x:v>
      </x:c>
      <x:c r="H100" s="5" t="str">
        <x:v>7.1.2.1</x:v>
      </x:c>
      <x:c r="I100" s="5" t="str">
        <x:v>Logistik</x:v>
      </x:c>
      <x:c r="J100" s="5" t="n">
        <x:f>COUNTIF('Einzel-ID-Zuordnung'!$H$7:$H$2692,A100)</x:f>
        <x:v>32</x:v>
      </x:c>
      <x:c r="K100" s="5" t="str">
        <x:v>7.1.2.1; 7.1.2.1#1; 7.1.2.1#2; 7.1.2.1#3</x:v>
      </x:c>
      <x:c r="L100" s="5" t="str">
        <x:v>L-0039; L-0040; L-0041; L-0042; L-0043; L-0044; L-0045; L-0046; L-0047; L-0048; L-0049; L-0050; L-0051; L-0069; L-0108; L-0109; L-0110; L-0111; L-0112; L-0113; L-0114; L-0115; L-0116; L-0117; L-0118; L-0119; L-0120; L-0121; L-0122; L-0124; L-0278; L-0279</x:v>
      </x:c>
      <x:c r="M100" s="5" t="str">
        <x:v>nein</x:v>
      </x:c>
    </x:row>
    <x:row r="101" ht="36" customHeight="1">
      <x:c r="A101" s="5" t="str">
        <x:v>dg-hq-0095</x:v>
      </x:c>
      <x:c r="B101" s="5" t="str">
        <x:v>HQ</x:v>
      </x:c>
      <x:c r="C101" s="5" t="str">
        <x:v>7</x:v>
      </x:c>
      <x:c r="D101" s="5" t="str">
        <x:v>Logistik</x:v>
      </x:c>
      <x:c r="E101" s="5" t="str">
        <x:v>ui-hq-0022</x:v>
      </x:c>
      <x:c r="F101" s="5" t="str">
        <x:v>Einkauf und Beschaffung</x:v>
      </x:c>
      <x:c r="G101" s="5" t="str">
        <x:v>Lieferantenmanagement</x:v>
      </x:c>
      <x:c r="H101" s="5" t="str">
        <x:v>7.1.2.3</x:v>
      </x:c>
      <x:c r="I101" s="5" t="str">
        <x:v>Logistik</x:v>
      </x:c>
      <x:c r="J101" s="5" t="n">
        <x:f>COUNTIF('Einzel-ID-Zuordnung'!$H$7:$H$2692,A101)</x:f>
        <x:v>34</x:v>
      </x:c>
      <x:c r="K101" s="5" t="str">
        <x:v>7.1.2.3</x:v>
      </x:c>
      <x:c r="L101" s="5" t="str">
        <x:v>L-0052; L-0053; L-0054; L-0055; L-0056; L-0057; L-0058; L-0059; L-0060; L-0061; L-0063; L-0064; L-0065; L-0066; L-0067; L-0068; L-0070; L-0071; L-0072; L-0073; L-0074; L-0075; L-0123; L-0125; L-0126; L-0127; L-0128; L-0129; L-0130; L-0131; L-0132; L-0280; L-0281; L-0316</x:v>
      </x:c>
      <x:c r="M101" s="5" t="str">
        <x:v>nein</x:v>
      </x:c>
    </x:row>
    <x:row r="102" ht="36" customHeight="1">
      <x:c r="A102" s="5" t="str">
        <x:v>dg-hq-0096</x:v>
      </x:c>
      <x:c r="B102" s="5" t="str">
        <x:v>HQ</x:v>
      </x:c>
      <x:c r="C102" s="5" t="str">
        <x:v>7</x:v>
      </x:c>
      <x:c r="D102" s="5" t="str">
        <x:v>Logistik</x:v>
      </x:c>
      <x:c r="E102" s="5" t="str">
        <x:v>ui-hq-0025</x:v>
      </x:c>
      <x:c r="F102" s="5" t="str">
        <x:v>Aspekte der Rationalisierung</x:v>
      </x:c>
      <x:c r="G102" s="5" t="str">
        <x:v>Weltweiter Einkauf</x:v>
      </x:c>
      <x:c r="H102" s="5" t="str">
        <x:v>7.4.2</x:v>
      </x:c>
      <x:c r="I102" s="5" t="str">
        <x:v>Logistik</x:v>
      </x:c>
      <x:c r="J102" s="5" t="n">
        <x:f>COUNTIF('Einzel-ID-Zuordnung'!$H$7:$H$2692,A102)</x:f>
        <x:v>3</x:v>
      </x:c>
      <x:c r="K102" s="5" t="str">
        <x:v>7.4.2</x:v>
      </x:c>
      <x:c r="L102" s="5" t="str">
        <x:v>L-0062; L-0243; L-0304</x:v>
      </x:c>
      <x:c r="M102" s="5" t="str">
        <x:v>nein</x:v>
      </x:c>
    </x:row>
    <x:row r="103" ht="36" customHeight="1">
      <x:c r="A103" s="5" t="str">
        <x:v>dg-hq-0097</x:v>
      </x:c>
      <x:c r="B103" s="5" t="str">
        <x:v>HQ</x:v>
      </x:c>
      <x:c r="C103" s="5" t="str">
        <x:v>7</x:v>
      </x:c>
      <x:c r="D103" s="5" t="str">
        <x:v>Logistik</x:v>
      </x:c>
      <x:c r="E103" s="5" t="str">
        <x:v>ui-hq-0022</x:v>
      </x:c>
      <x:c r="F103" s="5" t="str">
        <x:v>Einkauf und Beschaffung</x:v>
      </x:c>
      <x:c r="G103" s="5" t="str">
        <x:v>Beschaffungsprozess</x:v>
      </x:c>
      <x:c r="H103" s="5" t="str">
        <x:v>7.1.3</x:v>
      </x:c>
      <x:c r="I103" s="5" t="str">
        <x:v>Logistik</x:v>
      </x:c>
      <x:c r="J103" s="5" t="n">
        <x:f>COUNTIF('Einzel-ID-Zuordnung'!$H$7:$H$2692,A103)</x:f>
        <x:v>52</x:v>
      </x:c>
      <x:c r="K103" s="5" t="str">
        <x:v>7.1.3</x:v>
      </x:c>
      <x:c r="L103" s="5" t="str">
        <x:v>L-0096; L-0097; L-0098; L-0099; L-0100; L-0101; L-0138; L-0139; L-0140; L-0141; L-0142; L-0143; L-0144; L-0145; L-0146; L-0147; L-0148; L-0149; L-0150; L-0151; L-0152; L-0153; L-0154; L-0155; L-0156; L-0157; L-0158; L-0159; L-0160; L-0161; L-0162; L-0163; L-0164; L-0165; L-0166; L-0167; L-0168; L-0169; L-0170; L-0171; L-0265; L-0266; L-0267; L-0268; L-0269; L-0270; L-0271; L-0272; L-0273; L-0284; L-0285; L-0317</x:v>
      </x:c>
      <x:c r="M103" s="5" t="str">
        <x:v>nein</x:v>
      </x:c>
    </x:row>
    <x:row r="104" ht="36" customHeight="1">
      <x:c r="A104" s="5" t="str">
        <x:v>dg-hq-0098</x:v>
      </x:c>
      <x:c r="B104" s="5" t="str">
        <x:v>HQ</x:v>
      </x:c>
      <x:c r="C104" s="5" t="str">
        <x:v>7</x:v>
      </x:c>
      <x:c r="D104" s="5" t="str">
        <x:v>Logistik</x:v>
      </x:c>
      <x:c r="E104" s="5" t="str">
        <x:v>ui-hq-0023</x:v>
      </x:c>
      <x:c r="F104" s="5" t="str">
        <x:v>Materialwirtschaft und Lagerhaltung</x:v>
      </x:c>
      <x:c r="G104" s="5" t="str">
        <x:v>Materialwirtschaft</x:v>
      </x:c>
      <x:c r="H104" s="5" t="str">
        <x:v>7.2.1</x:v>
      </x:c>
      <x:c r="I104" s="5" t="str">
        <x:v>Logistik</x:v>
      </x:c>
      <x:c r="J104" s="5" t="n">
        <x:f>COUNTIF('Einzel-ID-Zuordnung'!$H$7:$H$2692,A104)</x:f>
        <x:v>6</x:v>
      </x:c>
      <x:c r="K104" s="5" t="str">
        <x:v>7.2.1.1#3; 7.2.1.1#2; 7.2.1</x:v>
      </x:c>
      <x:c r="L104" s="5" t="str">
        <x:v>L-0172; L-0174; L-0175; L-0288; L-0289; L-0318</x:v>
      </x:c>
      <x:c r="M104" s="5" t="str">
        <x:v>nein</x:v>
      </x:c>
    </x:row>
    <x:row r="105" ht="36" customHeight="1">
      <x:c r="A105" s="5" t="str">
        <x:v>dg-hq-0099</x:v>
      </x:c>
      <x:c r="B105" s="5" t="str">
        <x:v>HQ</x:v>
      </x:c>
      <x:c r="C105" s="5" t="str">
        <x:v>7</x:v>
      </x:c>
      <x:c r="D105" s="5" t="str">
        <x:v>Logistik</x:v>
      </x:c>
      <x:c r="E105" s="5" t="str">
        <x:v>ui-hq-0023</x:v>
      </x:c>
      <x:c r="F105" s="5" t="str">
        <x:v>Materialwirtschaft und Lagerhaltung</x:v>
      </x:c>
      <x:c r="G105" s="5" t="str">
        <x:v>Lagerhaltung</x:v>
      </x:c>
      <x:c r="H105" s="5" t="str">
        <x:v>7.2.2</x:v>
      </x:c>
      <x:c r="I105" s="5" t="str">
        <x:v>Logistik</x:v>
      </x:c>
      <x:c r="J105" s="5" t="n">
        <x:f>COUNTIF('Einzel-ID-Zuordnung'!$H$7:$H$2692,A105)</x:f>
        <x:v>33</x:v>
      </x:c>
      <x:c r="K105" s="5" t="str">
        <x:v>7.2.2; 7.2.2.1#1; 7.2.2.1; 7.2.2.1#3; 7.2.2.1#4</x:v>
      </x:c>
      <x:c r="L105" s="5" t="str">
        <x:v>L-0173; L-0176; L-0177; L-0178; L-0179; L-0180; L-0181; L-0182; L-0183; L-0184; L-0185; L-0186; L-0187; L-0188; L-0189; L-0190; L-0191; L-0192; L-0193; L-0194; L-0195; L-0196; L-0197; L-0200; L-0201; L-0202; L-0203; L-0204; L-0287; L-0290; L-0291; L-0292; L-0319</x:v>
      </x:c>
      <x:c r="M105" s="5" t="str">
        <x:v>nein</x:v>
      </x:c>
    </x:row>
    <x:row r="106" ht="36" customHeight="1">
      <x:c r="A106" s="5" t="str">
        <x:v>dg-hq-0100</x:v>
      </x:c>
      <x:c r="B106" s="5" t="str">
        <x:v>HQ</x:v>
      </x:c>
      <x:c r="C106" s="5" t="str">
        <x:v>7</x:v>
      </x:c>
      <x:c r="D106" s="5" t="str">
        <x:v>Logistik</x:v>
      </x:c>
      <x:c r="E106" s="5" t="str">
        <x:v>ui-hq-0023</x:v>
      </x:c>
      <x:c r="F106" s="5" t="str">
        <x:v>Materialwirtschaft und Lagerhaltung</x:v>
      </x:c>
      <x:c r="G106" s="5" t="str">
        <x:v>Kommissionierung</x:v>
      </x:c>
      <x:c r="H106" s="5" t="str">
        <x:v>7.2.2.2</x:v>
      </x:c>
      <x:c r="I106" s="5" t="str">
        <x:v>Logistik</x:v>
      </x:c>
      <x:c r="J106" s="5" t="n">
        <x:f>COUNTIF('Einzel-ID-Zuordnung'!$H$7:$H$2692,A106)</x:f>
        <x:v>1</x:v>
      </x:c>
      <x:c r="K106" s="5" t="str">
        <x:v>7.2.2.2</x:v>
      </x:c>
      <x:c r="L106" s="5" t="str">
        <x:v>L-0198</x:v>
      </x:c>
      <x:c r="M106" s="5" t="str">
        <x:v>nein</x:v>
      </x:c>
    </x:row>
    <x:row r="107" ht="36" customHeight="1">
      <x:c r="A107" s="5" t="str">
        <x:v>dg-hq-0101</x:v>
      </x:c>
      <x:c r="B107" s="5" t="str">
        <x:v>HQ</x:v>
      </x:c>
      <x:c r="C107" s="5" t="str">
        <x:v>7</x:v>
      </x:c>
      <x:c r="D107" s="5" t="str">
        <x:v>Logistik</x:v>
      </x:c>
      <x:c r="E107" s="5" t="str">
        <x:v>ui-hq-0026</x:v>
      </x:c>
      <x:c r="F107" s="5" t="str">
        <x:v>Spezielle Rechtsaspekte</x:v>
      </x:c>
      <x:c r="G107" s="5" t="str">
        <x:v>Einkaufsverträge</x:v>
      </x:c>
      <x:c r="H107" s="5" t="str">
        <x:v>7.5.1</x:v>
      </x:c>
      <x:c r="I107" s="5" t="str">
        <x:v>Logistik</x:v>
      </x:c>
      <x:c r="J107" s="5" t="n">
        <x:f>COUNTIF('Einzel-ID-Zuordnung'!$H$7:$H$2692,A107)</x:f>
        <x:v>17</x:v>
      </x:c>
      <x:c r="K107" s="5" t="str">
        <x:v>7.5.1</x:v>
      </x:c>
      <x:c r="L107" s="5" t="str">
        <x:v>L-0199; L-0249; L-0250; L-0251; L-0252; L-0253; L-0254; L-0256; L-0257; L-0258; L-0259; L-0260; L-0263; L-0307; L-0309; L-0311; L-0312</x:v>
      </x:c>
      <x:c r="M107" s="5" t="str">
        <x:v>nein</x:v>
      </x:c>
    </x:row>
    <x:row r="108" ht="36" customHeight="1">
      <x:c r="A108" s="5" t="str">
        <x:v>dg-hq-0102</x:v>
      </x:c>
      <x:c r="B108" s="5" t="str">
        <x:v>HQ</x:v>
      </x:c>
      <x:c r="C108" s="5" t="str">
        <x:v>7</x:v>
      </x:c>
      <x:c r="D108" s="5" t="str">
        <x:v>Logistik</x:v>
      </x:c>
      <x:c r="E108" s="5" t="str">
        <x:v>ui-hq-0024</x:v>
      </x:c>
      <x:c r="F108" s="5" t="str">
        <x:v>Wertschöpfungskette</x:v>
      </x:c>
      <x:c r="G108" s="5" t="str">
        <x:v>Entsorgung</x:v>
      </x:c>
      <x:c r="H108" s="5" t="str">
        <x:v>7.3.6</x:v>
      </x:c>
      <x:c r="I108" s="5" t="str">
        <x:v>Logistik</x:v>
      </x:c>
      <x:c r="J108" s="5" t="n">
        <x:f>COUNTIF('Einzel-ID-Zuordnung'!$H$7:$H$2692,A108)</x:f>
        <x:v>8</x:v>
      </x:c>
      <x:c r="K108" s="5" t="str">
        <x:v>7.3.6; 7.3.6.1</x:v>
      </x:c>
      <x:c r="L108" s="5" t="str">
        <x:v>L-0205; L-0237; L-0238; L-0241; L-0247; L-0275; L-0305; L-0306</x:v>
      </x:c>
      <x:c r="M108" s="5" t="str">
        <x:v>nein</x:v>
      </x:c>
    </x:row>
    <x:row r="109" ht="36" customHeight="1">
      <x:c r="A109" s="5" t="str">
        <x:v>dg-hq-0103</x:v>
      </x:c>
      <x:c r="B109" s="5" t="str">
        <x:v>HQ</x:v>
      </x:c>
      <x:c r="C109" s="5" t="str">
        <x:v>7</x:v>
      </x:c>
      <x:c r="D109" s="5" t="str">
        <x:v>Logistik</x:v>
      </x:c>
      <x:c r="E109" s="5" t="str">
        <x:v>ui-hq-0024</x:v>
      </x:c>
      <x:c r="F109" s="5" t="str">
        <x:v>Wertschöpfungskette</x:v>
      </x:c>
      <x:c r="G109" s="5" t="str">
        <x:v>Fertigungsprinzipien</x:v>
      </x:c>
      <x:c r="H109" s="5" t="str">
        <x:v>7.3.1</x:v>
      </x:c>
      <x:c r="I109" s="5" t="str">
        <x:v>Logistik</x:v>
      </x:c>
      <x:c r="J109" s="5" t="n">
        <x:f>COUNTIF('Einzel-ID-Zuordnung'!$H$7:$H$2692,A109)</x:f>
        <x:v>14</x:v>
      </x:c>
      <x:c r="K109" s="5" t="str">
        <x:v>7.3.1; 7.3.1.1; 7.3.1.3</x:v>
      </x:c>
      <x:c r="L109" s="5" t="str">
        <x:v>L-0206; L-0207; L-0208; L-0209; L-0212; L-0213; L-0214; L-0215; L-0216; L-0217; L-0218; L-0219; L-0293; L-0294</x:v>
      </x:c>
      <x:c r="M109" s="5" t="str">
        <x:v>nein</x:v>
      </x:c>
    </x:row>
    <x:row r="110" ht="36" customHeight="1">
      <x:c r="A110" s="5" t="str">
        <x:v>dg-hq-0104</x:v>
      </x:c>
      <x:c r="B110" s="5" t="str">
        <x:v>HQ</x:v>
      </x:c>
      <x:c r="C110" s="5" t="str">
        <x:v>7</x:v>
      </x:c>
      <x:c r="D110" s="5" t="str">
        <x:v>Logistik</x:v>
      </x:c>
      <x:c r="E110" s="5" t="str">
        <x:v>ui-hq-0024</x:v>
      </x:c>
      <x:c r="F110" s="5" t="str">
        <x:v>Wertschöpfungskette</x:v>
      </x:c>
      <x:c r="G110" s="5" t="str">
        <x:v>Intern</x:v>
      </x:c>
      <x:c r="H110" s="5" t="str">
        <x:v>7.3.2.1</x:v>
      </x:c>
      <x:c r="I110" s="5" t="str">
        <x:v>Logistik</x:v>
      </x:c>
      <x:c r="J110" s="5" t="n">
        <x:f>COUNTIF('Einzel-ID-Zuordnung'!$H$7:$H$2692,A110)</x:f>
        <x:v>2</x:v>
      </x:c>
      <x:c r="K110" s="5" t="str">
        <x:v>7.3.2.1</x:v>
      </x:c>
      <x:c r="L110" s="5" t="str">
        <x:v>L-0220; L-0295</x:v>
      </x:c>
      <x:c r="M110" s="5" t="str">
        <x:v>nein</x:v>
      </x:c>
    </x:row>
    <x:row r="111" ht="36" customHeight="1">
      <x:c r="A111" s="5" t="str">
        <x:v>dg-hq-0105</x:v>
      </x:c>
      <x:c r="B111" s="5" t="str">
        <x:v>HQ</x:v>
      </x:c>
      <x:c r="C111" s="5" t="str">
        <x:v>7</x:v>
      </x:c>
      <x:c r="D111" s="5" t="str">
        <x:v>Logistik</x:v>
      </x:c>
      <x:c r="E111" s="5" t="str">
        <x:v>ui-hq-0024</x:v>
      </x:c>
      <x:c r="F111" s="5" t="str">
        <x:v>Wertschöpfungskette</x:v>
      </x:c>
      <x:c r="G111" s="5" t="str">
        <x:v>Verpackung</x:v>
      </x:c>
      <x:c r="H111" s="5" t="str">
        <x:v>7.3.3</x:v>
      </x:c>
      <x:c r="I111" s="5" t="str">
        <x:v>Logistik</x:v>
      </x:c>
      <x:c r="J111" s="5" t="n">
        <x:f>COUNTIF('Einzel-ID-Zuordnung'!$H$7:$H$2692,A111)</x:f>
        <x:v>5</x:v>
      </x:c>
      <x:c r="K111" s="5" t="str">
        <x:v>7.3.3</x:v>
      </x:c>
      <x:c r="L111" s="5" t="str">
        <x:v>L-0227; L-0228; L-0229; L-0230; L-0240</x:v>
      </x:c>
      <x:c r="M111" s="5" t="str">
        <x:v>nein</x:v>
      </x:c>
    </x:row>
    <x:row r="112" ht="36" customHeight="1">
      <x:c r="A112" s="5" t="str">
        <x:v>dg-hq-0106</x:v>
      </x:c>
      <x:c r="B112" s="5" t="str">
        <x:v>HQ</x:v>
      </x:c>
      <x:c r="C112" s="5" t="str">
        <x:v>7</x:v>
      </x:c>
      <x:c r="D112" s="5" t="str">
        <x:v>Logistik</x:v>
      </x:c>
      <x:c r="E112" s="5" t="str">
        <x:v>ui-hq-0024</x:v>
      </x:c>
      <x:c r="F112" s="5" t="str">
        <x:v>Wertschöpfungskette</x:v>
      </x:c>
      <x:c r="G112" s="5" t="str">
        <x:v>Verladung</x:v>
      </x:c>
      <x:c r="H112" s="5" t="str">
        <x:v>7.3.5</x:v>
      </x:c>
      <x:c r="I112" s="5" t="str">
        <x:v>Logistik</x:v>
      </x:c>
      <x:c r="J112" s="5" t="n">
        <x:f>COUNTIF('Einzel-ID-Zuordnung'!$H$7:$H$2692,A112)</x:f>
        <x:v>3</x:v>
      </x:c>
      <x:c r="K112" s="5" t="str">
        <x:v>7.3.5</x:v>
      </x:c>
      <x:c r="L112" s="5" t="str">
        <x:v>L-0235; L-0274; L-0300</x:v>
      </x:c>
      <x:c r="M112" s="5" t="str">
        <x:v>nein</x:v>
      </x:c>
    </x:row>
    <x:row r="113" ht="36" customHeight="1">
      <x:c r="A113" s="5" t="str">
        <x:v>dg-hq-0107</x:v>
      </x:c>
      <x:c r="B113" s="5" t="str">
        <x:v>HQ</x:v>
      </x:c>
      <x:c r="C113" s="5" t="str">
        <x:v>7</x:v>
      </x:c>
      <x:c r="D113" s="5" t="str">
        <x:v>Logistik</x:v>
      </x:c>
      <x:c r="E113" s="5" t="str">
        <x:v>ui-hq-0026</x:v>
      </x:c>
      <x:c r="F113" s="5" t="str">
        <x:v>Spezielle Rechtsaspekte</x:v>
      </x:c>
      <x:c r="G113" s="5" t="str">
        <x:v>Abfallwirtschaft</x:v>
      </x:c>
      <x:c r="H113" s="5" t="str">
        <x:v>7.5.4</x:v>
      </x:c>
      <x:c r="I113" s="5" t="str">
        <x:v>Logistik</x:v>
      </x:c>
      <x:c r="J113" s="5" t="n">
        <x:f>COUNTIF('Einzel-ID-Zuordnung'!$H$7:$H$2692,A113)</x:f>
        <x:v>2</x:v>
      </x:c>
      <x:c r="K113" s="5" t="str">
        <x:v>7.5.4</x:v>
      </x:c>
      <x:c r="L113" s="5" t="str">
        <x:v>L-0239; L-0264</x:v>
      </x:c>
      <x:c r="M113" s="5" t="str">
        <x:v>nein</x:v>
      </x:c>
    </x:row>
    <x:row r="114" ht="36" customHeight="1">
      <x:c r="A114" s="5" t="str">
        <x:v>dg-hq-0108</x:v>
      </x:c>
      <x:c r="B114" s="5" t="str">
        <x:v>HQ</x:v>
      </x:c>
      <x:c r="C114" s="5" t="str">
        <x:v>7</x:v>
      </x:c>
      <x:c r="D114" s="5" t="str">
        <x:v>Logistik</x:v>
      </x:c>
      <x:c r="E114" s="5" t="str">
        <x:v>ui-hq-0025</x:v>
      </x:c>
      <x:c r="F114" s="5" t="str">
        <x:v>Aspekte der Rationalisierung</x:v>
      </x:c>
      <x:c r="G114" s="5" t="str">
        <x:v>Optimierung des Produkt-Portfolios</x:v>
      </x:c>
      <x:c r="H114" s="5" t="str">
        <x:v>7.4.1</x:v>
      </x:c>
      <x:c r="I114" s="5" t="str">
        <x:v>Logistik</x:v>
      </x:c>
      <x:c r="J114" s="5" t="n">
        <x:f>COUNTIF('Einzel-ID-Zuordnung'!$H$7:$H$2692,A114)</x:f>
        <x:v>2</x:v>
      </x:c>
      <x:c r="K114" s="5" t="str">
        <x:v>7.4.1</x:v>
      </x:c>
      <x:c r="L114" s="5" t="str">
        <x:v>L-0242; L-0303</x:v>
      </x:c>
      <x:c r="M114" s="5" t="str">
        <x:v>nein</x:v>
      </x:c>
    </x:row>
    <x:row r="115" ht="36" customHeight="1">
      <x:c r="A115" s="5" t="str">
        <x:v>dg-hq-0109</x:v>
      </x:c>
      <x:c r="B115" s="5" t="str">
        <x:v>HQ</x:v>
      </x:c>
      <x:c r="C115" s="5" t="str">
        <x:v>7</x:v>
      </x:c>
      <x:c r="D115" s="5" t="str">
        <x:v>Logistik</x:v>
      </x:c>
      <x:c r="E115" s="5" t="str">
        <x:v>ui-hq-0025</x:v>
      </x:c>
      <x:c r="F115" s="5" t="str">
        <x:v>Aspekte der Rationalisierung</x:v>
      </x:c>
      <x:c r="G115" s="5" t="str">
        <x:v>Prozesse auf Verschwendung</x:v>
      </x:c>
      <x:c r="H115" s="5" t="str">
        <x:v>7.4.3</x:v>
      </x:c>
      <x:c r="I115" s="5" t="str">
        <x:v>Logistik</x:v>
      </x:c>
      <x:c r="J115" s="5" t="n">
        <x:f>COUNTIF('Einzel-ID-Zuordnung'!$H$7:$H$2692,A115)</x:f>
        <x:v>3</x:v>
      </x:c>
      <x:c r="K115" s="5" t="str">
        <x:v>7.4.3</x:v>
      </x:c>
      <x:c r="L115" s="5" t="str">
        <x:v>L-0244; L-0245; L-0246</x:v>
      </x:c>
      <x:c r="M115" s="5" t="str">
        <x:v>nein</x:v>
      </x:c>
    </x:row>
    <x:row r="116" ht="36" customHeight="1">
      <x:c r="A116" s="5" t="str">
        <x:v>dg-hq-0110</x:v>
      </x:c>
      <x:c r="B116" s="5" t="str">
        <x:v>HQ</x:v>
      </x:c>
      <x:c r="C116" s="5" t="str">
        <x:v>7</x:v>
      </x:c>
      <x:c r="D116" s="5" t="str">
        <x:v>Logistik</x:v>
      </x:c>
      <x:c r="E116" s="5" t="str">
        <x:v>ui-hq-0026</x:v>
      </x:c>
      <x:c r="F116" s="5" t="str">
        <x:v>Spezielle Rechtsaspekte</x:v>
      </x:c>
      <x:c r="G116" s="5" t="str">
        <x:v>Verkaufsverträge</x:v>
      </x:c>
      <x:c r="H116" s="5" t="str">
        <x:v>7.5.2</x:v>
      </x:c>
      <x:c r="I116" s="5" t="str">
        <x:v>Logistik</x:v>
      </x:c>
      <x:c r="J116" s="5" t="n">
        <x:f>COUNTIF('Einzel-ID-Zuordnung'!$H$7:$H$2692,A116)</x:f>
        <x:v>2</x:v>
      </x:c>
      <x:c r="K116" s="5" t="str">
        <x:v>7.5.2</x:v>
      </x:c>
      <x:c r="L116" s="5" t="str">
        <x:v>L-0248; L-0255</x:v>
      </x:c>
      <x:c r="M116" s="5" t="str">
        <x:v>nein</x:v>
      </x:c>
    </x:row>
    <x:row r="117" ht="36" customHeight="1">
      <x:c r="A117" s="5" t="str">
        <x:v>dg-hq-0111</x:v>
      </x:c>
      <x:c r="B117" s="5" t="str">
        <x:v>HQ</x:v>
      </x:c>
      <x:c r="C117" s="5" t="str">
        <x:v>7</x:v>
      </x:c>
      <x:c r="D117" s="5" t="str">
        <x:v>Logistik</x:v>
      </x:c>
      <x:c r="E117" s="5" t="str">
        <x:v>ui-hq-0026</x:v>
      </x:c>
      <x:c r="F117" s="5" t="str">
        <x:v>Spezielle Rechtsaspekte</x:v>
      </x:c>
      <x:c r="G117" s="5" t="str">
        <x:v>Zollrecht bei Im- und Export</x:v>
      </x:c>
      <x:c r="H117" s="5" t="str">
        <x:v>7.5.3</x:v>
      </x:c>
      <x:c r="I117" s="5" t="str">
        <x:v>Logistik</x:v>
      </x:c>
      <x:c r="J117" s="5" t="n">
        <x:f>COUNTIF('Einzel-ID-Zuordnung'!$H$7:$H$2692,A117)</x:f>
        <x:v>5</x:v>
      </x:c>
      <x:c r="K117" s="5" t="str">
        <x:v>7.5.3</x:v>
      </x:c>
      <x:c r="L117" s="5" t="str">
        <x:v>L-0261; L-0262; L-0308; L-0310; L-0313</x:v>
      </x:c>
      <x:c r="M117" s="5" t="str">
        <x:v>nein</x:v>
      </x:c>
    </x:row>
    <x:row r="118" ht="36" customHeight="1">
      <x:c r="A118" s="5" t="str">
        <x:v>dg-hq-0112</x:v>
      </x:c>
      <x:c r="B118" s="5" t="str">
        <x:v>HQ</x:v>
      </x:c>
      <x:c r="C118" s="5" t="str">
        <x:v>7</x:v>
      </x:c>
      <x:c r="D118" s="5" t="str">
        <x:v>Logistik</x:v>
      </x:c>
      <x:c r="E118" s="5" t="str">
        <x:v>ui-hq-0022</x:v>
      </x:c>
      <x:c r="F118" s="5" t="str">
        <x:v>Einkauf und Beschaffung</x:v>
      </x:c>
      <x:c r="G118" s="5" t="str">
        <x:v>Feinabruf</x:v>
      </x:c>
      <x:c r="H118" s="5" t="str">
        <x:v>7.1.3.5</x:v>
      </x:c>
      <x:c r="I118" s="5" t="str">
        <x:v>Logistik</x:v>
      </x:c>
      <x:c r="J118" s="5" t="n">
        <x:f>COUNTIF('Einzel-ID-Zuordnung'!$H$7:$H$2692,A118)</x:f>
        <x:v>1</x:v>
      </x:c>
      <x:c r="K118" s="5" t="str">
        <x:v>7.1.3.5</x:v>
      </x:c>
      <x:c r="L118" s="5" t="str">
        <x:v>L-0286</x:v>
      </x:c>
      <x:c r="M118" s="5" t="str">
        <x:v>nein</x:v>
      </x:c>
    </x:row>
    <x:row r="119" ht="36" customHeight="1">
      <x:c r="A119" s="5" t="str">
        <x:v>dg-hq-0113</x:v>
      </x:c>
      <x:c r="B119" s="5" t="str">
        <x:v>HQ</x:v>
      </x:c>
      <x:c r="C119" s="5" t="str">
        <x:v>7</x:v>
      </x:c>
      <x:c r="D119" s="5" t="str">
        <x:v>Logistik</x:v>
      </x:c>
      <x:c r="E119" s="5" t="str">
        <x:v>ui-hq-0024</x:v>
      </x:c>
      <x:c r="F119" s="5" t="str">
        <x:v>Wertschöpfungskette</x:v>
      </x:c>
      <x:c r="G119" s="5" t="str">
        <x:v>Warenausgang</x:v>
      </x:c>
      <x:c r="H119" s="5" t="str">
        <x:v>7.3.4</x:v>
      </x:c>
      <x:c r="I119" s="5" t="str">
        <x:v>Logistik</x:v>
      </x:c>
      <x:c r="J119" s="5" t="n">
        <x:f>COUNTIF('Einzel-ID-Zuordnung'!$H$7:$H$2692,A119)</x:f>
        <x:v>1</x:v>
      </x:c>
      <x:c r="K119" s="5" t="str">
        <x:v>7.3.4</x:v>
      </x:c>
      <x:c r="L119" s="5" t="str">
        <x:v>L-0298</x:v>
      </x:c>
      <x:c r="M119" s="5" t="str">
        <x:v>nein</x:v>
      </x:c>
    </x:row>
    <x:row r="120" ht="36" customHeight="1">
      <x:c r="A120" s="5" t="str">
        <x:v>dg-hq-0114</x:v>
      </x:c>
      <x:c r="B120" s="5" t="str">
        <x:v>HQ</x:v>
      </x:c>
      <x:c r="C120" s="5" t="str">
        <x:v>8</x:v>
      </x:c>
      <x:c r="D120" s="5" t="str">
        <x:v>Marketing und Vertrieb</x:v>
      </x:c>
      <x:c r="E120" s="5" t="str">
        <x:v>ui-hq-0028</x:v>
      </x:c>
      <x:c r="F120" s="5" t="str">
        <x:v>Marketinginstrumentarium / Marketing-Mix</x:v>
      </x:c>
      <x:c r="G120" s="5" t="str">
        <x:v>Marketing-Mix</x:v>
      </x:c>
      <x:c r="H120" s="5" t="str">
        <x:v>8.2.6</x:v>
      </x:c>
      <x:c r="I120" s="5" t="str">
        <x:v>Marketing</x:v>
      </x:c>
      <x:c r="J120" s="5" t="n">
        <x:f>COUNTIF('Einzel-ID-Zuordnung'!$H$7:$H$2692,A120)</x:f>
        <x:v>5</x:v>
      </x:c>
      <x:c r="K120" s="5" t="str">
        <x:v>8.2.6</x:v>
      </x:c>
      <x:c r="L120" s="5" t="str">
        <x:v>M-0001; M-0002; M-0003; M-0076; M-0091</x:v>
      </x:c>
      <x:c r="M120" s="5" t="str">
        <x:v>nein</x:v>
      </x:c>
    </x:row>
    <x:row r="121" ht="36" customHeight="1">
      <x:c r="A121" s="5" t="str">
        <x:v>dg-hq-0115</x:v>
      </x:c>
      <x:c r="B121" s="5" t="str">
        <x:v>HQ</x:v>
      </x:c>
      <x:c r="C121" s="5" t="str">
        <x:v>8</x:v>
      </x:c>
      <x:c r="D121" s="5" t="str">
        <x:v>Marketing und Vertrieb</x:v>
      </x:c>
      <x:c r="E121" s="5" t="str">
        <x:v>ui-hq-0027</x:v>
      </x:c>
      <x:c r="F121" s="5" t="str">
        <x:v>Marketingplanung</x:v>
      </x:c>
      <x:c r="G121" s="5" t="str">
        <x:v>Marketingplan</x:v>
      </x:c>
      <x:c r="H121" s="5" t="str">
        <x:v>8.1.4</x:v>
      </x:c>
      <x:c r="I121" s="5" t="str">
        <x:v>Marketing</x:v>
      </x:c>
      <x:c r="J121" s="5" t="n">
        <x:f>COUNTIF('Einzel-ID-Zuordnung'!$H$7:$H$2692,A121)</x:f>
        <x:v>10</x:v>
      </x:c>
      <x:c r="K121" s="5" t="str">
        <x:v>8.1.4</x:v>
      </x:c>
      <x:c r="L121" s="5" t="str">
        <x:v>M-0004; M-0007; M-0028; M-0029; M-0030; M-0031; M-0032; M-0033; M-0079; M-0080</x:v>
      </x:c>
      <x:c r="M121" s="5" t="str">
        <x:v>nein</x:v>
      </x:c>
    </x:row>
    <x:row r="122" ht="36" customHeight="1">
      <x:c r="A122" s="5" t="str">
        <x:v>dg-hq-0116</x:v>
      </x:c>
      <x:c r="B122" s="5" t="str">
        <x:v>HQ</x:v>
      </x:c>
      <x:c r="C122" s="5" t="str">
        <x:v>8</x:v>
      </x:c>
      <x:c r="D122" s="5" t="str">
        <x:v>Marketing und Vertrieb</x:v>
      </x:c>
      <x:c r="E122" s="5" t="str">
        <x:v>ui-hq-0027</x:v>
      </x:c>
      <x:c r="F122" s="5" t="str">
        <x:v>Marketingplanung</x:v>
      </x:c>
      <x:c r="G122" s="5" t="str">
        <x:v>Marketing-Ziele</x:v>
      </x:c>
      <x:c r="H122" s="5" t="str">
        <x:v>8.1.2</x:v>
      </x:c>
      <x:c r="I122" s="5" t="str">
        <x:v>Marketing</x:v>
      </x:c>
      <x:c r="J122" s="5" t="n">
        <x:f>COUNTIF('Einzel-ID-Zuordnung'!$H$7:$H$2692,A122)</x:f>
        <x:v>6</x:v>
      </x:c>
      <x:c r="K122" s="5" t="str">
        <x:v>8.1.2</x:v>
      </x:c>
      <x:c r="L122" s="5" t="str">
        <x:v>M-0005; M-0006; M-0008; M-0009; M-0010; M-0106</x:v>
      </x:c>
      <x:c r="M122" s="5" t="str">
        <x:v>nein</x:v>
      </x:c>
    </x:row>
    <x:row r="123" ht="36" customHeight="1">
      <x:c r="A123" s="5" t="str">
        <x:v>dg-hq-0117</x:v>
      </x:c>
      <x:c r="B123" s="5" t="str">
        <x:v>HQ</x:v>
      </x:c>
      <x:c r="C123" s="5" t="str">
        <x:v>8</x:v>
      </x:c>
      <x:c r="D123" s="5" t="str">
        <x:v>Marketing und Vertrieb</x:v>
      </x:c>
      <x:c r="E123" s="5" t="str">
        <x:v>ui-hq-0027</x:v>
      </x:c>
      <x:c r="F123" s="5" t="str">
        <x:v>Marketingplanung</x:v>
      </x:c>
      <x:c r="G123" s="5" t="str">
        <x:v>Marketingstrategien</x:v>
      </x:c>
      <x:c r="H123" s="5" t="str">
        <x:v>8.1.3</x:v>
      </x:c>
      <x:c r="I123" s="5" t="str">
        <x:v>Marketing</x:v>
      </x:c>
      <x:c r="J123" s="5" t="n">
        <x:f>COUNTIF('Einzel-ID-Zuordnung'!$H$7:$H$2692,A123)</x:f>
        <x:v>11</x:v>
      </x:c>
      <x:c r="K123" s="5" t="str">
        <x:v>8.1.3.1; 8.1.3; 8.1.3.2; 8.1.3.2#1</x:v>
      </x:c>
      <x:c r="L123" s="5" t="str">
        <x:v>M-0011; M-0017; M-0018; M-0019; M-0020; M-0021; M-0022; M-0077; M-0078; M-0090; M-0107</x:v>
      </x:c>
      <x:c r="M123" s="5" t="str">
        <x:v>nein</x:v>
      </x:c>
    </x:row>
    <x:row r="124" ht="36" customHeight="1">
      <x:c r="A124" s="5" t="str">
        <x:v>dg-hq-0118</x:v>
      </x:c>
      <x:c r="B124" s="5" t="str">
        <x:v>HQ</x:v>
      </x:c>
      <x:c r="C124" s="5" t="str">
        <x:v>8</x:v>
      </x:c>
      <x:c r="D124" s="5" t="str">
        <x:v>Marketing und Vertrieb</x:v>
      </x:c>
      <x:c r="E124" s="5" t="str">
        <x:v>ui-hq-0027</x:v>
      </x:c>
      <x:c r="F124" s="5" t="str">
        <x:v>Marketingplanung</x:v>
      </x:c>
      <x:c r="G124" s="5" t="str">
        <x:v>Marketingprozess</x:v>
      </x:c>
      <x:c r="H124" s="5" t="str">
        <x:v>8.1.1</x:v>
      </x:c>
      <x:c r="I124" s="5" t="str">
        <x:v>Marketing</x:v>
      </x:c>
      <x:c r="J124" s="5" t="n">
        <x:f>COUNTIF('Einzel-ID-Zuordnung'!$H$7:$H$2692,A124)</x:f>
        <x:v>7</x:v>
      </x:c>
      <x:c r="K124" s="5" t="str">
        <x:v>8.1.1</x:v>
      </x:c>
      <x:c r="L124" s="5" t="str">
        <x:v>M-0012; M-0013; M-0014; M-0015; M-0016; M-0101; M-0102</x:v>
      </x:c>
      <x:c r="M124" s="5" t="str">
        <x:v>nein</x:v>
      </x:c>
    </x:row>
    <x:row r="125" ht="36" customHeight="1">
      <x:c r="A125" s="5" t="str">
        <x:v>dg-hq-0119</x:v>
      </x:c>
      <x:c r="B125" s="5" t="str">
        <x:v>HQ</x:v>
      </x:c>
      <x:c r="C125" s="5" t="str">
        <x:v>8</x:v>
      </x:c>
      <x:c r="D125" s="5" t="str">
        <x:v>Marketing und Vertrieb</x:v>
      </x:c>
      <x:c r="E125" s="5" t="str">
        <x:v>ui-hq-0028</x:v>
      </x:c>
      <x:c r="F125" s="5" t="str">
        <x:v>Marketinginstrumentarium / Marketing-Mix</x:v>
      </x:c>
      <x:c r="G125" s="5" t="str">
        <x:v>Produktpolitik</x:v>
      </x:c>
      <x:c r="H125" s="5" t="str">
        <x:v>8.2.2</x:v>
      </x:c>
      <x:c r="I125" s="5" t="str">
        <x:v>Marketing</x:v>
      </x:c>
      <x:c r="J125" s="5" t="n">
        <x:f>COUNTIF('Einzel-ID-Zuordnung'!$H$7:$H$2692,A125)</x:f>
        <x:v>20</x:v>
      </x:c>
      <x:c r="K125" s="5" t="str">
        <x:v>8.2.2; 8.2.2.2; 8.2.2.1; 8.2.2.1#2; 8.2.2.1#1</x:v>
      </x:c>
      <x:c r="L125" s="5" t="str">
        <x:v>M-0023; M-0034; M-0035; M-0036; M-0037; M-0038; M-0039; M-0040; M-0041; M-0042; M-0043; M-0044; M-0045; M-0046; M-0047; M-0048; M-0049; M-0050; M-0093; M-0094</x:v>
      </x:c>
      <x:c r="M125" s="5" t="str">
        <x:v>nein</x:v>
      </x:c>
    </x:row>
    <x:row r="126" ht="36" customHeight="1">
      <x:c r="A126" s="5" t="str">
        <x:v>dg-hq-0120</x:v>
      </x:c>
      <x:c r="B126" s="5" t="str">
        <x:v>HQ</x:v>
      </x:c>
      <x:c r="C126" s="5" t="str">
        <x:v>8</x:v>
      </x:c>
      <x:c r="D126" s="5" t="str">
        <x:v>Marketing und Vertrieb</x:v>
      </x:c>
      <x:c r="E126" s="5" t="str">
        <x:v>ui-hq-0027</x:v>
      </x:c>
      <x:c r="F126" s="5" t="str">
        <x:v>Marketingplanung</x:v>
      </x:c>
      <x:c r="G126" s="5" t="str">
        <x:v>Produktlebenszyklus</x:v>
      </x:c>
      <x:c r="H126" s="5" t="str">
        <x:v>8.1.3.2#1</x:v>
      </x:c>
      <x:c r="I126" s="5" t="str">
        <x:v>Marketing</x:v>
      </x:c>
      <x:c r="J126" s="5" t="n">
        <x:f>COUNTIF('Einzel-ID-Zuordnung'!$H$7:$H$2692,A126)</x:f>
        <x:v>1</x:v>
      </x:c>
      <x:c r="K126" s="5" t="str">
        <x:v>8.1.3.2#1</x:v>
      </x:c>
      <x:c r="L126" s="5" t="str">
        <x:v>M-0024</x:v>
      </x:c>
      <x:c r="M126" s="5" t="str">
        <x:v>nein</x:v>
      </x:c>
    </x:row>
    <x:row r="127" ht="36" customHeight="1">
      <x:c r="A127" s="5" t="str">
        <x:v>dg-hq-0121</x:v>
      </x:c>
      <x:c r="B127" s="5" t="str">
        <x:v>HQ</x:v>
      </x:c>
      <x:c r="C127" s="5" t="str">
        <x:v>8</x:v>
      </x:c>
      <x:c r="D127" s="5" t="str">
        <x:v>Marketing und Vertrieb</x:v>
      </x:c>
      <x:c r="E127" s="5" t="str">
        <x:v>ui-hq-0027</x:v>
      </x:c>
      <x:c r="F127" s="5" t="str">
        <x:v>Marketingplanung</x:v>
      </x:c>
      <x:c r="G127" s="5" t="str">
        <x:v>Portfolio-Analyse</x:v>
      </x:c>
      <x:c r="H127" s="5" t="str">
        <x:v>8.1.3.2#2</x:v>
      </x:c>
      <x:c r="I127" s="5" t="str">
        <x:v>Marketing</x:v>
      </x:c>
      <x:c r="J127" s="5" t="n">
        <x:f>COUNTIF('Einzel-ID-Zuordnung'!$H$7:$H$2692,A127)</x:f>
        <x:v>1</x:v>
      </x:c>
      <x:c r="K127" s="5" t="str">
        <x:v>8.1.3.2#2</x:v>
      </x:c>
      <x:c r="L127" s="5" t="str">
        <x:v>M-0025</x:v>
      </x:c>
      <x:c r="M127" s="5" t="str">
        <x:v>nein</x:v>
      </x:c>
    </x:row>
    <x:row r="128" ht="36" customHeight="1">
      <x:c r="A128" s="5" t="str">
        <x:v>dg-hq-0122</x:v>
      </x:c>
      <x:c r="B128" s="5" t="str">
        <x:v>HQ</x:v>
      </x:c>
      <x:c r="C128" s="5" t="str">
        <x:v>8</x:v>
      </x:c>
      <x:c r="D128" s="5" t="str">
        <x:v>Marketing und Vertrieb</x:v>
      </x:c>
      <x:c r="E128" s="5" t="str">
        <x:v>ui-hq-0027</x:v>
      </x:c>
      <x:c r="F128" s="5" t="str">
        <x:v>Marketingplanung</x:v>
      </x:c>
      <x:c r="G128" s="5" t="str">
        <x:v>Erfahrungskurven-Analyse</x:v>
      </x:c>
      <x:c r="H128" s="5" t="str">
        <x:v>8.1.3.2#5</x:v>
      </x:c>
      <x:c r="I128" s="5" t="str">
        <x:v>Marketing</x:v>
      </x:c>
      <x:c r="J128" s="5" t="n">
        <x:f>COUNTIF('Einzel-ID-Zuordnung'!$H$7:$H$2692,A128)</x:f>
        <x:v>1</x:v>
      </x:c>
      <x:c r="K128" s="5" t="str">
        <x:v>8.1.3.2#5</x:v>
      </x:c>
      <x:c r="L128" s="5" t="str">
        <x:v>M-0026</x:v>
      </x:c>
      <x:c r="M128" s="5" t="str">
        <x:v>nein</x:v>
      </x:c>
    </x:row>
    <x:row r="129" ht="36" customHeight="1">
      <x:c r="A129" s="5" t="str">
        <x:v>dg-hq-0123</x:v>
      </x:c>
      <x:c r="B129" s="5" t="str">
        <x:v>HQ</x:v>
      </x:c>
      <x:c r="C129" s="5" t="str">
        <x:v>8</x:v>
      </x:c>
      <x:c r="D129" s="5" t="str">
        <x:v>Marketing und Vertrieb</x:v>
      </x:c>
      <x:c r="E129" s="5" t="str">
        <x:v>ui-hq-0027</x:v>
      </x:c>
      <x:c r="F129" s="5" t="str">
        <x:v>Marketingplanung</x:v>
      </x:c>
      <x:c r="G129" s="5" t="str">
        <x:v>Branchenstrukturanalyse</x:v>
      </x:c>
      <x:c r="H129" s="5" t="str">
        <x:v>8.1.3.2#3</x:v>
      </x:c>
      <x:c r="I129" s="5" t="str">
        <x:v>Marketing</x:v>
      </x:c>
      <x:c r="J129" s="5" t="n">
        <x:f>COUNTIF('Einzel-ID-Zuordnung'!$H$7:$H$2692,A129)</x:f>
        <x:v>1</x:v>
      </x:c>
      <x:c r="K129" s="5" t="str">
        <x:v>8.1.3.2#3</x:v>
      </x:c>
      <x:c r="L129" s="5" t="str">
        <x:v>M-0027</x:v>
      </x:c>
      <x:c r="M129" s="5" t="str">
        <x:v>nein</x:v>
      </x:c>
    </x:row>
    <x:row r="130" ht="36" customHeight="1">
      <x:c r="A130" s="5" t="str">
        <x:v>dg-hq-0124</x:v>
      </x:c>
      <x:c r="B130" s="5" t="str">
        <x:v>HQ</x:v>
      </x:c>
      <x:c r="C130" s="5" t="str">
        <x:v>8</x:v>
      </x:c>
      <x:c r="D130" s="5" t="str">
        <x:v>Marketing und Vertrieb</x:v>
      </x:c>
      <x:c r="E130" s="5" t="str">
        <x:v>ui-hq-0028</x:v>
      </x:c>
      <x:c r="F130" s="5" t="str">
        <x:v>Marketinginstrumentarium / Marketing-Mix</x:v>
      </x:c>
      <x:c r="G130" s="5" t="str">
        <x:v>Preispolitik</x:v>
      </x:c>
      <x:c r="H130" s="5" t="str">
        <x:v>8.2.3</x:v>
      </x:c>
      <x:c r="I130" s="5" t="str">
        <x:v>Marketing</x:v>
      </x:c>
      <x:c r="J130" s="5" t="n">
        <x:f>COUNTIF('Einzel-ID-Zuordnung'!$H$7:$H$2692,A130)</x:f>
        <x:v>9</x:v>
      </x:c>
      <x:c r="K130" s="5" t="str">
        <x:v>8.2.3; 8.2.3.4; 8.2.3.6</x:v>
      </x:c>
      <x:c r="L130" s="5" t="str">
        <x:v>M-0051; M-0052; M-0053; M-0054; M-0055; M-0056; M-0057; M-0058; M-0092</x:v>
      </x:c>
      <x:c r="M130" s="5" t="str">
        <x:v>nein</x:v>
      </x:c>
    </x:row>
    <x:row r="131" ht="36" customHeight="1">
      <x:c r="A131" s="5" t="str">
        <x:v>dg-hq-0125</x:v>
      </x:c>
      <x:c r="B131" s="5" t="str">
        <x:v>HQ</x:v>
      </x:c>
      <x:c r="C131" s="5" t="str">
        <x:v>8</x:v>
      </x:c>
      <x:c r="D131" s="5" t="str">
        <x:v>Marketing und Vertrieb</x:v>
      </x:c>
      <x:c r="E131" s="5" t="str">
        <x:v>ui-hq-0028</x:v>
      </x:c>
      <x:c r="F131" s="5" t="str">
        <x:v>Marketinginstrumentarium / Marketing-Mix</x:v>
      </x:c>
      <x:c r="G131" s="5" t="str">
        <x:v>Kommunikationspolitik</x:v>
      </x:c>
      <x:c r="H131" s="5" t="str">
        <x:v>8.2.5</x:v>
      </x:c>
      <x:c r="I131" s="5" t="str">
        <x:v>Marketing</x:v>
      </x:c>
      <x:c r="J131" s="5" t="n">
        <x:f>COUNTIF('Einzel-ID-Zuordnung'!$H$7:$H$2692,A131)</x:f>
        <x:v>26</x:v>
      </x:c>
      <x:c r="K131" s="5" t="str">
        <x:v>8.2.5; 8.2.5.1; 8.2.5.2; 8.2.5.4</x:v>
      </x:c>
      <x:c r="L131" s="5" t="str">
        <x:v>M-0059; M-0060; M-0061; M-0062; M-0063; M-0064; M-0065; M-0066; M-0067; M-0068; M-0069; M-0070; M-0071; M-0072; M-0073; M-0074; M-0075; M-0095; M-0096; M-0097; M-0098; M-0099; M-0100; M-0103; M-0104; M-0105</x:v>
      </x:c>
      <x:c r="M131" s="5" t="str">
        <x:v>nein</x:v>
      </x:c>
    </x:row>
    <x:row r="132" ht="36" customHeight="1">
      <x:c r="A132" s="5" t="str">
        <x:v>dg-hq-0126</x:v>
      </x:c>
      <x:c r="B132" s="5" t="str">
        <x:v>HQ</x:v>
      </x:c>
      <x:c r="C132" s="5" t="str">
        <x:v>8</x:v>
      </x:c>
      <x:c r="D132" s="5" t="str">
        <x:v>Marketing und Vertrieb</x:v>
      </x:c>
      <x:c r="E132" s="5" t="str">
        <x:v>ui-hq-0028</x:v>
      </x:c>
      <x:c r="F132" s="5" t="str">
        <x:v>Marketinginstrumentarium / Marketing-Mix</x:v>
      </x:c>
      <x:c r="G132" s="5" t="str">
        <x:v>Distributionspolitik</x:v>
      </x:c>
      <x:c r="H132" s="5" t="str">
        <x:v>8.2.4</x:v>
      </x:c>
      <x:c r="I132" s="5" t="str">
        <x:v>Marketing</x:v>
      </x:c>
      <x:c r="J132" s="5" t="n">
        <x:f>COUNTIF('Einzel-ID-Zuordnung'!$H$7:$H$2692,A132)</x:f>
        <x:v>9</x:v>
      </x:c>
      <x:c r="K132" s="5" t="str">
        <x:v>8.2.4</x:v>
      </x:c>
      <x:c r="L132" s="5" t="str">
        <x:v>M-0081; M-0082; M-0083; M-0084; M-0085; M-0086; M-0087; M-0088; M-0089</x:v>
      </x:c>
      <x:c r="M132" s="5" t="str">
        <x:v>nein</x:v>
      </x:c>
    </x:row>
    <x:row r="133" ht="36" customHeight="1">
      <x:c r="A133" s="5" t="str">
        <x:v>dg-hq-0127</x:v>
      </x:c>
      <x:c r="B133" s="5" t="str">
        <x:v>HQ</x:v>
      </x:c>
      <x:c r="C133" s="5" t="str">
        <x:v>8</x:v>
      </x:c>
      <x:c r="D133" s="5" t="str">
        <x:v>Marketing und Vertrieb</x:v>
      </x:c>
      <x:c r="E133" s="5" t="str">
        <x:v>ui-hq-0029</x:v>
      </x:c>
      <x:c r="F133" s="5" t="str">
        <x:v>Vertriebsmanagement</x:v>
      </x:c>
      <x:c r="G133" s="5" t="str">
        <x:v>Vertriebsorganisation</x:v>
      </x:c>
      <x:c r="H133" s="5" t="str">
        <x:v>8.3.1</x:v>
      </x:c>
      <x:c r="I133" s="5" t="str">
        <x:v>Vertrieb</x:v>
      </x:c>
      <x:c r="J133" s="5" t="n">
        <x:f>COUNTIF('Einzel-ID-Zuordnung'!$H$7:$H$2692,A133)</x:f>
        <x:v>26</x:v>
      </x:c>
      <x:c r="K133" s="5" t="str">
        <x:v>8.3.1</x:v>
      </x:c>
      <x:c r="L133" s="5" t="str">
        <x:v>V-0001; V-0002; V-0003; V-0004; V-0005; V-0007; V-0008; V-0009; V-0010; V-0011; V-0012; V-0013; V-0014; V-0015; V-0016; V-0017; V-0018; V-0043; V-0044; V-0051; V-0052; V-0053; V-0054; V-0055; V-0056; V-0080</x:v>
      </x:c>
      <x:c r="M133" s="5" t="str">
        <x:v>nein</x:v>
      </x:c>
    </x:row>
    <x:row r="134" ht="36" customHeight="1">
      <x:c r="A134" s="5" t="str">
        <x:v>dg-hq-0128</x:v>
      </x:c>
      <x:c r="B134" s="5" t="str">
        <x:v>HQ</x:v>
      </x:c>
      <x:c r="C134" s="5" t="str">
        <x:v>8</x:v>
      </x:c>
      <x:c r="D134" s="5" t="str">
        <x:v>Marketing und Vertrieb</x:v>
      </x:c>
      <x:c r="E134" s="5" t="str">
        <x:v>ui-hq-0029</x:v>
      </x:c>
      <x:c r="F134" s="5" t="str">
        <x:v>Vertriebsmanagement</x:v>
      </x:c>
      <x:c r="G134" s="5" t="str">
        <x:v>Vertriebscontrolling</x:v>
      </x:c>
      <x:c r="H134" s="5" t="str">
        <x:v>8.3.2</x:v>
      </x:c>
      <x:c r="I134" s="5" t="str">
        <x:v>Vertrieb</x:v>
      </x:c>
      <x:c r="J134" s="5" t="n">
        <x:f>COUNTIF('Einzel-ID-Zuordnung'!$H$7:$H$2692,A134)</x:f>
        <x:v>12</x:v>
      </x:c>
      <x:c r="K134" s="5" t="str">
        <x:v>8.3.2</x:v>
      </x:c>
      <x:c r="L134" s="5" t="str">
        <x:v>V-0006; V-0019; V-0020; V-0021; V-0022; V-0023; V-0045; V-0057; V-0058; V-0059; V-0081; V-0082</x:v>
      </x:c>
      <x:c r="M134" s="5" t="str">
        <x:v>nein</x:v>
      </x:c>
    </x:row>
    <x:row r="135" ht="36" customHeight="1">
      <x:c r="A135" s="5" t="str">
        <x:v>dg-hq-0129</x:v>
      </x:c>
      <x:c r="B135" s="5" t="str">
        <x:v>HQ</x:v>
      </x:c>
      <x:c r="C135" s="5" t="str">
        <x:v>8</x:v>
      </x:c>
      <x:c r="D135" s="5" t="str">
        <x:v>Marketing und Vertrieb</x:v>
      </x:c>
      <x:c r="E135" s="5" t="str">
        <x:v>ui-hq-0030</x:v>
      </x:c>
      <x:c r="F135" s="5" t="str">
        <x:v>Internationale Geschäftsbeziehungen und Geschäftsentwicklung</x:v>
      </x:c>
      <x:c r="G135" s="5" t="str">
        <x:v>Einführung in den Außenhandel</x:v>
      </x:c>
      <x:c r="H135" s="5" t="str">
        <x:v>8.4.1</x:v>
      </x:c>
      <x:c r="I135" s="5" t="str">
        <x:v>Vertrieb</x:v>
      </x:c>
      <x:c r="J135" s="5" t="n">
        <x:f>COUNTIF('Einzel-ID-Zuordnung'!$H$7:$H$2692,A135)</x:f>
        <x:v>12</x:v>
      </x:c>
      <x:c r="K135" s="5" t="str">
        <x:v>8.4.1</x:v>
      </x:c>
      <x:c r="L135" s="5" t="str">
        <x:v>V-0024; V-0025; V-0026; V-0027; V-0060; V-0061; V-0062; V-0063; V-0064; V-0065; V-0066; V-0083</x:v>
      </x:c>
      <x:c r="M135" s="5" t="str">
        <x:v>nein</x:v>
      </x:c>
    </x:row>
    <x:row r="136" ht="36" customHeight="1">
      <x:c r="A136" s="5" t="str">
        <x:v>dg-hq-0130</x:v>
      </x:c>
      <x:c r="B136" s="5" t="str">
        <x:v>HQ</x:v>
      </x:c>
      <x:c r="C136" s="5" t="str">
        <x:v>8</x:v>
      </x:c>
      <x:c r="D136" s="5" t="str">
        <x:v>Marketing und Vertrieb</x:v>
      </x:c>
      <x:c r="E136" s="5" t="str">
        <x:v>ui-hq-0030</x:v>
      </x:c>
      <x:c r="F136" s="5" t="str">
        <x:v>Internationale Geschäftsbeziehungen und Geschäftsentwicklung</x:v>
      </x:c>
      <x:c r="G136" s="5" t="str">
        <x:v>Kooperationen im Außenhandel</x:v>
      </x:c>
      <x:c r="H136" s="5" t="str">
        <x:v>8.4.2</x:v>
      </x:c>
      <x:c r="I136" s="5" t="str">
        <x:v>Vertrieb</x:v>
      </x:c>
      <x:c r="J136" s="5" t="n">
        <x:f>COUNTIF('Einzel-ID-Zuordnung'!$H$7:$H$2692,A136)</x:f>
        <x:v>9</x:v>
      </x:c>
      <x:c r="K136" s="5" t="str">
        <x:v>8.4.2</x:v>
      </x:c>
      <x:c r="L136" s="5" t="str">
        <x:v>V-0028; V-0029; V-0030; V-0067; V-0068; V-0069; V-0070; V-0071; V-0084</x:v>
      </x:c>
      <x:c r="M136" s="5" t="str">
        <x:v>nein</x:v>
      </x:c>
    </x:row>
    <x:row r="137" ht="36" customHeight="1">
      <x:c r="A137" s="5" t="str">
        <x:v>dg-hq-0131</x:v>
      </x:c>
      <x:c r="B137" s="5" t="str">
        <x:v>HQ</x:v>
      </x:c>
      <x:c r="C137" s="5" t="str">
        <x:v>8</x:v>
      </x:c>
      <x:c r="D137" s="5" t="str">
        <x:v>Marketing und Vertrieb</x:v>
      </x:c>
      <x:c r="E137" s="5" t="str">
        <x:v>ui-hq-0030</x:v>
      </x:c>
      <x:c r="F137" s="5" t="str">
        <x:v>Internationale Geschäftsbeziehungen und Geschäftsentwicklung</x:v>
      </x:c>
      <x:c r="G137" s="5" t="str">
        <x:v>Interkulturelle Kommunikationsdimensionen</x:v>
      </x:c>
      <x:c r="H137" s="5" t="str">
        <x:v>8.4.3</x:v>
      </x:c>
      <x:c r="I137" s="5" t="str">
        <x:v>Vertrieb</x:v>
      </x:c>
      <x:c r="J137" s="5" t="n">
        <x:f>COUNTIF('Einzel-ID-Zuordnung'!$H$7:$H$2692,A137)</x:f>
        <x:v>6</x:v>
      </x:c>
      <x:c r="K137" s="5" t="str">
        <x:v>8.4.3</x:v>
      </x:c>
      <x:c r="L137" s="5" t="str">
        <x:v>V-0031; V-0032; V-0046; V-0047; V-0072; V-0073</x:v>
      </x:c>
      <x:c r="M137" s="5" t="str">
        <x:v>nein</x:v>
      </x:c>
    </x:row>
    <x:row r="138" ht="36" customHeight="1">
      <x:c r="A138" s="5" t="str">
        <x:v>dg-hq-0132</x:v>
      </x:c>
      <x:c r="B138" s="5" t="str">
        <x:v>HQ</x:v>
      </x:c>
      <x:c r="C138" s="5" t="str">
        <x:v>8</x:v>
      </x:c>
      <x:c r="D138" s="5" t="str">
        <x:v>Marketing und Vertrieb</x:v>
      </x:c>
      <x:c r="E138" s="5" t="str">
        <x:v>ui-hq-0031</x:v>
      </x:c>
      <x:c r="F138" s="5" t="str">
        <x:v>Spezielle Rechtsaspekte</x:v>
      </x:c>
      <x:c r="G138" s="5" t="str">
        <x:v>Wettbewerbsrecht</x:v>
      </x:c>
      <x:c r="H138" s="5" t="str">
        <x:v>8.5.1</x:v>
      </x:c>
      <x:c r="I138" s="5" t="str">
        <x:v>Vertrieb</x:v>
      </x:c>
      <x:c r="J138" s="5" t="n">
        <x:f>COUNTIF('Einzel-ID-Zuordnung'!$H$7:$H$2692,A138)</x:f>
        <x:v>7</x:v>
      </x:c>
      <x:c r="K138" s="5" t="str">
        <x:v>8.5.1</x:v>
      </x:c>
      <x:c r="L138" s="5" t="str">
        <x:v>V-0033; V-0034; V-0035; V-0036; V-0050; V-0074; V-0075</x:v>
      </x:c>
      <x:c r="M138" s="5" t="str">
        <x:v>nein</x:v>
      </x:c>
    </x:row>
    <x:row r="139" ht="36" customHeight="1">
      <x:c r="A139" s="5" t="str">
        <x:v>dg-hq-0133</x:v>
      </x:c>
      <x:c r="B139" s="5" t="str">
        <x:v>HQ</x:v>
      </x:c>
      <x:c r="C139" s="5" t="str">
        <x:v>8</x:v>
      </x:c>
      <x:c r="D139" s="5" t="str">
        <x:v>Marketing und Vertrieb</x:v>
      </x:c>
      <x:c r="E139" s="5" t="str">
        <x:v>ui-hq-0031</x:v>
      </x:c>
      <x:c r="F139" s="5" t="str">
        <x:v>Spezielle Rechtsaspekte</x:v>
      </x:c>
      <x:c r="G139" s="5" t="str">
        <x:v>Markenrecht</x:v>
      </x:c>
      <x:c r="H139" s="5" t="str">
        <x:v>8.5.2</x:v>
      </x:c>
      <x:c r="I139" s="5" t="str">
        <x:v>Vertrieb</x:v>
      </x:c>
      <x:c r="J139" s="5" t="n">
        <x:f>COUNTIF('Einzel-ID-Zuordnung'!$H$7:$H$2692,A139)</x:f>
        <x:v>6</x:v>
      </x:c>
      <x:c r="K139" s="5" t="str">
        <x:v>8.5.2.1</x:v>
      </x:c>
      <x:c r="L139" s="5" t="str">
        <x:v>V-0037; V-0038; V-0039; V-0048; V-0049; V-0076</x:v>
      </x:c>
      <x:c r="M139" s="5" t="str">
        <x:v>nein</x:v>
      </x:c>
    </x:row>
    <x:row r="140" ht="36" customHeight="1">
      <x:c r="A140" s="5" t="str">
        <x:v>dg-hq-0134</x:v>
      </x:c>
      <x:c r="B140" s="5" t="str">
        <x:v>HQ</x:v>
      </x:c>
      <x:c r="C140" s="5" t="str">
        <x:v>8</x:v>
      </x:c>
      <x:c r="D140" s="5" t="str">
        <x:v>Marketing und Vertrieb</x:v>
      </x:c>
      <x:c r="E140" s="5" t="str">
        <x:v>ui-hq-0031</x:v>
      </x:c>
      <x:c r="F140" s="5" t="str">
        <x:v>Spezielle Rechtsaspekte</x:v>
      </x:c>
      <x:c r="G140" s="5" t="str">
        <x:v>Besonderheiten des Verbrauchsgüterkaufs</x:v>
      </x:c>
      <x:c r="H140" s="5" t="str">
        <x:v>8.5.3.1</x:v>
      </x:c>
      <x:c r="I140" s="5" t="str">
        <x:v>Vertrieb</x:v>
      </x:c>
      <x:c r="J140" s="5" t="n">
        <x:f>COUNTIF('Einzel-ID-Zuordnung'!$H$7:$H$2692,A140)</x:f>
        <x:v>2</x:v>
      </x:c>
      <x:c r="K140" s="5" t="str">
        <x:v>8.5.3.1</x:v>
      </x:c>
      <x:c r="L140" s="5" t="str">
        <x:v>V-0040; V-0077</x:v>
      </x:c>
      <x:c r="M140" s="5" t="str">
        <x:v>nein</x:v>
      </x:c>
    </x:row>
    <x:row r="141" ht="36" customHeight="1">
      <x:c r="A141" s="5" t="str">
        <x:v>dg-hq-0135</x:v>
      </x:c>
      <x:c r="B141" s="5" t="str">
        <x:v>HQ</x:v>
      </x:c>
      <x:c r="C141" s="5" t="str">
        <x:v>8</x:v>
      </x:c>
      <x:c r="D141" s="5" t="str">
        <x:v>Marketing und Vertrieb</x:v>
      </x:c>
      <x:c r="E141" s="5" t="str">
        <x:v>ui-hq-0031</x:v>
      </x:c>
      <x:c r="F141" s="5" t="str">
        <x:v>Spezielle Rechtsaspekte</x:v>
      </x:c>
      <x:c r="G141" s="5" t="str">
        <x:v>Verbraucherschutz</x:v>
      </x:c>
      <x:c r="H141" s="5" t="str">
        <x:v>8.5.3</x:v>
      </x:c>
      <x:c r="I141" s="5" t="str">
        <x:v>Vertrieb</x:v>
      </x:c>
      <x:c r="J141" s="5" t="n">
        <x:f>COUNTIF('Einzel-ID-Zuordnung'!$H$7:$H$2692,A141)</x:f>
        <x:v>4</x:v>
      </x:c>
      <x:c r="K141" s="5" t="str">
        <x:v>8.5.3; 8.5.3.3; 8.5.3.2</x:v>
      </x:c>
      <x:c r="L141" s="5" t="str">
        <x:v>V-0041; V-0042; V-0078; V-0079</x:v>
      </x:c>
      <x:c r="M141" s="5" t="str">
        <x:v>nein</x:v>
      </x:c>
    </x:row>
    <x:row r="142" ht="36" customHeight="1">
      <x:c r="A142" s="5" t="str">
        <x:v>dg-hq-0136</x:v>
      </x:c>
      <x:c r="B142" s="5" t="str">
        <x:v>HQ</x:v>
      </x:c>
      <x:c r="C142" s="5" t="str">
        <x:v>6</x:v>
      </x:c>
      <x:c r="D142" s="5" t="str">
        <x:v>Investition, Finanzierung, betriebliches Rechnungswesen und Controlling</x:v>
      </x:c>
      <x:c r="E142" s="5" t="str">
        <x:v>ui-hq-0020</x:v>
      </x:c>
      <x:c r="F142" s="5" t="str">
        <x:v>Kosten- und Leistungsrechnung</x:v>
      </x:c>
      <x:c r="G142" s="5" t="str">
        <x:v>Die Deckungsbeitragsrechnung als Entscheidungsrechnung</x:v>
      </x:c>
      <x:c r="H142" s="5" t="str">
        <x:v>6.4.1</x:v>
      </x:c>
      <x:c r="I142" s="5" t="str">
        <x:v>Betriebliches Rechnungswesen und Controlling</x:v>
      </x:c>
      <x:c r="J142" s="5" t="n">
        <x:f>COUNTIF('Einzel-ID-Zuordnung'!$H$7:$H$2692,A142)</x:f>
        <x:v>42</x:v>
      </x:c>
      <x:c r="K142" s="5" t="str">
        <x:v>6.4.1; 6.4.1.2; 6.4.1.1; 6.4.1.4</x:v>
      </x:c>
      <x:c r="L142" s="5" t="str">
        <x:v>FC-0001; FC-0002; FC-0003; FC-0004; FC-0005; FC-0006; FC-0007; FC-0008; FC-0009; FC-0010; FC-0011; FC-0012; FC-0013; FC-0014; FC-0015; FC-0016; FC-0017; FC-0018; FC-0019; FC-0020; FC-0021; FC-0022; FC-0023; FC-0024; FC-0025; FC-0026; FC-0027; FC-0028; FC-0029; FC-0030; FC-0031; FC-0032; FC-0033; FC-0034; FC-0035; FC-0036; FC-0037; FC-0067; FC-0068; FC-0069; FC-0102; FC-0103</x:v>
      </x:c>
      <x:c r="M142" s="5" t="str">
        <x:v>nein</x:v>
      </x:c>
    </x:row>
    <x:row r="143" ht="36" customHeight="1">
      <x:c r="A143" s="5" t="str">
        <x:v>dg-hq-0137</x:v>
      </x:c>
      <x:c r="B143" s="5" t="str">
        <x:v>HQ</x:v>
      </x:c>
      <x:c r="C143" s="5" t="str">
        <x:v>6</x:v>
      </x:c>
      <x:c r="D143" s="5" t="str">
        <x:v>Investition, Finanzierung, betriebliches Rechnungswesen und Controlling</x:v>
      </x:c>
      <x:c r="E143" s="5" t="str">
        <x:v>ui-hq-0020</x:v>
      </x:c>
      <x:c r="F143" s="5" t="str">
        <x:v>Kosten- und Leistungsrechnung</x:v>
      </x:c>
      <x:c r="G143" s="5" t="str">
        <x:v>Normalkostenrechnung</x:v>
      </x:c>
      <x:c r="H143" s="5" t="str">
        <x:v>6.4.2</x:v>
      </x:c>
      <x:c r="I143" s="5" t="str">
        <x:v>Betriebliches Rechnungswesen und Controlling</x:v>
      </x:c>
      <x:c r="J143" s="5" t="n">
        <x:f>COUNTIF('Einzel-ID-Zuordnung'!$H$7:$H$2692,A143)</x:f>
        <x:v>8</x:v>
      </x:c>
      <x:c r="K143" s="5" t="str">
        <x:v>6.4.2</x:v>
      </x:c>
      <x:c r="L143" s="5" t="str">
        <x:v>FC-0038; FC-0039; FC-0040; FC-0070; FC-0071; FC-0072; FC-0073; FC-0074</x:v>
      </x:c>
      <x:c r="M143" s="5" t="str">
        <x:v>nein</x:v>
      </x:c>
    </x:row>
    <x:row r="144" ht="36" customHeight="1">
      <x:c r="A144" s="5" t="str">
        <x:v>dg-hq-0138</x:v>
      </x:c>
      <x:c r="B144" s="5" t="str">
        <x:v>HQ</x:v>
      </x:c>
      <x:c r="C144" s="5" t="str">
        <x:v>6</x:v>
      </x:c>
      <x:c r="D144" s="5" t="str">
        <x:v>Investition, Finanzierung, betriebliches Rechnungswesen und Controlling</x:v>
      </x:c>
      <x:c r="E144" s="5" t="str">
        <x:v>ui-hq-0020</x:v>
      </x:c>
      <x:c r="F144" s="5" t="str">
        <x:v>Kosten- und Leistungsrechnung</x:v>
      </x:c>
      <x:c r="G144" s="5" t="str">
        <x:v>Plankostenrechnung</x:v>
      </x:c>
      <x:c r="H144" s="5" t="str">
        <x:v>6.4.3</x:v>
      </x:c>
      <x:c r="I144" s="5" t="str">
        <x:v>Betriebliches Rechnungswesen und Controlling</x:v>
      </x:c>
      <x:c r="J144" s="5" t="n">
        <x:f>COUNTIF('Einzel-ID-Zuordnung'!$H$7:$H$2692,A144)</x:f>
        <x:v>9</x:v>
      </x:c>
      <x:c r="K144" s="5" t="str">
        <x:v>6.4.3; 6.4.3.2</x:v>
      </x:c>
      <x:c r="L144" s="5" t="str">
        <x:v>FC-0041; FC-0042; FC-0043; FC-0044; FC-0045; FC-0075; FC-0076; FC-0101; FC-0104</x:v>
      </x:c>
      <x:c r="M144" s="5" t="str">
        <x:v>nein</x:v>
      </x:c>
    </x:row>
    <x:row r="145" ht="36" customHeight="1">
      <x:c r="A145" s="5" t="str">
        <x:v>dg-hq-0139</x:v>
      </x:c>
      <x:c r="B145" s="5" t="str">
        <x:v>HQ</x:v>
      </x:c>
      <x:c r="C145" s="5" t="str">
        <x:v>6</x:v>
      </x:c>
      <x:c r="D145" s="5" t="str">
        <x:v>Investition, Finanzierung, betriebliches Rechnungswesen und Controlling</x:v>
      </x:c>
      <x:c r="E145" s="5" t="str">
        <x:v>ui-hq-0020</x:v>
      </x:c>
      <x:c r="F145" s="5" t="str">
        <x:v>Kosten- und Leistungsrechnung</x:v>
      </x:c>
      <x:c r="G145" s="5" t="str">
        <x:v>Target Costing</x:v>
      </x:c>
      <x:c r="H145" s="5" t="str">
        <x:v>6.4.4.1</x:v>
      </x:c>
      <x:c r="I145" s="5" t="str">
        <x:v>Betriebliches Rechnungswesen und Controlling</x:v>
      </x:c>
      <x:c r="J145" s="5" t="n">
        <x:f>COUNTIF('Einzel-ID-Zuordnung'!$H$7:$H$2692,A145)</x:f>
        <x:v>5</x:v>
      </x:c>
      <x:c r="K145" s="5" t="str">
        <x:v>6.4.4.1</x:v>
      </x:c>
      <x:c r="L145" s="5" t="str">
        <x:v>FC-0046; FC-0047; FC-0048; FC-0077; FC-0078</x:v>
      </x:c>
      <x:c r="M145" s="5" t="str">
        <x:v>nein</x:v>
      </x:c>
    </x:row>
    <x:row r="146" ht="36" customHeight="1">
      <x:c r="A146" s="5" t="str">
        <x:v>dg-hq-0140</x:v>
      </x:c>
      <x:c r="B146" s="5" t="str">
        <x:v>HQ</x:v>
      </x:c>
      <x:c r="C146" s="5" t="str">
        <x:v>6</x:v>
      </x:c>
      <x:c r="D146" s="5" t="str">
        <x:v>Investition, Finanzierung, betriebliches Rechnungswesen und Controlling</x:v>
      </x:c>
      <x:c r="E146" s="5" t="str">
        <x:v>ui-hq-0020</x:v>
      </x:c>
      <x:c r="F146" s="5" t="str">
        <x:v>Kosten- und Leistungsrechnung</x:v>
      </x:c>
      <x:c r="G146" s="5" t="str">
        <x:v>Prozesskostenrechnung</x:v>
      </x:c>
      <x:c r="H146" s="5" t="str">
        <x:v>6.4.4.2</x:v>
      </x:c>
      <x:c r="I146" s="5" t="str">
        <x:v>Betriebliches Rechnungswesen und Controlling</x:v>
      </x:c>
      <x:c r="J146" s="5" t="n">
        <x:f>COUNTIF('Einzel-ID-Zuordnung'!$H$7:$H$2692,A146)</x:f>
        <x:v>6</x:v>
      </x:c>
      <x:c r="K146" s="5" t="str">
        <x:v>6.4.4.2</x:v>
      </x:c>
      <x:c r="L146" s="5" t="str">
        <x:v>FC-0049; FC-0050; FC-0051; FC-0052; FC-0053; FC-0054</x:v>
      </x:c>
      <x:c r="M146" s="5" t="str">
        <x:v>nein</x:v>
      </x:c>
    </x:row>
    <x:row r="147" ht="36" customHeight="1">
      <x:c r="A147" s="5" t="str">
        <x:v>dg-hq-0141</x:v>
      </x:c>
      <x:c r="B147" s="5" t="str">
        <x:v>HQ</x:v>
      </x:c>
      <x:c r="C147" s="5" t="str">
        <x:v>6</x:v>
      </x:c>
      <x:c r="D147" s="5" t="str">
        <x:v>Investition, Finanzierung, betriebliches Rechnungswesen und Controlling</x:v>
      </x:c>
      <x:c r="E147" s="5" t="str">
        <x:v>ui-hq-0021</x:v>
      </x:c>
      <x:c r="F147" s="5" t="str">
        <x:v>Controlling</x:v>
      </x:c>
      <x:c r="G147" s="5" t="str">
        <x:v>Begriff und Notwendigkeit des Controlling</x:v>
      </x:c>
      <x:c r="H147" s="5" t="str">
        <x:v>6.5.1</x:v>
      </x:c>
      <x:c r="I147" s="5" t="str">
        <x:v>Betriebliches Rechnungswesen und Controlling</x:v>
      </x:c>
      <x:c r="J147" s="5" t="n">
        <x:f>COUNTIF('Einzel-ID-Zuordnung'!$H$7:$H$2692,A147)</x:f>
        <x:v>9</x:v>
      </x:c>
      <x:c r="K147" s="5" t="str">
        <x:v>6.5.1</x:v>
      </x:c>
      <x:c r="L147" s="5" t="str">
        <x:v>FC-0055; FC-0056; FC-0057; FC-0058; FC-0059; FC-0060; FC-0079; FC-0080; FC-0081</x:v>
      </x:c>
      <x:c r="M147" s="5" t="str">
        <x:v>nein</x:v>
      </x:c>
    </x:row>
    <x:row r="148" ht="36" customHeight="1">
      <x:c r="A148" s="5" t="str">
        <x:v>dg-hq-0142</x:v>
      </x:c>
      <x:c r="B148" s="5" t="str">
        <x:v>HQ</x:v>
      </x:c>
      <x:c r="C148" s="5" t="str">
        <x:v>6</x:v>
      </x:c>
      <x:c r="D148" s="5" t="str">
        <x:v>Investition, Finanzierung, betriebliches Rechnungswesen und Controlling</x:v>
      </x:c>
      <x:c r="E148" s="5" t="str">
        <x:v>ui-hq-0021</x:v>
      </x:c>
      <x:c r="F148" s="5" t="str">
        <x:v>Controlling</x:v>
      </x:c>
      <x:c r="G148" s="5" t="str">
        <x:v>Strategische Controllinginstrumente</x:v>
      </x:c>
      <x:c r="H148" s="5" t="str">
        <x:v>6.5.4.1</x:v>
      </x:c>
      <x:c r="I148" s="5" t="str">
        <x:v>Betriebliches Rechnungswesen und Controlling</x:v>
      </x:c>
      <x:c r="J148" s="5" t="n">
        <x:f>COUNTIF('Einzel-ID-Zuordnung'!$H$7:$H$2692,A148)</x:f>
        <x:v>13</x:v>
      </x:c>
      <x:c r="K148" s="5" t="str">
        <x:v>6.5.4.1</x:v>
      </x:c>
      <x:c r="L148" s="5" t="str">
        <x:v>FC-0061; FC-0062; FC-0063; FC-0064; FC-0082; FC-0083; FC-0084; FC-0085; FC-0086; FC-0087; FC-0088; FC-0089; FC-0090</x:v>
      </x:c>
      <x:c r="M148" s="5" t="str">
        <x:v>nein</x:v>
      </x:c>
    </x:row>
    <x:row r="149" ht="36" customHeight="1">
      <x:c r="A149" s="5" t="str">
        <x:v>dg-hq-0143</x:v>
      </x:c>
      <x:c r="B149" s="5" t="str">
        <x:v>HQ</x:v>
      </x:c>
      <x:c r="C149" s="5" t="str">
        <x:v>6</x:v>
      </x:c>
      <x:c r="D149" s="5" t="str">
        <x:v>Investition, Finanzierung, betriebliches Rechnungswesen und Controlling</x:v>
      </x:c>
      <x:c r="E149" s="5" t="str">
        <x:v>ui-hq-0021</x:v>
      </x:c>
      <x:c r="F149" s="5" t="str">
        <x:v>Controlling</x:v>
      </x:c>
      <x:c r="G149" s="5" t="str">
        <x:v>Operative Controllinginstrumente</x:v>
      </x:c>
      <x:c r="H149" s="5" t="str">
        <x:v>6.5.4.2</x:v>
      </x:c>
      <x:c r="I149" s="5" t="str">
        <x:v>Betriebliches Rechnungswesen und Controlling</x:v>
      </x:c>
      <x:c r="J149" s="5" t="n">
        <x:f>COUNTIF('Einzel-ID-Zuordnung'!$H$7:$H$2692,A149)</x:f>
        <x:v>11</x:v>
      </x:c>
      <x:c r="K149" s="5" t="str">
        <x:v>6.5.4.2</x:v>
      </x:c>
      <x:c r="L149" s="5" t="str">
        <x:v>FC-0065; FC-0066; FC-0091; FC-0092; FC-0093; FC-0094; FC-0095; FC-0096; FC-0097; FC-0098; FC-0099</x:v>
      </x:c>
      <x:c r="M149" s="5" t="str">
        <x:v>nein</x:v>
      </x:c>
    </x:row>
    <x:row r="150" ht="36" customHeight="1">
      <x:c r="A150" s="5" t="str">
        <x:v>dg-hq-0144</x:v>
      </x:c>
      <x:c r="B150" s="5" t="str">
        <x:v>HQ</x:v>
      </x:c>
      <x:c r="C150" s="5" t="str">
        <x:v>6</x:v>
      </x:c>
      <x:c r="D150" s="5" t="str">
        <x:v>Investition, Finanzierung, betriebliches Rechnungswesen und Controlling</x:v>
      </x:c>
      <x:c r="E150" s="5" t="str">
        <x:v>ui-hq-0018</x:v>
      </x:c>
      <x:c r="F150" s="5" t="str">
        <x:v>Finanzplanung und Ermittlung des Finanzbedarfs</x:v>
      </x:c>
      <x:c r="G150" s="5" t="str">
        <x:v>Kapitalbedarfsplanung</x:v>
      </x:c>
      <x:c r="H150" s="5" t="str">
        <x:v>6.2.1</x:v>
      </x:c>
      <x:c r="I150" s="5" t="str">
        <x:v>Investition und Finanzierung</x:v>
      </x:c>
      <x:c r="J150" s="5" t="n">
        <x:f>COUNTIF('Einzel-ID-Zuordnung'!$H$7:$H$2692,A150)</x:f>
        <x:v>15</x:v>
      </x:c>
      <x:c r="K150" s="5" t="str">
        <x:v>6.2.1</x:v>
      </x:c>
      <x:c r="L150" s="5" t="str">
        <x:v>IF-0001; IF-0006; IF-0007; IF-0031; IF-0032; IF-0033; IF-0096; IF-0097; IF-0119; IF-0120; IF-0121; IF-0123; IF-0126; IF-0164; IF-0165</x:v>
      </x:c>
      <x:c r="M150" s="5" t="str">
        <x:v>nein</x:v>
      </x:c>
    </x:row>
    <x:row r="151" ht="36" customHeight="1">
      <x:c r="A151" s="5" t="str">
        <x:v>dg-hq-0145</x:v>
      </x:c>
      <x:c r="B151" s="5" t="str">
        <x:v>HQ</x:v>
      </x:c>
      <x:c r="C151" s="5" t="str">
        <x:v>6</x:v>
      </x:c>
      <x:c r="D151" s="5" t="str">
        <x:v>Investition, Finanzierung, betriebliches Rechnungswesen und Controlling</x:v>
      </x:c>
      <x:c r="E151" s="5" t="str">
        <x:v>ui-hq-0017</x:v>
      </x:c>
      <x:c r="F151" s="5" t="str">
        <x:v>Investitionsplanung und -rechnung</x:v>
      </x:c>
      <x:c r="G151" s="5" t="str">
        <x:v>Investition</x:v>
      </x:c>
      <x:c r="H151" s="5" t="str">
        <x:v>6.1.1</x:v>
      </x:c>
      <x:c r="I151" s="5" t="str">
        <x:v>Investition und Finanzierung</x:v>
      </x:c>
      <x:c r="J151" s="5" t="n">
        <x:f>COUNTIF('Einzel-ID-Zuordnung'!$H$7:$H$2692,A151)</x:f>
        <x:v>15</x:v>
      </x:c>
      <x:c r="K151" s="5" t="str">
        <x:v>6.1.1.1; 6.1.1</x:v>
      </x:c>
      <x:c r="L151" s="5" t="str">
        <x:v>IF-0002; IF-0003; IF-0004; IF-0005; IF-0008; IF-0101; IF-0102; IF-0103; IF-0104; IF-0105; IF-0106; IF-0107; IF-0108; IF-0109; IF-0110</x:v>
      </x:c>
      <x:c r="M151" s="5" t="str">
        <x:v>nein</x:v>
      </x:c>
    </x:row>
    <x:row r="152" ht="36" customHeight="1">
      <x:c r="A152" s="5" t="str">
        <x:v>dg-hq-0146</x:v>
      </x:c>
      <x:c r="B152" s="5" t="str">
        <x:v>HQ</x:v>
      </x:c>
      <x:c r="C152" s="5" t="str">
        <x:v>6</x:v>
      </x:c>
      <x:c r="D152" s="5" t="str">
        <x:v>Investition, Finanzierung, betriebliches Rechnungswesen und Controlling</x:v>
      </x:c>
      <x:c r="E152" s="5" t="str">
        <x:v>ui-hq-0017</x:v>
      </x:c>
      <x:c r="F152" s="5" t="str">
        <x:v>Investitionsplanung und -rechnung</x:v>
      </x:c>
      <x:c r="G152" s="5" t="str">
        <x:v>Statische Investitionsrechnung</x:v>
      </x:c>
      <x:c r="H152" s="5" t="str">
        <x:v>6.1.2.2</x:v>
      </x:c>
      <x:c r="I152" s="5" t="str">
        <x:v>Investition und Finanzierung</x:v>
      </x:c>
      <x:c r="J152" s="5" t="n">
        <x:f>COUNTIF('Einzel-ID-Zuordnung'!$H$7:$H$2692,A152)</x:f>
        <x:v>15</x:v>
      </x:c>
      <x:c r="K152" s="5" t="str">
        <x:v>6.1.2.2; 6.1.2.2#1; 6.1.2.2#4; 6.1.2.2#3</x:v>
      </x:c>
      <x:c r="L152" s="5" t="str">
        <x:v>IF-0009; IF-0010; IF-0011; IF-0012; IF-0013; IF-0014; IF-0015; IF-0016; IF-0017; IF-0018; IF-0019; IF-0092; IF-0093; IF-0111; IF-0112</x:v>
      </x:c>
      <x:c r="M152" s="5" t="str">
        <x:v>nein</x:v>
      </x:c>
    </x:row>
    <x:row r="153" ht="36" customHeight="1">
      <x:c r="A153" s="5" t="str">
        <x:v>dg-hq-0147</x:v>
      </x:c>
      <x:c r="B153" s="5" t="str">
        <x:v>HQ</x:v>
      </x:c>
      <x:c r="C153" s="5" t="str">
        <x:v>6</x:v>
      </x:c>
      <x:c r="D153" s="5" t="str">
        <x:v>Investition, Finanzierung, betriebliches Rechnungswesen und Controlling</x:v>
      </x:c>
      <x:c r="E153" s="5" t="str">
        <x:v>ui-hq-0017</x:v>
      </x:c>
      <x:c r="F153" s="5" t="str">
        <x:v>Investitionsplanung und -rechnung</x:v>
      </x:c>
      <x:c r="G153" s="5" t="str">
        <x:v>Dynamische Investitionsrechnung</x:v>
      </x:c>
      <x:c r="H153" s="5" t="str">
        <x:v>6.1.2.3</x:v>
      </x:c>
      <x:c r="I153" s="5" t="str">
        <x:v>Investition und Finanzierung</x:v>
      </x:c>
      <x:c r="J153" s="5" t="n">
        <x:f>COUNTIF('Einzel-ID-Zuordnung'!$H$7:$H$2692,A153)</x:f>
        <x:v>18</x:v>
      </x:c>
      <x:c r="K153" s="5" t="str">
        <x:v>6.1.2.3; 6.1.2.3#3</x:v>
      </x:c>
      <x:c r="L153" s="5" t="str">
        <x:v>IF-0020; IF-0021; IF-0022; IF-0023; IF-0024; IF-0025; IF-0026; IF-0027; IF-0028; IF-0094; IF-0095; IF-0113; IF-0114; IF-0115; IF-0116; IF-0117; IF-0118; IF-0166</x:v>
      </x:c>
      <x:c r="M153" s="5" t="str">
        <x:v>nein</x:v>
      </x:c>
    </x:row>
    <x:row r="154" ht="36" customHeight="1">
      <x:c r="A154" s="5" t="str">
        <x:v>dg-hq-0148</x:v>
      </x:c>
      <x:c r="B154" s="5" t="str">
        <x:v>HQ</x:v>
      </x:c>
      <x:c r="C154" s="5" t="str">
        <x:v>6</x:v>
      </x:c>
      <x:c r="D154" s="5" t="str">
        <x:v>Investition, Finanzierung, betriebliches Rechnungswesen und Controlling</x:v>
      </x:c>
      <x:c r="E154" s="5" t="str">
        <x:v>ui-hq-0017</x:v>
      </x:c>
      <x:c r="F154" s="5" t="str">
        <x:v>Investitionsplanung und -rechnung</x:v>
      </x:c>
      <x:c r="G154" s="5" t="str">
        <x:v>Wirtschaftliche Nutzungsdauer</x:v>
      </x:c>
      <x:c r="H154" s="5" t="str">
        <x:v>6.1.2.4</x:v>
      </x:c>
      <x:c r="I154" s="5" t="str">
        <x:v>Investition und Finanzierung</x:v>
      </x:c>
      <x:c r="J154" s="5" t="n">
        <x:f>COUNTIF('Einzel-ID-Zuordnung'!$H$7:$H$2692,A154)</x:f>
        <x:v>2</x:v>
      </x:c>
      <x:c r="K154" s="5" t="str">
        <x:v>6.1.2.4</x:v>
      </x:c>
      <x:c r="L154" s="5" t="str">
        <x:v>IF-0029; IF-0030</x:v>
      </x:c>
      <x:c r="M154" s="5" t="str">
        <x:v>nein</x:v>
      </x:c>
    </x:row>
    <x:row r="155" ht="36" customHeight="1">
      <x:c r="A155" s="5" t="str">
        <x:v>dg-hq-0149</x:v>
      </x:c>
      <x:c r="B155" s="5" t="str">
        <x:v>HQ</x:v>
      </x:c>
      <x:c r="C155" s="5" t="str">
        <x:v>6</x:v>
      </x:c>
      <x:c r="D155" s="5" t="str">
        <x:v>Investition, Finanzierung, betriebliches Rechnungswesen und Controlling</x:v>
      </x:c>
      <x:c r="E155" s="5" t="str">
        <x:v>ui-hq-0018</x:v>
      </x:c>
      <x:c r="F155" s="5" t="str">
        <x:v>Finanzplanung und Ermittlung des Finanzbedarfs</x:v>
      </x:c>
      <x:c r="G155" s="5" t="str">
        <x:v>Liquiditätsplanung</x:v>
      </x:c>
      <x:c r="H155" s="5" t="str">
        <x:v>6.2.3</x:v>
      </x:c>
      <x:c r="I155" s="5" t="str">
        <x:v>Investition und Finanzierung</x:v>
      </x:c>
      <x:c r="J155" s="5" t="n">
        <x:f>COUNTIF('Einzel-ID-Zuordnung'!$H$7:$H$2692,A155)</x:f>
        <x:v>7</x:v>
      </x:c>
      <x:c r="K155" s="5" t="str">
        <x:v>6.2.3; 6.2.3.1; 6.2.3.2</x:v>
      </x:c>
      <x:c r="L155" s="5" t="str">
        <x:v>IF-0034; IF-0051; IF-0122; IF-0124; IF-0125; IF-0127; IF-0162</x:v>
      </x:c>
      <x:c r="M155" s="5" t="str">
        <x:v>nein</x:v>
      </x:c>
    </x:row>
    <x:row r="156" ht="36" customHeight="1">
      <x:c r="A156" s="5" t="str">
        <x:v>dg-hq-0150</x:v>
      </x:c>
      <x:c r="B156" s="5" t="str">
        <x:v>HQ</x:v>
      </x:c>
      <x:c r="C156" s="5" t="str">
        <x:v>6</x:v>
      </x:c>
      <x:c r="D156" s="5" t="str">
        <x:v>Investition, Finanzierung, betriebliches Rechnungswesen und Controlling</x:v>
      </x:c>
      <x:c r="E156" s="5" t="str">
        <x:v>ui-hq-0018</x:v>
      </x:c>
      <x:c r="F156" s="5" t="str">
        <x:v>Finanzplanung und Ermittlung des Finanzbedarfs</x:v>
      </x:c>
      <x:c r="G156" s="5" t="str">
        <x:v>Finanzierungsplanung</x:v>
      </x:c>
      <x:c r="H156" s="5" t="str">
        <x:v>6.2.2</x:v>
      </x:c>
      <x:c r="I156" s="5" t="str">
        <x:v>Investition und Finanzierung</x:v>
      </x:c>
      <x:c r="J156" s="5" t="n">
        <x:f>COUNTIF('Einzel-ID-Zuordnung'!$H$7:$H$2692,A156)</x:f>
        <x:v>19</x:v>
      </x:c>
      <x:c r="K156" s="5" t="str">
        <x:v>6.2.2</x:v>
      </x:c>
      <x:c r="L156" s="5" t="str">
        <x:v>IF-0035; IF-0036; IF-0037; IF-0047; IF-0048; IF-0049; IF-0050; IF-0052; IF-0053; IF-0054; IF-0055; IF-0081; IF-0090; IF-0128; IF-0129; IF-0130; IF-0131; IF-0132; IF-0163</x:v>
      </x:c>
      <x:c r="M156" s="5" t="str">
        <x:v>nein</x:v>
      </x:c>
    </x:row>
    <x:row r="157" ht="36" customHeight="1">
      <x:c r="A157" s="5" t="str">
        <x:v>dg-hq-0151</x:v>
      </x:c>
      <x:c r="B157" s="5" t="str">
        <x:v>HQ</x:v>
      </x:c>
      <x:c r="C157" s="5" t="str">
        <x:v>6</x:v>
      </x:c>
      <x:c r="D157" s="5" t="str">
        <x:v>Investition, Finanzierung, betriebliches Rechnungswesen und Controlling</x:v>
      </x:c>
      <x:c r="E157" s="5" t="str">
        <x:v>ui-hq-0018</x:v>
      </x:c>
      <x:c r="F157" s="5" t="str">
        <x:v>Finanzplanung und Ermittlung des Finanzbedarfs</x:v>
      </x:c>
      <x:c r="G157" s="5" t="str">
        <x:v>Sicherheiten</x:v>
      </x:c>
      <x:c r="H157" s="5" t="str">
        <x:v>6.2.2.4</x:v>
      </x:c>
      <x:c r="I157" s="5" t="str">
        <x:v>Investition und Finanzierung</x:v>
      </x:c>
      <x:c r="J157" s="5" t="n">
        <x:f>COUNTIF('Einzel-ID-Zuordnung'!$H$7:$H$2692,A157)</x:f>
        <x:v>10</x:v>
      </x:c>
      <x:c r="K157" s="5" t="str">
        <x:v>6.2.2.4; 6.2.2.4#1</x:v>
      </x:c>
      <x:c r="L157" s="5" t="str">
        <x:v>IF-0038; IF-0039; IF-0040; IF-0041; IF-0042; IF-0043; IF-0044; IF-0045; IF-0046; IF-0133</x:v>
      </x:c>
      <x:c r="M157" s="5" t="str">
        <x:v>nein</x:v>
      </x:c>
    </x:row>
    <x:row r="158" ht="36" customHeight="1">
      <x:c r="A158" s="5" t="str">
        <x:v>dg-hq-0152</x:v>
      </x:c>
      <x:c r="B158" s="5" t="str">
        <x:v>HQ</x:v>
      </x:c>
      <x:c r="C158" s="5" t="str">
        <x:v>6</x:v>
      </x:c>
      <x:c r="D158" s="5" t="str">
        <x:v>Investition, Finanzierung, betriebliches Rechnungswesen und Controlling</x:v>
      </x:c>
      <x:c r="E158" s="5" t="str">
        <x:v>ui-hq-0019</x:v>
      </x:c>
      <x:c r="F158" s="5" t="str">
        <x:v>Finanzierungsarten</x:v>
      </x:c>
      <x:c r="G158" s="5" t="str">
        <x:v>Innenfinanzierung</x:v>
      </x:c>
      <x:c r="H158" s="5" t="str">
        <x:v>6.3.3</x:v>
      </x:c>
      <x:c r="I158" s="5" t="str">
        <x:v>Investition und Finanzierung</x:v>
      </x:c>
      <x:c r="J158" s="5" t="n">
        <x:f>COUNTIF('Einzel-ID-Zuordnung'!$H$7:$H$2692,A158)</x:f>
        <x:v>16</x:v>
      </x:c>
      <x:c r="K158" s="5" t="str">
        <x:v>6.3.3.2; 6.3.3; 6.3.3.3</x:v>
      </x:c>
      <x:c r="L158" s="5" t="str">
        <x:v>IF-0056; IF-0057; IF-0058; IF-0059; IF-0060; IF-0061; IF-0062; IF-0063; IF-0064; IF-0065; IF-0134; IF-0135; IF-0136; IF-0137; IF-0138; IF-0139</x:v>
      </x:c>
      <x:c r="M158" s="5" t="str">
        <x:v>nein</x:v>
      </x:c>
    </x:row>
    <x:row r="159" ht="36" customHeight="1">
      <x:c r="A159" s="5" t="str">
        <x:v>dg-hq-0153</x:v>
      </x:c>
      <x:c r="B159" s="5" t="str">
        <x:v>HQ</x:v>
      </x:c>
      <x:c r="C159" s="5" t="str">
        <x:v>6</x:v>
      </x:c>
      <x:c r="D159" s="5" t="str">
        <x:v>Investition, Finanzierung, betriebliches Rechnungswesen und Controlling</x:v>
      </x:c>
      <x:c r="E159" s="5" t="str">
        <x:v>ui-hq-0019</x:v>
      </x:c>
      <x:c r="F159" s="5" t="str">
        <x:v>Finanzierungsarten</x:v>
      </x:c>
      <x:c r="G159" s="5" t="str">
        <x:v>Sonderformen der Finanzierung</x:v>
      </x:c>
      <x:c r="H159" s="5" t="str">
        <x:v>6.3.4.4</x:v>
      </x:c>
      <x:c r="I159" s="5" t="str">
        <x:v>Investition und Finanzierung</x:v>
      </x:c>
      <x:c r="J159" s="5" t="n">
        <x:f>COUNTIF('Einzel-ID-Zuordnung'!$H$7:$H$2692,A159)</x:f>
        <x:v>18</x:v>
      </x:c>
      <x:c r="K159" s="5" t="str">
        <x:v>6.3.4.4</x:v>
      </x:c>
      <x:c r="L159" s="5" t="str">
        <x:v>IF-0066; IF-0067; IF-0068; IF-0082; IF-0083; IF-0084; IF-0085; IF-0086; IF-0087; IF-0088; IF-0100; IF-0155; IF-0156; IF-0157; IF-0158; IF-0159; IF-0160; IF-0161</x:v>
      </x:c>
      <x:c r="M159" s="5" t="str">
        <x:v>nein</x:v>
      </x:c>
    </x:row>
    <x:row r="160" ht="36" customHeight="1">
      <x:c r="A160" s="5" t="str">
        <x:v>dg-hq-0154</x:v>
      </x:c>
      <x:c r="B160" s="5" t="str">
        <x:v>HQ</x:v>
      </x:c>
      <x:c r="C160" s="5" t="str">
        <x:v>6</x:v>
      </x:c>
      <x:c r="D160" s="5" t="str">
        <x:v>Investition, Finanzierung, betriebliches Rechnungswesen und Controlling</x:v>
      </x:c>
      <x:c r="E160" s="5" t="str">
        <x:v>ui-hq-0019</x:v>
      </x:c>
      <x:c r="F160" s="5" t="str">
        <x:v>Finanzierungsarten</x:v>
      </x:c>
      <x:c r="G160" s="5" t="str">
        <x:v>Beteiligungen</x:v>
      </x:c>
      <x:c r="H160" s="5" t="str">
        <x:v>6.3.4.1</x:v>
      </x:c>
      <x:c r="I160" s="5" t="str">
        <x:v>Investition und Finanzierung</x:v>
      </x:c>
      <x:c r="J160" s="5" t="n">
        <x:f>COUNTIF('Einzel-ID-Zuordnung'!$H$7:$H$2692,A160)</x:f>
        <x:v>9</x:v>
      </x:c>
      <x:c r="K160" s="5" t="str">
        <x:v>6.3.4.1</x:v>
      </x:c>
      <x:c r="L160" s="5" t="str">
        <x:v>IF-0069; IF-0070; IF-0071; IF-0072; IF-0078; IF-0142; IF-0143; IF-0144; IF-0145</x:v>
      </x:c>
      <x:c r="M160" s="5" t="str">
        <x:v>nein</x:v>
      </x:c>
    </x:row>
    <x:row r="161" ht="36" customHeight="1">
      <x:c r="A161" s="5" t="str">
        <x:v>dg-hq-0155</x:v>
      </x:c>
      <x:c r="B161" s="5" t="str">
        <x:v>HQ</x:v>
      </x:c>
      <x:c r="C161" s="5" t="str">
        <x:v>6</x:v>
      </x:c>
      <x:c r="D161" s="5" t="str">
        <x:v>Investition, Finanzierung, betriebliches Rechnungswesen und Controlling</x:v>
      </x:c>
      <x:c r="E161" s="5" t="str">
        <x:v>ui-hq-0019</x:v>
      </x:c>
      <x:c r="F161" s="5" t="str">
        <x:v>Finanzierungsarten</x:v>
      </x:c>
      <x:c r="G161" s="5" t="str">
        <x:v>Außenfinanzierung</x:v>
      </x:c>
      <x:c r="H161" s="5" t="str">
        <x:v>6.3.4</x:v>
      </x:c>
      <x:c r="I161" s="5" t="str">
        <x:v>Investition und Finanzierung</x:v>
      </x:c>
      <x:c r="J161" s="5" t="n">
        <x:f>COUNTIF('Einzel-ID-Zuordnung'!$H$7:$H$2692,A161)</x:f>
        <x:v>15</x:v>
      </x:c>
      <x:c r="K161" s="5" t="str">
        <x:v>6.3.4; 6.3.4.2</x:v>
      </x:c>
      <x:c r="L161" s="5" t="str">
        <x:v>IF-0073; IF-0074; IF-0075; IF-0076; IF-0077; IF-0079; IF-0080; IF-0098; IF-0099; IF-0147; IF-0148; IF-0149; IF-0150; IF-0151; IF-0153</x:v>
      </x:c>
      <x:c r="M161" s="5" t="str">
        <x:v>nein</x:v>
      </x:c>
    </x:row>
    <x:row r="162" ht="36" customHeight="1">
      <x:c r="A162" s="5" t="str">
        <x:v>dg-hq-0156</x:v>
      </x:c>
      <x:c r="B162" s="5" t="str">
        <x:v>HQ</x:v>
      </x:c>
      <x:c r="C162" s="5" t="str">
        <x:v>6</x:v>
      </x:c>
      <x:c r="D162" s="5" t="str">
        <x:v>Investition, Finanzierung, betriebliches Rechnungswesen und Controlling</x:v>
      </x:c>
      <x:c r="E162" s="5" t="str">
        <x:v>ui-hq-0018</x:v>
      </x:c>
      <x:c r="F162" s="5" t="str">
        <x:v>Finanzplanung und Ermittlung des Finanzbedarfs</x:v>
      </x:c>
      <x:c r="G162" s="5" t="str">
        <x:v>Leverage-Effekt</x:v>
      </x:c>
      <x:c r="H162" s="5" t="str">
        <x:v>6.2.2.5</x:v>
      </x:c>
      <x:c r="I162" s="5" t="str">
        <x:v>Investition und Finanzierung</x:v>
      </x:c>
      <x:c r="J162" s="5" t="n">
        <x:f>COUNTIF('Einzel-ID-Zuordnung'!$H$7:$H$2692,A162)</x:f>
        <x:v>1</x:v>
      </x:c>
      <x:c r="K162" s="5" t="str">
        <x:v>6.2.2.5</x:v>
      </x:c>
      <x:c r="L162" s="5" t="str">
        <x:v>IF-0089</x:v>
      </x:c>
      <x:c r="M162" s="5" t="str">
        <x:v>nein</x:v>
      </x:c>
    </x:row>
    <x:row r="163" ht="36" customHeight="1">
      <x:c r="A163" s="5" t="str">
        <x:v>dg-hq-0157</x:v>
      </x:c>
      <x:c r="B163" s="5" t="str">
        <x:v>HQ</x:v>
      </x:c>
      <x:c r="C163" s="5" t="str">
        <x:v>6</x:v>
      </x:c>
      <x:c r="D163" s="5" t="str">
        <x:v>Investition, Finanzierung, betriebliches Rechnungswesen und Controlling</x:v>
      </x:c>
      <x:c r="E163" s="5" t="str">
        <x:v>ui-hq-0020</x:v>
      </x:c>
      <x:c r="F163" s="5" t="str">
        <x:v>Kosten- und Leistungsrechnung</x:v>
      </x:c>
      <x:c r="G163" s="5" t="str">
        <x:v>Entscheidungen bezüglich Fremdbezug oder Eigenfertigung</x:v>
      </x:c>
      <x:c r="H163" s="5" t="str">
        <x:v>6.4.1.2</x:v>
      </x:c>
      <x:c r="I163" s="5" t="str">
        <x:v>Investition und Finanzierung</x:v>
      </x:c>
      <x:c r="J163" s="5" t="n">
        <x:f>COUNTIF('Einzel-ID-Zuordnung'!$H$7:$H$2692,A163)</x:f>
        <x:v>1</x:v>
      </x:c>
      <x:c r="K163" s="5" t="str">
        <x:v>6.4.1.2</x:v>
      </x:c>
      <x:c r="L163" s="5" t="str">
        <x:v>IF-0091</x:v>
      </x:c>
      <x:c r="M163" s="5" t="str">
        <x:v>nein</x:v>
      </x:c>
    </x:row>
    <x:row r="164" ht="36" customHeight="1">
      <x:c r="A164" s="5" t="str">
        <x:v>dg-hq-0158</x:v>
      </x:c>
      <x:c r="B164" s="5" t="str">
        <x:v>HQ</x:v>
      </x:c>
      <x:c r="C164" s="5" t="str">
        <x:v>6</x:v>
      </x:c>
      <x:c r="D164" s="5" t="str">
        <x:v>Investition, Finanzierung, betriebliches Rechnungswesen und Controlling</x:v>
      </x:c>
      <x:c r="E164" s="5" t="str">
        <x:v>ui-hq-0018</x:v>
      </x:c>
      <x:c r="F164" s="5" t="str">
        <x:v>Finanzplanung und Ermittlung des Finanzbedarfs</x:v>
      </x:c>
      <x:c r="G164" s="5" t="str">
        <x:v>Mezzanines Kapital</x:v>
      </x:c>
      <x:c r="H164" s="5" t="str">
        <x:v>6.2.2.3</x:v>
      </x:c>
      <x:c r="I164" s="5" t="str">
        <x:v>Investition und Finanzierung</x:v>
      </x:c>
      <x:c r="J164" s="5" t="n">
        <x:f>COUNTIF('Einzel-ID-Zuordnung'!$H$7:$H$2692,A164)</x:f>
        <x:v>2</x:v>
      </x:c>
      <x:c r="K164" s="5" t="str">
        <x:v>6.2.2.3</x:v>
      </x:c>
      <x:c r="L164" s="5" t="str">
        <x:v>IF-0140; IF-0141</x:v>
      </x:c>
      <x:c r="M164" s="5" t="str">
        <x:v>nein</x:v>
      </x:c>
    </x:row>
    <x:row r="165" ht="36" customHeight="1">
      <x:c r="A165" s="5" t="str">
        <x:v>dg-hq-0159</x:v>
      </x:c>
      <x:c r="B165" s="5" t="str">
        <x:v>HQ</x:v>
      </x:c>
      <x:c r="C165" s="5" t="str">
        <x:v>6</x:v>
      </x:c>
      <x:c r="D165" s="5" t="str">
        <x:v>Investition, Finanzierung, betriebliches Rechnungswesen und Controlling</x:v>
      </x:c>
      <x:c r="E165" s="5" t="str">
        <x:v>ui-hq-0019</x:v>
      </x:c>
      <x:c r="F165" s="5" t="str">
        <x:v>Finanzierungsarten</x:v>
      </x:c>
      <x:c r="G165" s="5" t="str">
        <x:v>Kurzfristige Kredite</x:v>
      </x:c>
      <x:c r="H165" s="5" t="str">
        <x:v>6.3.4.2</x:v>
      </x:c>
      <x:c r="I165" s="5" t="str">
        <x:v>Investition und Finanzierung</x:v>
      </x:c>
      <x:c r="J165" s="5" t="n">
        <x:f>COUNTIF('Einzel-ID-Zuordnung'!$H$7:$H$2692,A165)</x:f>
        <x:v>1</x:v>
      </x:c>
      <x:c r="K165" s="5" t="str">
        <x:v>6.3.4.2</x:v>
      </x:c>
      <x:c r="L165" s="5" t="str">
        <x:v>IF-0146</x:v>
      </x:c>
      <x:c r="M165" s="5" t="str">
        <x:v>nein</x:v>
      </x:c>
    </x:row>
    <x:row r="166" ht="36" customHeight="1">
      <x:c r="A166" s="5" t="str">
        <x:v>dg-hq-0160</x:v>
      </x:c>
      <x:c r="B166" s="5" t="str">
        <x:v>HQ</x:v>
      </x:c>
      <x:c r="C166" s="5" t="str">
        <x:v>6</x:v>
      </x:c>
      <x:c r="D166" s="5" t="str">
        <x:v>Investition, Finanzierung, betriebliches Rechnungswesen und Controlling</x:v>
      </x:c>
      <x:c r="E166" s="5" t="str">
        <x:v>ui-hq-0019</x:v>
      </x:c>
      <x:c r="F166" s="5" t="str">
        <x:v>Finanzierungsarten</x:v>
      </x:c>
      <x:c r="G166" s="5" t="str">
        <x:v>Langfristige Kredite</x:v>
      </x:c>
      <x:c r="H166" s="5" t="str">
        <x:v>6.3.4.3</x:v>
      </x:c>
      <x:c r="I166" s="5" t="str">
        <x:v>Investition und Finanzierung</x:v>
      </x:c>
      <x:c r="J166" s="5" t="n">
        <x:f>COUNTIF('Einzel-ID-Zuordnung'!$H$7:$H$2692,A166)</x:f>
        <x:v>1</x:v>
      </x:c>
      <x:c r="K166" s="5" t="str">
        <x:v>6.3.4.3</x:v>
      </x:c>
      <x:c r="L166" s="5" t="str">
        <x:v>IF-0152</x:v>
      </x:c>
      <x:c r="M166" s="5" t="str">
        <x:v>nein</x:v>
      </x:c>
    </x:row>
    <x:row r="167" ht="36" customHeight="1">
      <x:c r="A167" s="5" t="str">
        <x:v>dg-hq-0161</x:v>
      </x:c>
      <x:c r="B167" s="5" t="str">
        <x:v>HQ</x:v>
      </x:c>
      <x:c r="C167" s="5" t="str">
        <x:v>6</x:v>
      </x:c>
      <x:c r="D167" s="5" t="str">
        <x:v>Investition, Finanzierung, betriebliches Rechnungswesen und Controlling</x:v>
      </x:c>
      <x:c r="E167" s="5" t="str">
        <x:v>ui-hq-0018</x:v>
      </x:c>
      <x:c r="F167" s="5" t="str">
        <x:v>Finanzplanung und Ermittlung des Finanzbedarfs</x:v>
      </x:c>
      <x:c r="G167" s="5" t="str">
        <x:v>Förderprogramme</x:v>
      </x:c>
      <x:c r="H167" s="5" t="str">
        <x:v>6.2.2.1#1</x:v>
      </x:c>
      <x:c r="I167" s="5" t="str">
        <x:v>Investition und Finanzierung</x:v>
      </x:c>
      <x:c r="J167" s="5" t="n">
        <x:f>COUNTIF('Einzel-ID-Zuordnung'!$H$7:$H$2692,A167)</x:f>
        <x:v>1</x:v>
      </x:c>
      <x:c r="K167" s="5" t="str">
        <x:v>6.2.2.1#1</x:v>
      </x:c>
      <x:c r="L167" s="5" t="str">
        <x:v>IF-0154</x:v>
      </x:c>
      <x:c r="M167" s="5" t="str">
        <x:v>nein</x:v>
      </x:c>
    </x:row>
    <x:row r="168" ht="36" customHeight="1">
      <x:c r="A168" s="5" t="str">
        <x:v>tr-wq-r01</x:v>
      </x:c>
      <x:c r="B168" s="5" t="str">
        <x:v>WQ</x:v>
      </x:c>
      <x:c r="C168" s="5" t="str">
        <x:v>3</x:v>
      </x:c>
      <x:c r="D168" s="5" t="str">
        <x:v>Recht und Steuern</x:v>
      </x:c>
      <x:c r="E168" s="5" t="str">
        <x:v>ui-wq-recht-at</x:v>
      </x:c>
      <x:c r="F168" s="5" t="str">
        <x:v>BGB Allgemeiner Teil</x:v>
      </x:c>
      <x:c r="G168" s="5" t="str">
        <x:v>BGB: Personen, Rechtsgeschäfte und Vertretung</x:v>
      </x:c>
      <x:c r="H168" s="5" t="str">
        <x:v>3.1.1</x:v>
      </x:c>
      <x:c r="I168" s="5" t="str">
        <x:v>Recht</x:v>
      </x:c>
      <x:c r="J168" s="5" t="n">
        <x:f>COUNTIF('Einzel-ID-Zuordnung'!$H$7:$H$2692,A168)</x:f>
        <x:v>84</x:v>
      </x:c>
      <x:c r="K168" s="5" t="str">
        <x:v>3.1.1</x:v>
      </x:c>
      <x:c r="L168" s="5" t="str">
        <x:v>R-0050; R-0051; R-0052; R-0053; R-0054; R-0055; R-0056; R-0057; R-0058; R-0059; R-0060; R-0061; R-0062; R-0063; R-0064; R-0065; R-0066; R-0067; R-0068; R-0069; R-0083; R-0084; R-0085; R-0086; R-0087; R-0089; R-0090; R-0091; R-0092; R-0093; R-0094; R-0095; R-0096; R-0098; R-0099; R-0100; R-0101; R-0105; R-0106; R-0107; R-0108; R-0109; R-0110; R-0111; R-0112; R-0113; R-0114; R-0115; R-0116; R-0117; R-0118; R-0171; R-0172; R-0173; R-0174; R-0175; R-0176; R-0177; R-0178; R-0179; R-0180; R-0181; R-0182; R-0183; R-0184; R-0185; R-0190; R-0191; R-0192; R-0193; R-0194; R-0195; R-0201; R-0202; R-0203; R-0204; R-0205; R-0206; R-0207; R-0208; R-0209; R-0515; R-0516; R-0567</x:v>
      </x:c>
      <x:c r="M168" s="5" t="str">
        <x:v>nein</x:v>
      </x:c>
    </x:row>
    <x:row r="169" ht="36" customHeight="1">
      <x:c r="A169" s="5" t="str">
        <x:v>tr-wq-r02</x:v>
      </x:c>
      <x:c r="B169" s="5" t="str">
        <x:v>WQ</x:v>
      </x:c>
      <x:c r="C169" s="5" t="str">
        <x:v>3</x:v>
      </x:c>
      <x:c r="D169" s="5" t="str">
        <x:v>Recht und Steuern</x:v>
      </x:c>
      <x:c r="E169" s="5" t="str">
        <x:v>ui-wq-recht-schuld</x:v>
      </x:c>
      <x:c r="F169" s="5" t="str">
        <x:v>BGB Schuldrecht</x:v>
      </x:c>
      <x:c r="G169" s="5" t="str">
        <x:v>Schuldverhältnisse, AGB, Fristen und Gerichte</x:v>
      </x:c>
      <x:c r="H169" s="5" t="str">
        <x:v>3.1.2.1</x:v>
      </x:c>
      <x:c r="I169" s="5" t="str">
        <x:v>Recht</x:v>
      </x:c>
      <x:c r="J169" s="5" t="n">
        <x:f>COUNTIF('Einzel-ID-Zuordnung'!$H$7:$H$2692,A169)</x:f>
        <x:v>31</x:v>
      </x:c>
      <x:c r="K169" s="5" t="str">
        <x:v>3.1.2.1</x:v>
      </x:c>
      <x:c r="L169" s="5" t="str">
        <x:v>R-0102; R-0103; R-0104; R-0186; R-0187; R-0188; R-0189; R-0196; R-0197; R-0198; R-0199; R-0200; R-0210; R-0211; R-0212; R-0213; R-0214; R-0215; R-0216; R-0217; R-0218; R-0219; R-0517; R-0518; R-0569; R-0570; R-0571; R-0572; R-0573; R-0574; R-0575</x:v>
      </x:c>
      <x:c r="M169" s="5" t="str">
        <x:v>nein</x:v>
      </x:c>
    </x:row>
    <x:row r="170" ht="36" customHeight="1">
      <x:c r="A170" s="5" t="str">
        <x:v>tr-wq-r03</x:v>
      </x:c>
      <x:c r="B170" s="5" t="str">
        <x:v>WQ</x:v>
      </x:c>
      <x:c r="C170" s="5" t="str">
        <x:v>3</x:v>
      </x:c>
      <x:c r="D170" s="5" t="str">
        <x:v>Recht und Steuern</x:v>
      </x:c>
      <x:c r="E170" s="5" t="str">
        <x:v>ui-wq-recht-schuld</x:v>
      </x:c>
      <x:c r="F170" s="5" t="str">
        <x:v>BGB Schuldrecht</x:v>
      </x:c>
      <x:c r="G170" s="5" t="str">
        <x:v>Haftung für fehlerhafte Produkte</x:v>
      </x:c>
      <x:c r="H170" s="5" t="str">
        <x:v>3.1.2.2</x:v>
      </x:c>
      <x:c r="I170" s="5" t="str">
        <x:v>Recht</x:v>
      </x:c>
      <x:c r="J170" s="5" t="n">
        <x:f>COUNTIF('Einzel-ID-Zuordnung'!$H$7:$H$2692,A170)</x:f>
        <x:v>3</x:v>
      </x:c>
      <x:c r="K170" s="5" t="str">
        <x:v>3.1.2.2</x:v>
      </x:c>
      <x:c r="L170" s="5" t="str">
        <x:v>R-0220; R-0221; R-0222</x:v>
      </x:c>
      <x:c r="M170" s="5" t="str">
        <x:v>nein</x:v>
      </x:c>
    </x:row>
    <x:row r="171" ht="36" customHeight="1">
      <x:c r="A171" s="5" t="str">
        <x:v>tr-wq-r04</x:v>
      </x:c>
      <x:c r="B171" s="5" t="str">
        <x:v>WQ</x:v>
      </x:c>
      <x:c r="C171" s="5" t="str">
        <x:v>3</x:v>
      </x:c>
      <x:c r="D171" s="5" t="str">
        <x:v>Recht und Steuern</x:v>
      </x:c>
      <x:c r="E171" s="5" t="str">
        <x:v>ui-wq-recht-schuld</x:v>
      </x:c>
      <x:c r="F171" s="5" t="str">
        <x:v>BGB Schuldrecht</x:v>
      </x:c>
      <x:c r="G171" s="5" t="str">
        <x:v>Warenkauf und Rechte bei Mängeln</x:v>
      </x:c>
      <x:c r="H171" s="5" t="str">
        <x:v>3.1.2.3</x:v>
      </x:c>
      <x:c r="I171" s="5" t="str">
        <x:v>Recht</x:v>
      </x:c>
      <x:c r="J171" s="5" t="n">
        <x:f>COUNTIF('Einzel-ID-Zuordnung'!$H$7:$H$2692,A171)</x:f>
        <x:v>54</x:v>
      </x:c>
      <x:c r="K171" s="5" t="str">
        <x:v>3.1.2.3</x:v>
      </x:c>
      <x:c r="L171" s="5" t="str">
        <x:v>R-0001; R-0002; R-0003; R-0004; R-0005; R-0006; R-0007; R-0008; R-0009; R-0010; R-0011; R-0012; R-0013; R-0014; R-0015; R-0016; R-0017; R-0018; R-0019; R-0020; R-0129; R-0130; R-0131; R-0132; R-0133; R-0134; R-0135; R-0136; R-0137; R-0138; R-0139; R-0140; R-0141; R-0223; R-0224; R-0225; R-0226; R-0227; R-0228; R-0229; R-0230; R-0231; R-0232; R-0233; R-0234; R-0235; R-0236; R-0240; R-0241; R-0242; R-0243; R-0244; R-0245; R-0380</x:v>
      </x:c>
      <x:c r="M171" s="5" t="str">
        <x:v>nein</x:v>
      </x:c>
    </x:row>
    <x:row r="172" ht="36" customHeight="1">
      <x:c r="A172" s="5" t="str">
        <x:v>tr-wq-r05</x:v>
      </x:c>
      <x:c r="B172" s="5" t="str">
        <x:v>WQ</x:v>
      </x:c>
      <x:c r="C172" s="5" t="str">
        <x:v>3</x:v>
      </x:c>
      <x:c r="D172" s="5" t="str">
        <x:v>Recht und Steuern</x:v>
      </x:c>
      <x:c r="E172" s="5" t="str">
        <x:v>ui-wq-recht-schuld</x:v>
      </x:c>
      <x:c r="F172" s="5" t="str">
        <x:v>BGB Schuldrecht</x:v>
      </x:c>
      <x:c r="G172" s="5" t="str">
        <x:v>Miete, Darlehen, Dienstleistung, Werk und Leasing</x:v>
      </x:c>
      <x:c r="H172" s="5" t="str">
        <x:v>3.1.2.4</x:v>
      </x:c>
      <x:c r="I172" s="5" t="str">
        <x:v>Recht</x:v>
      </x:c>
      <x:c r="J172" s="5" t="n">
        <x:f>COUNTIF('Einzel-ID-Zuordnung'!$H$7:$H$2692,A172)</x:f>
        <x:v>33</x:v>
      </x:c>
      <x:c r="K172" s="5" t="str">
        <x:v>3.1.2.4</x:v>
      </x:c>
      <x:c r="L172" s="5" t="str">
        <x:v>R-0142; R-0143; R-0145; R-0146; R-0147; R-0148; R-0149; R-0150; R-0246; R-0247; R-0248; R-0249; R-0250; R-0251; R-0252; R-0253; R-0254; R-0255; R-0256; R-0257; R-0258; R-0259; R-0260; R-0261; R-0262; R-0263; R-0264; R-0265; R-0266; R-0267; R-0268; R-0519; R-0520</x:v>
      </x:c>
      <x:c r="M172" s="5" t="str">
        <x:v>nein</x:v>
      </x:c>
    </x:row>
    <x:row r="173" ht="36" customHeight="1">
      <x:c r="A173" s="5" t="str">
        <x:v>tr-wq-r06</x:v>
      </x:c>
      <x:c r="B173" s="5" t="str">
        <x:v>WQ</x:v>
      </x:c>
      <x:c r="C173" s="5" t="str">
        <x:v>3</x:v>
      </x:c>
      <x:c r="D173" s="5" t="str">
        <x:v>Recht und Steuern</x:v>
      </x:c>
      <x:c r="E173" s="5" t="str">
        <x:v>ui-wq-recht-schuld</x:v>
      </x:c>
      <x:c r="F173" s="5" t="str">
        <x:v>BGB Schuldrecht</x:v>
      </x:c>
      <x:c r="G173" s="5" t="str">
        <x:v>Onlineverträge und Widerruf</x:v>
      </x:c>
      <x:c r="H173" s="5" t="str">
        <x:v>3.1.2.5</x:v>
      </x:c>
      <x:c r="I173" s="5" t="str">
        <x:v>Recht</x:v>
      </x:c>
      <x:c r="J173" s="5" t="n">
        <x:f>COUNTIF('Einzel-ID-Zuordnung'!$H$7:$H$2692,A173)</x:f>
        <x:v>6</x:v>
      </x:c>
      <x:c r="K173" s="5" t="str">
        <x:v>3.1.2.5</x:v>
      </x:c>
      <x:c r="L173" s="5" t="str">
        <x:v>R-0088; R-0269; R-0270; R-0271; R-0272; R-0273</x:v>
      </x:c>
      <x:c r="M173" s="5" t="str">
        <x:v>nein</x:v>
      </x:c>
    </x:row>
    <x:row r="174" ht="36" customHeight="1">
      <x:c r="A174" s="5" t="str">
        <x:v>tr-wq-r07</x:v>
      </x:c>
      <x:c r="B174" s="5" t="str">
        <x:v>WQ</x:v>
      </x:c>
      <x:c r="C174" s="5" t="str">
        <x:v>3</x:v>
      </x:c>
      <x:c r="D174" s="5" t="str">
        <x:v>Recht und Steuern</x:v>
      </x:c>
      <x:c r="E174" s="5" t="str">
        <x:v>ui-wq-recht-schuld</x:v>
      </x:c>
      <x:c r="F174" s="5" t="str">
        <x:v>BGB Schuldrecht</x:v>
      </x:c>
      <x:c r="G174" s="5" t="str">
        <x:v>Leistung, Verzug und Schadensersatz</x:v>
      </x:c>
      <x:c r="H174" s="5" t="str">
        <x:v>3.1.2.5</x:v>
      </x:c>
      <x:c r="I174" s="5" t="str">
        <x:v>Recht</x:v>
      </x:c>
      <x:c r="J174" s="5" t="n">
        <x:f>COUNTIF('Einzel-ID-Zuordnung'!$H$7:$H$2692,A174)</x:f>
        <x:v>47</x:v>
      </x:c>
      <x:c r="K174" s="5" t="str">
        <x:v>3.1.2.5</x:v>
      </x:c>
      <x:c r="L174" s="5" t="str">
        <x:v>R-0119; R-0120; R-0121; R-0122; R-0123; R-0124; R-0125; R-0126; R-0127; R-0128; R-0274; R-0275; R-0276; R-0277; R-0278; R-0279; R-0280; R-0281; R-0282; R-0283; R-0284; R-0285; R-0286; R-0287; R-0288; R-0289; R-0290; R-0291; R-0292; R-0293; R-0294; R-0295; R-0296; R-0297; R-0298; R-0299; R-0300; R-0301; R-0302; R-0303; R-0304; R-0305; R-0306; R-0307; R-0308; R-0514; R-0568</x:v>
      </x:c>
      <x:c r="M174" s="5" t="str">
        <x:v>nein</x:v>
      </x:c>
    </x:row>
    <x:row r="175" ht="36" customHeight="1">
      <x:c r="A175" s="5" t="str">
        <x:v>tr-wq-r08</x:v>
      </x:c>
      <x:c r="B175" s="5" t="str">
        <x:v>WQ</x:v>
      </x:c>
      <x:c r="C175" s="5" t="str">
        <x:v>3</x:v>
      </x:c>
      <x:c r="D175" s="5" t="str">
        <x:v>Recht und Steuern</x:v>
      </x:c>
      <x:c r="E175" s="5" t="str">
        <x:v>ui-wq-recht-sachen</x:v>
      </x:c>
      <x:c r="F175" s="5" t="str">
        <x:v>BGB Sachenrecht</x:v>
      </x:c>
      <x:c r="G175" s="5" t="str">
        <x:v>Besitz und Eigentumsübertragung</x:v>
      </x:c>
      <x:c r="H175" s="5" t="str">
        <x:v>3.1.3.1</x:v>
      </x:c>
      <x:c r="I175" s="5" t="str">
        <x:v>Recht</x:v>
      </x:c>
      <x:c r="J175" s="5" t="n">
        <x:f>COUNTIF('Einzel-ID-Zuordnung'!$H$7:$H$2692,A175)</x:f>
        <x:v>25</x:v>
      </x:c>
      <x:c r="K175" s="5" t="str">
        <x:v>3.1.3.1</x:v>
      </x:c>
      <x:c r="L175" s="5" t="str">
        <x:v>R-0031; R-0032; R-0033; R-0034; R-0035; R-0036; R-0037; R-0038; R-0041; R-0042; R-0309; R-0310; R-0311; R-0312; R-0313; R-0315; R-0318; R-0319; R-0320; R-0322; R-0323; R-0324; R-0325; R-0326; R-0372</x:v>
      </x:c>
      <x:c r="M175" s="5" t="str">
        <x:v>nein</x:v>
      </x:c>
    </x:row>
    <x:row r="176" ht="36" customHeight="1">
      <x:c r="A176" s="5" t="str">
        <x:v>tr-wq-r09</x:v>
      </x:c>
      <x:c r="B176" s="5" t="str">
        <x:v>WQ</x:v>
      </x:c>
      <x:c r="C176" s="5" t="str">
        <x:v>3</x:v>
      </x:c>
      <x:c r="D176" s="5" t="str">
        <x:v>Recht und Steuern</x:v>
      </x:c>
      <x:c r="E176" s="5" t="str">
        <x:v>ui-wq-recht-sachen</x:v>
      </x:c>
      <x:c r="F176" s="5" t="str">
        <x:v>BGB Sachenrecht</x:v>
      </x:c>
      <x:c r="G176" s="5" t="str">
        <x:v>Sicherheiten für Forderungen</x:v>
      </x:c>
      <x:c r="H176" s="5" t="str">
        <x:v>3.1.3.2</x:v>
      </x:c>
      <x:c r="I176" s="5" t="str">
        <x:v>Recht</x:v>
      </x:c>
      <x:c r="J176" s="5" t="n">
        <x:f>COUNTIF('Einzel-ID-Zuordnung'!$H$7:$H$2692,A176)</x:f>
        <x:v>40</x:v>
      </x:c>
      <x:c r="K176" s="5" t="str">
        <x:v>3.1.3.2</x:v>
      </x:c>
      <x:c r="L176" s="5" t="str">
        <x:v>R-0039; R-0040; R-0097; R-0314; R-0316; R-0317; R-0321; R-0327; R-0328; R-0329; R-0330; R-0331; R-0332; R-0333; R-0334; R-0335; R-0336; R-0337; R-0338; R-0339; R-0340; R-0341; R-0342; R-0343; R-0344; R-0345; R-0346; R-0347; R-0348; R-0349; R-0350; R-0351; R-0352; R-0353; R-0354; R-0355; R-0356; R-0521; R-0522; R-0523</x:v>
      </x:c>
      <x:c r="M176" s="5" t="str">
        <x:v>nein</x:v>
      </x:c>
    </x:row>
    <x:row r="177" ht="36" customHeight="1">
      <x:c r="A177" s="5" t="str">
        <x:v>tr-wq-r10</x:v>
      </x:c>
      <x:c r="B177" s="5" t="str">
        <x:v>WQ</x:v>
      </x:c>
      <x:c r="C177" s="5" t="str">
        <x:v>3</x:v>
      </x:c>
      <x:c r="D177" s="5" t="str">
        <x:v>Recht und Steuern</x:v>
      </x:c>
      <x:c r="E177" s="5" t="str">
        <x:v>ui-wq-recht-sachen</x:v>
      </x:c>
      <x:c r="F177" s="5" t="str">
        <x:v>BGB Sachenrecht</x:v>
      </x:c>
      <x:c r="G177" s="5" t="str">
        <x:v>Insolvenz und Gläubigerrechte</x:v>
      </x:c>
      <x:c r="H177" s="5" t="str">
        <x:v>3.1.3.3</x:v>
      </x:c>
      <x:c r="I177" s="5" t="str">
        <x:v>Recht</x:v>
      </x:c>
      <x:c r="J177" s="5" t="n">
        <x:f>COUNTIF('Einzel-ID-Zuordnung'!$H$7:$H$2692,A177)</x:f>
        <x:v>19</x:v>
      </x:c>
      <x:c r="K177" s="5" t="str">
        <x:v>3.1.3.3</x:v>
      </x:c>
      <x:c r="L177" s="5" t="str">
        <x:v>R-0357; R-0358; R-0359; R-0360; R-0361; R-0362; R-0363; R-0364; R-0365; R-0366; R-0367; R-0368; R-0369; R-0370; R-0371; R-0524; R-0525; R-0526; R-0527</x:v>
      </x:c>
      <x:c r="M177" s="5" t="str">
        <x:v>nein</x:v>
      </x:c>
    </x:row>
    <x:row r="178" ht="36" customHeight="1">
      <x:c r="A178" s="5" t="str">
        <x:v>tr-wq-r11</x:v>
      </x:c>
      <x:c r="B178" s="5" t="str">
        <x:v>WQ</x:v>
      </x:c>
      <x:c r="C178" s="5" t="str">
        <x:v>3</x:v>
      </x:c>
      <x:c r="D178" s="5" t="str">
        <x:v>Recht und Steuern</x:v>
      </x:c>
      <x:c r="E178" s="5" t="str">
        <x:v>ui-wq-recht-handel</x:v>
      </x:c>
      <x:c r="F178" s="5" t="str">
        <x:v>Handelsrecht</x:v>
      </x:c>
      <x:c r="G178" s="5" t="str">
        <x:v>Kaufleute und Firma</x:v>
      </x:c>
      <x:c r="H178" s="5" t="str">
        <x:v>3.1.4.1</x:v>
      </x:c>
      <x:c r="I178" s="5" t="str">
        <x:v>Recht</x:v>
      </x:c>
      <x:c r="J178" s="5" t="n">
        <x:f>COUNTIF('Einzel-ID-Zuordnung'!$H$7:$H$2692,A178)</x:f>
        <x:v>23</x:v>
      </x:c>
      <x:c r="K178" s="5" t="str">
        <x:v>3.1.4.1</x:v>
      </x:c>
      <x:c r="L178" s="5" t="str">
        <x:v>R-0070; R-0071; R-0072; R-0073; R-0074; R-0075; R-0076; R-0077; R-0151; R-0152; R-0161; R-0162; R-0163; R-0164; R-0165; R-0373; R-0374; R-0375; R-0376; R-0377; R-0378; R-0379; R-0528</x:v>
      </x:c>
      <x:c r="M178" s="5" t="str">
        <x:v>nein</x:v>
      </x:c>
    </x:row>
    <x:row r="179" ht="36" customHeight="1">
      <x:c r="A179" s="5" t="str">
        <x:v>tr-wq-r12</x:v>
      </x:c>
      <x:c r="B179" s="5" t="str">
        <x:v>WQ</x:v>
      </x:c>
      <x:c r="C179" s="5" t="str">
        <x:v>3</x:v>
      </x:c>
      <x:c r="D179" s="5" t="str">
        <x:v>Recht und Steuern</x:v>
      </x:c>
      <x:c r="E179" s="5" t="str">
        <x:v>ui-wq-recht-handel</x:v>
      </x:c>
      <x:c r="F179" s="5" t="str">
        <x:v>Handelsrecht</x:v>
      </x:c>
      <x:c r="G179" s="5" t="str">
        <x:v>Register und Publizität</x:v>
      </x:c>
      <x:c r="H179" s="5" t="str">
        <x:v>3.1.4.2</x:v>
      </x:c>
      <x:c r="I179" s="5" t="str">
        <x:v>Recht</x:v>
      </x:c>
      <x:c r="J179" s="5" t="n">
        <x:f>COUNTIF('Einzel-ID-Zuordnung'!$H$7:$H$2692,A179)</x:f>
        <x:v>17</x:v>
      </x:c>
      <x:c r="K179" s="5" t="str">
        <x:v>3.1.4.2</x:v>
      </x:c>
      <x:c r="L179" s="5" t="str">
        <x:v>R-0078; R-0079; R-0080; R-0081; R-0082; R-0153; R-0154; R-0155; R-0156; R-0392; R-0393; R-0394; R-0395; R-0396; R-0397; R-0398; R-0399</x:v>
      </x:c>
      <x:c r="M179" s="5" t="str">
        <x:v>nein</x:v>
      </x:c>
    </x:row>
    <x:row r="180" ht="36" customHeight="1">
      <x:c r="A180" s="5" t="str">
        <x:v>tr-wq-r13</x:v>
      </x:c>
      <x:c r="B180" s="5" t="str">
        <x:v>WQ</x:v>
      </x:c>
      <x:c r="C180" s="5" t="str">
        <x:v>3</x:v>
      </x:c>
      <x:c r="D180" s="5" t="str">
        <x:v>Recht und Steuern</x:v>
      </x:c>
      <x:c r="E180" s="5" t="str">
        <x:v>ui-wq-recht-handel</x:v>
      </x:c>
      <x:c r="F180" s="5" t="str">
        <x:v>Handelsrecht</x:v>
      </x:c>
      <x:c r="G180" s="5" t="str">
        <x:v>Handelsvertreter, Makler und Absatzpartner</x:v>
      </x:c>
      <x:c r="H180" s="5" t="str">
        <x:v>3.1.4.3</x:v>
      </x:c>
      <x:c r="I180" s="5" t="str">
        <x:v>Recht</x:v>
      </x:c>
      <x:c r="J180" s="5" t="n">
        <x:f>COUNTIF('Einzel-ID-Zuordnung'!$H$7:$H$2692,A180)</x:f>
        <x:v>13</x:v>
      </x:c>
      <x:c r="K180" s="5" t="str">
        <x:v>3.1.4.3</x:v>
      </x:c>
      <x:c r="L180" s="5" t="str">
        <x:v>R-0166; R-0167; R-0168; R-0169; R-0170; R-0400; R-0401; R-0402; R-0403; R-0404; R-0405; R-0406; R-0577</x:v>
      </x:c>
      <x:c r="M180" s="5" t="str">
        <x:v>nein</x:v>
      </x:c>
    </x:row>
    <x:row r="181" ht="36" customHeight="1">
      <x:c r="A181" s="5" t="str">
        <x:v>tr-wq-r14</x:v>
      </x:c>
      <x:c r="B181" s="5" t="str">
        <x:v>WQ</x:v>
      </x:c>
      <x:c r="C181" s="5" t="str">
        <x:v>3</x:v>
      </x:c>
      <x:c r="D181" s="5" t="str">
        <x:v>Recht und Steuern</x:v>
      </x:c>
      <x:c r="E181" s="5" t="str">
        <x:v>ui-wq-recht-handel</x:v>
      </x:c>
      <x:c r="F181" s="5" t="str">
        <x:v>Handelsrecht</x:v>
      </x:c>
      <x:c r="G181" s="5" t="str">
        <x:v>Prokura und kaufmännische Vollmachten</x:v>
      </x:c>
      <x:c r="H181" s="5" t="str">
        <x:v>3.1.4</x:v>
      </x:c>
      <x:c r="I181" s="5" t="str">
        <x:v>Recht</x:v>
      </x:c>
      <x:c r="J181" s="5" t="n">
        <x:f>COUNTIF('Einzel-ID-Zuordnung'!$H$7:$H$2692,A181)</x:f>
        <x:v>13</x:v>
      </x:c>
      <x:c r="K181" s="5" t="str">
        <x:v>3.1.4</x:v>
      </x:c>
      <x:c r="L181" s="5" t="str">
        <x:v>R-0157; R-0158; R-0159; R-0160; R-0386; R-0387; R-0388; R-0389; R-0390; R-0391; R-0529; R-0530; R-0531</x:v>
      </x:c>
      <x:c r="M181" s="5" t="str">
        <x:v>nein</x:v>
      </x:c>
    </x:row>
    <x:row r="182" ht="36" customHeight="1">
      <x:c r="A182" s="5" t="str">
        <x:v>tr-wq-r15</x:v>
      </x:c>
      <x:c r="B182" s="5" t="str">
        <x:v>WQ</x:v>
      </x:c>
      <x:c r="C182" s="5" t="str">
        <x:v>3</x:v>
      </x:c>
      <x:c r="D182" s="5" t="str">
        <x:v>Recht und Steuern</x:v>
      </x:c>
      <x:c r="E182" s="5" t="str">
        <x:v>ui-wq-recht-handel</x:v>
      </x:c>
      <x:c r="F182" s="5" t="str">
        <x:v>Handelsrecht</x:v>
      </x:c>
      <x:c r="G182" s="5" t="str">
        <x:v>Handelsgeschäfte und Lieferklauseln</x:v>
      </x:c>
      <x:c r="H182" s="5" t="str">
        <x:v>3.1.4</x:v>
      </x:c>
      <x:c r="I182" s="5" t="str">
        <x:v>Recht</x:v>
      </x:c>
      <x:c r="J182" s="5" t="n">
        <x:f>COUNTIF('Einzel-ID-Zuordnung'!$H$7:$H$2692,A182)</x:f>
        <x:v>9</x:v>
      </x:c>
      <x:c r="K182" s="5" t="str">
        <x:v>3.1.4</x:v>
      </x:c>
      <x:c r="L182" s="5" t="str">
        <x:v>R-0237; R-0238; R-0239; R-0381; R-0382; R-0383; R-0384; R-0385; R-0576</x:v>
      </x:c>
      <x:c r="M182" s="5" t="str">
        <x:v>nein</x:v>
      </x:c>
    </x:row>
    <x:row r="183" ht="36" customHeight="1">
      <x:c r="A183" s="5" t="str">
        <x:v>tr-wq-r16</x:v>
      </x:c>
      <x:c r="B183" s="5" t="str">
        <x:v>WQ</x:v>
      </x:c>
      <x:c r="C183" s="5" t="str">
        <x:v>3</x:v>
      </x:c>
      <x:c r="D183" s="5" t="str">
        <x:v>Recht und Steuern</x:v>
      </x:c>
      <x:c r="E183" s="5" t="str">
        <x:v>ui-wq-recht-arbeit</x:v>
      </x:c>
      <x:c r="F183" s="5" t="str">
        <x:v>Arbeitsrecht</x:v>
      </x:c>
      <x:c r="G183" s="5" t="str">
        <x:v>Arbeitsvertrag, Entgelt &amp; Kündigung</x:v>
      </x:c>
      <x:c r="H183" s="5" t="str">
        <x:v>3.1.5.1</x:v>
      </x:c>
      <x:c r="I183" s="5" t="str">
        <x:v>Recht</x:v>
      </x:c>
      <x:c r="J183" s="5" t="n">
        <x:f>COUNTIF('Einzel-ID-Zuordnung'!$H$7:$H$2692,A183)</x:f>
        <x:v>79</x:v>
      </x:c>
      <x:c r="K183" s="5" t="str">
        <x:v>3.1.5.1</x:v>
      </x:c>
      <x:c r="L183" s="5" t="str">
        <x:v>R-0021; R-0022; R-0023; R-0024; R-0025; R-0028; R-0029; R-0144; R-0410; R-0411; R-0412; R-0413; R-0414; R-0415; R-0416; R-0417; R-0418; R-0419; R-0420; R-0421; R-0422; R-0423; R-0424; R-0425; R-0426; R-0427; R-0428; R-0429; R-0430; R-0431; R-0432; R-0433; R-0434; R-0435; R-0436; R-0437; R-0438; R-0439; R-0440; R-0441; R-0442; R-0445; R-0448; R-0449; R-0450; R-0451; R-0452; R-0453; R-0454; R-0455; R-0456; R-0457; R-0458; R-0459; R-0460; R-0461; R-0462; R-0463; R-0464; R-0465; R-0466; R-0467; R-0468; R-0469; R-0470; R-0471; R-0472; R-0473; R-0474; R-0475; R-0476; R-0477; R-0478; R-0479; R-0480; R-0481; R-0482; R-0483; R-0484</x:v>
      </x:c>
      <x:c r="M183" s="5" t="str">
        <x:v>nein</x:v>
      </x:c>
    </x:row>
    <x:row r="184" ht="36" customHeight="1">
      <x:c r="A184" s="5" t="str">
        <x:v>tr-wq-r17</x:v>
      </x:c>
      <x:c r="B184" s="5" t="str">
        <x:v>WQ</x:v>
      </x:c>
      <x:c r="C184" s="5" t="str">
        <x:v>3</x:v>
      </x:c>
      <x:c r="D184" s="5" t="str">
        <x:v>Recht und Steuern</x:v>
      </x:c>
      <x:c r="E184" s="5" t="str">
        <x:v>ui-wq-recht-arbeit</x:v>
      </x:c>
      <x:c r="F184" s="5" t="str">
        <x:v>Arbeitsrecht</x:v>
      </x:c>
      <x:c r="G184" s="5" t="str">
        <x:v>Betriebsrat und Beteiligung</x:v>
      </x:c>
      <x:c r="H184" s="5" t="str">
        <x:v>3.1.5.2</x:v>
      </x:c>
      <x:c r="I184" s="5" t="str">
        <x:v>Recht</x:v>
      </x:c>
      <x:c r="J184" s="5" t="n">
        <x:f>COUNTIF('Einzel-ID-Zuordnung'!$H$7:$H$2692,A184)</x:f>
        <x:v>11</x:v>
      </x:c>
      <x:c r="K184" s="5" t="str">
        <x:v>3.1.5.2</x:v>
      </x:c>
      <x:c r="L184" s="5" t="str">
        <x:v>R-0485; R-0486; R-0487; R-0488; R-0489; R-0490; R-0491; R-0492; R-0493; R-0494; R-0495</x:v>
      </x:c>
      <x:c r="M184" s="5" t="str">
        <x:v>nein</x:v>
      </x:c>
    </x:row>
    <x:row r="185" ht="36" customHeight="1">
      <x:c r="A185" s="5" t="str">
        <x:v>tr-wq-r18</x:v>
      </x:c>
      <x:c r="B185" s="5" t="str">
        <x:v>WQ</x:v>
      </x:c>
      <x:c r="C185" s="5" t="str">
        <x:v>3</x:v>
      </x:c>
      <x:c r="D185" s="5" t="str">
        <x:v>Recht und Steuern</x:v>
      </x:c>
      <x:c r="E185" s="5" t="str">
        <x:v>ui-wq-recht-arbeit</x:v>
      </x:c>
      <x:c r="F185" s="5" t="str">
        <x:v>Arbeitsrecht</x:v>
      </x:c>
      <x:c r="G185" s="5" t="str">
        <x:v>Schutzregeln im Arbeitsverhältnis</x:v>
      </x:c>
      <x:c r="H185" s="5" t="str">
        <x:v>3.1.5.3</x:v>
      </x:c>
      <x:c r="I185" s="5" t="str">
        <x:v>Recht</x:v>
      </x:c>
      <x:c r="J185" s="5" t="n">
        <x:f>COUNTIF('Einzel-ID-Zuordnung'!$H$7:$H$2692,A185)</x:f>
        <x:v>22</x:v>
      </x:c>
      <x:c r="K185" s="5" t="str">
        <x:v>3.1.5.3</x:v>
      </x:c>
      <x:c r="L185" s="5" t="str">
        <x:v>R-0026; R-0030; R-0409; R-0496; R-0497; R-0498; R-0499; R-0500; R-0501; R-0532; R-0533; R-0534; R-0535; R-0536; R-0537; R-0538; R-0539; R-0540; R-0541; R-0542; R-0543; R-0544</x:v>
      </x:c>
      <x:c r="M185" s="5" t="str">
        <x:v>nein</x:v>
      </x:c>
    </x:row>
    <x:row r="186" ht="36" customHeight="1">
      <x:c r="A186" s="5" t="str">
        <x:v>tr-wq-r19</x:v>
      </x:c>
      <x:c r="B186" s="5" t="str">
        <x:v>WQ</x:v>
      </x:c>
      <x:c r="C186" s="5" t="str">
        <x:v>3</x:v>
      </x:c>
      <x:c r="D186" s="5" t="str">
        <x:v>Recht und Steuern</x:v>
      </x:c>
      <x:c r="E186" s="5" t="str">
        <x:v>ui-wq-recht-arbeit</x:v>
      </x:c>
      <x:c r="F186" s="5" t="str">
        <x:v>Arbeitsrecht</x:v>
      </x:c>
      <x:c r="G186" s="5" t="str">
        <x:v>Tarifverträge und arbeitsrechtliche Normen</x:v>
      </x:c>
      <x:c r="H186" s="5" t="str">
        <x:v>3.1.5</x:v>
      </x:c>
      <x:c r="I186" s="5" t="str">
        <x:v>Recht</x:v>
      </x:c>
      <x:c r="J186" s="5" t="n">
        <x:f>COUNTIF('Einzel-ID-Zuordnung'!$H$7:$H$2692,A186)</x:f>
        <x:v>4</x:v>
      </x:c>
      <x:c r="K186" s="5" t="str">
        <x:v>3.1.5</x:v>
      </x:c>
      <x:c r="L186" s="5" t="str">
        <x:v>R-0027; R-0407; R-0408; R-0578</x:v>
      </x:c>
      <x:c r="M186" s="5" t="str">
        <x:v>nein</x:v>
      </x:c>
    </x:row>
    <x:row r="187" ht="36" customHeight="1">
      <x:c r="A187" s="5" t="str">
        <x:v>tr-wq-r20</x:v>
      </x:c>
      <x:c r="B187" s="5" t="str">
        <x:v>WQ</x:v>
      </x:c>
      <x:c r="C187" s="5" t="str">
        <x:v>3</x:v>
      </x:c>
      <x:c r="D187" s="5" t="str">
        <x:v>Recht und Steuern</x:v>
      </x:c>
      <x:c r="E187" s="5" t="str">
        <x:v>ui-wq-recht-wettbewerb</x:v>
      </x:c>
      <x:c r="F187" s="5" t="str">
        <x:v>Wettbewerbsrecht</x:v>
      </x:c>
      <x:c r="G187" s="5" t="str">
        <x:v>Wettbewerbsrecht</x:v>
      </x:c>
      <x:c r="H187" s="5" t="str">
        <x:v>3.1.6</x:v>
      </x:c>
      <x:c r="I187" s="5" t="str">
        <x:v>Recht</x:v>
      </x:c>
      <x:c r="J187" s="5" t="n">
        <x:f>COUNTIF('Einzel-ID-Zuordnung'!$H$7:$H$2692,A187)</x:f>
        <x:v>17</x:v>
      </x:c>
      <x:c r="K187" s="5" t="str">
        <x:v>3.1.6</x:v>
      </x:c>
      <x:c r="L187" s="5" t="str">
        <x:v>R-0502; R-0503; R-0504; R-0505; R-0506; R-0507; R-0545; R-0546; R-0547; R-0548; R-0549; R-0550; R-0551; R-0552; R-0553; R-0554; R-0555</x:v>
      </x:c>
      <x:c r="M187" s="5" t="str">
        <x:v>nein</x:v>
      </x:c>
    </x:row>
    <x:row r="188" ht="36" customHeight="1">
      <x:c r="A188" s="5" t="str">
        <x:v>tr-wq-r21</x:v>
      </x:c>
      <x:c r="B188" s="5" t="str">
        <x:v>WQ</x:v>
      </x:c>
      <x:c r="C188" s="5" t="str">
        <x:v>3</x:v>
      </x:c>
      <x:c r="D188" s="5" t="str">
        <x:v>Recht und Steuern</x:v>
      </x:c>
      <x:c r="E188" s="5" t="str">
        <x:v>ui-wq-recht-gewerbe</x:v>
      </x:c>
      <x:c r="F188" s="5" t="str">
        <x:v>Gewerberecht</x:v>
      </x:c>
      <x:c r="G188" s="5" t="str">
        <x:v>Gewerberecht</x:v>
      </x:c>
      <x:c r="H188" s="5" t="str">
        <x:v>3.1.7</x:v>
      </x:c>
      <x:c r="I188" s="5" t="str">
        <x:v>Recht</x:v>
      </x:c>
      <x:c r="J188" s="5" t="n">
        <x:f>COUNTIF('Einzel-ID-Zuordnung'!$H$7:$H$2692,A188)</x:f>
        <x:v>16</x:v>
      </x:c>
      <x:c r="K188" s="5" t="str">
        <x:v>3.1.7</x:v>
      </x:c>
      <x:c r="L188" s="5" t="str">
        <x:v>R-0508; R-0509; R-0510; R-0511; R-0512; R-0513; R-0556; R-0557; R-0558; R-0559; R-0560; R-0561; R-0562; R-0563; R-0564; R-0565</x:v>
      </x:c>
      <x:c r="M188" s="5" t="str">
        <x:v>nein</x:v>
      </x:c>
    </x:row>
    <x:row r="189" ht="36" customHeight="1">
      <x:c r="A189" s="5" t="str">
        <x:v>tr-wq-r22</x:v>
      </x:c>
      <x:c r="B189" s="5" t="str">
        <x:v>WQ</x:v>
      </x:c>
      <x:c r="C189" s="5" t="str">
        <x:v>3</x:v>
      </x:c>
      <x:c r="D189" s="5" t="str">
        <x:v>Recht und Steuern</x:v>
      </x:c>
      <x:c r="E189" s="5" t="str">
        <x:v>ui-wq-recht-at</x:v>
      </x:c>
      <x:c r="F189" s="5" t="str">
        <x:v>BGB Allgemeiner Teil</x:v>
      </x:c>
      <x:c r="G189" s="5" t="str">
        <x:v>Rechtliche Grundlagen &amp; Methoden</x:v>
      </x:c>
      <x:c r="H189" s="5" t="str">
        <x:v>3.1</x:v>
      </x:c>
      <x:c r="I189" s="5" t="str">
        <x:v>Recht</x:v>
      </x:c>
      <x:c r="J189" s="5" t="n">
        <x:f>COUNTIF('Einzel-ID-Zuordnung'!$H$7:$H$2692,A189)</x:f>
        <x:v>1</x:v>
      </x:c>
      <x:c r="K189" s="5" t="str">
        <x:v>3.1</x:v>
      </x:c>
      <x:c r="L189" s="5" t="str">
        <x:v>R-0566</x:v>
      </x:c>
      <x:c r="M189" s="5" t="str">
        <x:v>nein</x:v>
      </x:c>
    </x:row>
    <x:row r="190" ht="36" customHeight="1">
      <x:c r="A190" s="5" t="str">
        <x:v>tr-wq-s01</x:v>
      </x:c>
      <x:c r="B190" s="5" t="str">
        <x:v>WQ</x:v>
      </x:c>
      <x:c r="C190" s="5" t="str">
        <x:v>3</x:v>
      </x:c>
      <x:c r="D190" s="5" t="str">
        <x:v>Recht und Steuern</x:v>
      </x:c>
      <x:c r="E190" s="5" t="str">
        <x:v>ui-wq-steuern-grundlagen</x:v>
      </x:c>
      <x:c r="F190" s="5" t="str">
        <x:v>Grundbegriffe des Steuerrechts</x:v>
      </x:c>
      <x:c r="G190" s="5" t="str">
        <x:v>Steuerliche Grundlagen &amp; Systematik</x:v>
      </x:c>
      <x:c r="H190" s="5" t="str">
        <x:v>3.2.1</x:v>
      </x:c>
      <x:c r="I190" s="5" t="str">
        <x:v>Steuern</x:v>
      </x:c>
      <x:c r="J190" s="5" t="n">
        <x:f>COUNTIF('Einzel-ID-Zuordnung'!$H$7:$H$2692,A190)</x:f>
        <x:v>12</x:v>
      </x:c>
      <x:c r="K190" s="5" t="str">
        <x:v>3.2.1</x:v>
      </x:c>
      <x:c r="L190" s="5" t="str">
        <x:v>ST-0016; ST-0017; ST-0018; ST-0019; ST-0020; ST-0022; ST-0023; ST-0201; ST-0202; ST-0203; ST-0223; ST-0224</x:v>
      </x:c>
      <x:c r="M190" s="5" t="str">
        <x:v>nein</x:v>
      </x:c>
    </x:row>
    <x:row r="191" ht="36" customHeight="1">
      <x:c r="A191" s="5" t="str">
        <x:v>tr-wq-s02</x:v>
      </x:c>
      <x:c r="B191" s="5" t="str">
        <x:v>WQ</x:v>
      </x:c>
      <x:c r="C191" s="5" t="str">
        <x:v>3</x:v>
      </x:c>
      <x:c r="D191" s="5" t="str">
        <x:v>Recht und Steuern</x:v>
      </x:c>
      <x:c r="E191" s="5" t="str">
        <x:v>ui-wq-steuern-unternehmen</x:v>
      </x:c>
      <x:c r="F191" s="5" t="str">
        <x:v>Unternehmensbezogene Steuern</x:v>
      </x:c>
      <x:c r="G191" s="5" t="str">
        <x:v>Einkommensteuer – Einkunftsarten &amp; Gewinnermittlung</x:v>
      </x:c>
      <x:c r="H191" s="5" t="str">
        <x:v>3.2.2.1</x:v>
      </x:c>
      <x:c r="I191" s="5" t="str">
        <x:v>Steuern</x:v>
      </x:c>
      <x:c r="J191" s="5" t="n">
        <x:f>COUNTIF('Einzel-ID-Zuordnung'!$H$7:$H$2692,A191)</x:f>
        <x:v>30</x:v>
      </x:c>
      <x:c r="K191" s="5" t="str">
        <x:v>3.2.2.1</x:v>
      </x:c>
      <x:c r="L191" s="5" t="str">
        <x:v>ST-0014; ST-0021; ST-0024; ST-0025; ST-0026; ST-0027; ST-0029; ST-0030; ST-0031; ST-0032; ST-0033; ST-0034; ST-0035; ST-0036; ST-0037; ST-0040; ST-0058; ST-0063; ST-0065; ST-0080; ST-0081; ST-0082; ST-0083; ST-0084; ST-0085; ST-0086; ST-0087; ST-0105; ST-0198; ST-0225</x:v>
      </x:c>
      <x:c r="M191" s="5" t="str">
        <x:v>nein</x:v>
      </x:c>
    </x:row>
    <x:row r="192" ht="36" customHeight="1">
      <x:c r="A192" s="5" t="str">
        <x:v>tr-wq-s03</x:v>
      </x:c>
      <x:c r="B192" s="5" t="str">
        <x:v>WQ</x:v>
      </x:c>
      <x:c r="C192" s="5" t="str">
        <x:v>3</x:v>
      </x:c>
      <x:c r="D192" s="5" t="str">
        <x:v>Recht und Steuern</x:v>
      </x:c>
      <x:c r="E192" s="5" t="str">
        <x:v>ui-wq-steuern-unternehmen</x:v>
      </x:c>
      <x:c r="F192" s="5" t="str">
        <x:v>Unternehmensbezogene Steuern</x:v>
      </x:c>
      <x:c r="G192" s="5" t="str">
        <x:v>Einkommensteuer – Abzüge, Tarif &amp; Veranlagung</x:v>
      </x:c>
      <x:c r="H192" s="5" t="str">
        <x:v>3.2.2.1</x:v>
      </x:c>
      <x:c r="I192" s="5" t="str">
        <x:v>Steuern</x:v>
      </x:c>
      <x:c r="J192" s="5" t="n">
        <x:f>COUNTIF('Einzel-ID-Zuordnung'!$H$7:$H$2692,A192)</x:f>
        <x:v>23</x:v>
      </x:c>
      <x:c r="K192" s="5" t="str">
        <x:v>3.2.2.1</x:v>
      </x:c>
      <x:c r="L192" s="5" t="str">
        <x:v>ST-0041; ST-0042; ST-0043; ST-0044; ST-0045; ST-0046; ST-0047; ST-0048; ST-0049; ST-0050; ST-0051; ST-0060; ST-0061; ST-0062; ST-0067; ST-0068; ST-0069; ST-0205; ST-0226; ST-0227; ST-0228; ST-0229; ST-0230</x:v>
      </x:c>
      <x:c r="M192" s="5" t="str">
        <x:v>nein</x:v>
      </x:c>
    </x:row>
    <x:row r="193" ht="36" customHeight="1">
      <x:c r="A193" s="5" t="str">
        <x:v>tr-wq-s04</x:v>
      </x:c>
      <x:c r="B193" s="5" t="str">
        <x:v>WQ</x:v>
      </x:c>
      <x:c r="C193" s="5" t="str">
        <x:v>3</x:v>
      </x:c>
      <x:c r="D193" s="5" t="str">
        <x:v>Recht und Steuern</x:v>
      </x:c>
      <x:c r="E193" s="5" t="str">
        <x:v>ui-wq-steuern-unternehmen</x:v>
      </x:c>
      <x:c r="F193" s="5" t="str">
        <x:v>Unternehmensbezogene Steuern</x:v>
      </x:c>
      <x:c r="G193" s="5" t="str">
        <x:v>Mitunternehmerschaft &amp; Personengesellschaften</x:v>
      </x:c>
      <x:c r="H193" s="5" t="str">
        <x:v>3.2.2.1</x:v>
      </x:c>
      <x:c r="I193" s="5" t="str">
        <x:v>Steuern</x:v>
      </x:c>
      <x:c r="J193" s="5" t="n">
        <x:f>COUNTIF('Einzel-ID-Zuordnung'!$H$7:$H$2692,A193)</x:f>
        <x:v>10</x:v>
      </x:c>
      <x:c r="K193" s="5" t="str">
        <x:v>3.2.2.1</x:v>
      </x:c>
      <x:c r="L193" s="5" t="str">
        <x:v>ST-0028; ST-0057; ST-0064; ST-0194; ST-0195; ST-0196; ST-0197; ST-0199; ST-0200; ST-0233</x:v>
      </x:c>
      <x:c r="M193" s="5" t="str">
        <x:v>nein</x:v>
      </x:c>
    </x:row>
    <x:row r="194" ht="36" customHeight="1">
      <x:c r="A194" s="5" t="str">
        <x:v>tr-wq-s05</x:v>
      </x:c>
      <x:c r="B194" s="5" t="str">
        <x:v>WQ</x:v>
      </x:c>
      <x:c r="C194" s="5" t="str">
        <x:v>3</x:v>
      </x:c>
      <x:c r="D194" s="5" t="str">
        <x:v>Recht und Steuern</x:v>
      </x:c>
      <x:c r="E194" s="5" t="str">
        <x:v>ui-wq-steuern-unternehmen</x:v>
      </x:c>
      <x:c r="F194" s="5" t="str">
        <x:v>Unternehmensbezogene Steuern</x:v>
      </x:c>
      <x:c r="G194" s="5" t="str">
        <x:v>Körperschaftsteuer und Beteiligungen</x:v>
      </x:c>
      <x:c r="H194" s="5" t="str">
        <x:v>3.2.2.2</x:v>
      </x:c>
      <x:c r="I194" s="5" t="str">
        <x:v>Steuern</x:v>
      </x:c>
      <x:c r="J194" s="5" t="n">
        <x:f>COUNTIF('Einzel-ID-Zuordnung'!$H$7:$H$2692,A194)</x:f>
        <x:v>25</x:v>
      </x:c>
      <x:c r="K194" s="5" t="str">
        <x:v>3.2.2.2</x:v>
      </x:c>
      <x:c r="L194" s="5" t="str">
        <x:v>ST-0009; ST-0010; ST-0011; ST-0012; ST-0013; ST-0052; ST-0053; ST-0054; ST-0055; ST-0056; ST-0070; ST-0071; ST-0072; ST-0073; ST-0074; ST-0075; ST-0076; ST-0077; ST-0078; ST-0079; ST-0106; ST-0206; ST-0207; ST-0231; ST-0232</x:v>
      </x:c>
      <x:c r="M194" s="5" t="str">
        <x:v>nein</x:v>
      </x:c>
    </x:row>
    <x:row r="195" ht="36" customHeight="1">
      <x:c r="A195" s="5" t="str">
        <x:v>tr-wq-s06</x:v>
      </x:c>
      <x:c r="B195" s="5" t="str">
        <x:v>WQ</x:v>
      </x:c>
      <x:c r="C195" s="5" t="str">
        <x:v>3</x:v>
      </x:c>
      <x:c r="D195" s="5" t="str">
        <x:v>Recht und Steuern</x:v>
      </x:c>
      <x:c r="E195" s="5" t="str">
        <x:v>ui-wq-steuern-unternehmen</x:v>
      </x:c>
      <x:c r="F195" s="5" t="str">
        <x:v>Unternehmensbezogene Steuern</x:v>
      </x:c>
      <x:c r="G195" s="5" t="str">
        <x:v>Gewerbesteuer</x:v>
      </x:c>
      <x:c r="H195" s="5" t="str">
        <x:v>3.2.2.3</x:v>
      </x:c>
      <x:c r="I195" s="5" t="str">
        <x:v>Steuern</x:v>
      </x:c>
      <x:c r="J195" s="5" t="n">
        <x:f>COUNTIF('Einzel-ID-Zuordnung'!$H$7:$H$2692,A195)</x:f>
        <x:v>26</x:v>
      </x:c>
      <x:c r="K195" s="5" t="str">
        <x:v>3.2.2.3</x:v>
      </x:c>
      <x:c r="L195" s="5" t="str">
        <x:v>ST-0001; ST-0002; ST-0003; ST-0004; ST-0005; ST-0006; ST-0007; ST-0008; ST-0088; ST-0089; ST-0090; ST-0091; ST-0092; ST-0093; ST-0094; ST-0095; ST-0096; ST-0097; ST-0098; ST-0099; ST-0100; ST-0101; ST-0102; ST-0103; ST-0208; ST-0209</x:v>
      </x:c>
      <x:c r="M195" s="5" t="str">
        <x:v>nein</x:v>
      </x:c>
    </x:row>
    <x:row r="196" ht="36" customHeight="1">
      <x:c r="A196" s="5" t="str">
        <x:v>tr-wq-s07</x:v>
      </x:c>
      <x:c r="B196" s="5" t="str">
        <x:v>WQ</x:v>
      </x:c>
      <x:c r="C196" s="5" t="str">
        <x:v>3</x:v>
      </x:c>
      <x:c r="D196" s="5" t="str">
        <x:v>Recht und Steuern</x:v>
      </x:c>
      <x:c r="E196" s="5" t="str">
        <x:v>ui-wq-steuern-unternehmen</x:v>
      </x:c>
      <x:c r="F196" s="5" t="str">
        <x:v>Unternehmensbezogene Steuern</x:v>
      </x:c>
      <x:c r="G196" s="5" t="str">
        <x:v>Kapitalertragsteuer und Steuerabzug</x:v>
      </x:c>
      <x:c r="H196" s="5" t="str">
        <x:v>3.2.2.4</x:v>
      </x:c>
      <x:c r="I196" s="5" t="str">
        <x:v>Steuern</x:v>
      </x:c>
      <x:c r="J196" s="5" t="n">
        <x:f>COUNTIF('Einzel-ID-Zuordnung'!$H$7:$H$2692,A196)</x:f>
        <x:v>6</x:v>
      </x:c>
      <x:c r="K196" s="5" t="str">
        <x:v>3.2.2.4</x:v>
      </x:c>
      <x:c r="L196" s="5" t="str">
        <x:v>ST-0015; ST-0038; ST-0039; ST-0059; ST-0066; ST-0104</x:v>
      </x:c>
      <x:c r="M196" s="5" t="str">
        <x:v>nein</x:v>
      </x:c>
    </x:row>
    <x:row r="197" ht="36" customHeight="1">
      <x:c r="A197" s="5" t="str">
        <x:v>tr-wq-s08</x:v>
      </x:c>
      <x:c r="B197" s="5" t="str">
        <x:v>WQ</x:v>
      </x:c>
      <x:c r="C197" s="5" t="str">
        <x:v>3</x:v>
      </x:c>
      <x:c r="D197" s="5" t="str">
        <x:v>Recht und Steuern</x:v>
      </x:c>
      <x:c r="E197" s="5" t="str">
        <x:v>ui-wq-steuern-unternehmen</x:v>
      </x:c>
      <x:c r="F197" s="5" t="str">
        <x:v>Unternehmensbezogene Steuern</x:v>
      </x:c>
      <x:c r="G197" s="5" t="str">
        <x:v>Umsatzsteuer – Grundlagen &amp; Vorsteuer</x:v>
      </x:c>
      <x:c r="H197" s="5" t="str">
        <x:v>3.2.2.5</x:v>
      </x:c>
      <x:c r="I197" s="5" t="str">
        <x:v>Steuern</x:v>
      </x:c>
      <x:c r="J197" s="5" t="n">
        <x:f>COUNTIF('Einzel-ID-Zuordnung'!$H$7:$H$2692,A197)</x:f>
        <x:v>34</x:v>
      </x:c>
      <x:c r="K197" s="5" t="str">
        <x:v>3.2.2.5</x:v>
      </x:c>
      <x:c r="L197" s="5" t="str">
        <x:v>ST-0107; ST-0108; ST-0109; ST-0110; ST-0111; ST-0112; ST-0113; ST-0114; ST-0115; ST-0116; ST-0117; ST-0118; ST-0119; ST-0120; ST-0121; ST-0122; ST-0123; ST-0124; ST-0125; ST-0126; ST-0127; ST-0155; ST-0156; ST-0157; ST-0158; ST-0159; ST-0160; ST-0161; ST-0162; ST-0163; ST-0210; ST-0211; ST-0212; ST-0213</x:v>
      </x:c>
      <x:c r="M197" s="5" t="str">
        <x:v>nein</x:v>
      </x:c>
    </x:row>
    <x:row r="198" ht="36" customHeight="1">
      <x:c r="A198" s="5" t="str">
        <x:v>tr-wq-s09</x:v>
      </x:c>
      <x:c r="B198" s="5" t="str">
        <x:v>WQ</x:v>
      </x:c>
      <x:c r="C198" s="5" t="str">
        <x:v>3</x:v>
      </x:c>
      <x:c r="D198" s="5" t="str">
        <x:v>Recht und Steuern</x:v>
      </x:c>
      <x:c r="E198" s="5" t="str">
        <x:v>ui-wq-steuern-unternehmen</x:v>
      </x:c>
      <x:c r="F198" s="5" t="str">
        <x:v>Unternehmensbezogene Steuern</x:v>
      </x:c>
      <x:c r="G198" s="5" t="str">
        <x:v>Umsatzsteuer – EU, Drittland &amp; Sonderfälle</x:v>
      </x:c>
      <x:c r="H198" s="5" t="str">
        <x:v>3.2.2.5</x:v>
      </x:c>
      <x:c r="I198" s="5" t="str">
        <x:v>Steuern</x:v>
      </x:c>
      <x:c r="J198" s="5" t="n">
        <x:f>COUNTIF('Einzel-ID-Zuordnung'!$H$7:$H$2692,A198)</x:f>
        <x:v>33</x:v>
      </x:c>
      <x:c r="K198" s="5" t="str">
        <x:v>3.2.2.5</x:v>
      </x:c>
      <x:c r="L198" s="5" t="str">
        <x:v>ST-0128; ST-0129; ST-0130; ST-0131; ST-0132; ST-0133; ST-0134; ST-0135; ST-0136; ST-0137; ST-0138; ST-0139; ST-0140; ST-0141; ST-0142; ST-0143; ST-0144; ST-0145; ST-0146; ST-0147; ST-0148; ST-0149; ST-0150; ST-0151; ST-0152; ST-0153; ST-0154; ST-0164; ST-0165; ST-0166; ST-0167; ST-0168; ST-0214</x:v>
      </x:c>
      <x:c r="M198" s="5" t="str">
        <x:v>nein</x:v>
      </x:c>
    </x:row>
    <x:row r="199" ht="36" customHeight="1">
      <x:c r="A199" s="5" t="str">
        <x:v>tr-wq-s10</x:v>
      </x:c>
      <x:c r="B199" s="5" t="str">
        <x:v>WQ</x:v>
      </x:c>
      <x:c r="C199" s="5" t="str">
        <x:v>3</x:v>
      </x:c>
      <x:c r="D199" s="5" t="str">
        <x:v>Recht und Steuern</x:v>
      </x:c>
      <x:c r="E199" s="5" t="str">
        <x:v>ui-wq-steuern-unternehmen</x:v>
      </x:c>
      <x:c r="F199" s="5" t="str">
        <x:v>Unternehmensbezogene Steuern</x:v>
      </x:c>
      <x:c r="G199" s="5" t="str">
        <x:v>Grundsteuer</x:v>
      </x:c>
      <x:c r="H199" s="5" t="str">
        <x:v>3.2.2.6</x:v>
      </x:c>
      <x:c r="I199" s="5" t="str">
        <x:v>Steuern</x:v>
      </x:c>
      <x:c r="J199" s="5" t="n">
        <x:f>COUNTIF('Einzel-ID-Zuordnung'!$H$7:$H$2692,A199)</x:f>
        <x:v>3</x:v>
      </x:c>
      <x:c r="K199" s="5" t="str">
        <x:v>3.2.2.6</x:v>
      </x:c>
      <x:c r="L199" s="5" t="str">
        <x:v>ST-0172; ST-0217; ST-0218</x:v>
      </x:c>
      <x:c r="M199" s="5" t="str">
        <x:v>nein</x:v>
      </x:c>
    </x:row>
    <x:row r="200" ht="36" customHeight="1">
      <x:c r="A200" s="5" t="str">
        <x:v>tr-wq-s11</x:v>
      </x:c>
      <x:c r="B200" s="5" t="str">
        <x:v>WQ</x:v>
      </x:c>
      <x:c r="C200" s="5" t="str">
        <x:v>3</x:v>
      </x:c>
      <x:c r="D200" s="5" t="str">
        <x:v>Recht und Steuern</x:v>
      </x:c>
      <x:c r="E200" s="5" t="str">
        <x:v>ui-wq-steuern-unternehmen</x:v>
      </x:c>
      <x:c r="F200" s="5" t="str">
        <x:v>Unternehmensbezogene Steuern</x:v>
      </x:c>
      <x:c r="G200" s="5" t="str">
        <x:v>Grunderwerbsteuer</x:v>
      </x:c>
      <x:c r="H200" s="5" t="str">
        <x:v>3.2.2.7</x:v>
      </x:c>
      <x:c r="I200" s="5" t="str">
        <x:v>Steuern</x:v>
      </x:c>
      <x:c r="J200" s="5" t="n">
        <x:f>COUNTIF('Einzel-ID-Zuordnung'!$H$7:$H$2692,A200)</x:f>
        <x:v>5</x:v>
      </x:c>
      <x:c r="K200" s="5" t="str">
        <x:v>3.2.2.7</x:v>
      </x:c>
      <x:c r="L200" s="5" t="str">
        <x:v>ST-0169; ST-0170; ST-0171; ST-0215; ST-0216</x:v>
      </x:c>
      <x:c r="M200" s="5" t="str">
        <x:v>nein</x:v>
      </x:c>
    </x:row>
    <x:row r="201" ht="36" customHeight="1">
      <x:c r="A201" s="5" t="str">
        <x:v>tr-wq-s12</x:v>
      </x:c>
      <x:c r="B201" s="5" t="str">
        <x:v>WQ</x:v>
      </x:c>
      <x:c r="C201" s="5" t="str">
        <x:v>3</x:v>
      </x:c>
      <x:c r="D201" s="5" t="str">
        <x:v>Recht und Steuern</x:v>
      </x:c>
      <x:c r="E201" s="5" t="str">
        <x:v>ui-wq-steuern-unternehmen</x:v>
      </x:c>
      <x:c r="F201" s="5" t="str">
        <x:v>Unternehmensbezogene Steuern</x:v>
      </x:c>
      <x:c r="G201" s="5" t="str">
        <x:v>Erbschaft- &amp; Schenkungsteuer</x:v>
      </x:c>
      <x:c r="H201" s="5" t="str">
        <x:v>3.2.2.8</x:v>
      </x:c>
      <x:c r="I201" s="5" t="str">
        <x:v>Steuern</x:v>
      </x:c>
      <x:c r="J201" s="5" t="n">
        <x:f>COUNTIF('Einzel-ID-Zuordnung'!$H$7:$H$2692,A201)</x:f>
        <x:v>10</x:v>
      </x:c>
      <x:c r="K201" s="5" t="str">
        <x:v>3.2.2.8</x:v>
      </x:c>
      <x:c r="L201" s="5" t="str">
        <x:v>ST-0173; ST-0174; ST-0175; ST-0176; ST-0177; ST-0178; ST-0179; ST-0219; ST-0220; ST-0221</x:v>
      </x:c>
      <x:c r="M201" s="5" t="str">
        <x:v>nein</x:v>
      </x:c>
    </x:row>
    <x:row r="202" ht="36" customHeight="1">
      <x:c r="A202" s="5" t="str">
        <x:v>tr-wq-s13</x:v>
      </x:c>
      <x:c r="B202" s="5" t="str">
        <x:v>WQ</x:v>
      </x:c>
      <x:c r="C202" s="5" t="str">
        <x:v>3</x:v>
      </x:c>
      <x:c r="D202" s="5" t="str">
        <x:v>Recht und Steuern</x:v>
      </x:c>
      <x:c r="E202" s="5" t="str">
        <x:v>ui-wq-steuern-ao</x:v>
      </x:c>
      <x:c r="F202" s="5" t="str">
        <x:v>Abgabenordnung</x:v>
      </x:c>
      <x:c r="G202" s="5" t="str">
        <x:v>Abgabenordnung &amp; Besteuerungsverfahren</x:v>
      </x:c>
      <x:c r="H202" s="5" t="str">
        <x:v>3.2.3</x:v>
      </x:c>
      <x:c r="I202" s="5" t="str">
        <x:v>Steuern</x:v>
      </x:c>
      <x:c r="J202" s="5" t="n">
        <x:f>COUNTIF('Einzel-ID-Zuordnung'!$H$7:$H$2692,A202)</x:f>
        <x:v>16</x:v>
      </x:c>
      <x:c r="K202" s="5" t="str">
        <x:v>3.2.3</x:v>
      </x:c>
      <x:c r="L202" s="5" t="str">
        <x:v>ST-0180; ST-0181; ST-0182; ST-0183; ST-0184; ST-0185; ST-0186; ST-0187; ST-0188; ST-0189; ST-0190; ST-0191; ST-0192; ST-0193; ST-0204; ST-0222</x:v>
      </x:c>
      <x:c r="M202" s="5" t="str">
        <x:v>nein</x:v>
      </x:c>
    </x:row>
  </x:sheetData>
  <x:pageMargins left="0.7" right="0.7" top="0.75" bottom="0.75" header="0.3" footer="0.3"/>
  <x:tableParts count="1">
    <x:tablePart xmlns:r="http://schemas.openxmlformats.org/officeDocument/2006/relationships" r:id="R95d73df6d35d4c76"/>
  </x:tableParts>
</x:worksheet>
</file>

<file path=xl/worksheets/sheet5.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0" hidden="0" customWidth="1"/>
    <x:col min="2" max="2" width="40" hidden="0" customWidth="1"/>
    <x:col min="3" max="3" width="65" hidden="0" customWidth="1"/>
    <x:col min="4" max="4" width="27" hidden="0" customWidth="1"/>
    <x:col min="5" max="5" width="27" hidden="0" customWidth="1"/>
    <x:col min="6" max="6" width="55" hidden="0" customWidth="1"/>
    <x:col min="7" max="7" width="100" hidden="0" customWidth="1"/>
    <x:col min="8" max="8" width="100" hidden="0" customWidth="1"/>
    <x:col min="9" max="9" width="100" hidden="0" customWidth="1"/>
    <x:col min="10" max="10" width="65" hidden="0" customWidth="1"/>
    <x:col min="11" max="11" width="75" hidden="0" customWidth="1"/>
    <x:col min="12" max="12" width="75" hidden="0" customWidth="1"/>
  </x:cols>
  <x:sheetData>
    <x:row r="2">
      <x:c r="A2" s="1" t="str">
        <x:v>Interne Abdeckung · alle Inhaltspunkte und Fachwurzeln</x:v>
      </x:c>
    </x:row>
    <x:row r="4">
      <x:c r="A4" s="2" t="str">
        <x:v>Planung / Revisionsstand · 28.09.2026 · WIFA-TR-GESAMT-20260927-REV2-FREIGEGEBENE-GRENZFAELLE · keine produktive Änderung</x:v>
      </x:c>
    </x:row>
    <x:row r="6" ht="34" customHeight="1">
      <x:c r="A6" s="9" t="str">
        <x:v>PunktKey</x:v>
      </x:c>
      <x:c r="B6" s="9" t="str">
        <x:v>Fach</x:v>
      </x:c>
      <x:c r="C6" s="9" t="str">
        <x:v>Rahmenplanpunkt</x:v>
      </x:c>
      <x:c r="D6" s="9" t="str">
        <x:v>Altstatus</x:v>
      </x:c>
      <x:c r="E6" s="9" t="str">
        <x:v>Planstatus</x:v>
      </x:c>
      <x:c r="F6" s="9" t="str">
        <x:v>Geprüfte Belege</x:v>
      </x:c>
      <x:c r="G6" s="9" t="str">
        <x:v>Analyse-Kandidaten</x:v>
      </x:c>
      <x:c r="H6" s="9" t="str">
        <x:v>Lücke</x:v>
      </x:c>
      <x:c r="I6" s="9" t="str">
        <x:v>Spätere Maßnahme</x:v>
      </x:c>
      <x:c r="J6" s="9" t="str">
        <x:v>Quellen</x:v>
      </x:c>
      <x:c r="K6" s="9" t="str">
        <x:v>Prüfstatus</x:v>
      </x:c>
      <x:c r="L6" s="9" t="str">
        <x:v>Primär-IDs (kein Vollbeleg)</x:v>
      </x:c>
    </x:row>
    <x:row r="7" ht="36" customHeight="1">
      <x:c r="A7" s="5" t="str">
        <x:v>1</x:v>
      </x:c>
      <x:c r="B7" s="5" t="str">
        <x:v>Volks- und Betriebswirtschaft</x:v>
      </x:c>
      <x:c r="C7" s="5" t="str">
        <x:v>Volks- und Betriebswirtschaft</x:v>
      </x:c>
      <x:c r="D7" s="5" t="str">
        <x:v>vollständig abgedeckt</x:v>
      </x:c>
      <x:c r="E7" s="5" t="str">
        <x:v>vollständig abgedeckt</x:v>
      </x:c>
      <x:c r="F7" s="5" t="str"/>
      <x:c r="G7" s="5" t="str">
        <x:v>VWL-0025–VWL-0043; VWL-0129–VWL-0132; VWL-0148, VWL-0149; VWL-0044–VWL-0051; VWL-0133–VWL-0135; VWL-0052–VWL-0062; VWL-0136, VWL-0137; VWL-0150, VWL-0151; VWL-0063–VWL-0082; VWL-0138, VWL-0139; VWL-0083–VWL-0102; VWL-0140; VWL-0103–VWL-0114; VWL-0120–VWL-0123; VWL-0125, VWL-0126; VWL-0141, VWL-0142; VWL-0154–VWL-0157; VWL-0115–VWL-0119; VWL-0124; BWL-0002–BWL-0007; BWL-0092–BWL-0095; BWL-0116; BWL-0118, BWL-0119; BWL-0008–BWL-0014; BWL-0096, BWL-0097; BWL-0120; BWL-0015–BWL-0028; BWL-0030; BWL-0098, BWL-0099; BWL-0121, BWL-0122; BWL-0031–BWL-0038; BWL-0100–BWL-0103; BWL-0039–BWL-0049; BWL-0051; BWL-0079; BWL-0104, BWL-0105; BWL-0123, BWL-0124; BWL-0052–BWL-0061; BWL-0106; BWL-0001; BWL-0029; BWL-0062–BWL-0065; BWL-0088; BWL-0107–BWL-0109; BWL-0114, BWL-0115; BWL-0117; BWL-0125; BWL-0050; BWL-0066–BWL-0078; BWL-0089, BWL-0090; BWL-0110–BWL-0112; BWL-0126; BWL-0080–BWL-0087; BWL-0091; BWL-0113</x:v>
      </x:c>
      <x:c r="H7" s="5" t="str"/>
      <x:c r="I7" s="5" t="str">
        <x:v>Analysebewertung erhalten; keine neue Frage allein aus ID-Zahlen ableiten.</x:v>
      </x:c>
      <x:c r="J7" s="5" t="str">
        <x:v>Soll-Ist-Matrix 2026-09-27</x:v>
      </x:c>
      <x:c r="K7" s="5" t="str">
        <x:v>Vorbewertung aus Soll-Ist-Matrix; Kandidaten nicht automatisch Einzelbelege</x:v>
      </x:c>
      <x:c r="L7" s="5" t="str"/>
    </x:row>
    <x:row r="8" ht="36" customHeight="1">
      <x:c r="A8" s="5" t="str">
        <x:v>1.1</x:v>
      </x:c>
      <x:c r="B8" s="5" t="str">
        <x:v>Volks- und Betriebswirtschaft</x:v>
      </x:c>
      <x:c r="C8" s="5" t="str">
        <x:v>Volkswirtschaftliche Grundlagen</x:v>
      </x:c>
      <x:c r="D8" s="5" t="str">
        <x:v>vollständig abgedeckt</x:v>
      </x:c>
      <x:c r="E8" s="5" t="str">
        <x:v>vollständig abgedeckt</x:v>
      </x:c>
      <x:c r="F8" s="5" t="str"/>
      <x:c r="G8" s="5" t="str">
        <x:v>VWL-0025–VWL-0043; VWL-0129–VWL-0132; VWL-0148, VWL-0149; VWL-0044–VWL-0051; VWL-0133–VWL-0135; VWL-0052–VWL-0062; VWL-0136, VWL-0137; VWL-0150, VWL-0151; VWL-0063–VWL-0082; VWL-0138, VWL-0139; VWL-0083–VWL-0102; VWL-0140; VWL-0103–VWL-0114; VWL-0120–VWL-0123; VWL-0125, VWL-0126; VWL-0141, VWL-0142; VWL-0154–VWL-0157; VWL-0115–VWL-0119; VWL-0124</x:v>
      </x:c>
      <x:c r="H8" s="5" t="str"/>
      <x:c r="I8" s="5" t="str">
        <x:v>Analysebewertung erhalten; keine neue Frage allein aus ID-Zahlen ableiten.</x:v>
      </x:c>
      <x:c r="J8" s="5" t="str">
        <x:v>Soll-Ist-Matrix 2026-09-27</x:v>
      </x:c>
      <x:c r="K8" s="5" t="str">
        <x:v>Vorbewertung aus Soll-Ist-Matrix; Kandidaten nicht automatisch Einzelbelege</x:v>
      </x:c>
      <x:c r="L8" s="5" t="str"/>
    </x:row>
    <x:row r="9" ht="36" customHeight="1">
      <x:c r="A9" s="5" t="str">
        <x:v>1.1.1</x:v>
      </x:c>
      <x:c r="B9" s="5" t="str">
        <x:v>Volks- und Betriebswirtschaft</x:v>
      </x:c>
      <x:c r="C9" s="5" t="str">
        <x:v>Markt, Preis und Wettbewerb</x:v>
      </x:c>
      <x:c r="D9" s="5" t="str">
        <x:v>vollständig abgedeckt</x:v>
      </x:c>
      <x:c r="E9" s="5" t="str">
        <x:v>vollständig abgedeckt</x:v>
      </x:c>
      <x:c r="F9" s="5" t="str"/>
      <x:c r="G9" s="5" t="str">
        <x:v>VWL-0025–VWL-0043; VWL-0129–VWL-0132; VWL-0148, VWL-0149; VWL-0044–VWL-0051; VWL-0133–VWL-0135</x:v>
      </x:c>
      <x:c r="H9" s="5" t="str"/>
      <x:c r="I9" s="5" t="str">
        <x:v>Analysebewertung erhalten; keine neue Frage allein aus ID-Zahlen ableiten.</x:v>
      </x:c>
      <x:c r="J9" s="5" t="str">
        <x:v>Soll-Ist-Matrix 2026-09-27</x:v>
      </x:c>
      <x:c r="K9" s="5" t="str">
        <x:v>Vorbewertung aus Soll-Ist-Matrix; Kandidaten nicht automatisch Einzelbelege</x:v>
      </x:c>
      <x:c r="L9" s="5" t="str">
        <x:v>VWL-0001; VWL-0002; VWL-0003; VWL-0004; VWL-0005; VWL-0006; VWL-0007; VWL-0008; VWL-0009; VWL-0010; VWL-0011; VWL-0012; VWL-0013; VWL-0014; VWL-0015; VWL-0016; VWL-0017; VWL-0018; VWL-0019; VWL-0020; VWL-0021; VWL-0022; VWL-0023; VWL-0024; VWL-0128; VWL-0143; VWL-0144; VWL-0145; VWL-0146; VWL-0147</x:v>
      </x:c>
    </x:row>
    <x:row r="10" ht="36" customHeight="1">
      <x:c r="A10" s="5" t="str">
        <x:v>1.1.1.1</x:v>
      </x:c>
      <x:c r="B10" s="5" t="str">
        <x:v>Volks- und Betriebswirtschaft</x:v>
      </x:c>
      <x:c r="C10" s="5" t="str">
        <x:v>Preisbildung auf den unterschiedlichen Märkten</x:v>
      </x:c>
      <x:c r="D10" s="5" t="str">
        <x:v>vollständig abgedeckt</x:v>
      </x:c>
      <x:c r="E10" s="5" t="str">
        <x:v>vollständig abgedeckt</x:v>
      </x:c>
      <x:c r="F10" s="5" t="str"/>
      <x:c r="G10" s="5" t="str">
        <x:v>VWL-0025–VWL-0043; VWL-0129–VWL-0132; VWL-0148, VWL-0149</x:v>
      </x:c>
      <x:c r="H10" s="5" t="str"/>
      <x:c r="I10" s="5" t="str">
        <x:v>Analysebewertung erhalten; keine neue Frage allein aus ID-Zahlen ableiten.</x:v>
      </x:c>
      <x:c r="J10" s="5" t="str">
        <x:v>Soll-Ist-Matrix 2026-09-27</x:v>
      </x:c>
      <x:c r="K10" s="5" t="str">
        <x:v>Vorbewertung aus Soll-Ist-Matrix; Kandidaten nicht automatisch Einzelbelege</x:v>
      </x:c>
      <x:c r="L10" s="5" t="str">
        <x:v>VWL-0025; VWL-0026; VWL-0027; VWL-0028; VWL-0029; VWL-0030; VWL-0032; VWL-0033; VWL-0034; VWL-0035; VWL-0036; VWL-0037; VWL-0038; VWL-0039; VWL-0040; VWL-0041; VWL-0043; VWL-0129; VWL-0130; VWL-0148; VWL-0149</x:v>
      </x:c>
    </x:row>
    <x:row r="11" ht="36" customHeight="1">
      <x:c r="A11" s="5" t="str">
        <x:v>1.1.1.1#1</x:v>
      </x:c>
      <x:c r="B11" s="5" t="str">
        <x:v>Volks- und Betriebswirtschaft</x:v>
      </x:c>
      <x:c r="C11" s="5" t="str">
        <x:v>Marktgleichgewicht bei vollständiger Konkurrenz</x:v>
      </x:c>
      <x:c r="D11" s="5" t="str">
        <x:v>vollständig abgedeckt</x:v>
      </x:c>
      <x:c r="E11" s="5" t="str">
        <x:v>vollständig abgedeckt</x:v>
      </x:c>
      <x:c r="F11" s="5" t="str"/>
      <x:c r="G11" s="5" t="str">
        <x:v>VWL-0025–VWL-0043; VWL-0129–VWL-0132; VWL-0148, VWL-0149</x:v>
      </x:c>
      <x:c r="H11" s="5" t="str"/>
      <x:c r="I11" s="5" t="str">
        <x:v>Analysebewertung erhalten; keine neue Frage allein aus ID-Zahlen ableiten.</x:v>
      </x:c>
      <x:c r="J11" s="5" t="str">
        <x:v>Soll-Ist-Matrix 2026-09-27</x:v>
      </x:c>
      <x:c r="K11" s="5" t="str">
        <x:v>Vorbewertung aus Soll-Ist-Matrix; Kandidaten nicht automatisch Einzelbelege</x:v>
      </x:c>
      <x:c r="L11" s="5" t="str">
        <x:v>VWL-0131</x:v>
      </x:c>
    </x:row>
    <x:row r="12" ht="36" customHeight="1">
      <x:c r="A12" s="5" t="str">
        <x:v>1.1.1.1#2</x:v>
      </x:c>
      <x:c r="B12" s="5" t="str">
        <x:v>Volks- und Betriebswirtschaft</x:v>
      </x:c>
      <x:c r="C12" s="5" t="str">
        <x:v>Preisbildung bei unvollständiger Konkurrenz</x:v>
      </x:c>
      <x:c r="D12" s="5" t="str">
        <x:v>vollständig abgedeckt</x:v>
      </x:c>
      <x:c r="E12" s="5" t="str">
        <x:v>vollständig abgedeckt</x:v>
      </x:c>
      <x:c r="F12" s="5" t="str"/>
      <x:c r="G12" s="5" t="str">
        <x:v>VWL-0025–VWL-0043; VWL-0129–VWL-0132; VWL-0148, VWL-0149</x:v>
      </x:c>
      <x:c r="H12" s="5" t="str"/>
      <x:c r="I12" s="5" t="str">
        <x:v>Analysebewertung erhalten; keine neue Frage allein aus ID-Zahlen ableiten.</x:v>
      </x:c>
      <x:c r="J12" s="5" t="str">
        <x:v>Soll-Ist-Matrix 2026-09-27</x:v>
      </x:c>
      <x:c r="K12" s="5" t="str">
        <x:v>Vorbewertung aus Soll-Ist-Matrix; Kandidaten nicht automatisch Einzelbelege</x:v>
      </x:c>
      <x:c r="L12" s="5" t="str">
        <x:v>VWL-0031; VWL-0042; VWL-0132</x:v>
      </x:c>
    </x:row>
    <x:row r="13" ht="36" customHeight="1">
      <x:c r="A13" s="5" t="str">
        <x:v>1.1.1.2</x:v>
      </x:c>
      <x:c r="B13" s="5" t="str">
        <x:v>Volks- und Betriebswirtschaft</x:v>
      </x:c>
      <x:c r="C13" s="5" t="str">
        <x:v>Wettbewerbspolitik</x:v>
      </x:c>
      <x:c r="D13" s="5" t="str">
        <x:v>vollständig abgedeckt</x:v>
      </x:c>
      <x:c r="E13" s="5" t="str">
        <x:v>vollständig abgedeckt</x:v>
      </x:c>
      <x:c r="F13" s="5" t="str"/>
      <x:c r="G13" s="5" t="str">
        <x:v>VWL-0044–VWL-0051; VWL-0133–VWL-0135; VWL-0025–VWL-0043; VWL-0129–VWL-0132; VWL-0148, VWL-0149</x:v>
      </x:c>
      <x:c r="H13" s="5" t="str"/>
      <x:c r="I13" s="5" t="str">
        <x:v>Analysebewertung erhalten; keine neue Frage allein aus ID-Zahlen ableiten.</x:v>
      </x:c>
      <x:c r="J13" s="5" t="str">
        <x:v>Soll-Ist-Matrix 2026-09-27</x:v>
      </x:c>
      <x:c r="K13" s="5" t="str">
        <x:v>Vorbewertung aus Soll-Ist-Matrix; Kandidaten nicht automatisch Einzelbelege</x:v>
      </x:c>
      <x:c r="L13" s="5" t="str">
        <x:v>VWL-0046; VWL-0047; VWL-0048; VWL-0049; VWL-0050; VWL-0051; VWL-0133; VWL-0134; VWL-0135</x:v>
      </x:c>
    </x:row>
    <x:row r="14" ht="36" customHeight="1">
      <x:c r="A14" s="5" t="str">
        <x:v>1.1.1.2#1</x:v>
      </x:c>
      <x:c r="B14" s="5" t="str">
        <x:v>Volks- und Betriebswirtschaft</x:v>
      </x:c>
      <x:c r="C14" s="5" t="str">
        <x:v>Funktionen des Wettbewerbs</x:v>
      </x:c>
      <x:c r="D14" s="5" t="str">
        <x:v>vollständig abgedeckt</x:v>
      </x:c>
      <x:c r="E14" s="5" t="str">
        <x:v>vollständig abgedeckt</x:v>
      </x:c>
      <x:c r="F14" s="5" t="str"/>
      <x:c r="G14" s="5" t="str">
        <x:v>VWL-0044–VWL-0051; VWL-0133–VWL-0135; VWL-0025–VWL-0043; VWL-0129–VWL-0132; VWL-0148, VWL-0149</x:v>
      </x:c>
      <x:c r="H14" s="5" t="str"/>
      <x:c r="I14" s="5" t="str">
        <x:v>Analysebewertung erhalten; keine neue Frage allein aus ID-Zahlen ableiten.</x:v>
      </x:c>
      <x:c r="J14" s="5" t="str">
        <x:v>Soll-Ist-Matrix 2026-09-27</x:v>
      </x:c>
      <x:c r="K14" s="5" t="str">
        <x:v>Vorbewertung aus Soll-Ist-Matrix; Kandidaten nicht automatisch Einzelbelege</x:v>
      </x:c>
      <x:c r="L14" s="5" t="str">
        <x:v>VWL-0044; VWL-0045</x:v>
      </x:c>
    </x:row>
    <x:row r="15" ht="36" customHeight="1">
      <x:c r="A15" s="5" t="str">
        <x:v>1.1.1.2#2</x:v>
      </x:c>
      <x:c r="B15" s="5" t="str">
        <x:v>Volks- und Betriebswirtschaft</x:v>
      </x:c>
      <x:c r="C15" s="5" t="str">
        <x:v>Ziel und Instrumente der Wettbewerbspolitik</x:v>
      </x:c>
      <x:c r="D15" s="5" t="str">
        <x:v>vollständig abgedeckt</x:v>
      </x:c>
      <x:c r="E15" s="5" t="str">
        <x:v>vollständig abgedeckt</x:v>
      </x:c>
      <x:c r="F15" s="5" t="str"/>
      <x:c r="G15" s="5" t="str">
        <x:v>VWL-0044–VWL-0051; VWL-0133–VWL-0135; VWL-0025–VWL-0043; VWL-0129–VWL-0132; VWL-0148, VWL-0149</x:v>
      </x:c>
      <x:c r="H15" s="5" t="str"/>
      <x:c r="I15" s="5" t="str">
        <x:v>Analysebewertung erhalten; keine neue Frage allein aus ID-Zahlen ableiten.</x:v>
      </x:c>
      <x:c r="J15" s="5" t="str">
        <x:v>Soll-Ist-Matrix 2026-09-27</x:v>
      </x:c>
      <x:c r="K15" s="5" t="str">
        <x:v>Vorbewertung aus Soll-Ist-Matrix; Kandidaten nicht automatisch Einzelbelege</x:v>
      </x:c>
      <x:c r="L15" s="5" t="str"/>
    </x:row>
    <x:row r="16" ht="36" customHeight="1">
      <x:c r="A16" s="5" t="str">
        <x:v>1.1.1.3</x:v>
      </x:c>
      <x:c r="B16" s="5" t="str">
        <x:v>Volks- und Betriebswirtschaft</x:v>
      </x:c>
      <x:c r="C16" s="5" t="str">
        <x:v>Eingriffe des Staates in die Preisbildung</x:v>
      </x:c>
      <x:c r="D16" s="5" t="str">
        <x:v>vollständig abgedeckt</x:v>
      </x:c>
      <x:c r="E16" s="5" t="str">
        <x:v>vollständig abgedeckt</x:v>
      </x:c>
      <x:c r="F16" s="5" t="str"/>
      <x:c r="G16" s="5" t="str">
        <x:v>VWL-0044–VWL-0051; VWL-0133–VWL-0135</x:v>
      </x:c>
      <x:c r="H16" s="5" t="str"/>
      <x:c r="I16" s="5" t="str">
        <x:v>Analysebewertung erhalten; keine neue Frage allein aus ID-Zahlen ableiten.</x:v>
      </x:c>
      <x:c r="J16" s="5" t="str">
        <x:v>Soll-Ist-Matrix 2026-09-27</x:v>
      </x:c>
      <x:c r="K16" s="5" t="str">
        <x:v>Vorbewertung aus Soll-Ist-Matrix; Kandidaten nicht automatisch Einzelbelege</x:v>
      </x:c>
      <x:c r="L16" s="5" t="str"/>
    </x:row>
    <x:row r="17" ht="36" customHeight="1">
      <x:c r="A17" s="5" t="str">
        <x:v>1.1.2</x:v>
      </x:c>
      <x:c r="B17" s="5" t="str">
        <x:v>Volks- und Betriebswirtschaft</x:v>
      </x:c>
      <x:c r="C17" s="5" t="str">
        <x:v>Volkswirtschaftliche Gesamtrechnung</x:v>
      </x:c>
      <x:c r="D17" s="5" t="str">
        <x:v>vollständig abgedeckt</x:v>
      </x:c>
      <x:c r="E17" s="5" t="str">
        <x:v>vollständig abgedeckt</x:v>
      </x:c>
      <x:c r="F17" s="5" t="str"/>
      <x:c r="G17" s="5" t="str">
        <x:v>VWL-0052–VWL-0062; VWL-0136, VWL-0137; VWL-0150, VWL-0151</x:v>
      </x:c>
      <x:c r="H17" s="5" t="str"/>
      <x:c r="I17" s="5" t="str">
        <x:v>Analysebewertung erhalten; keine neue Frage allein aus ID-Zahlen ableiten.</x:v>
      </x:c>
      <x:c r="J17" s="5" t="str">
        <x:v>Soll-Ist-Matrix 2026-09-27</x:v>
      </x:c>
      <x:c r="K17" s="5" t="str">
        <x:v>Vorbewertung aus Soll-Ist-Matrix; Kandidaten nicht automatisch Einzelbelege</x:v>
      </x:c>
      <x:c r="L17" s="5" t="str">
        <x:v>VWL-0052; VWL-0053; VWL-0056; VWL-0057; VWL-0059; VWL-0061; VWL-0062; VWL-0136; VWL-0150; VWL-0151</x:v>
      </x:c>
    </x:row>
    <x:row r="18" ht="36" customHeight="1">
      <x:c r="A18" s="5" t="str">
        <x:v>1.1.2.1</x:v>
      </x:c>
      <x:c r="B18" s="5" t="str">
        <x:v>Volks- und Betriebswirtschaft</x:v>
      </x:c>
      <x:c r="C18" s="5" t="str">
        <x:v>Bruttoinlandsprodukt und Bruttonationaleinkommen</x:v>
      </x:c>
      <x:c r="D18" s="5" t="str">
        <x:v>vollständig abgedeckt</x:v>
      </x:c>
      <x:c r="E18" s="5" t="str">
        <x:v>vollständig abgedeckt</x:v>
      </x:c>
      <x:c r="F18" s="5" t="str"/>
      <x:c r="G18" s="5" t="str">
        <x:v>VWL-0052–VWL-0062; VWL-0136, VWL-0137; VWL-0150, VWL-0151</x:v>
      </x:c>
      <x:c r="H18" s="5" t="str"/>
      <x:c r="I18" s="5" t="str">
        <x:v>Analysebewertung erhalten; keine neue Frage allein aus ID-Zahlen ableiten.</x:v>
      </x:c>
      <x:c r="J18" s="5" t="str">
        <x:v>Soll-Ist-Matrix 2026-09-27</x:v>
      </x:c>
      <x:c r="K18" s="5" t="str">
        <x:v>Vorbewertung aus Soll-Ist-Matrix; Kandidaten nicht automatisch Einzelbelege</x:v>
      </x:c>
      <x:c r="L18" s="5" t="str">
        <x:v>VWL-0054; VWL-0055; VWL-0058</x:v>
      </x:c>
    </x:row>
    <x:row r="19" ht="36" customHeight="1">
      <x:c r="A19" s="5" t="str">
        <x:v>1.1.2.2</x:v>
      </x:c>
      <x:c r="B19" s="5" t="str">
        <x:v>Volks- und Betriebswirtschaft</x:v>
      </x:c>
      <x:c r="C19" s="5" t="str">
        <x:v>Primär- und Sekundärverteilung des Volkseinkommens</x:v>
      </x:c>
      <x:c r="D19" s="5" t="str">
        <x:v>vollständig abgedeckt</x:v>
      </x:c>
      <x:c r="E19" s="5" t="str">
        <x:v>vollständig abgedeckt</x:v>
      </x:c>
      <x:c r="F19" s="5" t="str"/>
      <x:c r="G19" s="5" t="str">
        <x:v>VWL-0052–VWL-0062; VWL-0136, VWL-0137; VWL-0150, VWL-0151</x:v>
      </x:c>
      <x:c r="H19" s="5" t="str"/>
      <x:c r="I19" s="5" t="str">
        <x:v>Analysebewertung erhalten; keine neue Frage allein aus ID-Zahlen ableiten.</x:v>
      </x:c>
      <x:c r="J19" s="5" t="str">
        <x:v>Soll-Ist-Matrix 2026-09-27</x:v>
      </x:c>
      <x:c r="K19" s="5" t="str">
        <x:v>Vorbewertung aus Soll-Ist-Matrix; Kandidaten nicht automatisch Einzelbelege</x:v>
      </x:c>
      <x:c r="L19" s="5" t="str"/>
    </x:row>
    <x:row r="20" ht="36" customHeight="1">
      <x:c r="A20" s="5" t="str">
        <x:v>1.1.2.2#1</x:v>
      </x:c>
      <x:c r="B20" s="5" t="str">
        <x:v>Volks- und Betriebswirtschaft</x:v>
      </x:c>
      <x:c r="C20" s="5" t="str">
        <x:v>Lohn- und Gewinnquote</x:v>
      </x:c>
      <x:c r="D20" s="5" t="str">
        <x:v>vollständig abgedeckt</x:v>
      </x:c>
      <x:c r="E20" s="5" t="str">
        <x:v>vollständig abgedeckt</x:v>
      </x:c>
      <x:c r="F20" s="5" t="str"/>
      <x:c r="G20" s="5" t="str">
        <x:v>VWL-0052–VWL-0062; VWL-0136, VWL-0137; VWL-0150, VWL-0151</x:v>
      </x:c>
      <x:c r="H20" s="5" t="str"/>
      <x:c r="I20" s="5" t="str">
        <x:v>Analysebewertung erhalten; keine neue Frage allein aus ID-Zahlen ableiten.</x:v>
      </x:c>
      <x:c r="J20" s="5" t="str">
        <x:v>Soll-Ist-Matrix 2026-09-27</x:v>
      </x:c>
      <x:c r="K20" s="5" t="str">
        <x:v>Vorbewertung aus Soll-Ist-Matrix; Kandidaten nicht automatisch Einzelbelege</x:v>
      </x:c>
      <x:c r="L20" s="5" t="str">
        <x:v>VWL-0060</x:v>
      </x:c>
    </x:row>
    <x:row r="21" ht="36" customHeight="1">
      <x:c r="A21" s="5" t="str">
        <x:v>1.1.2.2#2</x:v>
      </x:c>
      <x:c r="B21" s="5" t="str">
        <x:v>Volks- und Betriebswirtschaft</x:v>
      </x:c>
      <x:c r="C21" s="5" t="str">
        <x:v>Verfügbares Einkommen</x:v>
      </x:c>
      <x:c r="D21" s="5" t="str">
        <x:v>vollständig abgedeckt</x:v>
      </x:c>
      <x:c r="E21" s="5" t="str">
        <x:v>vollständig abgedeckt</x:v>
      </x:c>
      <x:c r="F21" s="5" t="str"/>
      <x:c r="G21" s="5" t="str">
        <x:v>VWL-0052–VWL-0062; VWL-0136, VWL-0137; VWL-0150, VWL-0151</x:v>
      </x:c>
      <x:c r="H21" s="5" t="str"/>
      <x:c r="I21" s="5" t="str">
        <x:v>Analysebewertung erhalten; keine neue Frage allein aus ID-Zahlen ableiten.</x:v>
      </x:c>
      <x:c r="J21" s="5" t="str">
        <x:v>Soll-Ist-Matrix 2026-09-27</x:v>
      </x:c>
      <x:c r="K21" s="5" t="str">
        <x:v>Vorbewertung aus Soll-Ist-Matrix; Kandidaten nicht automatisch Einzelbelege</x:v>
      </x:c>
      <x:c r="L21" s="5" t="str">
        <x:v>VWL-0137</x:v>
      </x:c>
    </x:row>
    <x:row r="22" ht="36" customHeight="1">
      <x:c r="A22" s="5" t="str">
        <x:v>1.1.2.2#3</x:v>
      </x:c>
      <x:c r="B22" s="5" t="str">
        <x:v>Volks- und Betriebswirtschaft</x:v>
      </x:c>
      <x:c r="C22" s="5" t="str">
        <x:v>Einkommensumverteilung</x:v>
      </x:c>
      <x:c r="D22" s="5" t="str">
        <x:v>vollständig abgedeckt</x:v>
      </x:c>
      <x:c r="E22" s="5" t="str">
        <x:v>vollständig abgedeckt</x:v>
      </x:c>
      <x:c r="F22" s="5" t="str"/>
      <x:c r="G22" s="5" t="str">
        <x:v>VWL-0052–VWL-0062; VWL-0136, VWL-0137; VWL-0150, VWL-0151</x:v>
      </x:c>
      <x:c r="H22" s="5" t="str"/>
      <x:c r="I22" s="5" t="str">
        <x:v>Analysebewertung erhalten; keine neue Frage allein aus ID-Zahlen ableiten.</x:v>
      </x:c>
      <x:c r="J22" s="5" t="str">
        <x:v>Soll-Ist-Matrix 2026-09-27</x:v>
      </x:c>
      <x:c r="K22" s="5" t="str">
        <x:v>Vorbewertung aus Soll-Ist-Matrix; Kandidaten nicht automatisch Einzelbelege</x:v>
      </x:c>
      <x:c r="L22" s="5" t="str"/>
    </x:row>
    <x:row r="23" ht="36" customHeight="1">
      <x:c r="A23" s="5" t="str">
        <x:v>1.1.3</x:v>
      </x:c>
      <x:c r="B23" s="5" t="str">
        <x:v>Volks- und Betriebswirtschaft</x:v>
      </x:c>
      <x:c r="C23" s="5" t="str">
        <x:v>Konjunktur und Wirtschaftswachstum</x:v>
      </x:c>
      <x:c r="D23" s="5" t="str">
        <x:v>vollständig abgedeckt</x:v>
      </x:c>
      <x:c r="E23" s="5" t="str">
        <x:v>vollständig abgedeckt</x:v>
      </x:c>
      <x:c r="F23" s="5" t="str"/>
      <x:c r="G23" s="5" t="str">
        <x:v>VWL-0063–VWL-0082; VWL-0138, VWL-0139; VWL-0083–VWL-0102; VWL-0140; VWL-0103–VWL-0111</x:v>
      </x:c>
      <x:c r="H23" s="5" t="str"/>
      <x:c r="I23" s="5" t="str">
        <x:v>Analysebewertung erhalten; keine neue Frage allein aus ID-Zahlen ableiten.</x:v>
      </x:c>
      <x:c r="J23" s="5" t="str">
        <x:v>Soll-Ist-Matrix 2026-09-27</x:v>
      </x:c>
      <x:c r="K23" s="5" t="str">
        <x:v>Vorbewertung aus Soll-Ist-Matrix; Kandidaten nicht automatisch Einzelbelege</x:v>
      </x:c>
      <x:c r="L23" s="5" t="str"/>
    </x:row>
    <x:row r="24" ht="36" customHeight="1">
      <x:c r="A24" s="5" t="str">
        <x:v>1.1.3.1</x:v>
      </x:c>
      <x:c r="B24" s="5" t="str">
        <x:v>Volks- und Betriebswirtschaft</x:v>
      </x:c>
      <x:c r="C24" s="5" t="str">
        <x:v>Ziele der Stabilitätspolitik</x:v>
      </x:c>
      <x:c r="D24" s="5" t="str">
        <x:v>vollständig abgedeckt</x:v>
      </x:c>
      <x:c r="E24" s="5" t="str">
        <x:v>vollständig abgedeckt</x:v>
      </x:c>
      <x:c r="F24" s="5" t="str"/>
      <x:c r="G24" s="5" t="str">
        <x:v>VWL-0063–VWL-0082; VWL-0138, VWL-0139</x:v>
      </x:c>
      <x:c r="H24" s="5" t="str"/>
      <x:c r="I24" s="5" t="str">
        <x:v>Analysebewertung erhalten; keine neue Frage allein aus ID-Zahlen ableiten.</x:v>
      </x:c>
      <x:c r="J24" s="5" t="str">
        <x:v>Soll-Ist-Matrix 2026-09-27</x:v>
      </x:c>
      <x:c r="K24" s="5" t="str">
        <x:v>Vorbewertung aus Soll-Ist-Matrix; Kandidaten nicht automatisch Einzelbelege</x:v>
      </x:c>
      <x:c r="L24" s="5" t="str">
        <x:v>VWL-0063; VWL-0064; VWL-0065; VWL-0066; VWL-0067; VWL-0068; VWL-0069; VWL-0070; VWL-0071; VWL-0072; VWL-0073; VWL-0074; VWL-0075; VWL-0076; VWL-0077; VWL-0078; VWL-0079; VWL-0080; VWL-0081; VWL-0082; VWL-0138; VWL-0139; VWL-0152; VWL-0153</x:v>
      </x:c>
    </x:row>
    <x:row r="25" ht="36" customHeight="1">
      <x:c r="A25" s="5" t="str">
        <x:v>1.1.3.1#1</x:v>
      </x:c>
      <x:c r="B25" s="5" t="str">
        <x:v>Volks- und Betriebswirtschaft</x:v>
      </x:c>
      <x:c r="C25" s="5" t="str">
        <x:v>Zielsetzungen und ihre Messbarkeit</x:v>
      </x:c>
      <x:c r="D25" s="5" t="str">
        <x:v>vollständig abgedeckt</x:v>
      </x:c>
      <x:c r="E25" s="5" t="str">
        <x:v>vollständig abgedeckt</x:v>
      </x:c>
      <x:c r="F25" s="5" t="str"/>
      <x:c r="G25" s="5" t="str">
        <x:v>VWL-0063–VWL-0082; VWL-0138, VWL-0139</x:v>
      </x:c>
      <x:c r="H25" s="5" t="str"/>
      <x:c r="I25" s="5" t="str">
        <x:v>Analysebewertung erhalten; keine neue Frage allein aus ID-Zahlen ableiten.</x:v>
      </x:c>
      <x:c r="J25" s="5" t="str">
        <x:v>Soll-Ist-Matrix 2026-09-27</x:v>
      </x:c>
      <x:c r="K25" s="5" t="str">
        <x:v>Vorbewertung aus Soll-Ist-Matrix; Kandidaten nicht automatisch Einzelbelege</x:v>
      </x:c>
      <x:c r="L25" s="5" t="str"/>
    </x:row>
    <x:row r="26" ht="36" customHeight="1">
      <x:c r="A26" s="5" t="str">
        <x:v>1.1.3.1#2</x:v>
      </x:c>
      <x:c r="B26" s="5" t="str">
        <x:v>Volks- und Betriebswirtschaft</x:v>
      </x:c>
      <x:c r="C26" s="5" t="str">
        <x:v>Zielkonflikte und Zielharmonien</x:v>
      </x:c>
      <x:c r="D26" s="5" t="str">
        <x:v>vollständig abgedeckt</x:v>
      </x:c>
      <x:c r="E26" s="5" t="str">
        <x:v>vollständig abgedeckt</x:v>
      </x:c>
      <x:c r="F26" s="5" t="str"/>
      <x:c r="G26" s="5" t="str">
        <x:v>VWL-0063–VWL-0082; VWL-0138, VWL-0139</x:v>
      </x:c>
      <x:c r="H26" s="5" t="str"/>
      <x:c r="I26" s="5" t="str">
        <x:v>Analysebewertung erhalten; keine neue Frage allein aus ID-Zahlen ableiten.</x:v>
      </x:c>
      <x:c r="J26" s="5" t="str">
        <x:v>Soll-Ist-Matrix 2026-09-27</x:v>
      </x:c>
      <x:c r="K26" s="5" t="str">
        <x:v>Vorbewertung aus Soll-Ist-Matrix; Kandidaten nicht automatisch Einzelbelege</x:v>
      </x:c>
      <x:c r="L26" s="5" t="str"/>
    </x:row>
    <x:row r="27" ht="36" customHeight="1">
      <x:c r="A27" s="5" t="str">
        <x:v>1.1.3.2</x:v>
      </x:c>
      <x:c r="B27" s="5" t="str">
        <x:v>Volks- und Betriebswirtschaft</x:v>
      </x:c>
      <x:c r="C27" s="5" t="str">
        <x:v>Wirtschaftspolitische Maßnahmen und Konzeptionen</x:v>
      </x:c>
      <x:c r="D27" s="5" t="str">
        <x:v>vollständig abgedeckt</x:v>
      </x:c>
      <x:c r="E27" s="5" t="str">
        <x:v>vollständig abgedeckt</x:v>
      </x:c>
      <x:c r="F27" s="5" t="str"/>
      <x:c r="G27" s="5" t="str">
        <x:v>VWL-0083–VWL-0102; VWL-0140; VWL-0063–VWL-0082; VWL-0138, VWL-0139; VWL-0103–VWL-0111</x:v>
      </x:c>
      <x:c r="H27" s="5" t="str"/>
      <x:c r="I27" s="5" t="str">
        <x:v>Analysebewertung erhalten; keine neue Frage allein aus ID-Zahlen ableiten.</x:v>
      </x:c>
      <x:c r="J27" s="5" t="str">
        <x:v>Soll-Ist-Matrix 2026-09-27</x:v>
      </x:c>
      <x:c r="K27" s="5" t="str">
        <x:v>Vorbewertung aus Soll-Ist-Matrix; Kandidaten nicht automatisch Einzelbelege</x:v>
      </x:c>
      <x:c r="L27" s="5" t="str">
        <x:v>VWL-0083; VWL-0084; VWL-0085; VWL-0086; VWL-0087; VWL-0088; VWL-0090; VWL-0092; VWL-0093; VWL-0094; VWL-0095; VWL-0096; VWL-0097; VWL-0098; VWL-0099; VWL-0101; VWL-0102; VWL-0103; VWL-0105; VWL-0106; VWL-0110; VWL-0111</x:v>
      </x:c>
    </x:row>
    <x:row r="28" ht="36" customHeight="1">
      <x:c r="A28" s="5" t="str">
        <x:v>1.1.3.2#1</x:v>
      </x:c>
      <x:c r="B28" s="5" t="str">
        <x:v>Volks- und Betriebswirtschaft</x:v>
      </x:c>
      <x:c r="C28" s="5" t="str">
        <x:v>Geldpolitik</x:v>
      </x:c>
      <x:c r="D28" s="5" t="str">
        <x:v>vollständig abgedeckt</x:v>
      </x:c>
      <x:c r="E28" s="5" t="str">
        <x:v>vollständig abgedeckt</x:v>
      </x:c>
      <x:c r="F28" s="5" t="str"/>
      <x:c r="G28" s="5" t="str">
        <x:v>VWL-0083–VWL-0095</x:v>
      </x:c>
      <x:c r="H28" s="5" t="str"/>
      <x:c r="I28" s="5" t="str">
        <x:v>Analysebewertung erhalten; keine neue Frage allein aus ID-Zahlen ableiten.</x:v>
      </x:c>
      <x:c r="J28" s="5" t="str">
        <x:v>Soll-Ist-Matrix 2026-09-27</x:v>
      </x:c>
      <x:c r="K28" s="5" t="str">
        <x:v>Vorbewertung aus Soll-Ist-Matrix; Kandidaten nicht automatisch Einzelbelege</x:v>
      </x:c>
      <x:c r="L28" s="5" t="str">
        <x:v>VWL-0089; VWL-0091</x:v>
      </x:c>
    </x:row>
    <x:row r="29" ht="36" customHeight="1">
      <x:c r="A29" s="5" t="str">
        <x:v>1.1.3.2#2</x:v>
      </x:c>
      <x:c r="B29" s="5" t="str">
        <x:v>Volks- und Betriebswirtschaft</x:v>
      </x:c>
      <x:c r="C29" s="5" t="str">
        <x:v>Finanzpolitik</x:v>
      </x:c>
      <x:c r="D29" s="5" t="str">
        <x:v>vollständig abgedeckt</x:v>
      </x:c>
      <x:c r="E29" s="5" t="str">
        <x:v>vollständig abgedeckt</x:v>
      </x:c>
      <x:c r="F29" s="5" t="str"/>
      <x:c r="G29" s="5" t="str">
        <x:v>VWL-0083–VWL-0095</x:v>
      </x:c>
      <x:c r="H29" s="5" t="str"/>
      <x:c r="I29" s="5" t="str">
        <x:v>Analysebewertung erhalten; keine neue Frage allein aus ID-Zahlen ableiten.</x:v>
      </x:c>
      <x:c r="J29" s="5" t="str">
        <x:v>Soll-Ist-Matrix 2026-09-27</x:v>
      </x:c>
      <x:c r="K29" s="5" t="str">
        <x:v>Vorbewertung aus Soll-Ist-Matrix; Kandidaten nicht automatisch Einzelbelege</x:v>
      </x:c>
      <x:c r="L29" s="5" t="str"/>
    </x:row>
    <x:row r="30" ht="36" customHeight="1">
      <x:c r="A30" s="5" t="str">
        <x:v>1.1.3.2#3</x:v>
      </x:c>
      <x:c r="B30" s="5" t="str">
        <x:v>Volks- und Betriebswirtschaft</x:v>
      </x:c>
      <x:c r="C30" s="5" t="str">
        <x:v>Wachstumspolitik</x:v>
      </x:c>
      <x:c r="D30" s="5" t="str">
        <x:v>vollständig abgedeckt</x:v>
      </x:c>
      <x:c r="E30" s="5" t="str">
        <x:v>vollständig abgedeckt</x:v>
      </x:c>
      <x:c r="F30" s="5" t="str"/>
      <x:c r="G30" s="5" t="str">
        <x:v>VWL-0096–VWL-0102; VWL-0140; VWL-0063–VWL-0082; VWL-0138, VWL-0139</x:v>
      </x:c>
      <x:c r="H30" s="5" t="str"/>
      <x:c r="I30" s="5" t="str">
        <x:v>Analysebewertung erhalten; keine neue Frage allein aus ID-Zahlen ableiten.</x:v>
      </x:c>
      <x:c r="J30" s="5" t="str">
        <x:v>Soll-Ist-Matrix 2026-09-27</x:v>
      </x:c>
      <x:c r="K30" s="5" t="str">
        <x:v>Vorbewertung aus Soll-Ist-Matrix; Kandidaten nicht automatisch Einzelbelege</x:v>
      </x:c>
      <x:c r="L30" s="5" t="str">
        <x:v>VWL-0140</x:v>
      </x:c>
    </x:row>
    <x:row r="31" ht="36" customHeight="1">
      <x:c r="A31" s="5" t="str">
        <x:v>1.1.3.2#4</x:v>
      </x:c>
      <x:c r="B31" s="5" t="str">
        <x:v>Volks- und Betriebswirtschaft</x:v>
      </x:c>
      <x:c r="C31" s="5" t="str">
        <x:v>Tarifpolitik</x:v>
      </x:c>
      <x:c r="D31" s="5" t="str">
        <x:v>vollständig abgedeckt</x:v>
      </x:c>
      <x:c r="E31" s="5" t="str">
        <x:v>vollständig abgedeckt</x:v>
      </x:c>
      <x:c r="F31" s="5" t="str"/>
      <x:c r="G31" s="5" t="str">
        <x:v>VWL-0096–VWL-0102; VWL-0140</x:v>
      </x:c>
      <x:c r="H31" s="5" t="str"/>
      <x:c r="I31" s="5" t="str">
        <x:v>Analysebewertung erhalten; keine neue Frage allein aus ID-Zahlen ableiten.</x:v>
      </x:c>
      <x:c r="J31" s="5" t="str">
        <x:v>Soll-Ist-Matrix 2026-09-27</x:v>
      </x:c>
      <x:c r="K31" s="5" t="str">
        <x:v>Vorbewertung aus Soll-Ist-Matrix; Kandidaten nicht automatisch Einzelbelege</x:v>
      </x:c>
      <x:c r="L31" s="5" t="str"/>
    </x:row>
    <x:row r="32" ht="36" customHeight="1">
      <x:c r="A32" s="5" t="str">
        <x:v>1.1.3.2#5</x:v>
      </x:c>
      <x:c r="B32" s="5" t="str">
        <x:v>Volks- und Betriebswirtschaft</x:v>
      </x:c>
      <x:c r="C32" s="5" t="str">
        <x:v>Arbeitsmarktpolitik</x:v>
      </x:c>
      <x:c r="D32" s="5" t="str">
        <x:v>vollständig abgedeckt</x:v>
      </x:c>
      <x:c r="E32" s="5" t="str">
        <x:v>vollständig abgedeckt</x:v>
      </x:c>
      <x:c r="F32" s="5" t="str"/>
      <x:c r="G32" s="5" t="str">
        <x:v>VWL-0096–VWL-0102; VWL-0140; VWL-0063–VWL-0082; VWL-0138, VWL-0139</x:v>
      </x:c>
      <x:c r="H32" s="5" t="str"/>
      <x:c r="I32" s="5" t="str">
        <x:v>Analysebewertung erhalten; keine neue Frage allein aus ID-Zahlen ableiten.</x:v>
      </x:c>
      <x:c r="J32" s="5" t="str">
        <x:v>Soll-Ist-Matrix 2026-09-27</x:v>
      </x:c>
      <x:c r="K32" s="5" t="str">
        <x:v>Vorbewertung aus Soll-Ist-Matrix; Kandidaten nicht automatisch Einzelbelege</x:v>
      </x:c>
      <x:c r="L32" s="5" t="str">
        <x:v>VWL-0100</x:v>
      </x:c>
    </x:row>
    <x:row r="33" ht="36" customHeight="1">
      <x:c r="A33" s="5" t="str">
        <x:v>1.1.3.2#6</x:v>
      </x:c>
      <x:c r="B33" s="5" t="str">
        <x:v>Volks- und Betriebswirtschaft</x:v>
      </x:c>
      <x:c r="C33" s="5" t="str">
        <x:v>Umweltpolitik</x:v>
      </x:c>
      <x:c r="D33" s="5" t="str">
        <x:v>vollständig abgedeckt</x:v>
      </x:c>
      <x:c r="E33" s="5" t="str">
        <x:v>vollständig abgedeckt</x:v>
      </x:c>
      <x:c r="F33" s="5" t="str"/>
      <x:c r="G33" s="5" t="str">
        <x:v>VWL-0103–VWL-0111</x:v>
      </x:c>
      <x:c r="H33" s="5" t="str"/>
      <x:c r="I33" s="5" t="str">
        <x:v>Analysebewertung erhalten; keine neue Frage allein aus ID-Zahlen ableiten.</x:v>
      </x:c>
      <x:c r="J33" s="5" t="str">
        <x:v>Soll-Ist-Matrix 2026-09-27</x:v>
      </x:c>
      <x:c r="K33" s="5" t="str">
        <x:v>Vorbewertung aus Soll-Ist-Matrix; Kandidaten nicht automatisch Einzelbelege</x:v>
      </x:c>
      <x:c r="L33" s="5" t="str">
        <x:v>VWL-0104</x:v>
      </x:c>
    </x:row>
    <x:row r="34" ht="36" customHeight="1">
      <x:c r="A34" s="5" t="str">
        <x:v>1.1.3.2#7</x:v>
      </x:c>
      <x:c r="B34" s="5" t="str">
        <x:v>Volks- und Betriebswirtschaft</x:v>
      </x:c>
      <x:c r="C34" s="5" t="str">
        <x:v>Unterscheidung nachfrage- und angebotsorientierte Wirtschaftspolitik</x:v>
      </x:c>
      <x:c r="D34" s="5" t="str">
        <x:v>vollständig abgedeckt</x:v>
      </x:c>
      <x:c r="E34" s="5" t="str">
        <x:v>vollständig abgedeckt</x:v>
      </x:c>
      <x:c r="F34" s="5" t="str"/>
      <x:c r="G34" s="5" t="str">
        <x:v>VWL-0103–VWL-0111</x:v>
      </x:c>
      <x:c r="H34" s="5" t="str"/>
      <x:c r="I34" s="5" t="str">
        <x:v>Analysebewertung erhalten; keine neue Frage allein aus ID-Zahlen ableiten.</x:v>
      </x:c>
      <x:c r="J34" s="5" t="str">
        <x:v>Soll-Ist-Matrix 2026-09-27</x:v>
      </x:c>
      <x:c r="K34" s="5" t="str">
        <x:v>Vorbewertung aus Soll-Ist-Matrix; Kandidaten nicht automatisch Einzelbelege</x:v>
      </x:c>
      <x:c r="L34" s="5" t="str">
        <x:v>VWL-0107; VWL-0108; VWL-0109</x:v>
      </x:c>
    </x:row>
    <x:row r="35" ht="36" customHeight="1">
      <x:c r="A35" s="5" t="str">
        <x:v>1.1.4</x:v>
      </x:c>
      <x:c r="B35" s="5" t="str">
        <x:v>Volks- und Betriebswirtschaft</x:v>
      </x:c>
      <x:c r="C35" s="5" t="str">
        <x:v>Außenwirtschaft</x:v>
      </x:c>
      <x:c r="D35" s="5" t="str">
        <x:v>vollständig abgedeckt</x:v>
      </x:c>
      <x:c r="E35" s="5" t="str">
        <x:v>vollständig abgedeckt</x:v>
      </x:c>
      <x:c r="F35" s="5" t="str"/>
      <x:c r="G35" s="5" t="str">
        <x:v>VWL-0112–VWL-0114; VWL-0120–VWL-0123; VWL-0125, VWL-0126; VWL-0141, VWL-0142; VWL-0154–VWL-0157; VWL-0115–VWL-0119; VWL-0124; VWL-0083–VWL-0095</x:v>
      </x:c>
      <x:c r="H35" s="5" t="str"/>
      <x:c r="I35" s="5" t="str">
        <x:v>Analysebewertung erhalten; keine neue Frage allein aus ID-Zahlen ableiten.</x:v>
      </x:c>
      <x:c r="J35" s="5" t="str">
        <x:v>Soll-Ist-Matrix 2026-09-27</x:v>
      </x:c>
      <x:c r="K35" s="5" t="str">
        <x:v>Vorbewertung aus Soll-Ist-Matrix; Kandidaten nicht automatisch Einzelbelege</x:v>
      </x:c>
      <x:c r="L35" s="5" t="str"/>
    </x:row>
    <x:row r="36" ht="36" customHeight="1">
      <x:c r="A36" s="5" t="str">
        <x:v>1.1.4.1</x:v>
      </x:c>
      <x:c r="B36" s="5" t="str">
        <x:v>Volks- und Betriebswirtschaft</x:v>
      </x:c>
      <x:c r="C36" s="5" t="str">
        <x:v>Freihandel und Protektionismus</x:v>
      </x:c>
      <x:c r="D36" s="5" t="str">
        <x:v>vollständig abgedeckt</x:v>
      </x:c>
      <x:c r="E36" s="5" t="str">
        <x:v>vollständig abgedeckt</x:v>
      </x:c>
      <x:c r="F36" s="5" t="str"/>
      <x:c r="G36" s="5" t="str">
        <x:v>VWL-0112–VWL-0114; VWL-0120–VWL-0123; VWL-0125, VWL-0126; VWL-0141, VWL-0142; VWL-0154–VWL-0157</x:v>
      </x:c>
      <x:c r="H36" s="5" t="str"/>
      <x:c r="I36" s="5" t="str">
        <x:v>Analysebewertung erhalten; keine neue Frage allein aus ID-Zahlen ableiten.</x:v>
      </x:c>
      <x:c r="J36" s="5" t="str">
        <x:v>Soll-Ist-Matrix 2026-09-27</x:v>
      </x:c>
      <x:c r="K36" s="5" t="str">
        <x:v>Vorbewertung aus Soll-Ist-Matrix; Kandidaten nicht automatisch Einzelbelege</x:v>
      </x:c>
      <x:c r="L36" s="5" t="str">
        <x:v>VWL-0112; VWL-0113; VWL-0114; VWL-0120; VWL-0121; VWL-0122; VWL-0123; VWL-0125; VWL-0126; VWL-0141; VWL-0142; VWL-0154; VWL-0155; VWL-0156; VWL-0157</x:v>
      </x:c>
    </x:row>
    <x:row r="37" ht="36" customHeight="1">
      <x:c r="A37" s="5" t="str">
        <x:v>1.1.4.2</x:v>
      </x:c>
      <x:c r="B37" s="5" t="str">
        <x:v>Volks- und Betriebswirtschaft</x:v>
      </x:c>
      <x:c r="C37" s="5" t="str">
        <x:v>Besonderheiten der EU</x:v>
      </x:c>
      <x:c r="D37" s="5" t="str">
        <x:v>vollständig abgedeckt</x:v>
      </x:c>
      <x:c r="E37" s="5" t="str">
        <x:v>vollständig abgedeckt</x:v>
      </x:c>
      <x:c r="F37" s="5" t="str"/>
      <x:c r="G37" s="5" t="str">
        <x:v>VWL-0115–VWL-0119; VWL-0124; VWL-0083–VWL-0095</x:v>
      </x:c>
      <x:c r="H37" s="5" t="str"/>
      <x:c r="I37" s="5" t="str">
        <x:v>Analysebewertung erhalten; keine neue Frage allein aus ID-Zahlen ableiten.</x:v>
      </x:c>
      <x:c r="J37" s="5" t="str">
        <x:v>Soll-Ist-Matrix 2026-09-27</x:v>
      </x:c>
      <x:c r="K37" s="5" t="str">
        <x:v>Vorbewertung aus Soll-Ist-Matrix; Kandidaten nicht automatisch Einzelbelege</x:v>
      </x:c>
      <x:c r="L37" s="5" t="str">
        <x:v>VWL-0116; VWL-0119; VWL-0124</x:v>
      </x:c>
    </x:row>
    <x:row r="38" ht="36" customHeight="1">
      <x:c r="A38" s="5" t="str">
        <x:v>1.1.4.2#1</x:v>
      </x:c>
      <x:c r="B38" s="5" t="str">
        <x:v>Volks- und Betriebswirtschaft</x:v>
      </x:c>
      <x:c r="C38" s="5" t="str">
        <x:v>Europäischer Binnenmarkt</x:v>
      </x:c>
      <x:c r="D38" s="5" t="str">
        <x:v>vollständig abgedeckt</x:v>
      </x:c>
      <x:c r="E38" s="5" t="str">
        <x:v>vollständig abgedeckt</x:v>
      </x:c>
      <x:c r="F38" s="5" t="str"/>
      <x:c r="G38" s="5" t="str">
        <x:v>VWL-0115–VWL-0119; VWL-0124</x:v>
      </x:c>
      <x:c r="H38" s="5" t="str"/>
      <x:c r="I38" s="5" t="str">
        <x:v>Analysebewertung erhalten; keine neue Frage allein aus ID-Zahlen ableiten.</x:v>
      </x:c>
      <x:c r="J38" s="5" t="str">
        <x:v>Soll-Ist-Matrix 2026-09-27</x:v>
      </x:c>
      <x:c r="K38" s="5" t="str">
        <x:v>Vorbewertung aus Soll-Ist-Matrix; Kandidaten nicht automatisch Einzelbelege</x:v>
      </x:c>
      <x:c r="L38" s="5" t="str">
        <x:v>VWL-0118</x:v>
      </x:c>
    </x:row>
    <x:row r="39" ht="36" customHeight="1">
      <x:c r="A39" s="5" t="str">
        <x:v>1.1.4.2#2</x:v>
      </x:c>
      <x:c r="B39" s="5" t="str">
        <x:v>Volks- und Betriebswirtschaft</x:v>
      </x:c>
      <x:c r="C39" s="5" t="str">
        <x:v>Europäische Währungsunion</x:v>
      </x:c>
      <x:c r="D39" s="5" t="str">
        <x:v>vollständig abgedeckt</x:v>
      </x:c>
      <x:c r="E39" s="5" t="str">
        <x:v>vollständig abgedeckt</x:v>
      </x:c>
      <x:c r="F39" s="5" t="str"/>
      <x:c r="G39" s="5" t="str">
        <x:v>VWL-0115–VWL-0119; VWL-0124; VWL-0083–VWL-0095</x:v>
      </x:c>
      <x:c r="H39" s="5" t="str"/>
      <x:c r="I39" s="5" t="str">
        <x:v>Analysebewertung erhalten; keine neue Frage allein aus ID-Zahlen ableiten.</x:v>
      </x:c>
      <x:c r="J39" s="5" t="str">
        <x:v>Soll-Ist-Matrix 2026-09-27</x:v>
      </x:c>
      <x:c r="K39" s="5" t="str">
        <x:v>Vorbewertung aus Soll-Ist-Matrix; Kandidaten nicht automatisch Einzelbelege</x:v>
      </x:c>
      <x:c r="L39" s="5" t="str">
        <x:v>VWL-0115; VWL-0117</x:v>
      </x:c>
    </x:row>
    <x:row r="40" ht="36" customHeight="1">
      <x:c r="A40" s="5" t="str">
        <x:v>1.2</x:v>
      </x:c>
      <x:c r="B40" s="5" t="str">
        <x:v>Volks- und Betriebswirtschaft</x:v>
      </x:c>
      <x:c r="C40" s="5" t="str">
        <x:v>Betriebliche Funktionen und deren Zusammenwirken</x:v>
      </x:c>
      <x:c r="D40" s="5" t="str">
        <x:v>vollständig abgedeckt</x:v>
      </x:c>
      <x:c r="E40" s="5" t="str">
        <x:v>vollständig abgedeckt</x:v>
      </x:c>
      <x:c r="F40" s="5" t="str"/>
      <x:c r="G40" s="5" t="str">
        <x:v>BWL-0002–BWL-0007; BWL-0092–BWL-0095; BWL-0116; BWL-0118, BWL-0119; BWL-0008–BWL-0014; BWL-0096, BWL-0097; BWL-0120; BWL-0015–BWL-0028; BWL-0030; BWL-0098, BWL-0099; BWL-0121, BWL-0122; BWL-0031–BWL-0038; BWL-0100–BWL-0103; BWL-0039–BWL-0049; BWL-0051; BWL-0079; BWL-0104, BWL-0105; BWL-0123, BWL-0124; BWL-0052–BWL-0061; BWL-0106; BWL-0001; BWL-0029; BWL-0062–BWL-0065; BWL-0088; BWL-0107–BWL-0109; BWL-0114, BWL-0115; BWL-0117; BWL-0125</x:v>
      </x:c>
      <x:c r="H40" s="5" t="str"/>
      <x:c r="I40" s="5" t="str">
        <x:v>Analysebewertung erhalten; keine neue Frage allein aus ID-Zahlen ableiten.</x:v>
      </x:c>
      <x:c r="J40" s="5" t="str">
        <x:v>Soll-Ist-Matrix 2026-09-27</x:v>
      </x:c>
      <x:c r="K40" s="5" t="str">
        <x:v>Vorbewertung aus Soll-Ist-Matrix; Kandidaten nicht automatisch Einzelbelege</x:v>
      </x:c>
      <x:c r="L40" s="5" t="str"/>
    </x:row>
    <x:row r="41" ht="36" customHeight="1">
      <x:c r="A41" s="5" t="str">
        <x:v>1.2.1</x:v>
      </x:c>
      <x:c r="B41" s="5" t="str">
        <x:v>Volks- und Betriebswirtschaft</x:v>
      </x:c>
      <x:c r="C41" s="5" t="str">
        <x:v>Ziele und Aufgaben der betrieblichen Funktionen</x:v>
      </x:c>
      <x:c r="D41" s="5" t="str">
        <x:v>vollständig abgedeckt</x:v>
      </x:c>
      <x:c r="E41" s="5" t="str">
        <x:v>vollständig abgedeckt</x:v>
      </x:c>
      <x:c r="F41" s="5" t="str"/>
      <x:c r="G41" s="5" t="str">
        <x:v>BWL-0002–BWL-0007; BWL-0092–BWL-0095; BWL-0116; BWL-0118, BWL-0119; BWL-0008–BWL-0014; BWL-0096, BWL-0097; BWL-0120; BWL-0015–BWL-0028; BWL-0030; BWL-0098, BWL-0099; BWL-0121, BWL-0122; BWL-0031–BWL-0038; BWL-0100–BWL-0103; BWL-0039–BWL-0049; BWL-0051; BWL-0079; BWL-0104, BWL-0105; BWL-0123, BWL-0124; BWL-0052–BWL-0061; BWL-0106</x:v>
      </x:c>
      <x:c r="H41" s="5" t="str"/>
      <x:c r="I41" s="5" t="str">
        <x:v>Analysebewertung erhalten; keine neue Frage allein aus ID-Zahlen ableiten.</x:v>
      </x:c>
      <x:c r="J41" s="5" t="str">
        <x:v>Soll-Ist-Matrix 2026-09-27</x:v>
      </x:c>
      <x:c r="K41" s="5" t="str">
        <x:v>Vorbewertung aus Soll-Ist-Matrix; Kandidaten nicht automatisch Einzelbelege</x:v>
      </x:c>
      <x:c r="L41" s="5" t="str"/>
    </x:row>
    <x:row r="42" ht="36" customHeight="1">
      <x:c r="A42" s="5" t="str">
        <x:v>1.2.1.1</x:v>
      </x:c>
      <x:c r="B42" s="5" t="str">
        <x:v>Volks- und Betriebswirtschaft</x:v>
      </x:c>
      <x:c r="C42" s="5" t="str">
        <x:v>Produktion</x:v>
      </x:c>
      <x:c r="D42" s="5" t="str">
        <x:v>vollständig abgedeckt</x:v>
      </x:c>
      <x:c r="E42" s="5" t="str">
        <x:v>vollständig abgedeckt</x:v>
      </x:c>
      <x:c r="F42" s="5" t="str"/>
      <x:c r="G42" s="5" t="str">
        <x:v>BWL-0002–BWL-0007; BWL-0092–BWL-0095; BWL-0116; BWL-0118, BWL-0119</x:v>
      </x:c>
      <x:c r="H42" s="5" t="str"/>
      <x:c r="I42" s="5" t="str">
        <x:v>Analysebewertung erhalten; keine neue Frage allein aus ID-Zahlen ableiten.</x:v>
      </x:c>
      <x:c r="J42" s="5" t="str">
        <x:v>Soll-Ist-Matrix 2026-09-27</x:v>
      </x:c>
      <x:c r="K42" s="5" t="str">
        <x:v>Vorbewertung aus Soll-Ist-Matrix; Kandidaten nicht automatisch Einzelbelege</x:v>
      </x:c>
      <x:c r="L42" s="5" t="str">
        <x:v>BWL-0002; BWL-0003; BWL-0004; BWL-0005; BWL-0006; BWL-0007; BWL-0092; BWL-0093; BWL-0094; BWL-0095; BWL-0116; BWL-0118; BWL-0119</x:v>
      </x:c>
    </x:row>
    <x:row r="43" ht="36" customHeight="1">
      <x:c r="A43" s="5" t="str">
        <x:v>1.2.1.2</x:v>
      </x:c>
      <x:c r="B43" s="5" t="str">
        <x:v>Volks- und Betriebswirtschaft</x:v>
      </x:c>
      <x:c r="C43" s="5" t="str">
        <x:v>Logistik</x:v>
      </x:c>
      <x:c r="D43" s="5" t="str">
        <x:v>vollständig abgedeckt</x:v>
      </x:c>
      <x:c r="E43" s="5" t="str">
        <x:v>vollständig abgedeckt</x:v>
      </x:c>
      <x:c r="F43" s="5" t="str"/>
      <x:c r="G43" s="5" t="str">
        <x:v>BWL-0008–BWL-0014; BWL-0096, BWL-0097; BWL-0120</x:v>
      </x:c>
      <x:c r="H43" s="5" t="str"/>
      <x:c r="I43" s="5" t="str">
        <x:v>Analysebewertung erhalten; keine neue Frage allein aus ID-Zahlen ableiten.</x:v>
      </x:c>
      <x:c r="J43" s="5" t="str">
        <x:v>Soll-Ist-Matrix 2026-09-27</x:v>
      </x:c>
      <x:c r="K43" s="5" t="str">
        <x:v>Vorbewertung aus Soll-Ist-Matrix; Kandidaten nicht automatisch Einzelbelege</x:v>
      </x:c>
      <x:c r="L43" s="5" t="str">
        <x:v>BWL-0008; BWL-0009; BWL-0010; BWL-0011; BWL-0012; BWL-0013; BWL-0014; BWL-0096; BWL-0097; BWL-0120</x:v>
      </x:c>
    </x:row>
    <x:row r="44" ht="36" customHeight="1">
      <x:c r="A44" s="5" t="str">
        <x:v>1.2.1.3</x:v>
      </x:c>
      <x:c r="B44" s="5" t="str">
        <x:v>Volks- und Betriebswirtschaft</x:v>
      </x:c>
      <x:c r="C44" s="5" t="str">
        <x:v>Absatz / Marketing</x:v>
      </x:c>
      <x:c r="D44" s="5" t="str">
        <x:v>vollständig abgedeckt</x:v>
      </x:c>
      <x:c r="E44" s="5" t="str">
        <x:v>vollständig abgedeckt</x:v>
      </x:c>
      <x:c r="F44" s="5" t="str"/>
      <x:c r="G44" s="5" t="str">
        <x:v>BWL-0015–BWL-0028; BWL-0030; BWL-0098, BWL-0099; BWL-0121, BWL-0122</x:v>
      </x:c>
      <x:c r="H44" s="5" t="str"/>
      <x:c r="I44" s="5" t="str">
        <x:v>Analysebewertung erhalten; keine neue Frage allein aus ID-Zahlen ableiten.</x:v>
      </x:c>
      <x:c r="J44" s="5" t="str">
        <x:v>Soll-Ist-Matrix 2026-09-27</x:v>
      </x:c>
      <x:c r="K44" s="5" t="str">
        <x:v>Vorbewertung aus Soll-Ist-Matrix; Kandidaten nicht automatisch Einzelbelege</x:v>
      </x:c>
      <x:c r="L44" s="5" t="str">
        <x:v>BWL-0015; BWL-0016; BWL-0017; BWL-0018; BWL-0019; BWL-0020; BWL-0021; BWL-0022; BWL-0023; BWL-0024; BWL-0025; BWL-0026; BWL-0027; BWL-0028; BWL-0030; BWL-0098; BWL-0099; BWL-0121; BWL-0122</x:v>
      </x:c>
    </x:row>
    <x:row r="45" ht="36" customHeight="1">
      <x:c r="A45" s="5" t="str">
        <x:v>1.2.1.4</x:v>
      </x:c>
      <x:c r="B45" s="5" t="str">
        <x:v>Volks- und Betriebswirtschaft</x:v>
      </x:c>
      <x:c r="C45" s="5" t="str">
        <x:v>Rechnungswesen</x:v>
      </x:c>
      <x:c r="D45" s="5" t="str">
        <x:v>vollständig abgedeckt</x:v>
      </x:c>
      <x:c r="E45" s="5" t="str">
        <x:v>vollständig abgedeckt</x:v>
      </x:c>
      <x:c r="F45" s="5" t="str"/>
      <x:c r="G45" s="5" t="str">
        <x:v>BWL-0031–BWL-0038; BWL-0100–BWL-0103</x:v>
      </x:c>
      <x:c r="H45" s="5" t="str"/>
      <x:c r="I45" s="5" t="str">
        <x:v>Analysebewertung erhalten; keine neue Frage allein aus ID-Zahlen ableiten.</x:v>
      </x:c>
      <x:c r="J45" s="5" t="str">
        <x:v>Soll-Ist-Matrix 2026-09-27</x:v>
      </x:c>
      <x:c r="K45" s="5" t="str">
        <x:v>Vorbewertung aus Soll-Ist-Matrix; Kandidaten nicht automatisch Einzelbelege</x:v>
      </x:c>
      <x:c r="L45" s="5" t="str">
        <x:v>BWL-0031; BWL-0032; BWL-0033; BWL-0034; BWL-0035; BWL-0036; BWL-0037; BWL-0038; BWL-0100; BWL-0101; BWL-0102; BWL-0103</x:v>
      </x:c>
    </x:row>
    <x:row r="46" ht="36" customHeight="1">
      <x:c r="A46" s="5" t="str">
        <x:v>1.2.1.5</x:v>
      </x:c>
      <x:c r="B46" s="5" t="str">
        <x:v>Volks- und Betriebswirtschaft</x:v>
      </x:c>
      <x:c r="C46" s="5" t="str">
        <x:v>Finanzierung / Investition</x:v>
      </x:c>
      <x:c r="D46" s="5" t="str">
        <x:v>vollständig abgedeckt</x:v>
      </x:c>
      <x:c r="E46" s="5" t="str">
        <x:v>vollständig abgedeckt</x:v>
      </x:c>
      <x:c r="F46" s="5" t="str"/>
      <x:c r="G46" s="5" t="str">
        <x:v>BWL-0039–BWL-0049; BWL-0051; BWL-0079; BWL-0104, BWL-0105; BWL-0123, BWL-0124</x:v>
      </x:c>
      <x:c r="H46" s="5" t="str"/>
      <x:c r="I46" s="5" t="str">
        <x:v>Analysebewertung erhalten; keine neue Frage allein aus ID-Zahlen ableiten.</x:v>
      </x:c>
      <x:c r="J46" s="5" t="str">
        <x:v>Soll-Ist-Matrix 2026-09-27</x:v>
      </x:c>
      <x:c r="K46" s="5" t="str">
        <x:v>Vorbewertung aus Soll-Ist-Matrix; Kandidaten nicht automatisch Einzelbelege</x:v>
      </x:c>
      <x:c r="L46" s="5" t="str">
        <x:v>BWL-0039; BWL-0040; BWL-0041; BWL-0042; BWL-0043; BWL-0044; BWL-0045; BWL-0046; BWL-0047; BWL-0048; BWL-0049; BWL-0051; BWL-0079; BWL-0104; BWL-0105; BWL-0123; BWL-0124</x:v>
      </x:c>
    </x:row>
    <x:row r="47" ht="36" customHeight="1">
      <x:c r="A47" s="5" t="str">
        <x:v>1.2.1.6</x:v>
      </x:c>
      <x:c r="B47" s="5" t="str">
        <x:v>Volks- und Betriebswirtschaft</x:v>
      </x:c>
      <x:c r="C47" s="5" t="str">
        <x:v>Controlling</x:v>
      </x:c>
      <x:c r="D47" s="5" t="str">
        <x:v>vollständig abgedeckt</x:v>
      </x:c>
      <x:c r="E47" s="5" t="str">
        <x:v>vollständig abgedeckt</x:v>
      </x:c>
      <x:c r="F47" s="5" t="str"/>
      <x:c r="G47" s="5" t="str">
        <x:v>BWL-0052–BWL-0055</x:v>
      </x:c>
      <x:c r="H47" s="5" t="str"/>
      <x:c r="I47" s="5" t="str">
        <x:v>Analysebewertung erhalten; keine neue Frage allein aus ID-Zahlen ableiten.</x:v>
      </x:c>
      <x:c r="J47" s="5" t="str">
        <x:v>Soll-Ist-Matrix 2026-09-27</x:v>
      </x:c>
      <x:c r="K47" s="5" t="str">
        <x:v>Vorbewertung aus Soll-Ist-Matrix; Kandidaten nicht automatisch Einzelbelege</x:v>
      </x:c>
      <x:c r="L47" s="5" t="str">
        <x:v>BWL-0052; BWL-0053; BWL-0054; BWL-0055</x:v>
      </x:c>
    </x:row>
    <x:row r="48" ht="36" customHeight="1">
      <x:c r="A48" s="5" t="str">
        <x:v>1.2.1.7</x:v>
      </x:c>
      <x:c r="B48" s="5" t="str">
        <x:v>Volks- und Betriebswirtschaft</x:v>
      </x:c>
      <x:c r="C48" s="5" t="str">
        <x:v>Personal</x:v>
      </x:c>
      <x:c r="D48" s="5" t="str">
        <x:v>vollständig abgedeckt</x:v>
      </x:c>
      <x:c r="E48" s="5" t="str">
        <x:v>vollständig abgedeckt</x:v>
      </x:c>
      <x:c r="F48" s="5" t="str"/>
      <x:c r="G48" s="5" t="str">
        <x:v>BWL-0056–BWL-0061; BWL-0106</x:v>
      </x:c>
      <x:c r="H48" s="5" t="str"/>
      <x:c r="I48" s="5" t="str">
        <x:v>Analysebewertung erhalten; keine neue Frage allein aus ID-Zahlen ableiten.</x:v>
      </x:c>
      <x:c r="J48" s="5" t="str">
        <x:v>Soll-Ist-Matrix 2026-09-27</x:v>
      </x:c>
      <x:c r="K48" s="5" t="str">
        <x:v>Vorbewertung aus Soll-Ist-Matrix; Kandidaten nicht automatisch Einzelbelege</x:v>
      </x:c>
      <x:c r="L48" s="5" t="str">
        <x:v>BWL-0056; BWL-0057; BWL-0058; BWL-0059; BWL-0060; BWL-0061; BWL-0106</x:v>
      </x:c>
    </x:row>
    <x:row r="49" ht="36" customHeight="1">
      <x:c r="A49" s="5" t="str">
        <x:v>1.2.2</x:v>
      </x:c>
      <x:c r="B49" s="5" t="str">
        <x:v>Volks- und Betriebswirtschaft</x:v>
      </x:c>
      <x:c r="C49" s="5" t="str">
        <x:v>Zusammenwirken der betrieblichen Funktionen</x:v>
      </x:c>
      <x:c r="D49" s="5" t="str">
        <x:v>vollständig abgedeckt</x:v>
      </x:c>
      <x:c r="E49" s="5" t="str">
        <x:v>vollständig abgedeckt</x:v>
      </x:c>
      <x:c r="F49" s="5" t="str"/>
      <x:c r="G49" s="5" t="str">
        <x:v>BWL-0001; BWL-0029; BWL-0062–BWL-0065; BWL-0088; BWL-0107–BWL-0109; BWL-0114, BWL-0115; BWL-0117; BWL-0125; BWL-0002–BWL-0007; BWL-0092–BWL-0095; BWL-0116; BWL-0118, BWL-0119; BWL-0008–BWL-0014; BWL-0096, BWL-0097; BWL-0120; BWL-0015–BWL-0028; BWL-0030; BWL-0098, BWL-0099; BWL-0121, BWL-0122; BWL-0031–BWL-0038; BWL-0100–BWL-0103; BWL-0039–BWL-0049; BWL-0051; BWL-0079; BWL-0104, BWL-0105; BWL-0123, BWL-0124; BWL-0052–BWL-0061; BWL-0106</x:v>
      </x:c>
      <x:c r="H49" s="5" t="str"/>
      <x:c r="I49" s="5" t="str">
        <x:v>Analysebewertung erhalten; keine neue Frage allein aus ID-Zahlen ableiten.</x:v>
      </x:c>
      <x:c r="J49" s="5" t="str">
        <x:v>Soll-Ist-Matrix 2026-09-27</x:v>
      </x:c>
      <x:c r="K49" s="5" t="str">
        <x:v>Vorbewertung aus Soll-Ist-Matrix; Kandidaten nicht automatisch Einzelbelege</x:v>
      </x:c>
      <x:c r="L49" s="5" t="str">
        <x:v>BWL-0001; BWL-0029; BWL-0062; BWL-0063; BWL-0064; BWL-0065; BWL-0088; BWL-0107; BWL-0108; BWL-0109; BWL-0114; BWL-0115; BWL-0117; BWL-0125</x:v>
      </x:c>
    </x:row>
    <x:row r="50" ht="36" customHeight="1">
      <x:c r="A50" s="5" t="str">
        <x:v>1.3</x:v>
      </x:c>
      <x:c r="B50" s="5" t="str">
        <x:v>Volks- und Betriebswirtschaft</x:v>
      </x:c>
      <x:c r="C50" s="5" t="str">
        <x:v>Existenzgründung und Unternehmensrechtsformen</x:v>
      </x:c>
      <x:c r="D50" s="5" t="str">
        <x:v>vollständig abgedeckt</x:v>
      </x:c>
      <x:c r="E50" s="5" t="str">
        <x:v>vollständig abgedeckt</x:v>
      </x:c>
      <x:c r="F50" s="5" t="str"/>
      <x:c r="G50" s="5" t="str">
        <x:v>BWL-0050; BWL-0066–BWL-0078; BWL-0089, BWL-0090; BWL-0110–BWL-0112; BWL-0126</x:v>
      </x:c>
      <x:c r="H50" s="5" t="str"/>
      <x:c r="I50" s="5" t="str">
        <x:v>Analysebewertung erhalten; keine neue Frage allein aus ID-Zahlen ableiten.</x:v>
      </x:c>
      <x:c r="J50" s="5" t="str">
        <x:v>Soll-Ist-Matrix 2026-09-27</x:v>
      </x:c>
      <x:c r="K50" s="5" t="str">
        <x:v>Vorbewertung aus Soll-Ist-Matrix; Kandidaten nicht automatisch Einzelbelege</x:v>
      </x:c>
      <x:c r="L50" s="5" t="str"/>
    </x:row>
    <x:row r="51" ht="36" customHeight="1">
      <x:c r="A51" s="5" t="str">
        <x:v>1.3.1</x:v>
      </x:c>
      <x:c r="B51" s="5" t="str">
        <x:v>Volks- und Betriebswirtschaft</x:v>
      </x:c>
      <x:c r="C51" s="5" t="str">
        <x:v>Gründungsphasen</x:v>
      </x:c>
      <x:c r="D51" s="5" t="str">
        <x:v>vollständig abgedeckt</x:v>
      </x:c>
      <x:c r="E51" s="5" t="str">
        <x:v>vollständig abgedeckt</x:v>
      </x:c>
      <x:c r="F51" s="5" t="str"/>
      <x:c r="G51" s="5" t="str">
        <x:v>BWL-0050; BWL-0066–BWL-0078; BWL-0089, BWL-0090; BWL-0110–BWL-0112; BWL-0126</x:v>
      </x:c>
      <x:c r="H51" s="5" t="str"/>
      <x:c r="I51" s="5" t="str">
        <x:v>Analysebewertung erhalten; keine neue Frage allein aus ID-Zahlen ableiten.</x:v>
      </x:c>
      <x:c r="J51" s="5" t="str">
        <x:v>Soll-Ist-Matrix 2026-09-27</x:v>
      </x:c>
      <x:c r="K51" s="5" t="str">
        <x:v>Vorbewertung aus Soll-Ist-Matrix; Kandidaten nicht automatisch Einzelbelege</x:v>
      </x:c>
      <x:c r="L51" s="5" t="str"/>
    </x:row>
    <x:row r="52" ht="36" customHeight="1">
      <x:c r="A52" s="5" t="str">
        <x:v>1.3.2</x:v>
      </x:c>
      <x:c r="B52" s="5" t="str">
        <x:v>Volks- und Betriebswirtschaft</x:v>
      </x:c>
      <x:c r="C52" s="5" t="str">
        <x:v>Voraussetzungen der Existenzgründung</x:v>
      </x:c>
      <x:c r="D52" s="5" t="str">
        <x:v>vollständig abgedeckt</x:v>
      </x:c>
      <x:c r="E52" s="5" t="str">
        <x:v>vollständig abgedeckt</x:v>
      </x:c>
      <x:c r="F52" s="5" t="str"/>
      <x:c r="G52" s="5" t="str">
        <x:v>BWL-0050; BWL-0066–BWL-0078; BWL-0089, BWL-0090; BWL-0110–BWL-0112; BWL-0126</x:v>
      </x:c>
      <x:c r="H52" s="5" t="str"/>
      <x:c r="I52" s="5" t="str">
        <x:v>Analysebewertung erhalten; keine neue Frage allein aus ID-Zahlen ableiten.</x:v>
      </x:c>
      <x:c r="J52" s="5" t="str">
        <x:v>Soll-Ist-Matrix 2026-09-27</x:v>
      </x:c>
      <x:c r="K52" s="5" t="str">
        <x:v>Vorbewertung aus Soll-Ist-Matrix; Kandidaten nicht automatisch Einzelbelege</x:v>
      </x:c>
      <x:c r="L52" s="5" t="str">
        <x:v>BWL-0066; BWL-0071; BWL-0089</x:v>
      </x:c>
    </x:row>
    <x:row r="53" ht="36" customHeight="1">
      <x:c r="A53" s="5" t="str">
        <x:v>1.3.3</x:v>
      </x:c>
      <x:c r="B53" s="5" t="str">
        <x:v>Volks- und Betriebswirtschaft</x:v>
      </x:c>
      <x:c r="C53" s="5" t="str">
        <x:v>Rechtsformen</x:v>
      </x:c>
      <x:c r="D53" s="5" t="str">
        <x:v>vollständig abgedeckt</x:v>
      </x:c>
      <x:c r="E53" s="5" t="str">
        <x:v>vollständig abgedeckt</x:v>
      </x:c>
      <x:c r="F53" s="5" t="str"/>
      <x:c r="G53" s="5" t="str">
        <x:v>BWL-0050; BWL-0066–BWL-0078; BWL-0089, BWL-0090; BWL-0110–BWL-0112; BWL-0126</x:v>
      </x:c>
      <x:c r="H53" s="5" t="str"/>
      <x:c r="I53" s="5" t="str">
        <x:v>Analysebewertung erhalten; keine neue Frage allein aus ID-Zahlen ableiten.</x:v>
      </x:c>
      <x:c r="J53" s="5" t="str">
        <x:v>Soll-Ist-Matrix 2026-09-27</x:v>
      </x:c>
      <x:c r="K53" s="5" t="str">
        <x:v>Vorbewertung aus Soll-Ist-Matrix; Kandidaten nicht automatisch Einzelbelege</x:v>
      </x:c>
      <x:c r="L53" s="5" t="str">
        <x:v>BWL-0050; BWL-0067; BWL-0068; BWL-0069; BWL-0070; BWL-0072; BWL-0075; BWL-0076; BWL-0111; BWL-0112; BWL-0126</x:v>
      </x:c>
    </x:row>
    <x:row r="54" ht="36" customHeight="1">
      <x:c r="A54" s="5" t="str">
        <x:v>1.3.3.1</x:v>
      </x:c>
      <x:c r="B54" s="5" t="str">
        <x:v>Volks- und Betriebswirtschaft</x:v>
      </x:c>
      <x:c r="C54" s="5" t="str">
        <x:v>Rechtsformen und deren Kombinationen</x:v>
      </x:c>
      <x:c r="D54" s="5" t="str">
        <x:v>vollständig abgedeckt</x:v>
      </x:c>
      <x:c r="E54" s="5" t="str">
        <x:v>vollständig abgedeckt</x:v>
      </x:c>
      <x:c r="F54" s="5" t="str"/>
      <x:c r="G54" s="5" t="str">
        <x:v>BWL-0050; BWL-0066–BWL-0078; BWL-0089, BWL-0090; BWL-0110–BWL-0112; BWL-0126</x:v>
      </x:c>
      <x:c r="H54" s="5" t="str"/>
      <x:c r="I54" s="5" t="str">
        <x:v>Analysebewertung erhalten; keine neue Frage allein aus ID-Zahlen ableiten.</x:v>
      </x:c>
      <x:c r="J54" s="5" t="str">
        <x:v>Soll-Ist-Matrix 2026-09-27</x:v>
      </x:c>
      <x:c r="K54" s="5" t="str">
        <x:v>Vorbewertung aus Soll-Ist-Matrix; Kandidaten nicht automatisch Einzelbelege</x:v>
      </x:c>
      <x:c r="L54" s="5" t="str"/>
    </x:row>
    <x:row r="55" ht="36" customHeight="1">
      <x:c r="A55" s="5" t="str">
        <x:v>1.3.3.2</x:v>
      </x:c>
      <x:c r="B55" s="5" t="str">
        <x:v>Volks- und Betriebswirtschaft</x:v>
      </x:c>
      <x:c r="C55" s="5" t="str">
        <x:v>Ansprüche an Haftung, Geschäftsführung und Vertretung</x:v>
      </x:c>
      <x:c r="D55" s="5" t="str">
        <x:v>vollständig abgedeckt</x:v>
      </x:c>
      <x:c r="E55" s="5" t="str">
        <x:v>vollständig abgedeckt</x:v>
      </x:c>
      <x:c r="F55" s="5" t="str"/>
      <x:c r="G55" s="5" t="str">
        <x:v>BWL-0050; BWL-0066–BWL-0078; BWL-0089, BWL-0090; BWL-0110–BWL-0112; BWL-0126</x:v>
      </x:c>
      <x:c r="H55" s="5" t="str"/>
      <x:c r="I55" s="5" t="str">
        <x:v>Analysebewertung erhalten; keine neue Frage allein aus ID-Zahlen ableiten.</x:v>
      </x:c>
      <x:c r="J55" s="5" t="str">
        <x:v>Soll-Ist-Matrix 2026-09-27</x:v>
      </x:c>
      <x:c r="K55" s="5" t="str">
        <x:v>Vorbewertung aus Soll-Ist-Matrix; Kandidaten nicht automatisch Einzelbelege</x:v>
      </x:c>
      <x:c r="L55" s="5" t="str">
        <x:v>BWL-0073; BWL-0074; BWL-0077; BWL-0078; BWL-0090; BWL-0110; VWL-0127</x:v>
      </x:c>
    </x:row>
    <x:row r="56" ht="36" customHeight="1">
      <x:c r="A56" s="5" t="str">
        <x:v>1.4</x:v>
      </x:c>
      <x:c r="B56" s="5" t="str">
        <x:v>Volks- und Betriebswirtschaft</x:v>
      </x:c>
      <x:c r="C56" s="5" t="str">
        <x:v>Unternehmenszusammenschlüsse</x:v>
      </x:c>
      <x:c r="D56" s="5" t="str">
        <x:v>vollständig abgedeckt</x:v>
      </x:c>
      <x:c r="E56" s="5" t="str">
        <x:v>vollständig abgedeckt</x:v>
      </x:c>
      <x:c r="F56" s="5" t="str"/>
      <x:c r="G56" s="5" t="str">
        <x:v>BWL-0080–BWL-0087; BWL-0091; BWL-0113</x:v>
      </x:c>
      <x:c r="H56" s="5" t="str"/>
      <x:c r="I56" s="5" t="str">
        <x:v>Analysebewertung erhalten; keine neue Frage allein aus ID-Zahlen ableiten.</x:v>
      </x:c>
      <x:c r="J56" s="5" t="str">
        <x:v>Soll-Ist-Matrix 2026-09-27</x:v>
      </x:c>
      <x:c r="K56" s="5" t="str">
        <x:v>Vorbewertung aus Soll-Ist-Matrix; Kandidaten nicht automatisch Einzelbelege</x:v>
      </x:c>
      <x:c r="L56" s="5" t="str"/>
    </x:row>
    <x:row r="57" ht="36" customHeight="1">
      <x:c r="A57" s="5" t="str">
        <x:v>1.4.1</x:v>
      </x:c>
      <x:c r="B57" s="5" t="str">
        <x:v>Volks- und Betriebswirtschaft</x:v>
      </x:c>
      <x:c r="C57" s="5" t="str">
        <x:v>Formen der Kooperation</x:v>
      </x:c>
      <x:c r="D57" s="5" t="str">
        <x:v>vollständig abgedeckt</x:v>
      </x:c>
      <x:c r="E57" s="5" t="str">
        <x:v>vollständig abgedeckt</x:v>
      </x:c>
      <x:c r="F57" s="5" t="str"/>
      <x:c r="G57" s="5" t="str">
        <x:v>BWL-0080–BWL-0087; BWL-0091; BWL-0113</x:v>
      </x:c>
      <x:c r="H57" s="5" t="str"/>
      <x:c r="I57" s="5" t="str">
        <x:v>Analysebewertung erhalten; keine neue Frage allein aus ID-Zahlen ableiten.</x:v>
      </x:c>
      <x:c r="J57" s="5" t="str">
        <x:v>Soll-Ist-Matrix 2026-09-27</x:v>
      </x:c>
      <x:c r="K57" s="5" t="str">
        <x:v>Vorbewertung aus Soll-Ist-Matrix; Kandidaten nicht automatisch Einzelbelege</x:v>
      </x:c>
      <x:c r="L57" s="5" t="str">
        <x:v>BWL-0081; BWL-0083; BWL-0084; BWL-0086; BWL-0113</x:v>
      </x:c>
    </x:row>
    <x:row r="58" ht="36" customHeight="1">
      <x:c r="A58" s="5" t="str">
        <x:v>1.4.1.1</x:v>
      </x:c>
      <x:c r="B58" s="5" t="str">
        <x:v>Volks- und Betriebswirtschaft</x:v>
      </x:c>
      <x:c r="C58" s="5" t="str">
        <x:v>Unterscheidung der einzelnen Kooperationsformen</x:v>
      </x:c>
      <x:c r="D58" s="5" t="str">
        <x:v>vollständig abgedeckt</x:v>
      </x:c>
      <x:c r="E58" s="5" t="str">
        <x:v>vollständig abgedeckt</x:v>
      </x:c>
      <x:c r="F58" s="5" t="str"/>
      <x:c r="G58" s="5" t="str">
        <x:v>BWL-0080–BWL-0087; BWL-0091; BWL-0113</x:v>
      </x:c>
      <x:c r="H58" s="5" t="str"/>
      <x:c r="I58" s="5" t="str">
        <x:v>Analysebewertung erhalten; keine neue Frage allein aus ID-Zahlen ableiten.</x:v>
      </x:c>
      <x:c r="J58" s="5" t="str">
        <x:v>Soll-Ist-Matrix 2026-09-27</x:v>
      </x:c>
      <x:c r="K58" s="5" t="str">
        <x:v>Vorbewertung aus Soll-Ist-Matrix; Kandidaten nicht automatisch Einzelbelege</x:v>
      </x:c>
      <x:c r="L58" s="5" t="str"/>
    </x:row>
    <x:row r="59" ht="36" customHeight="1">
      <x:c r="A59" s="5" t="str">
        <x:v>1.4.1.2</x:v>
      </x:c>
      <x:c r="B59" s="5" t="str">
        <x:v>Volks- und Betriebswirtschaft</x:v>
      </x:c>
      <x:c r="C59" s="5" t="str">
        <x:v>Ziele der Kooperation</x:v>
      </x:c>
      <x:c r="D59" s="5" t="str">
        <x:v>vollständig abgedeckt</x:v>
      </x:c>
      <x:c r="E59" s="5" t="str">
        <x:v>vollständig abgedeckt</x:v>
      </x:c>
      <x:c r="F59" s="5" t="str"/>
      <x:c r="G59" s="5" t="str">
        <x:v>BWL-0080–BWL-0087; BWL-0091; BWL-0113</x:v>
      </x:c>
      <x:c r="H59" s="5" t="str"/>
      <x:c r="I59" s="5" t="str">
        <x:v>Analysebewertung erhalten; keine neue Frage allein aus ID-Zahlen ableiten.</x:v>
      </x:c>
      <x:c r="J59" s="5" t="str">
        <x:v>Soll-Ist-Matrix 2026-09-27</x:v>
      </x:c>
      <x:c r="K59" s="5" t="str">
        <x:v>Vorbewertung aus Soll-Ist-Matrix; Kandidaten nicht automatisch Einzelbelege</x:v>
      </x:c>
      <x:c r="L59" s="5" t="str"/>
    </x:row>
    <x:row r="60" ht="36" customHeight="1">
      <x:c r="A60" s="5" t="str">
        <x:v>1.4.2</x:v>
      </x:c>
      <x:c r="B60" s="5" t="str">
        <x:v>Volks- und Betriebswirtschaft</x:v>
      </x:c>
      <x:c r="C60" s="5" t="str">
        <x:v>Formen der Konzentration</x:v>
      </x:c>
      <x:c r="D60" s="5" t="str">
        <x:v>vollständig abgedeckt</x:v>
      </x:c>
      <x:c r="E60" s="5" t="str">
        <x:v>vollständig abgedeckt</x:v>
      </x:c>
      <x:c r="F60" s="5" t="str"/>
      <x:c r="G60" s="5" t="str">
        <x:v>BWL-0080–BWL-0087; BWL-0091; BWL-0113</x:v>
      </x:c>
      <x:c r="H60" s="5" t="str"/>
      <x:c r="I60" s="5" t="str">
        <x:v>Analysebewertung erhalten; keine neue Frage allein aus ID-Zahlen ableiten.</x:v>
      </x:c>
      <x:c r="J60" s="5" t="str">
        <x:v>Soll-Ist-Matrix 2026-09-27</x:v>
      </x:c>
      <x:c r="K60" s="5" t="str">
        <x:v>Vorbewertung aus Soll-Ist-Matrix; Kandidaten nicht automatisch Einzelbelege</x:v>
      </x:c>
      <x:c r="L60" s="5" t="str">
        <x:v>BWL-0082; BWL-0087; BWL-0091</x:v>
      </x:c>
    </x:row>
    <x:row r="61" ht="36" customHeight="1">
      <x:c r="A61" s="5" t="str">
        <x:v>1.4.2.1</x:v>
      </x:c>
      <x:c r="B61" s="5" t="str">
        <x:v>Volks- und Betriebswirtschaft</x:v>
      </x:c>
      <x:c r="C61" s="5" t="str">
        <x:v>Unterscheidung der einzelnen Konzentrationsformen</x:v>
      </x:c>
      <x:c r="D61" s="5" t="str">
        <x:v>vollständig abgedeckt</x:v>
      </x:c>
      <x:c r="E61" s="5" t="str">
        <x:v>vollständig abgedeckt</x:v>
      </x:c>
      <x:c r="F61" s="5" t="str"/>
      <x:c r="G61" s="5" t="str">
        <x:v>BWL-0080–BWL-0087; BWL-0091; BWL-0113</x:v>
      </x:c>
      <x:c r="H61" s="5" t="str"/>
      <x:c r="I61" s="5" t="str">
        <x:v>Analysebewertung erhalten; keine neue Frage allein aus ID-Zahlen ableiten.</x:v>
      </x:c>
      <x:c r="J61" s="5" t="str">
        <x:v>Soll-Ist-Matrix 2026-09-27</x:v>
      </x:c>
      <x:c r="K61" s="5" t="str">
        <x:v>Vorbewertung aus Soll-Ist-Matrix; Kandidaten nicht automatisch Einzelbelege</x:v>
      </x:c>
      <x:c r="L61" s="5" t="str"/>
    </x:row>
    <x:row r="62" ht="36" customHeight="1">
      <x:c r="A62" s="5" t="str">
        <x:v>1.4.2.2</x:v>
      </x:c>
      <x:c r="B62" s="5" t="str">
        <x:v>Volks- und Betriebswirtschaft</x:v>
      </x:c>
      <x:c r="C62" s="5" t="str">
        <x:v>Ziele der Konzentration</x:v>
      </x:c>
      <x:c r="D62" s="5" t="str">
        <x:v>vollständig abgedeckt</x:v>
      </x:c>
      <x:c r="E62" s="5" t="str">
        <x:v>vollständig abgedeckt</x:v>
      </x:c>
      <x:c r="F62" s="5" t="str"/>
      <x:c r="G62" s="5" t="str">
        <x:v>BWL-0080–BWL-0087; BWL-0091; BWL-0113</x:v>
      </x:c>
      <x:c r="H62" s="5" t="str"/>
      <x:c r="I62" s="5" t="str">
        <x:v>Analysebewertung erhalten; keine neue Frage allein aus ID-Zahlen ableiten.</x:v>
      </x:c>
      <x:c r="J62" s="5" t="str">
        <x:v>Soll-Ist-Matrix 2026-09-27</x:v>
      </x:c>
      <x:c r="K62" s="5" t="str">
        <x:v>Vorbewertung aus Soll-Ist-Matrix; Kandidaten nicht automatisch Einzelbelege</x:v>
      </x:c>
      <x:c r="L62" s="5" t="str">
        <x:v>BWL-0080; BWL-0085</x:v>
      </x:c>
    </x:row>
    <x:row r="63" ht="36" customHeight="1">
      <x:c r="A63" s="5" t="str">
        <x:v>2</x:v>
      </x:c>
      <x:c r="B63" s="5" t="str">
        <x:v>Rechnungswesen</x:v>
      </x:c>
      <x:c r="C63" s="5" t="str">
        <x:v>Rechnungswesen</x:v>
      </x:c>
      <x:c r="D63" s="5" t="str">
        <x:v>teilweise abgedeckt</x:v>
      </x:c>
      <x:c r="E63" s="5" t="str">
        <x:v>teilweise abgedeckt</x:v>
      </x:c>
      <x:c r="F63" s="5" t="str">
        <x:v>BR-0037; BR-0029; BR-0076; BR-0112; BR-0044; BR-0008</x:v>
      </x:c>
      <x:c r="G63" s="5" t="str">
        <x:v>BR-0005–BR-0009; BR-0036, BR-0037; BR-0010; BR-0101–BR-0103; BR-0105; BR-0116, BR-0117; BR-0012, BR-0013; BR-0021–BR-0026; BR-0028; BR-0033, BR-0034; BR-0039–BR-0043; BR-0058; BR-0104; BR-0106, BR-0107; BR-0011; BR-0015, BR-0016; BR-0020; BR-0027; BR-0032; BR-0044–BR-0047; BR-0052, BR-0053; BR-0108, BR-0109; BR-0097–BR-0100; BR-0112–BR-0115; BR-0014; BR-0017–BR-0019; BR-0031; BR-0048–BR-0051; BR-0059–BR-0062; BR-0122; BR-0030; BR-0038; BR-0054–BR-0057; BR-0063–BR-0069; BR-0001, BR-0002; BR-0004; BR-0086–BR-0096; BR-0110, BR-0111; BR-0029; BR-0070–BR-0074; BR-0121; BR-0075–BR-0085; BR-0119, BR-0120</x:v>
      </x:c>
      <x:c r="H63" s="5" t="str">
        <x:v>2.3.4.1: Spätere Überarbeitung erforderlich: Kostenträgerzeitrechnung nicht pauschal als vergangenheitsorientiert darstellen; Kostenträgerstückrechnung nicht als alleinige Ermittlung eines Produktgewinns darstellen.</x:v>
      </x:c>
      <x:c r="I63" s="5" t="str">
        <x:v>Abgeleiteter Elternstatus; keine zusätzliche Inhaltsaufgabe. Siehe Einzelpunkte 2.3.1.3, 2.3.4.1, 2.4.1.1</x:v>
      </x:c>
      <x:c r="J63" s="5" t="str">
        <x:v>Soll-Ist-Matrix 2026-09-27</x:v>
      </x:c>
      <x:c r="K63" s="5" t="str">
        <x:v>Elternbewertung aus einzeln geprüften Unterpunkten</x:v>
      </x:c>
      <x:c r="L63" s="5" t="str"/>
    </x:row>
    <x:row r="64" ht="36" customHeight="1">
      <x:c r="A64" s="5" t="str">
        <x:v>2.1</x:v>
      </x:c>
      <x:c r="B64" s="5" t="str">
        <x:v>Rechnungswesen</x:v>
      </x:c>
      <x:c r="C64" s="5" t="str">
        <x:v>Grundlegende Aspekte des Rechnungswesens</x:v>
      </x:c>
      <x:c r="D64" s="5" t="str">
        <x:v>vollständig abgedeckt</x:v>
      </x:c>
      <x:c r="E64" s="5" t="str">
        <x:v>vollständig abgedeckt</x:v>
      </x:c>
      <x:c r="F64" s="5" t="str"/>
      <x:c r="G64" s="5" t="str">
        <x:v>BR-0005–BR-0009; BR-0036, BR-0037; BR-0010; BR-0101–BR-0103; BR-0105; BR-0116, BR-0117; BR-0012, BR-0013; BR-0021–BR-0026; BR-0028; BR-0033, BR-0034; BR-0039–BR-0043; BR-0058; BR-0104; BR-0106, BR-0107</x:v>
      </x:c>
      <x:c r="H64" s="5" t="str"/>
      <x:c r="I64" s="5" t="str">
        <x:v>Analysebewertung erhalten; keine neue Frage allein aus ID-Zahlen ableiten.</x:v>
      </x:c>
      <x:c r="J64" s="5" t="str">
        <x:v>Soll-Ist-Matrix 2026-09-27</x:v>
      </x:c>
      <x:c r="K64" s="5" t="str">
        <x:v>Vorbewertung aus Soll-Ist-Matrix; Kandidaten nicht automatisch Einzelbelege</x:v>
      </x:c>
      <x:c r="L64" s="5" t="str"/>
    </x:row>
    <x:row r="65" ht="36" customHeight="1">
      <x:c r="A65" s="5" t="str">
        <x:v>2.1.1</x:v>
      </x:c>
      <x:c r="B65" s="5" t="str">
        <x:v>Rechnungswesen</x:v>
      </x:c>
      <x:c r="C65" s="5" t="str">
        <x:v>Abgrenzung von Finanzbuchhaltung, Kosten- und Leistungsrechnung, Auswertungen und Planungsrechnung</x:v>
      </x:c>
      <x:c r="D65" s="5" t="str">
        <x:v>vollständig abgedeckt</x:v>
      </x:c>
      <x:c r="E65" s="5" t="str">
        <x:v>vollständig abgedeckt</x:v>
      </x:c>
      <x:c r="F65" s="5" t="str"/>
      <x:c r="G65" s="5" t="str">
        <x:v>BR-0005–BR-0009; BR-0036, BR-0037; BR-0010; BR-0101–BR-0103; BR-0105; BR-0116, BR-0117</x:v>
      </x:c>
      <x:c r="H65" s="5" t="str"/>
      <x:c r="I65" s="5" t="str">
        <x:v>Analysebewertung erhalten; keine neue Frage allein aus ID-Zahlen ableiten.</x:v>
      </x:c>
      <x:c r="J65" s="5" t="str">
        <x:v>Soll-Ist-Matrix 2026-09-27</x:v>
      </x:c>
      <x:c r="K65" s="5" t="str">
        <x:v>Vorbewertung aus Soll-Ist-Matrix; Kandidaten nicht automatisch Einzelbelege</x:v>
      </x:c>
      <x:c r="L65" s="5" t="str">
        <x:v>BR-0005; BR-0006; BR-0007; BR-0008; BR-0009; BR-0036</x:v>
      </x:c>
    </x:row>
    <x:row r="66" ht="36" customHeight="1">
      <x:c r="A66" s="5" t="str">
        <x:v>2.1.2</x:v>
      </x:c>
      <x:c r="B66" s="5" t="str">
        <x:v>Rechnungswesen</x:v>
      </x:c>
      <x:c r="C66" s="5" t="str">
        <x:v>Grundsätze ordnungsgemäßer Buchführung (GoB)</x:v>
      </x:c>
      <x:c r="D66" s="5" t="str">
        <x:v>vollständig abgedeckt</x:v>
      </x:c>
      <x:c r="E66" s="5" t="str">
        <x:v>vollständig abgedeckt</x:v>
      </x:c>
      <x:c r="F66" s="5" t="str"/>
      <x:c r="G66" s="5" t="str">
        <x:v>BR-0012, BR-0013; BR-0021–BR-0026; BR-0028; BR-0033, BR-0034; BR-0039–BR-0043; BR-0058; BR-0104; BR-0106, BR-0107</x:v>
      </x:c>
      <x:c r="H66" s="5" t="str"/>
      <x:c r="I66" s="5" t="str">
        <x:v>Analysebewertung erhalten; keine neue Frage allein aus ID-Zahlen ableiten.</x:v>
      </x:c>
      <x:c r="J66" s="5" t="str">
        <x:v>Soll-Ist-Matrix 2026-09-27</x:v>
      </x:c>
      <x:c r="K66" s="5" t="str">
        <x:v>Vorbewertung aus Soll-Ist-Matrix; Kandidaten nicht automatisch Einzelbelege</x:v>
      </x:c>
      <x:c r="L66" s="5" t="str">
        <x:v>BR-0021; BR-0022; BR-0026; BR-0033; BR-0039; BR-0040; BR-0042; BR-0043; BR-0058</x:v>
      </x:c>
    </x:row>
    <x:row r="67" ht="36" customHeight="1">
      <x:c r="A67" s="5" t="str">
        <x:v>2.1.3</x:v>
      </x:c>
      <x:c r="B67" s="5" t="str">
        <x:v>Rechnungswesen</x:v>
      </x:c>
      <x:c r="C67" s="5" t="str">
        <x:v>Buchführungspflichten nach Handels- und Steuerrecht</x:v>
      </x:c>
      <x:c r="D67" s="5" t="str">
        <x:v>vollständig abgedeckt</x:v>
      </x:c>
      <x:c r="E67" s="5" t="str">
        <x:v>vollständig abgedeckt</x:v>
      </x:c>
      <x:c r="F67" s="5" t="str"/>
      <x:c r="G67" s="5" t="str">
        <x:v>BR-0012, BR-0013; BR-0021–BR-0026; BR-0028; BR-0033, BR-0034; BR-0039–BR-0043; BR-0058; BR-0104; BR-0106, BR-0107</x:v>
      </x:c>
      <x:c r="H67" s="5" t="str"/>
      <x:c r="I67" s="5" t="str">
        <x:v>Analysebewertung erhalten; keine neue Frage allein aus ID-Zahlen ableiten.</x:v>
      </x:c>
      <x:c r="J67" s="5" t="str">
        <x:v>Soll-Ist-Matrix 2026-09-27</x:v>
      </x:c>
      <x:c r="K67" s="5" t="str">
        <x:v>Vorbewertung aus Soll-Ist-Matrix; Kandidaten nicht automatisch Einzelbelege</x:v>
      </x:c>
      <x:c r="L67" s="5" t="str">
        <x:v>BR-0012; BR-0013; BR-0028; BR-0034; BR-0041</x:v>
      </x:c>
    </x:row>
    <x:row r="68" ht="36" customHeight="1">
      <x:c r="A68" s="5" t="str">
        <x:v>2.1.4</x:v>
      </x:c>
      <x:c r="B68" s="5" t="str">
        <x:v>Rechnungswesen</x:v>
      </x:c>
      <x:c r="C68" s="5" t="str">
        <x:v>Bilanzierungs- und Bewertungsgrundsätze</x:v>
      </x:c>
      <x:c r="D68" s="5" t="str">
        <x:v>vollständig abgedeckt</x:v>
      </x:c>
      <x:c r="E68" s="5" t="str">
        <x:v>vollständig abgedeckt</x:v>
      </x:c>
      <x:c r="F68" s="5" t="str"/>
      <x:c r="G68" s="5" t="str">
        <x:v>BR-0012, BR-0013; BR-0021–BR-0026; BR-0028; BR-0033, BR-0034; BR-0039–BR-0043; BR-0058; BR-0104; BR-0106, BR-0107</x:v>
      </x:c>
      <x:c r="H68" s="5" t="str"/>
      <x:c r="I68" s="5" t="str">
        <x:v>Analysebewertung erhalten; keine neue Frage allein aus ID-Zahlen ableiten.</x:v>
      </x:c>
      <x:c r="J68" s="5" t="str">
        <x:v>Soll-Ist-Matrix 2026-09-27</x:v>
      </x:c>
      <x:c r="K68" s="5" t="str">
        <x:v>Vorbewertung aus Soll-Ist-Matrix; Kandidaten nicht automatisch Einzelbelege</x:v>
      </x:c>
      <x:c r="L68" s="5" t="str">
        <x:v>BR-0023; BR-0024; BR-0025; BR-0104; BR-0106; BR-0107</x:v>
      </x:c>
    </x:row>
    <x:row r="69" ht="36" customHeight="1">
      <x:c r="A69" s="5" t="str">
        <x:v>2.2</x:v>
      </x:c>
      <x:c r="B69" s="5" t="str">
        <x:v>Rechnungswesen</x:v>
      </x:c>
      <x:c r="C69" s="5" t="str">
        <x:v>Finanzbuchhaltung</x:v>
      </x:c>
      <x:c r="D69" s="5" t="str">
        <x:v>vollständig abgedeckt</x:v>
      </x:c>
      <x:c r="E69" s="5" t="str">
        <x:v>vollständig abgedeckt</x:v>
      </x:c>
      <x:c r="F69" s="5" t="str"/>
      <x:c r="G69" s="5" t="str">
        <x:v>BR-0011; BR-0015, BR-0016; BR-0020; BR-0027; BR-0032; BR-0044–BR-0047; BR-0052, BR-0053; BR-0108, BR-0109; BR-0097–BR-0100; BR-0112–BR-0115; BR-0014; BR-0017–BR-0019; BR-0031; BR-0048–BR-0051; BR-0059–BR-0062; BR-0122</x:v>
      </x:c>
      <x:c r="H69" s="5" t="str"/>
      <x:c r="I69" s="5" t="str">
        <x:v>Analysebewertung erhalten; keine neue Frage allein aus ID-Zahlen ableiten.</x:v>
      </x:c>
      <x:c r="J69" s="5" t="str">
        <x:v>Soll-Ist-Matrix 2026-09-27</x:v>
      </x:c>
      <x:c r="K69" s="5" t="str">
        <x:v>Vorbewertung aus Soll-Ist-Matrix; Kandidaten nicht automatisch Einzelbelege</x:v>
      </x:c>
      <x:c r="L69" s="5" t="str"/>
    </x:row>
    <x:row r="70" ht="36" customHeight="1">
      <x:c r="A70" s="5" t="str">
        <x:v>2.2.1</x:v>
      </x:c>
      <x:c r="B70" s="5" t="str">
        <x:v>Rechnungswesen</x:v>
      </x:c>
      <x:c r="C70" s="5" t="str">
        <x:v>Grundlagen</x:v>
      </x:c>
      <x:c r="D70" s="5" t="str">
        <x:v>vollständig abgedeckt</x:v>
      </x:c>
      <x:c r="E70" s="5" t="str">
        <x:v>vollständig abgedeckt</x:v>
      </x:c>
      <x:c r="F70" s="5" t="str"/>
      <x:c r="G70" s="5" t="str">
        <x:v>BR-0011; BR-0015, BR-0016; BR-0020; BR-0027; BR-0032; BR-0044–BR-0047; BR-0052, BR-0053; BR-0108, BR-0109; BR-0097–BR-0100; BR-0112–BR-0115</x:v>
      </x:c>
      <x:c r="H70" s="5" t="str"/>
      <x:c r="I70" s="5" t="str">
        <x:v>Analysebewertung erhalten; keine neue Frage allein aus ID-Zahlen ableiten.</x:v>
      </x:c>
      <x:c r="J70" s="5" t="str">
        <x:v>Soll-Ist-Matrix 2026-09-27</x:v>
      </x:c>
      <x:c r="K70" s="5" t="str">
        <x:v>Vorbewertung aus Soll-Ist-Matrix; Kandidaten nicht automatisch Einzelbelege</x:v>
      </x:c>
      <x:c r="L70" s="5" t="str">
        <x:v>BR-0011; BR-0015; BR-0016; BR-0020; BR-0027; BR-0032; BR-0045; BR-0046; BR-0047; BR-0052; BR-0053; BR-0108; BR-0109</x:v>
      </x:c>
    </x:row>
    <x:row r="71" ht="36" customHeight="1">
      <x:c r="A71" s="5" t="str">
        <x:v>2.2.1.1</x:v>
      </x:c>
      <x:c r="B71" s="5" t="str">
        <x:v>Rechnungswesen</x:v>
      </x:c>
      <x:c r="C71" s="5" t="str">
        <x:v>Adressaten der Finanzbuchhaltung</x:v>
      </x:c>
      <x:c r="D71" s="5" t="str">
        <x:v>vollständig abgedeckt</x:v>
      </x:c>
      <x:c r="E71" s="5" t="str">
        <x:v>vollständig abgedeckt</x:v>
      </x:c>
      <x:c r="F71" s="5" t="str"/>
      <x:c r="G71" s="5" t="str">
        <x:v>BR-0011; BR-0015, BR-0016; BR-0020; BR-0027; BR-0032; BR-0044–BR-0047; BR-0052, BR-0053; BR-0108, BR-0109; BR-0097–BR-0100; BR-0112–BR-0115</x:v>
      </x:c>
      <x:c r="H71" s="5" t="str"/>
      <x:c r="I71" s="5" t="str">
        <x:v>Analysebewertung erhalten; keine neue Frage allein aus ID-Zahlen ableiten.</x:v>
      </x:c>
      <x:c r="J71" s="5" t="str">
        <x:v>Soll-Ist-Matrix 2026-09-27</x:v>
      </x:c>
      <x:c r="K71" s="5" t="str">
        <x:v>Vorbewertung aus Soll-Ist-Matrix; Kandidaten nicht automatisch Einzelbelege</x:v>
      </x:c>
      <x:c r="L71" s="5" t="str">
        <x:v>BR-0044</x:v>
      </x:c>
    </x:row>
    <x:row r="72" ht="36" customHeight="1">
      <x:c r="A72" s="5" t="str">
        <x:v>2.2.1.2</x:v>
      </x:c>
      <x:c r="B72" s="5" t="str">
        <x:v>Rechnungswesen</x:v>
      </x:c>
      <x:c r="C72" s="5" t="str">
        <x:v>Bereiche der Finanzbuchhaltung</x:v>
      </x:c>
      <x:c r="D72" s="5" t="str">
        <x:v>vollständig abgedeckt</x:v>
      </x:c>
      <x:c r="E72" s="5" t="str">
        <x:v>vollständig abgedeckt</x:v>
      </x:c>
      <x:c r="F72" s="5" t="str"/>
      <x:c r="G72" s="5" t="str">
        <x:v>BR-0011; BR-0015, BR-0016; BR-0020; BR-0027; BR-0032; BR-0044–BR-0047; BR-0052, BR-0053; BR-0108, BR-0109</x:v>
      </x:c>
      <x:c r="H72" s="5" t="str"/>
      <x:c r="I72" s="5" t="str">
        <x:v>Analysebewertung erhalten; keine neue Frage allein aus ID-Zahlen ableiten.</x:v>
      </x:c>
      <x:c r="J72" s="5" t="str">
        <x:v>Soll-Ist-Matrix 2026-09-27</x:v>
      </x:c>
      <x:c r="K72" s="5" t="str">
        <x:v>Vorbewertung aus Soll-Ist-Matrix; Kandidaten nicht automatisch Einzelbelege</x:v>
      </x:c>
      <x:c r="L72" s="5" t="str"/>
    </x:row>
    <x:row r="73" ht="36" customHeight="1">
      <x:c r="A73" s="5" t="str">
        <x:v>2.2.1.3</x:v>
      </x:c>
      <x:c r="B73" s="5" t="str">
        <x:v>Rechnungswesen</x:v>
      </x:c>
      <x:c r="C73" s="5" t="str">
        <x:v>Aufgaben der Finanzbuchhaltung</x:v>
      </x:c>
      <x:c r="D73" s="5" t="str">
        <x:v>vollständig abgedeckt</x:v>
      </x:c>
      <x:c r="E73" s="5" t="str">
        <x:v>vollständig abgedeckt</x:v>
      </x:c>
      <x:c r="F73" s="5" t="str"/>
      <x:c r="G73" s="5" t="str">
        <x:v>BR-0011; BR-0015, BR-0016; BR-0020; BR-0027; BR-0032; BR-0044–BR-0047; BR-0052, BR-0053; BR-0108, BR-0109</x:v>
      </x:c>
      <x:c r="H73" s="5" t="str"/>
      <x:c r="I73" s="5" t="str">
        <x:v>Analysebewertung erhalten; keine neue Frage allein aus ID-Zahlen ableiten.</x:v>
      </x:c>
      <x:c r="J73" s="5" t="str">
        <x:v>Soll-Ist-Matrix 2026-09-27</x:v>
      </x:c>
      <x:c r="K73" s="5" t="str">
        <x:v>Vorbewertung aus Soll-Ist-Matrix; Kandidaten nicht automatisch Einzelbelege</x:v>
      </x:c>
      <x:c r="L73" s="5" t="str"/>
    </x:row>
    <x:row r="74" ht="36" customHeight="1">
      <x:c r="A74" s="5" t="str">
        <x:v>2.2.2</x:v>
      </x:c>
      <x:c r="B74" s="5" t="str">
        <x:v>Rechnungswesen</x:v>
      </x:c>
      <x:c r="C74" s="5" t="str">
        <x:v>Jahresabschluss</x:v>
      </x:c>
      <x:c r="D74" s="5" t="str">
        <x:v>vollständig abgedeckt</x:v>
      </x:c>
      <x:c r="E74" s="5" t="str">
        <x:v>vollständig abgedeckt</x:v>
      </x:c>
      <x:c r="F74" s="5" t="str"/>
      <x:c r="G74" s="5" t="str">
        <x:v>BR-0014; BR-0017–BR-0019; BR-0031; BR-0048–BR-0051; BR-0059–BR-0062; BR-0122; BR-0011; BR-0015, BR-0016; BR-0020; BR-0027; BR-0032; BR-0044–BR-0047; BR-0052, BR-0053; BR-0108, BR-0109</x:v>
      </x:c>
      <x:c r="H74" s="5" t="str"/>
      <x:c r="I74" s="5" t="str">
        <x:v>Analysebewertung erhalten; keine neue Frage allein aus ID-Zahlen ableiten.</x:v>
      </x:c>
      <x:c r="J74" s="5" t="str">
        <x:v>Soll-Ist-Matrix 2026-09-27</x:v>
      </x:c>
      <x:c r="K74" s="5" t="str">
        <x:v>Vorbewertung aus Soll-Ist-Matrix; Kandidaten nicht automatisch Einzelbelege</x:v>
      </x:c>
      <x:c r="L74" s="5" t="str">
        <x:v>BR-0017; BR-0018; BR-0031; BR-0048; BR-0049; BR-0050; BR-0122</x:v>
      </x:c>
    </x:row>
    <x:row r="75" ht="36" customHeight="1">
      <x:c r="A75" s="5" t="str">
        <x:v>2.2.2.1</x:v>
      </x:c>
      <x:c r="B75" s="5" t="str">
        <x:v>Rechnungswesen</x:v>
      </x:c>
      <x:c r="C75" s="5" t="str">
        <x:v>Aufbau der Bilanz</x:v>
      </x:c>
      <x:c r="D75" s="5" t="str">
        <x:v>vollständig abgedeckt</x:v>
      </x:c>
      <x:c r="E75" s="5" t="str">
        <x:v>vollständig abgedeckt</x:v>
      </x:c>
      <x:c r="F75" s="5" t="str"/>
      <x:c r="G75" s="5" t="str">
        <x:v>BR-0014; BR-0017–BR-0019; BR-0031; BR-0048–BR-0051; BR-0059–BR-0062; BR-0122</x:v>
      </x:c>
      <x:c r="H75" s="5" t="str"/>
      <x:c r="I75" s="5" t="str">
        <x:v>Analysebewertung erhalten; keine neue Frage allein aus ID-Zahlen ableiten.</x:v>
      </x:c>
      <x:c r="J75" s="5" t="str">
        <x:v>Soll-Ist-Matrix 2026-09-27</x:v>
      </x:c>
      <x:c r="K75" s="5" t="str">
        <x:v>Vorbewertung aus Soll-Ist-Matrix; Kandidaten nicht automatisch Einzelbelege</x:v>
      </x:c>
      <x:c r="L75" s="5" t="str">
        <x:v>BR-0014; BR-0051; BR-0059; BR-0061; BR-0062</x:v>
      </x:c>
    </x:row>
    <x:row r="76" ht="36" customHeight="1">
      <x:c r="A76" s="5" t="str">
        <x:v>2.2.2.2</x:v>
      </x:c>
      <x:c r="B76" s="5" t="str">
        <x:v>Rechnungswesen</x:v>
      </x:c>
      <x:c r="C76" s="5" t="str">
        <x:v>Bestandskonten und Erfolgskonten</x:v>
      </x:c>
      <x:c r="D76" s="5" t="str">
        <x:v>vollständig abgedeckt</x:v>
      </x:c>
      <x:c r="E76" s="5" t="str">
        <x:v>vollständig abgedeckt</x:v>
      </x:c>
      <x:c r="F76" s="5" t="str"/>
      <x:c r="G76" s="5" t="str">
        <x:v>BR-0011; BR-0015, BR-0016; BR-0020; BR-0027; BR-0032; BR-0044–BR-0047; BR-0052, BR-0053; BR-0108, BR-0109; BR-0014; BR-0017–BR-0019; BR-0031; BR-0048–BR-0051; BR-0059–BR-0062; BR-0122</x:v>
      </x:c>
      <x:c r="H76" s="5" t="str"/>
      <x:c r="I76" s="5" t="str">
        <x:v>Analysebewertung erhalten; keine neue Frage allein aus ID-Zahlen ableiten.</x:v>
      </x:c>
      <x:c r="J76" s="5" t="str">
        <x:v>Soll-Ist-Matrix 2026-09-27</x:v>
      </x:c>
      <x:c r="K76" s="5" t="str">
        <x:v>Vorbewertung aus Soll-Ist-Matrix; Kandidaten nicht automatisch Einzelbelege</x:v>
      </x:c>
      <x:c r="L76" s="5" t="str"/>
    </x:row>
    <x:row r="77" ht="36" customHeight="1">
      <x:c r="A77" s="5" t="str">
        <x:v>2.2.2.3</x:v>
      </x:c>
      <x:c r="B77" s="5" t="str">
        <x:v>Rechnungswesen</x:v>
      </x:c>
      <x:c r="C77" s="5" t="str">
        <x:v>Gewinn- und Verlustrechnung</x:v>
      </x:c>
      <x:c r="D77" s="5" t="str">
        <x:v>vollständig abgedeckt</x:v>
      </x:c>
      <x:c r="E77" s="5" t="str">
        <x:v>vollständig abgedeckt</x:v>
      </x:c>
      <x:c r="F77" s="5" t="str"/>
      <x:c r="G77" s="5" t="str">
        <x:v>BR-0014; BR-0017–BR-0019; BR-0031; BR-0048–BR-0051; BR-0059–BR-0062; BR-0122</x:v>
      </x:c>
      <x:c r="H77" s="5" t="str"/>
      <x:c r="I77" s="5" t="str">
        <x:v>Analysebewertung erhalten; keine neue Frage allein aus ID-Zahlen ableiten.</x:v>
      </x:c>
      <x:c r="J77" s="5" t="str">
        <x:v>Soll-Ist-Matrix 2026-09-27</x:v>
      </x:c>
      <x:c r="K77" s="5" t="str">
        <x:v>Vorbewertung aus Soll-Ist-Matrix; Kandidaten nicht automatisch Einzelbelege</x:v>
      </x:c>
      <x:c r="L77" s="5" t="str">
        <x:v>BR-0019; BR-0060</x:v>
      </x:c>
    </x:row>
    <x:row r="78" ht="36" customHeight="1">
      <x:c r="A78" s="5" t="str">
        <x:v>2.3</x:v>
      </x:c>
      <x:c r="B78" s="5" t="str">
        <x:v>Rechnungswesen</x:v>
      </x:c>
      <x:c r="C78" s="5" t="str">
        <x:v>Kosten- und Leistungsrechnung</x:v>
      </x:c>
      <x:c r="D78" s="5" t="str">
        <x:v>teilweise abgedeckt</x:v>
      </x:c>
      <x:c r="E78" s="5" t="str">
        <x:v>teilweise abgedeckt</x:v>
      </x:c>
      <x:c r="F78" s="5" t="str">
        <x:v>BR-0037; BR-0029; BR-0076</x:v>
      </x:c>
      <x:c r="G78" s="5" t="str">
        <x:v>BR-0005–BR-0009; BR-0036, BR-0037; BR-0030; BR-0038; BR-0054–BR-0057; BR-0063–BR-0069; BR-0011; BR-0015, BR-0016; BR-0020; BR-0027; BR-0032; BR-0044–BR-0047; BR-0052, BR-0053; BR-0108, BR-0109; BR-0001, BR-0002; BR-0004; BR-0086–BR-0096; BR-0110, BR-0111; BR-0029; BR-0070–BR-0074; BR-0121; BR-0075–BR-0085; BR-0119, BR-0120</x:v>
      </x:c>
      <x:c r="H78" s="5" t="str">
        <x:v>2.3.4.1: Spätere Überarbeitung erforderlich: Kostenträgerzeitrechnung nicht pauschal als vergangenheitsorientiert darstellen; Kostenträgerstückrechnung nicht als alleinige Ermittlung eines Produktgewinns darstellen.</x:v>
      </x:c>
      <x:c r="I78" s="5" t="str">
        <x:v>Abgeleiteter Elternstatus; keine zusätzliche Inhaltsaufgabe. Siehe Einzelpunkte 2.3.1.3, 2.3.4.1</x:v>
      </x:c>
      <x:c r="J78" s="5" t="str">
        <x:v>Soll-Ist-Matrix 2026-09-27</x:v>
      </x:c>
      <x:c r="K78" s="5" t="str">
        <x:v>Elternbewertung aus einzeln geprüften Unterpunkten</x:v>
      </x:c>
      <x:c r="L78" s="5" t="str"/>
    </x:row>
    <x:row r="79" ht="36" customHeight="1">
      <x:c r="A79" s="5" t="str">
        <x:v>2.3.1</x:v>
      </x:c>
      <x:c r="B79" s="5" t="str">
        <x:v>Rechnungswesen</x:v>
      </x:c>
      <x:c r="C79" s="5" t="str">
        <x:v>Einführung in die Kosten- und Leistungsrechnung</x:v>
      </x:c>
      <x:c r="D79" s="5" t="str">
        <x:v>teilweise abgedeckt</x:v>
      </x:c>
      <x:c r="E79" s="5" t="str">
        <x:v>vollständig abgedeckt</x:v>
      </x:c>
      <x:c r="F79" s="5" t="str">
        <x:v>BR-0037; BR-0029</x:v>
      </x:c>
      <x:c r="G79" s="5" t="str">
        <x:v>BR-0005–BR-0009; BR-0036, BR-0037; BR-0030; BR-0038; BR-0054–BR-0057; BR-0063–BR-0069; BR-0011; BR-0015, BR-0016; BR-0020; BR-0027; BR-0032; BR-0044–BR-0047; BR-0052, BR-0053; BR-0108, BR-0109</x:v>
      </x:c>
      <x:c r="H79" s="5" t="str">
        <x:v>Keine verbleibende Lücke nach Einzelpunktprüfung</x:v>
      </x:c>
      <x:c r="I79" s="5" t="str">
        <x:v>Abgeleiteter Elternstatus; keine zusätzliche Inhaltsaufgabe. Siehe Einzelpunkte 2.3.1.3</x:v>
      </x:c>
      <x:c r="J79" s="5" t="str">
        <x:v>Soll-Ist-Matrix 2026-09-27</x:v>
      </x:c>
      <x:c r="K79" s="5" t="str">
        <x:v>Elternbewertung aus einzeln geprüften Unterpunkten</x:v>
      </x:c>
      <x:c r="L79" s="5" t="str">
        <x:v>BR-0064; BR-0066; BR-0067; BR-0068; BR-0069</x:v>
      </x:c>
    </x:row>
    <x:row r="80" ht="36" customHeight="1">
      <x:c r="A80" s="5" t="str">
        <x:v>2.3.1.1</x:v>
      </x:c>
      <x:c r="B80" s="5" t="str">
        <x:v>Rechnungswesen</x:v>
      </x:c>
      <x:c r="C80" s="5" t="str">
        <x:v>Ausrichtung der Kosten- und Leistungsrechnung</x:v>
      </x:c>
      <x:c r="D80" s="5" t="str">
        <x:v>vollständig abgedeckt</x:v>
      </x:c>
      <x:c r="E80" s="5" t="str">
        <x:v>vollständig abgedeckt</x:v>
      </x:c>
      <x:c r="F80" s="5" t="str"/>
      <x:c r="G80" s="5" t="str">
        <x:v>BR-0005–BR-0009; BR-0036, BR-0037; BR-0030; BR-0038; BR-0054–BR-0057; BR-0063–BR-0069</x:v>
      </x:c>
      <x:c r="H80" s="5" t="str"/>
      <x:c r="I80" s="5" t="str">
        <x:v>Analysebewertung erhalten; keine neue Frage allein aus ID-Zahlen ableiten.</x:v>
      </x:c>
      <x:c r="J80" s="5" t="str">
        <x:v>Soll-Ist-Matrix 2026-09-27</x:v>
      </x:c>
      <x:c r="K80" s="5" t="str">
        <x:v>Vorbewertung aus Soll-Ist-Matrix; Kandidaten nicht automatisch Einzelbelege</x:v>
      </x:c>
      <x:c r="L80" s="5" t="str"/>
    </x:row>
    <x:row r="81" ht="36" customHeight="1">
      <x:c r="A81" s="5" t="str">
        <x:v>2.3.1.2</x:v>
      </x:c>
      <x:c r="B81" s="5" t="str">
        <x:v>Rechnungswesen</x:v>
      </x:c>
      <x:c r="C81" s="5" t="str">
        <x:v>Bereiche der Kosten- und Leistungsrechnung</x:v>
      </x:c>
      <x:c r="D81" s="5" t="str">
        <x:v>vollständig abgedeckt</x:v>
      </x:c>
      <x:c r="E81" s="5" t="str">
        <x:v>vollständig abgedeckt</x:v>
      </x:c>
      <x:c r="F81" s="5" t="str"/>
      <x:c r="G81" s="5" t="str">
        <x:v>BR-0030; BR-0038; BR-0054–BR-0057; BR-0063–BR-0069</x:v>
      </x:c>
      <x:c r="H81" s="5" t="str"/>
      <x:c r="I81" s="5" t="str">
        <x:v>Analysebewertung erhalten; keine neue Frage allein aus ID-Zahlen ableiten.</x:v>
      </x:c>
      <x:c r="J81" s="5" t="str">
        <x:v>Soll-Ist-Matrix 2026-09-27</x:v>
      </x:c>
      <x:c r="K81" s="5" t="str">
        <x:v>Vorbewertung aus Soll-Ist-Matrix; Kandidaten nicht automatisch Einzelbelege</x:v>
      </x:c>
      <x:c r="L81" s="5" t="str">
        <x:v>BR-0038; BR-0055</x:v>
      </x:c>
    </x:row>
    <x:row r="82" ht="36" customHeight="1">
      <x:c r="A82" s="5" t="str">
        <x:v>2.3.1.3</x:v>
      </x:c>
      <x:c r="B82" s="5" t="str">
        <x:v>Rechnungswesen</x:v>
      </x:c>
      <x:c r="C82" s="5" t="str">
        <x:v>Aufgaben und Ziele der Kosten- und Leistungsrechnung</x:v>
      </x:c>
      <x:c r="D82" s="5" t="str">
        <x:v>teilweise abgedeckt</x:v>
      </x:c>
      <x:c r="E82" s="5" t="str">
        <x:v>vollständig abgedeckt</x:v>
      </x:c>
      <x:c r="F82" s="5" t="str">
        <x:v>BR-0037; BR-0029</x:v>
      </x:c>
      <x:c r="G82" s="5" t="str">
        <x:v>BR-0030; BR-0038; BR-0054–BR-0057; BR-0063–BR-0069</x:v>
      </x:c>
      <x:c r="H82" s="5" t="str">
        <x:v>Keine fachliche Lücke im beschriebenen Themenumfang nachweisbar.</x:v>
      </x:c>
      <x:c r="I82" s="5" t="str">
        <x:v>Bestehende Belege gezielt verknüpfen; keine neue Frage allein wegen bisher fehlender expliziter Titelzeile.</x:v>
      </x:c>
      <x:c r="J82" s="5" t="str">
        <x:v>RW_Buch: Kap. 3.1.3; RW_Skript: Einführung KLR</x:v>
      </x:c>
      <x:c r="K82" s="5" t="str">
        <x:v>Vorbewertung aus Soll-Ist-Matrix; Kandidaten nicht automatisch Einzelbelege</x:v>
      </x:c>
      <x:c r="L82" s="5" t="str">
        <x:v>BR-0037</x:v>
      </x:c>
    </x:row>
    <x:row r="83" ht="36" customHeight="1">
      <x:c r="A83" s="5" t="str">
        <x:v>2.3.1.4</x:v>
      </x:c>
      <x:c r="B83" s="5" t="str">
        <x:v>Rechnungswesen</x:v>
      </x:c>
      <x:c r="C83" s="5" t="str">
        <x:v>Abgrenzungsrechnung von der Finanzbuchhaltung zur Kosten- und Leistungsrechnung</x:v>
      </x:c>
      <x:c r="D83" s="5" t="str">
        <x:v>vollständig abgedeckt</x:v>
      </x:c>
      <x:c r="E83" s="5" t="str">
        <x:v>vollständig abgedeckt</x:v>
      </x:c>
      <x:c r="F83" s="5" t="str"/>
      <x:c r="G83" s="5" t="str">
        <x:v>BR-0030; BR-0038; BR-0054–BR-0057; BR-0063–BR-0069; BR-0011; BR-0015, BR-0016; BR-0020; BR-0027; BR-0032; BR-0044–BR-0047; BR-0052, BR-0053; BR-0108, BR-0109</x:v>
      </x:c>
      <x:c r="H83" s="5" t="str"/>
      <x:c r="I83" s="5" t="str">
        <x:v>Analysebewertung erhalten; keine neue Frage allein aus ID-Zahlen ableiten.</x:v>
      </x:c>
      <x:c r="J83" s="5" t="str">
        <x:v>Soll-Ist-Matrix 2026-09-27</x:v>
      </x:c>
      <x:c r="K83" s="5" t="str">
        <x:v>Vorbewertung aus Soll-Ist-Matrix; Kandidaten nicht automatisch Einzelbelege</x:v>
      </x:c>
      <x:c r="L83" s="5" t="str">
        <x:v>BR-0030; BR-0054; BR-0056; BR-0057; BR-0063; BR-0065</x:v>
      </x:c>
    </x:row>
    <x:row r="84" ht="36" customHeight="1">
      <x:c r="A84" s="5" t="str">
        <x:v>2.3.2</x:v>
      </x:c>
      <x:c r="B84" s="5" t="str">
        <x:v>Rechnungswesen</x:v>
      </x:c>
      <x:c r="C84" s="5" t="str">
        <x:v>Kostenartenrechnung</x:v>
      </x:c>
      <x:c r="D84" s="5" t="str">
        <x:v>vollständig abgedeckt</x:v>
      </x:c>
      <x:c r="E84" s="5" t="str">
        <x:v>vollständig abgedeckt</x:v>
      </x:c>
      <x:c r="F84" s="5" t="str"/>
      <x:c r="G84" s="5" t="str">
        <x:v>BR-0030; BR-0038; BR-0054–BR-0057; BR-0063–BR-0069; BR-0001, BR-0002; BR-0004; BR-0086–BR-0096; BR-0110, BR-0111</x:v>
      </x:c>
      <x:c r="H84" s="5" t="str"/>
      <x:c r="I84" s="5" t="str">
        <x:v>Analysebewertung erhalten; keine neue Frage allein aus ID-Zahlen ableiten.</x:v>
      </x:c>
      <x:c r="J84" s="5" t="str">
        <x:v>Soll-Ist-Matrix 2026-09-27</x:v>
      </x:c>
      <x:c r="K84" s="5" t="str">
        <x:v>Vorbewertung aus Soll-Ist-Matrix; Kandidaten nicht automatisch Einzelbelege</x:v>
      </x:c>
      <x:c r="L84" s="5" t="str"/>
    </x:row>
    <x:row r="85" ht="36" customHeight="1">
      <x:c r="A85" s="5" t="str">
        <x:v>2.3.2.1</x:v>
      </x:c>
      <x:c r="B85" s="5" t="str">
        <x:v>Rechnungswesen</x:v>
      </x:c>
      <x:c r="C85" s="5" t="str">
        <x:v>Erfassung der Kosten</x:v>
      </x:c>
      <x:c r="D85" s="5" t="str">
        <x:v>vollständig abgedeckt</x:v>
      </x:c>
      <x:c r="E85" s="5" t="str">
        <x:v>vollständig abgedeckt</x:v>
      </x:c>
      <x:c r="F85" s="5" t="str"/>
      <x:c r="G85" s="5" t="str">
        <x:v>BR-0030; BR-0038; BR-0054–BR-0057; BR-0063–BR-0069; BR-0001, BR-0002; BR-0004; BR-0086–BR-0096; BR-0110, BR-0111</x:v>
      </x:c>
      <x:c r="H85" s="5" t="str"/>
      <x:c r="I85" s="5" t="str">
        <x:v>Analysebewertung erhalten; keine neue Frage allein aus ID-Zahlen ableiten.</x:v>
      </x:c>
      <x:c r="J85" s="5" t="str">
        <x:v>Soll-Ist-Matrix 2026-09-27</x:v>
      </x:c>
      <x:c r="K85" s="5" t="str">
        <x:v>Vorbewertung aus Soll-Ist-Matrix; Kandidaten nicht automatisch Einzelbelege</x:v>
      </x:c>
      <x:c r="L85" s="5" t="str"/>
    </x:row>
    <x:row r="86" ht="36" customHeight="1">
      <x:c r="A86" s="5" t="str">
        <x:v>2.3.2.2</x:v>
      </x:c>
      <x:c r="B86" s="5" t="str">
        <x:v>Rechnungswesen</x:v>
      </x:c>
      <x:c r="C86" s="5" t="str">
        <x:v>Gliederung der Kosten</x:v>
      </x:c>
      <x:c r="D86" s="5" t="str">
        <x:v>vollständig abgedeckt</x:v>
      </x:c>
      <x:c r="E86" s="5" t="str">
        <x:v>vollständig abgedeckt</x:v>
      </x:c>
      <x:c r="F86" s="5" t="str"/>
      <x:c r="G86" s="5" t="str">
        <x:v>BR-0030; BR-0038; BR-0054–BR-0057; BR-0063–BR-0069; BR-0001, BR-0002; BR-0004; BR-0086–BR-0096; BR-0110, BR-0111</x:v>
      </x:c>
      <x:c r="H86" s="5" t="str"/>
      <x:c r="I86" s="5" t="str">
        <x:v>Analysebewertung erhalten; keine neue Frage allein aus ID-Zahlen ableiten.</x:v>
      </x:c>
      <x:c r="J86" s="5" t="str">
        <x:v>Soll-Ist-Matrix 2026-09-27</x:v>
      </x:c>
      <x:c r="K86" s="5" t="str">
        <x:v>Vorbewertung aus Soll-Ist-Matrix; Kandidaten nicht automatisch Einzelbelege</x:v>
      </x:c>
      <x:c r="L86" s="5" t="str"/>
    </x:row>
    <x:row r="87" ht="36" customHeight="1">
      <x:c r="A87" s="5" t="str">
        <x:v>2.3.3</x:v>
      </x:c>
      <x:c r="B87" s="5" t="str">
        <x:v>Rechnungswesen</x:v>
      </x:c>
      <x:c r="C87" s="5" t="str">
        <x:v>Kostenstellenrechnung</x:v>
      </x:c>
      <x:c r="D87" s="5" t="str">
        <x:v>vollständig abgedeckt</x:v>
      </x:c>
      <x:c r="E87" s="5" t="str">
        <x:v>vollständig abgedeckt</x:v>
      </x:c>
      <x:c r="F87" s="5" t="str"/>
      <x:c r="G87" s="5" t="str">
        <x:v>BR-0029; BR-0070–BR-0074; BR-0121</x:v>
      </x:c>
      <x:c r="H87" s="5" t="str"/>
      <x:c r="I87" s="5" t="str">
        <x:v>Analysebewertung erhalten; keine neue Frage allein aus ID-Zahlen ableiten.</x:v>
      </x:c>
      <x:c r="J87" s="5" t="str">
        <x:v>Soll-Ist-Matrix 2026-09-27</x:v>
      </x:c>
      <x:c r="K87" s="5" t="str">
        <x:v>Vorbewertung aus Soll-Ist-Matrix; Kandidaten nicht automatisch Einzelbelege</x:v>
      </x:c>
      <x:c r="L87" s="5" t="str">
        <x:v>BR-0072; BR-0073</x:v>
      </x:c>
    </x:row>
    <x:row r="88" ht="36" customHeight="1">
      <x:c r="A88" s="5" t="str">
        <x:v>2.3.3.1</x:v>
      </x:c>
      <x:c r="B88" s="5" t="str">
        <x:v>Rechnungswesen</x:v>
      </x:c>
      <x:c r="C88" s="5" t="str">
        <x:v>Kostenzurechnung auf die Kostenstellen im Betriebsabrechnungsbogen</x:v>
      </x:c>
      <x:c r="D88" s="5" t="str">
        <x:v>vollständig abgedeckt</x:v>
      </x:c>
      <x:c r="E88" s="5" t="str">
        <x:v>vollständig abgedeckt</x:v>
      </x:c>
      <x:c r="F88" s="5" t="str"/>
      <x:c r="G88" s="5" t="str">
        <x:v>BR-0029; BR-0070–BR-0074; BR-0121</x:v>
      </x:c>
      <x:c r="H88" s="5" t="str"/>
      <x:c r="I88" s="5" t="str">
        <x:v>Analysebewertung erhalten; keine neue Frage allein aus ID-Zahlen ableiten.</x:v>
      </x:c>
      <x:c r="J88" s="5" t="str">
        <x:v>Soll-Ist-Matrix 2026-09-27</x:v>
      </x:c>
      <x:c r="K88" s="5" t="str">
        <x:v>Vorbewertung aus Soll-Ist-Matrix; Kandidaten nicht automatisch Einzelbelege</x:v>
      </x:c>
      <x:c r="L88" s="5" t="str">
        <x:v>BR-0029; BR-0070; BR-0071; BR-0074; BR-0121</x:v>
      </x:c>
    </x:row>
    <x:row r="89" ht="36" customHeight="1">
      <x:c r="A89" s="5" t="str">
        <x:v>2.3.3.2</x:v>
      </x:c>
      <x:c r="B89" s="5" t="str">
        <x:v>Rechnungswesen</x:v>
      </x:c>
      <x:c r="C89" s="5" t="str">
        <x:v>Ermittlung der Zuschlagssätze</x:v>
      </x:c>
      <x:c r="D89" s="5" t="str">
        <x:v>vollständig abgedeckt</x:v>
      </x:c>
      <x:c r="E89" s="5" t="str">
        <x:v>vollständig abgedeckt</x:v>
      </x:c>
      <x:c r="F89" s="5" t="str"/>
      <x:c r="G89" s="5" t="str">
        <x:v>BR-0029; BR-0070–BR-0074; BR-0121</x:v>
      </x:c>
      <x:c r="H89" s="5" t="str"/>
      <x:c r="I89" s="5" t="str">
        <x:v>Analysebewertung erhalten; keine neue Frage allein aus ID-Zahlen ableiten.</x:v>
      </x:c>
      <x:c r="J89" s="5" t="str">
        <x:v>Soll-Ist-Matrix 2026-09-27</x:v>
      </x:c>
      <x:c r="K89" s="5" t="str">
        <x:v>Vorbewertung aus Soll-Ist-Matrix; Kandidaten nicht automatisch Einzelbelege</x:v>
      </x:c>
      <x:c r="L89" s="5" t="str"/>
    </x:row>
    <x:row r="90" ht="36" customHeight="1">
      <x:c r="A90" s="5" t="str">
        <x:v>2.3.4</x:v>
      </x:c>
      <x:c r="B90" s="5" t="str">
        <x:v>Rechnungswesen</x:v>
      </x:c>
      <x:c r="C90" s="5" t="str">
        <x:v>Kostenträgerzeit- und Kostenträgerstückrechnung</x:v>
      </x:c>
      <x:c r="D90" s="5" t="str">
        <x:v>teilweise abgedeckt</x:v>
      </x:c>
      <x:c r="E90" s="5" t="str">
        <x:v>teilweise abgedeckt</x:v>
      </x:c>
      <x:c r="F90" s="5" t="str">
        <x:v>BR-0076</x:v>
      </x:c>
      <x:c r="G90" s="5" t="str">
        <x:v>BR-0075–BR-0085; BR-0119, BR-0120</x:v>
      </x:c>
      <x:c r="H90" s="5" t="str">
        <x:v>2.3.4.1: Spätere Überarbeitung erforderlich: Kostenträgerzeitrechnung nicht pauschal als vergangenheitsorientiert darstellen; Kostenträgerstückrechnung nicht als alleinige Ermittlung eines Produktgewinns darstellen.</x:v>
      </x:c>
      <x:c r="I90" s="5" t="str">
        <x:v>Abgeleiteter Elternstatus; keine zusätzliche Inhaltsaufgabe. Siehe Einzelpunkte 2.3.4.1</x:v>
      </x:c>
      <x:c r="J90" s="5" t="str">
        <x:v>Soll-Ist-Matrix 2026-09-27</x:v>
      </x:c>
      <x:c r="K90" s="5" t="str">
        <x:v>Elternbewertung aus einzeln geprüften Unterpunkten</x:v>
      </x:c>
      <x:c r="L90" s="5" t="str">
        <x:v>BR-0075; BR-0077; BR-0078; BR-0079; BR-0082; BR-0083; BR-0084; BR-0085; BR-0119</x:v>
      </x:c>
    </x:row>
    <x:row r="91" ht="36" customHeight="1">
      <x:c r="A91" s="5" t="str">
        <x:v>2.3.4.1</x:v>
      </x:c>
      <x:c r="B91" s="5" t="str">
        <x:v>Rechnungswesen</x:v>
      </x:c>
      <x:c r="C91" s="5" t="str">
        <x:v>Kostenträgerzeitrechnung</x:v>
      </x:c>
      <x:c r="D91" s="5" t="str">
        <x:v>teilweise abgedeckt</x:v>
      </x:c>
      <x:c r="E91" s="5" t="str">
        <x:v>teilweise abgedeckt</x:v>
      </x:c>
      <x:c r="F91" s="5" t="str">
        <x:v>BR-0076</x:v>
      </x:c>
      <x:c r="G91" s="5" t="str">
        <x:v>BR-0075–BR-0085; BR-0119</x:v>
      </x:c>
      <x:c r="H91" s="5" t="str">
        <x:v>Spätere Überarbeitung erforderlich: Kostenträgerzeitrechnung nicht pauschal als vergangenheitsorientiert darstellen; Kostenträgerstückrechnung nicht als alleinige Ermittlung eines Produktgewinns darstellen.</x:v>
      </x:c>
      <x:c r="I91" s="5" t="str">
        <x:v>BR-0076 unter derselben ID redaktionell und fachlich präzisieren; Lückentext, Musterlösung und Schlüsselwörter gemeinsam prüfen. Keine neue ID erzeugen.</x:v>
      </x:c>
      <x:c r="J91" s="5" t="str">
        <x:v>RW_Buch: Kap. 3.4.1 und 5; RW_Skript: Abschnitt Kostenträgerzeitrechnung</x:v>
      </x:c>
      <x:c r="K91" s="5" t="str">
        <x:v>Vorbewertung aus Soll-Ist-Matrix; Kandidaten nicht automatisch Einzelbelege</x:v>
      </x:c>
      <x:c r="L91" s="5" t="str">
        <x:v>BR-0076</x:v>
      </x:c>
    </x:row>
    <x:row r="92" ht="36" customHeight="1">
      <x:c r="A92" s="5" t="str">
        <x:v>2.3.4.2</x:v>
      </x:c>
      <x:c r="B92" s="5" t="str">
        <x:v>Rechnungswesen</x:v>
      </x:c>
      <x:c r="C92" s="5" t="str">
        <x:v>Zuschlagskalkulation</x:v>
      </x:c>
      <x:c r="D92" s="5" t="str">
        <x:v>vollständig abgedeckt</x:v>
      </x:c>
      <x:c r="E92" s="5" t="str">
        <x:v>vollständig abgedeckt</x:v>
      </x:c>
      <x:c r="F92" s="5" t="str"/>
      <x:c r="G92" s="5" t="str">
        <x:v>BR-0075–BR-0085; BR-0119</x:v>
      </x:c>
      <x:c r="H92" s="5" t="str"/>
      <x:c r="I92" s="5" t="str">
        <x:v>Analysebewertung erhalten; keine neue Frage allein aus ID-Zahlen ableiten.</x:v>
      </x:c>
      <x:c r="J92" s="5" t="str">
        <x:v>Soll-Ist-Matrix 2026-09-27</x:v>
      </x:c>
      <x:c r="K92" s="5" t="str">
        <x:v>Vorbewertung aus Soll-Ist-Matrix; Kandidaten nicht automatisch Einzelbelege</x:v>
      </x:c>
      <x:c r="L92" s="5" t="str"/>
    </x:row>
    <x:row r="93" ht="36" customHeight="1">
      <x:c r="A93" s="5" t="str">
        <x:v>2.3.4.3</x:v>
      </x:c>
      <x:c r="B93" s="5" t="str">
        <x:v>Rechnungswesen</x:v>
      </x:c>
      <x:c r="C93" s="5" t="str">
        <x:v>Zuschlagskalkulation mit Maschinenstundensätzen</x:v>
      </x:c>
      <x:c r="D93" s="5" t="str">
        <x:v>vollständig abgedeckt</x:v>
      </x:c>
      <x:c r="E93" s="5" t="str">
        <x:v>vollständig abgedeckt</x:v>
      </x:c>
      <x:c r="F93" s="5" t="str"/>
      <x:c r="G93" s="5" t="str">
        <x:v>BR-0075–BR-0085; BR-0119</x:v>
      </x:c>
      <x:c r="H93" s="5" t="str"/>
      <x:c r="I93" s="5" t="str">
        <x:v>Analysebewertung erhalten; keine neue Frage allein aus ID-Zahlen ableiten.</x:v>
      </x:c>
      <x:c r="J93" s="5" t="str">
        <x:v>Soll-Ist-Matrix 2026-09-27</x:v>
      </x:c>
      <x:c r="K93" s="5" t="str">
        <x:v>Vorbewertung aus Soll-Ist-Matrix; Kandidaten nicht automatisch Einzelbelege</x:v>
      </x:c>
      <x:c r="L93" s="5" t="str"/>
    </x:row>
    <x:row r="94" ht="36" customHeight="1">
      <x:c r="A94" s="5" t="str">
        <x:v>2.3.4.4</x:v>
      </x:c>
      <x:c r="B94" s="5" t="str">
        <x:v>Rechnungswesen</x:v>
      </x:c>
      <x:c r="C94" s="5" t="str">
        <x:v>Divisionskalkulation</x:v>
      </x:c>
      <x:c r="D94" s="5" t="str">
        <x:v>vollständig abgedeckt</x:v>
      </x:c>
      <x:c r="E94" s="5" t="str">
        <x:v>vollständig abgedeckt</x:v>
      </x:c>
      <x:c r="F94" s="5" t="str"/>
      <x:c r="G94" s="5" t="str">
        <x:v>BR-0075–BR-0085; BR-0119</x:v>
      </x:c>
      <x:c r="H94" s="5" t="str"/>
      <x:c r="I94" s="5" t="str">
        <x:v>Analysebewertung erhalten; keine neue Frage allein aus ID-Zahlen ableiten.</x:v>
      </x:c>
      <x:c r="J94" s="5" t="str">
        <x:v>Soll-Ist-Matrix 2026-09-27</x:v>
      </x:c>
      <x:c r="K94" s="5" t="str">
        <x:v>Vorbewertung aus Soll-Ist-Matrix; Kandidaten nicht automatisch Einzelbelege</x:v>
      </x:c>
      <x:c r="L94" s="5" t="str">
        <x:v>BR-0080; BR-0081</x:v>
      </x:c>
    </x:row>
    <x:row r="95" ht="36" customHeight="1">
      <x:c r="A95" s="5" t="str">
        <x:v>2.3.4.5</x:v>
      </x:c>
      <x:c r="B95" s="5" t="str">
        <x:v>Rechnungswesen</x:v>
      </x:c>
      <x:c r="C95" s="5" t="str">
        <x:v>Äquivalenzziffernkalkulation</x:v>
      </x:c>
      <x:c r="D95" s="5" t="str">
        <x:v>vollständig abgedeckt</x:v>
      </x:c>
      <x:c r="E95" s="5" t="str">
        <x:v>vollständig abgedeckt</x:v>
      </x:c>
      <x:c r="F95" s="5" t="str"/>
      <x:c r="G95" s="5" t="str">
        <x:v>BR-0075–BR-0085; BR-0119</x:v>
      </x:c>
      <x:c r="H95" s="5" t="str"/>
      <x:c r="I95" s="5" t="str">
        <x:v>Analysebewertung erhalten; keine neue Frage allein aus ID-Zahlen ableiten.</x:v>
      </x:c>
      <x:c r="J95" s="5" t="str">
        <x:v>Soll-Ist-Matrix 2026-09-27</x:v>
      </x:c>
      <x:c r="K95" s="5" t="str">
        <x:v>Vorbewertung aus Soll-Ist-Matrix; Kandidaten nicht automatisch Einzelbelege</x:v>
      </x:c>
      <x:c r="L95" s="5" t="str"/>
    </x:row>
    <x:row r="96" ht="36" customHeight="1">
      <x:c r="A96" s="5" t="str">
        <x:v>2.3.4.6</x:v>
      </x:c>
      <x:c r="B96" s="5" t="str">
        <x:v>Rechnungswesen</x:v>
      </x:c>
      <x:c r="C96" s="5" t="str">
        <x:v>Handelswarenkalkulation</x:v>
      </x:c>
      <x:c r="D96" s="5" t="str">
        <x:v>vollständig abgedeckt</x:v>
      </x:c>
      <x:c r="E96" s="5" t="str">
        <x:v>vollständig abgedeckt</x:v>
      </x:c>
      <x:c r="F96" s="5" t="str"/>
      <x:c r="G96" s="5" t="str">
        <x:v>BR-0075–BR-0085; BR-0119, BR-0120</x:v>
      </x:c>
      <x:c r="H96" s="5" t="str"/>
      <x:c r="I96" s="5" t="str">
        <x:v>Analysebewertung erhalten; keine neue Frage allein aus ID-Zahlen ableiten.</x:v>
      </x:c>
      <x:c r="J96" s="5" t="str">
        <x:v>Soll-Ist-Matrix 2026-09-27</x:v>
      </x:c>
      <x:c r="K96" s="5" t="str">
        <x:v>Vorbewertung aus Soll-Ist-Matrix; Kandidaten nicht automatisch Einzelbelege</x:v>
      </x:c>
      <x:c r="L96" s="5" t="str">
        <x:v>BR-0120</x:v>
      </x:c>
    </x:row>
    <x:row r="97" ht="36" customHeight="1">
      <x:c r="A97" s="5" t="str">
        <x:v>2.3.5</x:v>
      </x:c>
      <x:c r="B97" s="5" t="str">
        <x:v>Rechnungswesen</x:v>
      </x:c>
      <x:c r="C97" s="5" t="str">
        <x:v>Vergleich von Vollkosten- und Teilkostenrechnung</x:v>
      </x:c>
      <x:c r="D97" s="5" t="str">
        <x:v>vollständig abgedeckt</x:v>
      </x:c>
      <x:c r="E97" s="5" t="str">
        <x:v>vollständig abgedeckt</x:v>
      </x:c>
      <x:c r="F97" s="5" t="str"/>
      <x:c r="G97" s="5" t="str">
        <x:v>BR-0001, BR-0002; BR-0004; BR-0086–BR-0096; BR-0110, BR-0111; BR-0120</x:v>
      </x:c>
      <x:c r="H97" s="5" t="str"/>
      <x:c r="I97" s="5" t="str">
        <x:v>Analysebewertung erhalten; keine neue Frage allein aus ID-Zahlen ableiten.</x:v>
      </x:c>
      <x:c r="J97" s="5" t="str">
        <x:v>Soll-Ist-Matrix 2026-09-27</x:v>
      </x:c>
      <x:c r="K97" s="5" t="str">
        <x:v>Vorbewertung aus Soll-Ist-Matrix; Kandidaten nicht automatisch Einzelbelege</x:v>
      </x:c>
      <x:c r="L97" s="5" t="str">
        <x:v>BR-0001; BR-0003; BR-0035; BR-0087; BR-0088; BR-0089; BR-0090; BR-0091; BR-0093; BR-0094; BR-0095; BR-0096; BR-0110; BR-0111; BR-0118</x:v>
      </x:c>
    </x:row>
    <x:row r="98" ht="36" customHeight="1">
      <x:c r="A98" s="5" t="str">
        <x:v>2.3.5.1</x:v>
      </x:c>
      <x:c r="B98" s="5" t="str">
        <x:v>Rechnungswesen</x:v>
      </x:c>
      <x:c r="C98" s="5" t="str">
        <x:v>Begründung der Teilkostenrechnung</x:v>
      </x:c>
      <x:c r="D98" s="5" t="str">
        <x:v>vollständig abgedeckt</x:v>
      </x:c>
      <x:c r="E98" s="5" t="str">
        <x:v>vollständig abgedeckt</x:v>
      </x:c>
      <x:c r="F98" s="5" t="str"/>
      <x:c r="G98" s="5" t="str">
        <x:v>BR-0001, BR-0002; BR-0004; BR-0086–BR-0096; BR-0110, BR-0111</x:v>
      </x:c>
      <x:c r="H98" s="5" t="str"/>
      <x:c r="I98" s="5" t="str">
        <x:v>Analysebewertung erhalten; keine neue Frage allein aus ID-Zahlen ableiten.</x:v>
      </x:c>
      <x:c r="J98" s="5" t="str">
        <x:v>Soll-Ist-Matrix 2026-09-27</x:v>
      </x:c>
      <x:c r="K98" s="5" t="str">
        <x:v>Vorbewertung aus Soll-Ist-Matrix; Kandidaten nicht automatisch Einzelbelege</x:v>
      </x:c>
      <x:c r="L98" s="5" t="str">
        <x:v>BR-0002; BR-0086</x:v>
      </x:c>
    </x:row>
    <x:row r="99" ht="36" customHeight="1">
      <x:c r="A99" s="5" t="str">
        <x:v>2.3.5.2</x:v>
      </x:c>
      <x:c r="B99" s="5" t="str">
        <x:v>Rechnungswesen</x:v>
      </x:c>
      <x:c r="C99" s="5" t="str">
        <x:v>Absolute einstufige Deckungsbeitragsrechnung</x:v>
      </x:c>
      <x:c r="D99" s="5" t="str">
        <x:v>vollständig abgedeckt</x:v>
      </x:c>
      <x:c r="E99" s="5" t="str">
        <x:v>vollständig abgedeckt</x:v>
      </x:c>
      <x:c r="F99" s="5" t="str"/>
      <x:c r="G99" s="5" t="str">
        <x:v>BR-0001, BR-0002; BR-0004; BR-0086–BR-0096; BR-0110, BR-0111; BR-0120</x:v>
      </x:c>
      <x:c r="H99" s="5" t="str"/>
      <x:c r="I99" s="5" t="str">
        <x:v>Analysebewertung erhalten; keine neue Frage allein aus ID-Zahlen ableiten.</x:v>
      </x:c>
      <x:c r="J99" s="5" t="str">
        <x:v>Soll-Ist-Matrix 2026-09-27</x:v>
      </x:c>
      <x:c r="K99" s="5" t="str">
        <x:v>Vorbewertung aus Soll-Ist-Matrix; Kandidaten nicht automatisch Einzelbelege</x:v>
      </x:c>
      <x:c r="L99" s="5" t="str">
        <x:v>BR-0004; BR-0092</x:v>
      </x:c>
    </x:row>
    <x:row r="100" ht="36" customHeight="1">
      <x:c r="A100" s="5" t="str">
        <x:v>2.4</x:v>
      </x:c>
      <x:c r="B100" s="5" t="str">
        <x:v>Rechnungswesen</x:v>
      </x:c>
      <x:c r="C100" s="5" t="str">
        <x:v>Auswertung der betriebswirtschaftlichen Zahlen</x:v>
      </x:c>
      <x:c r="D100" s="5" t="str">
        <x:v>teilweise abgedeckt</x:v>
      </x:c>
      <x:c r="E100" s="5" t="str">
        <x:v>vollständig abgedeckt</x:v>
      </x:c>
      <x:c r="F100" s="5" t="str">
        <x:v>BR-0112; BR-0044; BR-0008</x:v>
      </x:c>
      <x:c r="G100" s="5" t="str">
        <x:v>BR-0097–BR-0100; BR-0112–BR-0115</x:v>
      </x:c>
      <x:c r="H100" s="5" t="str">
        <x:v>Keine verbleibende Lücke nach Einzelpunktprüfung</x:v>
      </x:c>
      <x:c r="I100" s="5" t="str">
        <x:v>Abgeleiteter Elternstatus; keine zusätzliche Inhaltsaufgabe. Siehe Einzelpunkte 2.4.1.1</x:v>
      </x:c>
      <x:c r="J100" s="5" t="str">
        <x:v>Soll-Ist-Matrix 2026-09-27</x:v>
      </x:c>
      <x:c r="K100" s="5" t="str">
        <x:v>Elternbewertung aus einzeln geprüften Unterpunkten</x:v>
      </x:c>
      <x:c r="L100" s="5" t="str"/>
    </x:row>
    <x:row r="101" ht="36" customHeight="1">
      <x:c r="A101" s="5" t="str">
        <x:v>2.4.1</x:v>
      </x:c>
      <x:c r="B101" s="5" t="str">
        <x:v>Rechnungswesen</x:v>
      </x:c>
      <x:c r="C101" s="5" t="str">
        <x:v>Aufbereitung und Auswertung der Zahlen</x:v>
      </x:c>
      <x:c r="D101" s="5" t="str">
        <x:v>teilweise abgedeckt</x:v>
      </x:c>
      <x:c r="E101" s="5" t="str">
        <x:v>vollständig abgedeckt</x:v>
      </x:c>
      <x:c r="F101" s="5" t="str">
        <x:v>BR-0112; BR-0044; BR-0008</x:v>
      </x:c>
      <x:c r="G101" s="5" t="str">
        <x:v>BR-0097–BR-0100; BR-0112–BR-0115</x:v>
      </x:c>
      <x:c r="H101" s="5" t="str">
        <x:v>Keine verbleibende Lücke nach Einzelpunktprüfung</x:v>
      </x:c>
      <x:c r="I101" s="5" t="str">
        <x:v>Abgeleiteter Elternstatus; keine zusätzliche Inhaltsaufgabe. Siehe Einzelpunkte 2.4.1.1</x:v>
      </x:c>
      <x:c r="J101" s="5" t="str">
        <x:v>Soll-Ist-Matrix 2026-09-27</x:v>
      </x:c>
      <x:c r="K101" s="5" t="str">
        <x:v>Elternbewertung aus einzeln geprüften Unterpunkten</x:v>
      </x:c>
      <x:c r="L101" s="5" t="str"/>
    </x:row>
    <x:row r="102" ht="36" customHeight="1">
      <x:c r="A102" s="5" t="str">
        <x:v>2.4.1.1</x:v>
      </x:c>
      <x:c r="B102" s="5" t="str">
        <x:v>Rechnungswesen</x:v>
      </x:c>
      <x:c r="C102" s="5" t="str">
        <x:v>Adressaten der Auswertungen</x:v>
      </x:c>
      <x:c r="D102" s="5" t="str">
        <x:v>teilweise abgedeckt</x:v>
      </x:c>
      <x:c r="E102" s="5" t="str">
        <x:v>vollständig abgedeckt</x:v>
      </x:c>
      <x:c r="F102" s="5" t="str">
        <x:v>BR-0112; BR-0044; BR-0008</x:v>
      </x:c>
      <x:c r="G102" s="5" t="str">
        <x:v>BR-0097–BR-0100; BR-0112–BR-0115</x:v>
      </x:c>
      <x:c r="H102" s="5" t="str">
        <x:v>Keine verbleibende Inhaltslücke; bisherige Kandidatenliste ließ direkte Belege unzureichend erkennen.</x:v>
      </x:c>
      <x:c r="I102" s="5" t="str">
        <x:v>2.4.1.1 mit BR-0112 direkt belegen; FiBu-Bezug von BR-0044 zusätzlich dokumentieren.</x:v>
      </x:c>
      <x:c r="J102" s="5" t="str">
        <x:v>RW_Buch: Kap. 4.1.1; RW_Skript: Adressatenkreis und Jahresabschluss</x:v>
      </x:c>
      <x:c r="K102" s="5" t="str">
        <x:v>Vorbewertung aus Soll-Ist-Matrix; Kandidaten nicht automatisch Einzelbelege</x:v>
      </x:c>
      <x:c r="L102" s="5" t="str">
        <x:v>BR-0112</x:v>
      </x:c>
    </x:row>
    <x:row r="103" ht="36" customHeight="1">
      <x:c r="A103" s="5" t="str">
        <x:v>2.4.1.2</x:v>
      </x:c>
      <x:c r="B103" s="5" t="str">
        <x:v>Rechnungswesen</x:v>
      </x:c>
      <x:c r="C103" s="5" t="str">
        <x:v>Betriebs- und Zeitvergleiche</x:v>
      </x:c>
      <x:c r="D103" s="5" t="str">
        <x:v>vollständig abgedeckt</x:v>
      </x:c>
      <x:c r="E103" s="5" t="str">
        <x:v>vollständig abgedeckt</x:v>
      </x:c>
      <x:c r="F103" s="5" t="str"/>
      <x:c r="G103" s="5" t="str">
        <x:v>BR-0097–BR-0100; BR-0112–BR-0115</x:v>
      </x:c>
      <x:c r="H103" s="5" t="str"/>
      <x:c r="I103" s="5" t="str">
        <x:v>Analysebewertung erhalten; keine neue Frage allein aus ID-Zahlen ableiten.</x:v>
      </x:c>
      <x:c r="J103" s="5" t="str">
        <x:v>Soll-Ist-Matrix 2026-09-27</x:v>
      </x:c>
      <x:c r="K103" s="5" t="str">
        <x:v>Vorbewertung aus Soll-Ist-Matrix; Kandidaten nicht automatisch Einzelbelege</x:v>
      </x:c>
      <x:c r="L103" s="5" t="str"/>
    </x:row>
    <x:row r="104" ht="36" customHeight="1">
      <x:c r="A104" s="5" t="str">
        <x:v>2.4.2</x:v>
      </x:c>
      <x:c r="B104" s="5" t="str">
        <x:v>Rechnungswesen</x:v>
      </x:c>
      <x:c r="C104" s="5" t="str">
        <x:v>Rentabilitätsrechnungen</x:v>
      </x:c>
      <x:c r="D104" s="5" t="str">
        <x:v>vollständig abgedeckt</x:v>
      </x:c>
      <x:c r="E104" s="5" t="str">
        <x:v>vollständig abgedeckt</x:v>
      </x:c>
      <x:c r="F104" s="5" t="str"/>
      <x:c r="G104" s="5" t="str">
        <x:v>BR-0097–BR-0100; BR-0112–BR-0115</x:v>
      </x:c>
      <x:c r="H104" s="5" t="str"/>
      <x:c r="I104" s="5" t="str">
        <x:v>Analysebewertung erhalten; keine neue Frage allein aus ID-Zahlen ableiten.</x:v>
      </x:c>
      <x:c r="J104" s="5" t="str">
        <x:v>Soll-Ist-Matrix 2026-09-27</x:v>
      </x:c>
      <x:c r="K104" s="5" t="str">
        <x:v>Vorbewertung aus Soll-Ist-Matrix; Kandidaten nicht automatisch Einzelbelege</x:v>
      </x:c>
      <x:c r="L104" s="5" t="str">
        <x:v>BR-0097; BR-0098; BR-0099; BR-0100; BR-0113; BR-0114</x:v>
      </x:c>
    </x:row>
    <x:row r="105" ht="36" customHeight="1">
      <x:c r="A105" s="5" t="str">
        <x:v>2.4.2.1</x:v>
      </x:c>
      <x:c r="B105" s="5" t="str">
        <x:v>Rechnungswesen</x:v>
      </x:c>
      <x:c r="C105" s="5" t="str">
        <x:v>Eigenkapitalrentabilität</x:v>
      </x:c>
      <x:c r="D105" s="5" t="str">
        <x:v>vollständig abgedeckt</x:v>
      </x:c>
      <x:c r="E105" s="5" t="str">
        <x:v>vollständig abgedeckt</x:v>
      </x:c>
      <x:c r="F105" s="5" t="str"/>
      <x:c r="G105" s="5" t="str">
        <x:v>BR-0097–BR-0100; BR-0112–BR-0115</x:v>
      </x:c>
      <x:c r="H105" s="5" t="str"/>
      <x:c r="I105" s="5" t="str">
        <x:v>Analysebewertung erhalten; keine neue Frage allein aus ID-Zahlen ableiten.</x:v>
      </x:c>
      <x:c r="J105" s="5" t="str">
        <x:v>Soll-Ist-Matrix 2026-09-27</x:v>
      </x:c>
      <x:c r="K105" s="5" t="str">
        <x:v>Vorbewertung aus Soll-Ist-Matrix; Kandidaten nicht automatisch Einzelbelege</x:v>
      </x:c>
      <x:c r="L105" s="5" t="str"/>
    </x:row>
    <x:row r="106" ht="36" customHeight="1">
      <x:c r="A106" s="5" t="str">
        <x:v>2.4.2.2</x:v>
      </x:c>
      <x:c r="B106" s="5" t="str">
        <x:v>Rechnungswesen</x:v>
      </x:c>
      <x:c r="C106" s="5" t="str">
        <x:v>Gesamtkapitalrentabilität</x:v>
      </x:c>
      <x:c r="D106" s="5" t="str">
        <x:v>vollständig abgedeckt</x:v>
      </x:c>
      <x:c r="E106" s="5" t="str">
        <x:v>vollständig abgedeckt</x:v>
      </x:c>
      <x:c r="F106" s="5" t="str"/>
      <x:c r="G106" s="5" t="str">
        <x:v>BR-0097–BR-0100; BR-0112–BR-0115</x:v>
      </x:c>
      <x:c r="H106" s="5" t="str"/>
      <x:c r="I106" s="5" t="str">
        <x:v>Analysebewertung erhalten; keine neue Frage allein aus ID-Zahlen ableiten.</x:v>
      </x:c>
      <x:c r="J106" s="5" t="str">
        <x:v>Soll-Ist-Matrix 2026-09-27</x:v>
      </x:c>
      <x:c r="K106" s="5" t="str">
        <x:v>Vorbewertung aus Soll-Ist-Matrix; Kandidaten nicht automatisch Einzelbelege</x:v>
      </x:c>
      <x:c r="L106" s="5" t="str">
        <x:v>BR-0115</x:v>
      </x:c>
    </x:row>
    <x:row r="107" ht="36" customHeight="1">
      <x:c r="A107" s="5" t="str">
        <x:v>2.4.2.3</x:v>
      </x:c>
      <x:c r="B107" s="5" t="str">
        <x:v>Rechnungswesen</x:v>
      </x:c>
      <x:c r="C107" s="5" t="str">
        <x:v>Umsatzrentabilität</x:v>
      </x:c>
      <x:c r="D107" s="5" t="str">
        <x:v>vollständig abgedeckt</x:v>
      </x:c>
      <x:c r="E107" s="5" t="str">
        <x:v>vollständig abgedeckt</x:v>
      </x:c>
      <x:c r="F107" s="5" t="str"/>
      <x:c r="G107" s="5" t="str">
        <x:v>BR-0097–BR-0100; BR-0112–BR-0115</x:v>
      </x:c>
      <x:c r="H107" s="5" t="str"/>
      <x:c r="I107" s="5" t="str">
        <x:v>Analysebewertung erhalten; keine neue Frage allein aus ID-Zahlen ableiten.</x:v>
      </x:c>
      <x:c r="J107" s="5" t="str">
        <x:v>Soll-Ist-Matrix 2026-09-27</x:v>
      </x:c>
      <x:c r="K107" s="5" t="str">
        <x:v>Vorbewertung aus Soll-Ist-Matrix; Kandidaten nicht automatisch Einzelbelege</x:v>
      </x:c>
      <x:c r="L107" s="5" t="str"/>
    </x:row>
    <x:row r="108" ht="36" customHeight="1">
      <x:c r="A108" s="5" t="str">
        <x:v>2.5</x:v>
      </x:c>
      <x:c r="B108" s="5" t="str">
        <x:v>Rechnungswesen</x:v>
      </x:c>
      <x:c r="C108" s="5" t="str">
        <x:v>Planungsrechnung</x:v>
      </x:c>
      <x:c r="D108" s="5" t="str">
        <x:v>vollständig abgedeckt</x:v>
      </x:c>
      <x:c r="E108" s="5" t="str">
        <x:v>vollständig abgedeckt</x:v>
      </x:c>
      <x:c r="F108" s="5" t="str"/>
      <x:c r="G108" s="5" t="str">
        <x:v>BR-0010; BR-0101–BR-0103; BR-0105; BR-0116, BR-0117</x:v>
      </x:c>
      <x:c r="H108" s="5" t="str"/>
      <x:c r="I108" s="5" t="str">
        <x:v>Analysebewertung erhalten; keine neue Frage allein aus ID-Zahlen ableiten.</x:v>
      </x:c>
      <x:c r="J108" s="5" t="str">
        <x:v>Soll-Ist-Matrix 2026-09-27</x:v>
      </x:c>
      <x:c r="K108" s="5" t="str">
        <x:v>Vorbewertung aus Soll-Ist-Matrix; Kandidaten nicht automatisch Einzelbelege</x:v>
      </x:c>
      <x:c r="L108" s="5" t="str"/>
    </x:row>
    <x:row r="109" ht="36" customHeight="1">
      <x:c r="A109" s="5" t="str">
        <x:v>2.5.1</x:v>
      </x:c>
      <x:c r="B109" s="5" t="str">
        <x:v>Rechnungswesen</x:v>
      </x:c>
      <x:c r="C109" s="5" t="str">
        <x:v>Inhalt der Planungsrechnung</x:v>
      </x:c>
      <x:c r="D109" s="5" t="str">
        <x:v>vollständig abgedeckt</x:v>
      </x:c>
      <x:c r="E109" s="5" t="str">
        <x:v>vollständig abgedeckt</x:v>
      </x:c>
      <x:c r="F109" s="5" t="str"/>
      <x:c r="G109" s="5" t="str">
        <x:v>BR-0010; BR-0101–BR-0103; BR-0105; BR-0116, BR-0117</x:v>
      </x:c>
      <x:c r="H109" s="5" t="str"/>
      <x:c r="I109" s="5" t="str">
        <x:v>Analysebewertung erhalten; keine neue Frage allein aus ID-Zahlen ableiten.</x:v>
      </x:c>
      <x:c r="J109" s="5" t="str">
        <x:v>Soll-Ist-Matrix 2026-09-27</x:v>
      </x:c>
      <x:c r="K109" s="5" t="str">
        <x:v>Vorbewertung aus Soll-Ist-Matrix; Kandidaten nicht automatisch Einzelbelege</x:v>
      </x:c>
      <x:c r="L109" s="5" t="str">
        <x:v>BR-0010; BR-0101; BR-0102; BR-0103; BR-0105; BR-0116; BR-0117</x:v>
      </x:c>
    </x:row>
    <x:row r="110" ht="36" customHeight="1">
      <x:c r="A110" s="5" t="str">
        <x:v>2.5.2</x:v>
      </x:c>
      <x:c r="B110" s="5" t="str">
        <x:v>Rechnungswesen</x:v>
      </x:c>
      <x:c r="C110" s="5" t="str">
        <x:v>Zeitliche Ausgestaltung</x:v>
      </x:c>
      <x:c r="D110" s="5" t="str">
        <x:v>vollständig abgedeckt</x:v>
      </x:c>
      <x:c r="E110" s="5" t="str">
        <x:v>vollständig abgedeckt</x:v>
      </x:c>
      <x:c r="F110" s="5" t="str"/>
      <x:c r="G110" s="5" t="str">
        <x:v>BR-0010; BR-0101–BR-0103; BR-0105; BR-0116, BR-0117</x:v>
      </x:c>
      <x:c r="H110" s="5" t="str"/>
      <x:c r="I110" s="5" t="str">
        <x:v>Analysebewertung erhalten; keine neue Frage allein aus ID-Zahlen ableiten.</x:v>
      </x:c>
      <x:c r="J110" s="5" t="str">
        <x:v>Soll-Ist-Matrix 2026-09-27</x:v>
      </x:c>
      <x:c r="K110" s="5" t="str">
        <x:v>Vorbewertung aus Soll-Ist-Matrix; Kandidaten nicht automatisch Einzelbelege</x:v>
      </x:c>
      <x:c r="L110" s="5" t="str"/>
    </x:row>
    <x:row r="111" ht="36" customHeight="1">
      <x:c r="A111" s="5" t="str">
        <x:v>3</x:v>
      </x:c>
      <x:c r="B111" s="5" t="str">
        <x:v>Recht und Steuern</x:v>
      </x:c>
      <x:c r="C111" s="5" t="str">
        <x:v>Recht und Steuern</x:v>
      </x:c>
      <x:c r="D111" s="5" t="str">
        <x:v>teilweise abgedeckt</x:v>
      </x:c>
      <x:c r="E111" s="5" t="str">
        <x:v>teilweise abgedeckt</x:v>
      </x:c>
      <x:c r="F111" s="5" t="str"/>
      <x:c r="G111" s="5" t="str">
        <x:v>R-0050–R-0069; R-0083–R-0096; R-0105–R-0118; R-0171–R-0185; R-0514–R-0516; R-0567; R-0031–R-0042; R-0097; R-0309–R-0372; R-0521–R-0527; R-0098–R-0104; R-0186–R-0222; R-0517, R-0518; R-0569–R-0575; R-0001–R-0020; R-0129–R-0141; R-0223–R-0236; R-0240–R-0245; R-0119–R-0128; R-0142, R-0143; R-0145–R-0150; R-0246–R-0308; R-0519, R-0520; R-0568; R-0566; R-0070–R-0082; R-0151–R-0170; R-0237–R-0239; R-0373–R-0406; R-0528–R-0531; R-0576, R-0577; R-0021–R-0025; R-0028, R-0029; R-0144; R-0410–R-0442; R-0445; R-0448–R-0484; R-0026, R-0027; R-0030; R-0407–R-0409; R-0485–R-0501; R-0532–R-0544; R-0578; R-0502–R-0507; R-0545–R-0555; R-0508–R-0513; R-0556–R-0565; ST-0016–ST-0023; ST-0201–ST-0204; ST-0223, ST-0224; ST-0024–ST-0040; ST-0057–ST-0059; ST-0063–ST-0066; ST-0080–ST-0087; ST-0194–ST-0200; ST-0225; ST-0041–ST-0051; ST-0060–ST-0062; ST-0067–ST-0069; ST-0205; ST-0226–ST-0230; ST-0233; ST-0009–ST-0015; ST-0052–ST-0056; ST-0070–ST-0079; ST-0104–ST-0106; ST-0206, ST-0207; ST-0231, ST-0232; ST-0001–ST-0008; ST-0088–ST-0103; ST-0208, ST-0209; ST-0107–ST-0127; ST-0155–ST-0163; ST-0210–ST-0213; ST-0128–ST-0154; ST-0164–ST-0168; ST-0214; ST-0169–ST-0172; ST-0215–ST-0218; ST-0173–ST-0179; ST-0219–ST-0221; ST-0180–ST-0193; ST-0222</x:v>
      </x:c>
      <x:c r="H111" s="5" t="str"/>
      <x:c r="I111" s="5" t="str">
        <x:v>Analysebewertung erhalten; keine neue Frage allein aus ID-Zahlen ableiten.</x:v>
      </x:c>
      <x:c r="J111" s="5" t="str">
        <x:v>Soll-Ist-Matrix 2026-09-27</x:v>
      </x:c>
      <x:c r="K111" s="5" t="str">
        <x:v>Analysebewertung übernommen; keine neue fachliche Vollständigkeitsprüfung. Kandidaten sind keine bestätigten Einzelbelege.</x:v>
      </x:c>
      <x:c r="L111" s="5" t="str"/>
    </x:row>
    <x:row r="112" ht="36" customHeight="1">
      <x:c r="A112" s="5" t="str">
        <x:v>3.1</x:v>
      </x:c>
      <x:c r="B112" s="5" t="str">
        <x:v>Recht und Steuern</x:v>
      </x:c>
      <x:c r="C112" s="5" t="str">
        <x:v>Rechtliche Zusammenhänge</x:v>
      </x:c>
      <x:c r="D112" s="5" t="str">
        <x:v>teilweise abgedeckt</x:v>
      </x:c>
      <x:c r="E112" s="5" t="str">
        <x:v>teilweise abgedeckt</x:v>
      </x:c>
      <x:c r="F112" s="5" t="str"/>
      <x:c r="G112" s="5" t="str">
        <x:v>R-0050–R-0069; R-0083–R-0096; R-0105–R-0118; R-0171–R-0185; R-0514–R-0516; R-0567; R-0031–R-0042; R-0097; R-0309–R-0372; R-0521–R-0527; R-0098–R-0104; R-0186–R-0222; R-0517, R-0518; R-0569–R-0575; R-0001–R-0020; R-0129–R-0141; R-0223–R-0236; R-0240–R-0245; R-0119–R-0128; R-0142, R-0143; R-0145–R-0150; R-0246–R-0308; R-0519, R-0520; R-0568; R-0566; R-0070–R-0082; R-0151–R-0170; R-0237–R-0239; R-0373–R-0406; R-0528–R-0531; R-0576, R-0577; R-0021–R-0025; R-0028, R-0029; R-0144; R-0410–R-0442; R-0445; R-0448–R-0484; R-0026, R-0027; R-0030; R-0407–R-0409; R-0485–R-0501; R-0532–R-0544; R-0578; R-0502–R-0507; R-0545–R-0555; R-0508–R-0513; R-0556–R-0565</x:v>
      </x:c>
      <x:c r="H112" s="5" t="str"/>
      <x:c r="I112" s="5" t="str">
        <x:v>Analysebewertung erhalten; keine neue Frage allein aus ID-Zahlen ableiten.</x:v>
      </x:c>
      <x:c r="J112" s="5" t="str">
        <x:v>Soll-Ist-Matrix 2026-09-27</x:v>
      </x:c>
      <x:c r="K112" s="5" t="str">
        <x:v>Analysebewertung übernommen; keine neue fachliche Vollständigkeitsprüfung. Kandidaten sind keine bestätigten Einzelbelege.</x:v>
      </x:c>
      <x:c r="L112" s="5" t="str">
        <x:v>R-0566</x:v>
      </x:c>
    </x:row>
    <x:row r="113" ht="36" customHeight="1">
      <x:c r="A113" s="5" t="str">
        <x:v>3.1.1</x:v>
      </x:c>
      <x:c r="B113" s="5" t="str">
        <x:v>Recht und Steuern</x:v>
      </x:c>
      <x:c r="C113" s="5" t="str">
        <x:v>BGB Allgemeiner Teil</x:v>
      </x:c>
      <x:c r="D113" s="5" t="str">
        <x:v>vollständig abgedeckt</x:v>
      </x:c>
      <x:c r="E113" s="5" t="str">
        <x:v>vollständig abgedeckt</x:v>
      </x:c>
      <x:c r="F113" s="5" t="str"/>
      <x:c r="G113" s="5" t="str">
        <x:v>R-0050–R-0069; R-0083–R-0096; R-0105–R-0118; R-0171–R-0185; R-0514–R-0516; R-0567; R-0031–R-0042; R-0097; R-0309–R-0372; R-0521–R-0527; R-0098–R-0104; R-0186–R-0222; R-0517, R-0518</x:v>
      </x:c>
      <x:c r="H113" s="5" t="str"/>
      <x:c r="I113" s="5" t="str">
        <x:v>Analysebewertung erhalten; keine neue Frage allein aus ID-Zahlen ableiten.</x:v>
      </x:c>
      <x:c r="J113" s="5" t="str">
        <x:v>Soll-Ist-Matrix 2026-09-27</x:v>
      </x:c>
      <x:c r="K113" s="5" t="str">
        <x:v>Analysebewertung übernommen; keine neue fachliche Vollständigkeitsprüfung. Kandidaten sind keine bestätigten Einzelbelege.</x:v>
      </x:c>
      <x:c r="L113" s="5" t="str">
        <x:v>R-0050; R-0051; R-0052; R-0053; R-0054; R-0055; R-0056; R-0057; R-0058; R-0059; R-0060; R-0061; R-0062; R-0063; R-0064; R-0065; R-0066; R-0067; R-0068; R-0069; R-0083; R-0084; R-0085; R-0086; R-0087; R-0089; R-0090; R-0091; R-0092; R-0093; R-0094; R-0095; R-0096; R-0098; R-0099; R-0100; R-0101; R-0105; R-0106; R-0107; R-0108; R-0109; R-0110; R-0111; R-0112; R-0113; R-0114; R-0115; R-0116; R-0117; R-0118; R-0171; R-0172; R-0173; R-0174; R-0175; R-0176; R-0177; R-0178; R-0179; R-0180; R-0181; R-0182; R-0183; R-0184; R-0185; R-0190; R-0191; R-0192; R-0193; R-0194; R-0195; R-0201; R-0202; R-0203; R-0204; R-0205; R-0206; R-0207; R-0208; R-0209; R-0515; R-0516; R-0567</x:v>
      </x:c>
    </x:row>
    <x:row r="114" ht="36" customHeight="1">
      <x:c r="A114" s="5" t="str">
        <x:v>3.1.1.1</x:v>
      </x:c>
      <x:c r="B114" s="5" t="str">
        <x:v>Recht und Steuern</x:v>
      </x:c>
      <x:c r="C114" s="5" t="str">
        <x:v>Rechtssubjekte</x:v>
      </x:c>
      <x:c r="D114" s="5" t="str">
        <x:v>vollständig abgedeckt</x:v>
      </x:c>
      <x:c r="E114" s="5" t="str">
        <x:v>vollständig abgedeckt</x:v>
      </x:c>
      <x:c r="F114" s="5" t="str"/>
      <x:c r="G114" s="5" t="str">
        <x:v>R-0050–R-0069; R-0083–R-0096; R-0105–R-0118; R-0171–R-0185; R-0514–R-0516; R-0567; R-0031–R-0042; R-0097; R-0309–R-0372; R-0521–R-0527</x:v>
      </x:c>
      <x:c r="H114" s="5" t="str"/>
      <x:c r="I114" s="5" t="str">
        <x:v>Analysebewertung erhalten; keine neue Frage allein aus ID-Zahlen ableiten.</x:v>
      </x:c>
      <x:c r="J114" s="5" t="str">
        <x:v>Soll-Ist-Matrix 2026-09-27</x:v>
      </x:c>
      <x:c r="K114" s="5" t="str">
        <x:v>Analysebewertung übernommen; keine neue fachliche Vollständigkeitsprüfung. Kandidaten sind keine bestätigten Einzelbelege.</x:v>
      </x:c>
      <x:c r="L114" s="5" t="str"/>
    </x:row>
    <x:row r="115" ht="36" customHeight="1">
      <x:c r="A115" s="5" t="str">
        <x:v>3.1.1.1#1</x:v>
      </x:c>
      <x:c r="B115" s="5" t="str">
        <x:v>Recht und Steuern</x:v>
      </x:c>
      <x:c r="C115" s="5" t="str">
        <x:v>Natürliche Personen</x:v>
      </x:c>
      <x:c r="D115" s="5" t="str">
        <x:v>vollständig abgedeckt</x:v>
      </x:c>
      <x:c r="E115" s="5" t="str">
        <x:v>vollständig abgedeckt</x:v>
      </x:c>
      <x:c r="F115" s="5" t="str"/>
      <x:c r="G115" s="5" t="str">
        <x:v>R-0050–R-0069; R-0083–R-0096; R-0105–R-0118; R-0171–R-0185; R-0514–R-0516; R-0567; R-0031–R-0042; R-0097; R-0309–R-0372; R-0521–R-0527</x:v>
      </x:c>
      <x:c r="H115" s="5" t="str"/>
      <x:c r="I115" s="5" t="str">
        <x:v>Analysebewertung erhalten; keine neue Frage allein aus ID-Zahlen ableiten.</x:v>
      </x:c>
      <x:c r="J115" s="5" t="str">
        <x:v>Soll-Ist-Matrix 2026-09-27</x:v>
      </x:c>
      <x:c r="K115" s="5" t="str">
        <x:v>Analysebewertung übernommen; keine neue fachliche Vollständigkeitsprüfung. Kandidaten sind keine bestätigten Einzelbelege.</x:v>
      </x:c>
      <x:c r="L115" s="5" t="str"/>
    </x:row>
    <x:row r="116" ht="36" customHeight="1">
      <x:c r="A116" s="5" t="str">
        <x:v>3.1.1.1#2</x:v>
      </x:c>
      <x:c r="B116" s="5" t="str">
        <x:v>Recht und Steuern</x:v>
      </x:c>
      <x:c r="C116" s="5" t="str">
        <x:v>Juristische Personen</x:v>
      </x:c>
      <x:c r="D116" s="5" t="str">
        <x:v>vollständig abgedeckt</x:v>
      </x:c>
      <x:c r="E116" s="5" t="str">
        <x:v>vollständig abgedeckt</x:v>
      </x:c>
      <x:c r="F116" s="5" t="str"/>
      <x:c r="G116" s="5" t="str">
        <x:v>R-0050–R-0069; R-0083–R-0096; R-0105–R-0118; R-0171–R-0185; R-0514–R-0516; R-0567; R-0031–R-0042; R-0097; R-0309–R-0372; R-0521–R-0527</x:v>
      </x:c>
      <x:c r="H116" s="5" t="str"/>
      <x:c r="I116" s="5" t="str">
        <x:v>Analysebewertung erhalten; keine neue Frage allein aus ID-Zahlen ableiten.</x:v>
      </x:c>
      <x:c r="J116" s="5" t="str">
        <x:v>Soll-Ist-Matrix 2026-09-27</x:v>
      </x:c>
      <x:c r="K116" s="5" t="str">
        <x:v>Analysebewertung übernommen; keine neue fachliche Vollständigkeitsprüfung. Kandidaten sind keine bestätigten Einzelbelege.</x:v>
      </x:c>
      <x:c r="L116" s="5" t="str"/>
    </x:row>
    <x:row r="117" ht="36" customHeight="1">
      <x:c r="A117" s="5" t="str">
        <x:v>3.1.1.1#3</x:v>
      </x:c>
      <x:c r="B117" s="5" t="str">
        <x:v>Recht und Steuern</x:v>
      </x:c>
      <x:c r="C117" s="5" t="str">
        <x:v>Sachen</x:v>
      </x:c>
      <x:c r="D117" s="5" t="str">
        <x:v>vollständig abgedeckt</x:v>
      </x:c>
      <x:c r="E117" s="5" t="str">
        <x:v>vollständig abgedeckt</x:v>
      </x:c>
      <x:c r="F117" s="5" t="str"/>
      <x:c r="G117" s="5" t="str">
        <x:v>R-0050–R-0069; R-0083–R-0096; R-0105–R-0118; R-0171–R-0185; R-0514–R-0516; R-0567; R-0031–R-0042; R-0097; R-0309–R-0372; R-0521–R-0527</x:v>
      </x:c>
      <x:c r="H117" s="5" t="str"/>
      <x:c r="I117" s="5" t="str">
        <x:v>Analysebewertung erhalten; keine neue Frage allein aus ID-Zahlen ableiten.</x:v>
      </x:c>
      <x:c r="J117" s="5" t="str">
        <x:v>Soll-Ist-Matrix 2026-09-27</x:v>
      </x:c>
      <x:c r="K117" s="5" t="str">
        <x:v>Analysebewertung übernommen; keine neue fachliche Vollständigkeitsprüfung. Kandidaten sind keine bestätigten Einzelbelege.</x:v>
      </x:c>
      <x:c r="L117" s="5" t="str"/>
    </x:row>
    <x:row r="118" ht="36" customHeight="1">
      <x:c r="A118" s="5" t="str">
        <x:v>3.1.1.2</x:v>
      </x:c>
      <x:c r="B118" s="5" t="str">
        <x:v>Recht und Steuern</x:v>
      </x:c>
      <x:c r="C118" s="5" t="str">
        <x:v>Rechts- und Geschäftsfähigkeit</x:v>
      </x:c>
      <x:c r="D118" s="5" t="str">
        <x:v>vollständig abgedeckt</x:v>
      </x:c>
      <x:c r="E118" s="5" t="str">
        <x:v>vollständig abgedeckt</x:v>
      </x:c>
      <x:c r="F118" s="5" t="str"/>
      <x:c r="G118" s="5" t="str">
        <x:v>R-0050–R-0069; R-0083–R-0096; R-0105–R-0118; R-0171–R-0185; R-0514–R-0516; R-0567; R-0098–R-0104; R-0186–R-0222; R-0517, R-0518</x:v>
      </x:c>
      <x:c r="H118" s="5" t="str"/>
      <x:c r="I118" s="5" t="str">
        <x:v>Analysebewertung erhalten; keine neue Frage allein aus ID-Zahlen ableiten.</x:v>
      </x:c>
      <x:c r="J118" s="5" t="str">
        <x:v>Soll-Ist-Matrix 2026-09-27</x:v>
      </x:c>
      <x:c r="K118" s="5" t="str">
        <x:v>Analysebewertung übernommen; keine neue fachliche Vollständigkeitsprüfung. Kandidaten sind keine bestätigten Einzelbelege.</x:v>
      </x:c>
      <x:c r="L118" s="5" t="str"/>
    </x:row>
    <x:row r="119" ht="36" customHeight="1">
      <x:c r="A119" s="5" t="str">
        <x:v>3.1.1.2#1</x:v>
      </x:c>
      <x:c r="B119" s="5" t="str">
        <x:v>Recht und Steuern</x:v>
      </x:c>
      <x:c r="C119" s="5" t="str">
        <x:v>Rechtsgeschäfte</x:v>
      </x:c>
      <x:c r="D119" s="5" t="str">
        <x:v>vollständig abgedeckt</x:v>
      </x:c>
      <x:c r="E119" s="5" t="str">
        <x:v>vollständig abgedeckt</x:v>
      </x:c>
      <x:c r="F119" s="5" t="str"/>
      <x:c r="G119" s="5" t="str">
        <x:v>R-0050–R-0069; R-0083–R-0096; R-0105–R-0118; R-0171–R-0185; R-0514–R-0516; R-0567; R-0098–R-0104; R-0186–R-0222; R-0517, R-0518</x:v>
      </x:c>
      <x:c r="H119" s="5" t="str"/>
      <x:c r="I119" s="5" t="str">
        <x:v>Analysebewertung erhalten; keine neue Frage allein aus ID-Zahlen ableiten.</x:v>
      </x:c>
      <x:c r="J119" s="5" t="str">
        <x:v>Soll-Ist-Matrix 2026-09-27</x:v>
      </x:c>
      <x:c r="K119" s="5" t="str">
        <x:v>Analysebewertung übernommen; keine neue fachliche Vollständigkeitsprüfung. Kandidaten sind keine bestätigten Einzelbelege.</x:v>
      </x:c>
      <x:c r="L119" s="5" t="str"/>
    </x:row>
    <x:row r="120" ht="36" customHeight="1">
      <x:c r="A120" s="5" t="str">
        <x:v>3.1.1.2#2</x:v>
      </x:c>
      <x:c r="B120" s="5" t="str">
        <x:v>Recht und Steuern</x:v>
      </x:c>
      <x:c r="C120" s="5" t="str">
        <x:v>Geschäftsfähigkeit / Geschäftsunfähigkeit</x:v>
      </x:c>
      <x:c r="D120" s="5" t="str">
        <x:v>vollständig abgedeckt</x:v>
      </x:c>
      <x:c r="E120" s="5" t="str">
        <x:v>vollständig abgedeckt</x:v>
      </x:c>
      <x:c r="F120" s="5" t="str"/>
      <x:c r="G120" s="5" t="str">
        <x:v>R-0050–R-0069; R-0083–R-0096; R-0105–R-0118; R-0171–R-0185; R-0514–R-0516; R-0567; R-0098–R-0104; R-0186–R-0222; R-0517, R-0518</x:v>
      </x:c>
      <x:c r="H120" s="5" t="str"/>
      <x:c r="I120" s="5" t="str">
        <x:v>Analysebewertung erhalten; keine neue Frage allein aus ID-Zahlen ableiten.</x:v>
      </x:c>
      <x:c r="J120" s="5" t="str">
        <x:v>Soll-Ist-Matrix 2026-09-27</x:v>
      </x:c>
      <x:c r="K120" s="5" t="str">
        <x:v>Analysebewertung übernommen; keine neue fachliche Vollständigkeitsprüfung. Kandidaten sind keine bestätigten Einzelbelege.</x:v>
      </x:c>
      <x:c r="L120" s="5" t="str"/>
    </x:row>
    <x:row r="121" ht="36" customHeight="1">
      <x:c r="A121" s="5" t="str">
        <x:v>3.1.1.2#3</x:v>
      </x:c>
      <x:c r="B121" s="5" t="str">
        <x:v>Recht und Steuern</x:v>
      </x:c>
      <x:c r="C121" s="5" t="str">
        <x:v>Beschränkte Geschäftsfähigkeit</x:v>
      </x:c>
      <x:c r="D121" s="5" t="str">
        <x:v>vollständig abgedeckt</x:v>
      </x:c>
      <x:c r="E121" s="5" t="str">
        <x:v>vollständig abgedeckt</x:v>
      </x:c>
      <x:c r="F121" s="5" t="str"/>
      <x:c r="G121" s="5" t="str">
        <x:v>R-0050–R-0069; R-0083–R-0096; R-0105–R-0118; R-0171–R-0185; R-0514–R-0516; R-0567; R-0098–R-0104; R-0186–R-0222; R-0517, R-0518</x:v>
      </x:c>
      <x:c r="H121" s="5" t="str"/>
      <x:c r="I121" s="5" t="str">
        <x:v>Analysebewertung erhalten; keine neue Frage allein aus ID-Zahlen ableiten.</x:v>
      </x:c>
      <x:c r="J121" s="5" t="str">
        <x:v>Soll-Ist-Matrix 2026-09-27</x:v>
      </x:c>
      <x:c r="K121" s="5" t="str">
        <x:v>Analysebewertung übernommen; keine neue fachliche Vollständigkeitsprüfung. Kandidaten sind keine bestätigten Einzelbelege.</x:v>
      </x:c>
      <x:c r="L121" s="5" t="str"/>
    </x:row>
    <x:row r="122" ht="36" customHeight="1">
      <x:c r="A122" s="5" t="str">
        <x:v>3.1.2</x:v>
      </x:c>
      <x:c r="B122" s="5" t="str">
        <x:v>Recht und Steuern</x:v>
      </x:c>
      <x:c r="C122" s="5" t="str">
        <x:v>BGB Schuldrecht</x:v>
      </x:c>
      <x:c r="D122" s="5" t="str">
        <x:v>teilweise abgedeckt</x:v>
      </x:c>
      <x:c r="E122" s="5" t="str">
        <x:v>teilweise abgedeckt</x:v>
      </x:c>
      <x:c r="F122" s="5" t="str"/>
      <x:c r="G122" s="5" t="str">
        <x:v>R-0098–R-0104; R-0186–R-0222; R-0517, R-0518; R-0569–R-0575; R-0087; R-0001–R-0020; R-0129–R-0141; R-0223–R-0236; R-0240–R-0245; R-0119–R-0128; R-0142, R-0143; R-0145–R-0150; R-0246–R-0308; R-0519, R-0520; R-0568; R-0050–R-0069; R-0083–R-0086; R-0088–R-0096; R-0105–R-0118; R-0171–R-0185; R-0514–R-0516; R-0567; R-0566</x:v>
      </x:c>
      <x:c r="H122" s="5" t="str"/>
      <x:c r="I122" s="5" t="str">
        <x:v>Analysebewertung erhalten; keine neue Frage allein aus ID-Zahlen ableiten.</x:v>
      </x:c>
      <x:c r="J122" s="5" t="str">
        <x:v>Soll-Ist-Matrix 2026-09-27</x:v>
      </x:c>
      <x:c r="K122" s="5" t="str">
        <x:v>Analysebewertung übernommen; keine neue fachliche Vollständigkeitsprüfung. Kandidaten sind keine bestätigten Einzelbelege.</x:v>
      </x:c>
      <x:c r="L122" s="5" t="str"/>
    </x:row>
    <x:row r="123" ht="36" customHeight="1">
      <x:c r="A123" s="5" t="str">
        <x:v>3.1.2.1</x:v>
      </x:c>
      <x:c r="B123" s="5" t="str">
        <x:v>Recht und Steuern</x:v>
      </x:c>
      <x:c r="C123" s="5" t="str">
        <x:v>Grundlagen</x:v>
      </x:c>
      <x:c r="D123" s="5" t="str">
        <x:v>teilweise abgedeckt</x:v>
      </x:c>
      <x:c r="E123" s="5" t="str">
        <x:v>teilweise abgedeckt</x:v>
      </x:c>
      <x:c r="F123" s="5" t="str"/>
      <x:c r="G123" s="5" t="str">
        <x:v>R-0098–R-0104; R-0186–R-0222; R-0517, R-0518; R-0569–R-0575; R-0087</x:v>
      </x:c>
      <x:c r="H123" s="5" t="str"/>
      <x:c r="I123" s="5" t="str">
        <x:v>Analysebewertung erhalten; keine neue Frage allein aus ID-Zahlen ableiten.</x:v>
      </x:c>
      <x:c r="J123" s="5" t="str">
        <x:v>Soll-Ist-Matrix 2026-09-27</x:v>
      </x:c>
      <x:c r="K123" s="5" t="str">
        <x:v>Analysebewertung übernommen; keine neue fachliche Vollständigkeitsprüfung. Kandidaten sind keine bestätigten Einzelbelege.</x:v>
      </x:c>
      <x:c r="L123" s="5" t="str">
        <x:v>R-0102; R-0103; R-0104; R-0186; R-0187; R-0188; R-0189; R-0196; R-0197; R-0198; R-0199; R-0200; R-0210; R-0211; R-0212; R-0213; R-0214; R-0215; R-0216; R-0217; R-0218; R-0219; R-0517; R-0518; R-0569; R-0570; R-0571; R-0572; R-0573; R-0574; R-0575</x:v>
      </x:c>
    </x:row>
    <x:row r="124" ht="36" customHeight="1">
      <x:c r="A124" s="5" t="str">
        <x:v>3.1.2.1#1</x:v>
      </x:c>
      <x:c r="B124" s="5" t="str">
        <x:v>Recht und Steuern</x:v>
      </x:c>
      <x:c r="C124" s="5" t="str">
        <x:v>Schuldverhältnisse</x:v>
      </x:c>
      <x:c r="D124" s="5" t="str">
        <x:v>vollständig abgedeckt</x:v>
      </x:c>
      <x:c r="E124" s="5" t="str">
        <x:v>vollständig abgedeckt</x:v>
      </x:c>
      <x:c r="F124" s="5" t="str"/>
      <x:c r="G124" s="5" t="str">
        <x:v>R-0098–R-0104; R-0186–R-0222; R-0517, R-0518; R-0569–R-0575</x:v>
      </x:c>
      <x:c r="H124" s="5" t="str"/>
      <x:c r="I124" s="5" t="str">
        <x:v>Analysebewertung erhalten; keine neue Frage allein aus ID-Zahlen ableiten.</x:v>
      </x:c>
      <x:c r="J124" s="5" t="str">
        <x:v>Soll-Ist-Matrix 2026-09-27</x:v>
      </x:c>
      <x:c r="K124" s="5" t="str">
        <x:v>Analysebewertung übernommen; keine neue fachliche Vollständigkeitsprüfung. Kandidaten sind keine bestätigten Einzelbelege.</x:v>
      </x:c>
      <x:c r="L124" s="5" t="str"/>
    </x:row>
    <x:row r="125" ht="36" customHeight="1">
      <x:c r="A125" s="5" t="str">
        <x:v>3.1.2.1#2</x:v>
      </x:c>
      <x:c r="B125" s="5" t="str">
        <x:v>Recht und Steuern</x:v>
      </x:c>
      <x:c r="C125" s="5" t="str">
        <x:v>Grundsatz „Treu und Glaube“</x:v>
      </x:c>
      <x:c r="D125" s="5" t="str">
        <x:v>teilweise abgedeckt</x:v>
      </x:c>
      <x:c r="E125" s="5" t="str">
        <x:v>teilweise abgedeckt</x:v>
      </x:c>
      <x:c r="F125" s="5" t="str"/>
      <x:c r="G125" s="5" t="str">
        <x:v>R-0087</x:v>
      </x:c>
      <x:c r="H125" s="5" t="str"/>
      <x:c r="I125" s="5" t="str">
        <x:v>Analysebewertung erhalten; keine neue Frage allein aus ID-Zahlen ableiten.</x:v>
      </x:c>
      <x:c r="J125" s="5" t="str">
        <x:v>Soll-Ist-Matrix 2026-09-27</x:v>
      </x:c>
      <x:c r="K125" s="5" t="str">
        <x:v>Analysebewertung übernommen; keine neue fachliche Vollständigkeitsprüfung. Kandidaten sind keine bestätigten Einzelbelege.</x:v>
      </x:c>
      <x:c r="L125" s="5" t="str"/>
    </x:row>
    <x:row r="126" ht="36" customHeight="1">
      <x:c r="A126" s="5" t="str">
        <x:v>3.1.2.1#3</x:v>
      </x:c>
      <x:c r="B126" s="5" t="str">
        <x:v>Recht und Steuern</x:v>
      </x:c>
      <x:c r="C126" s="5" t="str">
        <x:v>Gerichtsstand und Gerichtsbarkeit</x:v>
      </x:c>
      <x:c r="D126" s="5" t="str">
        <x:v>vollständig abgedeckt</x:v>
      </x:c>
      <x:c r="E126" s="5" t="str">
        <x:v>vollständig abgedeckt</x:v>
      </x:c>
      <x:c r="F126" s="5" t="str"/>
      <x:c r="G126" s="5" t="str">
        <x:v>R-0098–R-0104; R-0186–R-0222; R-0517, R-0518; R-0569–R-0575</x:v>
      </x:c>
      <x:c r="H126" s="5" t="str"/>
      <x:c r="I126" s="5" t="str">
        <x:v>Analysebewertung erhalten; keine neue Frage allein aus ID-Zahlen ableiten.</x:v>
      </x:c>
      <x:c r="J126" s="5" t="str">
        <x:v>Soll-Ist-Matrix 2026-09-27</x:v>
      </x:c>
      <x:c r="K126" s="5" t="str">
        <x:v>Analysebewertung übernommen; keine neue fachliche Vollständigkeitsprüfung. Kandidaten sind keine bestätigten Einzelbelege.</x:v>
      </x:c>
      <x:c r="L126" s="5" t="str"/>
    </x:row>
    <x:row r="127" ht="36" customHeight="1">
      <x:c r="A127" s="5" t="str">
        <x:v>3.1.2.2</x:v>
      </x:c>
      <x:c r="B127" s="5" t="str">
        <x:v>Recht und Steuern</x:v>
      </x:c>
      <x:c r="C127" s="5" t="str">
        <x:v>Produkthaftung</x:v>
      </x:c>
      <x:c r="D127" s="5" t="str">
        <x:v>vollständig abgedeckt</x:v>
      </x:c>
      <x:c r="E127" s="5" t="str">
        <x:v>vollständig abgedeckt</x:v>
      </x:c>
      <x:c r="F127" s="5" t="str"/>
      <x:c r="G127" s="5" t="str">
        <x:v>R-0098–R-0104; R-0186–R-0222; R-0517, R-0518</x:v>
      </x:c>
      <x:c r="H127" s="5" t="str"/>
      <x:c r="I127" s="5" t="str">
        <x:v>Analysebewertung erhalten; keine neue Frage allein aus ID-Zahlen ableiten.</x:v>
      </x:c>
      <x:c r="J127" s="5" t="str">
        <x:v>Soll-Ist-Matrix 2026-09-27</x:v>
      </x:c>
      <x:c r="K127" s="5" t="str">
        <x:v>Analysebewertung übernommen; keine neue fachliche Vollständigkeitsprüfung. Kandidaten sind keine bestätigten Einzelbelege.</x:v>
      </x:c>
      <x:c r="L127" s="5" t="str">
        <x:v>R-0220; R-0221; R-0222</x:v>
      </x:c>
    </x:row>
    <x:row r="128" ht="36" customHeight="1">
      <x:c r="A128" s="5" t="str">
        <x:v>3.1.2.3</x:v>
      </x:c>
      <x:c r="B128" s="5" t="str">
        <x:v>Recht und Steuern</x:v>
      </x:c>
      <x:c r="C128" s="5" t="str">
        <x:v>Kaufvertrag</x:v>
      </x:c>
      <x:c r="D128" s="5" t="str">
        <x:v>vollständig abgedeckt</x:v>
      </x:c>
      <x:c r="E128" s="5" t="str">
        <x:v>vollständig abgedeckt</x:v>
      </x:c>
      <x:c r="F128" s="5" t="str"/>
      <x:c r="G128" s="5" t="str">
        <x:v>R-0001–R-0020; R-0129–R-0141; R-0223–R-0236; R-0240–R-0245</x:v>
      </x:c>
      <x:c r="H128" s="5" t="str"/>
      <x:c r="I128" s="5" t="str">
        <x:v>Analysebewertung erhalten; keine neue Frage allein aus ID-Zahlen ableiten.</x:v>
      </x:c>
      <x:c r="J128" s="5" t="str">
        <x:v>Soll-Ist-Matrix 2026-09-27</x:v>
      </x:c>
      <x:c r="K128" s="5" t="str">
        <x:v>Analysebewertung übernommen; keine neue fachliche Vollständigkeitsprüfung. Kandidaten sind keine bestätigten Einzelbelege.</x:v>
      </x:c>
      <x:c r="L128" s="5" t="str">
        <x:v>R-0001; R-0002; R-0003; R-0004; R-0005; R-0006; R-0007; R-0008; R-0009; R-0010; R-0011; R-0012; R-0013; R-0014; R-0015; R-0016; R-0017; R-0018; R-0019; R-0020; R-0129; R-0130; R-0131; R-0132; R-0133; R-0134; R-0135; R-0136; R-0137; R-0138; R-0139; R-0140; R-0141; R-0223; R-0224; R-0225; R-0226; R-0227; R-0228; R-0229; R-0230; R-0231; R-0232; R-0233; R-0234; R-0235; R-0236; R-0240; R-0241; R-0242; R-0243; R-0244; R-0245; R-0380</x:v>
      </x:c>
    </x:row>
    <x:row r="129" ht="36" customHeight="1">
      <x:c r="A129" s="5" t="str">
        <x:v>3.1.2.4</x:v>
      </x:c>
      <x:c r="B129" s="5" t="str">
        <x:v>Recht und Steuern</x:v>
      </x:c>
      <x:c r="C129" s="5" t="str">
        <x:v>Weitere Vertragsarten</x:v>
      </x:c>
      <x:c r="D129" s="5" t="str">
        <x:v>vollständig abgedeckt</x:v>
      </x:c>
      <x:c r="E129" s="5" t="str">
        <x:v>vollständig abgedeckt</x:v>
      </x:c>
      <x:c r="F129" s="5" t="str"/>
      <x:c r="G129" s="5" t="str">
        <x:v>R-0119–R-0128; R-0142, R-0143; R-0145–R-0150; R-0246–R-0308; R-0519, R-0520; R-0568</x:v>
      </x:c>
      <x:c r="H129" s="5" t="str"/>
      <x:c r="I129" s="5" t="str">
        <x:v>Analysebewertung erhalten; keine neue Frage allein aus ID-Zahlen ableiten.</x:v>
      </x:c>
      <x:c r="J129" s="5" t="str">
        <x:v>Soll-Ist-Matrix 2026-09-27</x:v>
      </x:c>
      <x:c r="K129" s="5" t="str">
        <x:v>Analysebewertung übernommen; keine neue fachliche Vollständigkeitsprüfung. Kandidaten sind keine bestätigten Einzelbelege.</x:v>
      </x:c>
      <x:c r="L129" s="5" t="str">
        <x:v>R-0142; R-0143; R-0145; R-0146; R-0147; R-0148; R-0149; R-0150; R-0246; R-0247; R-0248; R-0249; R-0250; R-0251; R-0252; R-0253; R-0254; R-0255; R-0256; R-0257; R-0258; R-0259; R-0260; R-0261; R-0262; R-0263; R-0264; R-0265; R-0266; R-0267; R-0268; R-0519; R-0520</x:v>
      </x:c>
    </x:row>
    <x:row r="130" ht="36" customHeight="1">
      <x:c r="A130" s="5" t="str">
        <x:v>3.1.2.4#1</x:v>
      </x:c>
      <x:c r="B130" s="5" t="str">
        <x:v>Recht und Steuern</x:v>
      </x:c>
      <x:c r="C130" s="5" t="str">
        <x:v>Miet- und Pachtvertrag</x:v>
      </x:c>
      <x:c r="D130" s="5" t="str">
        <x:v>vollständig abgedeckt</x:v>
      </x:c>
      <x:c r="E130" s="5" t="str">
        <x:v>vollständig abgedeckt</x:v>
      </x:c>
      <x:c r="F130" s="5" t="str"/>
      <x:c r="G130" s="5" t="str">
        <x:v>R-0119–R-0128; R-0142, R-0143; R-0145–R-0150; R-0246–R-0308; R-0519, R-0520; R-0568</x:v>
      </x:c>
      <x:c r="H130" s="5" t="str"/>
      <x:c r="I130" s="5" t="str">
        <x:v>Analysebewertung erhalten; keine neue Frage allein aus ID-Zahlen ableiten.</x:v>
      </x:c>
      <x:c r="J130" s="5" t="str">
        <x:v>Soll-Ist-Matrix 2026-09-27</x:v>
      </x:c>
      <x:c r="K130" s="5" t="str">
        <x:v>Analysebewertung übernommen; keine neue fachliche Vollständigkeitsprüfung. Kandidaten sind keine bestätigten Einzelbelege.</x:v>
      </x:c>
      <x:c r="L130" s="5" t="str"/>
    </x:row>
    <x:row r="131" ht="36" customHeight="1">
      <x:c r="A131" s="5" t="str">
        <x:v>3.1.2.4#2</x:v>
      </x:c>
      <x:c r="B131" s="5" t="str">
        <x:v>Recht und Steuern</x:v>
      </x:c>
      <x:c r="C131" s="5" t="str">
        <x:v>Darlehensvertrag</x:v>
      </x:c>
      <x:c r="D131" s="5" t="str">
        <x:v>vollständig abgedeckt</x:v>
      </x:c>
      <x:c r="E131" s="5" t="str">
        <x:v>vollständig abgedeckt</x:v>
      </x:c>
      <x:c r="F131" s="5" t="str"/>
      <x:c r="G131" s="5" t="str">
        <x:v>R-0119–R-0128; R-0142, R-0143; R-0145–R-0150; R-0246–R-0308; R-0519, R-0520; R-0568</x:v>
      </x:c>
      <x:c r="H131" s="5" t="str"/>
      <x:c r="I131" s="5" t="str">
        <x:v>Analysebewertung erhalten; keine neue Frage allein aus ID-Zahlen ableiten.</x:v>
      </x:c>
      <x:c r="J131" s="5" t="str">
        <x:v>Soll-Ist-Matrix 2026-09-27</x:v>
      </x:c>
      <x:c r="K131" s="5" t="str">
        <x:v>Analysebewertung übernommen; keine neue fachliche Vollständigkeitsprüfung. Kandidaten sind keine bestätigten Einzelbelege.</x:v>
      </x:c>
      <x:c r="L131" s="5" t="str"/>
    </x:row>
    <x:row r="132" ht="36" customHeight="1">
      <x:c r="A132" s="5" t="str">
        <x:v>3.1.2.4#3</x:v>
      </x:c>
      <x:c r="B132" s="5" t="str">
        <x:v>Recht und Steuern</x:v>
      </x:c>
      <x:c r="C132" s="5" t="str">
        <x:v>Dienstvertrag</x:v>
      </x:c>
      <x:c r="D132" s="5" t="str">
        <x:v>vollständig abgedeckt</x:v>
      </x:c>
      <x:c r="E132" s="5" t="str">
        <x:v>vollständig abgedeckt</x:v>
      </x:c>
      <x:c r="F132" s="5" t="str"/>
      <x:c r="G132" s="5" t="str">
        <x:v>R-0119–R-0128; R-0142, R-0143; R-0145–R-0150; R-0246–R-0308; R-0519, R-0520; R-0568</x:v>
      </x:c>
      <x:c r="H132" s="5" t="str"/>
      <x:c r="I132" s="5" t="str">
        <x:v>Analysebewertung erhalten; keine neue Frage allein aus ID-Zahlen ableiten.</x:v>
      </x:c>
      <x:c r="J132" s="5" t="str">
        <x:v>Soll-Ist-Matrix 2026-09-27</x:v>
      </x:c>
      <x:c r="K132" s="5" t="str">
        <x:v>Analysebewertung übernommen; keine neue fachliche Vollständigkeitsprüfung. Kandidaten sind keine bestätigten Einzelbelege.</x:v>
      </x:c>
      <x:c r="L132" s="5" t="str"/>
    </x:row>
    <x:row r="133" ht="36" customHeight="1">
      <x:c r="A133" s="5" t="str">
        <x:v>3.1.2.4#4</x:v>
      </x:c>
      <x:c r="B133" s="5" t="str">
        <x:v>Recht und Steuern</x:v>
      </x:c>
      <x:c r="C133" s="5" t="str">
        <x:v>Werkvertrag</x:v>
      </x:c>
      <x:c r="D133" s="5" t="str">
        <x:v>vollständig abgedeckt</x:v>
      </x:c>
      <x:c r="E133" s="5" t="str">
        <x:v>vollständig abgedeckt</x:v>
      </x:c>
      <x:c r="F133" s="5" t="str"/>
      <x:c r="G133" s="5" t="str">
        <x:v>R-0119–R-0128; R-0142, R-0143; R-0145–R-0150; R-0246–R-0308; R-0519, R-0520; R-0568</x:v>
      </x:c>
      <x:c r="H133" s="5" t="str"/>
      <x:c r="I133" s="5" t="str">
        <x:v>Analysebewertung erhalten; keine neue Frage allein aus ID-Zahlen ableiten.</x:v>
      </x:c>
      <x:c r="J133" s="5" t="str">
        <x:v>Soll-Ist-Matrix 2026-09-27</x:v>
      </x:c>
      <x:c r="K133" s="5" t="str">
        <x:v>Analysebewertung übernommen; keine neue fachliche Vollständigkeitsprüfung. Kandidaten sind keine bestätigten Einzelbelege.</x:v>
      </x:c>
      <x:c r="L133" s="5" t="str"/>
    </x:row>
    <x:row r="134" ht="36" customHeight="1">
      <x:c r="A134" s="5" t="str">
        <x:v>3.1.2.4#5</x:v>
      </x:c>
      <x:c r="B134" s="5" t="str">
        <x:v>Recht und Steuern</x:v>
      </x:c>
      <x:c r="C134" s="5" t="str">
        <x:v>Ratenkauf und Leasing</x:v>
      </x:c>
      <x:c r="D134" s="5" t="str">
        <x:v>vollständig abgedeckt</x:v>
      </x:c>
      <x:c r="E134" s="5" t="str">
        <x:v>vollständig abgedeckt</x:v>
      </x:c>
      <x:c r="F134" s="5" t="str"/>
      <x:c r="G134" s="5" t="str">
        <x:v>R-0119–R-0128; R-0142, R-0143; R-0145–R-0150; R-0246–R-0308; R-0519, R-0520; R-0568</x:v>
      </x:c>
      <x:c r="H134" s="5" t="str"/>
      <x:c r="I134" s="5" t="str">
        <x:v>Analysebewertung erhalten; keine neue Frage allein aus ID-Zahlen ableiten.</x:v>
      </x:c>
      <x:c r="J134" s="5" t="str">
        <x:v>Soll-Ist-Matrix 2026-09-27</x:v>
      </x:c>
      <x:c r="K134" s="5" t="str">
        <x:v>Analysebewertung übernommen; keine neue fachliche Vollständigkeitsprüfung. Kandidaten sind keine bestätigten Einzelbelege.</x:v>
      </x:c>
      <x:c r="L134" s="5" t="str"/>
    </x:row>
    <x:row r="135" ht="36" customHeight="1">
      <x:c r="A135" s="5" t="str">
        <x:v>3.1.2.5</x:v>
      </x:c>
      <x:c r="B135" s="5" t="str">
        <x:v>Recht und Steuern</x:v>
      </x:c>
      <x:c r="C135" s="5" t="str">
        <x:v>Leistungsstörung und Haftung</x:v>
      </x:c>
      <x:c r="D135" s="5" t="str">
        <x:v>vollständig abgedeckt</x:v>
      </x:c>
      <x:c r="E135" s="5" t="str">
        <x:v>vollständig abgedeckt</x:v>
      </x:c>
      <x:c r="F135" s="5" t="str"/>
      <x:c r="G135" s="5" t="str">
        <x:v>R-0119–R-0128; R-0142, R-0143; R-0145–R-0150; R-0246–R-0308; R-0519, R-0520; R-0568; R-0001–R-0020; R-0129–R-0141; R-0223–R-0236; R-0240–R-0245; R-0050–R-0069; R-0083–R-0096; R-0105–R-0118; R-0171–R-0185; R-0514–R-0516; R-0567; R-0566</x:v>
      </x:c>
      <x:c r="H135" s="5" t="str"/>
      <x:c r="I135" s="5" t="str">
        <x:v>Analysebewertung erhalten; keine neue Frage allein aus ID-Zahlen ableiten.</x:v>
      </x:c>
      <x:c r="J135" s="5" t="str">
        <x:v>Soll-Ist-Matrix 2026-09-27</x:v>
      </x:c>
      <x:c r="K135" s="5" t="str">
        <x:v>Analysebewertung übernommen; keine neue fachliche Vollständigkeitsprüfung. Kandidaten sind keine bestätigten Einzelbelege.</x:v>
      </x:c>
      <x:c r="L135" s="5" t="str">
        <x:v>R-0088; R-0119; R-0120; R-0121; R-0122; R-0123; R-0124; R-0125; R-0126; R-0127; R-0128; R-0269; R-0270; R-0271; R-0272; R-0273; R-0274; R-0275; R-0276; R-0277; R-0278; R-0279; R-0280; R-0281; R-0282; R-0283; R-0284; R-0285; R-0286; R-0287; R-0288; R-0289; R-0290; R-0291; R-0292; R-0293; R-0294; R-0295; R-0296; R-0297; R-0298; R-0299; R-0300; R-0301; R-0302; R-0303; R-0304; R-0305; R-0306; R-0307; R-0308; R-0514; R-0568</x:v>
      </x:c>
    </x:row>
    <x:row r="136" ht="36" customHeight="1">
      <x:c r="A136" s="5" t="str">
        <x:v>3.1.2.5#1</x:v>
      </x:c>
      <x:c r="B136" s="5" t="str">
        <x:v>Recht und Steuern</x:v>
      </x:c>
      <x:c r="C136" s="5" t="str">
        <x:v>Ort der Leistung, Leistungsstörungen</x:v>
      </x:c>
      <x:c r="D136" s="5" t="str">
        <x:v>vollständig abgedeckt</x:v>
      </x:c>
      <x:c r="E136" s="5" t="str">
        <x:v>vollständig abgedeckt</x:v>
      </x:c>
      <x:c r="F136" s="5" t="str"/>
      <x:c r="G136" s="5" t="str">
        <x:v>R-0119–R-0128; R-0142, R-0143; R-0145–R-0150; R-0246–R-0308; R-0519, R-0520; R-0568; R-0001–R-0020; R-0129–R-0141; R-0223–R-0236; R-0240–R-0245; R-0050–R-0069; R-0083–R-0096; R-0105–R-0118; R-0171–R-0185; R-0514–R-0516; R-0567; R-0566</x:v>
      </x:c>
      <x:c r="H136" s="5" t="str"/>
      <x:c r="I136" s="5" t="str">
        <x:v>Analysebewertung erhalten; keine neue Frage allein aus ID-Zahlen ableiten.</x:v>
      </x:c>
      <x:c r="J136" s="5" t="str">
        <x:v>Soll-Ist-Matrix 2026-09-27</x:v>
      </x:c>
      <x:c r="K136" s="5" t="str">
        <x:v>Analysebewertung übernommen; keine neue fachliche Vollständigkeitsprüfung. Kandidaten sind keine bestätigten Einzelbelege.</x:v>
      </x:c>
      <x:c r="L136" s="5" t="str"/>
    </x:row>
    <x:row r="137" ht="36" customHeight="1">
      <x:c r="A137" s="5" t="str">
        <x:v>3.1.2.5#2</x:v>
      </x:c>
      <x:c r="B137" s="5" t="str">
        <x:v>Recht und Steuern</x:v>
      </x:c>
      <x:c r="C137" s="5" t="str">
        <x:v>Vertraglicher und gesetzlicher Erfüllungsort</x:v>
      </x:c>
      <x:c r="D137" s="5" t="str">
        <x:v>vollständig abgedeckt</x:v>
      </x:c>
      <x:c r="E137" s="5" t="str">
        <x:v>vollständig abgedeckt</x:v>
      </x:c>
      <x:c r="F137" s="5" t="str"/>
      <x:c r="G137" s="5" t="str">
        <x:v>R-0119–R-0128; R-0142, R-0143; R-0145–R-0150; R-0246–R-0308; R-0519, R-0520; R-0568; R-0001–R-0020; R-0129–R-0141; R-0223–R-0236; R-0240–R-0245; R-0050–R-0069; R-0083–R-0096; R-0105–R-0118; R-0171–R-0185; R-0514–R-0516; R-0567; R-0566</x:v>
      </x:c>
      <x:c r="H137" s="5" t="str"/>
      <x:c r="I137" s="5" t="str">
        <x:v>Analysebewertung erhalten; keine neue Frage allein aus ID-Zahlen ableiten.</x:v>
      </x:c>
      <x:c r="J137" s="5" t="str">
        <x:v>Soll-Ist-Matrix 2026-09-27</x:v>
      </x:c>
      <x:c r="K137" s="5" t="str">
        <x:v>Analysebewertung übernommen; keine neue fachliche Vollständigkeitsprüfung. Kandidaten sind keine bestätigten Einzelbelege.</x:v>
      </x:c>
      <x:c r="L137" s="5" t="str"/>
    </x:row>
    <x:row r="138" ht="36" customHeight="1">
      <x:c r="A138" s="5" t="str">
        <x:v>3.1.2.5#3</x:v>
      </x:c>
      <x:c r="B138" s="5" t="str">
        <x:v>Recht und Steuern</x:v>
      </x:c>
      <x:c r="C138" s="5" t="str">
        <x:v>Unmöglichkeit der Leistung</x:v>
      </x:c>
      <x:c r="D138" s="5" t="str">
        <x:v>vollständig abgedeckt</x:v>
      </x:c>
      <x:c r="E138" s="5" t="str">
        <x:v>vollständig abgedeckt</x:v>
      </x:c>
      <x:c r="F138" s="5" t="str"/>
      <x:c r="G138" s="5" t="str">
        <x:v>R-0119–R-0128; R-0142, R-0143; R-0145–R-0150; R-0246–R-0308; R-0519, R-0520; R-0568; R-0001–R-0020; R-0129–R-0141; R-0223–R-0236; R-0240–R-0245; R-0050–R-0069; R-0083–R-0096; R-0105–R-0118; R-0171–R-0185; R-0514–R-0516; R-0567; R-0566</x:v>
      </x:c>
      <x:c r="H138" s="5" t="str"/>
      <x:c r="I138" s="5" t="str">
        <x:v>Analysebewertung erhalten; keine neue Frage allein aus ID-Zahlen ableiten.</x:v>
      </x:c>
      <x:c r="J138" s="5" t="str">
        <x:v>Soll-Ist-Matrix 2026-09-27</x:v>
      </x:c>
      <x:c r="K138" s="5" t="str">
        <x:v>Analysebewertung übernommen; keine neue fachliche Vollständigkeitsprüfung. Kandidaten sind keine bestätigten Einzelbelege.</x:v>
      </x:c>
      <x:c r="L138" s="5" t="str"/>
    </x:row>
    <x:row r="139" ht="36" customHeight="1">
      <x:c r="A139" s="5" t="str">
        <x:v>3.1.2.5#4</x:v>
      </x:c>
      <x:c r="B139" s="5" t="str">
        <x:v>Recht und Steuern</x:v>
      </x:c>
      <x:c r="C139" s="5" t="str">
        <x:v>Schadenersatz durch Pflichtverletzung</x:v>
      </x:c>
      <x:c r="D139" s="5" t="str">
        <x:v>vollständig abgedeckt</x:v>
      </x:c>
      <x:c r="E139" s="5" t="str">
        <x:v>vollständig abgedeckt</x:v>
      </x:c>
      <x:c r="F139" s="5" t="str"/>
      <x:c r="G139" s="5" t="str">
        <x:v>R-0119–R-0128; R-0142, R-0143; R-0145–R-0150; R-0246–R-0308; R-0519, R-0520; R-0568; R-0001–R-0020; R-0129–R-0141; R-0223–R-0236; R-0240–R-0245; R-0050–R-0069; R-0083–R-0096; R-0105–R-0118; R-0171–R-0185; R-0514–R-0516; R-0567; R-0566</x:v>
      </x:c>
      <x:c r="H139" s="5" t="str"/>
      <x:c r="I139" s="5" t="str">
        <x:v>Analysebewertung erhalten; keine neue Frage allein aus ID-Zahlen ableiten.</x:v>
      </x:c>
      <x:c r="J139" s="5" t="str">
        <x:v>Soll-Ist-Matrix 2026-09-27</x:v>
      </x:c>
      <x:c r="K139" s="5" t="str">
        <x:v>Analysebewertung übernommen; keine neue fachliche Vollständigkeitsprüfung. Kandidaten sind keine bestätigten Einzelbelege.</x:v>
      </x:c>
      <x:c r="L139" s="5" t="str"/>
    </x:row>
    <x:row r="140" ht="36" customHeight="1">
      <x:c r="A140" s="5" t="str">
        <x:v>3.1.2.5#5</x:v>
      </x:c>
      <x:c r="B140" s="5" t="str">
        <x:v>Recht und Steuern</x:v>
      </x:c>
      <x:c r="C140" s="5" t="str">
        <x:v>Rücktritt</x:v>
      </x:c>
      <x:c r="D140" s="5" t="str">
        <x:v>vollständig abgedeckt</x:v>
      </x:c>
      <x:c r="E140" s="5" t="str">
        <x:v>vollständig abgedeckt</x:v>
      </x:c>
      <x:c r="F140" s="5" t="str"/>
      <x:c r="G140" s="5" t="str">
        <x:v>R-0119–R-0128; R-0142, R-0143; R-0145–R-0150; R-0246–R-0308; R-0519, R-0520; R-0568; R-0001–R-0020; R-0129–R-0141; R-0223–R-0236; R-0240–R-0245; R-0050–R-0069; R-0083–R-0096; R-0105–R-0118; R-0171–R-0185; R-0514–R-0516; R-0567; R-0566</x:v>
      </x:c>
      <x:c r="H140" s="5" t="str"/>
      <x:c r="I140" s="5" t="str">
        <x:v>Analysebewertung erhalten; keine neue Frage allein aus ID-Zahlen ableiten.</x:v>
      </x:c>
      <x:c r="J140" s="5" t="str">
        <x:v>Soll-Ist-Matrix 2026-09-27</x:v>
      </x:c>
      <x:c r="K140" s="5" t="str">
        <x:v>Analysebewertung übernommen; keine neue fachliche Vollständigkeitsprüfung. Kandidaten sind keine bestätigten Einzelbelege.</x:v>
      </x:c>
      <x:c r="L140" s="5" t="str"/>
    </x:row>
    <x:row r="141" ht="36" customHeight="1">
      <x:c r="A141" s="5" t="str">
        <x:v>3.1.2.5#6</x:v>
      </x:c>
      <x:c r="B141" s="5" t="str">
        <x:v>Recht und Steuern</x:v>
      </x:c>
      <x:c r="C141" s="5" t="str">
        <x:v>Unerlaubte Handlung</x:v>
      </x:c>
      <x:c r="D141" s="5" t="str">
        <x:v>vollständig abgedeckt</x:v>
      </x:c>
      <x:c r="E141" s="5" t="str">
        <x:v>vollständig abgedeckt</x:v>
      </x:c>
      <x:c r="F141" s="5" t="str"/>
      <x:c r="G141" s="5" t="str">
        <x:v>R-0119–R-0128; R-0142, R-0143; R-0145–R-0150; R-0246–R-0308; R-0519, R-0520; R-0568; R-0001–R-0020; R-0129–R-0141; R-0223–R-0236; R-0240–R-0245; R-0050–R-0069; R-0083–R-0096; R-0105–R-0118; R-0171–R-0185; R-0514–R-0516; R-0567; R-0566</x:v>
      </x:c>
      <x:c r="H141" s="5" t="str"/>
      <x:c r="I141" s="5" t="str">
        <x:v>Analysebewertung erhalten; keine neue Frage allein aus ID-Zahlen ableiten.</x:v>
      </x:c>
      <x:c r="J141" s="5" t="str">
        <x:v>Soll-Ist-Matrix 2026-09-27</x:v>
      </x:c>
      <x:c r="K141" s="5" t="str">
        <x:v>Analysebewertung übernommen; keine neue fachliche Vollständigkeitsprüfung. Kandidaten sind keine bestätigten Einzelbelege.</x:v>
      </x:c>
      <x:c r="L141" s="5" t="str"/>
    </x:row>
    <x:row r="142" ht="36" customHeight="1">
      <x:c r="A142" s="5" t="str">
        <x:v>3.1.2.5#7</x:v>
      </x:c>
      <x:c r="B142" s="5" t="str">
        <x:v>Recht und Steuern</x:v>
      </x:c>
      <x:c r="C142" s="5" t="str">
        <x:v>Widerrufsrecht</x:v>
      </x:c>
      <x:c r="D142" s="5" t="str">
        <x:v>vollständig abgedeckt</x:v>
      </x:c>
      <x:c r="E142" s="5" t="str">
        <x:v>vollständig abgedeckt</x:v>
      </x:c>
      <x:c r="F142" s="5" t="str"/>
      <x:c r="G142" s="5" t="str">
        <x:v>R-0119–R-0128; R-0142, R-0143; R-0145–R-0150; R-0246–R-0308; R-0519, R-0520; R-0568; R-0001–R-0020; R-0129–R-0141; R-0223–R-0236; R-0240–R-0245; R-0050–R-0069; R-0083–R-0096; R-0105–R-0118; R-0171–R-0185; R-0514–R-0516; R-0567; R-0566</x:v>
      </x:c>
      <x:c r="H142" s="5" t="str"/>
      <x:c r="I142" s="5" t="str">
        <x:v>Analysebewertung erhalten; keine neue Frage allein aus ID-Zahlen ableiten.</x:v>
      </x:c>
      <x:c r="J142" s="5" t="str">
        <x:v>Soll-Ist-Matrix 2026-09-27</x:v>
      </x:c>
      <x:c r="K142" s="5" t="str">
        <x:v>Analysebewertung übernommen; keine neue fachliche Vollständigkeitsprüfung. Kandidaten sind keine bestätigten Einzelbelege.</x:v>
      </x:c>
      <x:c r="L142" s="5" t="str"/>
    </x:row>
    <x:row r="143" ht="36" customHeight="1">
      <x:c r="A143" s="5" t="str">
        <x:v>3.1.3</x:v>
      </x:c>
      <x:c r="B143" s="5" t="str">
        <x:v>Recht und Steuern</x:v>
      </x:c>
      <x:c r="C143" s="5" t="str">
        <x:v>BGB Sachenrecht</x:v>
      </x:c>
      <x:c r="D143" s="5" t="str">
        <x:v>vollständig abgedeckt</x:v>
      </x:c>
      <x:c r="E143" s="5" t="str">
        <x:v>vollständig abgedeckt</x:v>
      </x:c>
      <x:c r="F143" s="5" t="str"/>
      <x:c r="G143" s="5" t="str">
        <x:v>R-0031–R-0042; R-0097; R-0309–R-0372; R-0521–R-0527; R-0001–R-0020; R-0129–R-0141; R-0223–R-0236; R-0240–R-0245</x:v>
      </x:c>
      <x:c r="H143" s="5" t="str"/>
      <x:c r="I143" s="5" t="str">
        <x:v>Analysebewertung erhalten; keine neue Frage allein aus ID-Zahlen ableiten.</x:v>
      </x:c>
      <x:c r="J143" s="5" t="str">
        <x:v>Soll-Ist-Matrix 2026-09-27</x:v>
      </x:c>
      <x:c r="K143" s="5" t="str">
        <x:v>Analysebewertung übernommen; keine neue fachliche Vollständigkeitsprüfung. Kandidaten sind keine bestätigten Einzelbelege.</x:v>
      </x:c>
      <x:c r="L143" s="5" t="str"/>
    </x:row>
    <x:row r="144" ht="36" customHeight="1">
      <x:c r="A144" s="5" t="str">
        <x:v>3.1.3.1</x:v>
      </x:c>
      <x:c r="B144" s="5" t="str">
        <x:v>Recht und Steuern</x:v>
      </x:c>
      <x:c r="C144" s="5" t="str">
        <x:v>Eigentum und Besitz</x:v>
      </x:c>
      <x:c r="D144" s="5" t="str">
        <x:v>vollständig abgedeckt</x:v>
      </x:c>
      <x:c r="E144" s="5" t="str">
        <x:v>vollständig abgedeckt</x:v>
      </x:c>
      <x:c r="F144" s="5" t="str"/>
      <x:c r="G144" s="5" t="str">
        <x:v>R-0031–R-0042; R-0097; R-0309–R-0372; R-0521–R-0527; R-0001–R-0020; R-0129–R-0141; R-0223–R-0236; R-0240–R-0245</x:v>
      </x:c>
      <x:c r="H144" s="5" t="str"/>
      <x:c r="I144" s="5" t="str">
        <x:v>Analysebewertung erhalten; keine neue Frage allein aus ID-Zahlen ableiten.</x:v>
      </x:c>
      <x:c r="J144" s="5" t="str">
        <x:v>Soll-Ist-Matrix 2026-09-27</x:v>
      </x:c>
      <x:c r="K144" s="5" t="str">
        <x:v>Analysebewertung übernommen; keine neue fachliche Vollständigkeitsprüfung. Kandidaten sind keine bestätigten Einzelbelege.</x:v>
      </x:c>
      <x:c r="L144" s="5" t="str">
        <x:v>R-0031; R-0032; R-0033; R-0034; R-0035; R-0036; R-0037; R-0038; R-0041; R-0042; R-0309; R-0310; R-0311; R-0312; R-0313; R-0315; R-0318; R-0319; R-0320; R-0322; R-0323; R-0324; R-0325; R-0326; R-0372</x:v>
      </x:c>
    </x:row>
    <x:row r="145" ht="36" customHeight="1">
      <x:c r="A145" s="5" t="str">
        <x:v>3.1.3.2</x:v>
      </x:c>
      <x:c r="B145" s="5" t="str">
        <x:v>Recht und Steuern</x:v>
      </x:c>
      <x:c r="C145" s="5" t="str">
        <x:v>Finanzierungssicherheiten</x:v>
      </x:c>
      <x:c r="D145" s="5" t="str">
        <x:v>vollständig abgedeckt</x:v>
      </x:c>
      <x:c r="E145" s="5" t="str">
        <x:v>vollständig abgedeckt</x:v>
      </x:c>
      <x:c r="F145" s="5" t="str"/>
      <x:c r="G145" s="5" t="str">
        <x:v>R-0031–R-0042; R-0097; R-0309–R-0372; R-0521–R-0527; R-0001–R-0020; R-0129–R-0141; R-0223–R-0236; R-0240–R-0245</x:v>
      </x:c>
      <x:c r="H145" s="5" t="str"/>
      <x:c r="I145" s="5" t="str">
        <x:v>Analysebewertung erhalten; keine neue Frage allein aus ID-Zahlen ableiten.</x:v>
      </x:c>
      <x:c r="J145" s="5" t="str">
        <x:v>Soll-Ist-Matrix 2026-09-27</x:v>
      </x:c>
      <x:c r="K145" s="5" t="str">
        <x:v>Analysebewertung übernommen; keine neue fachliche Vollständigkeitsprüfung. Kandidaten sind keine bestätigten Einzelbelege.</x:v>
      </x:c>
      <x:c r="L145" s="5" t="str">
        <x:v>R-0039; R-0040; R-0097; R-0314; R-0316; R-0317; R-0321; R-0327; R-0328; R-0329; R-0330; R-0331; R-0332; R-0333; R-0334; R-0335; R-0336; R-0337; R-0338; R-0339; R-0340; R-0341; R-0342; R-0343; R-0344; R-0345; R-0346; R-0347; R-0348; R-0349; R-0350; R-0351; R-0352; R-0353; R-0354; R-0355; R-0356; R-0521; R-0522; R-0523</x:v>
      </x:c>
    </x:row>
    <x:row r="146" ht="36" customHeight="1">
      <x:c r="A146" s="5" t="str">
        <x:v>3.1.3.3</x:v>
      </x:c>
      <x:c r="B146" s="5" t="str">
        <x:v>Recht und Steuern</x:v>
      </x:c>
      <x:c r="C146" s="5" t="str">
        <x:v>Grundlagen Insolvenzrecht</x:v>
      </x:c>
      <x:c r="D146" s="5" t="str">
        <x:v>vollständig abgedeckt</x:v>
      </x:c>
      <x:c r="E146" s="5" t="str">
        <x:v>vollständig abgedeckt</x:v>
      </x:c>
      <x:c r="F146" s="5" t="str"/>
      <x:c r="G146" s="5" t="str">
        <x:v>R-0031–R-0042; R-0097; R-0309–R-0372; R-0521–R-0527; R-0001–R-0020; R-0129–R-0141; R-0223–R-0236; R-0240–R-0245</x:v>
      </x:c>
      <x:c r="H146" s="5" t="str"/>
      <x:c r="I146" s="5" t="str">
        <x:v>Analysebewertung erhalten; keine neue Frage allein aus ID-Zahlen ableiten.</x:v>
      </x:c>
      <x:c r="J146" s="5" t="str">
        <x:v>Soll-Ist-Matrix 2026-09-27</x:v>
      </x:c>
      <x:c r="K146" s="5" t="str">
        <x:v>Analysebewertung übernommen; keine neue fachliche Vollständigkeitsprüfung. Kandidaten sind keine bestätigten Einzelbelege.</x:v>
      </x:c>
      <x:c r="L146" s="5" t="str">
        <x:v>R-0357; R-0358; R-0359; R-0360; R-0361; R-0362; R-0363; R-0364; R-0365; R-0366; R-0367; R-0368; R-0369; R-0370; R-0371; R-0524; R-0525; R-0526; R-0527</x:v>
      </x:c>
    </x:row>
    <x:row r="147" ht="36" customHeight="1">
      <x:c r="A147" s="5" t="str">
        <x:v>3.1.4</x:v>
      </x:c>
      <x:c r="B147" s="5" t="str">
        <x:v>Recht und Steuern</x:v>
      </x:c>
      <x:c r="C147" s="5" t="str">
        <x:v>Handelsgesetzbuch</x:v>
      </x:c>
      <x:c r="D147" s="5" t="str">
        <x:v>vollständig abgedeckt</x:v>
      </x:c>
      <x:c r="E147" s="5" t="str">
        <x:v>vollständig abgedeckt</x:v>
      </x:c>
      <x:c r="F147" s="5" t="str"/>
      <x:c r="G147" s="5" t="str">
        <x:v>R-0070–R-0082; R-0151–R-0170; R-0237–R-0239; R-0373–R-0406; R-0528–R-0531; R-0576, R-0577</x:v>
      </x:c>
      <x:c r="H147" s="5" t="str"/>
      <x:c r="I147" s="5" t="str">
        <x:v>Analysebewertung erhalten; keine neue Frage allein aus ID-Zahlen ableiten.</x:v>
      </x:c>
      <x:c r="J147" s="5" t="str">
        <x:v>Soll-Ist-Matrix 2026-09-27</x:v>
      </x:c>
      <x:c r="K147" s="5" t="str">
        <x:v>Analysebewertung übernommen; keine neue fachliche Vollständigkeitsprüfung. Kandidaten sind keine bestätigten Einzelbelege.</x:v>
      </x:c>
      <x:c r="L147" s="5" t="str">
        <x:v>R-0157; R-0158; R-0159; R-0160; R-0237; R-0238; R-0239; R-0381; R-0382; R-0383; R-0384; R-0385; R-0386; R-0387; R-0388; R-0389; R-0390; R-0391; R-0529; R-0530; R-0531; R-0576</x:v>
      </x:c>
    </x:row>
    <x:row r="148" ht="36" customHeight="1">
      <x:c r="A148" s="5" t="str">
        <x:v>3.1.4.1</x:v>
      </x:c>
      <x:c r="B148" s="5" t="str">
        <x:v>Recht und Steuern</x:v>
      </x:c>
      <x:c r="C148" s="5" t="str">
        <x:v>Begriff des Kaufmanns</x:v>
      </x:c>
      <x:c r="D148" s="5" t="str">
        <x:v>vollständig abgedeckt</x:v>
      </x:c>
      <x:c r="E148" s="5" t="str">
        <x:v>vollständig abgedeckt</x:v>
      </x:c>
      <x:c r="F148" s="5" t="str"/>
      <x:c r="G148" s="5" t="str">
        <x:v>R-0070–R-0082; R-0151–R-0170; R-0237–R-0239; R-0373–R-0406; R-0528–R-0531; R-0576, R-0577</x:v>
      </x:c>
      <x:c r="H148" s="5" t="str"/>
      <x:c r="I148" s="5" t="str">
        <x:v>Analysebewertung erhalten; keine neue Frage allein aus ID-Zahlen ableiten.</x:v>
      </x:c>
      <x:c r="J148" s="5" t="str">
        <x:v>Soll-Ist-Matrix 2026-09-27</x:v>
      </x:c>
      <x:c r="K148" s="5" t="str">
        <x:v>Analysebewertung übernommen; keine neue fachliche Vollständigkeitsprüfung. Kandidaten sind keine bestätigten Einzelbelege.</x:v>
      </x:c>
      <x:c r="L148" s="5" t="str">
        <x:v>R-0070; R-0071; R-0072; R-0073; R-0074; R-0075; R-0076; R-0077; R-0151; R-0152; R-0161; R-0162; R-0163; R-0164; R-0165; R-0373; R-0374; R-0375; R-0376; R-0377; R-0378; R-0379; R-0528</x:v>
      </x:c>
    </x:row>
    <x:row r="149" ht="36" customHeight="1">
      <x:c r="A149" s="5" t="str">
        <x:v>3.1.4.2</x:v>
      </x:c>
      <x:c r="B149" s="5" t="str">
        <x:v>Recht und Steuern</x:v>
      </x:c>
      <x:c r="C149" s="5" t="str">
        <x:v>Handelsregister</x:v>
      </x:c>
      <x:c r="D149" s="5" t="str">
        <x:v>vollständig abgedeckt</x:v>
      </x:c>
      <x:c r="E149" s="5" t="str">
        <x:v>vollständig abgedeckt</x:v>
      </x:c>
      <x:c r="F149" s="5" t="str"/>
      <x:c r="G149" s="5" t="str">
        <x:v>R-0070–R-0082; R-0151–R-0170; R-0237–R-0239; R-0373–R-0406; R-0528–R-0531; R-0576, R-0577</x:v>
      </x:c>
      <x:c r="H149" s="5" t="str"/>
      <x:c r="I149" s="5" t="str">
        <x:v>Analysebewertung erhalten; keine neue Frage allein aus ID-Zahlen ableiten.</x:v>
      </x:c>
      <x:c r="J149" s="5" t="str">
        <x:v>Soll-Ist-Matrix 2026-09-27</x:v>
      </x:c>
      <x:c r="K149" s="5" t="str">
        <x:v>Analysebewertung übernommen; keine neue fachliche Vollständigkeitsprüfung. Kandidaten sind keine bestätigten Einzelbelege.</x:v>
      </x:c>
      <x:c r="L149" s="5" t="str">
        <x:v>R-0078; R-0079; R-0080; R-0081; R-0082; R-0153; R-0154; R-0155; R-0156; R-0392; R-0393; R-0394; R-0395; R-0396; R-0397; R-0398; R-0399</x:v>
      </x:c>
    </x:row>
    <x:row r="150" ht="36" customHeight="1">
      <x:c r="A150" s="5" t="str">
        <x:v>3.1.4.3</x:v>
      </x:c>
      <x:c r="B150" s="5" t="str">
        <x:v>Recht und Steuern</x:v>
      </x:c>
      <x:c r="C150" s="5" t="str">
        <x:v>Vermittlergewerbe</x:v>
      </x:c>
      <x:c r="D150" s="5" t="str">
        <x:v>vollständig abgedeckt</x:v>
      </x:c>
      <x:c r="E150" s="5" t="str">
        <x:v>vollständig abgedeckt</x:v>
      </x:c>
      <x:c r="F150" s="5" t="str"/>
      <x:c r="G150" s="5" t="str">
        <x:v>R-0070–R-0082; R-0151–R-0170; R-0237–R-0239; R-0373–R-0406; R-0528–R-0531; R-0576, R-0577</x:v>
      </x:c>
      <x:c r="H150" s="5" t="str"/>
      <x:c r="I150" s="5" t="str">
        <x:v>Analysebewertung erhalten; keine neue Frage allein aus ID-Zahlen ableiten.</x:v>
      </x:c>
      <x:c r="J150" s="5" t="str">
        <x:v>Soll-Ist-Matrix 2026-09-27</x:v>
      </x:c>
      <x:c r="K150" s="5" t="str">
        <x:v>Analysebewertung übernommen; keine neue fachliche Vollständigkeitsprüfung. Kandidaten sind keine bestätigten Einzelbelege.</x:v>
      </x:c>
      <x:c r="L150" s="5" t="str">
        <x:v>R-0166; R-0167; R-0168; R-0169; R-0170; R-0400; R-0401; R-0402; R-0403; R-0404; R-0405; R-0406; R-0577</x:v>
      </x:c>
    </x:row>
    <x:row r="151" ht="36" customHeight="1">
      <x:c r="A151" s="5" t="str">
        <x:v>3.1.5</x:v>
      </x:c>
      <x:c r="B151" s="5" t="str">
        <x:v>Recht und Steuern</x:v>
      </x:c>
      <x:c r="C151" s="5" t="str">
        <x:v>Arbeitsrecht</x:v>
      </x:c>
      <x:c r="D151" s="5" t="str">
        <x:v>vollständig abgedeckt</x:v>
      </x:c>
      <x:c r="E151" s="5" t="str">
        <x:v>vollständig abgedeckt</x:v>
      </x:c>
      <x:c r="F151" s="5" t="str"/>
      <x:c r="G151" s="5" t="str">
        <x:v>R-0021–R-0025; R-0028, R-0029; R-0144; R-0410–R-0442; R-0445; R-0448–R-0484; R-0026, R-0027; R-0030; R-0407–R-0409; R-0485–R-0501; R-0532–R-0544; R-0578</x:v>
      </x:c>
      <x:c r="H151" s="5" t="str"/>
      <x:c r="I151" s="5" t="str">
        <x:v>Analysebewertung erhalten; keine neue Frage allein aus ID-Zahlen ableiten.</x:v>
      </x:c>
      <x:c r="J151" s="5" t="str">
        <x:v>Soll-Ist-Matrix 2026-09-27</x:v>
      </x:c>
      <x:c r="K151" s="5" t="str">
        <x:v>Analysebewertung übernommen; keine neue fachliche Vollständigkeitsprüfung. Kandidaten sind keine bestätigten Einzelbelege.</x:v>
      </x:c>
      <x:c r="L151" s="5" t="str">
        <x:v>R-0027; R-0407; R-0408; R-0578</x:v>
      </x:c>
    </x:row>
    <x:row r="152" ht="36" customHeight="1">
      <x:c r="A152" s="5" t="str">
        <x:v>3.1.5.1</x:v>
      </x:c>
      <x:c r="B152" s="5" t="str">
        <x:v>Recht und Steuern</x:v>
      </x:c>
      <x:c r="C152" s="5" t="str">
        <x:v>Arbeitsvertragsrecht</x:v>
      </x:c>
      <x:c r="D152" s="5" t="str">
        <x:v>vollständig abgedeckt</x:v>
      </x:c>
      <x:c r="E152" s="5" t="str">
        <x:v>vollständig abgedeckt</x:v>
      </x:c>
      <x:c r="F152" s="5" t="str"/>
      <x:c r="G152" s="5" t="str">
        <x:v>R-0021–R-0025; R-0028, R-0029; R-0144; R-0410–R-0442; R-0445; R-0448–R-0484</x:v>
      </x:c>
      <x:c r="H152" s="5" t="str"/>
      <x:c r="I152" s="5" t="str">
        <x:v>Analysebewertung erhalten; keine neue Frage allein aus ID-Zahlen ableiten.</x:v>
      </x:c>
      <x:c r="J152" s="5" t="str">
        <x:v>Soll-Ist-Matrix 2026-09-27</x:v>
      </x:c>
      <x:c r="K152" s="5" t="str">
        <x:v>Analysebewertung übernommen; keine neue fachliche Vollständigkeitsprüfung. Kandidaten sind keine bestätigten Einzelbelege.</x:v>
      </x:c>
      <x:c r="L152" s="5" t="str">
        <x:v>R-0021; R-0022; R-0023; R-0024; R-0025; R-0028; R-0029; R-0144; R-0410; R-0411; R-0412; R-0413; R-0414; R-0415; R-0416; R-0417; R-0418; R-0419; R-0420; R-0421; R-0422; R-0423; R-0424; R-0425; R-0426; R-0427; R-0428; R-0429; R-0430; R-0431; R-0432; R-0433; R-0434; R-0435; R-0436; R-0437; R-0438; R-0439; R-0440; R-0441; R-0442; R-0445; R-0448; R-0449; R-0450; R-0451; R-0452; R-0453; R-0454; R-0455; R-0456; R-0457; R-0458; R-0459; R-0460; R-0461; R-0462; R-0463; R-0464; R-0465; R-0466; R-0467; R-0468; R-0469; R-0470; R-0471; R-0472; R-0473; R-0474; R-0475; R-0476; R-0477; R-0478; R-0479; R-0480; R-0481; R-0482; R-0483; R-0484</x:v>
      </x:c>
    </x:row>
    <x:row r="153" ht="36" customHeight="1">
      <x:c r="A153" s="5" t="str">
        <x:v>3.1.5.1#1</x:v>
      </x:c>
      <x:c r="B153" s="5" t="str">
        <x:v>Recht und Steuern</x:v>
      </x:c>
      <x:c r="C153" s="5" t="str">
        <x:v>Vertragsarten</x:v>
      </x:c>
      <x:c r="D153" s="5" t="str">
        <x:v>vollständig abgedeckt</x:v>
      </x:c>
      <x:c r="E153" s="5" t="str">
        <x:v>vollständig abgedeckt</x:v>
      </x:c>
      <x:c r="F153" s="5" t="str"/>
      <x:c r="G153" s="5" t="str">
        <x:v>R-0021–R-0025; R-0028, R-0029; R-0144; R-0410–R-0442; R-0445; R-0448–R-0484</x:v>
      </x:c>
      <x:c r="H153" s="5" t="str"/>
      <x:c r="I153" s="5" t="str">
        <x:v>Analysebewertung erhalten; keine neue Frage allein aus ID-Zahlen ableiten.</x:v>
      </x:c>
      <x:c r="J153" s="5" t="str">
        <x:v>Soll-Ist-Matrix 2026-09-27</x:v>
      </x:c>
      <x:c r="K153" s="5" t="str">
        <x:v>Analysebewertung übernommen; keine neue fachliche Vollständigkeitsprüfung. Kandidaten sind keine bestätigten Einzelbelege.</x:v>
      </x:c>
      <x:c r="L153" s="5" t="str"/>
    </x:row>
    <x:row r="154" ht="36" customHeight="1">
      <x:c r="A154" s="5" t="str">
        <x:v>3.1.5.1#2</x:v>
      </x:c>
      <x:c r="B154" s="5" t="str">
        <x:v>Recht und Steuern</x:v>
      </x:c>
      <x:c r="C154" s="5" t="str">
        <x:v>Rechte und Pflichten aus dem Arbeitsvertrag</x:v>
      </x:c>
      <x:c r="D154" s="5" t="str">
        <x:v>vollständig abgedeckt</x:v>
      </x:c>
      <x:c r="E154" s="5" t="str">
        <x:v>vollständig abgedeckt</x:v>
      </x:c>
      <x:c r="F154" s="5" t="str"/>
      <x:c r="G154" s="5" t="str">
        <x:v>R-0021–R-0025; R-0028, R-0029; R-0144; R-0410–R-0442; R-0445; R-0448–R-0484</x:v>
      </x:c>
      <x:c r="H154" s="5" t="str"/>
      <x:c r="I154" s="5" t="str">
        <x:v>Analysebewertung erhalten; keine neue Frage allein aus ID-Zahlen ableiten.</x:v>
      </x:c>
      <x:c r="J154" s="5" t="str">
        <x:v>Soll-Ist-Matrix 2026-09-27</x:v>
      </x:c>
      <x:c r="K154" s="5" t="str">
        <x:v>Analysebewertung übernommen; keine neue fachliche Vollständigkeitsprüfung. Kandidaten sind keine bestätigten Einzelbelege.</x:v>
      </x:c>
      <x:c r="L154" s="5" t="str"/>
    </x:row>
    <x:row r="155" ht="36" customHeight="1">
      <x:c r="A155" s="5" t="str">
        <x:v>3.1.5.1#3</x:v>
      </x:c>
      <x:c r="B155" s="5" t="str">
        <x:v>Recht und Steuern</x:v>
      </x:c>
      <x:c r="C155" s="5" t="str">
        <x:v>Kündigung, Kündigungsschutz, Abmahnung</x:v>
      </x:c>
      <x:c r="D155" s="5" t="str">
        <x:v>vollständig abgedeckt</x:v>
      </x:c>
      <x:c r="E155" s="5" t="str">
        <x:v>vollständig abgedeckt</x:v>
      </x:c>
      <x:c r="F155" s="5" t="str"/>
      <x:c r="G155" s="5" t="str">
        <x:v>R-0021–R-0025; R-0028, R-0029; R-0144; R-0410–R-0442; R-0445; R-0448–R-0484</x:v>
      </x:c>
      <x:c r="H155" s="5" t="str"/>
      <x:c r="I155" s="5" t="str">
        <x:v>Analysebewertung erhalten; keine neue Frage allein aus ID-Zahlen ableiten.</x:v>
      </x:c>
      <x:c r="J155" s="5" t="str">
        <x:v>Soll-Ist-Matrix 2026-09-27</x:v>
      </x:c>
      <x:c r="K155" s="5" t="str">
        <x:v>Analysebewertung übernommen; keine neue fachliche Vollständigkeitsprüfung. Kandidaten sind keine bestätigten Einzelbelege.</x:v>
      </x:c>
      <x:c r="L155" s="5" t="str"/>
    </x:row>
    <x:row r="156" ht="36" customHeight="1">
      <x:c r="A156" s="5" t="str">
        <x:v>3.1.5.1#4</x:v>
      </x:c>
      <x:c r="B156" s="5" t="str">
        <x:v>Recht und Steuern</x:v>
      </x:c>
      <x:c r="C156" s="5" t="str">
        <x:v>Beendigung des Arbeitsverhältnisses</x:v>
      </x:c>
      <x:c r="D156" s="5" t="str">
        <x:v>vollständig abgedeckt</x:v>
      </x:c>
      <x:c r="E156" s="5" t="str">
        <x:v>vollständig abgedeckt</x:v>
      </x:c>
      <x:c r="F156" s="5" t="str"/>
      <x:c r="G156" s="5" t="str">
        <x:v>R-0021–R-0025; R-0028, R-0029; R-0144; R-0410–R-0442; R-0445; R-0448–R-0484</x:v>
      </x:c>
      <x:c r="H156" s="5" t="str"/>
      <x:c r="I156" s="5" t="str">
        <x:v>Analysebewertung erhalten; keine neue Frage allein aus ID-Zahlen ableiten.</x:v>
      </x:c>
      <x:c r="J156" s="5" t="str">
        <x:v>Soll-Ist-Matrix 2026-09-27</x:v>
      </x:c>
      <x:c r="K156" s="5" t="str">
        <x:v>Analysebewertung übernommen; keine neue fachliche Vollständigkeitsprüfung. Kandidaten sind keine bestätigten Einzelbelege.</x:v>
      </x:c>
      <x:c r="L156" s="5" t="str"/>
    </x:row>
    <x:row r="157" ht="36" customHeight="1">
      <x:c r="A157" s="5" t="str">
        <x:v>3.1.5.2</x:v>
      </x:c>
      <x:c r="B157" s="5" t="str">
        <x:v>Recht und Steuern</x:v>
      </x:c>
      <x:c r="C157" s="5" t="str">
        <x:v>Betriebsverfassungsgesetz</x:v>
      </x:c>
      <x:c r="D157" s="5" t="str">
        <x:v>vollständig abgedeckt</x:v>
      </x:c>
      <x:c r="E157" s="5" t="str">
        <x:v>vollständig abgedeckt</x:v>
      </x:c>
      <x:c r="F157" s="5" t="str"/>
      <x:c r="G157" s="5" t="str">
        <x:v>R-0026, R-0027; R-0030; R-0407–R-0409; R-0485–R-0501; R-0532–R-0544; R-0578; R-0021–R-0025; R-0028, R-0029; R-0144; R-0410–R-0442; R-0445; R-0448–R-0484</x:v>
      </x:c>
      <x:c r="H157" s="5" t="str"/>
      <x:c r="I157" s="5" t="str">
        <x:v>Analysebewertung erhalten; keine neue Frage allein aus ID-Zahlen ableiten.</x:v>
      </x:c>
      <x:c r="J157" s="5" t="str">
        <x:v>Soll-Ist-Matrix 2026-09-27</x:v>
      </x:c>
      <x:c r="K157" s="5" t="str">
        <x:v>Analysebewertung übernommen; keine neue fachliche Vollständigkeitsprüfung. Kandidaten sind keine bestätigten Einzelbelege.</x:v>
      </x:c>
      <x:c r="L157" s="5" t="str">
        <x:v>R-0485; R-0486; R-0487; R-0488; R-0489; R-0490; R-0491; R-0492; R-0493; R-0494; R-0495</x:v>
      </x:c>
    </x:row>
    <x:row r="158" ht="36" customHeight="1">
      <x:c r="A158" s="5" t="str">
        <x:v>3.1.5.2#1</x:v>
      </x:c>
      <x:c r="B158" s="5" t="str">
        <x:v>Recht und Steuern</x:v>
      </x:c>
      <x:c r="C158" s="5" t="str">
        <x:v>Rechtliche Grundlagen</x:v>
      </x:c>
      <x:c r="D158" s="5" t="str">
        <x:v>vollständig abgedeckt</x:v>
      </x:c>
      <x:c r="E158" s="5" t="str">
        <x:v>vollständig abgedeckt</x:v>
      </x:c>
      <x:c r="F158" s="5" t="str"/>
      <x:c r="G158" s="5" t="str">
        <x:v>R-0026, R-0027; R-0030; R-0407–R-0409; R-0485–R-0501; R-0532–R-0544; R-0578; R-0021–R-0025; R-0028, R-0029; R-0144; R-0410–R-0442; R-0445; R-0448–R-0484</x:v>
      </x:c>
      <x:c r="H158" s="5" t="str"/>
      <x:c r="I158" s="5" t="str">
        <x:v>Analysebewertung erhalten; keine neue Frage allein aus ID-Zahlen ableiten.</x:v>
      </x:c>
      <x:c r="J158" s="5" t="str">
        <x:v>Soll-Ist-Matrix 2026-09-27</x:v>
      </x:c>
      <x:c r="K158" s="5" t="str">
        <x:v>Analysebewertung übernommen; keine neue fachliche Vollständigkeitsprüfung. Kandidaten sind keine bestätigten Einzelbelege.</x:v>
      </x:c>
      <x:c r="L158" s="5" t="str"/>
    </x:row>
    <x:row r="159" ht="36" customHeight="1">
      <x:c r="A159" s="5" t="str">
        <x:v>3.1.5.2#2</x:v>
      </x:c>
      <x:c r="B159" s="5" t="str">
        <x:v>Recht und Steuern</x:v>
      </x:c>
      <x:c r="C159" s="5" t="str">
        <x:v>Aufgaben des Betriebsrats</x:v>
      </x:c>
      <x:c r="D159" s="5" t="str">
        <x:v>vollständig abgedeckt</x:v>
      </x:c>
      <x:c r="E159" s="5" t="str">
        <x:v>vollständig abgedeckt</x:v>
      </x:c>
      <x:c r="F159" s="5" t="str"/>
      <x:c r="G159" s="5" t="str">
        <x:v>R-0026, R-0027; R-0030; R-0407–R-0409; R-0485–R-0501; R-0532–R-0544; R-0578; R-0021–R-0025; R-0028, R-0029; R-0144; R-0410–R-0442; R-0445; R-0448–R-0484</x:v>
      </x:c>
      <x:c r="H159" s="5" t="str"/>
      <x:c r="I159" s="5" t="str">
        <x:v>Analysebewertung erhalten; keine neue Frage allein aus ID-Zahlen ableiten.</x:v>
      </x:c>
      <x:c r="J159" s="5" t="str">
        <x:v>Soll-Ist-Matrix 2026-09-27</x:v>
      </x:c>
      <x:c r="K159" s="5" t="str">
        <x:v>Analysebewertung übernommen; keine neue fachliche Vollständigkeitsprüfung. Kandidaten sind keine bestätigten Einzelbelege.</x:v>
      </x:c>
      <x:c r="L159" s="5" t="str"/>
    </x:row>
    <x:row r="160" ht="36" customHeight="1">
      <x:c r="A160" s="5" t="str">
        <x:v>3.1.5.2#3</x:v>
      </x:c>
      <x:c r="B160" s="5" t="str">
        <x:v>Recht und Steuern</x:v>
      </x:c>
      <x:c r="C160" s="5" t="str">
        <x:v>Mitwirkungsrechte des Betriebsrats</x:v>
      </x:c>
      <x:c r="D160" s="5" t="str">
        <x:v>vollständig abgedeckt</x:v>
      </x:c>
      <x:c r="E160" s="5" t="str">
        <x:v>vollständig abgedeckt</x:v>
      </x:c>
      <x:c r="F160" s="5" t="str"/>
      <x:c r="G160" s="5" t="str">
        <x:v>R-0026, R-0027; R-0030; R-0407–R-0409; R-0485–R-0501; R-0532–R-0544; R-0578; R-0021–R-0025; R-0028, R-0029; R-0144; R-0410–R-0442; R-0445; R-0448–R-0484</x:v>
      </x:c>
      <x:c r="H160" s="5" t="str"/>
      <x:c r="I160" s="5" t="str">
        <x:v>Analysebewertung erhalten; keine neue Frage allein aus ID-Zahlen ableiten.</x:v>
      </x:c>
      <x:c r="J160" s="5" t="str">
        <x:v>Soll-Ist-Matrix 2026-09-27</x:v>
      </x:c>
      <x:c r="K160" s="5" t="str">
        <x:v>Analysebewertung übernommen; keine neue fachliche Vollständigkeitsprüfung. Kandidaten sind keine bestätigten Einzelbelege.</x:v>
      </x:c>
      <x:c r="L160" s="5" t="str"/>
    </x:row>
    <x:row r="161" ht="36" customHeight="1">
      <x:c r="A161" s="5" t="str">
        <x:v>3.1.5.3</x:v>
      </x:c>
      <x:c r="B161" s="5" t="str">
        <x:v>Recht und Steuern</x:v>
      </x:c>
      <x:c r="C161" s="5" t="str">
        <x:v>Grundlegende arbeitsrechtliche Schutzbestimmungen</x:v>
      </x:c>
      <x:c r="D161" s="5" t="str">
        <x:v>vollständig abgedeckt</x:v>
      </x:c>
      <x:c r="E161" s="5" t="str">
        <x:v>vollständig abgedeckt</x:v>
      </x:c>
      <x:c r="F161" s="5" t="str"/>
      <x:c r="G161" s="5" t="str">
        <x:v>R-0026, R-0027; R-0030; R-0407–R-0409; R-0485–R-0501; R-0532–R-0544; R-0578; R-0021–R-0025; R-0028, R-0029; R-0144; R-0410–R-0442; R-0445; R-0448–R-0484</x:v>
      </x:c>
      <x:c r="H161" s="5" t="str"/>
      <x:c r="I161" s="5" t="str">
        <x:v>Analysebewertung erhalten; keine neue Frage allein aus ID-Zahlen ableiten.</x:v>
      </x:c>
      <x:c r="J161" s="5" t="str">
        <x:v>Soll-Ist-Matrix 2026-09-27</x:v>
      </x:c>
      <x:c r="K161" s="5" t="str">
        <x:v>Analysebewertung übernommen; keine neue fachliche Vollständigkeitsprüfung. Kandidaten sind keine bestätigten Einzelbelege.</x:v>
      </x:c>
      <x:c r="L161" s="5" t="str">
        <x:v>R-0026; R-0030; R-0409; R-0496; R-0497; R-0498; R-0499; R-0500; R-0501; R-0532; R-0533; R-0534; R-0535; R-0536; R-0537; R-0538; R-0539; R-0540; R-0541; R-0542; R-0543; R-0544</x:v>
      </x:c>
    </x:row>
    <x:row r="162" ht="36" customHeight="1">
      <x:c r="A162" s="5" t="str">
        <x:v>3.1.5.3#1</x:v>
      </x:c>
      <x:c r="B162" s="5" t="str">
        <x:v>Recht und Steuern</x:v>
      </x:c>
      <x:c r="C162" s="5" t="str">
        <x:v>Arbeitsschutzrecht</x:v>
      </x:c>
      <x:c r="D162" s="5" t="str">
        <x:v>vollständig abgedeckt</x:v>
      </x:c>
      <x:c r="E162" s="5" t="str">
        <x:v>vollständig abgedeckt</x:v>
      </x:c>
      <x:c r="F162" s="5" t="str"/>
      <x:c r="G162" s="5" t="str">
        <x:v>R-0026, R-0027; R-0030; R-0407–R-0409; R-0485–R-0501; R-0532–R-0544; R-0578; R-0021–R-0025; R-0028, R-0029; R-0144; R-0410–R-0442; R-0445; R-0448–R-0484</x:v>
      </x:c>
      <x:c r="H162" s="5" t="str"/>
      <x:c r="I162" s="5" t="str">
        <x:v>Analysebewertung erhalten; keine neue Frage allein aus ID-Zahlen ableiten.</x:v>
      </x:c>
      <x:c r="J162" s="5" t="str">
        <x:v>Soll-Ist-Matrix 2026-09-27</x:v>
      </x:c>
      <x:c r="K162" s="5" t="str">
        <x:v>Analysebewertung übernommen; keine neue fachliche Vollständigkeitsprüfung. Kandidaten sind keine bestätigten Einzelbelege.</x:v>
      </x:c>
      <x:c r="L162" s="5" t="str"/>
    </x:row>
    <x:row r="163" ht="36" customHeight="1">
      <x:c r="A163" s="5" t="str">
        <x:v>3.1.5.3#2</x:v>
      </x:c>
      <x:c r="B163" s="5" t="str">
        <x:v>Recht und Steuern</x:v>
      </x:c>
      <x:c r="C163" s="5" t="str">
        <x:v>Jugendarbeitsschutz</x:v>
      </x:c>
      <x:c r="D163" s="5" t="str">
        <x:v>vollständig abgedeckt</x:v>
      </x:c>
      <x:c r="E163" s="5" t="str">
        <x:v>vollständig abgedeckt</x:v>
      </x:c>
      <x:c r="F163" s="5" t="str"/>
      <x:c r="G163" s="5" t="str">
        <x:v>R-0026, R-0027; R-0030; R-0407–R-0409; R-0485–R-0501; R-0532–R-0544; R-0578; R-0021–R-0025; R-0028, R-0029; R-0144; R-0410–R-0442; R-0445; R-0448–R-0484</x:v>
      </x:c>
      <x:c r="H163" s="5" t="str"/>
      <x:c r="I163" s="5" t="str">
        <x:v>Analysebewertung erhalten; keine neue Frage allein aus ID-Zahlen ableiten.</x:v>
      </x:c>
      <x:c r="J163" s="5" t="str">
        <x:v>Soll-Ist-Matrix 2026-09-27</x:v>
      </x:c>
      <x:c r="K163" s="5" t="str">
        <x:v>Analysebewertung übernommen; keine neue fachliche Vollständigkeitsprüfung. Kandidaten sind keine bestätigten Einzelbelege.</x:v>
      </x:c>
      <x:c r="L163" s="5" t="str"/>
    </x:row>
    <x:row r="164" ht="36" customHeight="1">
      <x:c r="A164" s="5" t="str">
        <x:v>3.1.5.3#3</x:v>
      </x:c>
      <x:c r="B164" s="5" t="str">
        <x:v>Recht und Steuern</x:v>
      </x:c>
      <x:c r="C164" s="5" t="str">
        <x:v>Mutterschutzgesetz</x:v>
      </x:c>
      <x:c r="D164" s="5" t="str">
        <x:v>vollständig abgedeckt</x:v>
      </x:c>
      <x:c r="E164" s="5" t="str">
        <x:v>vollständig abgedeckt</x:v>
      </x:c>
      <x:c r="F164" s="5" t="str"/>
      <x:c r="G164" s="5" t="str">
        <x:v>R-0026, R-0027; R-0030; R-0407–R-0409; R-0485–R-0501; R-0532–R-0544; R-0578; R-0021–R-0025; R-0028, R-0029; R-0144; R-0410–R-0442; R-0445; R-0448–R-0484</x:v>
      </x:c>
      <x:c r="H164" s="5" t="str"/>
      <x:c r="I164" s="5" t="str">
        <x:v>Analysebewertung erhalten; keine neue Frage allein aus ID-Zahlen ableiten.</x:v>
      </x:c>
      <x:c r="J164" s="5" t="str">
        <x:v>Soll-Ist-Matrix 2026-09-27</x:v>
      </x:c>
      <x:c r="K164" s="5" t="str">
        <x:v>Analysebewertung übernommen; keine neue fachliche Vollständigkeitsprüfung. Kandidaten sind keine bestätigten Einzelbelege.</x:v>
      </x:c>
      <x:c r="L164" s="5" t="str"/>
    </x:row>
    <x:row r="165" ht="36" customHeight="1">
      <x:c r="A165" s="5" t="str">
        <x:v>3.1.5.3#4</x:v>
      </x:c>
      <x:c r="B165" s="5" t="str">
        <x:v>Recht und Steuern</x:v>
      </x:c>
      <x:c r="C165" s="5" t="str">
        <x:v>Schwerbehindertenschutz</x:v>
      </x:c>
      <x:c r="D165" s="5" t="str">
        <x:v>vollständig abgedeckt</x:v>
      </x:c>
      <x:c r="E165" s="5" t="str">
        <x:v>vollständig abgedeckt</x:v>
      </x:c>
      <x:c r="F165" s="5" t="str"/>
      <x:c r="G165" s="5" t="str">
        <x:v>R-0026, R-0027; R-0030; R-0407–R-0409; R-0485–R-0501; R-0532–R-0544; R-0578; R-0021–R-0025; R-0028, R-0029; R-0144; R-0410–R-0442; R-0445; R-0448–R-0484</x:v>
      </x:c>
      <x:c r="H165" s="5" t="str"/>
      <x:c r="I165" s="5" t="str">
        <x:v>Analysebewertung erhalten; keine neue Frage allein aus ID-Zahlen ableiten.</x:v>
      </x:c>
      <x:c r="J165" s="5" t="str">
        <x:v>Soll-Ist-Matrix 2026-09-27</x:v>
      </x:c>
      <x:c r="K165" s="5" t="str">
        <x:v>Analysebewertung übernommen; keine neue fachliche Vollständigkeitsprüfung. Kandidaten sind keine bestätigten Einzelbelege.</x:v>
      </x:c>
      <x:c r="L165" s="5" t="str"/>
    </x:row>
    <x:row r="166" ht="36" customHeight="1">
      <x:c r="A166" s="5" t="str">
        <x:v>3.1.5.3#5</x:v>
      </x:c>
      <x:c r="B166" s="5" t="str">
        <x:v>Recht und Steuern</x:v>
      </x:c>
      <x:c r="C166" s="5" t="str">
        <x:v>Arbeitszeitgesetz</x:v>
      </x:c>
      <x:c r="D166" s="5" t="str">
        <x:v>vollständig abgedeckt</x:v>
      </x:c>
      <x:c r="E166" s="5" t="str">
        <x:v>vollständig abgedeckt</x:v>
      </x:c>
      <x:c r="F166" s="5" t="str"/>
      <x:c r="G166" s="5" t="str">
        <x:v>R-0026, R-0027; R-0030; R-0407–R-0409; R-0485–R-0501; R-0532–R-0544; R-0578; R-0021–R-0025; R-0028, R-0029; R-0144; R-0410–R-0442; R-0445; R-0448–R-0484</x:v>
      </x:c>
      <x:c r="H166" s="5" t="str"/>
      <x:c r="I166" s="5" t="str">
        <x:v>Analysebewertung erhalten; keine neue Frage allein aus ID-Zahlen ableiten.</x:v>
      </x:c>
      <x:c r="J166" s="5" t="str">
        <x:v>Soll-Ist-Matrix 2026-09-27</x:v>
      </x:c>
      <x:c r="K166" s="5" t="str">
        <x:v>Analysebewertung übernommen; keine neue fachliche Vollständigkeitsprüfung. Kandidaten sind keine bestätigten Einzelbelege.</x:v>
      </x:c>
      <x:c r="L166" s="5" t="str"/>
    </x:row>
    <x:row r="167" ht="36" customHeight="1">
      <x:c r="A167" s="5" t="str">
        <x:v>3.1.5.3#6</x:v>
      </x:c>
      <x:c r="B167" s="5" t="str">
        <x:v>Recht und Steuern</x:v>
      </x:c>
      <x:c r="C167" s="5" t="str">
        <x:v>Urlaubsgesetz</x:v>
      </x:c>
      <x:c r="D167" s="5" t="str">
        <x:v>vollständig abgedeckt</x:v>
      </x:c>
      <x:c r="E167" s="5" t="str">
        <x:v>vollständig abgedeckt</x:v>
      </x:c>
      <x:c r="F167" s="5" t="str"/>
      <x:c r="G167" s="5" t="str">
        <x:v>R-0026, R-0027; R-0030; R-0407–R-0409; R-0485–R-0501; R-0532–R-0544; R-0578; R-0021–R-0025; R-0028, R-0029; R-0144; R-0410–R-0442; R-0445; R-0448–R-0484</x:v>
      </x:c>
      <x:c r="H167" s="5" t="str"/>
      <x:c r="I167" s="5" t="str">
        <x:v>Analysebewertung erhalten; keine neue Frage allein aus ID-Zahlen ableiten.</x:v>
      </x:c>
      <x:c r="J167" s="5" t="str">
        <x:v>Soll-Ist-Matrix 2026-09-27</x:v>
      </x:c>
      <x:c r="K167" s="5" t="str">
        <x:v>Analysebewertung übernommen; keine neue fachliche Vollständigkeitsprüfung. Kandidaten sind keine bestätigten Einzelbelege.</x:v>
      </x:c>
      <x:c r="L167" s="5" t="str"/>
    </x:row>
    <x:row r="168" ht="36" customHeight="1">
      <x:c r="A168" s="5" t="str">
        <x:v>3.1.6</x:v>
      </x:c>
      <x:c r="B168" s="5" t="str">
        <x:v>Recht und Steuern</x:v>
      </x:c>
      <x:c r="C168" s="5" t="str">
        <x:v>Grundsätze des Wettbewerbsrechts</x:v>
      </x:c>
      <x:c r="D168" s="5" t="str">
        <x:v>vollständig abgedeckt</x:v>
      </x:c>
      <x:c r="E168" s="5" t="str">
        <x:v>vollständig abgedeckt</x:v>
      </x:c>
      <x:c r="F168" s="5" t="str"/>
      <x:c r="G168" s="5" t="str">
        <x:v>R-0502–R-0507; R-0545–R-0555</x:v>
      </x:c>
      <x:c r="H168" s="5" t="str"/>
      <x:c r="I168" s="5" t="str">
        <x:v>Analysebewertung erhalten; keine neue Frage allein aus ID-Zahlen ableiten.</x:v>
      </x:c>
      <x:c r="J168" s="5" t="str">
        <x:v>Soll-Ist-Matrix 2026-09-27</x:v>
      </x:c>
      <x:c r="K168" s="5" t="str">
        <x:v>Analysebewertung übernommen; keine neue fachliche Vollständigkeitsprüfung. Kandidaten sind keine bestätigten Einzelbelege.</x:v>
      </x:c>
      <x:c r="L168" s="5" t="str">
        <x:v>R-0502; R-0503; R-0504; R-0505; R-0506; R-0507; R-0545; R-0546; R-0547; R-0548; R-0549; R-0550; R-0551; R-0552; R-0553; R-0554; R-0555</x:v>
      </x:c>
    </x:row>
    <x:row r="169" ht="36" customHeight="1">
      <x:c r="A169" s="5" t="str">
        <x:v>3.1.7</x:v>
      </x:c>
      <x:c r="B169" s="5" t="str">
        <x:v>Recht und Steuern</x:v>
      </x:c>
      <x:c r="C169" s="5" t="str">
        <x:v>Grundsätze des Gewerberechts und der Gewerbeordnung</x:v>
      </x:c>
      <x:c r="D169" s="5" t="str">
        <x:v>vollständig abgedeckt</x:v>
      </x:c>
      <x:c r="E169" s="5" t="str">
        <x:v>vollständig abgedeckt</x:v>
      </x:c>
      <x:c r="F169" s="5" t="str"/>
      <x:c r="G169" s="5" t="str">
        <x:v>R-0508–R-0513; R-0556–R-0565</x:v>
      </x:c>
      <x:c r="H169" s="5" t="str"/>
      <x:c r="I169" s="5" t="str">
        <x:v>Analysebewertung erhalten; keine neue Frage allein aus ID-Zahlen ableiten.</x:v>
      </x:c>
      <x:c r="J169" s="5" t="str">
        <x:v>Soll-Ist-Matrix 2026-09-27</x:v>
      </x:c>
      <x:c r="K169" s="5" t="str">
        <x:v>Analysebewertung übernommen; keine neue fachliche Vollständigkeitsprüfung. Kandidaten sind keine bestätigten Einzelbelege.</x:v>
      </x:c>
      <x:c r="L169" s="5" t="str">
        <x:v>R-0508; R-0509; R-0510; R-0511; R-0512; R-0513; R-0556; R-0557; R-0558; R-0559; R-0560; R-0561; R-0562; R-0563; R-0564; R-0565</x:v>
      </x:c>
    </x:row>
    <x:row r="170" ht="36" customHeight="1">
      <x:c r="A170" s="5" t="str">
        <x:v>3.2</x:v>
      </x:c>
      <x:c r="B170" s="5" t="str">
        <x:v>Recht und Steuern</x:v>
      </x:c>
      <x:c r="C170" s="5" t="str">
        <x:v>Steuerrechtliche Bestimmungen</x:v>
      </x:c>
      <x:c r="D170" s="5" t="str">
        <x:v>vollständig abgedeckt</x:v>
      </x:c>
      <x:c r="E170" s="5" t="str">
        <x:v>vollständig abgedeckt</x:v>
      </x:c>
      <x:c r="F170" s="5" t="str"/>
      <x:c r="G170" s="5" t="str">
        <x:v>ST-0016–ST-0023; ST-0201–ST-0204; ST-0223, ST-0224; ST-0024–ST-0040; ST-0057–ST-0059; ST-0063–ST-0066; ST-0080–ST-0087; ST-0194–ST-0200; ST-0225; ST-0041–ST-0051; ST-0060–ST-0062; ST-0067–ST-0069; ST-0205; ST-0226–ST-0230; ST-0233; ST-0009–ST-0015; ST-0052–ST-0056; ST-0070–ST-0079; ST-0104–ST-0106; ST-0206, ST-0207; ST-0231, ST-0232; ST-0001–ST-0008; ST-0088–ST-0103; ST-0208, ST-0209; ST-0107–ST-0127; ST-0155–ST-0163; ST-0210–ST-0213; ST-0128–ST-0154; ST-0164–ST-0168; ST-0214; ST-0169–ST-0172; ST-0215–ST-0218; ST-0173–ST-0179; ST-0219–ST-0221; ST-0180–ST-0193; ST-0222</x:v>
      </x:c>
      <x:c r="H170" s="5" t="str"/>
      <x:c r="I170" s="5" t="str">
        <x:v>Analysebewertung erhalten; keine neue Frage allein aus ID-Zahlen ableiten.</x:v>
      </x:c>
      <x:c r="J170" s="5" t="str">
        <x:v>Soll-Ist-Matrix 2026-09-27</x:v>
      </x:c>
      <x:c r="K170" s="5" t="str">
        <x:v>Analysebewertung übernommen; keine neue fachliche Vollständigkeitsprüfung. Kandidaten sind keine bestätigten Einzelbelege.</x:v>
      </x:c>
      <x:c r="L170" s="5" t="str"/>
    </x:row>
    <x:row r="171" ht="36" customHeight="1">
      <x:c r="A171" s="5" t="str">
        <x:v>3.2.1</x:v>
      </x:c>
      <x:c r="B171" s="5" t="str">
        <x:v>Recht und Steuern</x:v>
      </x:c>
      <x:c r="C171" s="5" t="str">
        <x:v>Grundbegriffe des Steuerrechts</x:v>
      </x:c>
      <x:c r="D171" s="5" t="str">
        <x:v>vollständig abgedeckt</x:v>
      </x:c>
      <x:c r="E171" s="5" t="str">
        <x:v>vollständig abgedeckt</x:v>
      </x:c>
      <x:c r="F171" s="5" t="str"/>
      <x:c r="G171" s="5" t="str">
        <x:v>ST-0016–ST-0023; ST-0201–ST-0204; ST-0223, ST-0224</x:v>
      </x:c>
      <x:c r="H171" s="5" t="str"/>
      <x:c r="I171" s="5" t="str">
        <x:v>Analysebewertung erhalten; keine neue Frage allein aus ID-Zahlen ableiten.</x:v>
      </x:c>
      <x:c r="J171" s="5" t="str">
        <x:v>Soll-Ist-Matrix 2026-09-27</x:v>
      </x:c>
      <x:c r="K171" s="5" t="str">
        <x:v>Analysebewertung übernommen; keine neue fachliche Vollständigkeitsprüfung. Kandidaten sind keine bestätigten Einzelbelege.</x:v>
      </x:c>
      <x:c r="L171" s="5" t="str">
        <x:v>ST-0016; ST-0017; ST-0018; ST-0019; ST-0020; ST-0022; ST-0023; ST-0201; ST-0202; ST-0203; ST-0223; ST-0224</x:v>
      </x:c>
    </x:row>
    <x:row r="172" ht="36" customHeight="1">
      <x:c r="A172" s="5" t="str">
        <x:v>3.2.2</x:v>
      </x:c>
      <x:c r="B172" s="5" t="str">
        <x:v>Recht und Steuern</x:v>
      </x:c>
      <x:c r="C172" s="5" t="str">
        <x:v>Unternehmensbezogene Steuern</x:v>
      </x:c>
      <x:c r="D172" s="5" t="str">
        <x:v>vollständig abgedeckt</x:v>
      </x:c>
      <x:c r="E172" s="5" t="str">
        <x:v>vollständig abgedeckt</x:v>
      </x:c>
      <x:c r="F172" s="5" t="str"/>
      <x:c r="G172" s="5" t="str">
        <x:v>ST-0024–ST-0040; ST-0057–ST-0059; ST-0063–ST-0066; ST-0080–ST-0087; ST-0194–ST-0200; ST-0225; ST-0041–ST-0051; ST-0060–ST-0062; ST-0067–ST-0069; ST-0205; ST-0226–ST-0230; ST-0233; ST-0009–ST-0015; ST-0052–ST-0056; ST-0070–ST-0079; ST-0104–ST-0106; ST-0206, ST-0207; ST-0231, ST-0232; ST-0001–ST-0008; ST-0088–ST-0103; ST-0208, ST-0209; ST-0107–ST-0127; ST-0155–ST-0163; ST-0210–ST-0213; ST-0128–ST-0154; ST-0164–ST-0168; ST-0214; ST-0169–ST-0172; ST-0215–ST-0218; ST-0173–ST-0179; ST-0219–ST-0221</x:v>
      </x:c>
      <x:c r="H172" s="5" t="str"/>
      <x:c r="I172" s="5" t="str">
        <x:v>Analysebewertung erhalten; keine neue Frage allein aus ID-Zahlen ableiten.</x:v>
      </x:c>
      <x:c r="J172" s="5" t="str">
        <x:v>Soll-Ist-Matrix 2026-09-27</x:v>
      </x:c>
      <x:c r="K172" s="5" t="str">
        <x:v>Analysebewertung übernommen; keine neue fachliche Vollständigkeitsprüfung. Kandidaten sind keine bestätigten Einzelbelege.</x:v>
      </x:c>
      <x:c r="L172" s="5" t="str"/>
    </x:row>
    <x:row r="173" ht="36" customHeight="1">
      <x:c r="A173" s="5" t="str">
        <x:v>3.2.2.1</x:v>
      </x:c>
      <x:c r="B173" s="5" t="str">
        <x:v>Recht und Steuern</x:v>
      </x:c>
      <x:c r="C173" s="5" t="str">
        <x:v>Einkommensteuer</x:v>
      </x:c>
      <x:c r="D173" s="5" t="str">
        <x:v>vollständig abgedeckt</x:v>
      </x:c>
      <x:c r="E173" s="5" t="str">
        <x:v>vollständig abgedeckt</x:v>
      </x:c>
      <x:c r="F173" s="5" t="str"/>
      <x:c r="G173" s="5" t="str">
        <x:v>ST-0024–ST-0040; ST-0057–ST-0059; ST-0063–ST-0066; ST-0080–ST-0087; ST-0194–ST-0200; ST-0225; ST-0041–ST-0051; ST-0060–ST-0062; ST-0067–ST-0069; ST-0205; ST-0226–ST-0230; ST-0233</x:v>
      </x:c>
      <x:c r="H173" s="5" t="str"/>
      <x:c r="I173" s="5" t="str">
        <x:v>Analysebewertung erhalten; keine neue Frage allein aus ID-Zahlen ableiten.</x:v>
      </x:c>
      <x:c r="J173" s="5" t="str">
        <x:v>Soll-Ist-Matrix 2026-09-27</x:v>
      </x:c>
      <x:c r="K173" s="5" t="str">
        <x:v>Analysebewertung übernommen; keine neue fachliche Vollständigkeitsprüfung. Kandidaten sind keine bestätigten Einzelbelege.</x:v>
      </x:c>
      <x:c r="L173" s="5" t="str">
        <x:v>ST-0014; ST-0021; ST-0024; ST-0025; ST-0026; ST-0027; ST-0028; ST-0029; ST-0030; ST-0031; ST-0032; ST-0033; ST-0034; ST-0035; ST-0036; ST-0037; ST-0040; ST-0041; ST-0042; ST-0043; ST-0044; ST-0045; ST-0046; ST-0047; ST-0048; ST-0049; ST-0050; ST-0051; ST-0057; ST-0058; ST-0060; ST-0061; ST-0062; ST-0063; ST-0064; ST-0065; ST-0067; ST-0068; ST-0069; ST-0080; ST-0081; ST-0082; ST-0083; ST-0084; ST-0085; ST-0086; ST-0087; ST-0105; ST-0194; ST-0195; ST-0196; ST-0197; ST-0198; ST-0199; ST-0200; ST-0205; ST-0225; ST-0226; ST-0227; ST-0228; ST-0229; ST-0230; ST-0233</x:v>
      </x:c>
    </x:row>
    <x:row r="174" ht="36" customHeight="1">
      <x:c r="A174" s="5" t="str">
        <x:v>3.2.2.2</x:v>
      </x:c>
      <x:c r="B174" s="5" t="str">
        <x:v>Recht und Steuern</x:v>
      </x:c>
      <x:c r="C174" s="5" t="str">
        <x:v>Körperschaftsteuer</x:v>
      </x:c>
      <x:c r="D174" s="5" t="str">
        <x:v>vollständig abgedeckt</x:v>
      </x:c>
      <x:c r="E174" s="5" t="str">
        <x:v>vollständig abgedeckt</x:v>
      </x:c>
      <x:c r="F174" s="5" t="str"/>
      <x:c r="G174" s="5" t="str">
        <x:v>ST-0009–ST-0015; ST-0052–ST-0056; ST-0070–ST-0079; ST-0104–ST-0106; ST-0206, ST-0207; ST-0231, ST-0232</x:v>
      </x:c>
      <x:c r="H174" s="5" t="str"/>
      <x:c r="I174" s="5" t="str">
        <x:v>Analysebewertung erhalten; keine neue Frage allein aus ID-Zahlen ableiten.</x:v>
      </x:c>
      <x:c r="J174" s="5" t="str">
        <x:v>Soll-Ist-Matrix 2026-09-27</x:v>
      </x:c>
      <x:c r="K174" s="5" t="str">
        <x:v>Analysebewertung übernommen; keine neue fachliche Vollständigkeitsprüfung. Kandidaten sind keine bestätigten Einzelbelege.</x:v>
      </x:c>
      <x:c r="L174" s="5" t="str">
        <x:v>ST-0009; ST-0010; ST-0011; ST-0012; ST-0013; ST-0052; ST-0053; ST-0054; ST-0055; ST-0056; ST-0070; ST-0071; ST-0072; ST-0073; ST-0074; ST-0075; ST-0076; ST-0077; ST-0078; ST-0079; ST-0106; ST-0206; ST-0207; ST-0231; ST-0232</x:v>
      </x:c>
    </x:row>
    <x:row r="175" ht="36" customHeight="1">
      <x:c r="A175" s="5" t="str">
        <x:v>3.2.2.3</x:v>
      </x:c>
      <x:c r="B175" s="5" t="str">
        <x:v>Recht und Steuern</x:v>
      </x:c>
      <x:c r="C175" s="5" t="str">
        <x:v>Gewerbesteuer</x:v>
      </x:c>
      <x:c r="D175" s="5" t="str">
        <x:v>vollständig abgedeckt</x:v>
      </x:c>
      <x:c r="E175" s="5" t="str">
        <x:v>vollständig abgedeckt</x:v>
      </x:c>
      <x:c r="F175" s="5" t="str"/>
      <x:c r="G175" s="5" t="str">
        <x:v>ST-0001–ST-0008; ST-0088–ST-0103; ST-0208, ST-0209</x:v>
      </x:c>
      <x:c r="H175" s="5" t="str"/>
      <x:c r="I175" s="5" t="str">
        <x:v>Analysebewertung erhalten; keine neue Frage allein aus ID-Zahlen ableiten.</x:v>
      </x:c>
      <x:c r="J175" s="5" t="str">
        <x:v>Soll-Ist-Matrix 2026-09-27</x:v>
      </x:c>
      <x:c r="K175" s="5" t="str">
        <x:v>Analysebewertung übernommen; keine neue fachliche Vollständigkeitsprüfung. Kandidaten sind keine bestätigten Einzelbelege.</x:v>
      </x:c>
      <x:c r="L175" s="5" t="str">
        <x:v>ST-0001; ST-0002; ST-0003; ST-0004; ST-0005; ST-0006; ST-0007; ST-0008; ST-0088; ST-0089; ST-0090; ST-0091; ST-0092; ST-0093; ST-0094; ST-0095; ST-0096; ST-0097; ST-0098; ST-0099; ST-0100; ST-0101; ST-0102; ST-0103; ST-0208; ST-0209</x:v>
      </x:c>
    </x:row>
    <x:row r="176" ht="36" customHeight="1">
      <x:c r="A176" s="5" t="str">
        <x:v>3.2.2.4</x:v>
      </x:c>
      <x:c r="B176" s="5" t="str">
        <x:v>Recht und Steuern</x:v>
      </x:c>
      <x:c r="C176" s="5" t="str">
        <x:v>Kapitalertragsteuer</x:v>
      </x:c>
      <x:c r="D176" s="5" t="str">
        <x:v>vollständig abgedeckt</x:v>
      </x:c>
      <x:c r="E176" s="5" t="str">
        <x:v>vollständig abgedeckt</x:v>
      </x:c>
      <x:c r="F176" s="5" t="str"/>
      <x:c r="G176" s="5" t="str">
        <x:v>ST-0009–ST-0015; ST-0052–ST-0056; ST-0070–ST-0079; ST-0104–ST-0106; ST-0206, ST-0207; ST-0231, ST-0232; ST-0024–ST-0040; ST-0057–ST-0059; ST-0063–ST-0066; ST-0080–ST-0087; ST-0194–ST-0200; ST-0225; ST-0041–ST-0051; ST-0060–ST-0062; ST-0067–ST-0069; ST-0205</x:v>
      </x:c>
      <x:c r="H176" s="5" t="str"/>
      <x:c r="I176" s="5" t="str">
        <x:v>Analysebewertung erhalten; keine neue Frage allein aus ID-Zahlen ableiten.</x:v>
      </x:c>
      <x:c r="J176" s="5" t="str">
        <x:v>Soll-Ist-Matrix 2026-09-27</x:v>
      </x:c>
      <x:c r="K176" s="5" t="str">
        <x:v>Analysebewertung übernommen; keine neue fachliche Vollständigkeitsprüfung. Kandidaten sind keine bestätigten Einzelbelege.</x:v>
      </x:c>
      <x:c r="L176" s="5" t="str">
        <x:v>ST-0015; ST-0038; ST-0039; ST-0059; ST-0066; ST-0104</x:v>
      </x:c>
    </x:row>
    <x:row r="177" ht="36" customHeight="1">
      <x:c r="A177" s="5" t="str">
        <x:v>3.2.2.5</x:v>
      </x:c>
      <x:c r="B177" s="5" t="str">
        <x:v>Recht und Steuern</x:v>
      </x:c>
      <x:c r="C177" s="5" t="str">
        <x:v>Umsatzsteuer</x:v>
      </x:c>
      <x:c r="D177" s="5" t="str">
        <x:v>vollständig abgedeckt</x:v>
      </x:c>
      <x:c r="E177" s="5" t="str">
        <x:v>vollständig abgedeckt</x:v>
      </x:c>
      <x:c r="F177" s="5" t="str"/>
      <x:c r="G177" s="5" t="str">
        <x:v>ST-0107–ST-0127; ST-0155–ST-0163; ST-0210–ST-0213; ST-0128–ST-0154; ST-0164–ST-0168; ST-0214</x:v>
      </x:c>
      <x:c r="H177" s="5" t="str"/>
      <x:c r="I177" s="5" t="str">
        <x:v>Analysebewertung erhalten; keine neue Frage allein aus ID-Zahlen ableiten.</x:v>
      </x:c>
      <x:c r="J177" s="5" t="str">
        <x:v>Soll-Ist-Matrix 2026-09-27</x:v>
      </x:c>
      <x:c r="K177" s="5" t="str">
        <x:v>Analysebewertung übernommen; keine neue fachliche Vollständigkeitsprüfung. Kandidaten sind keine bestätigten Einzelbelege.</x:v>
      </x:c>
      <x:c r="L177" s="5" t="str">
        <x:v>ST-0107; ST-0108; ST-0109; ST-0110; ST-0111; ST-0112; ST-0113; ST-0114; ST-0115; ST-0116; ST-0117; ST-0118; ST-0119; ST-0120; ST-0121; ST-0122; ST-0123; ST-0124; ST-0125; ST-0126; ST-0127; ST-0128; ST-0129; ST-0130; ST-0131; ST-0132; ST-0133; ST-0134; ST-0135; ST-0136; ST-0137; ST-0138; ST-0139; ST-0140; ST-0141; ST-0142; ST-0143; ST-0144; ST-0145; ST-0146; ST-0147; ST-0148; ST-0149; ST-0150; ST-0151; ST-0152; ST-0153; ST-0154; ST-0155; ST-0156; ST-0157; ST-0158; ST-0159; ST-0160; ST-0161; ST-0162; ST-0163; ST-0164; ST-0165; ST-0166; ST-0167; ST-0168; ST-0210; ST-0211; ST-0212; ST-0213; ST-0214</x:v>
      </x:c>
    </x:row>
    <x:row r="178" ht="36" customHeight="1">
      <x:c r="A178" s="5" t="str">
        <x:v>3.2.2.6</x:v>
      </x:c>
      <x:c r="B178" s="5" t="str">
        <x:v>Recht und Steuern</x:v>
      </x:c>
      <x:c r="C178" s="5" t="str">
        <x:v>Grundsteuer</x:v>
      </x:c>
      <x:c r="D178" s="5" t="str">
        <x:v>vollständig abgedeckt</x:v>
      </x:c>
      <x:c r="E178" s="5" t="str">
        <x:v>vollständig abgedeckt</x:v>
      </x:c>
      <x:c r="F178" s="5" t="str"/>
      <x:c r="G178" s="5" t="str">
        <x:v>ST-0169–ST-0172; ST-0215–ST-0218</x:v>
      </x:c>
      <x:c r="H178" s="5" t="str"/>
      <x:c r="I178" s="5" t="str">
        <x:v>Analysebewertung erhalten; keine neue Frage allein aus ID-Zahlen ableiten.</x:v>
      </x:c>
      <x:c r="J178" s="5" t="str">
        <x:v>Soll-Ist-Matrix 2026-09-27</x:v>
      </x:c>
      <x:c r="K178" s="5" t="str">
        <x:v>Analysebewertung übernommen; keine neue fachliche Vollständigkeitsprüfung. Kandidaten sind keine bestätigten Einzelbelege.</x:v>
      </x:c>
      <x:c r="L178" s="5" t="str">
        <x:v>ST-0172; ST-0217; ST-0218</x:v>
      </x:c>
    </x:row>
    <x:row r="179" ht="36" customHeight="1">
      <x:c r="A179" s="5" t="str">
        <x:v>3.2.2.7</x:v>
      </x:c>
      <x:c r="B179" s="5" t="str">
        <x:v>Recht und Steuern</x:v>
      </x:c>
      <x:c r="C179" s="5" t="str">
        <x:v>Grunderwerbsteuer</x:v>
      </x:c>
      <x:c r="D179" s="5" t="str">
        <x:v>vollständig abgedeckt</x:v>
      </x:c>
      <x:c r="E179" s="5" t="str">
        <x:v>vollständig abgedeckt</x:v>
      </x:c>
      <x:c r="F179" s="5" t="str"/>
      <x:c r="G179" s="5" t="str">
        <x:v>ST-0169–ST-0172; ST-0215–ST-0218</x:v>
      </x:c>
      <x:c r="H179" s="5" t="str"/>
      <x:c r="I179" s="5" t="str">
        <x:v>Analysebewertung erhalten; keine neue Frage allein aus ID-Zahlen ableiten.</x:v>
      </x:c>
      <x:c r="J179" s="5" t="str">
        <x:v>Soll-Ist-Matrix 2026-09-27</x:v>
      </x:c>
      <x:c r="K179" s="5" t="str">
        <x:v>Analysebewertung übernommen; keine neue fachliche Vollständigkeitsprüfung. Kandidaten sind keine bestätigten Einzelbelege.</x:v>
      </x:c>
      <x:c r="L179" s="5" t="str">
        <x:v>ST-0169; ST-0170; ST-0171; ST-0215; ST-0216</x:v>
      </x:c>
    </x:row>
    <x:row r="180" ht="36" customHeight="1">
      <x:c r="A180" s="5" t="str">
        <x:v>3.2.2.8</x:v>
      </x:c>
      <x:c r="B180" s="5" t="str">
        <x:v>Recht und Steuern</x:v>
      </x:c>
      <x:c r="C180" s="5" t="str">
        <x:v>Erbschaft- und Schenkungsteuer</x:v>
      </x:c>
      <x:c r="D180" s="5" t="str">
        <x:v>vollständig abgedeckt</x:v>
      </x:c>
      <x:c r="E180" s="5" t="str">
        <x:v>vollständig abgedeckt</x:v>
      </x:c>
      <x:c r="F180" s="5" t="str"/>
      <x:c r="G180" s="5" t="str">
        <x:v>ST-0173–ST-0179; ST-0219–ST-0221</x:v>
      </x:c>
      <x:c r="H180" s="5" t="str"/>
      <x:c r="I180" s="5" t="str">
        <x:v>Analysebewertung erhalten; keine neue Frage allein aus ID-Zahlen ableiten.</x:v>
      </x:c>
      <x:c r="J180" s="5" t="str">
        <x:v>Soll-Ist-Matrix 2026-09-27</x:v>
      </x:c>
      <x:c r="K180" s="5" t="str">
        <x:v>Analysebewertung übernommen; keine neue fachliche Vollständigkeitsprüfung. Kandidaten sind keine bestätigten Einzelbelege.</x:v>
      </x:c>
      <x:c r="L180" s="5" t="str">
        <x:v>ST-0173; ST-0174; ST-0175; ST-0176; ST-0177; ST-0178; ST-0179; ST-0219; ST-0220; ST-0221</x:v>
      </x:c>
    </x:row>
    <x:row r="181" ht="36" customHeight="1">
      <x:c r="A181" s="5" t="str">
        <x:v>3.2.3</x:v>
      </x:c>
      <x:c r="B181" s="5" t="str">
        <x:v>Recht und Steuern</x:v>
      </x:c>
      <x:c r="C181" s="5" t="str">
        <x:v>Abgabenordnung</x:v>
      </x:c>
      <x:c r="D181" s="5" t="str">
        <x:v>vollständig abgedeckt</x:v>
      </x:c>
      <x:c r="E181" s="5" t="str">
        <x:v>vollständig abgedeckt</x:v>
      </x:c>
      <x:c r="F181" s="5" t="str"/>
      <x:c r="G181" s="5" t="str">
        <x:v>ST-0180–ST-0193; ST-0222</x:v>
      </x:c>
      <x:c r="H181" s="5" t="str"/>
      <x:c r="I181" s="5" t="str">
        <x:v>Analysebewertung erhalten; keine neue Frage allein aus ID-Zahlen ableiten.</x:v>
      </x:c>
      <x:c r="J181" s="5" t="str">
        <x:v>Soll-Ist-Matrix 2026-09-27</x:v>
      </x:c>
      <x:c r="K181" s="5" t="str">
        <x:v>Analysebewertung übernommen; keine neue fachliche Vollständigkeitsprüfung. Kandidaten sind keine bestätigten Einzelbelege.</x:v>
      </x:c>
      <x:c r="L181" s="5" t="str">
        <x:v>ST-0180; ST-0181; ST-0182; ST-0183; ST-0184; ST-0185; ST-0186; ST-0187; ST-0188; ST-0189; ST-0190; ST-0191; ST-0192; ST-0193; ST-0204; ST-0222</x:v>
      </x:c>
    </x:row>
    <x:row r="182" ht="36" customHeight="1">
      <x:c r="A182" s="5" t="str">
        <x:v>4</x:v>
      </x:c>
      <x:c r="B182" s="5" t="str">
        <x:v>Unternehmensführung</x:v>
      </x:c>
      <x:c r="C182" s="5" t="str">
        <x:v>Unternehmensführung</x:v>
      </x:c>
      <x:c r="D182" s="5" t="str">
        <x:v>teilweise abgedeckt</x:v>
      </x:c>
      <x:c r="E182" s="5" t="str">
        <x:v>teilweise abgedeckt</x:v>
      </x:c>
      <x:c r="F182" s="5" t="str">
        <x:v>UF-0058; UF-0198</x:v>
      </x:c>
      <x:c r="G182" s="5" t="str">
        <x:v>UF-0001–UF-0008; UF-0014–UF-0027; UF-0079; UF-0081, UF-0082; UF-0086, UF-0087; UF-0186–UF-0191; UF-0218, UF-0219; UF-0028–UF-0037; UF-0093; UF-0182; UF-0192–UF-0194; UF-0222, UF-0223; UF-0038–UF-0055; UF-0057–UF-0063; UF-0099; UF-0111; UF-0159; UF-0183; UF-0195–UF-0198; UF-0220, UF-0221; UF-0064–UF-0078; UF-0080; UF-0184; UF-0199–UF-0202; UF-0009–UF-0013; UF-0056; UF-0088; UF-0090–UF-0092; UF-0094; UF-0096–UF-0098; UF-0100–UF-0103; UF-0148; UF-0203–UF-0207; UF-0224–UF-0228; UF-0089; UF-0095; UF-0104–UF-0109; UF-0156; UF-0208–UF-0210; UF-0110; UF-0112–UF-0124; UF-0140; UF-0185; UF-0211, UF-0212; UF-0125–UF-0139; UF-0213; UF-0083–UF-0085; UF-0141–UF-0145; UF-0149–UF-0155; UF-0157, UF-0158; UF-0181; UF-0214–UF-0216; UF-0146, UF-0147; UF-0160–UF-0180; UF-0217; UF-0232</x:v>
      </x:c>
      <x:c r="H182" s="5" t="str">
        <x:v>4.1.4.2#2: Eine explizite Darstellungs- bzw. Interpretationskomponente eines funktionsbezogenen Arbeitsablaufdiagramms bleibt offen.</x:v>
      </x:c>
      <x:c r="I182" s="5" t="str">
        <x:v>Abgeleiteter Elternstatus; keine zusätzliche Inhaltsaufgabe. Siehe Einzelpunkte 4.1.4.2#2</x:v>
      </x:c>
      <x:c r="J182" s="5" t="str">
        <x:v>Soll-Ist-Matrix 2026-09-27</x:v>
      </x:c>
      <x:c r="K182" s="5" t="str">
        <x:v>Elternbewertung aus einzeln geprüften Unterpunkten</x:v>
      </x:c>
      <x:c r="L182" s="5" t="str"/>
    </x:row>
    <x:row r="183" ht="36" customHeight="1">
      <x:c r="A183" s="5" t="str">
        <x:v>4.1</x:v>
      </x:c>
      <x:c r="B183" s="5" t="str">
        <x:v>Unternehmensführung</x:v>
      </x:c>
      <x:c r="C183" s="5" t="str">
        <x:v>Betriebsorganisation</x:v>
      </x:c>
      <x:c r="D183" s="5" t="str">
        <x:v>teilweise abgedeckt</x:v>
      </x:c>
      <x:c r="E183" s="5" t="str">
        <x:v>teilweise abgedeckt</x:v>
      </x:c>
      <x:c r="F183" s="5" t="str">
        <x:v>UF-0058; UF-0198</x:v>
      </x:c>
      <x:c r="G183" s="5" t="str">
        <x:v>UF-0001–UF-0008; UF-0014–UF-0027; UF-0079; UF-0081, UF-0082; UF-0086, UF-0087; UF-0186–UF-0191; UF-0218, UF-0219; UF-0028–UF-0037; UF-0093; UF-0182; UF-0192–UF-0194; UF-0222, UF-0223; UF-0038–UF-0055; UF-0057–UF-0063; UF-0099; UF-0111; UF-0159; UF-0183; UF-0195–UF-0198; UF-0220, UF-0221; UF-0064–UF-0078; UF-0080; UF-0184; UF-0199–UF-0202</x:v>
      </x:c>
      <x:c r="H183" s="5" t="str">
        <x:v>4.1.4.2#2: Eine explizite Darstellungs- bzw. Interpretationskomponente eines funktionsbezogenen Arbeitsablaufdiagramms bleibt offen.</x:v>
      </x:c>
      <x:c r="I183" s="5" t="str">
        <x:v>Abgeleiteter Elternstatus; keine zusätzliche Inhaltsaufgabe. Siehe Einzelpunkte 4.1.4.2#2</x:v>
      </x:c>
      <x:c r="J183" s="5" t="str">
        <x:v>Soll-Ist-Matrix 2026-09-27</x:v>
      </x:c>
      <x:c r="K183" s="5" t="str">
        <x:v>Elternbewertung aus einzeln geprüften Unterpunkten</x:v>
      </x:c>
      <x:c r="L183" s="5" t="str"/>
    </x:row>
    <x:row r="184" ht="36" customHeight="1">
      <x:c r="A184" s="5" t="str">
        <x:v>4.1.1</x:v>
      </x:c>
      <x:c r="B184" s="5" t="str">
        <x:v>Unternehmensführung</x:v>
      </x:c>
      <x:c r="C184" s="5" t="str">
        <x:v>Unternehmensleitbild, Unternehmensphilosophie, Unternehmenskultur und Corporate Identity</x:v>
      </x:c>
      <x:c r="D184" s="5" t="str">
        <x:v>vollständig abgedeckt</x:v>
      </x:c>
      <x:c r="E184" s="5" t="str">
        <x:v>vollständig abgedeckt</x:v>
      </x:c>
      <x:c r="F184" s="5" t="str"/>
      <x:c r="G184" s="5" t="str">
        <x:v>UF-0001–UF-0008; UF-0014–UF-0027; UF-0079; UF-0081, UF-0082; UF-0086, UF-0087; UF-0186–UF-0191</x:v>
      </x:c>
      <x:c r="H184" s="5" t="str"/>
      <x:c r="I184" s="5" t="str">
        <x:v>Analysebewertung erhalten; keine neue Frage allein aus ID-Zahlen ableiten.</x:v>
      </x:c>
      <x:c r="J184" s="5" t="str">
        <x:v>Soll-Ist-Matrix 2026-09-27</x:v>
      </x:c>
      <x:c r="K184" s="5" t="str">
        <x:v>Vorbewertung aus Soll-Ist-Matrix; Kandidaten nicht automatisch Einzelbelege</x:v>
      </x:c>
      <x:c r="L184" s="5" t="str">
        <x:v>UF-0001; UF-0002; UF-0003; UF-0004; UF-0005; UF-0006; UF-0007; UF-0008; UF-0014; UF-0015; UF-0016; UF-0017; UF-0018; UF-0019; UF-0020; UF-0021; UF-0022; UF-0023; UF-0024; UF-0025; UF-0026; UF-0027; UF-0079; UF-0081; UF-0082; UF-0086; UF-0087; UF-0186; UF-0187; UF-0188; UF-0189; UF-0190; UF-0191</x:v>
      </x:c>
    </x:row>
    <x:row r="185" ht="36" customHeight="1">
      <x:c r="A185" s="5" t="str">
        <x:v>4.1.2</x:v>
      </x:c>
      <x:c r="B185" s="5" t="str">
        <x:v>Unternehmensführung</x:v>
      </x:c>
      <x:c r="C185" s="5" t="str">
        <x:v>Strategische und operative Planung</x:v>
      </x:c>
      <x:c r="D185" s="5" t="str">
        <x:v>vollständig abgedeckt</x:v>
      </x:c>
      <x:c r="E185" s="5" t="str">
        <x:v>vollständig abgedeckt</x:v>
      </x:c>
      <x:c r="F185" s="5" t="str"/>
      <x:c r="G185" s="5" t="str">
        <x:v>UF-0001–UF-0008; UF-0014–UF-0027; UF-0079; UF-0081, UF-0082; UF-0086, UF-0087; UF-0186–UF-0191; UF-0218, UF-0219; UF-0028–UF-0037; UF-0093; UF-0182; UF-0192–UF-0194; UF-0222, UF-0223</x:v>
      </x:c>
      <x:c r="H185" s="5" t="str"/>
      <x:c r="I185" s="5" t="str">
        <x:v>Analysebewertung erhalten; keine neue Frage allein aus ID-Zahlen ableiten.</x:v>
      </x:c>
      <x:c r="J185" s="5" t="str">
        <x:v>Soll-Ist-Matrix 2026-09-27</x:v>
      </x:c>
      <x:c r="K185" s="5" t="str">
        <x:v>Vorbewertung aus Soll-Ist-Matrix; Kandidaten nicht automatisch Einzelbelege</x:v>
      </x:c>
      <x:c r="L185" s="5" t="str">
        <x:v>UF-0218; UF-0219</x:v>
      </x:c>
    </x:row>
    <x:row r="186" ht="36" customHeight="1">
      <x:c r="A186" s="5" t="str">
        <x:v>4.1.2.1</x:v>
      </x:c>
      <x:c r="B186" s="5" t="str">
        <x:v>Unternehmensführung</x:v>
      </x:c>
      <x:c r="C186" s="5" t="str">
        <x:v>Strategische Planung</x:v>
      </x:c>
      <x:c r="D186" s="5" t="str">
        <x:v>vollständig abgedeckt</x:v>
      </x:c>
      <x:c r="E186" s="5" t="str">
        <x:v>vollständig abgedeckt</x:v>
      </x:c>
      <x:c r="F186" s="5" t="str"/>
      <x:c r="G186" s="5" t="str">
        <x:v>UF-0001–UF-0008; UF-0014–UF-0027; UF-0079; UF-0081, UF-0082; UF-0086, UF-0087; UF-0186–UF-0191; UF-0218, UF-0219</x:v>
      </x:c>
      <x:c r="H186" s="5" t="str"/>
      <x:c r="I186" s="5" t="str">
        <x:v>Analysebewertung erhalten; keine neue Frage allein aus ID-Zahlen ableiten.</x:v>
      </x:c>
      <x:c r="J186" s="5" t="str">
        <x:v>Soll-Ist-Matrix 2026-09-27</x:v>
      </x:c>
      <x:c r="K186" s="5" t="str">
        <x:v>Vorbewertung aus Soll-Ist-Matrix; Kandidaten nicht automatisch Einzelbelege</x:v>
      </x:c>
      <x:c r="L186" s="5" t="str"/>
    </x:row>
    <x:row r="187" ht="36" customHeight="1">
      <x:c r="A187" s="5" t="str">
        <x:v>4.1.2.2</x:v>
      </x:c>
      <x:c r="B187" s="5" t="str">
        <x:v>Unternehmensführung</x:v>
      </x:c>
      <x:c r="C187" s="5" t="str">
        <x:v>Operative Planung</x:v>
      </x:c>
      <x:c r="D187" s="5" t="str">
        <x:v>vollständig abgedeckt</x:v>
      </x:c>
      <x:c r="E187" s="5" t="str">
        <x:v>vollständig abgedeckt</x:v>
      </x:c>
      <x:c r="F187" s="5" t="str"/>
      <x:c r="G187" s="5" t="str">
        <x:v>UF-0001–UF-0008; UF-0014–UF-0027; UF-0079; UF-0081, UF-0082; UF-0086, UF-0087; UF-0186–UF-0191; UF-0218, UF-0219</x:v>
      </x:c>
      <x:c r="H187" s="5" t="str"/>
      <x:c r="I187" s="5" t="str">
        <x:v>Analysebewertung erhalten; keine neue Frage allein aus ID-Zahlen ableiten.</x:v>
      </x:c>
      <x:c r="J187" s="5" t="str">
        <x:v>Soll-Ist-Matrix 2026-09-27</x:v>
      </x:c>
      <x:c r="K187" s="5" t="str">
        <x:v>Vorbewertung aus Soll-Ist-Matrix; Kandidaten nicht automatisch Einzelbelege</x:v>
      </x:c>
      <x:c r="L187" s="5" t="str"/>
    </x:row>
    <x:row r="188" ht="36" customHeight="1">
      <x:c r="A188" s="5" t="str">
        <x:v>4.1.2.3</x:v>
      </x:c>
      <x:c r="B188" s="5" t="str">
        <x:v>Unternehmensführung</x:v>
      </x:c>
      <x:c r="C188" s="5" t="str">
        <x:v>Integrative Managementsysteme</x:v>
      </x:c>
      <x:c r="D188" s="5" t="str">
        <x:v>vollständig abgedeckt</x:v>
      </x:c>
      <x:c r="E188" s="5" t="str">
        <x:v>vollständig abgedeckt</x:v>
      </x:c>
      <x:c r="F188" s="5" t="str"/>
      <x:c r="G188" s="5" t="str">
        <x:v>UF-0028–UF-0037; UF-0093; UF-0182; UF-0192–UF-0194; UF-0222, UF-0223</x:v>
      </x:c>
      <x:c r="H188" s="5" t="str"/>
      <x:c r="I188" s="5" t="str">
        <x:v>Analysebewertung erhalten; keine neue Frage allein aus ID-Zahlen ableiten.</x:v>
      </x:c>
      <x:c r="J188" s="5" t="str">
        <x:v>Soll-Ist-Matrix 2026-09-27</x:v>
      </x:c>
      <x:c r="K188" s="5" t="str">
        <x:v>Vorbewertung aus Soll-Ist-Matrix; Kandidaten nicht automatisch Einzelbelege</x:v>
      </x:c>
      <x:c r="L188" s="5" t="str"/>
    </x:row>
    <x:row r="189" ht="36" customHeight="1">
      <x:c r="A189" s="5" t="str">
        <x:v>4.1.3</x:v>
      </x:c>
      <x:c r="B189" s="5" t="str">
        <x:v>Unternehmensführung</x:v>
      </x:c>
      <x:c r="C189" s="5" t="str">
        <x:v>Aufbauorganisation</x:v>
      </x:c>
      <x:c r="D189" s="5" t="str">
        <x:v>vollständig abgedeckt</x:v>
      </x:c>
      <x:c r="E189" s="5" t="str">
        <x:v>vollständig abgedeckt</x:v>
      </x:c>
      <x:c r="F189" s="5" t="str"/>
      <x:c r="G189" s="5" t="str">
        <x:v>UF-0038–UF-0055; UF-0057–UF-0063; UF-0099; UF-0111; UF-0159; UF-0183; UF-0195–UF-0198; UF-0220, UF-0221</x:v>
      </x:c>
      <x:c r="H189" s="5" t="str"/>
      <x:c r="I189" s="5" t="str">
        <x:v>Analysebewertung erhalten; keine neue Frage allein aus ID-Zahlen ableiten.</x:v>
      </x:c>
      <x:c r="J189" s="5" t="str">
        <x:v>Soll-Ist-Matrix 2026-09-27</x:v>
      </x:c>
      <x:c r="K189" s="5" t="str">
        <x:v>Vorbewertung aus Soll-Ist-Matrix; Kandidaten nicht automatisch Einzelbelege</x:v>
      </x:c>
      <x:c r="L189" s="5" t="str">
        <x:v>UF-0028; UF-0029; UF-0030; UF-0031; UF-0032; UF-0033; UF-0034; UF-0035; UF-0036; UF-0037; UF-0038; UF-0039; UF-0040; UF-0041; UF-0042; UF-0043; UF-0044; UF-0045; UF-0046; UF-0047; UF-0048; UF-0049; UF-0050; UF-0051; UF-0052; UF-0053; UF-0054; UF-0057; UF-0058; UF-0060; UF-0061; UF-0063; UF-0093; UF-0111; UF-0159; UF-0182; UF-0183; UF-0192; UF-0193; UF-0194; UF-0195; UF-0196; UF-0197; UF-0220; UF-0221; UF-0222; UF-0223</x:v>
      </x:c>
    </x:row>
    <x:row r="190" ht="36" customHeight="1">
      <x:c r="A190" s="5" t="str">
        <x:v>4.1.3.1</x:v>
      </x:c>
      <x:c r="B190" s="5" t="str">
        <x:v>Unternehmensführung</x:v>
      </x:c>
      <x:c r="C190" s="5" t="str">
        <x:v>Bildung von Organisationseinheiten</x:v>
      </x:c>
      <x:c r="D190" s="5" t="str">
        <x:v>vollständig abgedeckt</x:v>
      </x:c>
      <x:c r="E190" s="5" t="str">
        <x:v>vollständig abgedeckt</x:v>
      </x:c>
      <x:c r="F190" s="5" t="str"/>
      <x:c r="G190" s="5" t="str">
        <x:v>UF-0038–UF-0055; UF-0057–UF-0063; UF-0099; UF-0111; UF-0159; UF-0183; UF-0195–UF-0198; UF-0220, UF-0221</x:v>
      </x:c>
      <x:c r="H190" s="5" t="str"/>
      <x:c r="I190" s="5" t="str">
        <x:v>Analysebewertung erhalten; keine neue Frage allein aus ID-Zahlen ableiten.</x:v>
      </x:c>
      <x:c r="J190" s="5" t="str">
        <x:v>Soll-Ist-Matrix 2026-09-27</x:v>
      </x:c>
      <x:c r="K190" s="5" t="str">
        <x:v>Vorbewertung aus Soll-Ist-Matrix; Kandidaten nicht automatisch Einzelbelege</x:v>
      </x:c>
      <x:c r="L190" s="5" t="str">
        <x:v>UF-0099</x:v>
      </x:c>
    </x:row>
    <x:row r="191" ht="36" customHeight="1">
      <x:c r="A191" s="5" t="str">
        <x:v>4.1.3.2</x:v>
      </x:c>
      <x:c r="B191" s="5" t="str">
        <x:v>Unternehmensführung</x:v>
      </x:c>
      <x:c r="C191" s="5" t="str">
        <x:v>Instrumente der Aufbauorganisation</x:v>
      </x:c>
      <x:c r="D191" s="5" t="str">
        <x:v>vollständig abgedeckt</x:v>
      </x:c>
      <x:c r="E191" s="5" t="str">
        <x:v>vollständig abgedeckt</x:v>
      </x:c>
      <x:c r="F191" s="5" t="str"/>
      <x:c r="G191" s="5" t="str">
        <x:v>UF-0038–UF-0055; UF-0057–UF-0063; UF-0099; UF-0111; UF-0159; UF-0183; UF-0195–UF-0198; UF-0220, UF-0221</x:v>
      </x:c>
      <x:c r="H191" s="5" t="str"/>
      <x:c r="I191" s="5" t="str">
        <x:v>Analysebewertung erhalten; keine neue Frage allein aus ID-Zahlen ableiten.</x:v>
      </x:c>
      <x:c r="J191" s="5" t="str">
        <x:v>Soll-Ist-Matrix 2026-09-27</x:v>
      </x:c>
      <x:c r="K191" s="5" t="str">
        <x:v>Vorbewertung aus Soll-Ist-Matrix; Kandidaten nicht automatisch Einzelbelege</x:v>
      </x:c>
      <x:c r="L191" s="5" t="str"/>
    </x:row>
    <x:row r="192" ht="36" customHeight="1">
      <x:c r="A192" s="5" t="str">
        <x:v>4.1.3.3</x:v>
      </x:c>
      <x:c r="B192" s="5" t="str">
        <x:v>Unternehmensführung</x:v>
      </x:c>
      <x:c r="C192" s="5" t="str">
        <x:v>Organisationsformen</x:v>
      </x:c>
      <x:c r="D192" s="5" t="str">
        <x:v>vollständig abgedeckt</x:v>
      </x:c>
      <x:c r="E192" s="5" t="str">
        <x:v>vollständig abgedeckt</x:v>
      </x:c>
      <x:c r="F192" s="5" t="str"/>
      <x:c r="G192" s="5" t="str">
        <x:v>UF-0038–UF-0055; UF-0057–UF-0063; UF-0099; UF-0111; UF-0159; UF-0183; UF-0195–UF-0198; UF-0220, UF-0221</x:v>
      </x:c>
      <x:c r="H192" s="5" t="str"/>
      <x:c r="I192" s="5" t="str">
        <x:v>Analysebewertung erhalten; keine neue Frage allein aus ID-Zahlen ableiten.</x:v>
      </x:c>
      <x:c r="J192" s="5" t="str">
        <x:v>Soll-Ist-Matrix 2026-09-27</x:v>
      </x:c>
      <x:c r="K192" s="5" t="str">
        <x:v>Vorbewertung aus Soll-Ist-Matrix; Kandidaten nicht automatisch Einzelbelege</x:v>
      </x:c>
      <x:c r="L192" s="5" t="str"/>
    </x:row>
    <x:row r="193" ht="36" customHeight="1">
      <x:c r="A193" s="5" t="str">
        <x:v>4.1.4</x:v>
      </x:c>
      <x:c r="B193" s="5" t="str">
        <x:v>Unternehmensführung</x:v>
      </x:c>
      <x:c r="C193" s="5" t="str">
        <x:v>Ablauforganisation</x:v>
      </x:c>
      <x:c r="D193" s="5" t="str">
        <x:v>teilweise abgedeckt</x:v>
      </x:c>
      <x:c r="E193" s="5" t="str">
        <x:v>teilweise abgedeckt</x:v>
      </x:c>
      <x:c r="F193" s="5" t="str">
        <x:v>UF-0058; UF-0198</x:v>
      </x:c>
      <x:c r="G193" s="5" t="str">
        <x:v>UF-0038–UF-0055; UF-0057–UF-0063; UF-0099; UF-0111; UF-0159; UF-0183; UF-0195–UF-0198</x:v>
      </x:c>
      <x:c r="H193" s="5" t="str">
        <x:v>4.1.4.2#2: Eine explizite Darstellungs- bzw. Interpretationskomponente eines funktionsbezogenen Arbeitsablaufdiagramms bleibt offen.</x:v>
      </x:c>
      <x:c r="I193" s="5" t="str">
        <x:v>Abgeleiteter Elternstatus; keine zusätzliche Inhaltsaufgabe. Siehe Einzelpunkte 4.1.4.2#2</x:v>
      </x:c>
      <x:c r="J193" s="5" t="str">
        <x:v>Soll-Ist-Matrix 2026-09-27</x:v>
      </x:c>
      <x:c r="K193" s="5" t="str">
        <x:v>Elternbewertung aus einzeln geprüften Unterpunkten</x:v>
      </x:c>
      <x:c r="L193" s="5" t="str">
        <x:v>UF-0055; UF-0062; UF-0198; UF-0233; UF-0234; UF-0235</x:v>
      </x:c>
    </x:row>
    <x:row r="194" ht="36" customHeight="1">
      <x:c r="A194" s="5" t="str">
        <x:v>4.1.4.1</x:v>
      </x:c>
      <x:c r="B194" s="5" t="str">
        <x:v>Unternehmensführung</x:v>
      </x:c>
      <x:c r="C194" s="5" t="str">
        <x:v>Gliederung und Prinzipien der Ablauforganisation</x:v>
      </x:c>
      <x:c r="D194" s="5" t="str">
        <x:v>vollständig abgedeckt</x:v>
      </x:c>
      <x:c r="E194" s="5" t="str">
        <x:v>vollständig abgedeckt</x:v>
      </x:c>
      <x:c r="F194" s="5" t="str"/>
      <x:c r="G194" s="5" t="str">
        <x:v>UF-0038–UF-0055; UF-0057–UF-0063; UF-0099; UF-0111; UF-0159; UF-0183; UF-0195–UF-0198</x:v>
      </x:c>
      <x:c r="H194" s="5" t="str"/>
      <x:c r="I194" s="5" t="str">
        <x:v>Analysebewertung erhalten; keine neue Frage allein aus ID-Zahlen ableiten.</x:v>
      </x:c>
      <x:c r="J194" s="5" t="str">
        <x:v>Soll-Ist-Matrix 2026-09-27</x:v>
      </x:c>
      <x:c r="K194" s="5" t="str">
        <x:v>Vorbewertung aus Soll-Ist-Matrix; Kandidaten nicht automatisch Einzelbelege</x:v>
      </x:c>
      <x:c r="L194" s="5" t="str"/>
    </x:row>
    <x:row r="195" ht="36" customHeight="1">
      <x:c r="A195" s="5" t="str">
        <x:v>4.1.4.2</x:v>
      </x:c>
      <x:c r="B195" s="5" t="str">
        <x:v>Unternehmensführung</x:v>
      </x:c>
      <x:c r="C195" s="5" t="str">
        <x:v>Darstellungs- und Durchführungsformen der Ablauforganisation</x:v>
      </x:c>
      <x:c r="D195" s="5" t="str">
        <x:v>teilweise abgedeckt</x:v>
      </x:c>
      <x:c r="E195" s="5" t="str">
        <x:v>teilweise abgedeckt</x:v>
      </x:c>
      <x:c r="F195" s="5" t="str">
        <x:v>UF-0058; UF-0198</x:v>
      </x:c>
      <x:c r="G195" s="5" t="str">
        <x:v>UF-0038–UF-0055; UF-0057–UF-0063; UF-0099; UF-0111; UF-0159; UF-0183; UF-0195–UF-0198</x:v>
      </x:c>
      <x:c r="H195" s="5" t="str">
        <x:v>4.1.4.2#2: Eine explizite Darstellungs- bzw. Interpretationskomponente eines funktionsbezogenen Arbeitsablaufdiagramms bleibt offen.</x:v>
      </x:c>
      <x:c r="I195" s="5" t="str">
        <x:v>Abgeleiteter Elternstatus; keine zusätzliche Inhaltsaufgabe. Siehe Einzelpunkte 4.1.4.2#2</x:v>
      </x:c>
      <x:c r="J195" s="5" t="str">
        <x:v>Soll-Ist-Matrix 2026-09-27</x:v>
      </x:c>
      <x:c r="K195" s="5" t="str">
        <x:v>Elternbewertung aus einzeln geprüften Unterpunkten</x:v>
      </x:c>
      <x:c r="L195" s="5" t="str"/>
    </x:row>
    <x:row r="196" ht="36" customHeight="1">
      <x:c r="A196" s="5" t="str">
        <x:v>4.1.4.2#1</x:v>
      </x:c>
      <x:c r="B196" s="5" t="str">
        <x:v>Unternehmensführung</x:v>
      </x:c>
      <x:c r="C196" s="5" t="str">
        <x:v>Flussdiagramm</x:v>
      </x:c>
      <x:c r="D196" s="5" t="str">
        <x:v>vollständig abgedeckt</x:v>
      </x:c>
      <x:c r="E196" s="5" t="str">
        <x:v>vollständig abgedeckt</x:v>
      </x:c>
      <x:c r="F196" s="5" t="str"/>
      <x:c r="G196" s="5" t="str">
        <x:v>UF-0038–UF-0055; UF-0057–UF-0063; UF-0099; UF-0111; UF-0159; UF-0183; UF-0195–UF-0198</x:v>
      </x:c>
      <x:c r="H196" s="5" t="str"/>
      <x:c r="I196" s="5" t="str">
        <x:v>Analysebewertung erhalten; keine neue Frage allein aus ID-Zahlen ableiten.</x:v>
      </x:c>
      <x:c r="J196" s="5" t="str">
        <x:v>Soll-Ist-Matrix 2026-09-27</x:v>
      </x:c>
      <x:c r="K196" s="5" t="str">
        <x:v>Vorbewertung aus Soll-Ist-Matrix; Kandidaten nicht automatisch Einzelbelege</x:v>
      </x:c>
      <x:c r="L196" s="5" t="str"/>
    </x:row>
    <x:row r="197" ht="36" customHeight="1">
      <x:c r="A197" s="5" t="str">
        <x:v>4.1.4.2#2</x:v>
      </x:c>
      <x:c r="B197" s="5" t="str">
        <x:v>Unternehmensführung</x:v>
      </x:c>
      <x:c r="C197" s="5" t="str">
        <x:v>Arbeitsablaufdiagramm</x:v>
      </x:c>
      <x:c r="D197" s="5" t="str">
        <x:v>nicht abgedeckt</x:v>
      </x:c>
      <x:c r="E197" s="5" t="str">
        <x:v>teilweise abgedeckt</x:v>
      </x:c>
      <x:c r="F197" s="5" t="str">
        <x:v>UF-0058; UF-0198</x:v>
      </x:c>
      <x:c r="G197" s="5" t="str">
        <x:v>—</x:v>
      </x:c>
      <x:c r="H197" s="5" t="str">
        <x:v>Eine explizite Darstellungs- bzw. Interpretationskomponente eines funktionsbezogenen Arbeitsablaufdiagramms bleibt offen.</x:v>
      </x:c>
      <x:c r="I197" s="5" t="str">
        <x:v>UF-0058 später unter derselben ID um eine Darstellungs-/Interpretationskomponente mit Rollen, Übergaben und Rückschleife ergänzen. Keine neue ID automatisch erzeugen.</x:v>
      </x:c>
      <x:c r="J197" s="5" t="str">
        <x:v>Rahmenplan: 4.1.4.2#2; UF-0058/UF-0198; UF_Buch und UF_Skript: Gegenprüfung Ablauforganisation</x:v>
      </x:c>
      <x:c r="K197" s="5" t="str">
        <x:v>Vorbewertung aus Soll-Ist-Matrix; Kandidaten nicht automatisch Einzelbelege</x:v>
      </x:c>
      <x:c r="L197" s="5" t="str"/>
    </x:row>
    <x:row r="198" ht="36" customHeight="1">
      <x:c r="A198" s="5" t="str">
        <x:v>4.1.4.2#3</x:v>
      </x:c>
      <x:c r="B198" s="5" t="str">
        <x:v>Unternehmensführung</x:v>
      </x:c>
      <x:c r="C198" s="5" t="str">
        <x:v>Netzplantechnik</x:v>
      </x:c>
      <x:c r="D198" s="5" t="str">
        <x:v>vollständig abgedeckt</x:v>
      </x:c>
      <x:c r="E198" s="5" t="str">
        <x:v>vollständig abgedeckt</x:v>
      </x:c>
      <x:c r="F198" s="5" t="str"/>
      <x:c r="G198" s="5" t="str">
        <x:v>UF-0038–UF-0055; UF-0057–UF-0063; UF-0099; UF-0111; UF-0159; UF-0183; UF-0195–UF-0198</x:v>
      </x:c>
      <x:c r="H198" s="5" t="str"/>
      <x:c r="I198" s="5" t="str">
        <x:v>Analysebewertung erhalten; keine neue Frage allein aus ID-Zahlen ableiten.</x:v>
      </x:c>
      <x:c r="J198" s="5" t="str">
        <x:v>Soll-Ist-Matrix 2026-09-27</x:v>
      </x:c>
      <x:c r="K198" s="5" t="str">
        <x:v>Vorbewertung aus Soll-Ist-Matrix; Kandidaten nicht automatisch Einzelbelege</x:v>
      </x:c>
      <x:c r="L198" s="5" t="str">
        <x:v>UF-0059</x:v>
      </x:c>
    </x:row>
    <x:row r="199" ht="36" customHeight="1">
      <x:c r="A199" s="5" t="str">
        <x:v>4.1.5</x:v>
      </x:c>
      <x:c r="B199" s="5" t="str">
        <x:v>Unternehmensführung</x:v>
      </x:c>
      <x:c r="C199" s="5" t="str">
        <x:v>Analysemethoden</x:v>
      </x:c>
      <x:c r="D199" s="5" t="str">
        <x:v>vollständig abgedeckt</x:v>
      </x:c>
      <x:c r="E199" s="5" t="str">
        <x:v>vollständig abgedeckt</x:v>
      </x:c>
      <x:c r="F199" s="5" t="str"/>
      <x:c r="G199" s="5" t="str">
        <x:v>UF-0064–UF-0078; UF-0080; UF-0184; UF-0199–UF-0202</x:v>
      </x:c>
      <x:c r="H199" s="5" t="str"/>
      <x:c r="I199" s="5" t="str">
        <x:v>Analysebewertung erhalten; keine neue Frage allein aus ID-Zahlen ableiten.</x:v>
      </x:c>
      <x:c r="J199" s="5" t="str">
        <x:v>Soll-Ist-Matrix 2026-09-27</x:v>
      </x:c>
      <x:c r="K199" s="5" t="str">
        <x:v>Vorbewertung aus Soll-Ist-Matrix; Kandidaten nicht automatisch Einzelbelege</x:v>
      </x:c>
      <x:c r="L199" s="5" t="str">
        <x:v>UF-0064; UF-0065; UF-0070; UF-0071; UF-0072; UF-0073; UF-0075; UF-0076; UF-0077; UF-0078; UF-0184; UF-0201; UF-0202</x:v>
      </x:c>
    </x:row>
    <x:row r="200" ht="36" customHeight="1">
      <x:c r="A200" s="5" t="str">
        <x:v>4.1.5.1</x:v>
      </x:c>
      <x:c r="B200" s="5" t="str">
        <x:v>Unternehmensführung</x:v>
      </x:c>
      <x:c r="C200" s="5" t="str">
        <x:v>Methoden zur Messung der Kundenzufriedenheit und Auswertung der Ergebnisse</x:v>
      </x:c>
      <x:c r="D200" s="5" t="str">
        <x:v>vollständig abgedeckt</x:v>
      </x:c>
      <x:c r="E200" s="5" t="str">
        <x:v>vollständig abgedeckt</x:v>
      </x:c>
      <x:c r="F200" s="5" t="str"/>
      <x:c r="G200" s="5" t="str">
        <x:v>UF-0064–UF-0078; UF-0080; UF-0184; UF-0199–UF-0202</x:v>
      </x:c>
      <x:c r="H200" s="5" t="str"/>
      <x:c r="I200" s="5" t="str">
        <x:v>Analysebewertung erhalten; keine neue Frage allein aus ID-Zahlen ableiten.</x:v>
      </x:c>
      <x:c r="J200" s="5" t="str">
        <x:v>Soll-Ist-Matrix 2026-09-27</x:v>
      </x:c>
      <x:c r="K200" s="5" t="str">
        <x:v>Vorbewertung aus Soll-Ist-Matrix; Kandidaten nicht automatisch Einzelbelege</x:v>
      </x:c>
      <x:c r="L200" s="5" t="str">
        <x:v>UF-0066; UF-0074; UF-0080</x:v>
      </x:c>
    </x:row>
    <x:row r="201" ht="36" customHeight="1">
      <x:c r="A201" s="5" t="str">
        <x:v>4.1.5.2</x:v>
      </x:c>
      <x:c r="B201" s="5" t="str">
        <x:v>Unternehmensführung</x:v>
      </x:c>
      <x:c r="C201" s="5" t="str">
        <x:v>Wertanalyse</x:v>
      </x:c>
      <x:c r="D201" s="5" t="str">
        <x:v>vollständig abgedeckt</x:v>
      </x:c>
      <x:c r="E201" s="5" t="str">
        <x:v>vollständig abgedeckt</x:v>
      </x:c>
      <x:c r="F201" s="5" t="str"/>
      <x:c r="G201" s="5" t="str">
        <x:v>UF-0064–UF-0078; UF-0080; UF-0184; UF-0199–UF-0202</x:v>
      </x:c>
      <x:c r="H201" s="5" t="str"/>
      <x:c r="I201" s="5" t="str">
        <x:v>Analysebewertung erhalten; keine neue Frage allein aus ID-Zahlen ableiten.</x:v>
      </x:c>
      <x:c r="J201" s="5" t="str">
        <x:v>Soll-Ist-Matrix 2026-09-27</x:v>
      </x:c>
      <x:c r="K201" s="5" t="str">
        <x:v>Vorbewertung aus Soll-Ist-Matrix; Kandidaten nicht automatisch Einzelbelege</x:v>
      </x:c>
      <x:c r="L201" s="5" t="str">
        <x:v>UF-0067; UF-0068; UF-0069; UF-0199; UF-0200</x:v>
      </x:c>
    </x:row>
    <x:row r="202" ht="36" customHeight="1">
      <x:c r="A202" s="5" t="str">
        <x:v>4.1.5.3</x:v>
      </x:c>
      <x:c r="B202" s="5" t="str">
        <x:v>Unternehmensführung</x:v>
      </x:c>
      <x:c r="C202" s="5" t="str">
        <x:v>Betriebsstatistiken als Entscheidungshilfe</x:v>
      </x:c>
      <x:c r="D202" s="5" t="str">
        <x:v>vollständig abgedeckt</x:v>
      </x:c>
      <x:c r="E202" s="5" t="str">
        <x:v>vollständig abgedeckt</x:v>
      </x:c>
      <x:c r="F202" s="5" t="str"/>
      <x:c r="G202" s="5" t="str">
        <x:v>UF-0064–UF-0078; UF-0080; UF-0184; UF-0199–UF-0202</x:v>
      </x:c>
      <x:c r="H202" s="5" t="str"/>
      <x:c r="I202" s="5" t="str">
        <x:v>Analysebewertung erhalten; keine neue Frage allein aus ID-Zahlen ableiten.</x:v>
      </x:c>
      <x:c r="J202" s="5" t="str">
        <x:v>Soll-Ist-Matrix 2026-09-27</x:v>
      </x:c>
      <x:c r="K202" s="5" t="str">
        <x:v>Vorbewertung aus Soll-Ist-Matrix; Kandidaten nicht automatisch Einzelbelege</x:v>
      </x:c>
      <x:c r="L202" s="5" t="str"/>
    </x:row>
    <x:row r="203" ht="36" customHeight="1">
      <x:c r="A203" s="5" t="str">
        <x:v>4.2</x:v>
      </x:c>
      <x:c r="B203" s="5" t="str">
        <x:v>Unternehmensführung</x:v>
      </x:c>
      <x:c r="C203" s="5" t="str">
        <x:v>Personalführung</x:v>
      </x:c>
      <x:c r="D203" s="5" t="str">
        <x:v>vollständig abgedeckt</x:v>
      </x:c>
      <x:c r="E203" s="5" t="str">
        <x:v>vollständig abgedeckt</x:v>
      </x:c>
      <x:c r="F203" s="5" t="str"/>
      <x:c r="G203" s="5" t="str">
        <x:v>UF-0001–UF-0008; UF-0014–UF-0027; UF-0079; UF-0081, UF-0082; UF-0086, UF-0087; UF-0186–UF-0191; UF-0009–UF-0013; UF-0056; UF-0088; UF-0090–UF-0092; UF-0094; UF-0096–UF-0098; UF-0100–UF-0103; UF-0148; UF-0203–UF-0207; UF-0224–UF-0228; UF-0089; UF-0095; UF-0104–UF-0109; UF-0156; UF-0208–UF-0210; UF-0110; UF-0112–UF-0124; UF-0140; UF-0185; UF-0211, UF-0212; UF-0125–UF-0139; UF-0213</x:v>
      </x:c>
      <x:c r="H203" s="5" t="str"/>
      <x:c r="I203" s="5" t="str">
        <x:v>Analysebewertung erhalten; keine neue Frage allein aus ID-Zahlen ableiten.</x:v>
      </x:c>
      <x:c r="J203" s="5" t="str">
        <x:v>Soll-Ist-Matrix 2026-09-27</x:v>
      </x:c>
      <x:c r="K203" s="5" t="str">
        <x:v>Vorbewertung aus Soll-Ist-Matrix; Kandidaten nicht automatisch Einzelbelege</x:v>
      </x:c>
      <x:c r="L203" s="5" t="str"/>
    </x:row>
    <x:row r="204" ht="36" customHeight="1">
      <x:c r="A204" s="5" t="str">
        <x:v>4.2.1</x:v>
      </x:c>
      <x:c r="B204" s="5" t="str">
        <x:v>Unternehmensführung</x:v>
      </x:c>
      <x:c r="C204" s="5" t="str">
        <x:v>Zusammenhang zwischen Unternehmenszielen, Führungsleitbild und Personalpolitik</x:v>
      </x:c>
      <x:c r="D204" s="5" t="str">
        <x:v>vollständig abgedeckt</x:v>
      </x:c>
      <x:c r="E204" s="5" t="str">
        <x:v>vollständig abgedeckt</x:v>
      </x:c>
      <x:c r="F204" s="5" t="str"/>
      <x:c r="G204" s="5" t="str">
        <x:v>UF-0001–UF-0008; UF-0014–UF-0027; UF-0079; UF-0081, UF-0082; UF-0086, UF-0087; UF-0186–UF-0191; UF-0009–UF-0013; UF-0056; UF-0088; UF-0090–UF-0092; UF-0094; UF-0096–UF-0098; UF-0100–UF-0103; UF-0148; UF-0203–UF-0207</x:v>
      </x:c>
      <x:c r="H204" s="5" t="str"/>
      <x:c r="I204" s="5" t="str">
        <x:v>Analysebewertung erhalten; keine neue Frage allein aus ID-Zahlen ableiten.</x:v>
      </x:c>
      <x:c r="J204" s="5" t="str">
        <x:v>Soll-Ist-Matrix 2026-09-27</x:v>
      </x:c>
      <x:c r="K204" s="5" t="str">
        <x:v>Vorbewertung aus Soll-Ist-Matrix; Kandidaten nicht automatisch Einzelbelege</x:v>
      </x:c>
      <x:c r="L204" s="5" t="str"/>
    </x:row>
    <x:row r="205" ht="36" customHeight="1">
      <x:c r="A205" s="5" t="str">
        <x:v>4.2.2</x:v>
      </x:c>
      <x:c r="B205" s="5" t="str">
        <x:v>Unternehmensführung</x:v>
      </x:c>
      <x:c r="C205" s="5" t="str">
        <x:v>Arten von Führung</x:v>
      </x:c>
      <x:c r="D205" s="5" t="str">
        <x:v>vollständig abgedeckt</x:v>
      </x:c>
      <x:c r="E205" s="5" t="str">
        <x:v>vollständig abgedeckt</x:v>
      </x:c>
      <x:c r="F205" s="5" t="str"/>
      <x:c r="G205" s="5" t="str">
        <x:v>UF-0009–UF-0013; UF-0056; UF-0088; UF-0090–UF-0092; UF-0094; UF-0096–UF-0098; UF-0100–UF-0103; UF-0148; UF-0203–UF-0207; UF-0224–UF-0228</x:v>
      </x:c>
      <x:c r="H205" s="5" t="str"/>
      <x:c r="I205" s="5" t="str">
        <x:v>Analysebewertung erhalten; keine neue Frage allein aus ID-Zahlen ableiten.</x:v>
      </x:c>
      <x:c r="J205" s="5" t="str">
        <x:v>Soll-Ist-Matrix 2026-09-27</x:v>
      </x:c>
      <x:c r="K205" s="5" t="str">
        <x:v>Vorbewertung aus Soll-Ist-Matrix; Kandidaten nicht automatisch Einzelbelege</x:v>
      </x:c>
      <x:c r="L205" s="5" t="str">
        <x:v>UF-0228</x:v>
      </x:c>
    </x:row>
    <x:row r="206" ht="36" customHeight="1">
      <x:c r="A206" s="5" t="str">
        <x:v>4.2.2.1</x:v>
      </x:c>
      <x:c r="B206" s="5" t="str">
        <x:v>Unternehmensführung</x:v>
      </x:c>
      <x:c r="C206" s="5" t="str">
        <x:v>Führung über Motivation</x:v>
      </x:c>
      <x:c r="D206" s="5" t="str">
        <x:v>vollständig abgedeckt</x:v>
      </x:c>
      <x:c r="E206" s="5" t="str">
        <x:v>vollständig abgedeckt</x:v>
      </x:c>
      <x:c r="F206" s="5" t="str"/>
      <x:c r="G206" s="5" t="str">
        <x:v>UF-0009–UF-0013; UF-0056; UF-0088; UF-0090–UF-0092; UF-0094; UF-0096–UF-0098; UF-0100–UF-0103; UF-0148; UF-0203–UF-0207; UF-0224–UF-0227</x:v>
      </x:c>
      <x:c r="H206" s="5" t="str"/>
      <x:c r="I206" s="5" t="str">
        <x:v>Analysebewertung erhalten; keine neue Frage allein aus ID-Zahlen ableiten.</x:v>
      </x:c>
      <x:c r="J206" s="5" t="str">
        <x:v>Soll-Ist-Matrix 2026-09-27</x:v>
      </x:c>
      <x:c r="K206" s="5" t="str">
        <x:v>Vorbewertung aus Soll-Ist-Matrix; Kandidaten nicht automatisch Einzelbelege</x:v>
      </x:c>
      <x:c r="L206" s="5" t="str"/>
    </x:row>
    <x:row r="207" ht="36" customHeight="1">
      <x:c r="A207" s="5" t="str">
        <x:v>4.2.2.2</x:v>
      </x:c>
      <x:c r="B207" s="5" t="str">
        <x:v>Unternehmensführung</x:v>
      </x:c>
      <x:c r="C207" s="5" t="str">
        <x:v>Führen durch Zielvereinbarung</x:v>
      </x:c>
      <x:c r="D207" s="5" t="str">
        <x:v>vollständig abgedeckt</x:v>
      </x:c>
      <x:c r="E207" s="5" t="str">
        <x:v>vollständig abgedeckt</x:v>
      </x:c>
      <x:c r="F207" s="5" t="str"/>
      <x:c r="G207" s="5" t="str">
        <x:v>UF-0009–UF-0013; UF-0056; UF-0088; UF-0090–UF-0092; UF-0094; UF-0096–UF-0098; UF-0100–UF-0103; UF-0148; UF-0203–UF-0207; UF-0228</x:v>
      </x:c>
      <x:c r="H207" s="5" t="str"/>
      <x:c r="I207" s="5" t="str">
        <x:v>Analysebewertung erhalten; keine neue Frage allein aus ID-Zahlen ableiten.</x:v>
      </x:c>
      <x:c r="J207" s="5" t="str">
        <x:v>Soll-Ist-Matrix 2026-09-27</x:v>
      </x:c>
      <x:c r="K207" s="5" t="str">
        <x:v>Vorbewertung aus Soll-Ist-Matrix; Kandidaten nicht automatisch Einzelbelege</x:v>
      </x:c>
      <x:c r="L207" s="5" t="str"/>
    </x:row>
    <x:row r="208" ht="36" customHeight="1">
      <x:c r="A208" s="5" t="str">
        <x:v>4.2.2.3</x:v>
      </x:c>
      <x:c r="B208" s="5" t="str">
        <x:v>Unternehmensführung</x:v>
      </x:c>
      <x:c r="C208" s="5" t="str">
        <x:v>Aufgabenbezogenes Führen</x:v>
      </x:c>
      <x:c r="D208" s="5" t="str">
        <x:v>vollständig abgedeckt</x:v>
      </x:c>
      <x:c r="E208" s="5" t="str">
        <x:v>vollständig abgedeckt</x:v>
      </x:c>
      <x:c r="F208" s="5" t="str"/>
      <x:c r="G208" s="5" t="str">
        <x:v>UF-0009–UF-0013; UF-0056; UF-0088; UF-0090–UF-0092; UF-0094; UF-0096–UF-0098; UF-0100–UF-0103; UF-0148; UF-0203–UF-0207; UF-0228</x:v>
      </x:c>
      <x:c r="H208" s="5" t="str"/>
      <x:c r="I208" s="5" t="str">
        <x:v>Analysebewertung erhalten; keine neue Frage allein aus ID-Zahlen ableiten.</x:v>
      </x:c>
      <x:c r="J208" s="5" t="str">
        <x:v>Soll-Ist-Matrix 2026-09-27</x:v>
      </x:c>
      <x:c r="K208" s="5" t="str">
        <x:v>Vorbewertung aus Soll-Ist-Matrix; Kandidaten nicht automatisch Einzelbelege</x:v>
      </x:c>
      <x:c r="L208" s="5" t="str"/>
    </x:row>
    <x:row r="209" ht="36" customHeight="1">
      <x:c r="A209" s="5" t="str">
        <x:v>4.2.3</x:v>
      </x:c>
      <x:c r="B209" s="5" t="str">
        <x:v>Unternehmensführung</x:v>
      </x:c>
      <x:c r="C209" s="5" t="str">
        <x:v>Führungsstile</x:v>
      </x:c>
      <x:c r="D209" s="5" t="str">
        <x:v>vollständig abgedeckt</x:v>
      </x:c>
      <x:c r="E209" s="5" t="str">
        <x:v>vollständig abgedeckt</x:v>
      </x:c>
      <x:c r="F209" s="5" t="str"/>
      <x:c r="G209" s="5" t="str">
        <x:v>UF-0009–UF-0013; UF-0056; UF-0088; UF-0090–UF-0092; UF-0094; UF-0096–UF-0098; UF-0100–UF-0103; UF-0148; UF-0203–UF-0207; UF-0224–UF-0227</x:v>
      </x:c>
      <x:c r="H209" s="5" t="str"/>
      <x:c r="I209" s="5" t="str">
        <x:v>Analysebewertung erhalten; keine neue Frage allein aus ID-Zahlen ableiten.</x:v>
      </x:c>
      <x:c r="J209" s="5" t="str">
        <x:v>Soll-Ist-Matrix 2026-09-27</x:v>
      </x:c>
      <x:c r="K209" s="5" t="str">
        <x:v>Vorbewertung aus Soll-Ist-Matrix; Kandidaten nicht automatisch Einzelbelege</x:v>
      </x:c>
      <x:c r="L209" s="5" t="str">
        <x:v>UF-0009; UF-0010; UF-0011; UF-0012; UF-0013; UF-0056; UF-0088; UF-0090; UF-0091; UF-0092; UF-0094; UF-0096; UF-0097; UF-0098; UF-0100; UF-0101; UF-0102; UF-0103; UF-0148; UF-0203; UF-0204; UF-0205; UF-0206; UF-0207; UF-0224; UF-0225; UF-0226</x:v>
      </x:c>
    </x:row>
    <x:row r="210" ht="36" customHeight="1">
      <x:c r="A210" s="5" t="str">
        <x:v>4.2.4</x:v>
      </x:c>
      <x:c r="B210" s="5" t="str">
        <x:v>Unternehmensführung</x:v>
      </x:c>
      <x:c r="C210" s="5" t="str">
        <x:v>Führen von Gruppen</x:v>
      </x:c>
      <x:c r="D210" s="5" t="str">
        <x:v>vollständig abgedeckt</x:v>
      </x:c>
      <x:c r="E210" s="5" t="str">
        <x:v>vollständig abgedeckt</x:v>
      </x:c>
      <x:c r="F210" s="5" t="str"/>
      <x:c r="G210" s="5" t="str">
        <x:v>UF-0089; UF-0095; UF-0104–UF-0109; UF-0156; UF-0208–UF-0210</x:v>
      </x:c>
      <x:c r="H210" s="5" t="str"/>
      <x:c r="I210" s="5" t="str">
        <x:v>Analysebewertung erhalten; keine neue Frage allein aus ID-Zahlen ableiten.</x:v>
      </x:c>
      <x:c r="J210" s="5" t="str">
        <x:v>Soll-Ist-Matrix 2026-09-27</x:v>
      </x:c>
      <x:c r="K210" s="5" t="str">
        <x:v>Vorbewertung aus Soll-Ist-Matrix; Kandidaten nicht automatisch Einzelbelege</x:v>
      </x:c>
      <x:c r="L210" s="5" t="str">
        <x:v>UF-0089; UF-0095; UF-0104; UF-0105; UF-0106; UF-0107; UF-0108; UF-0109; UF-0156; UF-0208; UF-0209; UF-0210; UF-0229; UF-0230; UF-0231</x:v>
      </x:c>
    </x:row>
    <x:row r="211" ht="36" customHeight="1">
      <x:c r="A211" s="5" t="str">
        <x:v>4.2.4.1</x:v>
      </x:c>
      <x:c r="B211" s="5" t="str">
        <x:v>Unternehmensführung</x:v>
      </x:c>
      <x:c r="C211" s="5" t="str">
        <x:v>Gruppenstrukturen und deren Merkmale</x:v>
      </x:c>
      <x:c r="D211" s="5" t="str">
        <x:v>vollständig abgedeckt</x:v>
      </x:c>
      <x:c r="E211" s="5" t="str">
        <x:v>vollständig abgedeckt</x:v>
      </x:c>
      <x:c r="F211" s="5" t="str"/>
      <x:c r="G211" s="5" t="str">
        <x:v>UF-0089; UF-0095; UF-0104–UF-0109; UF-0156; UF-0208–UF-0210</x:v>
      </x:c>
      <x:c r="H211" s="5" t="str"/>
      <x:c r="I211" s="5" t="str">
        <x:v>Analysebewertung erhalten; keine neue Frage allein aus ID-Zahlen ableiten.</x:v>
      </x:c>
      <x:c r="J211" s="5" t="str">
        <x:v>Soll-Ist-Matrix 2026-09-27</x:v>
      </x:c>
      <x:c r="K211" s="5" t="str">
        <x:v>Vorbewertung aus Soll-Ist-Matrix; Kandidaten nicht automatisch Einzelbelege</x:v>
      </x:c>
      <x:c r="L211" s="5" t="str"/>
    </x:row>
    <x:row r="212" ht="36" customHeight="1">
      <x:c r="A212" s="5" t="str">
        <x:v>4.2.4.2</x:v>
      </x:c>
      <x:c r="B212" s="5" t="str">
        <x:v>Unternehmensführung</x:v>
      </x:c>
      <x:c r="C212" s="5" t="str">
        <x:v>Gruppenverhalten und dessen Auswirkungen</x:v>
      </x:c>
      <x:c r="D212" s="5" t="str">
        <x:v>vollständig abgedeckt</x:v>
      </x:c>
      <x:c r="E212" s="5" t="str">
        <x:v>vollständig abgedeckt</x:v>
      </x:c>
      <x:c r="F212" s="5" t="str"/>
      <x:c r="G212" s="5" t="str">
        <x:v>UF-0089; UF-0095; UF-0104–UF-0109; UF-0156; UF-0208–UF-0210</x:v>
      </x:c>
      <x:c r="H212" s="5" t="str"/>
      <x:c r="I212" s="5" t="str">
        <x:v>Analysebewertung erhalten; keine neue Frage allein aus ID-Zahlen ableiten.</x:v>
      </x:c>
      <x:c r="J212" s="5" t="str">
        <x:v>Soll-Ist-Matrix 2026-09-27</x:v>
      </x:c>
      <x:c r="K212" s="5" t="str">
        <x:v>Vorbewertung aus Soll-Ist-Matrix; Kandidaten nicht automatisch Einzelbelege</x:v>
      </x:c>
      <x:c r="L212" s="5" t="str"/>
    </x:row>
    <x:row r="213" ht="36" customHeight="1">
      <x:c r="A213" s="5" t="str">
        <x:v>4.2.5</x:v>
      </x:c>
      <x:c r="B213" s="5" t="str">
        <x:v>Unternehmensführung</x:v>
      </x:c>
      <x:c r="C213" s="5" t="str">
        <x:v>Personalplanung</x:v>
      </x:c>
      <x:c r="D213" s="5" t="str">
        <x:v>vollständig abgedeckt</x:v>
      </x:c>
      <x:c r="E213" s="5" t="str">
        <x:v>vollständig abgedeckt</x:v>
      </x:c>
      <x:c r="F213" s="5" t="str"/>
      <x:c r="G213" s="5" t="str">
        <x:v>UF-0110; UF-0112–UF-0124; UF-0140; UF-0185; UF-0211, UF-0212</x:v>
      </x:c>
      <x:c r="H213" s="5" t="str"/>
      <x:c r="I213" s="5" t="str">
        <x:v>Analysebewertung erhalten; keine neue Frage allein aus ID-Zahlen ableiten.</x:v>
      </x:c>
      <x:c r="J213" s="5" t="str">
        <x:v>Soll-Ist-Matrix 2026-09-27</x:v>
      </x:c>
      <x:c r="K213" s="5" t="str">
        <x:v>Vorbewertung aus Soll-Ist-Matrix; Kandidaten nicht automatisch Einzelbelege</x:v>
      </x:c>
      <x:c r="L213" s="5" t="str">
        <x:v>UF-0110; UF-0112; UF-0113; UF-0114; UF-0115; UF-0117; UF-0118; UF-0119; UF-0120; UF-0123; UF-0140; UF-0185; UF-0211</x:v>
      </x:c>
    </x:row>
    <x:row r="214" ht="36" customHeight="1">
      <x:c r="A214" s="5" t="str">
        <x:v>4.2.5.1</x:v>
      </x:c>
      <x:c r="B214" s="5" t="str">
        <x:v>Unternehmensführung</x:v>
      </x:c>
      <x:c r="C214" s="5" t="str">
        <x:v>Quantitativ</x:v>
      </x:c>
      <x:c r="D214" s="5" t="str">
        <x:v>vollständig abgedeckt</x:v>
      </x:c>
      <x:c r="E214" s="5" t="str">
        <x:v>vollständig abgedeckt</x:v>
      </x:c>
      <x:c r="F214" s="5" t="str"/>
      <x:c r="G214" s="5" t="str">
        <x:v>UF-0110; UF-0112–UF-0124; UF-0140; UF-0185; UF-0211, UF-0212</x:v>
      </x:c>
      <x:c r="H214" s="5" t="str"/>
      <x:c r="I214" s="5" t="str">
        <x:v>Analysebewertung erhalten; keine neue Frage allein aus ID-Zahlen ableiten.</x:v>
      </x:c>
      <x:c r="J214" s="5" t="str">
        <x:v>Soll-Ist-Matrix 2026-09-27</x:v>
      </x:c>
      <x:c r="K214" s="5" t="str">
        <x:v>Vorbewertung aus Soll-Ist-Matrix; Kandidaten nicht automatisch Einzelbelege</x:v>
      </x:c>
      <x:c r="L214" s="5" t="str"/>
    </x:row>
    <x:row r="215" ht="36" customHeight="1">
      <x:c r="A215" s="5" t="str">
        <x:v>4.2.5.2</x:v>
      </x:c>
      <x:c r="B215" s="5" t="str">
        <x:v>Unternehmensführung</x:v>
      </x:c>
      <x:c r="C215" s="5" t="str">
        <x:v>Qualitativ</x:v>
      </x:c>
      <x:c r="D215" s="5" t="str">
        <x:v>vollständig abgedeckt</x:v>
      </x:c>
      <x:c r="E215" s="5" t="str">
        <x:v>vollständig abgedeckt</x:v>
      </x:c>
      <x:c r="F215" s="5" t="str"/>
      <x:c r="G215" s="5" t="str">
        <x:v>UF-0110; UF-0112–UF-0124; UF-0140; UF-0185; UF-0211, UF-0212</x:v>
      </x:c>
      <x:c r="H215" s="5" t="str"/>
      <x:c r="I215" s="5" t="str">
        <x:v>Analysebewertung erhalten; keine neue Frage allein aus ID-Zahlen ableiten.</x:v>
      </x:c>
      <x:c r="J215" s="5" t="str">
        <x:v>Soll-Ist-Matrix 2026-09-27</x:v>
      </x:c>
      <x:c r="K215" s="5" t="str">
        <x:v>Vorbewertung aus Soll-Ist-Matrix; Kandidaten nicht automatisch Einzelbelege</x:v>
      </x:c>
      <x:c r="L215" s="5" t="str"/>
    </x:row>
    <x:row r="216" ht="36" customHeight="1">
      <x:c r="A216" s="5" t="str">
        <x:v>4.2.6</x:v>
      </x:c>
      <x:c r="B216" s="5" t="str">
        <x:v>Unternehmensführung</x:v>
      </x:c>
      <x:c r="C216" s="5" t="str">
        <x:v>Personalbeschaffung</x:v>
      </x:c>
      <x:c r="D216" s="5" t="str">
        <x:v>vollständig abgedeckt</x:v>
      </x:c>
      <x:c r="E216" s="5" t="str">
        <x:v>vollständig abgedeckt</x:v>
      </x:c>
      <x:c r="F216" s="5" t="str"/>
      <x:c r="G216" s="5" t="str">
        <x:v>UF-0110; UF-0112–UF-0124; UF-0140; UF-0185; UF-0211, UF-0212</x:v>
      </x:c>
      <x:c r="H216" s="5" t="str"/>
      <x:c r="I216" s="5" t="str">
        <x:v>Analysebewertung erhalten; keine neue Frage allein aus ID-Zahlen ableiten.</x:v>
      </x:c>
      <x:c r="J216" s="5" t="str">
        <x:v>Soll-Ist-Matrix 2026-09-27</x:v>
      </x:c>
      <x:c r="K216" s="5" t="str">
        <x:v>Vorbewertung aus Soll-Ist-Matrix; Kandidaten nicht automatisch Einzelbelege</x:v>
      </x:c>
      <x:c r="L216" s="5" t="str">
        <x:v>UF-0116; UF-0121; UF-0122; UF-0124; UF-0212</x:v>
      </x:c>
    </x:row>
    <x:row r="217" ht="36" customHeight="1">
      <x:c r="A217" s="5" t="str">
        <x:v>4.2.7</x:v>
      </x:c>
      <x:c r="B217" s="5" t="str">
        <x:v>Unternehmensführung</x:v>
      </x:c>
      <x:c r="C217" s="5" t="str">
        <x:v>Personalanpassungsmaßnahmen</x:v>
      </x:c>
      <x:c r="D217" s="5" t="str">
        <x:v>vollständig abgedeckt</x:v>
      </x:c>
      <x:c r="E217" s="5" t="str">
        <x:v>vollständig abgedeckt</x:v>
      </x:c>
      <x:c r="F217" s="5" t="str"/>
      <x:c r="G217" s="5" t="str">
        <x:v>UF-0125–UF-0139; UF-0213</x:v>
      </x:c>
      <x:c r="H217" s="5" t="str"/>
      <x:c r="I217" s="5" t="str">
        <x:v>Analysebewertung erhalten; keine neue Frage allein aus ID-Zahlen ableiten.</x:v>
      </x:c>
      <x:c r="J217" s="5" t="str">
        <x:v>Soll-Ist-Matrix 2026-09-27</x:v>
      </x:c>
      <x:c r="K217" s="5" t="str">
        <x:v>Vorbewertung aus Soll-Ist-Matrix; Kandidaten nicht automatisch Einzelbelege</x:v>
      </x:c>
      <x:c r="L217" s="5" t="str">
        <x:v>UF-0125; UF-0126; UF-0127; UF-0128; UF-0129; UF-0132; UF-0133; UF-0136; UF-0137</x:v>
      </x:c>
    </x:row>
    <x:row r="218" ht="36" customHeight="1">
      <x:c r="A218" s="5" t="str">
        <x:v>4.2.8</x:v>
      </x:c>
      <x:c r="B218" s="5" t="str">
        <x:v>Unternehmensführung</x:v>
      </x:c>
      <x:c r="C218" s="5" t="str">
        <x:v>Entgeltformen</x:v>
      </x:c>
      <x:c r="D218" s="5" t="str">
        <x:v>vollständig abgedeckt</x:v>
      </x:c>
      <x:c r="E218" s="5" t="str">
        <x:v>vollständig abgedeckt</x:v>
      </x:c>
      <x:c r="F218" s="5" t="str"/>
      <x:c r="G218" s="5" t="str">
        <x:v>UF-0125–UF-0139; UF-0213</x:v>
      </x:c>
      <x:c r="H218" s="5" t="str"/>
      <x:c r="I218" s="5" t="str">
        <x:v>Analysebewertung erhalten; keine neue Frage allein aus ID-Zahlen ableiten.</x:v>
      </x:c>
      <x:c r="J218" s="5" t="str">
        <x:v>Soll-Ist-Matrix 2026-09-27</x:v>
      </x:c>
      <x:c r="K218" s="5" t="str">
        <x:v>Vorbewertung aus Soll-Ist-Matrix; Kandidaten nicht automatisch Einzelbelege</x:v>
      </x:c>
      <x:c r="L218" s="5" t="str">
        <x:v>UF-0130; UF-0131; UF-0134; UF-0135; UF-0138; UF-0139; UF-0227</x:v>
      </x:c>
    </x:row>
    <x:row r="219" ht="36" customHeight="1">
      <x:c r="A219" s="5" t="str">
        <x:v>4.2.8.1</x:v>
      </x:c>
      <x:c r="B219" s="5" t="str">
        <x:v>Unternehmensführung</x:v>
      </x:c>
      <x:c r="C219" s="5" t="str">
        <x:v>Bestimmungsgrößen</x:v>
      </x:c>
      <x:c r="D219" s="5" t="str">
        <x:v>vollständig abgedeckt</x:v>
      </x:c>
      <x:c r="E219" s="5" t="str">
        <x:v>vollständig abgedeckt</x:v>
      </x:c>
      <x:c r="F219" s="5" t="str"/>
      <x:c r="G219" s="5" t="str">
        <x:v>UF-0125–UF-0139; UF-0213</x:v>
      </x:c>
      <x:c r="H219" s="5" t="str"/>
      <x:c r="I219" s="5" t="str">
        <x:v>Analysebewertung erhalten; keine neue Frage allein aus ID-Zahlen ableiten.</x:v>
      </x:c>
      <x:c r="J219" s="5" t="str">
        <x:v>Soll-Ist-Matrix 2026-09-27</x:v>
      </x:c>
      <x:c r="K219" s="5" t="str">
        <x:v>Vorbewertung aus Soll-Ist-Matrix; Kandidaten nicht automatisch Einzelbelege</x:v>
      </x:c>
      <x:c r="L219" s="5" t="str">
        <x:v>UF-0213</x:v>
      </x:c>
    </x:row>
    <x:row r="220" ht="36" customHeight="1">
      <x:c r="A220" s="5" t="str">
        <x:v>4.2.8.2</x:v>
      </x:c>
      <x:c r="B220" s="5" t="str">
        <x:v>Unternehmensführung</x:v>
      </x:c>
      <x:c r="C220" s="5" t="str">
        <x:v>Entlohnungsformen</x:v>
      </x:c>
      <x:c r="D220" s="5" t="str">
        <x:v>vollständig abgedeckt</x:v>
      </x:c>
      <x:c r="E220" s="5" t="str">
        <x:v>vollständig abgedeckt</x:v>
      </x:c>
      <x:c r="F220" s="5" t="str"/>
      <x:c r="G220" s="5" t="str">
        <x:v>UF-0125–UF-0139; UF-0213</x:v>
      </x:c>
      <x:c r="H220" s="5" t="str"/>
      <x:c r="I220" s="5" t="str">
        <x:v>Analysebewertung erhalten; keine neue Frage allein aus ID-Zahlen ableiten.</x:v>
      </x:c>
      <x:c r="J220" s="5" t="str">
        <x:v>Soll-Ist-Matrix 2026-09-27</x:v>
      </x:c>
      <x:c r="K220" s="5" t="str">
        <x:v>Vorbewertung aus Soll-Ist-Matrix; Kandidaten nicht automatisch Einzelbelege</x:v>
      </x:c>
      <x:c r="L220" s="5" t="str"/>
    </x:row>
    <x:row r="221" ht="36" customHeight="1">
      <x:c r="A221" s="5" t="str">
        <x:v>4.3</x:v>
      </x:c>
      <x:c r="B221" s="5" t="str">
        <x:v>Unternehmensführung</x:v>
      </x:c>
      <x:c r="C221" s="5" t="str">
        <x:v>Personalentwicklung</x:v>
      </x:c>
      <x:c r="D221" s="5" t="str">
        <x:v>vollständig abgedeckt</x:v>
      </x:c>
      <x:c r="E221" s="5" t="str">
        <x:v>vollständig abgedeckt</x:v>
      </x:c>
      <x:c r="F221" s="5" t="str"/>
      <x:c r="G221" s="5" t="str">
        <x:v>UF-0083–UF-0085; UF-0141–UF-0145; UF-0149–UF-0155; UF-0157, UF-0158; UF-0181; UF-0214–UF-0216; UF-0146, UF-0147; UF-0160–UF-0180; UF-0217; UF-0232</x:v>
      </x:c>
      <x:c r="H221" s="5" t="str"/>
      <x:c r="I221" s="5" t="str">
        <x:v>Analysebewertung erhalten; keine neue Frage allein aus ID-Zahlen ableiten.</x:v>
      </x:c>
      <x:c r="J221" s="5" t="str">
        <x:v>Soll-Ist-Matrix 2026-09-27</x:v>
      </x:c>
      <x:c r="K221" s="5" t="str">
        <x:v>Vorbewertung aus Soll-Ist-Matrix; Kandidaten nicht automatisch Einzelbelege</x:v>
      </x:c>
      <x:c r="L221" s="5" t="str"/>
    </x:row>
    <x:row r="222" ht="36" customHeight="1">
      <x:c r="A222" s="5" t="str">
        <x:v>4.3.1</x:v>
      </x:c>
      <x:c r="B222" s="5" t="str">
        <x:v>Unternehmensführung</x:v>
      </x:c>
      <x:c r="C222" s="5" t="str">
        <x:v>Arten</x:v>
      </x:c>
      <x:c r="D222" s="5" t="str">
        <x:v>vollständig abgedeckt</x:v>
      </x:c>
      <x:c r="E222" s="5" t="str">
        <x:v>vollständig abgedeckt</x:v>
      </x:c>
      <x:c r="F222" s="5" t="str"/>
      <x:c r="G222" s="5" t="str">
        <x:v>UF-0083–UF-0085; UF-0141–UF-0145; UF-0149–UF-0155; UF-0157, UF-0158; UF-0181; UF-0214–UF-0216</x:v>
      </x:c>
      <x:c r="H222" s="5" t="str"/>
      <x:c r="I222" s="5" t="str">
        <x:v>Analysebewertung erhalten; keine neue Frage allein aus ID-Zahlen ableiten.</x:v>
      </x:c>
      <x:c r="J222" s="5" t="str">
        <x:v>Soll-Ist-Matrix 2026-09-27</x:v>
      </x:c>
      <x:c r="K222" s="5" t="str">
        <x:v>Vorbewertung aus Soll-Ist-Matrix; Kandidaten nicht automatisch Einzelbelege</x:v>
      </x:c>
      <x:c r="L222" s="5" t="str">
        <x:v>UF-0083; UF-0084; UF-0141; UF-0142; UF-0143; UF-0144; UF-0145; UF-0149; UF-0151; UF-0152; UF-0153; UF-0154; UF-0155; UF-0157; UF-0158; UF-0181; UF-0214; UF-0215; UF-0216</x:v>
      </x:c>
    </x:row>
    <x:row r="223" ht="36" customHeight="1">
      <x:c r="A223" s="5" t="str">
        <x:v>4.3.1.1</x:v>
      </x:c>
      <x:c r="B223" s="5" t="str">
        <x:v>Unternehmensführung</x:v>
      </x:c>
      <x:c r="C223" s="5" t="str">
        <x:v>Ausbildung</x:v>
      </x:c>
      <x:c r="D223" s="5" t="str">
        <x:v>vollständig abgedeckt</x:v>
      </x:c>
      <x:c r="E223" s="5" t="str">
        <x:v>vollständig abgedeckt</x:v>
      </x:c>
      <x:c r="F223" s="5" t="str"/>
      <x:c r="G223" s="5" t="str">
        <x:v>UF-0083–UF-0085; UF-0141–UF-0145; UF-0149–UF-0155; UF-0157, UF-0158; UF-0181; UF-0214–UF-0216</x:v>
      </x:c>
      <x:c r="H223" s="5" t="str"/>
      <x:c r="I223" s="5" t="str">
        <x:v>Analysebewertung erhalten; keine neue Frage allein aus ID-Zahlen ableiten.</x:v>
      </x:c>
      <x:c r="J223" s="5" t="str">
        <x:v>Soll-Ist-Matrix 2026-09-27</x:v>
      </x:c>
      <x:c r="K223" s="5" t="str">
        <x:v>Vorbewertung aus Soll-Ist-Matrix; Kandidaten nicht automatisch Einzelbelege</x:v>
      </x:c>
      <x:c r="L223" s="5" t="str">
        <x:v>UF-0085</x:v>
      </x:c>
    </x:row>
    <x:row r="224" ht="36" customHeight="1">
      <x:c r="A224" s="5" t="str">
        <x:v>4.3.1.2</x:v>
      </x:c>
      <x:c r="B224" s="5" t="str">
        <x:v>Unternehmensführung</x:v>
      </x:c>
      <x:c r="C224" s="5" t="str">
        <x:v>Fortbildung</x:v>
      </x:c>
      <x:c r="D224" s="5" t="str">
        <x:v>vollständig abgedeckt</x:v>
      </x:c>
      <x:c r="E224" s="5" t="str">
        <x:v>vollständig abgedeckt</x:v>
      </x:c>
      <x:c r="F224" s="5" t="str"/>
      <x:c r="G224" s="5" t="str">
        <x:v>UF-0083–UF-0085; UF-0141–UF-0145; UF-0149–UF-0155; UF-0157, UF-0158; UF-0181; UF-0214–UF-0216</x:v>
      </x:c>
      <x:c r="H224" s="5" t="str"/>
      <x:c r="I224" s="5" t="str">
        <x:v>Analysebewertung erhalten; keine neue Frage allein aus ID-Zahlen ableiten.</x:v>
      </x:c>
      <x:c r="J224" s="5" t="str">
        <x:v>Soll-Ist-Matrix 2026-09-27</x:v>
      </x:c>
      <x:c r="K224" s="5" t="str">
        <x:v>Vorbewertung aus Soll-Ist-Matrix; Kandidaten nicht automatisch Einzelbelege</x:v>
      </x:c>
      <x:c r="L224" s="5" t="str"/>
    </x:row>
    <x:row r="225" ht="36" customHeight="1">
      <x:c r="A225" s="5" t="str">
        <x:v>4.3.1.3</x:v>
      </x:c>
      <x:c r="B225" s="5" t="str">
        <x:v>Unternehmensführung</x:v>
      </x:c>
      <x:c r="C225" s="5" t="str">
        <x:v>Innerbetriebliche Förderung</x:v>
      </x:c>
      <x:c r="D225" s="5" t="str">
        <x:v>vollständig abgedeckt</x:v>
      </x:c>
      <x:c r="E225" s="5" t="str">
        <x:v>vollständig abgedeckt</x:v>
      </x:c>
      <x:c r="F225" s="5" t="str"/>
      <x:c r="G225" s="5" t="str">
        <x:v>UF-0083–UF-0085; UF-0141–UF-0145; UF-0149–UF-0155; UF-0157, UF-0158; UF-0181; UF-0214–UF-0216</x:v>
      </x:c>
      <x:c r="H225" s="5" t="str"/>
      <x:c r="I225" s="5" t="str">
        <x:v>Analysebewertung erhalten; keine neue Frage allein aus ID-Zahlen ableiten.</x:v>
      </x:c>
      <x:c r="J225" s="5" t="str">
        <x:v>Soll-Ist-Matrix 2026-09-27</x:v>
      </x:c>
      <x:c r="K225" s="5" t="str">
        <x:v>Vorbewertung aus Soll-Ist-Matrix; Kandidaten nicht automatisch Einzelbelege</x:v>
      </x:c>
      <x:c r="L225" s="5" t="str">
        <x:v>UF-0150</x:v>
      </x:c>
    </x:row>
    <x:row r="226" ht="36" customHeight="1">
      <x:c r="A226" s="5" t="str">
        <x:v>4.3.2</x:v>
      </x:c>
      <x:c r="B226" s="5" t="str">
        <x:v>Unternehmensführung</x:v>
      </x:c>
      <x:c r="C226" s="5" t="str">
        <x:v>Potenzialanalyse</x:v>
      </x:c>
      <x:c r="D226" s="5" t="str">
        <x:v>vollständig abgedeckt</x:v>
      </x:c>
      <x:c r="E226" s="5" t="str">
        <x:v>vollständig abgedeckt</x:v>
      </x:c>
      <x:c r="F226" s="5" t="str"/>
      <x:c r="G226" s="5" t="str">
        <x:v>UF-0146, UF-0147; UF-0160–UF-0180; UF-0217; UF-0232</x:v>
      </x:c>
      <x:c r="H226" s="5" t="str"/>
      <x:c r="I226" s="5" t="str">
        <x:v>Analysebewertung erhalten; keine neue Frage allein aus ID-Zahlen ableiten.</x:v>
      </x:c>
      <x:c r="J226" s="5" t="str">
        <x:v>Soll-Ist-Matrix 2026-09-27</x:v>
      </x:c>
      <x:c r="K226" s="5" t="str">
        <x:v>Vorbewertung aus Soll-Ist-Matrix; Kandidaten nicht automatisch Einzelbelege</x:v>
      </x:c>
      <x:c r="L226" s="5" t="str">
        <x:v>UF-0146; UF-0147; UF-0160; UF-0161; UF-0162; UF-0163; UF-0164; UF-0165; UF-0166; UF-0167; UF-0168; UF-0169; UF-0170; UF-0171; UF-0172; UF-0173; UF-0175; UF-0176; UF-0177; UF-0178; UF-0179; UF-0180; UF-0232</x:v>
      </x:c>
    </x:row>
    <x:row r="227" ht="36" customHeight="1">
      <x:c r="A227" s="5" t="str">
        <x:v>4.3.3</x:v>
      </x:c>
      <x:c r="B227" s="5" t="str">
        <x:v>Unternehmensführung</x:v>
      </x:c>
      <x:c r="C227" s="5" t="str">
        <x:v>Kosten- und Nutzenanalyse der Personalentwicklung</x:v>
      </x:c>
      <x:c r="D227" s="5" t="str">
        <x:v>vollständig abgedeckt</x:v>
      </x:c>
      <x:c r="E227" s="5" t="str">
        <x:v>vollständig abgedeckt</x:v>
      </x:c>
      <x:c r="F227" s="5" t="str"/>
      <x:c r="G227" s="5" t="str">
        <x:v>UF-0146, UF-0147; UF-0160–UF-0180; UF-0217; UF-0232</x:v>
      </x:c>
      <x:c r="H227" s="5" t="str"/>
      <x:c r="I227" s="5" t="str">
        <x:v>Analysebewertung erhalten; keine neue Frage allein aus ID-Zahlen ableiten.</x:v>
      </x:c>
      <x:c r="J227" s="5" t="str">
        <x:v>Soll-Ist-Matrix 2026-09-27</x:v>
      </x:c>
      <x:c r="K227" s="5" t="str">
        <x:v>Vorbewertung aus Soll-Ist-Matrix; Kandidaten nicht automatisch Einzelbelege</x:v>
      </x:c>
      <x:c r="L227" s="5" t="str">
        <x:v>UF-0174; UF-0217</x:v>
      </x:c>
    </x:row>
    <x:row r="228" ht="36" customHeight="1">
      <x:c r="A228" s="5" t="str">
        <x:v>5</x:v>
      </x:c>
      <x:c r="B228" s="5" t="str">
        <x:v>Betriebliches Management</x:v>
      </x:c>
      <x:c r="C228" s="5" t="str">
        <x:v>Betriebliches Management</x:v>
      </x:c>
      <x:c r="D228" s="5" t="str">
        <x:v>teilweise abgedeckt</x:v>
      </x:c>
      <x:c r="E228" s="5" t="str">
        <x:v>teilweise abgedeckt</x:v>
      </x:c>
      <x:c r="F228" s="5" t="str">
        <x:v>BM-0113; BM-0116; BM-0117; BM-0118; BM-0119; BM-0120; BM-0121; BM-0122; BM-0123; BM-0127; BM-0128; BM-0134; BM-0152; BM-0146; BM-0147; BM-0260; BM-0140; BM-0141; BM-0154</x:v>
      </x:c>
      <x:c r="G228" s="5" t="str">
        <x:v>BM-0041–BM-0090; BM-0099–BM-0110; BM-0228; BM-0006; BM-0011; BM-0013; BM-0091–BM-0096; BM-0111–BM-0124; BM-0226, BM-0227; BM-0229; BM-0241, BM-0242; BM-0256; BM-0008–BM-0010; BM-0014; BM-0125–BM-0138; BM-0230; BM-0243; BM-0257, BM-0258; BM-0139–BM-0157; BM-0231, BM-0232; BM-0239; BM-0244; BM-0259, BM-0260; BM-0158–BM-0175; BM-0233–BM-0236; BM-0245, BM-0246; BM-0261, BM-0262; BM-0176–BM-0180; BM-0182; BM-0263; BM-0181; BM-0183–BM-0197; BM-0237; BM-0247; BM-0198–BM-0206; BM-0248–BM-0252; BM-0207–BM-0225; BM-0238; BM-0240; BM-0253, BM-0254</x:v>
      </x:c>
      <x:c r="H228" s="5" t="str">
        <x:v>5.2.3.3#2: Explizite Ableitung veränderter Positionsanforderungen aus einer konkret gewählten OE-Strategie fehlt weiterhin. | 5.2.3.4#4: Interne Auslegung freigegeben: „strategischer Kompetenzaufbau und künftige Rollenbesetzung“. Der strategische Zweck bleibt gegenüber Laufbahn-/Nachfolgeförderung nur indirekt erkennbar.</x:v>
      </x:c>
      <x:c r="I228" s="5" t="str">
        <x:v>Abgeleiteter Elternstatus; keine zusätzliche Inhaltsaufgabe. Siehe Einzelpunkte 5.1.4, 5.2.1, 5.2.3.3#2, 5.2.3.4#4</x:v>
      </x:c>
      <x:c r="J228" s="5" t="str">
        <x:v>Soll-Ist-Matrix 2026-09-27</x:v>
      </x:c>
      <x:c r="K228" s="5" t="str">
        <x:v>Elternbewertung aus einzeln geprüften Unterpunkten</x:v>
      </x:c>
      <x:c r="L228" s="5" t="str"/>
    </x:row>
    <x:row r="229" ht="36" customHeight="1">
      <x:c r="A229" s="5" t="str">
        <x:v>5.1</x:v>
      </x:c>
      <x:c r="B229" s="5" t="str">
        <x:v>Betriebliches Management</x:v>
      </x:c>
      <x:c r="C229" s="5" t="str">
        <x:v>Betriebliche Planungsprozesse unter Einbeziehung der Betriebsstatistik</x:v>
      </x:c>
      <x:c r="D229" s="5" t="str">
        <x:v>teilweise abgedeckt</x:v>
      </x:c>
      <x:c r="E229" s="5" t="str">
        <x:v>vollständig abgedeckt</x:v>
      </x:c>
      <x:c r="F229" s="5" t="str">
        <x:v>BM-0113; BM-0116; BM-0117; BM-0118; BM-0119; BM-0120; BM-0121; BM-0122; BM-0123</x:v>
      </x:c>
      <x:c r="G229" s="5" t="str">
        <x:v>BM-0041–BM-0090; BM-0099–BM-0110; BM-0228; BM-0006; BM-0011; BM-0013; BM-0091–BM-0096; BM-0111–BM-0124; BM-0226, BM-0227; BM-0229; BM-0241, BM-0242; BM-0256</x:v>
      </x:c>
      <x:c r="H229" s="5" t="str">
        <x:v>Keine verbleibende Lücke nach Einzelpunktprüfung</x:v>
      </x:c>
      <x:c r="I229" s="5" t="str">
        <x:v>Abgeleiteter Elternstatus; keine zusätzliche Inhaltsaufgabe. Siehe Einzelpunkte 5.1.4</x:v>
      </x:c>
      <x:c r="J229" s="5" t="str">
        <x:v>Soll-Ist-Matrix 2026-09-27</x:v>
      </x:c>
      <x:c r="K229" s="5" t="str">
        <x:v>Elternbewertung aus einzeln geprüften Unterpunkten</x:v>
      </x:c>
      <x:c r="L229" s="5" t="str"/>
    </x:row>
    <x:row r="230" ht="36" customHeight="1">
      <x:c r="A230" s="5" t="str">
        <x:v>5.1.1</x:v>
      </x:c>
      <x:c r="B230" s="5" t="str">
        <x:v>Betriebliches Management</x:v>
      </x:c>
      <x:c r="C230" s="5" t="str">
        <x:v>Betriebliches Zielsystem</x:v>
      </x:c>
      <x:c r="D230" s="5" t="str">
        <x:v>vollständig abgedeckt</x:v>
      </x:c>
      <x:c r="E230" s="5" t="str">
        <x:v>vollständig abgedeckt</x:v>
      </x:c>
      <x:c r="F230" s="5" t="str"/>
      <x:c r="G230" s="5" t="str">
        <x:v>BM-0041–BM-0090; BM-0099–BM-0110; BM-0228</x:v>
      </x:c>
      <x:c r="H230" s="5" t="str"/>
      <x:c r="I230" s="5" t="str">
        <x:v>Analysebewertung erhalten; keine neue Frage allein aus ID-Zahlen ableiten.</x:v>
      </x:c>
      <x:c r="J230" s="5" t="str">
        <x:v>Soll-Ist-Matrix 2026-09-27</x:v>
      </x:c>
      <x:c r="K230" s="5" t="str">
        <x:v>Vorbewertung aus Soll-Ist-Matrix; Kandidaten nicht automatisch Einzelbelege</x:v>
      </x:c>
      <x:c r="L230" s="5" t="str">
        <x:v>BM-0001; BM-0002; BM-0003; BM-0004; BM-0005; BM-0012; BM-0015; BM-0016; BM-0017; BM-0018; BM-0019; BM-0020; BM-0021; BM-0022; BM-0023; BM-0024; BM-0025; BM-0026; BM-0027; BM-0028; BM-0029; BM-0030; BM-0031; BM-0032; BM-0033; BM-0034; BM-0035; BM-0036; BM-0037; BM-0038; BM-0039; BM-0040; BM-0041; BM-0042; BM-0043; BM-0044; BM-0045; BM-0046; BM-0047; BM-0048; BM-0049; BM-0050; BM-0051; BM-0052; BM-0053; BM-0054; BM-0055; BM-0056; BM-0057; BM-0058; BM-0059; BM-0060; BM-0061; BM-0062; BM-0063; BM-0064; BM-0065; BM-0066; BM-0067; BM-0068; BM-0069; BM-0070; BM-0071; BM-0072; BM-0073; BM-0074; BM-0075; BM-0076; BM-0077; BM-0078; BM-0079; BM-0080; BM-0081; BM-0082; BM-0083; BM-0084; BM-0085; BM-0086; BM-0087; BM-0088; BM-0089; BM-0090; BM-0097; BM-0098; BM-0099; BM-0100; BM-0101; BM-0102; BM-0103; BM-0104; BM-0105; BM-0106; BM-0107; BM-0108; BM-0109; BM-0110; BM-0228; BM-0255</x:v>
      </x:c>
    </x:row>
    <x:row r="231" ht="36" customHeight="1">
      <x:c r="A231" s="5" t="str">
        <x:v>5.1.2</x:v>
      </x:c>
      <x:c r="B231" s="5" t="str">
        <x:v>Betriebliches Management</x:v>
      </x:c>
      <x:c r="C231" s="5" t="str">
        <x:v>Bedeutung des betrieblichen Zielsystems für den Planungsprozess</x:v>
      </x:c>
      <x:c r="D231" s="5" t="str">
        <x:v>vollständig abgedeckt</x:v>
      </x:c>
      <x:c r="E231" s="5" t="str">
        <x:v>vollständig abgedeckt</x:v>
      </x:c>
      <x:c r="F231" s="5" t="str"/>
      <x:c r="G231" s="5" t="str">
        <x:v>BM-0041–BM-0090; BM-0099–BM-0110; BM-0228; BM-0006; BM-0011; BM-0013; BM-0091–BM-0096; BM-0111–BM-0124; BM-0226, BM-0227; BM-0229; BM-0241, BM-0242; BM-0256</x:v>
      </x:c>
      <x:c r="H231" s="5" t="str"/>
      <x:c r="I231" s="5" t="str">
        <x:v>Analysebewertung erhalten; keine neue Frage allein aus ID-Zahlen ableiten.</x:v>
      </x:c>
      <x:c r="J231" s="5" t="str">
        <x:v>Soll-Ist-Matrix 2026-09-27</x:v>
      </x:c>
      <x:c r="K231" s="5" t="str">
        <x:v>Vorbewertung aus Soll-Ist-Matrix; Kandidaten nicht automatisch Einzelbelege</x:v>
      </x:c>
      <x:c r="L231" s="5" t="str"/>
    </x:row>
    <x:row r="232" ht="36" customHeight="1">
      <x:c r="A232" s="5" t="str">
        <x:v>5.1.3</x:v>
      </x:c>
      <x:c r="B232" s="5" t="str">
        <x:v>Betriebliches Management</x:v>
      </x:c>
      <x:c r="C232" s="5" t="str">
        <x:v>Zusammenhang zwischen strategischer und operativer Planung</x:v>
      </x:c>
      <x:c r="D232" s="5" t="str">
        <x:v>vollständig abgedeckt</x:v>
      </x:c>
      <x:c r="E232" s="5" t="str">
        <x:v>vollständig abgedeckt</x:v>
      </x:c>
      <x:c r="F232" s="5" t="str"/>
      <x:c r="G232" s="5" t="str">
        <x:v>BM-0006; BM-0011; BM-0013; BM-0091–BM-0096; BM-0111–BM-0124; BM-0226, BM-0227; BM-0229; BM-0241, BM-0242; BM-0256</x:v>
      </x:c>
      <x:c r="H232" s="5" t="str"/>
      <x:c r="I232" s="5" t="str">
        <x:v>Analysebewertung erhalten; keine neue Frage allein aus ID-Zahlen ableiten.</x:v>
      </x:c>
      <x:c r="J232" s="5" t="str">
        <x:v>Soll-Ist-Matrix 2026-09-27</x:v>
      </x:c>
      <x:c r="K232" s="5" t="str">
        <x:v>Vorbewertung aus Soll-Ist-Matrix; Kandidaten nicht automatisch Einzelbelege</x:v>
      </x:c>
      <x:c r="L232" s="5" t="str">
        <x:v>BM-0006; BM-0013; BM-0091; BM-0092; BM-0093; BM-0094; BM-0095; BM-0096; BM-0111; BM-0112; BM-0113; BM-0114; BM-0115; BM-0124; BM-0226; BM-0227; BM-0229; BM-0242</x:v>
      </x:c>
    </x:row>
    <x:row r="233" ht="36" customHeight="1">
      <x:c r="A233" s="5" t="str">
        <x:v>5.1.4</x:v>
      </x:c>
      <x:c r="B233" s="5" t="str">
        <x:v>Betriebliches Management</x:v>
      </x:c>
      <x:c r="C233" s="5" t="str">
        <x:v>Betriebsstatistik, Vergleichsrechnung, Planungsrechnung als Grundlage betrieblicher Planungsprozesse</x:v>
      </x:c>
      <x:c r="D233" s="5" t="str">
        <x:v>teilweise abgedeckt</x:v>
      </x:c>
      <x:c r="E233" s="5" t="str">
        <x:v>vollständig abgedeckt</x:v>
      </x:c>
      <x:c r="F233" s="5" t="str">
        <x:v>BM-0113; BM-0116; BM-0117; BM-0118; BM-0119; BM-0120; BM-0121; BM-0122; BM-0123</x:v>
      </x:c>
      <x:c r="G233" s="5" t="str">
        <x:v>BM-0006; BM-0011; BM-0013; BM-0091–BM-0096; BM-0111–BM-0124; BM-0226, BM-0227; BM-0229; BM-0241, BM-0242; BM-0256</x:v>
      </x:c>
      <x:c r="H233" s="5" t="str">
        <x:v>Keine zusätzliche Lücke allein wegen fehlender Überschrift Betriebsstatistik; das Dozentenskript behandelt diesen Abschnitt ebenfalls über Kennzahlen und Vergleiche.</x:v>
      </x:c>
      <x:c r="I233" s="5" t="str">
        <x:v>Belege zu 5.1.4 zusammenführen; keine künstliche Statistik-Ergänzung.</x:v>
      </x:c>
      <x:c r="J233" s="5" t="str">
        <x:v>BM_Plan: Kap. 1.4 Betriebsstatistik und Vergleichsrechnung; BM_Buch: Kap. 1.4</x:v>
      </x:c>
      <x:c r="K233" s="5" t="str">
        <x:v>Vorbewertung aus Soll-Ist-Matrix; Kandidaten nicht automatisch Einzelbelege</x:v>
      </x:c>
      <x:c r="L233" s="5" t="str">
        <x:v>BM-0011; BM-0116; BM-0117; BM-0118; BM-0119; BM-0120; BM-0121; BM-0122; BM-0123; BM-0241; BM-0256; PF-0202</x:v>
      </x:c>
    </x:row>
    <x:row r="234" ht="36" customHeight="1">
      <x:c r="A234" s="5" t="str">
        <x:v>5.1.5</x:v>
      </x:c>
      <x:c r="B234" s="5" t="str">
        <x:v>Betriebliches Management</x:v>
      </x:c>
      <x:c r="C234" s="5" t="str">
        <x:v>Entscheidungsprozesse in der betrieblichen Planung</x:v>
      </x:c>
      <x:c r="D234" s="5" t="str">
        <x:v>vollständig abgedeckt</x:v>
      </x:c>
      <x:c r="E234" s="5" t="str">
        <x:v>vollständig abgedeckt</x:v>
      </x:c>
      <x:c r="F234" s="5" t="str"/>
      <x:c r="G234" s="5" t="str">
        <x:v>BM-0041–BM-0090; BM-0099–BM-0110; BM-0228; BM-0006; BM-0011; BM-0013; BM-0091–BM-0096; BM-0111–BM-0124; BM-0226, BM-0227; BM-0229; BM-0241, BM-0242; BM-0256</x:v>
      </x:c>
      <x:c r="H234" s="5" t="str"/>
      <x:c r="I234" s="5" t="str">
        <x:v>Analysebewertung erhalten; keine neue Frage allein aus ID-Zahlen ableiten.</x:v>
      </x:c>
      <x:c r="J234" s="5" t="str">
        <x:v>Soll-Ist-Matrix 2026-09-27</x:v>
      </x:c>
      <x:c r="K234" s="5" t="str">
        <x:v>Vorbewertung aus Soll-Ist-Matrix; Kandidaten nicht automatisch Einzelbelege</x:v>
      </x:c>
      <x:c r="L234" s="5" t="str"/>
    </x:row>
    <x:row r="235" ht="36" customHeight="1">
      <x:c r="A235" s="5" t="str">
        <x:v>5.2</x:v>
      </x:c>
      <x:c r="B235" s="5" t="str">
        <x:v>Betriebliches Management</x:v>
      </x:c>
      <x:c r="C235" s="5" t="str">
        <x:v>Organisations- und Personalentwicklung</x:v>
      </x:c>
      <x:c r="D235" s="5" t="str">
        <x:v>teilweise abgedeckt</x:v>
      </x:c>
      <x:c r="E235" s="5" t="str">
        <x:v>teilweise abgedeckt</x:v>
      </x:c>
      <x:c r="F235" s="5" t="str">
        <x:v>BM-0113; BM-0127; BM-0128; BM-0134; BM-0152; BM-0146; BM-0147; BM-0260; BM-0140; BM-0141; BM-0154</x:v>
      </x:c>
      <x:c r="G235" s="5" t="str">
        <x:v>BM-0008–BM-0010; BM-0014; BM-0125–BM-0138; BM-0230; BM-0243; BM-0257, BM-0258; BM-0139–BM-0157; BM-0231, BM-0232; BM-0239; BM-0244; BM-0259, BM-0260</x:v>
      </x:c>
      <x:c r="H235" s="5" t="str">
        <x:v>5.2.3.3#2: Explizite Ableitung veränderter Positionsanforderungen aus einer konkret gewählten OE-Strategie fehlt weiterhin. | 5.2.3.4#4: Interne Auslegung freigegeben: „strategischer Kompetenzaufbau und künftige Rollenbesetzung“. Der strategische Zweck bleibt gegenüber Laufbahn-/Nachfolgeförderung nur indirekt erkennbar.</x:v>
      </x:c>
      <x:c r="I235" s="5" t="str">
        <x:v>Abgeleiteter Elternstatus; keine zusätzliche Inhaltsaufgabe. Siehe Einzelpunkte 5.2.1, 5.2.3.3#2, 5.2.3.4#4</x:v>
      </x:c>
      <x:c r="J235" s="5" t="str">
        <x:v>Soll-Ist-Matrix 2026-09-27</x:v>
      </x:c>
      <x:c r="K235" s="5" t="str">
        <x:v>Elternbewertung aus einzeln geprüften Unterpunkten</x:v>
      </x:c>
      <x:c r="L235" s="5" t="str"/>
    </x:row>
    <x:row r="236" ht="36" customHeight="1">
      <x:c r="A236" s="5" t="str">
        <x:v>5.2.1</x:v>
      </x:c>
      <x:c r="B236" s="5" t="str">
        <x:v>Betriebliches Management</x:v>
      </x:c>
      <x:c r="C236" s="5" t="str">
        <x:v>Auswirkungen betrieblicher Planungsprozesse auf die Organisations- und Personalentwicklung</x:v>
      </x:c>
      <x:c r="D236" s="5" t="str">
        <x:v>teilweise abgedeckt</x:v>
      </x:c>
      <x:c r="E236" s="5" t="str">
        <x:v>vollständig abgedeckt</x:v>
      </x:c>
      <x:c r="F236" s="5" t="str">
        <x:v>BM-0113; BM-0127; BM-0128; BM-0134; BM-0152</x:v>
      </x:c>
      <x:c r="G236" s="5" t="str">
        <x:v>BM-0008–BM-0010; BM-0014; BM-0125–BM-0138; BM-0230; BM-0243; BM-0257, BM-0258; BM-0139–BM-0157; BM-0231, BM-0232; BM-0239; BM-0244; BM-0259, BM-0260</x:v>
      </x:c>
      <x:c r="H236" s="5" t="str">
        <x:v>Kein fehlender Einzelaspekt nachweisbar; eine zusätzliche integrative Fallfrage wäre didaktisch möglich, ist aber kein Vollständigkeitskriterium.</x:v>
      </x:c>
      <x:c r="I236" s="5" t="str">
        <x:v>Querverbindungen zwischen Planung, OE und PE ausdrücklich dokumentieren.</x:v>
      </x:c>
      <x:c r="J236" s="5" t="str">
        <x:v>BM_Skript: Organisationsentwicklung/Ursachen und Beteiligung; BM_PE: Bedarf und PE-Prozess; BM_Buch: Kap. 2.1</x:v>
      </x:c>
      <x:c r="K236" s="5" t="str">
        <x:v>Vorbewertung aus Soll-Ist-Matrix; Kandidaten nicht automatisch Einzelbelege</x:v>
      </x:c>
      <x:c r="L236" s="5" t="str"/>
    </x:row>
    <x:row r="237" ht="36" customHeight="1">
      <x:c r="A237" s="5" t="str">
        <x:v>5.2.2</x:v>
      </x:c>
      <x:c r="B237" s="5" t="str">
        <x:v>Betriebliches Management</x:v>
      </x:c>
      <x:c r="C237" s="5" t="str">
        <x:v>Organisationsentwicklung (OE)</x:v>
      </x:c>
      <x:c r="D237" s="5" t="str">
        <x:v>vollständig abgedeckt</x:v>
      </x:c>
      <x:c r="E237" s="5" t="str">
        <x:v>vollständig abgedeckt</x:v>
      </x:c>
      <x:c r="F237" s="5" t="str"/>
      <x:c r="G237" s="5" t="str">
        <x:v>BM-0008–BM-0010; BM-0014; BM-0125–BM-0138; BM-0230; BM-0243; BM-0257, BM-0258</x:v>
      </x:c>
      <x:c r="H237" s="5" t="str"/>
      <x:c r="I237" s="5" t="str">
        <x:v>Analysebewertung erhalten; keine neue Frage allein aus ID-Zahlen ableiten.</x:v>
      </x:c>
      <x:c r="J237" s="5" t="str">
        <x:v>Soll-Ist-Matrix 2026-09-27</x:v>
      </x:c>
      <x:c r="K237" s="5" t="str">
        <x:v>Vorbewertung aus Soll-Ist-Matrix; Kandidaten nicht automatisch Einzelbelege</x:v>
      </x:c>
      <x:c r="L237" s="5" t="str">
        <x:v>BM-0008; BM-0009; BM-0010; BM-0125; BM-0126; BM-0127; BM-0128; BM-0129; BM-0130; BM-0131; BM-0132; BM-0133; BM-0134; BM-0135; BM-0136; BM-0230; BM-0243; BM-0257</x:v>
      </x:c>
    </x:row>
    <x:row r="238" ht="36" customHeight="1">
      <x:c r="A238" s="5" t="str">
        <x:v>5.2.2.1</x:v>
      </x:c>
      <x:c r="B238" s="5" t="str">
        <x:v>Betriebliches Management</x:v>
      </x:c>
      <x:c r="C238" s="5" t="str">
        <x:v>Ziele der Organisationsentwicklung</x:v>
      </x:c>
      <x:c r="D238" s="5" t="str">
        <x:v>vollständig abgedeckt</x:v>
      </x:c>
      <x:c r="E238" s="5" t="str">
        <x:v>vollständig abgedeckt</x:v>
      </x:c>
      <x:c r="F238" s="5" t="str"/>
      <x:c r="G238" s="5" t="str">
        <x:v>BM-0008–BM-0010; BM-0014; BM-0125–BM-0138; BM-0230; BM-0243; BM-0257, BM-0258</x:v>
      </x:c>
      <x:c r="H238" s="5" t="str"/>
      <x:c r="I238" s="5" t="str">
        <x:v>Analysebewertung erhalten; keine neue Frage allein aus ID-Zahlen ableiten.</x:v>
      </x:c>
      <x:c r="J238" s="5" t="str">
        <x:v>Soll-Ist-Matrix 2026-09-27</x:v>
      </x:c>
      <x:c r="K238" s="5" t="str">
        <x:v>Vorbewertung aus Soll-Ist-Matrix; Kandidaten nicht automatisch Einzelbelege</x:v>
      </x:c>
      <x:c r="L238" s="5" t="str"/>
    </x:row>
    <x:row r="239" ht="36" customHeight="1">
      <x:c r="A239" s="5" t="str">
        <x:v>5.2.2.2</x:v>
      </x:c>
      <x:c r="B239" s="5" t="str">
        <x:v>Betriebliches Management</x:v>
      </x:c>
      <x:c r="C239" s="5" t="str">
        <x:v>Konzept der Organisationsentwicklung</x:v>
      </x:c>
      <x:c r="D239" s="5" t="str">
        <x:v>vollständig abgedeckt</x:v>
      </x:c>
      <x:c r="E239" s="5" t="str">
        <x:v>vollständig abgedeckt</x:v>
      </x:c>
      <x:c r="F239" s="5" t="str"/>
      <x:c r="G239" s="5" t="str">
        <x:v>BM-0008–BM-0010; BM-0014; BM-0125–BM-0138; BM-0230; BM-0243; BM-0257, BM-0258</x:v>
      </x:c>
      <x:c r="H239" s="5" t="str"/>
      <x:c r="I239" s="5" t="str">
        <x:v>Analysebewertung erhalten; keine neue Frage allein aus ID-Zahlen ableiten.</x:v>
      </x:c>
      <x:c r="J239" s="5" t="str">
        <x:v>Soll-Ist-Matrix 2026-09-27</x:v>
      </x:c>
      <x:c r="K239" s="5" t="str">
        <x:v>Vorbewertung aus Soll-Ist-Matrix; Kandidaten nicht automatisch Einzelbelege</x:v>
      </x:c>
      <x:c r="L239" s="5" t="str"/>
    </x:row>
    <x:row r="240" ht="36" customHeight="1">
      <x:c r="A240" s="5" t="str">
        <x:v>5.2.2.2#1</x:v>
      </x:c>
      <x:c r="B240" s="5" t="str">
        <x:v>Betriebliches Management</x:v>
      </x:c>
      <x:c r="C240" s="5" t="str">
        <x:v>Gründe für Organisationsveränderungen</x:v>
      </x:c>
      <x:c r="D240" s="5" t="str">
        <x:v>vollständig abgedeckt</x:v>
      </x:c>
      <x:c r="E240" s="5" t="str">
        <x:v>vollständig abgedeckt</x:v>
      </x:c>
      <x:c r="F240" s="5" t="str"/>
      <x:c r="G240" s="5" t="str">
        <x:v>BM-0008–BM-0010; BM-0014; BM-0125–BM-0138; BM-0230; BM-0243; BM-0257, BM-0258</x:v>
      </x:c>
      <x:c r="H240" s="5" t="str"/>
      <x:c r="I240" s="5" t="str">
        <x:v>Analysebewertung erhalten; keine neue Frage allein aus ID-Zahlen ableiten.</x:v>
      </x:c>
      <x:c r="J240" s="5" t="str">
        <x:v>Soll-Ist-Matrix 2026-09-27</x:v>
      </x:c>
      <x:c r="K240" s="5" t="str">
        <x:v>Vorbewertung aus Soll-Ist-Matrix; Kandidaten nicht automatisch Einzelbelege</x:v>
      </x:c>
      <x:c r="L240" s="5" t="str"/>
    </x:row>
    <x:row r="241" ht="36" customHeight="1">
      <x:c r="A241" s="5" t="str">
        <x:v>5.2.2.2#2</x:v>
      </x:c>
      <x:c r="B241" s="5" t="str">
        <x:v>Betriebliches Management</x:v>
      </x:c>
      <x:c r="C241" s="5" t="str">
        <x:v>Phasen des OE-Prozesses</x:v>
      </x:c>
      <x:c r="D241" s="5" t="str">
        <x:v>vollständig abgedeckt</x:v>
      </x:c>
      <x:c r="E241" s="5" t="str">
        <x:v>vollständig abgedeckt</x:v>
      </x:c>
      <x:c r="F241" s="5" t="str"/>
      <x:c r="G241" s="5" t="str">
        <x:v>BM-0008–BM-0010; BM-0014; BM-0125–BM-0138; BM-0230; BM-0243; BM-0257, BM-0258</x:v>
      </x:c>
      <x:c r="H241" s="5" t="str"/>
      <x:c r="I241" s="5" t="str">
        <x:v>Analysebewertung erhalten; keine neue Frage allein aus ID-Zahlen ableiten.</x:v>
      </x:c>
      <x:c r="J241" s="5" t="str">
        <x:v>Soll-Ist-Matrix 2026-09-27</x:v>
      </x:c>
      <x:c r="K241" s="5" t="str">
        <x:v>Vorbewertung aus Soll-Ist-Matrix; Kandidaten nicht automatisch Einzelbelege</x:v>
      </x:c>
      <x:c r="L241" s="5" t="str">
        <x:v>BM-0014; BM-0138; BM-0258</x:v>
      </x:c>
    </x:row>
    <x:row r="242" ht="36" customHeight="1">
      <x:c r="A242" s="5" t="str">
        <x:v>5.2.2.3</x:v>
      </x:c>
      <x:c r="B242" s="5" t="str">
        <x:v>Betriebliches Management</x:v>
      </x:c>
      <x:c r="C242" s="5" t="str">
        <x:v>Lernende Organisation</x:v>
      </x:c>
      <x:c r="D242" s="5" t="str">
        <x:v>vollständig abgedeckt</x:v>
      </x:c>
      <x:c r="E242" s="5" t="str">
        <x:v>vollständig abgedeckt</x:v>
      </x:c>
      <x:c r="F242" s="5" t="str"/>
      <x:c r="G242" s="5" t="str">
        <x:v>BM-0008–BM-0010; BM-0014; BM-0125–BM-0138; BM-0230; BM-0243; BM-0257, BM-0258</x:v>
      </x:c>
      <x:c r="H242" s="5" t="str"/>
      <x:c r="I242" s="5" t="str">
        <x:v>Analysebewertung erhalten; keine neue Frage allein aus ID-Zahlen ableiten.</x:v>
      </x:c>
      <x:c r="J242" s="5" t="str">
        <x:v>Soll-Ist-Matrix 2026-09-27</x:v>
      </x:c>
      <x:c r="K242" s="5" t="str">
        <x:v>Vorbewertung aus Soll-Ist-Matrix; Kandidaten nicht automatisch Einzelbelege</x:v>
      </x:c>
      <x:c r="L242" s="5" t="str">
        <x:v>BM-0137</x:v>
      </x:c>
    </x:row>
    <x:row r="243" ht="36" customHeight="1">
      <x:c r="A243" s="5" t="str">
        <x:v>5.2.3</x:v>
      </x:c>
      <x:c r="B243" s="5" t="str">
        <x:v>Betriebliches Management</x:v>
      </x:c>
      <x:c r="C243" s="5" t="str">
        <x:v>Personalentwicklung (PE)</x:v>
      </x:c>
      <x:c r="D243" s="5" t="str">
        <x:v>teilweise abgedeckt</x:v>
      </x:c>
      <x:c r="E243" s="5" t="str">
        <x:v>teilweise abgedeckt</x:v>
      </x:c>
      <x:c r="F243" s="5" t="str">
        <x:v>BM-0146; BM-0147; BM-0260; BM-0140; BM-0141; BM-0152; BM-0154</x:v>
      </x:c>
      <x:c r="G243" s="5" t="str">
        <x:v>BM-0139–BM-0157; BM-0231, BM-0232; BM-0239; BM-0244; BM-0259, BM-0260</x:v>
      </x:c>
      <x:c r="H243" s="5" t="str">
        <x:v>5.2.3.3#2: Explizite Ableitung veränderter Positionsanforderungen aus einer konkret gewählten OE-Strategie fehlt weiterhin. | 5.2.3.4#4: Interne Auslegung freigegeben: „strategischer Kompetenzaufbau und künftige Rollenbesetzung“. Der strategische Zweck bleibt gegenüber Laufbahn-/Nachfolgeförderung nur indirekt erkennbar.</x:v>
      </x:c>
      <x:c r="I243" s="5" t="str">
        <x:v>Abgeleiteter Elternstatus; keine zusätzliche Inhaltsaufgabe. Siehe Einzelpunkte 5.2.3.3#2, 5.2.3.4#4</x:v>
      </x:c>
      <x:c r="J243" s="5" t="str">
        <x:v>Soll-Ist-Matrix 2026-09-27</x:v>
      </x:c>
      <x:c r="K243" s="5" t="str">
        <x:v>Elternbewertung aus einzeln geprüften Unterpunkten</x:v>
      </x:c>
      <x:c r="L243" s="5" t="str">
        <x:v>BM-0139; BM-0140; BM-0141; BM-0142; BM-0143; BM-0144; BM-0145; BM-0146; BM-0147; BM-0148; BM-0149; BM-0150; BM-0151; BM-0152; BM-0153; BM-0154; BM-0155; BM-0156; BM-0157; BM-0231; BM-0232; BM-0239; BM-0244; BM-0259; BM-0260</x:v>
      </x:c>
    </x:row>
    <x:row r="244" ht="36" customHeight="1">
      <x:c r="A244" s="5" t="str">
        <x:v>5.2.3.1</x:v>
      </x:c>
      <x:c r="B244" s="5" t="str">
        <x:v>Betriebliches Management</x:v>
      </x:c>
      <x:c r="C244" s="5" t="str">
        <x:v>Ziele der Personalentwicklung</x:v>
      </x:c>
      <x:c r="D244" s="5" t="str">
        <x:v>vollständig abgedeckt</x:v>
      </x:c>
      <x:c r="E244" s="5" t="str">
        <x:v>vollständig abgedeckt</x:v>
      </x:c>
      <x:c r="F244" s="5" t="str"/>
      <x:c r="G244" s="5" t="str">
        <x:v>BM-0139–BM-0157; BM-0231, BM-0232; BM-0239; BM-0244; BM-0259, BM-0260</x:v>
      </x:c>
      <x:c r="H244" s="5" t="str"/>
      <x:c r="I244" s="5" t="str">
        <x:v>Analysebewertung erhalten; keine neue Frage allein aus ID-Zahlen ableiten.</x:v>
      </x:c>
      <x:c r="J244" s="5" t="str">
        <x:v>Soll-Ist-Matrix 2026-09-27</x:v>
      </x:c>
      <x:c r="K244" s="5" t="str">
        <x:v>Vorbewertung aus Soll-Ist-Matrix; Kandidaten nicht automatisch Einzelbelege</x:v>
      </x:c>
      <x:c r="L244" s="5" t="str"/>
    </x:row>
    <x:row r="245" ht="36" customHeight="1">
      <x:c r="A245" s="5" t="str">
        <x:v>5.2.3.2</x:v>
      </x:c>
      <x:c r="B245" s="5" t="str">
        <x:v>Betriebliches Management</x:v>
      </x:c>
      <x:c r="C245" s="5" t="str">
        <x:v>Verantwortlichkeit für die Personalentwicklung</x:v>
      </x:c>
      <x:c r="D245" s="5" t="str">
        <x:v>vollständig abgedeckt</x:v>
      </x:c>
      <x:c r="E245" s="5" t="str">
        <x:v>vollständig abgedeckt</x:v>
      </x:c>
      <x:c r="F245" s="5" t="str"/>
      <x:c r="G245" s="5" t="str">
        <x:v>BM-0139–BM-0157; BM-0231, BM-0232; BM-0239; BM-0244; BM-0259, BM-0260</x:v>
      </x:c>
      <x:c r="H245" s="5" t="str"/>
      <x:c r="I245" s="5" t="str">
        <x:v>Analysebewertung erhalten; keine neue Frage allein aus ID-Zahlen ableiten.</x:v>
      </x:c>
      <x:c r="J245" s="5" t="str">
        <x:v>Soll-Ist-Matrix 2026-09-27</x:v>
      </x:c>
      <x:c r="K245" s="5" t="str">
        <x:v>Vorbewertung aus Soll-Ist-Matrix; Kandidaten nicht automatisch Einzelbelege</x:v>
      </x:c>
      <x:c r="L245" s="5" t="str"/>
    </x:row>
    <x:row r="246" ht="36" customHeight="1">
      <x:c r="A246" s="5" t="str">
        <x:v>5.2.3.3</x:v>
      </x:c>
      <x:c r="B246" s="5" t="str">
        <x:v>Betriebliches Management</x:v>
      </x:c>
      <x:c r="C246" s="5" t="str">
        <x:v>Instrumente der Personalentwicklung</x:v>
      </x:c>
      <x:c r="D246" s="5" t="str">
        <x:v>teilweise abgedeckt</x:v>
      </x:c>
      <x:c r="E246" s="5" t="str">
        <x:v>teilweise abgedeckt</x:v>
      </x:c>
      <x:c r="F246" s="5" t="str">
        <x:v>BM-0146; BM-0147; BM-0260</x:v>
      </x:c>
      <x:c r="G246" s="5" t="str">
        <x:v>BM-0139–BM-0157; BM-0231, BM-0232; BM-0239; BM-0244; BM-0259, BM-0260</x:v>
      </x:c>
      <x:c r="H246" s="5" t="str">
        <x:v>5.2.3.3#2: Explizite Ableitung veränderter Positionsanforderungen aus einer konkret gewählten OE-Strategie fehlt weiterhin.</x:v>
      </x:c>
      <x:c r="I246" s="5" t="str">
        <x:v>Abgeleiteter Elternstatus; keine zusätzliche Inhaltsaufgabe. Siehe Einzelpunkte 5.2.3.3#2</x:v>
      </x:c>
      <x:c r="J246" s="5" t="str">
        <x:v>Soll-Ist-Matrix 2026-09-27</x:v>
      </x:c>
      <x:c r="K246" s="5" t="str">
        <x:v>Elternbewertung aus einzeln geprüften Unterpunkten</x:v>
      </x:c>
      <x:c r="L246" s="5" t="str"/>
    </x:row>
    <x:row r="247" ht="36" customHeight="1">
      <x:c r="A247" s="5" t="str">
        <x:v>5.2.3.3#1</x:v>
      </x:c>
      <x:c r="B247" s="5" t="str">
        <x:v>Betriebliches Management</x:v>
      </x:c>
      <x:c r="C247" s="5" t="str">
        <x:v>Stellenbeschreibungen</x:v>
      </x:c>
      <x:c r="D247" s="5" t="str">
        <x:v>vollständig abgedeckt</x:v>
      </x:c>
      <x:c r="E247" s="5" t="str">
        <x:v>vollständig abgedeckt</x:v>
      </x:c>
      <x:c r="F247" s="5" t="str"/>
      <x:c r="G247" s="5" t="str">
        <x:v>BM-0139–BM-0157; BM-0231, BM-0232; BM-0239; BM-0244; BM-0259, BM-0260</x:v>
      </x:c>
      <x:c r="H247" s="5" t="str"/>
      <x:c r="I247" s="5" t="str">
        <x:v>Analysebewertung erhalten; keine neue Frage allein aus ID-Zahlen ableiten.</x:v>
      </x:c>
      <x:c r="J247" s="5" t="str">
        <x:v>Soll-Ist-Matrix 2026-09-27</x:v>
      </x:c>
      <x:c r="K247" s="5" t="str">
        <x:v>Vorbewertung aus Soll-Ist-Matrix; Kandidaten nicht automatisch Einzelbelege</x:v>
      </x:c>
      <x:c r="L247" s="5" t="str"/>
    </x:row>
    <x:row r="248" ht="36" customHeight="1">
      <x:c r="A248" s="5" t="str">
        <x:v>5.2.3.3#2</x:v>
      </x:c>
      <x:c r="B248" s="5" t="str">
        <x:v>Betriebliches Management</x:v>
      </x:c>
      <x:c r="C248" s="5" t="str">
        <x:v>Positionsanforderungen gemäß OE-Strategie</x:v>
      </x:c>
      <x:c r="D248" s="5" t="str">
        <x:v>teilweise abgedeckt</x:v>
      </x:c>
      <x:c r="E248" s="5" t="str">
        <x:v>teilweise abgedeckt</x:v>
      </x:c>
      <x:c r="F248" s="5" t="str">
        <x:v>BM-0146; BM-0147; BM-0260</x:v>
      </x:c>
      <x:c r="G248" s="5" t="str">
        <x:v>BM-0139–BM-0157; BM-0231, BM-0232; BM-0239; BM-0244; BM-0259, BM-0260</x:v>
      </x:c>
      <x:c r="H248" s="5" t="str">
        <x:v>Explizite Ableitung veränderter Positionsanforderungen aus einer konkret gewählten OE-Strategie fehlt weiterhin.</x:v>
      </x:c>
      <x:c r="I248" s="5" t="str">
        <x:v>BM-0260 später um Strategieänderung und Ableitung künftiger Anforderungen erweitern; alternativ eigener Fall nach Freigabe.</x:v>
      </x:c>
      <x:c r="J248" s="5" t="str">
        <x:v>BM_Buch: Kap. 2.3 Instrumente, Stellen-/Anforderungsprofile; BM_PE: Personalentwicklungsprozess und Bedarf</x:v>
      </x:c>
      <x:c r="K248" s="5" t="str">
        <x:v>Vorbewertung aus Soll-Ist-Matrix; Kandidaten nicht automatisch Einzelbelege</x:v>
      </x:c>
      <x:c r="L248" s="5" t="str"/>
    </x:row>
    <x:row r="249" ht="36" customHeight="1">
      <x:c r="A249" s="5" t="str">
        <x:v>5.2.3.3#3</x:v>
      </x:c>
      <x:c r="B249" s="5" t="str">
        <x:v>Betriebliches Management</x:v>
      </x:c>
      <x:c r="C249" s="5" t="str">
        <x:v>PE-Gespräche</x:v>
      </x:c>
      <x:c r="D249" s="5" t="str">
        <x:v>vollständig abgedeckt</x:v>
      </x:c>
      <x:c r="E249" s="5" t="str">
        <x:v>vollständig abgedeckt</x:v>
      </x:c>
      <x:c r="F249" s="5" t="str"/>
      <x:c r="G249" s="5" t="str">
        <x:v>BM-0139–BM-0157; BM-0231, BM-0232; BM-0239; BM-0244; BM-0259, BM-0260</x:v>
      </x:c>
      <x:c r="H249" s="5" t="str"/>
      <x:c r="I249" s="5" t="str">
        <x:v>Analysebewertung erhalten; keine neue Frage allein aus ID-Zahlen ableiten.</x:v>
      </x:c>
      <x:c r="J249" s="5" t="str">
        <x:v>Soll-Ist-Matrix 2026-09-27</x:v>
      </x:c>
      <x:c r="K249" s="5" t="str">
        <x:v>Vorbewertung aus Soll-Ist-Matrix; Kandidaten nicht automatisch Einzelbelege</x:v>
      </x:c>
      <x:c r="L249" s="5" t="str"/>
    </x:row>
    <x:row r="250" ht="36" customHeight="1">
      <x:c r="A250" s="5" t="str">
        <x:v>5.2.3.3#4</x:v>
      </x:c>
      <x:c r="B250" s="5" t="str">
        <x:v>Betriebliches Management</x:v>
      </x:c>
      <x:c r="C250" s="5" t="str">
        <x:v>Potenzialanalyse</x:v>
      </x:c>
      <x:c r="D250" s="5" t="str">
        <x:v>vollständig abgedeckt</x:v>
      </x:c>
      <x:c r="E250" s="5" t="str">
        <x:v>vollständig abgedeckt</x:v>
      </x:c>
      <x:c r="F250" s="5" t="str"/>
      <x:c r="G250" s="5" t="str">
        <x:v>BM-0139–BM-0157; BM-0231, BM-0232; BM-0239; BM-0244; BM-0259, BM-0260</x:v>
      </x:c>
      <x:c r="H250" s="5" t="str"/>
      <x:c r="I250" s="5" t="str">
        <x:v>Analysebewertung erhalten; keine neue Frage allein aus ID-Zahlen ableiten.</x:v>
      </x:c>
      <x:c r="J250" s="5" t="str">
        <x:v>Soll-Ist-Matrix 2026-09-27</x:v>
      </x:c>
      <x:c r="K250" s="5" t="str">
        <x:v>Vorbewertung aus Soll-Ist-Matrix; Kandidaten nicht automatisch Einzelbelege</x:v>
      </x:c>
      <x:c r="L250" s="5" t="str"/>
    </x:row>
    <x:row r="251" ht="36" customHeight="1">
      <x:c r="A251" s="5" t="str">
        <x:v>5.2.3.4</x:v>
      </x:c>
      <x:c r="B251" s="5" t="str">
        <x:v>Betriebliches Management</x:v>
      </x:c>
      <x:c r="C251" s="5" t="str">
        <x:v>Einsatzfelder der Personalentwicklung</x:v>
      </x:c>
      <x:c r="D251" s="5" t="str">
        <x:v>teilweise abgedeckt</x:v>
      </x:c>
      <x:c r="E251" s="5" t="str">
        <x:v>teilweise abgedeckt</x:v>
      </x:c>
      <x:c r="F251" s="5" t="str">
        <x:v>BM-0140; BM-0141; BM-0152; BM-0154</x:v>
      </x:c>
      <x:c r="G251" s="5" t="str">
        <x:v>BM-0139–BM-0157; BM-0231, BM-0232; BM-0239; BM-0244; BM-0259, BM-0260</x:v>
      </x:c>
      <x:c r="H251" s="5" t="str">
        <x:v>5.2.3.4#4: Interne Auslegung freigegeben: „strategischer Kompetenzaufbau und künftige Rollenbesetzung“. Der strategische Zweck bleibt gegenüber Laufbahn-/Nachfolgeförderung nur indirekt erkennbar.</x:v>
      </x:c>
      <x:c r="I251" s="5" t="str">
        <x:v>Abgeleiteter Elternstatus; keine zusätzliche Inhaltsaufgabe. Siehe Einzelpunkte 5.2.3.4#4</x:v>
      </x:c>
      <x:c r="J251" s="5" t="str">
        <x:v>Soll-Ist-Matrix 2026-09-27</x:v>
      </x:c>
      <x:c r="K251" s="5" t="str">
        <x:v>Elternbewertung aus einzeln geprüften Unterpunkten</x:v>
      </x:c>
      <x:c r="L251" s="5" t="str"/>
    </x:row>
    <x:row r="252" ht="36" customHeight="1">
      <x:c r="A252" s="5" t="str">
        <x:v>5.2.3.4#1</x:v>
      </x:c>
      <x:c r="B252" s="5" t="str">
        <x:v>Betriebliches Management</x:v>
      </x:c>
      <x:c r="C252" s="5" t="str">
        <x:v>Persönliches Aufgabengebiet</x:v>
      </x:c>
      <x:c r="D252" s="5" t="str">
        <x:v>vollständig abgedeckt</x:v>
      </x:c>
      <x:c r="E252" s="5" t="str">
        <x:v>vollständig abgedeckt</x:v>
      </x:c>
      <x:c r="F252" s="5" t="str"/>
      <x:c r="G252" s="5" t="str">
        <x:v>BM-0139–BM-0157; BM-0231, BM-0232; BM-0239; BM-0244; BM-0259, BM-0260</x:v>
      </x:c>
      <x:c r="H252" s="5" t="str"/>
      <x:c r="I252" s="5" t="str">
        <x:v>Analysebewertung erhalten; keine neue Frage allein aus ID-Zahlen ableiten.</x:v>
      </x:c>
      <x:c r="J252" s="5" t="str">
        <x:v>Soll-Ist-Matrix 2026-09-27</x:v>
      </x:c>
      <x:c r="K252" s="5" t="str">
        <x:v>Vorbewertung aus Soll-Ist-Matrix; Kandidaten nicht automatisch Einzelbelege</x:v>
      </x:c>
      <x:c r="L252" s="5" t="str"/>
    </x:row>
    <x:row r="253" ht="36" customHeight="1">
      <x:c r="A253" s="5" t="str">
        <x:v>5.2.3.4#2</x:v>
      </x:c>
      <x:c r="B253" s="5" t="str">
        <x:v>Betriebliches Management</x:v>
      </x:c>
      <x:c r="C253" s="5" t="str">
        <x:v>Job enlargement</x:v>
      </x:c>
      <x:c r="D253" s="5" t="str">
        <x:v>vollständig abgedeckt</x:v>
      </x:c>
      <x:c r="E253" s="5" t="str">
        <x:v>vollständig abgedeckt</x:v>
      </x:c>
      <x:c r="F253" s="5" t="str"/>
      <x:c r="G253" s="5" t="str">
        <x:v>BM-0139–BM-0157; BM-0231, BM-0232; BM-0239; BM-0244; BM-0259, BM-0260</x:v>
      </x:c>
      <x:c r="H253" s="5" t="str"/>
      <x:c r="I253" s="5" t="str">
        <x:v>Analysebewertung erhalten; keine neue Frage allein aus ID-Zahlen ableiten.</x:v>
      </x:c>
      <x:c r="J253" s="5" t="str">
        <x:v>Soll-Ist-Matrix 2026-09-27</x:v>
      </x:c>
      <x:c r="K253" s="5" t="str">
        <x:v>Vorbewertung aus Soll-Ist-Matrix; Kandidaten nicht automatisch Einzelbelege</x:v>
      </x:c>
      <x:c r="L253" s="5" t="str"/>
    </x:row>
    <x:row r="254" ht="36" customHeight="1">
      <x:c r="A254" s="5" t="str">
        <x:v>5.2.3.4#3</x:v>
      </x:c>
      <x:c r="B254" s="5" t="str">
        <x:v>Betriebliches Management</x:v>
      </x:c>
      <x:c r="C254" s="5" t="str">
        <x:v>Job enrichment</x:v>
      </x:c>
      <x:c r="D254" s="5" t="str">
        <x:v>vollständig abgedeckt</x:v>
      </x:c>
      <x:c r="E254" s="5" t="str">
        <x:v>vollständig abgedeckt</x:v>
      </x:c>
      <x:c r="F254" s="5" t="str"/>
      <x:c r="G254" s="5" t="str">
        <x:v>BM-0139–BM-0157; BM-0231, BM-0232; BM-0239; BM-0244; BM-0259, BM-0260</x:v>
      </x:c>
      <x:c r="H254" s="5" t="str"/>
      <x:c r="I254" s="5" t="str">
        <x:v>Analysebewertung erhalten; keine neue Frage allein aus ID-Zahlen ableiten.</x:v>
      </x:c>
      <x:c r="J254" s="5" t="str">
        <x:v>Soll-Ist-Matrix 2026-09-27</x:v>
      </x:c>
      <x:c r="K254" s="5" t="str">
        <x:v>Vorbewertung aus Soll-Ist-Matrix; Kandidaten nicht automatisch Einzelbelege</x:v>
      </x:c>
      <x:c r="L254" s="5" t="str"/>
    </x:row>
    <x:row r="255" ht="36" customHeight="1">
      <x:c r="A255" s="5" t="str">
        <x:v>5.2.3.4#4</x:v>
      </x:c>
      <x:c r="B255" s="5" t="str">
        <x:v>Betriebliches Management</x:v>
      </x:c>
      <x:c r="C255" s="5" t="str">
        <x:v>Strategische Positionierung</x:v>
      </x:c>
      <x:c r="D255" s="5" t="str">
        <x:v>teilweise abgedeckt</x:v>
      </x:c>
      <x:c r="E255" s="5" t="str">
        <x:v>teilweise abgedeckt</x:v>
      </x:c>
      <x:c r="F255" s="5" t="str">
        <x:v>BM-0140; BM-0141; BM-0152; BM-0154</x:v>
      </x:c>
      <x:c r="G255" s="5" t="str">
        <x:v>BM-0139–BM-0157; BM-0231, BM-0232; BM-0239; BM-0244; BM-0259, BM-0260</x:v>
      </x:c>
      <x:c r="H255" s="5" t="str">
        <x:v>Interne Auslegung freigegeben: „strategischer Kompetenzaufbau und künftige Rollenbesetzung“. Der strategische Zweck bleibt gegenüber Laufbahn-/Nachfolgeförderung nur indirekt erkennbar.</x:v>
      </x:c>
      <x:c r="I255" s="5" t="str">
        <x:v>BM-0154 später um strategische Zielrolle, Kompetenz-/Potenzialabgleich und begründeten Entwicklungsweg ergänzen. Die interne Auslegung ist keine wörtliche DIHK-Definition.</x:v>
      </x:c>
      <x:c r="J255" s="5" t="str">
        <x:v>BM_Buch: Kap. 2.3 Einsatzfelder; BM_PE: Ziele, Laufbahn und Bedarf; Arbeitsgrundlage 5.2.3.4#4</x:v>
      </x:c>
      <x:c r="K255" s="5" t="str">
        <x:v>Vorbewertung aus Soll-Ist-Matrix; Kandidaten nicht automatisch Einzelbelege</x:v>
      </x:c>
      <x:c r="L255" s="5" t="str"/>
    </x:row>
    <x:row r="256" ht="36" customHeight="1">
      <x:c r="A256" s="5" t="str">
        <x:v>5.2.3.4#5</x:v>
      </x:c>
      <x:c r="B256" s="5" t="str">
        <x:v>Betriebliches Management</x:v>
      </x:c>
      <x:c r="C256" s="5" t="str">
        <x:v>Neuqualifizierung</x:v>
      </x:c>
      <x:c r="D256" s="5" t="str">
        <x:v>vollständig abgedeckt</x:v>
      </x:c>
      <x:c r="E256" s="5" t="str">
        <x:v>vollständig abgedeckt</x:v>
      </x:c>
      <x:c r="F256" s="5" t="str"/>
      <x:c r="G256" s="5" t="str">
        <x:v>BM-0139–BM-0157; BM-0231, BM-0232; BM-0239; BM-0244; BM-0259, BM-0260</x:v>
      </x:c>
      <x:c r="H256" s="5" t="str"/>
      <x:c r="I256" s="5" t="str">
        <x:v>Analysebewertung erhalten; keine neue Frage allein aus ID-Zahlen ableiten.</x:v>
      </x:c>
      <x:c r="J256" s="5" t="str">
        <x:v>Soll-Ist-Matrix 2026-09-27</x:v>
      </x:c>
      <x:c r="K256" s="5" t="str">
        <x:v>Vorbewertung aus Soll-Ist-Matrix; Kandidaten nicht automatisch Einzelbelege</x:v>
      </x:c>
      <x:c r="L256" s="5" t="str"/>
    </x:row>
    <x:row r="257" ht="36" customHeight="1">
      <x:c r="A257" s="5" t="str">
        <x:v>5.2.3.5</x:v>
      </x:c>
      <x:c r="B257" s="5" t="str">
        <x:v>Betriebliches Management</x:v>
      </x:c>
      <x:c r="C257" s="5" t="str">
        <x:v>Umsetzung der Personalentwicklung</x:v>
      </x:c>
      <x:c r="D257" s="5" t="str">
        <x:v>vollständig abgedeckt</x:v>
      </x:c>
      <x:c r="E257" s="5" t="str">
        <x:v>vollständig abgedeckt</x:v>
      </x:c>
      <x:c r="F257" s="5" t="str"/>
      <x:c r="G257" s="5" t="str">
        <x:v>BM-0139–BM-0157; BM-0231, BM-0232; BM-0239; BM-0244; BM-0259, BM-0260</x:v>
      </x:c>
      <x:c r="H257" s="5" t="str"/>
      <x:c r="I257" s="5" t="str">
        <x:v>Analysebewertung erhalten; keine neue Frage allein aus ID-Zahlen ableiten.</x:v>
      </x:c>
      <x:c r="J257" s="5" t="str">
        <x:v>Soll-Ist-Matrix 2026-09-27</x:v>
      </x:c>
      <x:c r="K257" s="5" t="str">
        <x:v>Vorbewertung aus Soll-Ist-Matrix; Kandidaten nicht automatisch Einzelbelege</x:v>
      </x:c>
      <x:c r="L257" s="5" t="str"/>
    </x:row>
    <x:row r="258" ht="36" customHeight="1">
      <x:c r="A258" s="5" t="str">
        <x:v>5.2.3.5#1</x:v>
      </x:c>
      <x:c r="B258" s="5" t="str">
        <x:v>Betriebliches Management</x:v>
      </x:c>
      <x:c r="C258" s="5" t="str">
        <x:v>Training on the job</x:v>
      </x:c>
      <x:c r="D258" s="5" t="str">
        <x:v>vollständig abgedeckt</x:v>
      </x:c>
      <x:c r="E258" s="5" t="str">
        <x:v>vollständig abgedeckt</x:v>
      </x:c>
      <x:c r="F258" s="5" t="str"/>
      <x:c r="G258" s="5" t="str">
        <x:v>BM-0139–BM-0157; BM-0231, BM-0232; BM-0239; BM-0244; BM-0259, BM-0260</x:v>
      </x:c>
      <x:c r="H258" s="5" t="str"/>
      <x:c r="I258" s="5" t="str">
        <x:v>Analysebewertung erhalten; keine neue Frage allein aus ID-Zahlen ableiten.</x:v>
      </x:c>
      <x:c r="J258" s="5" t="str">
        <x:v>Soll-Ist-Matrix 2026-09-27</x:v>
      </x:c>
      <x:c r="K258" s="5" t="str">
        <x:v>Vorbewertung aus Soll-Ist-Matrix; Kandidaten nicht automatisch Einzelbelege</x:v>
      </x:c>
      <x:c r="L258" s="5" t="str"/>
    </x:row>
    <x:row r="259" ht="36" customHeight="1">
      <x:c r="A259" s="5" t="str">
        <x:v>5.2.3.5#2</x:v>
      </x:c>
      <x:c r="B259" s="5" t="str">
        <x:v>Betriebliches Management</x:v>
      </x:c>
      <x:c r="C259" s="5" t="str">
        <x:v>Training off the job</x:v>
      </x:c>
      <x:c r="D259" s="5" t="str">
        <x:v>vollständig abgedeckt</x:v>
      </x:c>
      <x:c r="E259" s="5" t="str">
        <x:v>vollständig abgedeckt</x:v>
      </x:c>
      <x:c r="F259" s="5" t="str"/>
      <x:c r="G259" s="5" t="str">
        <x:v>BM-0139–BM-0157; BM-0231, BM-0232; BM-0239; BM-0244; BM-0259, BM-0260</x:v>
      </x:c>
      <x:c r="H259" s="5" t="str"/>
      <x:c r="I259" s="5" t="str">
        <x:v>Analysebewertung erhalten; keine neue Frage allein aus ID-Zahlen ableiten.</x:v>
      </x:c>
      <x:c r="J259" s="5" t="str">
        <x:v>Soll-Ist-Matrix 2026-09-27</x:v>
      </x:c>
      <x:c r="K259" s="5" t="str">
        <x:v>Vorbewertung aus Soll-Ist-Matrix; Kandidaten nicht automatisch Einzelbelege</x:v>
      </x:c>
      <x:c r="L259" s="5" t="str"/>
    </x:row>
    <x:row r="260" ht="36" customHeight="1">
      <x:c r="A260" s="5" t="str">
        <x:v>5.2.3.5#3</x:v>
      </x:c>
      <x:c r="B260" s="5" t="str">
        <x:v>Betriebliches Management</x:v>
      </x:c>
      <x:c r="C260" s="5" t="str">
        <x:v>Job rotation</x:v>
      </x:c>
      <x:c r="D260" s="5" t="str">
        <x:v>vollständig abgedeckt</x:v>
      </x:c>
      <x:c r="E260" s="5" t="str">
        <x:v>vollständig abgedeckt</x:v>
      </x:c>
      <x:c r="F260" s="5" t="str"/>
      <x:c r="G260" s="5" t="str">
        <x:v>BM-0139–BM-0157; BM-0231, BM-0232; BM-0239; BM-0244; BM-0259, BM-0260</x:v>
      </x:c>
      <x:c r="H260" s="5" t="str"/>
      <x:c r="I260" s="5" t="str">
        <x:v>Analysebewertung erhalten; keine neue Frage allein aus ID-Zahlen ableiten.</x:v>
      </x:c>
      <x:c r="J260" s="5" t="str">
        <x:v>Soll-Ist-Matrix 2026-09-27</x:v>
      </x:c>
      <x:c r="K260" s="5" t="str">
        <x:v>Vorbewertung aus Soll-Ist-Matrix; Kandidaten nicht automatisch Einzelbelege</x:v>
      </x:c>
      <x:c r="L260" s="5" t="str"/>
    </x:row>
    <x:row r="261" ht="36" customHeight="1">
      <x:c r="A261" s="5" t="str">
        <x:v>5.3</x:v>
      </x:c>
      <x:c r="B261" s="5" t="str">
        <x:v>Betriebliches Management</x:v>
      </x:c>
      <x:c r="C261" s="5" t="str">
        <x:v>Informationstechnologie und Wissensmanagement</x:v>
      </x:c>
      <x:c r="D261" s="5" t="str">
        <x:v>vollständig abgedeckt</x:v>
      </x:c>
      <x:c r="E261" s="5" t="str">
        <x:v>vollständig abgedeckt</x:v>
      </x:c>
      <x:c r="F261" s="5" t="str"/>
      <x:c r="G261" s="5" t="str">
        <x:v>BM-0158–BM-0175; BM-0233–BM-0236; BM-0245, BM-0246; BM-0261, BM-0262</x:v>
      </x:c>
      <x:c r="H261" s="5" t="str"/>
      <x:c r="I261" s="5" t="str">
        <x:v>Analysebewertung erhalten; keine neue Frage allein aus ID-Zahlen ableiten.</x:v>
      </x:c>
      <x:c r="J261" s="5" t="str">
        <x:v>Soll-Ist-Matrix 2026-09-27</x:v>
      </x:c>
      <x:c r="K261" s="5" t="str">
        <x:v>Vorbewertung aus Soll-Ist-Matrix; Kandidaten nicht automatisch Einzelbelege</x:v>
      </x:c>
      <x:c r="L261" s="5" t="str"/>
    </x:row>
    <x:row r="262" ht="36" customHeight="1">
      <x:c r="A262" s="5" t="str">
        <x:v>5.3.1</x:v>
      </x:c>
      <x:c r="B262" s="5" t="str">
        <x:v>Betriebliches Management</x:v>
      </x:c>
      <x:c r="C262" s="5" t="str">
        <x:v>Wissensmanagement</x:v>
      </x:c>
      <x:c r="D262" s="5" t="str">
        <x:v>vollständig abgedeckt</x:v>
      </x:c>
      <x:c r="E262" s="5" t="str">
        <x:v>vollständig abgedeckt</x:v>
      </x:c>
      <x:c r="F262" s="5" t="str"/>
      <x:c r="G262" s="5" t="str">
        <x:v>BM-0158–BM-0175; BM-0233–BM-0236; BM-0245, BM-0246; BM-0261, BM-0262</x:v>
      </x:c>
      <x:c r="H262" s="5" t="str"/>
      <x:c r="I262" s="5" t="str">
        <x:v>Analysebewertung erhalten; keine neue Frage allein aus ID-Zahlen ableiten.</x:v>
      </x:c>
      <x:c r="J262" s="5" t="str">
        <x:v>Soll-Ist-Matrix 2026-09-27</x:v>
      </x:c>
      <x:c r="K262" s="5" t="str">
        <x:v>Vorbewertung aus Soll-Ist-Matrix; Kandidaten nicht automatisch Einzelbelege</x:v>
      </x:c>
      <x:c r="L262" s="5" t="str">
        <x:v>BM-0158; BM-0161; BM-0162; BM-0163; BM-0164; BM-0165; BM-0166; BM-0167; BM-0233; BM-0234; BM-0236; BM-0245; BM-0261; BM-0262</x:v>
      </x:c>
    </x:row>
    <x:row r="263" ht="36" customHeight="1">
      <x:c r="A263" s="5" t="str">
        <x:v>5.3.1.1</x:v>
      </x:c>
      <x:c r="B263" s="5" t="str">
        <x:v>Betriebliches Management</x:v>
      </x:c>
      <x:c r="C263" s="5" t="str">
        <x:v>Bedeutung für den Wissenstransfer</x:v>
      </x:c>
      <x:c r="D263" s="5" t="str">
        <x:v>vollständig abgedeckt</x:v>
      </x:c>
      <x:c r="E263" s="5" t="str">
        <x:v>vollständig abgedeckt</x:v>
      </x:c>
      <x:c r="F263" s="5" t="str"/>
      <x:c r="G263" s="5" t="str">
        <x:v>BM-0158–BM-0175; BM-0233–BM-0236; BM-0245, BM-0246; BM-0261, BM-0262</x:v>
      </x:c>
      <x:c r="H263" s="5" t="str"/>
      <x:c r="I263" s="5" t="str">
        <x:v>Analysebewertung erhalten; keine neue Frage allein aus ID-Zahlen ableiten.</x:v>
      </x:c>
      <x:c r="J263" s="5" t="str">
        <x:v>Soll-Ist-Matrix 2026-09-27</x:v>
      </x:c>
      <x:c r="K263" s="5" t="str">
        <x:v>Vorbewertung aus Soll-Ist-Matrix; Kandidaten nicht automatisch Einzelbelege</x:v>
      </x:c>
      <x:c r="L263" s="5" t="str"/>
    </x:row>
    <x:row r="264" ht="36" customHeight="1">
      <x:c r="A264" s="5" t="str">
        <x:v>5.3.1.2</x:v>
      </x:c>
      <x:c r="B264" s="5" t="str">
        <x:v>Betriebliches Management</x:v>
      </x:c>
      <x:c r="C264" s="5" t="str">
        <x:v>Individuelles und strukturelles Wissen</x:v>
      </x:c>
      <x:c r="D264" s="5" t="str">
        <x:v>vollständig abgedeckt</x:v>
      </x:c>
      <x:c r="E264" s="5" t="str">
        <x:v>vollständig abgedeckt</x:v>
      </x:c>
      <x:c r="F264" s="5" t="str"/>
      <x:c r="G264" s="5" t="str">
        <x:v>BM-0158–BM-0175; BM-0233–BM-0236; BM-0245, BM-0246; BM-0261, BM-0262</x:v>
      </x:c>
      <x:c r="H264" s="5" t="str"/>
      <x:c r="I264" s="5" t="str">
        <x:v>Analysebewertung erhalten; keine neue Frage allein aus ID-Zahlen ableiten.</x:v>
      </x:c>
      <x:c r="J264" s="5" t="str">
        <x:v>Soll-Ist-Matrix 2026-09-27</x:v>
      </x:c>
      <x:c r="K264" s="5" t="str">
        <x:v>Vorbewertung aus Soll-Ist-Matrix; Kandidaten nicht automatisch Einzelbelege</x:v>
      </x:c>
      <x:c r="L264" s="5" t="str">
        <x:v>BM-0159</x:v>
      </x:c>
    </x:row>
    <x:row r="265" ht="36" customHeight="1">
      <x:c r="A265" s="5" t="str">
        <x:v>5.3.1.3</x:v>
      </x:c>
      <x:c r="B265" s="5" t="str">
        <x:v>Betriebliches Management</x:v>
      </x:c>
      <x:c r="C265" s="5" t="str">
        <x:v>Explizites und implizites Wissen</x:v>
      </x:c>
      <x:c r="D265" s="5" t="str">
        <x:v>vollständig abgedeckt</x:v>
      </x:c>
      <x:c r="E265" s="5" t="str">
        <x:v>vollständig abgedeckt</x:v>
      </x:c>
      <x:c r="F265" s="5" t="str"/>
      <x:c r="G265" s="5" t="str">
        <x:v>BM-0158–BM-0175; BM-0233–BM-0236; BM-0245, BM-0246; BM-0261, BM-0262</x:v>
      </x:c>
      <x:c r="H265" s="5" t="str"/>
      <x:c r="I265" s="5" t="str">
        <x:v>Analysebewertung erhalten; keine neue Frage allein aus ID-Zahlen ableiten.</x:v>
      </x:c>
      <x:c r="J265" s="5" t="str">
        <x:v>Soll-Ist-Matrix 2026-09-27</x:v>
      </x:c>
      <x:c r="K265" s="5" t="str">
        <x:v>Vorbewertung aus Soll-Ist-Matrix; Kandidaten nicht automatisch Einzelbelege</x:v>
      </x:c>
      <x:c r="L265" s="5" t="str">
        <x:v>BM-0160</x:v>
      </x:c>
    </x:row>
    <x:row r="266" ht="36" customHeight="1">
      <x:c r="A266" s="5" t="str">
        <x:v>5.3.1.4</x:v>
      </x:c>
      <x:c r="B266" s="5" t="str">
        <x:v>Betriebliches Management</x:v>
      </x:c>
      <x:c r="C266" s="5" t="str">
        <x:v>Wissenserfassung</x:v>
      </x:c>
      <x:c r="D266" s="5" t="str">
        <x:v>vollständig abgedeckt</x:v>
      </x:c>
      <x:c r="E266" s="5" t="str">
        <x:v>vollständig abgedeckt</x:v>
      </x:c>
      <x:c r="F266" s="5" t="str"/>
      <x:c r="G266" s="5" t="str">
        <x:v>BM-0158–BM-0175; BM-0233–BM-0236; BM-0245, BM-0246; BM-0261, BM-0262</x:v>
      </x:c>
      <x:c r="H266" s="5" t="str"/>
      <x:c r="I266" s="5" t="str">
        <x:v>Analysebewertung erhalten; keine neue Frage allein aus ID-Zahlen ableiten.</x:v>
      </x:c>
      <x:c r="J266" s="5" t="str">
        <x:v>Soll-Ist-Matrix 2026-09-27</x:v>
      </x:c>
      <x:c r="K266" s="5" t="str">
        <x:v>Vorbewertung aus Soll-Ist-Matrix; Kandidaten nicht automatisch Einzelbelege</x:v>
      </x:c>
      <x:c r="L266" s="5" t="str"/>
    </x:row>
    <x:row r="267" ht="36" customHeight="1">
      <x:c r="A267" s="5" t="str">
        <x:v>5.3.1.5</x:v>
      </x:c>
      <x:c r="B267" s="5" t="str">
        <x:v>Betriebliches Management</x:v>
      </x:c>
      <x:c r="C267" s="5" t="str">
        <x:v>Bildung von Netzwerken</x:v>
      </x:c>
      <x:c r="D267" s="5" t="str">
        <x:v>vollständig abgedeckt</x:v>
      </x:c>
      <x:c r="E267" s="5" t="str">
        <x:v>vollständig abgedeckt</x:v>
      </x:c>
      <x:c r="F267" s="5" t="str"/>
      <x:c r="G267" s="5" t="str">
        <x:v>BM-0158–BM-0175; BM-0233–BM-0236; BM-0245, BM-0246; BM-0261, BM-0262</x:v>
      </x:c>
      <x:c r="H267" s="5" t="str"/>
      <x:c r="I267" s="5" t="str">
        <x:v>Analysebewertung erhalten; keine neue Frage allein aus ID-Zahlen ableiten.</x:v>
      </x:c>
      <x:c r="J267" s="5" t="str">
        <x:v>Soll-Ist-Matrix 2026-09-27</x:v>
      </x:c>
      <x:c r="K267" s="5" t="str">
        <x:v>Vorbewertung aus Soll-Ist-Matrix; Kandidaten nicht automatisch Einzelbelege</x:v>
      </x:c>
      <x:c r="L267" s="5" t="str"/>
    </x:row>
    <x:row r="268" ht="36" customHeight="1">
      <x:c r="A268" s="5" t="str">
        <x:v>5.3.2</x:v>
      </x:c>
      <x:c r="B268" s="5" t="str">
        <x:v>Betriebliches Management</x:v>
      </x:c>
      <x:c r="C268" s="5" t="str">
        <x:v>Informationstechnologie</x:v>
      </x:c>
      <x:c r="D268" s="5" t="str">
        <x:v>vollständig abgedeckt</x:v>
      </x:c>
      <x:c r="E268" s="5" t="str">
        <x:v>vollständig abgedeckt</x:v>
      </x:c>
      <x:c r="F268" s="5" t="str"/>
      <x:c r="G268" s="5" t="str">
        <x:v>BM-0158–BM-0175; BM-0233–BM-0236; BM-0245, BM-0246; BM-0261, BM-0262</x:v>
      </x:c>
      <x:c r="H268" s="5" t="str"/>
      <x:c r="I268" s="5" t="str">
        <x:v>Analysebewertung erhalten; keine neue Frage allein aus ID-Zahlen ableiten.</x:v>
      </x:c>
      <x:c r="J268" s="5" t="str">
        <x:v>Soll-Ist-Matrix 2026-09-27</x:v>
      </x:c>
      <x:c r="K268" s="5" t="str">
        <x:v>Vorbewertung aus Soll-Ist-Matrix; Kandidaten nicht automatisch Einzelbelege</x:v>
      </x:c>
      <x:c r="L268" s="5" t="str">
        <x:v>BM-0168; BM-0169; BM-0170; BM-0171; BM-0172; BM-0173; BM-0174; BM-0175; BM-0235; BM-0246</x:v>
      </x:c>
    </x:row>
    <x:row r="269" ht="36" customHeight="1">
      <x:c r="A269" s="5" t="str">
        <x:v>5.3.2.1</x:v>
      </x:c>
      <x:c r="B269" s="5" t="str">
        <x:v>Betriebliches Management</x:v>
      </x:c>
      <x:c r="C269" s="5" t="str">
        <x:v>Ziele und Einsatzmöglichkeiten der Informationstechnologie</x:v>
      </x:c>
      <x:c r="D269" s="5" t="str">
        <x:v>vollständig abgedeckt</x:v>
      </x:c>
      <x:c r="E269" s="5" t="str">
        <x:v>vollständig abgedeckt</x:v>
      </x:c>
      <x:c r="F269" s="5" t="str"/>
      <x:c r="G269" s="5" t="str">
        <x:v>BM-0158–BM-0175; BM-0233–BM-0236; BM-0245, BM-0246; BM-0261, BM-0262</x:v>
      </x:c>
      <x:c r="H269" s="5" t="str"/>
      <x:c r="I269" s="5" t="str">
        <x:v>Analysebewertung erhalten; keine neue Frage allein aus ID-Zahlen ableiten.</x:v>
      </x:c>
      <x:c r="J269" s="5" t="str">
        <x:v>Soll-Ist-Matrix 2026-09-27</x:v>
      </x:c>
      <x:c r="K269" s="5" t="str">
        <x:v>Vorbewertung aus Soll-Ist-Matrix; Kandidaten nicht automatisch Einzelbelege</x:v>
      </x:c>
      <x:c r="L269" s="5" t="str"/>
    </x:row>
    <x:row r="270" ht="36" customHeight="1">
      <x:c r="A270" s="5" t="str">
        <x:v>5.3.2.2</x:v>
      </x:c>
      <x:c r="B270" s="5" t="str">
        <x:v>Betriebliches Management</x:v>
      </x:c>
      <x:c r="C270" s="5" t="str">
        <x:v>Quellen</x:v>
      </x:c>
      <x:c r="D270" s="5" t="str">
        <x:v>vollständig abgedeckt</x:v>
      </x:c>
      <x:c r="E270" s="5" t="str">
        <x:v>vollständig abgedeckt</x:v>
      </x:c>
      <x:c r="F270" s="5" t="str"/>
      <x:c r="G270" s="5" t="str">
        <x:v>BM-0158–BM-0175; BM-0233–BM-0236; BM-0245, BM-0246; BM-0261, BM-0262</x:v>
      </x:c>
      <x:c r="H270" s="5" t="str"/>
      <x:c r="I270" s="5" t="str">
        <x:v>Analysebewertung erhalten; keine neue Frage allein aus ID-Zahlen ableiten.</x:v>
      </x:c>
      <x:c r="J270" s="5" t="str">
        <x:v>Soll-Ist-Matrix 2026-09-27</x:v>
      </x:c>
      <x:c r="K270" s="5" t="str">
        <x:v>Vorbewertung aus Soll-Ist-Matrix; Kandidaten nicht automatisch Einzelbelege</x:v>
      </x:c>
      <x:c r="L270" s="5" t="str"/>
    </x:row>
    <x:row r="271" ht="36" customHeight="1">
      <x:c r="A271" s="5" t="str">
        <x:v>5.3.2.2#1</x:v>
      </x:c>
      <x:c r="B271" s="5" t="str">
        <x:v>Betriebliches Management</x:v>
      </x:c>
      <x:c r="C271" s="5" t="str">
        <x:v>Interne Informationsquellen</x:v>
      </x:c>
      <x:c r="D271" s="5" t="str">
        <x:v>vollständig abgedeckt</x:v>
      </x:c>
      <x:c r="E271" s="5" t="str">
        <x:v>vollständig abgedeckt</x:v>
      </x:c>
      <x:c r="F271" s="5" t="str"/>
      <x:c r="G271" s="5" t="str">
        <x:v>BM-0158–BM-0175; BM-0233–BM-0236; BM-0245, BM-0246; BM-0261, BM-0262</x:v>
      </x:c>
      <x:c r="H271" s="5" t="str"/>
      <x:c r="I271" s="5" t="str">
        <x:v>Analysebewertung erhalten; keine neue Frage allein aus ID-Zahlen ableiten.</x:v>
      </x:c>
      <x:c r="J271" s="5" t="str">
        <x:v>Soll-Ist-Matrix 2026-09-27</x:v>
      </x:c>
      <x:c r="K271" s="5" t="str">
        <x:v>Vorbewertung aus Soll-Ist-Matrix; Kandidaten nicht automatisch Einzelbelege</x:v>
      </x:c>
      <x:c r="L271" s="5" t="str"/>
    </x:row>
    <x:row r="272" ht="36" customHeight="1">
      <x:c r="A272" s="5" t="str">
        <x:v>5.3.2.2#2</x:v>
      </x:c>
      <x:c r="B272" s="5" t="str">
        <x:v>Betriebliches Management</x:v>
      </x:c>
      <x:c r="C272" s="5" t="str">
        <x:v>Externe Informationsquellen</x:v>
      </x:c>
      <x:c r="D272" s="5" t="str">
        <x:v>vollständig abgedeckt</x:v>
      </x:c>
      <x:c r="E272" s="5" t="str">
        <x:v>vollständig abgedeckt</x:v>
      </x:c>
      <x:c r="F272" s="5" t="str"/>
      <x:c r="G272" s="5" t="str">
        <x:v>BM-0158–BM-0175; BM-0233–BM-0236; BM-0245, BM-0246; BM-0261, BM-0262</x:v>
      </x:c>
      <x:c r="H272" s="5" t="str"/>
      <x:c r="I272" s="5" t="str">
        <x:v>Analysebewertung erhalten; keine neue Frage allein aus ID-Zahlen ableiten.</x:v>
      </x:c>
      <x:c r="J272" s="5" t="str">
        <x:v>Soll-Ist-Matrix 2026-09-27</x:v>
      </x:c>
      <x:c r="K272" s="5" t="str">
        <x:v>Vorbewertung aus Soll-Ist-Matrix; Kandidaten nicht automatisch Einzelbelege</x:v>
      </x:c>
      <x:c r="L272" s="5" t="str"/>
    </x:row>
    <x:row r="273" ht="36" customHeight="1">
      <x:c r="A273" s="5" t="str">
        <x:v>5.4</x:v>
      </x:c>
      <x:c r="B273" s="5" t="str">
        <x:v>Betriebliches Management</x:v>
      </x:c>
      <x:c r="C273" s="5" t="str">
        <x:v>Managementtechniken unter Einbeziehung von Zeitmanagement, Kreativitätstechniken und Entscheidungstechniken</x:v>
      </x:c>
      <x:c r="D273" s="5" t="str">
        <x:v>vollständig abgedeckt</x:v>
      </x:c>
      <x:c r="E273" s="5" t="str">
        <x:v>vollständig abgedeckt</x:v>
      </x:c>
      <x:c r="F273" s="5" t="str"/>
      <x:c r="G273" s="5" t="str">
        <x:v>BM-0176–BM-0180; BM-0182; BM-0263; BM-0181; BM-0183–BM-0197; BM-0237; BM-0247; BM-0198–BM-0206; BM-0248–BM-0252; BM-0207–BM-0225; BM-0238; BM-0240; BM-0253, BM-0254</x:v>
      </x:c>
      <x:c r="H273" s="5" t="str"/>
      <x:c r="I273" s="5" t="str">
        <x:v>Analysebewertung erhalten; keine neue Frage allein aus ID-Zahlen ableiten.</x:v>
      </x:c>
      <x:c r="J273" s="5" t="str">
        <x:v>Soll-Ist-Matrix 2026-09-27</x:v>
      </x:c>
      <x:c r="K273" s="5" t="str">
        <x:v>Vorbewertung aus Soll-Ist-Matrix; Kandidaten nicht automatisch Einzelbelege</x:v>
      </x:c>
      <x:c r="L273" s="5" t="str"/>
    </x:row>
    <x:row r="274" ht="36" customHeight="1">
      <x:c r="A274" s="5" t="str">
        <x:v>5.4.1</x:v>
      </x:c>
      <x:c r="B274" s="5" t="str">
        <x:v>Betriebliches Management</x:v>
      </x:c>
      <x:c r="C274" s="5" t="str">
        <x:v>Zeit- und Selbstmanagement</x:v>
      </x:c>
      <x:c r="D274" s="5" t="str">
        <x:v>vollständig abgedeckt</x:v>
      </x:c>
      <x:c r="E274" s="5" t="str">
        <x:v>vollständig abgedeckt</x:v>
      </x:c>
      <x:c r="F274" s="5" t="str"/>
      <x:c r="G274" s="5" t="str">
        <x:v>BM-0176–BM-0180; BM-0182; BM-0263</x:v>
      </x:c>
      <x:c r="H274" s="5" t="str"/>
      <x:c r="I274" s="5" t="str">
        <x:v>Analysebewertung erhalten; keine neue Frage allein aus ID-Zahlen ableiten.</x:v>
      </x:c>
      <x:c r="J274" s="5" t="str">
        <x:v>Soll-Ist-Matrix 2026-09-27</x:v>
      </x:c>
      <x:c r="K274" s="5" t="str">
        <x:v>Vorbewertung aus Soll-Ist-Matrix; Kandidaten nicht automatisch Einzelbelege</x:v>
      </x:c>
      <x:c r="L274" s="5" t="str">
        <x:v>BM-0176; BM-0177; BM-0178; BM-0179; BM-0180; BM-0182; BM-0263</x:v>
      </x:c>
    </x:row>
    <x:row r="275" ht="36" customHeight="1">
      <x:c r="A275" s="5" t="str">
        <x:v>5.4.2</x:v>
      </x:c>
      <x:c r="B275" s="5" t="str">
        <x:v>Betriebliches Management</x:v>
      </x:c>
      <x:c r="C275" s="5" t="str">
        <x:v>Kreativitäts- und Entscheidungstechniken</x:v>
      </x:c>
      <x:c r="D275" s="5" t="str">
        <x:v>vollständig abgedeckt</x:v>
      </x:c>
      <x:c r="E275" s="5" t="str">
        <x:v>vollständig abgedeckt</x:v>
      </x:c>
      <x:c r="F275" s="5" t="str"/>
      <x:c r="G275" s="5" t="str">
        <x:v>BM-0181; BM-0183–BM-0197; BM-0237; BM-0247</x:v>
      </x:c>
      <x:c r="H275" s="5" t="str"/>
      <x:c r="I275" s="5" t="str">
        <x:v>Analysebewertung erhalten; keine neue Frage allein aus ID-Zahlen ableiten.</x:v>
      </x:c>
      <x:c r="J275" s="5" t="str">
        <x:v>Soll-Ist-Matrix 2026-09-27</x:v>
      </x:c>
      <x:c r="K275" s="5" t="str">
        <x:v>Vorbewertung aus Soll-Ist-Matrix; Kandidaten nicht automatisch Einzelbelege</x:v>
      </x:c>
      <x:c r="L275" s="5" t="str">
        <x:v>BM-0181; BM-0183; BM-0184; BM-0185; BM-0186; BM-0190; BM-0193; BM-0194; BM-0196; BM-0197; BM-0247</x:v>
      </x:c>
    </x:row>
    <x:row r="276" ht="36" customHeight="1">
      <x:c r="A276" s="5" t="str">
        <x:v>5.4.2.1</x:v>
      </x:c>
      <x:c r="B276" s="5" t="str">
        <x:v>Betriebliches Management</x:v>
      </x:c>
      <x:c r="C276" s="5" t="str">
        <x:v>Problemdiagnosetechniken</x:v>
      </x:c>
      <x:c r="D276" s="5" t="str">
        <x:v>vollständig abgedeckt</x:v>
      </x:c>
      <x:c r="E276" s="5" t="str">
        <x:v>vollständig abgedeckt</x:v>
      </x:c>
      <x:c r="F276" s="5" t="str"/>
      <x:c r="G276" s="5" t="str">
        <x:v>BM-0181; BM-0183–BM-0197; BM-0237; BM-0247</x:v>
      </x:c>
      <x:c r="H276" s="5" t="str"/>
      <x:c r="I276" s="5" t="str">
        <x:v>Analysebewertung erhalten; keine neue Frage allein aus ID-Zahlen ableiten.</x:v>
      </x:c>
      <x:c r="J276" s="5" t="str">
        <x:v>Soll-Ist-Matrix 2026-09-27</x:v>
      </x:c>
      <x:c r="K276" s="5" t="str">
        <x:v>Vorbewertung aus Soll-Ist-Matrix; Kandidaten nicht automatisch Einzelbelege</x:v>
      </x:c>
      <x:c r="L276" s="5" t="str"/>
    </x:row>
    <x:row r="277" ht="36" customHeight="1">
      <x:c r="A277" s="5" t="str">
        <x:v>5.4.2.1#1</x:v>
      </x:c>
      <x:c r="B277" s="5" t="str">
        <x:v>Betriebliches Management</x:v>
      </x:c>
      <x:c r="C277" s="5" t="str">
        <x:v>Ursache-Wirkungsdiagramm</x:v>
      </x:c>
      <x:c r="D277" s="5" t="str">
        <x:v>vollständig abgedeckt</x:v>
      </x:c>
      <x:c r="E277" s="5" t="str">
        <x:v>vollständig abgedeckt</x:v>
      </x:c>
      <x:c r="F277" s="5" t="str"/>
      <x:c r="G277" s="5" t="str">
        <x:v>BM-0181; BM-0183–BM-0197; BM-0237; BM-0247</x:v>
      </x:c>
      <x:c r="H277" s="5" t="str"/>
      <x:c r="I277" s="5" t="str">
        <x:v>Analysebewertung erhalten; keine neue Frage allein aus ID-Zahlen ableiten.</x:v>
      </x:c>
      <x:c r="J277" s="5" t="str">
        <x:v>Soll-Ist-Matrix 2026-09-27</x:v>
      </x:c>
      <x:c r="K277" s="5" t="str">
        <x:v>Vorbewertung aus Soll-Ist-Matrix; Kandidaten nicht automatisch Einzelbelege</x:v>
      </x:c>
      <x:c r="L277" s="5" t="str">
        <x:v>BM-0187</x:v>
      </x:c>
    </x:row>
    <x:row r="278" ht="36" customHeight="1">
      <x:c r="A278" s="5" t="str">
        <x:v>5.4.2.1#2</x:v>
      </x:c>
      <x:c r="B278" s="5" t="str">
        <x:v>Betriebliches Management</x:v>
      </x:c>
      <x:c r="C278" s="5" t="str">
        <x:v>Fehler-Möglichkeiten-Einfluss-Analyse</x:v>
      </x:c>
      <x:c r="D278" s="5" t="str">
        <x:v>vollständig abgedeckt</x:v>
      </x:c>
      <x:c r="E278" s="5" t="str">
        <x:v>vollständig abgedeckt</x:v>
      </x:c>
      <x:c r="F278" s="5" t="str"/>
      <x:c r="G278" s="5" t="str">
        <x:v>BM-0181; BM-0183–BM-0197; BM-0237; BM-0247</x:v>
      </x:c>
      <x:c r="H278" s="5" t="str"/>
      <x:c r="I278" s="5" t="str">
        <x:v>Analysebewertung erhalten; keine neue Frage allein aus ID-Zahlen ableiten.</x:v>
      </x:c>
      <x:c r="J278" s="5" t="str">
        <x:v>Soll-Ist-Matrix 2026-09-27</x:v>
      </x:c>
      <x:c r="K278" s="5" t="str">
        <x:v>Vorbewertung aus Soll-Ist-Matrix; Kandidaten nicht automatisch Einzelbelege</x:v>
      </x:c>
      <x:c r="L278" s="5" t="str"/>
    </x:row>
    <x:row r="279" ht="36" customHeight="1">
      <x:c r="A279" s="5" t="str">
        <x:v>5.4.2.2</x:v>
      </x:c>
      <x:c r="B279" s="5" t="str">
        <x:v>Betriebliches Management</x:v>
      </x:c>
      <x:c r="C279" s="5" t="str">
        <x:v>Kreativitätstechniken</x:v>
      </x:c>
      <x:c r="D279" s="5" t="str">
        <x:v>vollständig abgedeckt</x:v>
      </x:c>
      <x:c r="E279" s="5" t="str">
        <x:v>vollständig abgedeckt</x:v>
      </x:c>
      <x:c r="F279" s="5" t="str"/>
      <x:c r="G279" s="5" t="str">
        <x:v>BM-0181; BM-0183–BM-0197; BM-0237; BM-0247</x:v>
      </x:c>
      <x:c r="H279" s="5" t="str"/>
      <x:c r="I279" s="5" t="str">
        <x:v>Analysebewertung erhalten; keine neue Frage allein aus ID-Zahlen ableiten.</x:v>
      </x:c>
      <x:c r="J279" s="5" t="str">
        <x:v>Soll-Ist-Matrix 2026-09-27</x:v>
      </x:c>
      <x:c r="K279" s="5" t="str">
        <x:v>Vorbewertung aus Soll-Ist-Matrix; Kandidaten nicht automatisch Einzelbelege</x:v>
      </x:c>
      <x:c r="L279" s="5" t="str">
        <x:v>BM-0188; BM-0237</x:v>
      </x:c>
    </x:row>
    <x:row r="280" ht="36" customHeight="1">
      <x:c r="A280" s="5" t="str">
        <x:v>5.4.2.2#1</x:v>
      </x:c>
      <x:c r="B280" s="5" t="str">
        <x:v>Betriebliches Management</x:v>
      </x:c>
      <x:c r="C280" s="5" t="str">
        <x:v>Brainstorming</x:v>
      </x:c>
      <x:c r="D280" s="5" t="str">
        <x:v>vollständig abgedeckt</x:v>
      </x:c>
      <x:c r="E280" s="5" t="str">
        <x:v>vollständig abgedeckt</x:v>
      </x:c>
      <x:c r="F280" s="5" t="str"/>
      <x:c r="G280" s="5" t="str">
        <x:v>BM-0181; BM-0183–BM-0197; BM-0237; BM-0247</x:v>
      </x:c>
      <x:c r="H280" s="5" t="str"/>
      <x:c r="I280" s="5" t="str">
        <x:v>Analysebewertung erhalten; keine neue Frage allein aus ID-Zahlen ableiten.</x:v>
      </x:c>
      <x:c r="J280" s="5" t="str">
        <x:v>Soll-Ist-Matrix 2026-09-27</x:v>
      </x:c>
      <x:c r="K280" s="5" t="str">
        <x:v>Vorbewertung aus Soll-Ist-Matrix; Kandidaten nicht automatisch Einzelbelege</x:v>
      </x:c>
      <x:c r="L280" s="5" t="str">
        <x:v>BM-0189</x:v>
      </x:c>
    </x:row>
    <x:row r="281" ht="36" customHeight="1">
      <x:c r="A281" s="5" t="str">
        <x:v>5.4.2.2#2</x:v>
      </x:c>
      <x:c r="B281" s="5" t="str">
        <x:v>Betriebliches Management</x:v>
      </x:c>
      <x:c r="C281" s="5" t="str">
        <x:v>Brainwriting</x:v>
      </x:c>
      <x:c r="D281" s="5" t="str">
        <x:v>vollständig abgedeckt</x:v>
      </x:c>
      <x:c r="E281" s="5" t="str">
        <x:v>vollständig abgedeckt</x:v>
      </x:c>
      <x:c r="F281" s="5" t="str"/>
      <x:c r="G281" s="5" t="str">
        <x:v>BM-0181; BM-0183–BM-0197; BM-0237; BM-0247</x:v>
      </x:c>
      <x:c r="H281" s="5" t="str"/>
      <x:c r="I281" s="5" t="str">
        <x:v>Analysebewertung erhalten; keine neue Frage allein aus ID-Zahlen ableiten.</x:v>
      </x:c>
      <x:c r="J281" s="5" t="str">
        <x:v>Soll-Ist-Matrix 2026-09-27</x:v>
      </x:c>
      <x:c r="K281" s="5" t="str">
        <x:v>Vorbewertung aus Soll-Ist-Matrix; Kandidaten nicht automatisch Einzelbelege</x:v>
      </x:c>
      <x:c r="L281" s="5" t="str"/>
    </x:row>
    <x:row r="282" ht="36" customHeight="1">
      <x:c r="A282" s="5" t="str">
        <x:v>5.4.2.2#3</x:v>
      </x:c>
      <x:c r="B282" s="5" t="str">
        <x:v>Betriebliches Management</x:v>
      </x:c>
      <x:c r="C282" s="5" t="str">
        <x:v>Mind Mapping</x:v>
      </x:c>
      <x:c r="D282" s="5" t="str">
        <x:v>vollständig abgedeckt</x:v>
      </x:c>
      <x:c r="E282" s="5" t="str">
        <x:v>vollständig abgedeckt</x:v>
      </x:c>
      <x:c r="F282" s="5" t="str"/>
      <x:c r="G282" s="5" t="str">
        <x:v>BM-0181; BM-0183–BM-0197; BM-0237; BM-0247</x:v>
      </x:c>
      <x:c r="H282" s="5" t="str"/>
      <x:c r="I282" s="5" t="str">
        <x:v>Analysebewertung erhalten; keine neue Frage allein aus ID-Zahlen ableiten.</x:v>
      </x:c>
      <x:c r="J282" s="5" t="str">
        <x:v>Soll-Ist-Matrix 2026-09-27</x:v>
      </x:c>
      <x:c r="K282" s="5" t="str">
        <x:v>Vorbewertung aus Soll-Ist-Matrix; Kandidaten nicht automatisch Einzelbelege</x:v>
      </x:c>
      <x:c r="L282" s="5" t="str"/>
    </x:row>
    <x:row r="283" ht="36" customHeight="1">
      <x:c r="A283" s="5" t="str">
        <x:v>5.4.2.2#4</x:v>
      </x:c>
      <x:c r="B283" s="5" t="str">
        <x:v>Betriebliches Management</x:v>
      </x:c>
      <x:c r="C283" s="5" t="str">
        <x:v>6-3-5-Methode</x:v>
      </x:c>
      <x:c r="D283" s="5" t="str">
        <x:v>vollständig abgedeckt</x:v>
      </x:c>
      <x:c r="E283" s="5" t="str">
        <x:v>vollständig abgedeckt</x:v>
      </x:c>
      <x:c r="F283" s="5" t="str"/>
      <x:c r="G283" s="5" t="str">
        <x:v>BM-0181; BM-0183–BM-0197; BM-0237; BM-0247</x:v>
      </x:c>
      <x:c r="H283" s="5" t="str"/>
      <x:c r="I283" s="5" t="str">
        <x:v>Analysebewertung erhalten; keine neue Frage allein aus ID-Zahlen ableiten.</x:v>
      </x:c>
      <x:c r="J283" s="5" t="str">
        <x:v>Soll-Ist-Matrix 2026-09-27</x:v>
      </x:c>
      <x:c r="K283" s="5" t="str">
        <x:v>Vorbewertung aus Soll-Ist-Matrix; Kandidaten nicht automatisch Einzelbelege</x:v>
      </x:c>
      <x:c r="L283" s="5" t="str"/>
    </x:row>
    <x:row r="284" ht="36" customHeight="1">
      <x:c r="A284" s="5" t="str">
        <x:v>5.4.2.2#5</x:v>
      </x:c>
      <x:c r="B284" s="5" t="str">
        <x:v>Betriebliches Management</x:v>
      </x:c>
      <x:c r="C284" s="5" t="str">
        <x:v>Bionik</x:v>
      </x:c>
      <x:c r="D284" s="5" t="str">
        <x:v>vollständig abgedeckt</x:v>
      </x:c>
      <x:c r="E284" s="5" t="str">
        <x:v>vollständig abgedeckt</x:v>
      </x:c>
      <x:c r="F284" s="5" t="str"/>
      <x:c r="G284" s="5" t="str">
        <x:v>BM-0181; BM-0183–BM-0197; BM-0237; BM-0247</x:v>
      </x:c>
      <x:c r="H284" s="5" t="str"/>
      <x:c r="I284" s="5" t="str">
        <x:v>Analysebewertung erhalten; keine neue Frage allein aus ID-Zahlen ableiten.</x:v>
      </x:c>
      <x:c r="J284" s="5" t="str">
        <x:v>Soll-Ist-Matrix 2026-09-27</x:v>
      </x:c>
      <x:c r="K284" s="5" t="str">
        <x:v>Vorbewertung aus Soll-Ist-Matrix; Kandidaten nicht automatisch Einzelbelege</x:v>
      </x:c>
      <x:c r="L284" s="5" t="str">
        <x:v>BM-0191</x:v>
      </x:c>
    </x:row>
    <x:row r="285" ht="36" customHeight="1">
      <x:c r="A285" s="5" t="str">
        <x:v>5.4.2.2#6</x:v>
      </x:c>
      <x:c r="B285" s="5" t="str">
        <x:v>Betriebliches Management</x:v>
      </x:c>
      <x:c r="C285" s="5" t="str">
        <x:v>Morphologischer Kasten</x:v>
      </x:c>
      <x:c r="D285" s="5" t="str">
        <x:v>vollständig abgedeckt</x:v>
      </x:c>
      <x:c r="E285" s="5" t="str">
        <x:v>vollständig abgedeckt</x:v>
      </x:c>
      <x:c r="F285" s="5" t="str"/>
      <x:c r="G285" s="5" t="str">
        <x:v>BM-0181; BM-0183–BM-0197; BM-0237; BM-0247</x:v>
      </x:c>
      <x:c r="H285" s="5" t="str"/>
      <x:c r="I285" s="5" t="str">
        <x:v>Analysebewertung erhalten; keine neue Frage allein aus ID-Zahlen ableiten.</x:v>
      </x:c>
      <x:c r="J285" s="5" t="str">
        <x:v>Soll-Ist-Matrix 2026-09-27</x:v>
      </x:c>
      <x:c r="K285" s="5" t="str">
        <x:v>Vorbewertung aus Soll-Ist-Matrix; Kandidaten nicht automatisch Einzelbelege</x:v>
      </x:c>
      <x:c r="L285" s="5" t="str">
        <x:v>BM-0192</x:v>
      </x:c>
    </x:row>
    <x:row r="286" ht="36" customHeight="1">
      <x:c r="A286" s="5" t="str">
        <x:v>5.4.2.3</x:v>
      </x:c>
      <x:c r="B286" s="5" t="str">
        <x:v>Betriebliches Management</x:v>
      </x:c>
      <x:c r="C286" s="5" t="str">
        <x:v>Entscheidungstechniken</x:v>
      </x:c>
      <x:c r="D286" s="5" t="str">
        <x:v>vollständig abgedeckt</x:v>
      </x:c>
      <x:c r="E286" s="5" t="str">
        <x:v>vollständig abgedeckt</x:v>
      </x:c>
      <x:c r="F286" s="5" t="str"/>
      <x:c r="G286" s="5" t="str">
        <x:v>BM-0181; BM-0183–BM-0197; BM-0237; BM-0247</x:v>
      </x:c>
      <x:c r="H286" s="5" t="str"/>
      <x:c r="I286" s="5" t="str">
        <x:v>Analysebewertung erhalten; keine neue Frage allein aus ID-Zahlen ableiten.</x:v>
      </x:c>
      <x:c r="J286" s="5" t="str">
        <x:v>Soll-Ist-Matrix 2026-09-27</x:v>
      </x:c>
      <x:c r="K286" s="5" t="str">
        <x:v>Vorbewertung aus Soll-Ist-Matrix; Kandidaten nicht automatisch Einzelbelege</x:v>
      </x:c>
      <x:c r="L286" s="5" t="str"/>
    </x:row>
    <x:row r="287" ht="36" customHeight="1">
      <x:c r="A287" s="5" t="str">
        <x:v>5.4.2.3#1</x:v>
      </x:c>
      <x:c r="B287" s="5" t="str">
        <x:v>Betriebliches Management</x:v>
      </x:c>
      <x:c r="C287" s="5" t="str">
        <x:v>Entscheidungstheoretische Grundlagen</x:v>
      </x:c>
      <x:c r="D287" s="5" t="str">
        <x:v>vollständig abgedeckt</x:v>
      </x:c>
      <x:c r="E287" s="5" t="str">
        <x:v>vollständig abgedeckt</x:v>
      </x:c>
      <x:c r="F287" s="5" t="str"/>
      <x:c r="G287" s="5" t="str">
        <x:v>BM-0181; BM-0183–BM-0197; BM-0237; BM-0247</x:v>
      </x:c>
      <x:c r="H287" s="5" t="str"/>
      <x:c r="I287" s="5" t="str">
        <x:v>Analysebewertung erhalten; keine neue Frage allein aus ID-Zahlen ableiten.</x:v>
      </x:c>
      <x:c r="J287" s="5" t="str">
        <x:v>Soll-Ist-Matrix 2026-09-27</x:v>
      </x:c>
      <x:c r="K287" s="5" t="str">
        <x:v>Vorbewertung aus Soll-Ist-Matrix; Kandidaten nicht automatisch Einzelbelege</x:v>
      </x:c>
      <x:c r="L287" s="5" t="str"/>
    </x:row>
    <x:row r="288" ht="36" customHeight="1">
      <x:c r="A288" s="5" t="str">
        <x:v>5.4.2.3#2</x:v>
      </x:c>
      <x:c r="B288" s="5" t="str">
        <x:v>Betriebliches Management</x:v>
      </x:c>
      <x:c r="C288" s="5" t="str">
        <x:v>Nutzwertanalyse</x:v>
      </x:c>
      <x:c r="D288" s="5" t="str">
        <x:v>vollständig abgedeckt</x:v>
      </x:c>
      <x:c r="E288" s="5" t="str">
        <x:v>vollständig abgedeckt</x:v>
      </x:c>
      <x:c r="F288" s="5" t="str"/>
      <x:c r="G288" s="5" t="str">
        <x:v>BM-0181; BM-0183–BM-0197; BM-0237; BM-0247</x:v>
      </x:c>
      <x:c r="H288" s="5" t="str"/>
      <x:c r="I288" s="5" t="str">
        <x:v>Analysebewertung erhalten; keine neue Frage allein aus ID-Zahlen ableiten.</x:v>
      </x:c>
      <x:c r="J288" s="5" t="str">
        <x:v>Soll-Ist-Matrix 2026-09-27</x:v>
      </x:c>
      <x:c r="K288" s="5" t="str">
        <x:v>Vorbewertung aus Soll-Ist-Matrix; Kandidaten nicht automatisch Einzelbelege</x:v>
      </x:c>
      <x:c r="L288" s="5" t="str"/>
    </x:row>
    <x:row r="289" ht="36" customHeight="1">
      <x:c r="A289" s="5" t="str">
        <x:v>5.4.2.3#3</x:v>
      </x:c>
      <x:c r="B289" s="5" t="str">
        <x:v>Betriebliches Management</x:v>
      </x:c>
      <x:c r="C289" s="5" t="str">
        <x:v>Entscheidungsmatrix</x:v>
      </x:c>
      <x:c r="D289" s="5" t="str">
        <x:v>vollständig abgedeckt</x:v>
      </x:c>
      <x:c r="E289" s="5" t="str">
        <x:v>vollständig abgedeckt</x:v>
      </x:c>
      <x:c r="F289" s="5" t="str"/>
      <x:c r="G289" s="5" t="str">
        <x:v>BM-0181; BM-0183–BM-0197; BM-0237; BM-0247</x:v>
      </x:c>
      <x:c r="H289" s="5" t="str"/>
      <x:c r="I289" s="5" t="str">
        <x:v>Analysebewertung erhalten; keine neue Frage allein aus ID-Zahlen ableiten.</x:v>
      </x:c>
      <x:c r="J289" s="5" t="str">
        <x:v>Soll-Ist-Matrix 2026-09-27</x:v>
      </x:c>
      <x:c r="K289" s="5" t="str">
        <x:v>Vorbewertung aus Soll-Ist-Matrix; Kandidaten nicht automatisch Einzelbelege</x:v>
      </x:c>
      <x:c r="L289" s="5" t="str">
        <x:v>BM-0195</x:v>
      </x:c>
    </x:row>
    <x:row r="290" ht="36" customHeight="1">
      <x:c r="A290" s="5" t="str">
        <x:v>5.4.3</x:v>
      </x:c>
      <x:c r="B290" s="5" t="str">
        <x:v>Betriebliches Management</x:v>
      </x:c>
      <x:c r="C290" s="5" t="str">
        <x:v>Projektmanagement</x:v>
      </x:c>
      <x:c r="D290" s="5" t="str">
        <x:v>vollständig abgedeckt</x:v>
      </x:c>
      <x:c r="E290" s="5" t="str">
        <x:v>vollständig abgedeckt</x:v>
      </x:c>
      <x:c r="F290" s="5" t="str"/>
      <x:c r="G290" s="5" t="str">
        <x:v>BM-0198–BM-0206; BM-0248–BM-0252</x:v>
      </x:c>
      <x:c r="H290" s="5" t="str"/>
      <x:c r="I290" s="5" t="str">
        <x:v>Analysebewertung erhalten; keine neue Frage allein aus ID-Zahlen ableiten.</x:v>
      </x:c>
      <x:c r="J290" s="5" t="str">
        <x:v>Soll-Ist-Matrix 2026-09-27</x:v>
      </x:c>
      <x:c r="K290" s="5" t="str">
        <x:v>Vorbewertung aus Soll-Ist-Matrix; Kandidaten nicht automatisch Einzelbelege</x:v>
      </x:c>
      <x:c r="L290" s="5" t="str">
        <x:v>BM-0198; BM-0201; BM-0202; BM-0203; BM-0204; BM-0205; BM-0206; BM-0248; BM-0249; BM-0250</x:v>
      </x:c>
    </x:row>
    <x:row r="291" ht="36" customHeight="1">
      <x:c r="A291" s="5" t="str">
        <x:v>5.4.3.1</x:v>
      </x:c>
      <x:c r="B291" s="5" t="str">
        <x:v>Betriebliches Management</x:v>
      </x:c>
      <x:c r="C291" s="5" t="str">
        <x:v>Projektorganisation</x:v>
      </x:c>
      <x:c r="D291" s="5" t="str">
        <x:v>vollständig abgedeckt</x:v>
      </x:c>
      <x:c r="E291" s="5" t="str">
        <x:v>vollständig abgedeckt</x:v>
      </x:c>
      <x:c r="F291" s="5" t="str"/>
      <x:c r="G291" s="5" t="str">
        <x:v>BM-0198–BM-0206; BM-0248–BM-0252</x:v>
      </x:c>
      <x:c r="H291" s="5" t="str"/>
      <x:c r="I291" s="5" t="str">
        <x:v>Analysebewertung erhalten; keine neue Frage allein aus ID-Zahlen ableiten.</x:v>
      </x:c>
      <x:c r="J291" s="5" t="str">
        <x:v>Soll-Ist-Matrix 2026-09-27</x:v>
      </x:c>
      <x:c r="K291" s="5" t="str">
        <x:v>Vorbewertung aus Soll-Ist-Matrix; Kandidaten nicht automatisch Einzelbelege</x:v>
      </x:c>
      <x:c r="L291" s="5" t="str">
        <x:v>BM-0199; BM-0200</x:v>
      </x:c>
    </x:row>
    <x:row r="292" ht="36" customHeight="1">
      <x:c r="A292" s="5" t="str">
        <x:v>5.4.3.2</x:v>
      </x:c>
      <x:c r="B292" s="5" t="str">
        <x:v>Betriebliches Management</x:v>
      </x:c>
      <x:c r="C292" s="5" t="str">
        <x:v>Projektplanung</x:v>
      </x:c>
      <x:c r="D292" s="5" t="str">
        <x:v>vollständig abgedeckt</x:v>
      </x:c>
      <x:c r="E292" s="5" t="str">
        <x:v>vollständig abgedeckt</x:v>
      </x:c>
      <x:c r="F292" s="5" t="str"/>
      <x:c r="G292" s="5" t="str">
        <x:v>BM-0198–BM-0206; BM-0248–BM-0252</x:v>
      </x:c>
      <x:c r="H292" s="5" t="str"/>
      <x:c r="I292" s="5" t="str">
        <x:v>Analysebewertung erhalten; keine neue Frage allein aus ID-Zahlen ableiten.</x:v>
      </x:c>
      <x:c r="J292" s="5" t="str">
        <x:v>Soll-Ist-Matrix 2026-09-27</x:v>
      </x:c>
      <x:c r="K292" s="5" t="str">
        <x:v>Vorbewertung aus Soll-Ist-Matrix; Kandidaten nicht automatisch Einzelbelege</x:v>
      </x:c>
      <x:c r="L292" s="5" t="str">
        <x:v>PF-0203</x:v>
      </x:c>
    </x:row>
    <x:row r="293" ht="36" customHeight="1">
      <x:c r="A293" s="5" t="str">
        <x:v>5.4.3.3</x:v>
      </x:c>
      <x:c r="B293" s="5" t="str">
        <x:v>Betriebliches Management</x:v>
      </x:c>
      <x:c r="C293" s="5" t="str">
        <x:v>Projektsteuerung</x:v>
      </x:c>
      <x:c r="D293" s="5" t="str">
        <x:v>vollständig abgedeckt</x:v>
      </x:c>
      <x:c r="E293" s="5" t="str">
        <x:v>vollständig abgedeckt</x:v>
      </x:c>
      <x:c r="F293" s="5" t="str"/>
      <x:c r="G293" s="5" t="str">
        <x:v>BM-0198–BM-0206; BM-0248–BM-0252</x:v>
      </x:c>
      <x:c r="H293" s="5" t="str"/>
      <x:c r="I293" s="5" t="str">
        <x:v>Analysebewertung erhalten; keine neue Frage allein aus ID-Zahlen ableiten.</x:v>
      </x:c>
      <x:c r="J293" s="5" t="str">
        <x:v>Soll-Ist-Matrix 2026-09-27</x:v>
      </x:c>
      <x:c r="K293" s="5" t="str">
        <x:v>Vorbewertung aus Soll-Ist-Matrix; Kandidaten nicht automatisch Einzelbelege</x:v>
      </x:c>
      <x:c r="L293" s="5" t="str">
        <x:v>BM-0251</x:v>
      </x:c>
    </x:row>
    <x:row r="294" ht="36" customHeight="1">
      <x:c r="A294" s="5" t="str">
        <x:v>5.4.3.4</x:v>
      </x:c>
      <x:c r="B294" s="5" t="str">
        <x:v>Betriebliches Management</x:v>
      </x:c>
      <x:c r="C294" s="5" t="str">
        <x:v>Projektdokumentation</x:v>
      </x:c>
      <x:c r="D294" s="5" t="str">
        <x:v>vollständig abgedeckt</x:v>
      </x:c>
      <x:c r="E294" s="5" t="str">
        <x:v>vollständig abgedeckt</x:v>
      </x:c>
      <x:c r="F294" s="5" t="str"/>
      <x:c r="G294" s="5" t="str">
        <x:v>BM-0198–BM-0206; BM-0248–BM-0252</x:v>
      </x:c>
      <x:c r="H294" s="5" t="str"/>
      <x:c r="I294" s="5" t="str">
        <x:v>Analysebewertung erhalten; keine neue Frage allein aus ID-Zahlen ableiten.</x:v>
      </x:c>
      <x:c r="J294" s="5" t="str">
        <x:v>Soll-Ist-Matrix 2026-09-27</x:v>
      </x:c>
      <x:c r="K294" s="5" t="str">
        <x:v>Vorbewertung aus Soll-Ist-Matrix; Kandidaten nicht automatisch Einzelbelege</x:v>
      </x:c>
      <x:c r="L294" s="5" t="str">
        <x:v>BM-0252</x:v>
      </x:c>
    </x:row>
    <x:row r="295" ht="36" customHeight="1">
      <x:c r="A295" s="5" t="str">
        <x:v>5.4.4</x:v>
      </x:c>
      <x:c r="B295" s="5" t="str">
        <x:v>Betriebliches Management</x:v>
      </x:c>
      <x:c r="C295" s="5" t="str">
        <x:v>Gesprächs- und Kooperationstechniken</x:v>
      </x:c>
      <x:c r="D295" s="5" t="str">
        <x:v>vollständig abgedeckt</x:v>
      </x:c>
      <x:c r="E295" s="5" t="str">
        <x:v>vollständig abgedeckt</x:v>
      </x:c>
      <x:c r="F295" s="5" t="str"/>
      <x:c r="G295" s="5" t="str">
        <x:v>BM-0207–BM-0225; BM-0238; BM-0240; BM-0253, BM-0254</x:v>
      </x:c>
      <x:c r="H295" s="5" t="str"/>
      <x:c r="I295" s="5" t="str">
        <x:v>Analysebewertung erhalten; keine neue Frage allein aus ID-Zahlen ableiten.</x:v>
      </x:c>
      <x:c r="J295" s="5" t="str">
        <x:v>Soll-Ist-Matrix 2026-09-27</x:v>
      </x:c>
      <x:c r="K295" s="5" t="str">
        <x:v>Vorbewertung aus Soll-Ist-Matrix; Kandidaten nicht automatisch Einzelbelege</x:v>
      </x:c>
      <x:c r="L295" s="5" t="str">
        <x:v>BM-0210; BM-0211; BM-0215; BM-0216; BM-0220; BM-0221; BM-0223; BM-0224; BM-0238; BM-0253; BM-0254</x:v>
      </x:c>
    </x:row>
    <x:row r="296" ht="36" customHeight="1">
      <x:c r="A296" s="5" t="str">
        <x:v>5.4.4.1</x:v>
      </x:c>
      <x:c r="B296" s="5" t="str">
        <x:v>Betriebliches Management</x:v>
      </x:c>
      <x:c r="C296" s="5" t="str">
        <x:v>Grundlagen der Kommunikation</x:v>
      </x:c>
      <x:c r="D296" s="5" t="str">
        <x:v>vollständig abgedeckt</x:v>
      </x:c>
      <x:c r="E296" s="5" t="str">
        <x:v>vollständig abgedeckt</x:v>
      </x:c>
      <x:c r="F296" s="5" t="str"/>
      <x:c r="G296" s="5" t="str">
        <x:v>BM-0207–BM-0225; BM-0238; BM-0240; BM-0253, BM-0254</x:v>
      </x:c>
      <x:c r="H296" s="5" t="str"/>
      <x:c r="I296" s="5" t="str">
        <x:v>Analysebewertung erhalten; keine neue Frage allein aus ID-Zahlen ableiten.</x:v>
      </x:c>
      <x:c r="J296" s="5" t="str">
        <x:v>Soll-Ist-Matrix 2026-09-27</x:v>
      </x:c>
      <x:c r="K296" s="5" t="str">
        <x:v>Vorbewertung aus Soll-Ist-Matrix; Kandidaten nicht automatisch Einzelbelege</x:v>
      </x:c>
      <x:c r="L296" s="5" t="str">
        <x:v>BM-0207; BM-0208; BM-0225; BM-0240</x:v>
      </x:c>
    </x:row>
    <x:row r="297" ht="36" customHeight="1">
      <x:c r="A297" s="5" t="str">
        <x:v>5.4.4.1#1</x:v>
      </x:c>
      <x:c r="B297" s="5" t="str">
        <x:v>Betriebliches Management</x:v>
      </x:c>
      <x:c r="C297" s="5" t="str">
        <x:v>Kommunikationsmodell nach Schulz von Thun</x:v>
      </x:c>
      <x:c r="D297" s="5" t="str">
        <x:v>vollständig abgedeckt</x:v>
      </x:c>
      <x:c r="E297" s="5" t="str">
        <x:v>vollständig abgedeckt</x:v>
      </x:c>
      <x:c r="F297" s="5" t="str"/>
      <x:c r="G297" s="5" t="str">
        <x:v>BM-0207–BM-0225; BM-0238; BM-0240; BM-0253, BM-0254</x:v>
      </x:c>
      <x:c r="H297" s="5" t="str"/>
      <x:c r="I297" s="5" t="str">
        <x:v>Analysebewertung erhalten; keine neue Frage allein aus ID-Zahlen ableiten.</x:v>
      </x:c>
      <x:c r="J297" s="5" t="str">
        <x:v>Soll-Ist-Matrix 2026-09-27</x:v>
      </x:c>
      <x:c r="K297" s="5" t="str">
        <x:v>Vorbewertung aus Soll-Ist-Matrix; Kandidaten nicht automatisch Einzelbelege</x:v>
      </x:c>
      <x:c r="L297" s="5" t="str"/>
    </x:row>
    <x:row r="298" ht="36" customHeight="1">
      <x:c r="A298" s="5" t="str">
        <x:v>5.4.4.1#2</x:v>
      </x:c>
      <x:c r="B298" s="5" t="str">
        <x:v>Betriebliches Management</x:v>
      </x:c>
      <x:c r="C298" s="5" t="str">
        <x:v>Grundzüge der Transaktionsanalyse</x:v>
      </x:c>
      <x:c r="D298" s="5" t="str">
        <x:v>vollständig abgedeckt</x:v>
      </x:c>
      <x:c r="E298" s="5" t="str">
        <x:v>vollständig abgedeckt</x:v>
      </x:c>
      <x:c r="F298" s="5" t="str"/>
      <x:c r="G298" s="5" t="str">
        <x:v>BM-0207–BM-0225; BM-0238; BM-0240; BM-0253, BM-0254</x:v>
      </x:c>
      <x:c r="H298" s="5" t="str"/>
      <x:c r="I298" s="5" t="str">
        <x:v>Analysebewertung erhalten; keine neue Frage allein aus ID-Zahlen ableiten.</x:v>
      </x:c>
      <x:c r="J298" s="5" t="str">
        <x:v>Soll-Ist-Matrix 2026-09-27</x:v>
      </x:c>
      <x:c r="K298" s="5" t="str">
        <x:v>Vorbewertung aus Soll-Ist-Matrix; Kandidaten nicht automatisch Einzelbelege</x:v>
      </x:c>
      <x:c r="L298" s="5" t="str"/>
    </x:row>
    <x:row r="299" ht="36" customHeight="1">
      <x:c r="A299" s="5" t="str">
        <x:v>5.4.4.2</x:v>
      </x:c>
      <x:c r="B299" s="5" t="str">
        <x:v>Betriebliches Management</x:v>
      </x:c>
      <x:c r="C299" s="5" t="str">
        <x:v>Vortrag und Präsentation</x:v>
      </x:c>
      <x:c r="D299" s="5" t="str">
        <x:v>vollständig abgedeckt</x:v>
      </x:c>
      <x:c r="E299" s="5" t="str">
        <x:v>vollständig abgedeckt</x:v>
      </x:c>
      <x:c r="F299" s="5" t="str"/>
      <x:c r="G299" s="5" t="str">
        <x:v>BM-0207–BM-0225; BM-0238; BM-0240; BM-0253, BM-0254</x:v>
      </x:c>
      <x:c r="H299" s="5" t="str"/>
      <x:c r="I299" s="5" t="str">
        <x:v>Analysebewertung erhalten; keine neue Frage allein aus ID-Zahlen ableiten.</x:v>
      </x:c>
      <x:c r="J299" s="5" t="str">
        <x:v>Soll-Ist-Matrix 2026-09-27</x:v>
      </x:c>
      <x:c r="K299" s="5" t="str">
        <x:v>Vorbewertung aus Soll-Ist-Matrix; Kandidaten nicht automatisch Einzelbelege</x:v>
      </x:c>
      <x:c r="L299" s="5" t="str">
        <x:v>BM-0209; BM-0212; BM-0213</x:v>
      </x:c>
    </x:row>
    <x:row r="300" ht="36" customHeight="1">
      <x:c r="A300" s="5" t="str">
        <x:v>5.4.4.3</x:v>
      </x:c>
      <x:c r="B300" s="5" t="str">
        <x:v>Betriebliches Management</x:v>
      </x:c>
      <x:c r="C300" s="5" t="str">
        <x:v>Moderation</x:v>
      </x:c>
      <x:c r="D300" s="5" t="str">
        <x:v>vollständig abgedeckt</x:v>
      </x:c>
      <x:c r="E300" s="5" t="str">
        <x:v>vollständig abgedeckt</x:v>
      </x:c>
      <x:c r="F300" s="5" t="str"/>
      <x:c r="G300" s="5" t="str">
        <x:v>BM-0207–BM-0225; BM-0238; BM-0240; BM-0253, BM-0254</x:v>
      </x:c>
      <x:c r="H300" s="5" t="str"/>
      <x:c r="I300" s="5" t="str">
        <x:v>Analysebewertung erhalten; keine neue Frage allein aus ID-Zahlen ableiten.</x:v>
      </x:c>
      <x:c r="J300" s="5" t="str">
        <x:v>Soll-Ist-Matrix 2026-09-27</x:v>
      </x:c>
      <x:c r="K300" s="5" t="str">
        <x:v>Vorbewertung aus Soll-Ist-Matrix; Kandidaten nicht automatisch Einzelbelege</x:v>
      </x:c>
      <x:c r="L300" s="5" t="str">
        <x:v>BM-0214</x:v>
      </x:c>
    </x:row>
    <x:row r="301" ht="36" customHeight="1">
      <x:c r="A301" s="5" t="str">
        <x:v>5.4.4.4</x:v>
      </x:c>
      <x:c r="B301" s="5" t="str">
        <x:v>Betriebliches Management</x:v>
      </x:c>
      <x:c r="C301" s="5" t="str">
        <x:v>Konfliktmanagement</x:v>
      </x:c>
      <x:c r="D301" s="5" t="str">
        <x:v>vollständig abgedeckt</x:v>
      </x:c>
      <x:c r="E301" s="5" t="str">
        <x:v>vollständig abgedeckt</x:v>
      </x:c>
      <x:c r="F301" s="5" t="str"/>
      <x:c r="G301" s="5" t="str">
        <x:v>BM-0207–BM-0225; BM-0238; BM-0240; BM-0253, BM-0254</x:v>
      </x:c>
      <x:c r="H301" s="5" t="str"/>
      <x:c r="I301" s="5" t="str">
        <x:v>Analysebewertung erhalten; keine neue Frage allein aus ID-Zahlen ableiten.</x:v>
      </x:c>
      <x:c r="J301" s="5" t="str">
        <x:v>Soll-Ist-Matrix 2026-09-27</x:v>
      </x:c>
      <x:c r="K301" s="5" t="str">
        <x:v>Vorbewertung aus Soll-Ist-Matrix; Kandidaten nicht automatisch Einzelbelege</x:v>
      </x:c>
      <x:c r="L301" s="5" t="str"/>
    </x:row>
    <x:row r="302" ht="36" customHeight="1">
      <x:c r="A302" s="5" t="str">
        <x:v>5.4.4.5</x:v>
      </x:c>
      <x:c r="B302" s="5" t="str">
        <x:v>Betriebliches Management</x:v>
      </x:c>
      <x:c r="C302" s="5" t="str">
        <x:v>Mediation</x:v>
      </x:c>
      <x:c r="D302" s="5" t="str">
        <x:v>vollständig abgedeckt</x:v>
      </x:c>
      <x:c r="E302" s="5" t="str">
        <x:v>vollständig abgedeckt</x:v>
      </x:c>
      <x:c r="F302" s="5" t="str"/>
      <x:c r="G302" s="5" t="str">
        <x:v>BM-0207–BM-0225; BM-0238; BM-0240; BM-0253, BM-0254</x:v>
      </x:c>
      <x:c r="H302" s="5" t="str"/>
      <x:c r="I302" s="5" t="str">
        <x:v>Analysebewertung erhalten; keine neue Frage allein aus ID-Zahlen ableiten.</x:v>
      </x:c>
      <x:c r="J302" s="5" t="str">
        <x:v>Soll-Ist-Matrix 2026-09-27</x:v>
      </x:c>
      <x:c r="K302" s="5" t="str">
        <x:v>Vorbewertung aus Soll-Ist-Matrix; Kandidaten nicht automatisch Einzelbelege</x:v>
      </x:c>
      <x:c r="L302" s="5" t="str">
        <x:v>BM-0217; BM-0218</x:v>
      </x:c>
    </x:row>
    <x:row r="303" ht="36" customHeight="1">
      <x:c r="A303" s="5" t="str">
        <x:v>5.4.4.6</x:v>
      </x:c>
      <x:c r="B303" s="5" t="str">
        <x:v>Betriebliches Management</x:v>
      </x:c>
      <x:c r="C303" s="5" t="str">
        <x:v>Interviewtechnik und Bewerbungsgespräch</x:v>
      </x:c>
      <x:c r="D303" s="5" t="str">
        <x:v>vollständig abgedeckt</x:v>
      </x:c>
      <x:c r="E303" s="5" t="str">
        <x:v>vollständig abgedeckt</x:v>
      </x:c>
      <x:c r="F303" s="5" t="str"/>
      <x:c r="G303" s="5" t="str">
        <x:v>BM-0207–BM-0225; BM-0238; BM-0240; BM-0253, BM-0254</x:v>
      </x:c>
      <x:c r="H303" s="5" t="str"/>
      <x:c r="I303" s="5" t="str">
        <x:v>Analysebewertung erhalten; keine neue Frage allein aus ID-Zahlen ableiten.</x:v>
      </x:c>
      <x:c r="J303" s="5" t="str">
        <x:v>Soll-Ist-Matrix 2026-09-27</x:v>
      </x:c>
      <x:c r="K303" s="5" t="str">
        <x:v>Vorbewertung aus Soll-Ist-Matrix; Kandidaten nicht automatisch Einzelbelege</x:v>
      </x:c>
      <x:c r="L303" s="5" t="str"/>
    </x:row>
    <x:row r="304" ht="36" customHeight="1">
      <x:c r="A304" s="5" t="str">
        <x:v>5.4.4.6#1</x:v>
      </x:c>
      <x:c r="B304" s="5" t="str">
        <x:v>Betriebliches Management</x:v>
      </x:c>
      <x:c r="C304" s="5" t="str">
        <x:v>Analyse von Bewerbungsunterlagen</x:v>
      </x:c>
      <x:c r="D304" s="5" t="str">
        <x:v>vollständig abgedeckt</x:v>
      </x:c>
      <x:c r="E304" s="5" t="str">
        <x:v>vollständig abgedeckt</x:v>
      </x:c>
      <x:c r="F304" s="5" t="str"/>
      <x:c r="G304" s="5" t="str">
        <x:v>BM-0207–BM-0225; BM-0238; BM-0240; BM-0253, BM-0254</x:v>
      </x:c>
      <x:c r="H304" s="5" t="str"/>
      <x:c r="I304" s="5" t="str">
        <x:v>Analysebewertung erhalten; keine neue Frage allein aus ID-Zahlen ableiten.</x:v>
      </x:c>
      <x:c r="J304" s="5" t="str">
        <x:v>Soll-Ist-Matrix 2026-09-27</x:v>
      </x:c>
      <x:c r="K304" s="5" t="str">
        <x:v>Vorbewertung aus Soll-Ist-Matrix; Kandidaten nicht automatisch Einzelbelege</x:v>
      </x:c>
      <x:c r="L304" s="5" t="str">
        <x:v>BM-0219</x:v>
      </x:c>
    </x:row>
    <x:row r="305" ht="36" customHeight="1">
      <x:c r="A305" s="5" t="str">
        <x:v>5.4.4.6#2</x:v>
      </x:c>
      <x:c r="B305" s="5" t="str">
        <x:v>Betriebliches Management</x:v>
      </x:c>
      <x:c r="C305" s="5" t="str">
        <x:v>Aufbau des Interviews</x:v>
      </x:c>
      <x:c r="D305" s="5" t="str">
        <x:v>vollständig abgedeckt</x:v>
      </x:c>
      <x:c r="E305" s="5" t="str">
        <x:v>vollständig abgedeckt</x:v>
      </x:c>
      <x:c r="F305" s="5" t="str"/>
      <x:c r="G305" s="5" t="str">
        <x:v>BM-0207–BM-0225; BM-0238; BM-0240; BM-0253, BM-0254</x:v>
      </x:c>
      <x:c r="H305" s="5" t="str"/>
      <x:c r="I305" s="5" t="str">
        <x:v>Analysebewertung erhalten; keine neue Frage allein aus ID-Zahlen ableiten.</x:v>
      </x:c>
      <x:c r="J305" s="5" t="str">
        <x:v>Soll-Ist-Matrix 2026-09-27</x:v>
      </x:c>
      <x:c r="K305" s="5" t="str">
        <x:v>Vorbewertung aus Soll-Ist-Matrix; Kandidaten nicht automatisch Einzelbelege</x:v>
      </x:c>
      <x:c r="L305" s="5" t="str"/>
    </x:row>
    <x:row r="306" ht="36" customHeight="1">
      <x:c r="A306" s="5" t="str">
        <x:v>5.4.4.6#3</x:v>
      </x:c>
      <x:c r="B306" s="5" t="str">
        <x:v>Betriebliches Management</x:v>
      </x:c>
      <x:c r="C306" s="5" t="str">
        <x:v>Fragetechniken</x:v>
      </x:c>
      <x:c r="D306" s="5" t="str">
        <x:v>vollständig abgedeckt</x:v>
      </x:c>
      <x:c r="E306" s="5" t="str">
        <x:v>vollständig abgedeckt</x:v>
      </x:c>
      <x:c r="F306" s="5" t="str"/>
      <x:c r="G306" s="5" t="str">
        <x:v>BM-0207–BM-0225; BM-0238; BM-0240; BM-0253, BM-0254</x:v>
      </x:c>
      <x:c r="H306" s="5" t="str"/>
      <x:c r="I306" s="5" t="str">
        <x:v>Analysebewertung erhalten; keine neue Frage allein aus ID-Zahlen ableiten.</x:v>
      </x:c>
      <x:c r="J306" s="5" t="str">
        <x:v>Soll-Ist-Matrix 2026-09-27</x:v>
      </x:c>
      <x:c r="K306" s="5" t="str">
        <x:v>Vorbewertung aus Soll-Ist-Matrix; Kandidaten nicht automatisch Einzelbelege</x:v>
      </x:c>
      <x:c r="L306" s="5" t="str"/>
    </x:row>
    <x:row r="307" ht="36" customHeight="1">
      <x:c r="A307" s="5" t="str">
        <x:v>5.4.4.6#4</x:v>
      </x:c>
      <x:c r="B307" s="5" t="str">
        <x:v>Betriebliches Management</x:v>
      </x:c>
      <x:c r="C307" s="5" t="str">
        <x:v>Auswertung und Nachbearbeitung des Interviews</x:v>
      </x:c>
      <x:c r="D307" s="5" t="str">
        <x:v>vollständig abgedeckt</x:v>
      </x:c>
      <x:c r="E307" s="5" t="str">
        <x:v>vollständig abgedeckt</x:v>
      </x:c>
      <x:c r="F307" s="5" t="str"/>
      <x:c r="G307" s="5" t="str">
        <x:v>BM-0207–BM-0225; BM-0238; BM-0240; BM-0253, BM-0254</x:v>
      </x:c>
      <x:c r="H307" s="5" t="str"/>
      <x:c r="I307" s="5" t="str">
        <x:v>Analysebewertung erhalten; keine neue Frage allein aus ID-Zahlen ableiten.</x:v>
      </x:c>
      <x:c r="J307" s="5" t="str">
        <x:v>Soll-Ist-Matrix 2026-09-27</x:v>
      </x:c>
      <x:c r="K307" s="5" t="str">
        <x:v>Vorbewertung aus Soll-Ist-Matrix; Kandidaten nicht automatisch Einzelbelege</x:v>
      </x:c>
      <x:c r="L307" s="5" t="str"/>
    </x:row>
    <x:row r="308" ht="36" customHeight="1">
      <x:c r="A308" s="5" t="str">
        <x:v>5.4.4.7</x:v>
      </x:c>
      <x:c r="B308" s="5" t="str">
        <x:v>Betriebliches Management</x:v>
      </x:c>
      <x:c r="C308" s="5" t="str">
        <x:v>Mitarbeitergespräche</x:v>
      </x:c>
      <x:c r="D308" s="5" t="str">
        <x:v>vollständig abgedeckt</x:v>
      </x:c>
      <x:c r="E308" s="5" t="str">
        <x:v>vollständig abgedeckt</x:v>
      </x:c>
      <x:c r="F308" s="5" t="str"/>
      <x:c r="G308" s="5" t="str">
        <x:v>BM-0207–BM-0225; BM-0238; BM-0240; BM-0253, BM-0254</x:v>
      </x:c>
      <x:c r="H308" s="5" t="str"/>
      <x:c r="I308" s="5" t="str">
        <x:v>Analysebewertung erhalten; keine neue Frage allein aus ID-Zahlen ableiten.</x:v>
      </x:c>
      <x:c r="J308" s="5" t="str">
        <x:v>Soll-Ist-Matrix 2026-09-27</x:v>
      </x:c>
      <x:c r="K308" s="5" t="str">
        <x:v>Vorbewertung aus Soll-Ist-Matrix; Kandidaten nicht automatisch Einzelbelege</x:v>
      </x:c>
      <x:c r="L308" s="5" t="str">
        <x:v>BM-0222</x:v>
      </x:c>
    </x:row>
    <x:row r="309" ht="36" customHeight="1">
      <x:c r="A309" s="5" t="str">
        <x:v>5.4.4.8</x:v>
      </x:c>
      <x:c r="B309" s="5" t="str">
        <x:v>Betriebliches Management</x:v>
      </x:c>
      <x:c r="C309" s="5" t="str">
        <x:v>Verkaufsgespräche</x:v>
      </x:c>
      <x:c r="D309" s="5" t="str">
        <x:v>vollständig abgedeckt</x:v>
      </x:c>
      <x:c r="E309" s="5" t="str">
        <x:v>vollständig abgedeckt</x:v>
      </x:c>
      <x:c r="F309" s="5" t="str"/>
      <x:c r="G309" s="5" t="str">
        <x:v>BM-0207–BM-0225; BM-0238; BM-0240; BM-0253, BM-0254</x:v>
      </x:c>
      <x:c r="H309" s="5" t="str"/>
      <x:c r="I309" s="5" t="str">
        <x:v>Analysebewertung erhalten; keine neue Frage allein aus ID-Zahlen ableiten.</x:v>
      </x:c>
      <x:c r="J309" s="5" t="str">
        <x:v>Soll-Ist-Matrix 2026-09-27</x:v>
      </x:c>
      <x:c r="K309" s="5" t="str">
        <x:v>Vorbewertung aus Soll-Ist-Matrix; Kandidaten nicht automatisch Einzelbelege</x:v>
      </x:c>
      <x:c r="L309" s="5" t="str"/>
    </x:row>
    <x:row r="310" ht="36" customHeight="1">
      <x:c r="A310" s="5" t="str">
        <x:v>6</x:v>
      </x:c>
      <x:c r="B310" s="5" t="str">
        <x:v>Investition, Finanzierung, betriebliches Rechnungswesen und Controlling</x:v>
      </x:c>
      <x:c r="C310" s="5" t="str">
        <x:v>Investition, Finanzierung, betriebliches Rechnungswesen und Controlling</x:v>
      </x:c>
      <x:c r="D310" s="5" t="str">
        <x:v>teilweise abgedeckt</x:v>
      </x:c>
      <x:c r="E310" s="5" t="str">
        <x:v>teilweise abgedeckt</x:v>
      </x:c>
      <x:c r="F310" s="5" t="str">
        <x:v>IF-0154; IF-0078; IF-0152; IF-0146; IF-0147</x:v>
      </x:c>
      <x:c r="G310" s="5" t="str">
        <x:v>IF-0002–IF-0005; IF-0008; IF-0101–IF-0110; IF-0009–IF-0019; IF-0091–IF-0093; IF-0111, IF-0112; IF-0020–IF-0030; IF-0094, IF-0095; IF-0113–IF-0118; IF-0166; IF-0001; IF-0006, IF-0007; IF-0031–IF-0034; IF-0051; IF-0096, IF-0097; IF-0119–IF-0127; IF-0164, IF-0165; IF-0035–IF-0037; IF-0047–IF-0050; IF-0052–IF-0055; IF-0081; IF-0089, IF-0090; IF-0128–IF-0132; IF-0163; IF-0073–IF-0077; IF-0079, IF-0080; IF-0098, IF-0099; IF-0146–IF-0154; IF-0069–IF-0072; IF-0078; IF-0140–IF-0145; IF-0038–IF-0046; IF-0133; IF-0066–IF-0068; IF-0082–IF-0088; IF-0100; IF-0155–IF-0162; IF-0056–IF-0065; IF-0134–IF-0139; FC-0004; FC-0007; FC-0012, FC-0013; FC-0018–FC-0032; FC-0102, FC-0103; FC-0005, FC-0006; FC-0008–FC-0011; FC-0033–FC-0037; FC-0067–FC-0069; FC-0038–FC-0040; FC-0070–FC-0074; FC-0041–FC-0045; FC-0075, FC-0076; FC-0101; FC-0104; FC-0046–FC-0048; FC-0077, FC-0078; FC-0049–FC-0060; FC-0079–FC-0081; FC-0061–FC-0064; FC-0082–FC-0090; FC-0065, FC-0066; FC-0091–FC-0099</x:v>
      </x:c>
      <x:c r="H310" s="5" t="str">
        <x:v>6.2.2.1#3: Die Abgrenzung zu privaten Geldgebern außerhalb des Gesellschafterkreises fehlt ausdrücklich; deshalb Teilbeleg, kein Leerbefund.</x:v>
      </x:c>
      <x:c r="I310" s="5" t="str">
        <x:v>Abgeleiteter Elternstatus; keine zusätzliche Inhaltsaufgabe. Siehe Einzelpunkte 6.2.2.1#1, 6.2.2.1#2, 6.2.2.1#3, 6.2.2.1#4</x:v>
      </x:c>
      <x:c r="J310" s="5" t="str">
        <x:v>Soll-Ist-Matrix 2026-09-27</x:v>
      </x:c>
      <x:c r="K310" s="5" t="str">
        <x:v>Elternbewertung aus einzeln geprüften Unterpunkten</x:v>
      </x:c>
      <x:c r="L310" s="5" t="str"/>
    </x:row>
    <x:row r="311" ht="36" customHeight="1">
      <x:c r="A311" s="5" t="str">
        <x:v>6.1</x:v>
      </x:c>
      <x:c r="B311" s="5" t="str">
        <x:v>Investition, Finanzierung, betriebliches Rechnungswesen und Controlling</x:v>
      </x:c>
      <x:c r="C311" s="5" t="str">
        <x:v>Investitionsplanung und -rechnung</x:v>
      </x:c>
      <x:c r="D311" s="5" t="str">
        <x:v>vollständig abgedeckt</x:v>
      </x:c>
      <x:c r="E311" s="5" t="str">
        <x:v>vollständig abgedeckt</x:v>
      </x:c>
      <x:c r="F311" s="5" t="str"/>
      <x:c r="G311" s="5" t="str">
        <x:v>IF-0002–IF-0005; IF-0008; IF-0101–IF-0110; IF-0009–IF-0019; IF-0091–IF-0093; IF-0111, IF-0112; IF-0020–IF-0030; IF-0094, IF-0095; IF-0113–IF-0118; IF-0166</x:v>
      </x:c>
      <x:c r="H311" s="5" t="str"/>
      <x:c r="I311" s="5" t="str">
        <x:v>Analysebewertung erhalten; keine neue Frage allein aus ID-Zahlen ableiten.</x:v>
      </x:c>
      <x:c r="J311" s="5" t="str">
        <x:v>Soll-Ist-Matrix 2026-09-27</x:v>
      </x:c>
      <x:c r="K311" s="5" t="str">
        <x:v>Vorbewertung aus Soll-Ist-Matrix; Kandidaten nicht automatisch Einzelbelege</x:v>
      </x:c>
      <x:c r="L311" s="5" t="str"/>
    </x:row>
    <x:row r="312" ht="36" customHeight="1">
      <x:c r="A312" s="5" t="str">
        <x:v>6.1.1</x:v>
      </x:c>
      <x:c r="B312" s="5" t="str">
        <x:v>Investition, Finanzierung, betriebliches Rechnungswesen und Controlling</x:v>
      </x:c>
      <x:c r="C312" s="5" t="str">
        <x:v>Investition</x:v>
      </x:c>
      <x:c r="D312" s="5" t="str">
        <x:v>vollständig abgedeckt</x:v>
      </x:c>
      <x:c r="E312" s="5" t="str">
        <x:v>vollständig abgedeckt</x:v>
      </x:c>
      <x:c r="F312" s="5" t="str"/>
      <x:c r="G312" s="5" t="str">
        <x:v>IF-0002–IF-0005; IF-0008; IF-0101–IF-0110</x:v>
      </x:c>
      <x:c r="H312" s="5" t="str"/>
      <x:c r="I312" s="5" t="str">
        <x:v>Analysebewertung erhalten; keine neue Frage allein aus ID-Zahlen ableiten.</x:v>
      </x:c>
      <x:c r="J312" s="5" t="str">
        <x:v>Soll-Ist-Matrix 2026-09-27</x:v>
      </x:c>
      <x:c r="K312" s="5" t="str">
        <x:v>Vorbewertung aus Soll-Ist-Matrix; Kandidaten nicht automatisch Einzelbelege</x:v>
      </x:c>
      <x:c r="L312" s="5" t="str">
        <x:v>IF-0004; IF-0005; IF-0008; IF-0103; IF-0104; IF-0109</x:v>
      </x:c>
    </x:row>
    <x:row r="313" ht="36" customHeight="1">
      <x:c r="A313" s="5" t="str">
        <x:v>6.1.1.1</x:v>
      </x:c>
      <x:c r="B313" s="5" t="str">
        <x:v>Investition, Finanzierung, betriebliches Rechnungswesen und Controlling</x:v>
      </x:c>
      <x:c r="C313" s="5" t="str">
        <x:v>Zusammenhang von Investition und Finanzierung</x:v>
      </x:c>
      <x:c r="D313" s="5" t="str">
        <x:v>vollständig abgedeckt</x:v>
      </x:c>
      <x:c r="E313" s="5" t="str">
        <x:v>vollständig abgedeckt</x:v>
      </x:c>
      <x:c r="F313" s="5" t="str"/>
      <x:c r="G313" s="5" t="str">
        <x:v>IF-0002–IF-0005; IF-0008; IF-0101–IF-0110</x:v>
      </x:c>
      <x:c r="H313" s="5" t="str"/>
      <x:c r="I313" s="5" t="str">
        <x:v>Analysebewertung erhalten; keine neue Frage allein aus ID-Zahlen ableiten.</x:v>
      </x:c>
      <x:c r="J313" s="5" t="str">
        <x:v>Soll-Ist-Matrix 2026-09-27</x:v>
      </x:c>
      <x:c r="K313" s="5" t="str">
        <x:v>Vorbewertung aus Soll-Ist-Matrix; Kandidaten nicht automatisch Einzelbelege</x:v>
      </x:c>
      <x:c r="L313" s="5" t="str">
        <x:v>IF-0002; IF-0003; IF-0101; IF-0102; IF-0105; IF-0106; IF-0107; IF-0108; IF-0110</x:v>
      </x:c>
    </x:row>
    <x:row r="314" ht="36" customHeight="1">
      <x:c r="A314" s="5" t="str">
        <x:v>6.1.1.2</x:v>
      </x:c>
      <x:c r="B314" s="5" t="str">
        <x:v>Investition, Finanzierung, betriebliches Rechnungswesen und Controlling</x:v>
      </x:c>
      <x:c r="C314" s="5" t="str">
        <x:v>Investitionsarten</x:v>
      </x:c>
      <x:c r="D314" s="5" t="str">
        <x:v>vollständig abgedeckt</x:v>
      </x:c>
      <x:c r="E314" s="5" t="str">
        <x:v>vollständig abgedeckt</x:v>
      </x:c>
      <x:c r="F314" s="5" t="str"/>
      <x:c r="G314" s="5" t="str">
        <x:v>IF-0002–IF-0005; IF-0008; IF-0101–IF-0110</x:v>
      </x:c>
      <x:c r="H314" s="5" t="str"/>
      <x:c r="I314" s="5" t="str">
        <x:v>Analysebewertung erhalten; keine neue Frage allein aus ID-Zahlen ableiten.</x:v>
      </x:c>
      <x:c r="J314" s="5" t="str">
        <x:v>Soll-Ist-Matrix 2026-09-27</x:v>
      </x:c>
      <x:c r="K314" s="5" t="str">
        <x:v>Vorbewertung aus Soll-Ist-Matrix; Kandidaten nicht automatisch Einzelbelege</x:v>
      </x:c>
      <x:c r="L314" s="5" t="str"/>
    </x:row>
    <x:row r="315" ht="36" customHeight="1">
      <x:c r="A315" s="5" t="str">
        <x:v>6.1.1.3</x:v>
      </x:c>
      <x:c r="B315" s="5" t="str">
        <x:v>Investition, Finanzierung, betriebliches Rechnungswesen und Controlling</x:v>
      </x:c>
      <x:c r="C315" s="5" t="str">
        <x:v>Investitionsentscheidungen</x:v>
      </x:c>
      <x:c r="D315" s="5" t="str">
        <x:v>vollständig abgedeckt</x:v>
      </x:c>
      <x:c r="E315" s="5" t="str">
        <x:v>vollständig abgedeckt</x:v>
      </x:c>
      <x:c r="F315" s="5" t="str"/>
      <x:c r="G315" s="5" t="str">
        <x:v>IF-0002–IF-0005; IF-0008; IF-0101–IF-0110</x:v>
      </x:c>
      <x:c r="H315" s="5" t="str"/>
      <x:c r="I315" s="5" t="str">
        <x:v>Analysebewertung erhalten; keine neue Frage allein aus ID-Zahlen ableiten.</x:v>
      </x:c>
      <x:c r="J315" s="5" t="str">
        <x:v>Soll-Ist-Matrix 2026-09-27</x:v>
      </x:c>
      <x:c r="K315" s="5" t="str">
        <x:v>Vorbewertung aus Soll-Ist-Matrix; Kandidaten nicht automatisch Einzelbelege</x:v>
      </x:c>
      <x:c r="L315" s="5" t="str"/>
    </x:row>
    <x:row r="316" ht="36" customHeight="1">
      <x:c r="A316" s="5" t="str">
        <x:v>6.1.2</x:v>
      </x:c>
      <x:c r="B316" s="5" t="str">
        <x:v>Investition, Finanzierung, betriebliches Rechnungswesen und Controlling</x:v>
      </x:c>
      <x:c r="C316" s="5" t="str">
        <x:v>Investitionsrechenverfahren</x:v>
      </x:c>
      <x:c r="D316" s="5" t="str">
        <x:v>vollständig abgedeckt</x:v>
      </x:c>
      <x:c r="E316" s="5" t="str">
        <x:v>vollständig abgedeckt</x:v>
      </x:c>
      <x:c r="F316" s="5" t="str"/>
      <x:c r="G316" s="5" t="str">
        <x:v>IF-0009–IF-0019; IF-0091–IF-0093; IF-0111, IF-0112; IF-0020–IF-0030; IF-0094, IF-0095; IF-0113–IF-0118; IF-0166</x:v>
      </x:c>
      <x:c r="H316" s="5" t="str"/>
      <x:c r="I316" s="5" t="str">
        <x:v>Analysebewertung erhalten; keine neue Frage allein aus ID-Zahlen ableiten.</x:v>
      </x:c>
      <x:c r="J316" s="5" t="str">
        <x:v>Soll-Ist-Matrix 2026-09-27</x:v>
      </x:c>
      <x:c r="K316" s="5" t="str">
        <x:v>Vorbewertung aus Soll-Ist-Matrix; Kandidaten nicht automatisch Einzelbelege</x:v>
      </x:c>
      <x:c r="L316" s="5" t="str"/>
    </x:row>
    <x:row r="317" ht="36" customHeight="1">
      <x:c r="A317" s="5" t="str">
        <x:v>6.1.2.1</x:v>
      </x:c>
      <x:c r="B317" s="5" t="str">
        <x:v>Investition, Finanzierung, betriebliches Rechnungswesen und Controlling</x:v>
      </x:c>
      <x:c r="C317" s="5" t="str">
        <x:v>Arten der Investitionsrechnungen</x:v>
      </x:c>
      <x:c r="D317" s="5" t="str">
        <x:v>vollständig abgedeckt</x:v>
      </x:c>
      <x:c r="E317" s="5" t="str">
        <x:v>vollständig abgedeckt</x:v>
      </x:c>
      <x:c r="F317" s="5" t="str"/>
      <x:c r="G317" s="5" t="str">
        <x:v>IF-0009–IF-0019; IF-0091–IF-0093; IF-0111, IF-0112; IF-0020–IF-0030; IF-0094, IF-0095; IF-0113–IF-0118; IF-0166</x:v>
      </x:c>
      <x:c r="H317" s="5" t="str"/>
      <x:c r="I317" s="5" t="str">
        <x:v>Analysebewertung erhalten; keine neue Frage allein aus ID-Zahlen ableiten.</x:v>
      </x:c>
      <x:c r="J317" s="5" t="str">
        <x:v>Soll-Ist-Matrix 2026-09-27</x:v>
      </x:c>
      <x:c r="K317" s="5" t="str">
        <x:v>Vorbewertung aus Soll-Ist-Matrix; Kandidaten nicht automatisch Einzelbelege</x:v>
      </x:c>
      <x:c r="L317" s="5" t="str"/>
    </x:row>
    <x:row r="318" ht="36" customHeight="1">
      <x:c r="A318" s="5" t="str">
        <x:v>6.1.2.2</x:v>
      </x:c>
      <x:c r="B318" s="5" t="str">
        <x:v>Investition, Finanzierung, betriebliches Rechnungswesen und Controlling</x:v>
      </x:c>
      <x:c r="C318" s="5" t="str">
        <x:v>Statische Investitionsrechnung</x:v>
      </x:c>
      <x:c r="D318" s="5" t="str">
        <x:v>vollständig abgedeckt</x:v>
      </x:c>
      <x:c r="E318" s="5" t="str">
        <x:v>vollständig abgedeckt</x:v>
      </x:c>
      <x:c r="F318" s="5" t="str"/>
      <x:c r="G318" s="5" t="str">
        <x:v>IF-0009–IF-0019; IF-0091–IF-0093; IF-0111, IF-0112</x:v>
      </x:c>
      <x:c r="H318" s="5" t="str"/>
      <x:c r="I318" s="5" t="str">
        <x:v>Analysebewertung erhalten; keine neue Frage allein aus ID-Zahlen ableiten.</x:v>
      </x:c>
      <x:c r="J318" s="5" t="str">
        <x:v>Soll-Ist-Matrix 2026-09-27</x:v>
      </x:c>
      <x:c r="K318" s="5" t="str">
        <x:v>Vorbewertung aus Soll-Ist-Matrix; Kandidaten nicht automatisch Einzelbelege</x:v>
      </x:c>
      <x:c r="L318" s="5" t="str">
        <x:v>IF-0009; IF-0011; IF-0012; IF-0013; IF-0014; IF-0015; IF-0016; IF-0017; IF-0018; IF-0092; IF-0093; IF-0112</x:v>
      </x:c>
    </x:row>
    <x:row r="319" ht="36" customHeight="1">
      <x:c r="A319" s="5" t="str">
        <x:v>6.1.2.2#1</x:v>
      </x:c>
      <x:c r="B319" s="5" t="str">
        <x:v>Investition, Finanzierung, betriebliches Rechnungswesen und Controlling</x:v>
      </x:c>
      <x:c r="C319" s="5" t="str">
        <x:v>Kostenvergleichsrechnung</x:v>
      </x:c>
      <x:c r="D319" s="5" t="str">
        <x:v>vollständig abgedeckt</x:v>
      </x:c>
      <x:c r="E319" s="5" t="str">
        <x:v>vollständig abgedeckt</x:v>
      </x:c>
      <x:c r="F319" s="5" t="str"/>
      <x:c r="G319" s="5" t="str">
        <x:v>IF-0009–IF-0019; IF-0091–IF-0093; IF-0111, IF-0112</x:v>
      </x:c>
      <x:c r="H319" s="5" t="str"/>
      <x:c r="I319" s="5" t="str">
        <x:v>Analysebewertung erhalten; keine neue Frage allein aus ID-Zahlen ableiten.</x:v>
      </x:c>
      <x:c r="J319" s="5" t="str">
        <x:v>Soll-Ist-Matrix 2026-09-27</x:v>
      </x:c>
      <x:c r="K319" s="5" t="str">
        <x:v>Vorbewertung aus Soll-Ist-Matrix; Kandidaten nicht automatisch Einzelbelege</x:v>
      </x:c>
      <x:c r="L319" s="5" t="str">
        <x:v>IF-0010</x:v>
      </x:c>
    </x:row>
    <x:row r="320" ht="36" customHeight="1">
      <x:c r="A320" s="5" t="str">
        <x:v>6.1.2.2#2</x:v>
      </x:c>
      <x:c r="B320" s="5" t="str">
        <x:v>Investition, Finanzierung, betriebliches Rechnungswesen und Controlling</x:v>
      </x:c>
      <x:c r="C320" s="5" t="str">
        <x:v>Gewinnvergleichsrechnung</x:v>
      </x:c>
      <x:c r="D320" s="5" t="str">
        <x:v>vollständig abgedeckt</x:v>
      </x:c>
      <x:c r="E320" s="5" t="str">
        <x:v>vollständig abgedeckt</x:v>
      </x:c>
      <x:c r="F320" s="5" t="str"/>
      <x:c r="G320" s="5" t="str">
        <x:v>IF-0009–IF-0019; IF-0091–IF-0093; IF-0111, IF-0112</x:v>
      </x:c>
      <x:c r="H320" s="5" t="str"/>
      <x:c r="I320" s="5" t="str">
        <x:v>Analysebewertung erhalten; keine neue Frage allein aus ID-Zahlen ableiten.</x:v>
      </x:c>
      <x:c r="J320" s="5" t="str">
        <x:v>Soll-Ist-Matrix 2026-09-27</x:v>
      </x:c>
      <x:c r="K320" s="5" t="str">
        <x:v>Vorbewertung aus Soll-Ist-Matrix; Kandidaten nicht automatisch Einzelbelege</x:v>
      </x:c>
      <x:c r="L320" s="5" t="str"/>
    </x:row>
    <x:row r="321" ht="36" customHeight="1">
      <x:c r="A321" s="5" t="str">
        <x:v>6.1.2.2#3</x:v>
      </x:c>
      <x:c r="B321" s="5" t="str">
        <x:v>Investition, Finanzierung, betriebliches Rechnungswesen und Controlling</x:v>
      </x:c>
      <x:c r="C321" s="5" t="str">
        <x:v>Rentabilitätsrechnung</x:v>
      </x:c>
      <x:c r="D321" s="5" t="str">
        <x:v>vollständig abgedeckt</x:v>
      </x:c>
      <x:c r="E321" s="5" t="str">
        <x:v>vollständig abgedeckt</x:v>
      </x:c>
      <x:c r="F321" s="5" t="str"/>
      <x:c r="G321" s="5" t="str">
        <x:v>IF-0009–IF-0019; IF-0091–IF-0093; IF-0111, IF-0112</x:v>
      </x:c>
      <x:c r="H321" s="5" t="str"/>
      <x:c r="I321" s="5" t="str">
        <x:v>Analysebewertung erhalten; keine neue Frage allein aus ID-Zahlen ableiten.</x:v>
      </x:c>
      <x:c r="J321" s="5" t="str">
        <x:v>Soll-Ist-Matrix 2026-09-27</x:v>
      </x:c>
      <x:c r="K321" s="5" t="str">
        <x:v>Vorbewertung aus Soll-Ist-Matrix; Kandidaten nicht automatisch Einzelbelege</x:v>
      </x:c>
      <x:c r="L321" s="5" t="str">
        <x:v>IF-0111</x:v>
      </x:c>
    </x:row>
    <x:row r="322" ht="36" customHeight="1">
      <x:c r="A322" s="5" t="str">
        <x:v>6.1.2.2#4</x:v>
      </x:c>
      <x:c r="B322" s="5" t="str">
        <x:v>Investition, Finanzierung, betriebliches Rechnungswesen und Controlling</x:v>
      </x:c>
      <x:c r="C322" s="5" t="str">
        <x:v>Amortisationsrechnung</x:v>
      </x:c>
      <x:c r="D322" s="5" t="str">
        <x:v>vollständig abgedeckt</x:v>
      </x:c>
      <x:c r="E322" s="5" t="str">
        <x:v>vollständig abgedeckt</x:v>
      </x:c>
      <x:c r="F322" s="5" t="str"/>
      <x:c r="G322" s="5" t="str">
        <x:v>IF-0009–IF-0019; IF-0091–IF-0093; IF-0111, IF-0112</x:v>
      </x:c>
      <x:c r="H322" s="5" t="str"/>
      <x:c r="I322" s="5" t="str">
        <x:v>Analysebewertung erhalten; keine neue Frage allein aus ID-Zahlen ableiten.</x:v>
      </x:c>
      <x:c r="J322" s="5" t="str">
        <x:v>Soll-Ist-Matrix 2026-09-27</x:v>
      </x:c>
      <x:c r="K322" s="5" t="str">
        <x:v>Vorbewertung aus Soll-Ist-Matrix; Kandidaten nicht automatisch Einzelbelege</x:v>
      </x:c>
      <x:c r="L322" s="5" t="str">
        <x:v>IF-0019</x:v>
      </x:c>
    </x:row>
    <x:row r="323" ht="36" customHeight="1">
      <x:c r="A323" s="5" t="str">
        <x:v>6.1.2.3</x:v>
      </x:c>
      <x:c r="B323" s="5" t="str">
        <x:v>Investition, Finanzierung, betriebliches Rechnungswesen und Controlling</x:v>
      </x:c>
      <x:c r="C323" s="5" t="str">
        <x:v>Dynamische Investitionsrechnung</x:v>
      </x:c>
      <x:c r="D323" s="5" t="str">
        <x:v>vollständig abgedeckt</x:v>
      </x:c>
      <x:c r="E323" s="5" t="str">
        <x:v>vollständig abgedeckt</x:v>
      </x:c>
      <x:c r="F323" s="5" t="str"/>
      <x:c r="G323" s="5" t="str">
        <x:v>IF-0020–IF-0030; IF-0094, IF-0095; IF-0113–IF-0118; IF-0166</x:v>
      </x:c>
      <x:c r="H323" s="5" t="str"/>
      <x:c r="I323" s="5" t="str">
        <x:v>Analysebewertung erhalten; keine neue Frage allein aus ID-Zahlen ableiten.</x:v>
      </x:c>
      <x:c r="J323" s="5" t="str">
        <x:v>Soll-Ist-Matrix 2026-09-27</x:v>
      </x:c>
      <x:c r="K323" s="5" t="str">
        <x:v>Vorbewertung aus Soll-Ist-Matrix; Kandidaten nicht automatisch Einzelbelege</x:v>
      </x:c>
      <x:c r="L323" s="5" t="str">
        <x:v>IF-0020; IF-0021; IF-0022; IF-0023; IF-0024; IF-0025; IF-0027; IF-0028; IF-0094; IF-0095; IF-0113; IF-0114; IF-0115; IF-0116; IF-0118; IF-0166</x:v>
      </x:c>
    </x:row>
    <x:row r="324" ht="36" customHeight="1">
      <x:c r="A324" s="5" t="str">
        <x:v>6.1.2.3#1</x:v>
      </x:c>
      <x:c r="B324" s="5" t="str">
        <x:v>Investition, Finanzierung, betriebliches Rechnungswesen und Controlling</x:v>
      </x:c>
      <x:c r="C324" s="5" t="str">
        <x:v>Kapitalwertmethode</x:v>
      </x:c>
      <x:c r="D324" s="5" t="str">
        <x:v>vollständig abgedeckt</x:v>
      </x:c>
      <x:c r="E324" s="5" t="str">
        <x:v>vollständig abgedeckt</x:v>
      </x:c>
      <x:c r="F324" s="5" t="str"/>
      <x:c r="G324" s="5" t="str">
        <x:v>IF-0020–IF-0030; IF-0094, IF-0095; IF-0113–IF-0118; IF-0166</x:v>
      </x:c>
      <x:c r="H324" s="5" t="str"/>
      <x:c r="I324" s="5" t="str">
        <x:v>Analysebewertung erhalten; keine neue Frage allein aus ID-Zahlen ableiten.</x:v>
      </x:c>
      <x:c r="J324" s="5" t="str">
        <x:v>Soll-Ist-Matrix 2026-09-27</x:v>
      </x:c>
      <x:c r="K324" s="5" t="str">
        <x:v>Vorbewertung aus Soll-Ist-Matrix; Kandidaten nicht automatisch Einzelbelege</x:v>
      </x:c>
      <x:c r="L324" s="5" t="str"/>
    </x:row>
    <x:row r="325" ht="36" customHeight="1">
      <x:c r="A325" s="5" t="str">
        <x:v>6.1.2.3#2</x:v>
      </x:c>
      <x:c r="B325" s="5" t="str">
        <x:v>Investition, Finanzierung, betriebliches Rechnungswesen und Controlling</x:v>
      </x:c>
      <x:c r="C325" s="5" t="str">
        <x:v>Annuitätenmethode</x:v>
      </x:c>
      <x:c r="D325" s="5" t="str">
        <x:v>vollständig abgedeckt</x:v>
      </x:c>
      <x:c r="E325" s="5" t="str">
        <x:v>vollständig abgedeckt</x:v>
      </x:c>
      <x:c r="F325" s="5" t="str"/>
      <x:c r="G325" s="5" t="str">
        <x:v>IF-0020–IF-0030; IF-0094, IF-0095; IF-0113–IF-0118; IF-0166</x:v>
      </x:c>
      <x:c r="H325" s="5" t="str"/>
      <x:c r="I325" s="5" t="str">
        <x:v>Analysebewertung erhalten; keine neue Frage allein aus ID-Zahlen ableiten.</x:v>
      </x:c>
      <x:c r="J325" s="5" t="str">
        <x:v>Soll-Ist-Matrix 2026-09-27</x:v>
      </x:c>
      <x:c r="K325" s="5" t="str">
        <x:v>Vorbewertung aus Soll-Ist-Matrix; Kandidaten nicht automatisch Einzelbelege</x:v>
      </x:c>
      <x:c r="L325" s="5" t="str"/>
    </x:row>
    <x:row r="326" ht="36" customHeight="1">
      <x:c r="A326" s="5" t="str">
        <x:v>6.1.2.3#3</x:v>
      </x:c>
      <x:c r="B326" s="5" t="str">
        <x:v>Investition, Finanzierung, betriebliches Rechnungswesen und Controlling</x:v>
      </x:c>
      <x:c r="C326" s="5" t="str">
        <x:v>Methode des internen Zinsfußes</x:v>
      </x:c>
      <x:c r="D326" s="5" t="str">
        <x:v>vollständig abgedeckt</x:v>
      </x:c>
      <x:c r="E326" s="5" t="str">
        <x:v>vollständig abgedeckt</x:v>
      </x:c>
      <x:c r="F326" s="5" t="str"/>
      <x:c r="G326" s="5" t="str">
        <x:v>IF-0020–IF-0030; IF-0094, IF-0095; IF-0113–IF-0118; IF-0166</x:v>
      </x:c>
      <x:c r="H326" s="5" t="str"/>
      <x:c r="I326" s="5" t="str">
        <x:v>Analysebewertung erhalten; keine neue Frage allein aus ID-Zahlen ableiten.</x:v>
      </x:c>
      <x:c r="J326" s="5" t="str">
        <x:v>Soll-Ist-Matrix 2026-09-27</x:v>
      </x:c>
      <x:c r="K326" s="5" t="str">
        <x:v>Vorbewertung aus Soll-Ist-Matrix; Kandidaten nicht automatisch Einzelbelege</x:v>
      </x:c>
      <x:c r="L326" s="5" t="str">
        <x:v>IF-0026; IF-0117</x:v>
      </x:c>
    </x:row>
    <x:row r="327" ht="36" customHeight="1">
      <x:c r="A327" s="5" t="str">
        <x:v>6.1.2.4</x:v>
      </x:c>
      <x:c r="B327" s="5" t="str">
        <x:v>Investition, Finanzierung, betriebliches Rechnungswesen und Controlling</x:v>
      </x:c>
      <x:c r="C327" s="5" t="str">
        <x:v>Wirtschaftliche Nutzungsdauer</x:v>
      </x:c>
      <x:c r="D327" s="5" t="str">
        <x:v>vollständig abgedeckt</x:v>
      </x:c>
      <x:c r="E327" s="5" t="str">
        <x:v>vollständig abgedeckt</x:v>
      </x:c>
      <x:c r="F327" s="5" t="str"/>
      <x:c r="G327" s="5" t="str">
        <x:v>IF-0020–IF-0030; IF-0094, IF-0095; IF-0113–IF-0118; IF-0166</x:v>
      </x:c>
      <x:c r="H327" s="5" t="str"/>
      <x:c r="I327" s="5" t="str">
        <x:v>Analysebewertung erhalten; keine neue Frage allein aus ID-Zahlen ableiten.</x:v>
      </x:c>
      <x:c r="J327" s="5" t="str">
        <x:v>Soll-Ist-Matrix 2026-09-27</x:v>
      </x:c>
      <x:c r="K327" s="5" t="str">
        <x:v>Vorbewertung aus Soll-Ist-Matrix; Kandidaten nicht automatisch Einzelbelege</x:v>
      </x:c>
      <x:c r="L327" s="5" t="str">
        <x:v>IF-0029; IF-0030</x:v>
      </x:c>
    </x:row>
    <x:row r="328" ht="36" customHeight="1">
      <x:c r="A328" s="5" t="str">
        <x:v>6.2</x:v>
      </x:c>
      <x:c r="B328" s="5" t="str">
        <x:v>Investition, Finanzierung, betriebliches Rechnungswesen und Controlling</x:v>
      </x:c>
      <x:c r="C328" s="5" t="str">
        <x:v>Finanzplanung und Ermittlung des Finanzbedarfs</x:v>
      </x:c>
      <x:c r="D328" s="5" t="str">
        <x:v>teilweise abgedeckt</x:v>
      </x:c>
      <x:c r="E328" s="5" t="str">
        <x:v>teilweise abgedeckt</x:v>
      </x:c>
      <x:c r="F328" s="5" t="str">
        <x:v>IF-0154; IF-0078; IF-0152; IF-0146; IF-0147</x:v>
      </x:c>
      <x:c r="G328" s="5" t="str">
        <x:v>IF-0001; IF-0006, IF-0007; IF-0031–IF-0034; IF-0051; IF-0096, IF-0097; IF-0119–IF-0127; IF-0164, IF-0165; IF-0035–IF-0037; IF-0047–IF-0050; IF-0052–IF-0055; IF-0081; IF-0089, IF-0090; IF-0128–IF-0132; IF-0163; IF-0073–IF-0077; IF-0079, IF-0080; IF-0098, IF-0099; IF-0146–IF-0154; IF-0069–IF-0072; IF-0078; IF-0140–IF-0145; IF-0038–IF-0046; IF-0133; IF-0066–IF-0068; IF-0082–IF-0088; IF-0100; IF-0155–IF-0162</x:v>
      </x:c>
      <x:c r="H328" s="5" t="str">
        <x:v>6.2.2.1#3: Die Abgrenzung zu privaten Geldgebern außerhalb des Gesellschafterkreises fehlt ausdrücklich; deshalb Teilbeleg, kein Leerbefund.</x:v>
      </x:c>
      <x:c r="I328" s="5" t="str">
        <x:v>Abgeleiteter Elternstatus; keine zusätzliche Inhaltsaufgabe. Siehe Einzelpunkte 6.2.2.1#1, 6.2.2.1#2, 6.2.2.1#3, 6.2.2.1#4</x:v>
      </x:c>
      <x:c r="J328" s="5" t="str">
        <x:v>Soll-Ist-Matrix 2026-09-27</x:v>
      </x:c>
      <x:c r="K328" s="5" t="str">
        <x:v>Elternbewertung aus einzeln geprüften Unterpunkten</x:v>
      </x:c>
      <x:c r="L328" s="5" t="str"/>
    </x:row>
    <x:row r="329" ht="36" customHeight="1">
      <x:c r="A329" s="5" t="str">
        <x:v>6.2.1</x:v>
      </x:c>
      <x:c r="B329" s="5" t="str">
        <x:v>Investition, Finanzierung, betriebliches Rechnungswesen und Controlling</x:v>
      </x:c>
      <x:c r="C329" s="5" t="str">
        <x:v>Kapitalbedarfsplanung</x:v>
      </x:c>
      <x:c r="D329" s="5" t="str">
        <x:v>vollständig abgedeckt</x:v>
      </x:c>
      <x:c r="E329" s="5" t="str">
        <x:v>vollständig abgedeckt</x:v>
      </x:c>
      <x:c r="F329" s="5" t="str"/>
      <x:c r="G329" s="5" t="str">
        <x:v>IF-0001; IF-0006, IF-0007; IF-0031–IF-0034; IF-0051; IF-0096, IF-0097; IF-0119–IF-0127; IF-0164, IF-0165</x:v>
      </x:c>
      <x:c r="H329" s="5" t="str"/>
      <x:c r="I329" s="5" t="str">
        <x:v>Analysebewertung erhalten; keine neue Frage allein aus ID-Zahlen ableiten.</x:v>
      </x:c>
      <x:c r="J329" s="5" t="str">
        <x:v>Soll-Ist-Matrix 2026-09-27</x:v>
      </x:c>
      <x:c r="K329" s="5" t="str">
        <x:v>Vorbewertung aus Soll-Ist-Matrix; Kandidaten nicht automatisch Einzelbelege</x:v>
      </x:c>
      <x:c r="L329" s="5" t="str">
        <x:v>IF-0001; IF-0006; IF-0007; IF-0031; IF-0032; IF-0033; IF-0096; IF-0097; IF-0119; IF-0120; IF-0121; IF-0123; IF-0126; IF-0164; IF-0165</x:v>
      </x:c>
    </x:row>
    <x:row r="330" ht="36" customHeight="1">
      <x:c r="A330" s="5" t="str">
        <x:v>6.2.2</x:v>
      </x:c>
      <x:c r="B330" s="5" t="str">
        <x:v>Investition, Finanzierung, betriebliches Rechnungswesen und Controlling</x:v>
      </x:c>
      <x:c r="C330" s="5" t="str">
        <x:v>Finanzierungsplanung</x:v>
      </x:c>
      <x:c r="D330" s="5" t="str">
        <x:v>teilweise abgedeckt</x:v>
      </x:c>
      <x:c r="E330" s="5" t="str">
        <x:v>teilweise abgedeckt</x:v>
      </x:c>
      <x:c r="F330" s="5" t="str">
        <x:v>IF-0154; IF-0078; IF-0152; IF-0146; IF-0147</x:v>
      </x:c>
      <x:c r="G330" s="5" t="str">
        <x:v>IF-0035–IF-0037; IF-0047–IF-0050; IF-0052–IF-0055; IF-0081; IF-0089, IF-0090; IF-0128–IF-0132; IF-0163; IF-0073–IF-0077; IF-0079, IF-0080; IF-0098, IF-0099; IF-0146–IF-0154; IF-0069–IF-0072; IF-0078; IF-0140–IF-0145; IF-0038–IF-0046; IF-0133</x:v>
      </x:c>
      <x:c r="H330" s="5" t="str">
        <x:v>6.2.2.1#3: Die Abgrenzung zu privaten Geldgebern außerhalb des Gesellschafterkreises fehlt ausdrücklich; deshalb Teilbeleg, kein Leerbefund.</x:v>
      </x:c>
      <x:c r="I330" s="5" t="str">
        <x:v>Abgeleiteter Elternstatus; keine zusätzliche Inhaltsaufgabe. Siehe Einzelpunkte 6.2.2.1#1, 6.2.2.1#2, 6.2.2.1#3, 6.2.2.1#4</x:v>
      </x:c>
      <x:c r="J330" s="5" t="str">
        <x:v>Soll-Ist-Matrix 2026-09-27</x:v>
      </x:c>
      <x:c r="K330" s="5" t="str">
        <x:v>Elternbewertung aus einzeln geprüften Unterpunkten</x:v>
      </x:c>
      <x:c r="L330" s="5" t="str">
        <x:v>IF-0035; IF-0036; IF-0037; IF-0047; IF-0048; IF-0049; IF-0050; IF-0052; IF-0053; IF-0054; IF-0055; IF-0081; IF-0090; IF-0128; IF-0129; IF-0130; IF-0131; IF-0132; IF-0163</x:v>
      </x:c>
    </x:row>
    <x:row r="331" ht="36" customHeight="1">
      <x:c r="A331" s="5" t="str">
        <x:v>6.2.2.1</x:v>
      </x:c>
      <x:c r="B331" s="5" t="str">
        <x:v>Investition, Finanzierung, betriebliches Rechnungswesen und Controlling</x:v>
      </x:c>
      <x:c r="C331" s="5" t="str">
        <x:v>Fremdfinanzierung</x:v>
      </x:c>
      <x:c r="D331" s="5" t="str">
        <x:v>teilweise abgedeckt</x:v>
      </x:c>
      <x:c r="E331" s="5" t="str">
        <x:v>teilweise abgedeckt</x:v>
      </x:c>
      <x:c r="F331" s="5" t="str">
        <x:v>IF-0154; IF-0078; IF-0152; IF-0146; IF-0147</x:v>
      </x:c>
      <x:c r="G331" s="5" t="str">
        <x:v>IF-0035–IF-0037; IF-0047–IF-0050; IF-0052–IF-0055; IF-0081; IF-0089, IF-0090; IF-0128–IF-0132; IF-0163; IF-0073–IF-0077; IF-0079, IF-0080; IF-0098, IF-0099; IF-0146–IF-0154</x:v>
      </x:c>
      <x:c r="H331" s="5" t="str">
        <x:v>6.2.2.1#3: Die Abgrenzung zu privaten Geldgebern außerhalb des Gesellschafterkreises fehlt ausdrücklich; deshalb Teilbeleg, kein Leerbefund.</x:v>
      </x:c>
      <x:c r="I331" s="5" t="str">
        <x:v>Abgeleiteter Elternstatus; keine zusätzliche Inhaltsaufgabe. Siehe Einzelpunkte 6.2.2.1#1, 6.2.2.1#2, 6.2.2.1#3, 6.2.2.1#4</x:v>
      </x:c>
      <x:c r="J331" s="5" t="str">
        <x:v>Soll-Ist-Matrix 2026-09-27</x:v>
      </x:c>
      <x:c r="K331" s="5" t="str">
        <x:v>Elternbewertung aus einzeln geprüften Unterpunkten</x:v>
      </x:c>
      <x:c r="L331" s="5" t="str"/>
    </x:row>
    <x:row r="332" ht="36" customHeight="1">
      <x:c r="A332" s="5" t="str">
        <x:v>6.2.2.1#1</x:v>
      </x:c>
      <x:c r="B332" s="5" t="str">
        <x:v>Investition, Finanzierung, betriebliches Rechnungswesen und Controlling</x:v>
      </x:c>
      <x:c r="C332" s="5" t="str">
        <x:v>Förderprogramme</x:v>
      </x:c>
      <x:c r="D332" s="5" t="str">
        <x:v>teilweise abgedeckt</x:v>
      </x:c>
      <x:c r="E332" s="5" t="str">
        <x:v>vollständig abgedeckt</x:v>
      </x:c>
      <x:c r="F332" s="5" t="str">
        <x:v>IF-0154</x:v>
      </x:c>
      <x:c r="G332" s="5" t="str">
        <x:v>IF-0035–IF-0037; IF-0047–IF-0050; IF-0052–IF-0055; IF-0081; IF-0089, IF-0090; IF-0128–IF-0132; IF-0163; IF-0073–IF-0077; IF-0079, IF-0080; IF-0098, IF-0099; IF-0146–IF-0154</x:v>
      </x:c>
      <x:c r="H332" s="5" t="str">
        <x:v>Keine Lücke; der Fehlbestand private Darlehen darf nicht auf dieses Geschwisterthema übertragen werden.</x:v>
      </x:c>
      <x:c r="I332" s="5" t="str">
        <x:v>Einzelpunkt vollständig führen; laufende Programmbedingungen sind kein Anlass für neue Struktur.</x:v>
      </x:c>
      <x:c r="J332" s="5" t="str">
        <x:v>IF_Buch: Kap. 2.2.1; IF_Skript: Fremdfinanzierung</x:v>
      </x:c>
      <x:c r="K332" s="5" t="str">
        <x:v>Vorbewertung aus Soll-Ist-Matrix; Kandidaten nicht automatisch Einzelbelege</x:v>
      </x:c>
      <x:c r="L332" s="5" t="str">
        <x:v>IF-0154</x:v>
      </x:c>
    </x:row>
    <x:row r="333" ht="36" customHeight="1">
      <x:c r="A333" s="5" t="str">
        <x:v>6.2.2.1#2</x:v>
      </x:c>
      <x:c r="B333" s="5" t="str">
        <x:v>Investition, Finanzierung, betriebliches Rechnungswesen und Controlling</x:v>
      </x:c>
      <x:c r="C333" s="5" t="str">
        <x:v>Bankdarlehen</x:v>
      </x:c>
      <x:c r="D333" s="5" t="str">
        <x:v>teilweise abgedeckt</x:v>
      </x:c>
      <x:c r="E333" s="5" t="str">
        <x:v>vollständig abgedeckt</x:v>
      </x:c>
      <x:c r="F333" s="5" t="str">
        <x:v>IF-0078; IF-0152</x:v>
      </x:c>
      <x:c r="G333" s="5" t="str">
        <x:v>IF-0035–IF-0037; IF-0047–IF-0050; IF-0052–IF-0055; IF-0081; IF-0089, IF-0090; IF-0128–IF-0132; IF-0163; IF-0073–IF-0077; IF-0079, IF-0080; IF-0098, IF-0099; IF-0146–IF-0154</x:v>
      </x:c>
      <x:c r="H333" s="5" t="str">
        <x:v>Keine Lücke aus dem fehlenden Geschwisterpunkt ableitbar.</x:v>
      </x:c>
      <x:c r="I333" s="5" t="str">
        <x:v>Direkte Belege verknüpfen; keine Datensatzkopie aus 6.3.</x:v>
      </x:c>
      <x:c r="J333" s="5" t="str">
        <x:v>IF_Buch: Kap. 2.2.1 und 3.4.3; IF_Skript: Kreditfinanzierung</x:v>
      </x:c>
      <x:c r="K333" s="5" t="str">
        <x:v>Vorbewertung aus Soll-Ist-Matrix; Kandidaten nicht automatisch Einzelbelege</x:v>
      </x:c>
      <x:c r="L333" s="5" t="str"/>
    </x:row>
    <x:row r="334" ht="36" customHeight="1">
      <x:c r="A334" s="5" t="str">
        <x:v>6.2.2.1#3</x:v>
      </x:c>
      <x:c r="B334" s="5" t="str">
        <x:v>Investition, Finanzierung, betriebliches Rechnungswesen und Controlling</x:v>
      </x:c>
      <x:c r="C334" s="5" t="str">
        <x:v>Private Darlehen</x:v>
      </x:c>
      <x:c r="D334" s="5" t="str">
        <x:v>nicht abgedeckt</x:v>
      </x:c>
      <x:c r="E334" s="5" t="str">
        <x:v>teilweise abgedeckt</x:v>
      </x:c>
      <x:c r="F334" s="5" t="str">
        <x:v>IF-0152</x:v>
      </x:c>
      <x:c r="G334" s="5" t="str">
        <x:v>—</x:v>
      </x:c>
      <x:c r="H334" s="5" t="str">
        <x:v>Die Abgrenzung zu privaten Geldgebern außerhalb des Gesellschafterkreises fehlt ausdrücklich; deshalb Teilbeleg, kein Leerbefund.</x:v>
      </x:c>
      <x:c r="I334" s="5" t="str">
        <x:v>IF-0152 später unter derselben ID um allgemeine private Darlehensgeber und die Abgrenzung zum Gesellschafterdarlehen erweitern. Keine zusätzliche ID erzeugen.</x:v>
      </x:c>
      <x:c r="J334" s="5" t="str">
        <x:v>IF_Buch: Kap. 2.2.1, private Personen/Gesellschafterdarlehen; IF_Skript: kein eindeutiger eigener Begriffstreffer</x:v>
      </x:c>
      <x:c r="K334" s="5" t="str">
        <x:v>Vorbewertung aus Soll-Ist-Matrix; Kandidaten nicht automatisch Einzelbelege</x:v>
      </x:c>
      <x:c r="L334" s="5" t="str"/>
    </x:row>
    <x:row r="335" ht="36" customHeight="1">
      <x:c r="A335" s="5" t="str">
        <x:v>6.2.2.1#4</x:v>
      </x:c>
      <x:c r="B335" s="5" t="str">
        <x:v>Investition, Finanzierung, betriebliches Rechnungswesen und Controlling</x:v>
      </x:c>
      <x:c r="C335" s="5" t="str">
        <x:v>Kontokorrentrahmen</x:v>
      </x:c>
      <x:c r="D335" s="5" t="str">
        <x:v>teilweise abgedeckt</x:v>
      </x:c>
      <x:c r="E335" s="5" t="str">
        <x:v>vollständig abgedeckt</x:v>
      </x:c>
      <x:c r="F335" s="5" t="str">
        <x:v>IF-0146; IF-0147</x:v>
      </x:c>
      <x:c r="G335" s="5" t="str">
        <x:v>IF-0035–IF-0037; IF-0047–IF-0050; IF-0052–IF-0055; IF-0081; IF-0089, IF-0090; IF-0128–IF-0132; IF-0163; IF-0073–IF-0077; IF-0079, IF-0080; IF-0098, IF-0099; IF-0146–IF-0154</x:v>
      </x:c>
      <x:c r="H335" s="5" t="str">
        <x:v>Keine Lücke; falsche Mitbewertung wegen privater Darlehen korrigieren.</x:v>
      </x:c>
      <x:c r="I335" s="5" t="str">
        <x:v>Querverweis aus Kreditarten zur Finanzierungsplanung, kein Duplikat.</x:v>
      </x:c>
      <x:c r="J335" s="5" t="str">
        <x:v>IF_Buch: Kap. 2.2.1; IF_Skript: Kontokorrentkredit</x:v>
      </x:c>
      <x:c r="K335" s="5" t="str">
        <x:v>Vorbewertung aus Soll-Ist-Matrix; Kandidaten nicht automatisch Einzelbelege</x:v>
      </x:c>
      <x:c r="L335" s="5" t="str"/>
    </x:row>
    <x:row r="336" ht="36" customHeight="1">
      <x:c r="A336" s="5" t="str">
        <x:v>6.2.2.2</x:v>
      </x:c>
      <x:c r="B336" s="5" t="str">
        <x:v>Investition, Finanzierung, betriebliches Rechnungswesen und Controlling</x:v>
      </x:c>
      <x:c r="C336" s="5" t="str">
        <x:v>Eigenfinanzierung</x:v>
      </x:c>
      <x:c r="D336" s="5" t="str">
        <x:v>vollständig abgedeckt</x:v>
      </x:c>
      <x:c r="E336" s="5" t="str">
        <x:v>vollständig abgedeckt</x:v>
      </x:c>
      <x:c r="F336" s="5" t="str"/>
      <x:c r="G336" s="5" t="str">
        <x:v>IF-0035–IF-0037; IF-0047–IF-0050; IF-0052–IF-0055; IF-0081; IF-0089, IF-0090; IF-0128–IF-0132; IF-0163; IF-0069–IF-0072; IF-0078; IF-0140–IF-0145</x:v>
      </x:c>
      <x:c r="H336" s="5" t="str"/>
      <x:c r="I336" s="5" t="str">
        <x:v>Analysebewertung erhalten; keine neue Frage allein aus ID-Zahlen ableiten.</x:v>
      </x:c>
      <x:c r="J336" s="5" t="str">
        <x:v>Soll-Ist-Matrix 2026-09-27</x:v>
      </x:c>
      <x:c r="K336" s="5" t="str">
        <x:v>Vorbewertung aus Soll-Ist-Matrix; Kandidaten nicht automatisch Einzelbelege</x:v>
      </x:c>
      <x:c r="L336" s="5" t="str"/>
    </x:row>
    <x:row r="337" ht="36" customHeight="1">
      <x:c r="A337" s="5" t="str">
        <x:v>6.2.2.2#1</x:v>
      </x:c>
      <x:c r="B337" s="5" t="str">
        <x:v>Investition, Finanzierung, betriebliches Rechnungswesen und Controlling</x:v>
      </x:c>
      <x:c r="C337" s="5" t="str">
        <x:v>Eigenmittel</x:v>
      </x:c>
      <x:c r="D337" s="5" t="str">
        <x:v>vollständig abgedeckt</x:v>
      </x:c>
      <x:c r="E337" s="5" t="str">
        <x:v>vollständig abgedeckt</x:v>
      </x:c>
      <x:c r="F337" s="5" t="str"/>
      <x:c r="G337" s="5" t="str">
        <x:v>IF-0035–IF-0037; IF-0047–IF-0050; IF-0052–IF-0055; IF-0081; IF-0089, IF-0090; IF-0128–IF-0132; IF-0163; IF-0069–IF-0072; IF-0078; IF-0140–IF-0145</x:v>
      </x:c>
      <x:c r="H337" s="5" t="str"/>
      <x:c r="I337" s="5" t="str">
        <x:v>Analysebewertung erhalten; keine neue Frage allein aus ID-Zahlen ableiten.</x:v>
      </x:c>
      <x:c r="J337" s="5" t="str">
        <x:v>Soll-Ist-Matrix 2026-09-27</x:v>
      </x:c>
      <x:c r="K337" s="5" t="str">
        <x:v>Vorbewertung aus Soll-Ist-Matrix; Kandidaten nicht automatisch Einzelbelege</x:v>
      </x:c>
      <x:c r="L337" s="5" t="str"/>
    </x:row>
    <x:row r="338" ht="36" customHeight="1">
      <x:c r="A338" s="5" t="str">
        <x:v>6.2.2.2#2</x:v>
      </x:c>
      <x:c r="B338" s="5" t="str">
        <x:v>Investition, Finanzierung, betriebliches Rechnungswesen und Controlling</x:v>
      </x:c>
      <x:c r="C338" s="5" t="str">
        <x:v>Beteiligungen</x:v>
      </x:c>
      <x:c r="D338" s="5" t="str">
        <x:v>vollständig abgedeckt</x:v>
      </x:c>
      <x:c r="E338" s="5" t="str">
        <x:v>vollständig abgedeckt</x:v>
      </x:c>
      <x:c r="F338" s="5" t="str"/>
      <x:c r="G338" s="5" t="str">
        <x:v>IF-0035–IF-0037; IF-0047–IF-0050; IF-0052–IF-0055; IF-0081; IF-0089, IF-0090; IF-0128–IF-0132; IF-0163; IF-0069–IF-0072; IF-0078; IF-0140–IF-0145</x:v>
      </x:c>
      <x:c r="H338" s="5" t="str"/>
      <x:c r="I338" s="5" t="str">
        <x:v>Analysebewertung erhalten; keine neue Frage allein aus ID-Zahlen ableiten.</x:v>
      </x:c>
      <x:c r="J338" s="5" t="str">
        <x:v>Soll-Ist-Matrix 2026-09-27</x:v>
      </x:c>
      <x:c r="K338" s="5" t="str">
        <x:v>Vorbewertung aus Soll-Ist-Matrix; Kandidaten nicht automatisch Einzelbelege</x:v>
      </x:c>
      <x:c r="L338" s="5" t="str"/>
    </x:row>
    <x:row r="339" ht="36" customHeight="1">
      <x:c r="A339" s="5" t="str">
        <x:v>6.2.2.3</x:v>
      </x:c>
      <x:c r="B339" s="5" t="str">
        <x:v>Investition, Finanzierung, betriebliches Rechnungswesen und Controlling</x:v>
      </x:c>
      <x:c r="C339" s="5" t="str">
        <x:v>Mezzanines Kapital</x:v>
      </x:c>
      <x:c r="D339" s="5" t="str">
        <x:v>vollständig abgedeckt</x:v>
      </x:c>
      <x:c r="E339" s="5" t="str">
        <x:v>vollständig abgedeckt</x:v>
      </x:c>
      <x:c r="F339" s="5" t="str"/>
      <x:c r="G339" s="5" t="str">
        <x:v>IF-0069–IF-0072; IF-0078; IF-0140–IF-0145</x:v>
      </x:c>
      <x:c r="H339" s="5" t="str"/>
      <x:c r="I339" s="5" t="str">
        <x:v>Analysebewertung erhalten; keine neue Frage allein aus ID-Zahlen ableiten.</x:v>
      </x:c>
      <x:c r="J339" s="5" t="str">
        <x:v>Soll-Ist-Matrix 2026-09-27</x:v>
      </x:c>
      <x:c r="K339" s="5" t="str">
        <x:v>Vorbewertung aus Soll-Ist-Matrix; Kandidaten nicht automatisch Einzelbelege</x:v>
      </x:c>
      <x:c r="L339" s="5" t="str">
        <x:v>IF-0140; IF-0141</x:v>
      </x:c>
    </x:row>
    <x:row r="340" ht="36" customHeight="1">
      <x:c r="A340" s="5" t="str">
        <x:v>6.2.2.4</x:v>
      </x:c>
      <x:c r="B340" s="5" t="str">
        <x:v>Investition, Finanzierung, betriebliches Rechnungswesen und Controlling</x:v>
      </x:c>
      <x:c r="C340" s="5" t="str">
        <x:v>Sicherheiten</x:v>
      </x:c>
      <x:c r="D340" s="5" t="str">
        <x:v>vollständig abgedeckt</x:v>
      </x:c>
      <x:c r="E340" s="5" t="str">
        <x:v>vollständig abgedeckt</x:v>
      </x:c>
      <x:c r="F340" s="5" t="str"/>
      <x:c r="G340" s="5" t="str">
        <x:v>IF-0038–IF-0046; IF-0133</x:v>
      </x:c>
      <x:c r="H340" s="5" t="str"/>
      <x:c r="I340" s="5" t="str">
        <x:v>Analysebewertung erhalten; keine neue Frage allein aus ID-Zahlen ableiten.</x:v>
      </x:c>
      <x:c r="J340" s="5" t="str">
        <x:v>Soll-Ist-Matrix 2026-09-27</x:v>
      </x:c>
      <x:c r="K340" s="5" t="str">
        <x:v>Vorbewertung aus Soll-Ist-Matrix; Kandidaten nicht automatisch Einzelbelege</x:v>
      </x:c>
      <x:c r="L340" s="5" t="str">
        <x:v>IF-0038; IF-0039; IF-0041; IF-0043; IF-0044; IF-0045; IF-0046; IF-0133</x:v>
      </x:c>
    </x:row>
    <x:row r="341" ht="36" customHeight="1">
      <x:c r="A341" s="5" t="str">
        <x:v>6.2.2.4#1</x:v>
      </x:c>
      <x:c r="B341" s="5" t="str">
        <x:v>Investition, Finanzierung, betriebliches Rechnungswesen und Controlling</x:v>
      </x:c>
      <x:c r="C341" s="5" t="str">
        <x:v>Sicherungsübereignung</x:v>
      </x:c>
      <x:c r="D341" s="5" t="str">
        <x:v>vollständig abgedeckt</x:v>
      </x:c>
      <x:c r="E341" s="5" t="str">
        <x:v>vollständig abgedeckt</x:v>
      </x:c>
      <x:c r="F341" s="5" t="str"/>
      <x:c r="G341" s="5" t="str">
        <x:v>IF-0038–IF-0046; IF-0133</x:v>
      </x:c>
      <x:c r="H341" s="5" t="str"/>
      <x:c r="I341" s="5" t="str">
        <x:v>Analysebewertung erhalten; keine neue Frage allein aus ID-Zahlen ableiten.</x:v>
      </x:c>
      <x:c r="J341" s="5" t="str">
        <x:v>Soll-Ist-Matrix 2026-09-27</x:v>
      </x:c>
      <x:c r="K341" s="5" t="str">
        <x:v>Vorbewertung aus Soll-Ist-Matrix; Kandidaten nicht automatisch Einzelbelege</x:v>
      </x:c>
      <x:c r="L341" s="5" t="str">
        <x:v>IF-0040; IF-0042</x:v>
      </x:c>
    </x:row>
    <x:row r="342" ht="36" customHeight="1">
      <x:c r="A342" s="5" t="str">
        <x:v>6.2.2.4#2</x:v>
      </x:c>
      <x:c r="B342" s="5" t="str">
        <x:v>Investition, Finanzierung, betriebliches Rechnungswesen und Controlling</x:v>
      </x:c>
      <x:c r="C342" s="5" t="str">
        <x:v>Grundschuld</x:v>
      </x:c>
      <x:c r="D342" s="5" t="str">
        <x:v>vollständig abgedeckt</x:v>
      </x:c>
      <x:c r="E342" s="5" t="str">
        <x:v>vollständig abgedeckt</x:v>
      </x:c>
      <x:c r="F342" s="5" t="str"/>
      <x:c r="G342" s="5" t="str">
        <x:v>IF-0038–IF-0046; IF-0133</x:v>
      </x:c>
      <x:c r="H342" s="5" t="str"/>
      <x:c r="I342" s="5" t="str">
        <x:v>Analysebewertung erhalten; keine neue Frage allein aus ID-Zahlen ableiten.</x:v>
      </x:c>
      <x:c r="J342" s="5" t="str">
        <x:v>Soll-Ist-Matrix 2026-09-27</x:v>
      </x:c>
      <x:c r="K342" s="5" t="str">
        <x:v>Vorbewertung aus Soll-Ist-Matrix; Kandidaten nicht automatisch Einzelbelege</x:v>
      </x:c>
      <x:c r="L342" s="5" t="str"/>
    </x:row>
    <x:row r="343" ht="36" customHeight="1">
      <x:c r="A343" s="5" t="str">
        <x:v>6.2.2.4#3</x:v>
      </x:c>
      <x:c r="B343" s="5" t="str">
        <x:v>Investition, Finanzierung, betriebliches Rechnungswesen und Controlling</x:v>
      </x:c>
      <x:c r="C343" s="5" t="str">
        <x:v>Hypothek</x:v>
      </x:c>
      <x:c r="D343" s="5" t="str">
        <x:v>vollständig abgedeckt</x:v>
      </x:c>
      <x:c r="E343" s="5" t="str">
        <x:v>vollständig abgedeckt</x:v>
      </x:c>
      <x:c r="F343" s="5" t="str"/>
      <x:c r="G343" s="5" t="str">
        <x:v>IF-0038–IF-0046; IF-0133</x:v>
      </x:c>
      <x:c r="H343" s="5" t="str"/>
      <x:c r="I343" s="5" t="str">
        <x:v>Analysebewertung erhalten; keine neue Frage allein aus ID-Zahlen ableiten.</x:v>
      </x:c>
      <x:c r="J343" s="5" t="str">
        <x:v>Soll-Ist-Matrix 2026-09-27</x:v>
      </x:c>
      <x:c r="K343" s="5" t="str">
        <x:v>Vorbewertung aus Soll-Ist-Matrix; Kandidaten nicht automatisch Einzelbelege</x:v>
      </x:c>
      <x:c r="L343" s="5" t="str"/>
    </x:row>
    <x:row r="344" ht="36" customHeight="1">
      <x:c r="A344" s="5" t="str">
        <x:v>6.2.2.5</x:v>
      </x:c>
      <x:c r="B344" s="5" t="str">
        <x:v>Investition, Finanzierung, betriebliches Rechnungswesen und Controlling</x:v>
      </x:c>
      <x:c r="C344" s="5" t="str">
        <x:v>Leverage-Effekt</x:v>
      </x:c>
      <x:c r="D344" s="5" t="str">
        <x:v>vollständig abgedeckt</x:v>
      </x:c>
      <x:c r="E344" s="5" t="str">
        <x:v>vollständig abgedeckt</x:v>
      </x:c>
      <x:c r="F344" s="5" t="str"/>
      <x:c r="G344" s="5" t="str">
        <x:v>IF-0035–IF-0037; IF-0047–IF-0050; IF-0052–IF-0055; IF-0081; IF-0089, IF-0090; IF-0128–IF-0132; IF-0163</x:v>
      </x:c>
      <x:c r="H344" s="5" t="str"/>
      <x:c r="I344" s="5" t="str">
        <x:v>Analysebewertung erhalten; keine neue Frage allein aus ID-Zahlen ableiten.</x:v>
      </x:c>
      <x:c r="J344" s="5" t="str">
        <x:v>Soll-Ist-Matrix 2026-09-27</x:v>
      </x:c>
      <x:c r="K344" s="5" t="str">
        <x:v>Vorbewertung aus Soll-Ist-Matrix; Kandidaten nicht automatisch Einzelbelege</x:v>
      </x:c>
      <x:c r="L344" s="5" t="str">
        <x:v>IF-0089</x:v>
      </x:c>
    </x:row>
    <x:row r="345" ht="36" customHeight="1">
      <x:c r="A345" s="5" t="str">
        <x:v>6.2.3</x:v>
      </x:c>
      <x:c r="B345" s="5" t="str">
        <x:v>Investition, Finanzierung, betriebliches Rechnungswesen und Controlling</x:v>
      </x:c>
      <x:c r="C345" s="5" t="str">
        <x:v>Liquiditätsplanung</x:v>
      </x:c>
      <x:c r="D345" s="5" t="str">
        <x:v>vollständig abgedeckt</x:v>
      </x:c>
      <x:c r="E345" s="5" t="str">
        <x:v>vollständig abgedeckt</x:v>
      </x:c>
      <x:c r="F345" s="5" t="str"/>
      <x:c r="G345" s="5" t="str">
        <x:v>IF-0001; IF-0006, IF-0007; IF-0031–IF-0034; IF-0051; IF-0096, IF-0097; IF-0119–IF-0127; IF-0164, IF-0165; IF-0066–IF-0068; IF-0082–IF-0088; IF-0100; IF-0155–IF-0162</x:v>
      </x:c>
      <x:c r="H345" s="5" t="str"/>
      <x:c r="I345" s="5" t="str">
        <x:v>Analysebewertung erhalten; keine neue Frage allein aus ID-Zahlen ableiten.</x:v>
      </x:c>
      <x:c r="J345" s="5" t="str">
        <x:v>Soll-Ist-Matrix 2026-09-27</x:v>
      </x:c>
      <x:c r="K345" s="5" t="str">
        <x:v>Vorbewertung aus Soll-Ist-Matrix; Kandidaten nicht automatisch Einzelbelege</x:v>
      </x:c>
      <x:c r="L345" s="5" t="str">
        <x:v>IF-0034; IF-0124; IF-0127</x:v>
      </x:c>
    </x:row>
    <x:row r="346" ht="36" customHeight="1">
      <x:c r="A346" s="5" t="str">
        <x:v>6.2.3.1</x:v>
      </x:c>
      <x:c r="B346" s="5" t="str">
        <x:v>Investition, Finanzierung, betriebliches Rechnungswesen und Controlling</x:v>
      </x:c>
      <x:c r="C346" s="5" t="str">
        <x:v>Definition der Liquidität</x:v>
      </x:c>
      <x:c r="D346" s="5" t="str">
        <x:v>vollständig abgedeckt</x:v>
      </x:c>
      <x:c r="E346" s="5" t="str">
        <x:v>vollständig abgedeckt</x:v>
      </x:c>
      <x:c r="F346" s="5" t="str"/>
      <x:c r="G346" s="5" t="str">
        <x:v>IF-0001; IF-0006, IF-0007; IF-0031–IF-0034; IF-0051; IF-0096, IF-0097; IF-0119–IF-0127; IF-0164, IF-0165; IF-0066–IF-0068; IF-0082–IF-0088; IF-0100; IF-0155–IF-0162</x:v>
      </x:c>
      <x:c r="H346" s="5" t="str"/>
      <x:c r="I346" s="5" t="str">
        <x:v>Analysebewertung erhalten; keine neue Frage allein aus ID-Zahlen ableiten.</x:v>
      </x:c>
      <x:c r="J346" s="5" t="str">
        <x:v>Soll-Ist-Matrix 2026-09-27</x:v>
      </x:c>
      <x:c r="K346" s="5" t="str">
        <x:v>Vorbewertung aus Soll-Ist-Matrix; Kandidaten nicht automatisch Einzelbelege</x:v>
      </x:c>
      <x:c r="L346" s="5" t="str">
        <x:v>IF-0051; IF-0125; IF-0162</x:v>
      </x:c>
    </x:row>
    <x:row r="347" ht="36" customHeight="1">
      <x:c r="A347" s="5" t="str">
        <x:v>6.2.3.2</x:v>
      </x:c>
      <x:c r="B347" s="5" t="str">
        <x:v>Investition, Finanzierung, betriebliches Rechnungswesen und Controlling</x:v>
      </x:c>
      <x:c r="C347" s="5" t="str">
        <x:v>Statische Liquiditätskennzahlen</x:v>
      </x:c>
      <x:c r="D347" s="5" t="str">
        <x:v>vollständig abgedeckt</x:v>
      </x:c>
      <x:c r="E347" s="5" t="str">
        <x:v>vollständig abgedeckt</x:v>
      </x:c>
      <x:c r="F347" s="5" t="str"/>
      <x:c r="G347" s="5" t="str">
        <x:v>IF-0001; IF-0006, IF-0007; IF-0031–IF-0034; IF-0051; IF-0096, IF-0097; IF-0119–IF-0127; IF-0164, IF-0165; IF-0066–IF-0068; IF-0082–IF-0088; IF-0100; IF-0155–IF-0162</x:v>
      </x:c>
      <x:c r="H347" s="5" t="str"/>
      <x:c r="I347" s="5" t="str">
        <x:v>Analysebewertung erhalten; keine neue Frage allein aus ID-Zahlen ableiten.</x:v>
      </x:c>
      <x:c r="J347" s="5" t="str">
        <x:v>Soll-Ist-Matrix 2026-09-27</x:v>
      </x:c>
      <x:c r="K347" s="5" t="str">
        <x:v>Vorbewertung aus Soll-Ist-Matrix; Kandidaten nicht automatisch Einzelbelege</x:v>
      </x:c>
      <x:c r="L347" s="5" t="str">
        <x:v>IF-0122</x:v>
      </x:c>
    </x:row>
    <x:row r="348" ht="36" customHeight="1">
      <x:c r="A348" s="5" t="str">
        <x:v>6.2.3.3</x:v>
      </x:c>
      <x:c r="B348" s="5" t="str">
        <x:v>Investition, Finanzierung, betriebliches Rechnungswesen und Controlling</x:v>
      </x:c>
      <x:c r="C348" s="5" t="str">
        <x:v>Dynamischer Liquiditätsplan</x:v>
      </x:c>
      <x:c r="D348" s="5" t="str">
        <x:v>vollständig abgedeckt</x:v>
      </x:c>
      <x:c r="E348" s="5" t="str">
        <x:v>vollständig abgedeckt</x:v>
      </x:c>
      <x:c r="F348" s="5" t="str"/>
      <x:c r="G348" s="5" t="str">
        <x:v>IF-0001; IF-0006, IF-0007; IF-0031–IF-0034; IF-0051; IF-0096, IF-0097; IF-0119–IF-0127; IF-0164, IF-0165; IF-0066–IF-0068; IF-0082–IF-0088; IF-0100; IF-0155–IF-0162</x:v>
      </x:c>
      <x:c r="H348" s="5" t="str"/>
      <x:c r="I348" s="5" t="str">
        <x:v>Analysebewertung erhalten; keine neue Frage allein aus ID-Zahlen ableiten.</x:v>
      </x:c>
      <x:c r="J348" s="5" t="str">
        <x:v>Soll-Ist-Matrix 2026-09-27</x:v>
      </x:c>
      <x:c r="K348" s="5" t="str">
        <x:v>Vorbewertung aus Soll-Ist-Matrix; Kandidaten nicht automatisch Einzelbelege</x:v>
      </x:c>
      <x:c r="L348" s="5" t="str"/>
    </x:row>
    <x:row r="349" ht="36" customHeight="1">
      <x:c r="A349" s="5" t="str">
        <x:v>6.3</x:v>
      </x:c>
      <x:c r="B349" s="5" t="str">
        <x:v>Investition, Finanzierung, betriebliches Rechnungswesen und Controlling</x:v>
      </x:c>
      <x:c r="C349" s="5" t="str">
        <x:v>Finanzierungsarten</x:v>
      </x:c>
      <x:c r="D349" s="5" t="str">
        <x:v>vollständig abgedeckt</x:v>
      </x:c>
      <x:c r="E349" s="5" t="str">
        <x:v>vollständig abgedeckt</x:v>
      </x:c>
      <x:c r="F349" s="5" t="str"/>
      <x:c r="G349" s="5" t="str">
        <x:v>IF-0035–IF-0037; IF-0047–IF-0050; IF-0052–IF-0055; IF-0081; IF-0089, IF-0090; IF-0128–IF-0132; IF-0163; IF-0056–IF-0065; IF-0134–IF-0139; IF-0069–IF-0072; IF-0078; IF-0140–IF-0145; IF-0073–IF-0077; IF-0079, IF-0080; IF-0098, IF-0099; IF-0146–IF-0154; IF-0066–IF-0068; IF-0082–IF-0088; IF-0100; IF-0155–IF-0162</x:v>
      </x:c>
      <x:c r="H349" s="5" t="str"/>
      <x:c r="I349" s="5" t="str">
        <x:v>Analysebewertung erhalten; keine neue Frage allein aus ID-Zahlen ableiten.</x:v>
      </x:c>
      <x:c r="J349" s="5" t="str">
        <x:v>Soll-Ist-Matrix 2026-09-27</x:v>
      </x:c>
      <x:c r="K349" s="5" t="str">
        <x:v>Vorbewertung aus Soll-Ist-Matrix; Kandidaten nicht automatisch Einzelbelege</x:v>
      </x:c>
      <x:c r="L349" s="5" t="str"/>
    </x:row>
    <x:row r="350" ht="36" customHeight="1">
      <x:c r="A350" s="5" t="str">
        <x:v>6.3.1</x:v>
      </x:c>
      <x:c r="B350" s="5" t="str">
        <x:v>Investition, Finanzierung, betriebliches Rechnungswesen und Controlling</x:v>
      </x:c>
      <x:c r="C350" s="5" t="str">
        <x:v>Innen- und Außenfinanzierung</x:v>
      </x:c>
      <x:c r="D350" s="5" t="str">
        <x:v>vollständig abgedeckt</x:v>
      </x:c>
      <x:c r="E350" s="5" t="str">
        <x:v>vollständig abgedeckt</x:v>
      </x:c>
      <x:c r="F350" s="5" t="str"/>
      <x:c r="G350" s="5" t="str">
        <x:v>IF-0035–IF-0037; IF-0047–IF-0050; IF-0052–IF-0055; IF-0081; IF-0089, IF-0090; IF-0128–IF-0132; IF-0163</x:v>
      </x:c>
      <x:c r="H350" s="5" t="str"/>
      <x:c r="I350" s="5" t="str">
        <x:v>Analysebewertung erhalten; keine neue Frage allein aus ID-Zahlen ableiten.</x:v>
      </x:c>
      <x:c r="J350" s="5" t="str">
        <x:v>Soll-Ist-Matrix 2026-09-27</x:v>
      </x:c>
      <x:c r="K350" s="5" t="str">
        <x:v>Vorbewertung aus Soll-Ist-Matrix; Kandidaten nicht automatisch Einzelbelege</x:v>
      </x:c>
      <x:c r="L350" s="5" t="str"/>
    </x:row>
    <x:row r="351" ht="36" customHeight="1">
      <x:c r="A351" s="5" t="str">
        <x:v>6.3.2</x:v>
      </x:c>
      <x:c r="B351" s="5" t="str">
        <x:v>Investition, Finanzierung, betriebliches Rechnungswesen und Controlling</x:v>
      </x:c>
      <x:c r="C351" s="5" t="str">
        <x:v>Eigen- und Fremdfinanzierung</x:v>
      </x:c>
      <x:c r="D351" s="5" t="str">
        <x:v>vollständig abgedeckt</x:v>
      </x:c>
      <x:c r="E351" s="5" t="str">
        <x:v>vollständig abgedeckt</x:v>
      </x:c>
      <x:c r="F351" s="5" t="str"/>
      <x:c r="G351" s="5" t="str">
        <x:v>IF-0035–IF-0037; IF-0047–IF-0050; IF-0052–IF-0055; IF-0081; IF-0089, IF-0090; IF-0128–IF-0132; IF-0163</x:v>
      </x:c>
      <x:c r="H351" s="5" t="str"/>
      <x:c r="I351" s="5" t="str">
        <x:v>Analysebewertung erhalten; keine neue Frage allein aus ID-Zahlen ableiten.</x:v>
      </x:c>
      <x:c r="J351" s="5" t="str">
        <x:v>Soll-Ist-Matrix 2026-09-27</x:v>
      </x:c>
      <x:c r="K351" s="5" t="str">
        <x:v>Vorbewertung aus Soll-Ist-Matrix; Kandidaten nicht automatisch Einzelbelege</x:v>
      </x:c>
      <x:c r="L351" s="5" t="str"/>
    </x:row>
    <x:row r="352" ht="36" customHeight="1">
      <x:c r="A352" s="5" t="str">
        <x:v>6.3.3</x:v>
      </x:c>
      <x:c r="B352" s="5" t="str">
        <x:v>Investition, Finanzierung, betriebliches Rechnungswesen und Controlling</x:v>
      </x:c>
      <x:c r="C352" s="5" t="str">
        <x:v>Innenfinanzierung</x:v>
      </x:c>
      <x:c r="D352" s="5" t="str">
        <x:v>vollständig abgedeckt</x:v>
      </x:c>
      <x:c r="E352" s="5" t="str">
        <x:v>vollständig abgedeckt</x:v>
      </x:c>
      <x:c r="F352" s="5" t="str"/>
      <x:c r="G352" s="5" t="str">
        <x:v>IF-0056–IF-0065; IF-0134–IF-0139</x:v>
      </x:c>
      <x:c r="H352" s="5" t="str"/>
      <x:c r="I352" s="5" t="str">
        <x:v>Analysebewertung erhalten; keine neue Frage allein aus ID-Zahlen ableiten.</x:v>
      </x:c>
      <x:c r="J352" s="5" t="str">
        <x:v>Soll-Ist-Matrix 2026-09-27</x:v>
      </x:c>
      <x:c r="K352" s="5" t="str">
        <x:v>Vorbewertung aus Soll-Ist-Matrix; Kandidaten nicht automatisch Einzelbelege</x:v>
      </x:c>
      <x:c r="L352" s="5" t="str">
        <x:v>IF-0057; IF-0058; IF-0059; IF-0060; IF-0061; IF-0063; IF-0065; IF-0134; IF-0135; IF-0136; IF-0137; IF-0139</x:v>
      </x:c>
    </x:row>
    <x:row r="353" ht="36" customHeight="1">
      <x:c r="A353" s="5" t="str">
        <x:v>6.3.3.1</x:v>
      </x:c>
      <x:c r="B353" s="5" t="str">
        <x:v>Investition, Finanzierung, betriebliches Rechnungswesen und Controlling</x:v>
      </x:c>
      <x:c r="C353" s="5" t="str">
        <x:v>Selbstfinanzierung</x:v>
      </x:c>
      <x:c r="D353" s="5" t="str">
        <x:v>vollständig abgedeckt</x:v>
      </x:c>
      <x:c r="E353" s="5" t="str">
        <x:v>vollständig abgedeckt</x:v>
      </x:c>
      <x:c r="F353" s="5" t="str"/>
      <x:c r="G353" s="5" t="str">
        <x:v>IF-0056–IF-0065; IF-0134–IF-0139</x:v>
      </x:c>
      <x:c r="H353" s="5" t="str"/>
      <x:c r="I353" s="5" t="str">
        <x:v>Analysebewertung erhalten; keine neue Frage allein aus ID-Zahlen ableiten.</x:v>
      </x:c>
      <x:c r="J353" s="5" t="str">
        <x:v>Soll-Ist-Matrix 2026-09-27</x:v>
      </x:c>
      <x:c r="K353" s="5" t="str">
        <x:v>Vorbewertung aus Soll-Ist-Matrix; Kandidaten nicht automatisch Einzelbelege</x:v>
      </x:c>
      <x:c r="L353" s="5" t="str"/>
    </x:row>
    <x:row r="354" ht="36" customHeight="1">
      <x:c r="A354" s="5" t="str">
        <x:v>6.3.3.2</x:v>
      </x:c>
      <x:c r="B354" s="5" t="str">
        <x:v>Investition, Finanzierung, betriebliches Rechnungswesen und Controlling</x:v>
      </x:c>
      <x:c r="C354" s="5" t="str">
        <x:v>Finanzierung aus Abschreibungen</x:v>
      </x:c>
      <x:c r="D354" s="5" t="str">
        <x:v>vollständig abgedeckt</x:v>
      </x:c>
      <x:c r="E354" s="5" t="str">
        <x:v>vollständig abgedeckt</x:v>
      </x:c>
      <x:c r="F354" s="5" t="str"/>
      <x:c r="G354" s="5" t="str">
        <x:v>IF-0056–IF-0065; IF-0134–IF-0139</x:v>
      </x:c>
      <x:c r="H354" s="5" t="str"/>
      <x:c r="I354" s="5" t="str">
        <x:v>Analysebewertung erhalten; keine neue Frage allein aus ID-Zahlen ableiten.</x:v>
      </x:c>
      <x:c r="J354" s="5" t="str">
        <x:v>Soll-Ist-Matrix 2026-09-27</x:v>
      </x:c>
      <x:c r="K354" s="5" t="str">
        <x:v>Vorbewertung aus Soll-Ist-Matrix; Kandidaten nicht automatisch Einzelbelege</x:v>
      </x:c>
      <x:c r="L354" s="5" t="str">
        <x:v>IF-0056; IF-0062</x:v>
      </x:c>
    </x:row>
    <x:row r="355" ht="36" customHeight="1">
      <x:c r="A355" s="5" t="str">
        <x:v>6.3.3.3</x:v>
      </x:c>
      <x:c r="B355" s="5" t="str">
        <x:v>Investition, Finanzierung, betriebliches Rechnungswesen und Controlling</x:v>
      </x:c>
      <x:c r="C355" s="5" t="str">
        <x:v>Finanzierung aus Rückstellungen</x:v>
      </x:c>
      <x:c r="D355" s="5" t="str">
        <x:v>vollständig abgedeckt</x:v>
      </x:c>
      <x:c r="E355" s="5" t="str">
        <x:v>vollständig abgedeckt</x:v>
      </x:c>
      <x:c r="F355" s="5" t="str"/>
      <x:c r="G355" s="5" t="str">
        <x:v>IF-0056–IF-0065; IF-0134–IF-0139</x:v>
      </x:c>
      <x:c r="H355" s="5" t="str"/>
      <x:c r="I355" s="5" t="str">
        <x:v>Analysebewertung erhalten; keine neue Frage allein aus ID-Zahlen ableiten.</x:v>
      </x:c>
      <x:c r="J355" s="5" t="str">
        <x:v>Soll-Ist-Matrix 2026-09-27</x:v>
      </x:c>
      <x:c r="K355" s="5" t="str">
        <x:v>Vorbewertung aus Soll-Ist-Matrix; Kandidaten nicht automatisch Einzelbelege</x:v>
      </x:c>
      <x:c r="L355" s="5" t="str">
        <x:v>IF-0064; IF-0138</x:v>
      </x:c>
    </x:row>
    <x:row r="356" ht="36" customHeight="1">
      <x:c r="A356" s="5" t="str">
        <x:v>6.3.3.4</x:v>
      </x:c>
      <x:c r="B356" s="5" t="str">
        <x:v>Investition, Finanzierung, betriebliches Rechnungswesen und Controlling</x:v>
      </x:c>
      <x:c r="C356" s="5" t="str">
        <x:v>Finanzierung aus Kapitalfreistellung</x:v>
      </x:c>
      <x:c r="D356" s="5" t="str">
        <x:v>vollständig abgedeckt</x:v>
      </x:c>
      <x:c r="E356" s="5" t="str">
        <x:v>vollständig abgedeckt</x:v>
      </x:c>
      <x:c r="F356" s="5" t="str"/>
      <x:c r="G356" s="5" t="str">
        <x:v>IF-0056–IF-0065; IF-0134–IF-0139</x:v>
      </x:c>
      <x:c r="H356" s="5" t="str"/>
      <x:c r="I356" s="5" t="str">
        <x:v>Analysebewertung erhalten; keine neue Frage allein aus ID-Zahlen ableiten.</x:v>
      </x:c>
      <x:c r="J356" s="5" t="str">
        <x:v>Soll-Ist-Matrix 2026-09-27</x:v>
      </x:c>
      <x:c r="K356" s="5" t="str">
        <x:v>Vorbewertung aus Soll-Ist-Matrix; Kandidaten nicht automatisch Einzelbelege</x:v>
      </x:c>
      <x:c r="L356" s="5" t="str"/>
    </x:row>
    <x:row r="357" ht="36" customHeight="1">
      <x:c r="A357" s="5" t="str">
        <x:v>6.3.4</x:v>
      </x:c>
      <x:c r="B357" s="5" t="str">
        <x:v>Investition, Finanzierung, betriebliches Rechnungswesen und Controlling</x:v>
      </x:c>
      <x:c r="C357" s="5" t="str">
        <x:v>Außenfinanzierung</x:v>
      </x:c>
      <x:c r="D357" s="5" t="str">
        <x:v>vollständig abgedeckt</x:v>
      </x:c>
      <x:c r="E357" s="5" t="str">
        <x:v>vollständig abgedeckt</x:v>
      </x:c>
      <x:c r="F357" s="5" t="str"/>
      <x:c r="G357" s="5" t="str">
        <x:v>IF-0069–IF-0072; IF-0078; IF-0140–IF-0145; IF-0073–IF-0077; IF-0079, IF-0080; IF-0098, IF-0099; IF-0146–IF-0154; IF-0066–IF-0068; IF-0082–IF-0088; IF-0100; IF-0155–IF-0162</x:v>
      </x:c>
      <x:c r="H357" s="5" t="str"/>
      <x:c r="I357" s="5" t="str">
        <x:v>Analysebewertung erhalten; keine neue Frage allein aus ID-Zahlen ableiten.</x:v>
      </x:c>
      <x:c r="J357" s="5" t="str">
        <x:v>Soll-Ist-Matrix 2026-09-27</x:v>
      </x:c>
      <x:c r="K357" s="5" t="str">
        <x:v>Vorbewertung aus Soll-Ist-Matrix; Kandidaten nicht automatisch Einzelbelege</x:v>
      </x:c>
      <x:c r="L357" s="5" t="str">
        <x:v>IF-0073; IF-0075; IF-0076; IF-0077; IF-0079; IF-0080; IF-0099; IF-0148; IF-0149; IF-0150; IF-0151; IF-0153</x:v>
      </x:c>
    </x:row>
    <x:row r="358" ht="36" customHeight="1">
      <x:c r="A358" s="5" t="str">
        <x:v>6.3.4.1</x:v>
      </x:c>
      <x:c r="B358" s="5" t="str">
        <x:v>Investition, Finanzierung, betriebliches Rechnungswesen und Controlling</x:v>
      </x:c>
      <x:c r="C358" s="5" t="str">
        <x:v>Beteiligungen</x:v>
      </x:c>
      <x:c r="D358" s="5" t="str">
        <x:v>vollständig abgedeckt</x:v>
      </x:c>
      <x:c r="E358" s="5" t="str">
        <x:v>vollständig abgedeckt</x:v>
      </x:c>
      <x:c r="F358" s="5" t="str"/>
      <x:c r="G358" s="5" t="str">
        <x:v>IF-0069–IF-0072; IF-0078; IF-0140–IF-0145</x:v>
      </x:c>
      <x:c r="H358" s="5" t="str"/>
      <x:c r="I358" s="5" t="str">
        <x:v>Analysebewertung erhalten; keine neue Frage allein aus ID-Zahlen ableiten.</x:v>
      </x:c>
      <x:c r="J358" s="5" t="str">
        <x:v>Soll-Ist-Matrix 2026-09-27</x:v>
      </x:c>
      <x:c r="K358" s="5" t="str">
        <x:v>Vorbewertung aus Soll-Ist-Matrix; Kandidaten nicht automatisch Einzelbelege</x:v>
      </x:c>
      <x:c r="L358" s="5" t="str">
        <x:v>IF-0069; IF-0070; IF-0071; IF-0072; IF-0078; IF-0142; IF-0143; IF-0144; IF-0145</x:v>
      </x:c>
    </x:row>
    <x:row r="359" ht="36" customHeight="1">
      <x:c r="A359" s="5" t="str">
        <x:v>6.3.4.2</x:v>
      </x:c>
      <x:c r="B359" s="5" t="str">
        <x:v>Investition, Finanzierung, betriebliches Rechnungswesen und Controlling</x:v>
      </x:c>
      <x:c r="C359" s="5" t="str">
        <x:v>Kurzfristige Kredite</x:v>
      </x:c>
      <x:c r="D359" s="5" t="str">
        <x:v>vollständig abgedeckt</x:v>
      </x:c>
      <x:c r="E359" s="5" t="str">
        <x:v>vollständig abgedeckt</x:v>
      </x:c>
      <x:c r="F359" s="5" t="str"/>
      <x:c r="G359" s="5" t="str">
        <x:v>IF-0073–IF-0077; IF-0079, IF-0080; IF-0098, IF-0099; IF-0146–IF-0154</x:v>
      </x:c>
      <x:c r="H359" s="5" t="str"/>
      <x:c r="I359" s="5" t="str">
        <x:v>Analysebewertung erhalten; keine neue Frage allein aus ID-Zahlen ableiten.</x:v>
      </x:c>
      <x:c r="J359" s="5" t="str">
        <x:v>Soll-Ist-Matrix 2026-09-27</x:v>
      </x:c>
      <x:c r="K359" s="5" t="str">
        <x:v>Vorbewertung aus Soll-Ist-Matrix; Kandidaten nicht automatisch Einzelbelege</x:v>
      </x:c>
      <x:c r="L359" s="5" t="str">
        <x:v>IF-0074; IF-0098; IF-0146; IF-0147</x:v>
      </x:c>
    </x:row>
    <x:row r="360" ht="36" customHeight="1">
      <x:c r="A360" s="5" t="str">
        <x:v>6.3.4.3</x:v>
      </x:c>
      <x:c r="B360" s="5" t="str">
        <x:v>Investition, Finanzierung, betriebliches Rechnungswesen und Controlling</x:v>
      </x:c>
      <x:c r="C360" s="5" t="str">
        <x:v>Langfristige Kredite</x:v>
      </x:c>
      <x:c r="D360" s="5" t="str">
        <x:v>vollständig abgedeckt</x:v>
      </x:c>
      <x:c r="E360" s="5" t="str">
        <x:v>vollständig abgedeckt</x:v>
      </x:c>
      <x:c r="F360" s="5" t="str"/>
      <x:c r="G360" s="5" t="str">
        <x:v>IF-0073–IF-0077; IF-0079, IF-0080; IF-0098, IF-0099; IF-0146–IF-0154</x:v>
      </x:c>
      <x:c r="H360" s="5" t="str"/>
      <x:c r="I360" s="5" t="str">
        <x:v>Analysebewertung erhalten; keine neue Frage allein aus ID-Zahlen ableiten.</x:v>
      </x:c>
      <x:c r="J360" s="5" t="str">
        <x:v>Soll-Ist-Matrix 2026-09-27</x:v>
      </x:c>
      <x:c r="K360" s="5" t="str">
        <x:v>Vorbewertung aus Soll-Ist-Matrix; Kandidaten nicht automatisch Einzelbelege</x:v>
      </x:c>
      <x:c r="L360" s="5" t="str">
        <x:v>IF-0152</x:v>
      </x:c>
    </x:row>
    <x:row r="361" ht="36" customHeight="1">
      <x:c r="A361" s="5" t="str">
        <x:v>6.3.4.4</x:v>
      </x:c>
      <x:c r="B361" s="5" t="str">
        <x:v>Investition, Finanzierung, betriebliches Rechnungswesen und Controlling</x:v>
      </x:c>
      <x:c r="C361" s="5" t="str">
        <x:v>Sonderformen der Finanzierung</x:v>
      </x:c>
      <x:c r="D361" s="5" t="str">
        <x:v>vollständig abgedeckt</x:v>
      </x:c>
      <x:c r="E361" s="5" t="str">
        <x:v>vollständig abgedeckt</x:v>
      </x:c>
      <x:c r="F361" s="5" t="str"/>
      <x:c r="G361" s="5" t="str">
        <x:v>IF-0066–IF-0068; IF-0082–IF-0088; IF-0100; IF-0155–IF-0162</x:v>
      </x:c>
      <x:c r="H361" s="5" t="str"/>
      <x:c r="I361" s="5" t="str">
        <x:v>Analysebewertung erhalten; keine neue Frage allein aus ID-Zahlen ableiten.</x:v>
      </x:c>
      <x:c r="J361" s="5" t="str">
        <x:v>Soll-Ist-Matrix 2026-09-27</x:v>
      </x:c>
      <x:c r="K361" s="5" t="str">
        <x:v>Vorbewertung aus Soll-Ist-Matrix; Kandidaten nicht automatisch Einzelbelege</x:v>
      </x:c>
      <x:c r="L361" s="5" t="str">
        <x:v>IF-0066; IF-0067; IF-0068; IF-0082; IF-0083; IF-0084; IF-0085; IF-0086; IF-0087; IF-0088; IF-0100; IF-0155; IF-0156; IF-0157; IF-0158; IF-0159; IF-0160; IF-0161</x:v>
      </x:c>
    </x:row>
    <x:row r="362" ht="36" customHeight="1">
      <x:c r="A362" s="5" t="str">
        <x:v>6.4</x:v>
      </x:c>
      <x:c r="B362" s="5" t="str">
        <x:v>Investition, Finanzierung, betriebliches Rechnungswesen und Controlling</x:v>
      </x:c>
      <x:c r="C362" s="5" t="str">
        <x:v>Kosten- und Leistungsrechnung</x:v>
      </x:c>
      <x:c r="D362" s="5" t="str">
        <x:v>vollständig abgedeckt</x:v>
      </x:c>
      <x:c r="E362" s="5" t="str">
        <x:v>vollständig abgedeckt</x:v>
      </x:c>
      <x:c r="F362" s="5" t="str"/>
      <x:c r="G362" s="5" t="str">
        <x:v>FC-0004; FC-0007; FC-0012, FC-0013; FC-0018–FC-0032; FC-0102, FC-0103; FC-0005, FC-0006; FC-0008–FC-0011; FC-0033–FC-0037; FC-0067–FC-0069; FC-0038–FC-0040; FC-0070–FC-0074; FC-0041–FC-0045; FC-0075, FC-0076; FC-0101; FC-0104; FC-0046–FC-0048; FC-0077, FC-0078; FC-0049–FC-0054</x:v>
      </x:c>
      <x:c r="H362" s="5" t="str"/>
      <x:c r="I362" s="5" t="str">
        <x:v>Analysebewertung erhalten; keine neue Frage allein aus ID-Zahlen ableiten.</x:v>
      </x:c>
      <x:c r="J362" s="5" t="str">
        <x:v>Soll-Ist-Matrix 2026-09-27</x:v>
      </x:c>
      <x:c r="K362" s="5" t="str">
        <x:v>Vorbewertung aus Soll-Ist-Matrix; Kandidaten nicht automatisch Einzelbelege</x:v>
      </x:c>
      <x:c r="L362" s="5" t="str"/>
    </x:row>
    <x:row r="363" ht="36" customHeight="1">
      <x:c r="A363" s="5" t="str">
        <x:v>6.4.1</x:v>
      </x:c>
      <x:c r="B363" s="5" t="str">
        <x:v>Investition, Finanzierung, betriebliches Rechnungswesen und Controlling</x:v>
      </x:c>
      <x:c r="C363" s="5" t="str">
        <x:v>Die Deckungsbeitragsrechnung als Entscheidungsrechnung</x:v>
      </x:c>
      <x:c r="D363" s="5" t="str">
        <x:v>vollständig abgedeckt</x:v>
      </x:c>
      <x:c r="E363" s="5" t="str">
        <x:v>vollständig abgedeckt</x:v>
      </x:c>
      <x:c r="F363" s="5" t="str"/>
      <x:c r="G363" s="5" t="str">
        <x:v>FC-0004; FC-0007; FC-0012, FC-0013; FC-0018–FC-0032; FC-0102, FC-0103; FC-0005, FC-0006; FC-0008–FC-0011; FC-0033–FC-0037; FC-0067–FC-0069</x:v>
      </x:c>
      <x:c r="H363" s="5" t="str"/>
      <x:c r="I363" s="5" t="str">
        <x:v>Analysebewertung erhalten; keine neue Frage allein aus ID-Zahlen ableiten.</x:v>
      </x:c>
      <x:c r="J363" s="5" t="str">
        <x:v>Soll-Ist-Matrix 2026-09-27</x:v>
      </x:c>
      <x:c r="K363" s="5" t="str">
        <x:v>Vorbewertung aus Soll-Ist-Matrix; Kandidaten nicht automatisch Einzelbelege</x:v>
      </x:c>
      <x:c r="L363" s="5" t="str">
        <x:v>FC-0001; FC-0002; FC-0003; FC-0004; FC-0005; FC-0008; FC-0010; FC-0011; FC-0012; FC-0013; FC-0014; FC-0015; FC-0016; FC-0017; FC-0019; FC-0021; FC-0022; FC-0023; FC-0024; FC-0025; FC-0026; FC-0027; FC-0028; FC-0029; FC-0033; FC-0035; FC-0067; FC-0068; FC-0069; FC-0103</x:v>
      </x:c>
    </x:row>
    <x:row r="364" ht="36" customHeight="1">
      <x:c r="A364" s="5" t="str">
        <x:v>6.4.1.1</x:v>
      </x:c>
      <x:c r="B364" s="5" t="str">
        <x:v>Investition, Finanzierung, betriebliches Rechnungswesen und Controlling</x:v>
      </x:c>
      <x:c r="C364" s="5" t="str">
        <x:v>Mehrstufige Deckungsbeitragsrechnung</x:v>
      </x:c>
      <x:c r="D364" s="5" t="str">
        <x:v>vollständig abgedeckt</x:v>
      </x:c>
      <x:c r="E364" s="5" t="str">
        <x:v>vollständig abgedeckt</x:v>
      </x:c>
      <x:c r="F364" s="5" t="str"/>
      <x:c r="G364" s="5" t="str">
        <x:v>FC-0004; FC-0007; FC-0012, FC-0013; FC-0018–FC-0032; FC-0102, FC-0103</x:v>
      </x:c>
      <x:c r="H364" s="5" t="str"/>
      <x:c r="I364" s="5" t="str">
        <x:v>Analysebewertung erhalten; keine neue Frage allein aus ID-Zahlen ableiten.</x:v>
      </x:c>
      <x:c r="J364" s="5" t="str">
        <x:v>Soll-Ist-Matrix 2026-09-27</x:v>
      </x:c>
      <x:c r="K364" s="5" t="str">
        <x:v>Vorbewertung aus Soll-Ist-Matrix; Kandidaten nicht automatisch Einzelbelege</x:v>
      </x:c>
      <x:c r="L364" s="5" t="str">
        <x:v>FC-0007; FC-0018; FC-0020; FC-0030; FC-0031; FC-0032; FC-0102</x:v>
      </x:c>
    </x:row>
    <x:row r="365" ht="36" customHeight="1">
      <x:c r="A365" s="5" t="str">
        <x:v>6.4.1.2</x:v>
      </x:c>
      <x:c r="B365" s="5" t="str">
        <x:v>Investition, Finanzierung, betriebliches Rechnungswesen und Controlling</x:v>
      </x:c>
      <x:c r="C365" s="5" t="str">
        <x:v>Entscheidungen bezüglich Fremdbezug oder Eigenfertigung</x:v>
      </x:c>
      <x:c r="D365" s="5" t="str">
        <x:v>vollständig abgedeckt</x:v>
      </x:c>
      <x:c r="E365" s="5" t="str">
        <x:v>vollständig abgedeckt</x:v>
      </x:c>
      <x:c r="F365" s="5" t="str"/>
      <x:c r="G365" s="5" t="str">
        <x:v>FC-0005, FC-0006; FC-0008–FC-0011; FC-0033–FC-0037; FC-0067–FC-0069</x:v>
      </x:c>
      <x:c r="H365" s="5" t="str"/>
      <x:c r="I365" s="5" t="str">
        <x:v>Analysebewertung erhalten; keine neue Frage allein aus ID-Zahlen ableiten.</x:v>
      </x:c>
      <x:c r="J365" s="5" t="str">
        <x:v>Soll-Ist-Matrix 2026-09-27</x:v>
      </x:c>
      <x:c r="K365" s="5" t="str">
        <x:v>Vorbewertung aus Soll-Ist-Matrix; Kandidaten nicht automatisch Einzelbelege</x:v>
      </x:c>
      <x:c r="L365" s="5" t="str">
        <x:v>FC-0006; FC-0034; IF-0091</x:v>
      </x:c>
    </x:row>
    <x:row r="366" ht="36" customHeight="1">
      <x:c r="A366" s="5" t="str">
        <x:v>6.4.1.3</x:v>
      </x:c>
      <x:c r="B366" s="5" t="str">
        <x:v>Investition, Finanzierung, betriebliches Rechnungswesen und Controlling</x:v>
      </x:c>
      <x:c r="C366" s="5" t="str">
        <x:v>Entscheidungen bezüglich der Auftragsannahme</x:v>
      </x:c>
      <x:c r="D366" s="5" t="str">
        <x:v>vollständig abgedeckt</x:v>
      </x:c>
      <x:c r="E366" s="5" t="str">
        <x:v>vollständig abgedeckt</x:v>
      </x:c>
      <x:c r="F366" s="5" t="str"/>
      <x:c r="G366" s="5" t="str">
        <x:v>FC-0005, FC-0006; FC-0008–FC-0011; FC-0033–FC-0037; FC-0067–FC-0069</x:v>
      </x:c>
      <x:c r="H366" s="5" t="str"/>
      <x:c r="I366" s="5" t="str">
        <x:v>Analysebewertung erhalten; keine neue Frage allein aus ID-Zahlen ableiten.</x:v>
      </x:c>
      <x:c r="J366" s="5" t="str">
        <x:v>Soll-Ist-Matrix 2026-09-27</x:v>
      </x:c>
      <x:c r="K366" s="5" t="str">
        <x:v>Vorbewertung aus Soll-Ist-Matrix; Kandidaten nicht automatisch Einzelbelege</x:v>
      </x:c>
      <x:c r="L366" s="5" t="str"/>
    </x:row>
    <x:row r="367" ht="36" customHeight="1">
      <x:c r="A367" s="5" t="str">
        <x:v>6.4.1.4</x:v>
      </x:c>
      <x:c r="B367" s="5" t="str">
        <x:v>Investition, Finanzierung, betriebliches Rechnungswesen und Controlling</x:v>
      </x:c>
      <x:c r="C367" s="5" t="str">
        <x:v>Relative Deckungsbeitragsrechnung</x:v>
      </x:c>
      <x:c r="D367" s="5" t="str">
        <x:v>vollständig abgedeckt</x:v>
      </x:c>
      <x:c r="E367" s="5" t="str">
        <x:v>vollständig abgedeckt</x:v>
      </x:c>
      <x:c r="F367" s="5" t="str"/>
      <x:c r="G367" s="5" t="str">
        <x:v>FC-0005, FC-0006; FC-0008–FC-0011; FC-0033–FC-0037; FC-0067–FC-0069</x:v>
      </x:c>
      <x:c r="H367" s="5" t="str"/>
      <x:c r="I367" s="5" t="str">
        <x:v>Analysebewertung erhalten; keine neue Frage allein aus ID-Zahlen ableiten.</x:v>
      </x:c>
      <x:c r="J367" s="5" t="str">
        <x:v>Soll-Ist-Matrix 2026-09-27</x:v>
      </x:c>
      <x:c r="K367" s="5" t="str">
        <x:v>Vorbewertung aus Soll-Ist-Matrix; Kandidaten nicht automatisch Einzelbelege</x:v>
      </x:c>
      <x:c r="L367" s="5" t="str">
        <x:v>FC-0009; FC-0036; FC-0037</x:v>
      </x:c>
    </x:row>
    <x:row r="368" ht="36" customHeight="1">
      <x:c r="A368" s="5" t="str">
        <x:v>6.4.2</x:v>
      </x:c>
      <x:c r="B368" s="5" t="str">
        <x:v>Investition, Finanzierung, betriebliches Rechnungswesen und Controlling</x:v>
      </x:c>
      <x:c r="C368" s="5" t="str">
        <x:v>Normalkostenrechnung</x:v>
      </x:c>
      <x:c r="D368" s="5" t="str">
        <x:v>vollständig abgedeckt</x:v>
      </x:c>
      <x:c r="E368" s="5" t="str">
        <x:v>vollständig abgedeckt</x:v>
      </x:c>
      <x:c r="F368" s="5" t="str"/>
      <x:c r="G368" s="5" t="str">
        <x:v>FC-0038–FC-0040; FC-0070–FC-0074</x:v>
      </x:c>
      <x:c r="H368" s="5" t="str"/>
      <x:c r="I368" s="5" t="str">
        <x:v>Analysebewertung erhalten; keine neue Frage allein aus ID-Zahlen ableiten.</x:v>
      </x:c>
      <x:c r="J368" s="5" t="str">
        <x:v>Soll-Ist-Matrix 2026-09-27</x:v>
      </x:c>
      <x:c r="K368" s="5" t="str">
        <x:v>Vorbewertung aus Soll-Ist-Matrix; Kandidaten nicht automatisch Einzelbelege</x:v>
      </x:c>
      <x:c r="L368" s="5" t="str">
        <x:v>FC-0038; FC-0039; FC-0040; FC-0070; FC-0071; FC-0072; FC-0073; FC-0074</x:v>
      </x:c>
    </x:row>
    <x:row r="369" ht="36" customHeight="1">
      <x:c r="A369" s="5" t="str">
        <x:v>6.4.3</x:v>
      </x:c>
      <x:c r="B369" s="5" t="str">
        <x:v>Investition, Finanzierung, betriebliches Rechnungswesen und Controlling</x:v>
      </x:c>
      <x:c r="C369" s="5" t="str">
        <x:v>Plankostenrechnung</x:v>
      </x:c>
      <x:c r="D369" s="5" t="str">
        <x:v>vollständig abgedeckt</x:v>
      </x:c>
      <x:c r="E369" s="5" t="str">
        <x:v>vollständig abgedeckt</x:v>
      </x:c>
      <x:c r="F369" s="5" t="str"/>
      <x:c r="G369" s="5" t="str">
        <x:v>FC-0041–FC-0045; FC-0075, FC-0076; FC-0101; FC-0104</x:v>
      </x:c>
      <x:c r="H369" s="5" t="str"/>
      <x:c r="I369" s="5" t="str">
        <x:v>Analysebewertung erhalten; keine neue Frage allein aus ID-Zahlen ableiten.</x:v>
      </x:c>
      <x:c r="J369" s="5" t="str">
        <x:v>Soll-Ist-Matrix 2026-09-27</x:v>
      </x:c>
      <x:c r="K369" s="5" t="str">
        <x:v>Vorbewertung aus Soll-Ist-Matrix; Kandidaten nicht automatisch Einzelbelege</x:v>
      </x:c>
      <x:c r="L369" s="5" t="str">
        <x:v>FC-0041; FC-0042; FC-0043; FC-0045; FC-0075; FC-0076; FC-0101; FC-0104</x:v>
      </x:c>
    </x:row>
    <x:row r="370" ht="36" customHeight="1">
      <x:c r="A370" s="5" t="str">
        <x:v>6.4.3.1</x:v>
      </x:c>
      <x:c r="B370" s="5" t="str">
        <x:v>Investition, Finanzierung, betriebliches Rechnungswesen und Controlling</x:v>
      </x:c>
      <x:c r="C370" s="5" t="str">
        <x:v>Starre Plankostenrechnung</x:v>
      </x:c>
      <x:c r="D370" s="5" t="str">
        <x:v>vollständig abgedeckt</x:v>
      </x:c>
      <x:c r="E370" s="5" t="str">
        <x:v>vollständig abgedeckt</x:v>
      </x:c>
      <x:c r="F370" s="5" t="str"/>
      <x:c r="G370" s="5" t="str">
        <x:v>FC-0041–FC-0045; FC-0075, FC-0076; FC-0101; FC-0104</x:v>
      </x:c>
      <x:c r="H370" s="5" t="str"/>
      <x:c r="I370" s="5" t="str">
        <x:v>Analysebewertung erhalten; keine neue Frage allein aus ID-Zahlen ableiten.</x:v>
      </x:c>
      <x:c r="J370" s="5" t="str">
        <x:v>Soll-Ist-Matrix 2026-09-27</x:v>
      </x:c>
      <x:c r="K370" s="5" t="str">
        <x:v>Vorbewertung aus Soll-Ist-Matrix; Kandidaten nicht automatisch Einzelbelege</x:v>
      </x:c>
      <x:c r="L370" s="5" t="str"/>
    </x:row>
    <x:row r="371" ht="36" customHeight="1">
      <x:c r="A371" s="5" t="str">
        <x:v>6.4.3.2</x:v>
      </x:c>
      <x:c r="B371" s="5" t="str">
        <x:v>Investition, Finanzierung, betriebliches Rechnungswesen und Controlling</x:v>
      </x:c>
      <x:c r="C371" s="5" t="str">
        <x:v>Flexible Plankostenrechnung</x:v>
      </x:c>
      <x:c r="D371" s="5" t="str">
        <x:v>vollständig abgedeckt</x:v>
      </x:c>
      <x:c r="E371" s="5" t="str">
        <x:v>vollständig abgedeckt</x:v>
      </x:c>
      <x:c r="F371" s="5" t="str"/>
      <x:c r="G371" s="5" t="str">
        <x:v>FC-0041–FC-0045; FC-0075, FC-0076; FC-0101; FC-0104</x:v>
      </x:c>
      <x:c r="H371" s="5" t="str"/>
      <x:c r="I371" s="5" t="str">
        <x:v>Analysebewertung erhalten; keine neue Frage allein aus ID-Zahlen ableiten.</x:v>
      </x:c>
      <x:c r="J371" s="5" t="str">
        <x:v>Soll-Ist-Matrix 2026-09-27</x:v>
      </x:c>
      <x:c r="K371" s="5" t="str">
        <x:v>Vorbewertung aus Soll-Ist-Matrix; Kandidaten nicht automatisch Einzelbelege</x:v>
      </x:c>
      <x:c r="L371" s="5" t="str">
        <x:v>FC-0044</x:v>
      </x:c>
    </x:row>
    <x:row r="372" ht="36" customHeight="1">
      <x:c r="A372" s="5" t="str">
        <x:v>6.4.4</x:v>
      </x:c>
      <x:c r="B372" s="5" t="str">
        <x:v>Investition, Finanzierung, betriebliches Rechnungswesen und Controlling</x:v>
      </x:c>
      <x:c r="C372" s="5" t="str">
        <x:v>Neuere Kostenrechnungsverfahren</x:v>
      </x:c>
      <x:c r="D372" s="5" t="str">
        <x:v>vollständig abgedeckt</x:v>
      </x:c>
      <x:c r="E372" s="5" t="str">
        <x:v>vollständig abgedeckt</x:v>
      </x:c>
      <x:c r="F372" s="5" t="str"/>
      <x:c r="G372" s="5" t="str">
        <x:v>FC-0046–FC-0048; FC-0077, FC-0078; FC-0049–FC-0054</x:v>
      </x:c>
      <x:c r="H372" s="5" t="str"/>
      <x:c r="I372" s="5" t="str">
        <x:v>Analysebewertung erhalten; keine neue Frage allein aus ID-Zahlen ableiten.</x:v>
      </x:c>
      <x:c r="J372" s="5" t="str">
        <x:v>Soll-Ist-Matrix 2026-09-27</x:v>
      </x:c>
      <x:c r="K372" s="5" t="str">
        <x:v>Vorbewertung aus Soll-Ist-Matrix; Kandidaten nicht automatisch Einzelbelege</x:v>
      </x:c>
      <x:c r="L372" s="5" t="str"/>
    </x:row>
    <x:row r="373" ht="36" customHeight="1">
      <x:c r="A373" s="5" t="str">
        <x:v>6.4.4.1</x:v>
      </x:c>
      <x:c r="B373" s="5" t="str">
        <x:v>Investition, Finanzierung, betriebliches Rechnungswesen und Controlling</x:v>
      </x:c>
      <x:c r="C373" s="5" t="str">
        <x:v>Target Costing</x:v>
      </x:c>
      <x:c r="D373" s="5" t="str">
        <x:v>vollständig abgedeckt</x:v>
      </x:c>
      <x:c r="E373" s="5" t="str">
        <x:v>vollständig abgedeckt</x:v>
      </x:c>
      <x:c r="F373" s="5" t="str"/>
      <x:c r="G373" s="5" t="str">
        <x:v>FC-0046–FC-0048; FC-0077, FC-0078</x:v>
      </x:c>
      <x:c r="H373" s="5" t="str"/>
      <x:c r="I373" s="5" t="str">
        <x:v>Analysebewertung erhalten; keine neue Frage allein aus ID-Zahlen ableiten.</x:v>
      </x:c>
      <x:c r="J373" s="5" t="str">
        <x:v>Soll-Ist-Matrix 2026-09-27</x:v>
      </x:c>
      <x:c r="K373" s="5" t="str">
        <x:v>Vorbewertung aus Soll-Ist-Matrix; Kandidaten nicht automatisch Einzelbelege</x:v>
      </x:c>
      <x:c r="L373" s="5" t="str">
        <x:v>FC-0046; FC-0047; FC-0048; FC-0077; FC-0078</x:v>
      </x:c>
    </x:row>
    <x:row r="374" ht="36" customHeight="1">
      <x:c r="A374" s="5" t="str">
        <x:v>6.4.4.2</x:v>
      </x:c>
      <x:c r="B374" s="5" t="str">
        <x:v>Investition, Finanzierung, betriebliches Rechnungswesen und Controlling</x:v>
      </x:c>
      <x:c r="C374" s="5" t="str">
        <x:v>Prozesskostenrechnung</x:v>
      </x:c>
      <x:c r="D374" s="5" t="str">
        <x:v>vollständig abgedeckt</x:v>
      </x:c>
      <x:c r="E374" s="5" t="str">
        <x:v>vollständig abgedeckt</x:v>
      </x:c>
      <x:c r="F374" s="5" t="str"/>
      <x:c r="G374" s="5" t="str">
        <x:v>FC-0049–FC-0054</x:v>
      </x:c>
      <x:c r="H374" s="5" t="str"/>
      <x:c r="I374" s="5" t="str">
        <x:v>Analysebewertung erhalten; keine neue Frage allein aus ID-Zahlen ableiten.</x:v>
      </x:c>
      <x:c r="J374" s="5" t="str">
        <x:v>Soll-Ist-Matrix 2026-09-27</x:v>
      </x:c>
      <x:c r="K374" s="5" t="str">
        <x:v>Vorbewertung aus Soll-Ist-Matrix; Kandidaten nicht automatisch Einzelbelege</x:v>
      </x:c>
      <x:c r="L374" s="5" t="str">
        <x:v>FC-0049; FC-0050; FC-0051; FC-0052; FC-0053; FC-0054</x:v>
      </x:c>
    </x:row>
    <x:row r="375" ht="36" customHeight="1">
      <x:c r="A375" s="5" t="str">
        <x:v>6.5</x:v>
      </x:c>
      <x:c r="B375" s="5" t="str">
        <x:v>Investition, Finanzierung, betriebliches Rechnungswesen und Controlling</x:v>
      </x:c>
      <x:c r="C375" s="5" t="str">
        <x:v>Controlling</x:v>
      </x:c>
      <x:c r="D375" s="5" t="str">
        <x:v>vollständig abgedeckt</x:v>
      </x:c>
      <x:c r="E375" s="5" t="str">
        <x:v>vollständig abgedeckt</x:v>
      </x:c>
      <x:c r="F375" s="5" t="str"/>
      <x:c r="G375" s="5" t="str">
        <x:v>FC-0055–FC-0060; FC-0079–FC-0081; FC-0061–FC-0064; FC-0082–FC-0090; FC-0065, FC-0066; FC-0091–FC-0099</x:v>
      </x:c>
      <x:c r="H375" s="5" t="str"/>
      <x:c r="I375" s="5" t="str">
        <x:v>Analysebewertung erhalten; keine neue Frage allein aus ID-Zahlen ableiten.</x:v>
      </x:c>
      <x:c r="J375" s="5" t="str">
        <x:v>Soll-Ist-Matrix 2026-09-27</x:v>
      </x:c>
      <x:c r="K375" s="5" t="str">
        <x:v>Vorbewertung aus Soll-Ist-Matrix; Kandidaten nicht automatisch Einzelbelege</x:v>
      </x:c>
      <x:c r="L375" s="5" t="str"/>
    </x:row>
    <x:row r="376" ht="36" customHeight="1">
      <x:c r="A376" s="5" t="str">
        <x:v>6.5.1</x:v>
      </x:c>
      <x:c r="B376" s="5" t="str">
        <x:v>Investition, Finanzierung, betriebliches Rechnungswesen und Controlling</x:v>
      </x:c>
      <x:c r="C376" s="5" t="str">
        <x:v>Begriff und Notwendigkeit des Controlling</x:v>
      </x:c>
      <x:c r="D376" s="5" t="str">
        <x:v>vollständig abgedeckt</x:v>
      </x:c>
      <x:c r="E376" s="5" t="str">
        <x:v>vollständig abgedeckt</x:v>
      </x:c>
      <x:c r="F376" s="5" t="str"/>
      <x:c r="G376" s="5" t="str">
        <x:v>FC-0055–FC-0060; FC-0079–FC-0081</x:v>
      </x:c>
      <x:c r="H376" s="5" t="str"/>
      <x:c r="I376" s="5" t="str">
        <x:v>Analysebewertung erhalten; keine neue Frage allein aus ID-Zahlen ableiten.</x:v>
      </x:c>
      <x:c r="J376" s="5" t="str">
        <x:v>Soll-Ist-Matrix 2026-09-27</x:v>
      </x:c>
      <x:c r="K376" s="5" t="str">
        <x:v>Vorbewertung aus Soll-Ist-Matrix; Kandidaten nicht automatisch Einzelbelege</x:v>
      </x:c>
      <x:c r="L376" s="5" t="str">
        <x:v>FC-0055; FC-0056; FC-0057; FC-0058; FC-0059; FC-0060; FC-0079; FC-0080; FC-0081</x:v>
      </x:c>
    </x:row>
    <x:row r="377" ht="36" customHeight="1">
      <x:c r="A377" s="5" t="str">
        <x:v>6.5.2</x:v>
      </x:c>
      <x:c r="B377" s="5" t="str">
        <x:v>Investition, Finanzierung, betriebliches Rechnungswesen und Controlling</x:v>
      </x:c>
      <x:c r="C377" s="5" t="str">
        <x:v>Organisatorische Eingliederung des Controlling</x:v>
      </x:c>
      <x:c r="D377" s="5" t="str">
        <x:v>vollständig abgedeckt</x:v>
      </x:c>
      <x:c r="E377" s="5" t="str">
        <x:v>vollständig abgedeckt</x:v>
      </x:c>
      <x:c r="F377" s="5" t="str"/>
      <x:c r="G377" s="5" t="str">
        <x:v>FC-0055–FC-0060; FC-0079–FC-0081</x:v>
      </x:c>
      <x:c r="H377" s="5" t="str"/>
      <x:c r="I377" s="5" t="str">
        <x:v>Analysebewertung erhalten; keine neue Frage allein aus ID-Zahlen ableiten.</x:v>
      </x:c>
      <x:c r="J377" s="5" t="str">
        <x:v>Soll-Ist-Matrix 2026-09-27</x:v>
      </x:c>
      <x:c r="K377" s="5" t="str">
        <x:v>Vorbewertung aus Soll-Ist-Matrix; Kandidaten nicht automatisch Einzelbelege</x:v>
      </x:c>
      <x:c r="L377" s="5" t="str"/>
    </x:row>
    <x:row r="378" ht="36" customHeight="1">
      <x:c r="A378" s="5" t="str">
        <x:v>6.5.3</x:v>
      </x:c>
      <x:c r="B378" s="5" t="str">
        <x:v>Investition, Finanzierung, betriebliches Rechnungswesen und Controlling</x:v>
      </x:c>
      <x:c r="C378" s="5" t="str">
        <x:v>Aufgaben des Controlling</x:v>
      </x:c>
      <x:c r="D378" s="5" t="str">
        <x:v>vollständig abgedeckt</x:v>
      </x:c>
      <x:c r="E378" s="5" t="str">
        <x:v>vollständig abgedeckt</x:v>
      </x:c>
      <x:c r="F378" s="5" t="str"/>
      <x:c r="G378" s="5" t="str">
        <x:v>FC-0055–FC-0060; FC-0079–FC-0081</x:v>
      </x:c>
      <x:c r="H378" s="5" t="str"/>
      <x:c r="I378" s="5" t="str">
        <x:v>Analysebewertung erhalten; keine neue Frage allein aus ID-Zahlen ableiten.</x:v>
      </x:c>
      <x:c r="J378" s="5" t="str">
        <x:v>Soll-Ist-Matrix 2026-09-27</x:v>
      </x:c>
      <x:c r="K378" s="5" t="str">
        <x:v>Vorbewertung aus Soll-Ist-Matrix; Kandidaten nicht automatisch Einzelbelege</x:v>
      </x:c>
      <x:c r="L378" s="5" t="str"/>
    </x:row>
    <x:row r="379" ht="36" customHeight="1">
      <x:c r="A379" s="5" t="str">
        <x:v>6.5.4</x:v>
      </x:c>
      <x:c r="B379" s="5" t="str">
        <x:v>Investition, Finanzierung, betriebliches Rechnungswesen und Controlling</x:v>
      </x:c>
      <x:c r="C379" s="5" t="str">
        <x:v>Controllinginstrumente</x:v>
      </x:c>
      <x:c r="D379" s="5" t="str">
        <x:v>vollständig abgedeckt</x:v>
      </x:c>
      <x:c r="E379" s="5" t="str">
        <x:v>vollständig abgedeckt</x:v>
      </x:c>
      <x:c r="F379" s="5" t="str"/>
      <x:c r="G379" s="5" t="str">
        <x:v>FC-0061–FC-0064; FC-0082–FC-0090; FC-0065, FC-0066; FC-0091–FC-0099</x:v>
      </x:c>
      <x:c r="H379" s="5" t="str"/>
      <x:c r="I379" s="5" t="str">
        <x:v>Analysebewertung erhalten; keine neue Frage allein aus ID-Zahlen ableiten.</x:v>
      </x:c>
      <x:c r="J379" s="5" t="str">
        <x:v>Soll-Ist-Matrix 2026-09-27</x:v>
      </x:c>
      <x:c r="K379" s="5" t="str">
        <x:v>Vorbewertung aus Soll-Ist-Matrix; Kandidaten nicht automatisch Einzelbelege</x:v>
      </x:c>
      <x:c r="L379" s="5" t="str"/>
    </x:row>
    <x:row r="380" ht="36" customHeight="1">
      <x:c r="A380" s="5" t="str">
        <x:v>6.5.4.1</x:v>
      </x:c>
      <x:c r="B380" s="5" t="str">
        <x:v>Investition, Finanzierung, betriebliches Rechnungswesen und Controlling</x:v>
      </x:c>
      <x:c r="C380" s="5" t="str">
        <x:v>Strategische Controllinginstrumente</x:v>
      </x:c>
      <x:c r="D380" s="5" t="str">
        <x:v>vollständig abgedeckt</x:v>
      </x:c>
      <x:c r="E380" s="5" t="str">
        <x:v>vollständig abgedeckt</x:v>
      </x:c>
      <x:c r="F380" s="5" t="str"/>
      <x:c r="G380" s="5" t="str">
        <x:v>FC-0061–FC-0064; FC-0082–FC-0090</x:v>
      </x:c>
      <x:c r="H380" s="5" t="str"/>
      <x:c r="I380" s="5" t="str">
        <x:v>Analysebewertung erhalten; keine neue Frage allein aus ID-Zahlen ableiten.</x:v>
      </x:c>
      <x:c r="J380" s="5" t="str">
        <x:v>Soll-Ist-Matrix 2026-09-27</x:v>
      </x:c>
      <x:c r="K380" s="5" t="str">
        <x:v>Vorbewertung aus Soll-Ist-Matrix; Kandidaten nicht automatisch Einzelbelege</x:v>
      </x:c>
      <x:c r="L380" s="5" t="str">
        <x:v>FC-0061; FC-0062; FC-0063; FC-0064; FC-0082; FC-0083; FC-0084; FC-0085; FC-0086; FC-0087; FC-0088; FC-0089; FC-0090</x:v>
      </x:c>
    </x:row>
    <x:row r="381" ht="36" customHeight="1">
      <x:c r="A381" s="5" t="str">
        <x:v>6.5.4.2</x:v>
      </x:c>
      <x:c r="B381" s="5" t="str">
        <x:v>Investition, Finanzierung, betriebliches Rechnungswesen und Controlling</x:v>
      </x:c>
      <x:c r="C381" s="5" t="str">
        <x:v>Operative Controllinginstrumente</x:v>
      </x:c>
      <x:c r="D381" s="5" t="str">
        <x:v>vollständig abgedeckt</x:v>
      </x:c>
      <x:c r="E381" s="5" t="str">
        <x:v>vollständig abgedeckt</x:v>
      </x:c>
      <x:c r="F381" s="5" t="str"/>
      <x:c r="G381" s="5" t="str">
        <x:v>FC-0065, FC-0066; FC-0091–FC-0099</x:v>
      </x:c>
      <x:c r="H381" s="5" t="str"/>
      <x:c r="I381" s="5" t="str">
        <x:v>Analysebewertung erhalten; keine neue Frage allein aus ID-Zahlen ableiten.</x:v>
      </x:c>
      <x:c r="J381" s="5" t="str">
        <x:v>Soll-Ist-Matrix 2026-09-27</x:v>
      </x:c>
      <x:c r="K381" s="5" t="str">
        <x:v>Vorbewertung aus Soll-Ist-Matrix; Kandidaten nicht automatisch Einzelbelege</x:v>
      </x:c>
      <x:c r="L381" s="5" t="str">
        <x:v>FC-0065; FC-0066; FC-0091; FC-0092; FC-0093; FC-0094; FC-0095; FC-0096; FC-0097; FC-0098; FC-0099</x:v>
      </x:c>
    </x:row>
    <x:row r="382" ht="36" customHeight="1">
      <x:c r="A382" s="5" t="str">
        <x:v>7</x:v>
      </x:c>
      <x:c r="B382" s="5" t="str">
        <x:v>Logistik</x:v>
      </x:c>
      <x:c r="C382" s="5" t="str">
        <x:v>Logistik</x:v>
      </x:c>
      <x:c r="D382" s="5" t="str">
        <x:v>teilweise abgedeckt</x:v>
      </x:c>
      <x:c r="E382" s="5" t="str">
        <x:v>vollständig abgedeckt</x:v>
      </x:c>
      <x:c r="F382" s="5" t="str">
        <x:v>L-0248; L-0286</x:v>
      </x:c>
      <x:c r="G382" s="5" t="str">
        <x:v>L-0001–L-0017; L-0019–L-0036; L-0104–L-0107; L-0276, L-0277; L-0039–L-0051; L-0069; L-0108–L-0122; L-0124; L-0278, L-0279; L-0052–L-0068; L-0070–L-0075; L-0123; L-0125–L-0132; L-0280, L-0281; L-0316; L-0018; L-0076–L-0095; L-0102, L-0103; L-0133–L-0137; L-0282, L-0283; L-0096–L-0101; L-0138–L-0171; L-0265–L-0273; L-0284–L-0286; L-0317; L-0205; L-0237–L-0247; L-0264; L-0275; L-0303–L-0306; L-0172–L-0198; L-0200–L-0204; L-0287–L-0292; L-0318, L-0319; L-0037, L-0038; L-0222–L-0236; L-0274; L-0296–L-0302; L-0314, L-0315; L-0320; L-0206–L-0209; L-0212–L-0220; L-0293–L-0295; L-0199; L-0248–L-0263; L-0307–L-0313</x:v>
      </x:c>
      <x:c r="H382" s="5" t="str">
        <x:v>Keine verbleibende Lücke nach Einzelpunktprüfung</x:v>
      </x:c>
      <x:c r="I382" s="5" t="str">
        <x:v>Abgeleiteter Elternstatus; keine zusätzliche Inhaltsaufgabe. Siehe Einzelpunkte 7.5.2</x:v>
      </x:c>
      <x:c r="J382" s="5" t="str">
        <x:v>Soll-Ist-Matrix 2026-09-27</x:v>
      </x:c>
      <x:c r="K382" s="5" t="str">
        <x:v>Elternbewertung aus einzeln geprüften Unterpunkten</x:v>
      </x:c>
      <x:c r="L382" s="5" t="str"/>
    </x:row>
    <x:row r="383" ht="36" customHeight="1">
      <x:c r="A383" s="5" t="str">
        <x:v>7.1</x:v>
      </x:c>
      <x:c r="B383" s="5" t="str">
        <x:v>Logistik</x:v>
      </x:c>
      <x:c r="C383" s="5" t="str">
        <x:v>Einkauf und Beschaffung</x:v>
      </x:c>
      <x:c r="D383" s="5" t="str">
        <x:v>vollständig abgedeckt</x:v>
      </x:c>
      <x:c r="E383" s="5" t="str">
        <x:v>vollständig abgedeckt</x:v>
      </x:c>
      <x:c r="F383" s="5" t="str"/>
      <x:c r="G383" s="5" t="str">
        <x:v>L-0001–L-0017; L-0019–L-0036; L-0104–L-0107; L-0276, L-0277; L-0039–L-0051; L-0069; L-0108–L-0122; L-0124; L-0278, L-0279; L-0052–L-0068; L-0070–L-0075; L-0123; L-0125–L-0132; L-0280, L-0281; L-0316; L-0018; L-0076–L-0095; L-0102, L-0103; L-0133–L-0137; L-0282, L-0283; L-0096–L-0101; L-0138–L-0171; L-0265–L-0273; L-0284–L-0286; L-0317; L-0205; L-0237–L-0247; L-0264; L-0275; L-0303–L-0306</x:v>
      </x:c>
      <x:c r="H383" s="5" t="str"/>
      <x:c r="I383" s="5" t="str">
        <x:v>Analysebewertung erhalten; keine neue Frage allein aus ID-Zahlen ableiten.</x:v>
      </x:c>
      <x:c r="J383" s="5" t="str">
        <x:v>Soll-Ist-Matrix 2026-09-27</x:v>
      </x:c>
      <x:c r="K383" s="5" t="str">
        <x:v>Vorbewertung aus Soll-Ist-Matrix; Kandidaten nicht automatisch Einzelbelege</x:v>
      </x:c>
      <x:c r="L383" s="5" t="str"/>
    </x:row>
    <x:row r="384" ht="36" customHeight="1">
      <x:c r="A384" s="5" t="str">
        <x:v>7.1.1</x:v>
      </x:c>
      <x:c r="B384" s="5" t="str">
        <x:v>Logistik</x:v>
      </x:c>
      <x:c r="C384" s="5" t="str">
        <x:v>Grundlagen der Logistik</x:v>
      </x:c>
      <x:c r="D384" s="5" t="str">
        <x:v>vollständig abgedeckt</x:v>
      </x:c>
      <x:c r="E384" s="5" t="str">
        <x:v>vollständig abgedeckt</x:v>
      </x:c>
      <x:c r="F384" s="5" t="str"/>
      <x:c r="G384" s="5" t="str">
        <x:v>L-0001–L-0017; L-0019–L-0036; L-0104–L-0107; L-0276, L-0277</x:v>
      </x:c>
      <x:c r="H384" s="5" t="str"/>
      <x:c r="I384" s="5" t="str">
        <x:v>Analysebewertung erhalten; keine neue Frage allein aus ID-Zahlen ableiten.</x:v>
      </x:c>
      <x:c r="J384" s="5" t="str">
        <x:v>Soll-Ist-Matrix 2026-09-27</x:v>
      </x:c>
      <x:c r="K384" s="5" t="str">
        <x:v>Vorbewertung aus Soll-Ist-Matrix; Kandidaten nicht automatisch Einzelbelege</x:v>
      </x:c>
      <x:c r="L384" s="5" t="str">
        <x:v>L-0001; L-0002; L-0003; L-0004; L-0005; L-0006; L-0007; L-0008; L-0009; L-0010; L-0011; L-0012; L-0013; L-0014; L-0015; L-0016; L-0017; L-0019; L-0020; L-0021; L-0022; L-0023; L-0024; L-0025; L-0026; L-0027; L-0028; L-0029; L-0030; L-0031; L-0032; L-0033; L-0034; L-0035; L-0036; L-0104; L-0105; L-0106; L-0107; L-0276; L-0277</x:v>
      </x:c>
    </x:row>
    <x:row r="385" ht="36" customHeight="1">
      <x:c r="A385" s="5" t="str">
        <x:v>7.1.1.1</x:v>
      </x:c>
      <x:c r="B385" s="5" t="str">
        <x:v>Logistik</x:v>
      </x:c>
      <x:c r="C385" s="5" t="str">
        <x:v>Überblick</x:v>
      </x:c>
      <x:c r="D385" s="5" t="str">
        <x:v>vollständig abgedeckt</x:v>
      </x:c>
      <x:c r="E385" s="5" t="str">
        <x:v>vollständig abgedeckt</x:v>
      </x:c>
      <x:c r="F385" s="5" t="str"/>
      <x:c r="G385" s="5" t="str">
        <x:v>L-0001–L-0017; L-0019–L-0036; L-0104–L-0107; L-0276, L-0277</x:v>
      </x:c>
      <x:c r="H385" s="5" t="str"/>
      <x:c r="I385" s="5" t="str">
        <x:v>Analysebewertung erhalten; keine neue Frage allein aus ID-Zahlen ableiten.</x:v>
      </x:c>
      <x:c r="J385" s="5" t="str">
        <x:v>Soll-Ist-Matrix 2026-09-27</x:v>
      </x:c>
      <x:c r="K385" s="5" t="str">
        <x:v>Vorbewertung aus Soll-Ist-Matrix; Kandidaten nicht automatisch Einzelbelege</x:v>
      </x:c>
      <x:c r="L385" s="5" t="str"/>
    </x:row>
    <x:row r="386" ht="36" customHeight="1">
      <x:c r="A386" s="5" t="str">
        <x:v>7.1.1.2</x:v>
      </x:c>
      <x:c r="B386" s="5" t="str">
        <x:v>Logistik</x:v>
      </x:c>
      <x:c r="C386" s="5" t="str">
        <x:v>Begrifflichkeiten</x:v>
      </x:c>
      <x:c r="D386" s="5" t="str">
        <x:v>vollständig abgedeckt</x:v>
      </x:c>
      <x:c r="E386" s="5" t="str">
        <x:v>vollständig abgedeckt</x:v>
      </x:c>
      <x:c r="F386" s="5" t="str"/>
      <x:c r="G386" s="5" t="str">
        <x:v>L-0001–L-0017; L-0019–L-0036; L-0104–L-0107; L-0276, L-0277</x:v>
      </x:c>
      <x:c r="H386" s="5" t="str"/>
      <x:c r="I386" s="5" t="str">
        <x:v>Analysebewertung erhalten; keine neue Frage allein aus ID-Zahlen ableiten.</x:v>
      </x:c>
      <x:c r="J386" s="5" t="str">
        <x:v>Soll-Ist-Matrix 2026-09-27</x:v>
      </x:c>
      <x:c r="K386" s="5" t="str">
        <x:v>Vorbewertung aus Soll-Ist-Matrix; Kandidaten nicht automatisch Einzelbelege</x:v>
      </x:c>
      <x:c r="L386" s="5" t="str"/>
    </x:row>
    <x:row r="387" ht="36" customHeight="1">
      <x:c r="A387" s="5" t="str">
        <x:v>7.1.2</x:v>
      </x:c>
      <x:c r="B387" s="5" t="str">
        <x:v>Logistik</x:v>
      </x:c>
      <x:c r="C387" s="5" t="str">
        <x:v>Einkaufsprozess</x:v>
      </x:c>
      <x:c r="D387" s="5" t="str">
        <x:v>vollständig abgedeckt</x:v>
      </x:c>
      <x:c r="E387" s="5" t="str">
        <x:v>vollständig abgedeckt</x:v>
      </x:c>
      <x:c r="F387" s="5" t="str"/>
      <x:c r="G387" s="5" t="str">
        <x:v>L-0039–L-0051; L-0069; L-0108–L-0122; L-0124; L-0278, L-0279; L-0052–L-0068; L-0070–L-0075; L-0123; L-0125–L-0132; L-0280, L-0281; L-0316; L-0018; L-0076–L-0095; L-0102, L-0103; L-0133–L-0137; L-0282, L-0283</x:v>
      </x:c>
      <x:c r="H387" s="5" t="str"/>
      <x:c r="I387" s="5" t="str">
        <x:v>Analysebewertung erhalten; keine neue Frage allein aus ID-Zahlen ableiten.</x:v>
      </x:c>
      <x:c r="J387" s="5" t="str">
        <x:v>Soll-Ist-Matrix 2026-09-27</x:v>
      </x:c>
      <x:c r="K387" s="5" t="str">
        <x:v>Vorbewertung aus Soll-Ist-Matrix; Kandidaten nicht automatisch Einzelbelege</x:v>
      </x:c>
      <x:c r="L387" s="5" t="str"/>
    </x:row>
    <x:row r="388" ht="36" customHeight="1">
      <x:c r="A388" s="5" t="str">
        <x:v>7.1.2.1</x:v>
      </x:c>
      <x:c r="B388" s="5" t="str">
        <x:v>Logistik</x:v>
      </x:c>
      <x:c r="C388" s="5" t="str">
        <x:v>Der Ablauf</x:v>
      </x:c>
      <x:c r="D388" s="5" t="str">
        <x:v>vollständig abgedeckt</x:v>
      </x:c>
      <x:c r="E388" s="5" t="str">
        <x:v>vollständig abgedeckt</x:v>
      </x:c>
      <x:c r="F388" s="5" t="str"/>
      <x:c r="G388" s="5" t="str">
        <x:v>L-0039–L-0051; L-0069; L-0108–L-0122; L-0124; L-0278, L-0279</x:v>
      </x:c>
      <x:c r="H388" s="5" t="str"/>
      <x:c r="I388" s="5" t="str">
        <x:v>Analysebewertung erhalten; keine neue Frage allein aus ID-Zahlen ableiten.</x:v>
      </x:c>
      <x:c r="J388" s="5" t="str">
        <x:v>Soll-Ist-Matrix 2026-09-27</x:v>
      </x:c>
      <x:c r="K388" s="5" t="str">
        <x:v>Vorbewertung aus Soll-Ist-Matrix; Kandidaten nicht automatisch Einzelbelege</x:v>
      </x:c>
      <x:c r="L388" s="5" t="str">
        <x:v>L-0039; L-0045; L-0047; L-0048; L-0049; L-0050; L-0051; L-0069; L-0108; L-0109; L-0110; L-0111; L-0112; L-0113; L-0114; L-0115; L-0116; L-0118; L-0119; L-0120; L-0121; L-0122; L-0124</x:v>
      </x:c>
    </x:row>
    <x:row r="389" ht="36" customHeight="1">
      <x:c r="A389" s="5" t="str">
        <x:v>7.1.2.1#1</x:v>
      </x:c>
      <x:c r="B389" s="5" t="str">
        <x:v>Logistik</x:v>
      </x:c>
      <x:c r="C389" s="5" t="str">
        <x:v>Anfrage</x:v>
      </x:c>
      <x:c r="D389" s="5" t="str">
        <x:v>vollständig abgedeckt</x:v>
      </x:c>
      <x:c r="E389" s="5" t="str">
        <x:v>vollständig abgedeckt</x:v>
      </x:c>
      <x:c r="F389" s="5" t="str"/>
      <x:c r="G389" s="5" t="str">
        <x:v>L-0039–L-0051; L-0069; L-0108–L-0122; L-0124; L-0278, L-0279</x:v>
      </x:c>
      <x:c r="H389" s="5" t="str"/>
      <x:c r="I389" s="5" t="str">
        <x:v>Analysebewertung erhalten; keine neue Frage allein aus ID-Zahlen ableiten.</x:v>
      </x:c>
      <x:c r="J389" s="5" t="str">
        <x:v>Soll-Ist-Matrix 2026-09-27</x:v>
      </x:c>
      <x:c r="K389" s="5" t="str">
        <x:v>Vorbewertung aus Soll-Ist-Matrix; Kandidaten nicht automatisch Einzelbelege</x:v>
      </x:c>
      <x:c r="L389" s="5" t="str">
        <x:v>L-0040; L-0041</x:v>
      </x:c>
    </x:row>
    <x:row r="390" ht="36" customHeight="1">
      <x:c r="A390" s="5" t="str">
        <x:v>7.1.2.1#2</x:v>
      </x:c>
      <x:c r="B390" s="5" t="str">
        <x:v>Logistik</x:v>
      </x:c>
      <x:c r="C390" s="5" t="str">
        <x:v>Angebot</x:v>
      </x:c>
      <x:c r="D390" s="5" t="str">
        <x:v>vollständig abgedeckt</x:v>
      </x:c>
      <x:c r="E390" s="5" t="str">
        <x:v>vollständig abgedeckt</x:v>
      </x:c>
      <x:c r="F390" s="5" t="str"/>
      <x:c r="G390" s="5" t="str">
        <x:v>L-0039–L-0051; L-0069; L-0108–L-0122; L-0124; L-0278, L-0279</x:v>
      </x:c>
      <x:c r="H390" s="5" t="str"/>
      <x:c r="I390" s="5" t="str">
        <x:v>Analysebewertung erhalten; keine neue Frage allein aus ID-Zahlen ableiten.</x:v>
      </x:c>
      <x:c r="J390" s="5" t="str">
        <x:v>Soll-Ist-Matrix 2026-09-27</x:v>
      </x:c>
      <x:c r="K390" s="5" t="str">
        <x:v>Vorbewertung aus Soll-Ist-Matrix; Kandidaten nicht automatisch Einzelbelege</x:v>
      </x:c>
      <x:c r="L390" s="5" t="str">
        <x:v>L-0042; L-0044; L-0046; L-0117; L-0278</x:v>
      </x:c>
    </x:row>
    <x:row r="391" ht="36" customHeight="1">
      <x:c r="A391" s="5" t="str">
        <x:v>7.1.2.1#3</x:v>
      </x:c>
      <x:c r="B391" s="5" t="str">
        <x:v>Logistik</x:v>
      </x:c>
      <x:c r="C391" s="5" t="str">
        <x:v>Bestellung</x:v>
      </x:c>
      <x:c r="D391" s="5" t="str">
        <x:v>vollständig abgedeckt</x:v>
      </x:c>
      <x:c r="E391" s="5" t="str">
        <x:v>vollständig abgedeckt</x:v>
      </x:c>
      <x:c r="F391" s="5" t="str"/>
      <x:c r="G391" s="5" t="str">
        <x:v>L-0039–L-0051; L-0069; L-0108–L-0122; L-0124; L-0278, L-0279</x:v>
      </x:c>
      <x:c r="H391" s="5" t="str"/>
      <x:c r="I391" s="5" t="str">
        <x:v>Analysebewertung erhalten; keine neue Frage allein aus ID-Zahlen ableiten.</x:v>
      </x:c>
      <x:c r="J391" s="5" t="str">
        <x:v>Soll-Ist-Matrix 2026-09-27</x:v>
      </x:c>
      <x:c r="K391" s="5" t="str">
        <x:v>Vorbewertung aus Soll-Ist-Matrix; Kandidaten nicht automatisch Einzelbelege</x:v>
      </x:c>
      <x:c r="L391" s="5" t="str">
        <x:v>L-0043; L-0279</x:v>
      </x:c>
    </x:row>
    <x:row r="392" ht="36" customHeight="1">
      <x:c r="A392" s="5" t="str">
        <x:v>7.1.2.2</x:v>
      </x:c>
      <x:c r="B392" s="5" t="str">
        <x:v>Logistik</x:v>
      </x:c>
      <x:c r="C392" s="5" t="str">
        <x:v>Sourcing Konzepte</x:v>
      </x:c>
      <x:c r="D392" s="5" t="str">
        <x:v>vollständig abgedeckt</x:v>
      </x:c>
      <x:c r="E392" s="5" t="str">
        <x:v>vollständig abgedeckt</x:v>
      </x:c>
      <x:c r="F392" s="5" t="str"/>
      <x:c r="G392" s="5" t="str">
        <x:v>L-0052–L-0068; L-0070–L-0075; L-0123; L-0125–L-0132; L-0280, L-0281; L-0316</x:v>
      </x:c>
      <x:c r="H392" s="5" t="str"/>
      <x:c r="I392" s="5" t="str">
        <x:v>Analysebewertung erhalten; keine neue Frage allein aus ID-Zahlen ableiten.</x:v>
      </x:c>
      <x:c r="J392" s="5" t="str">
        <x:v>Soll-Ist-Matrix 2026-09-27</x:v>
      </x:c>
      <x:c r="K392" s="5" t="str">
        <x:v>Vorbewertung aus Soll-Ist-Matrix; Kandidaten nicht automatisch Einzelbelege</x:v>
      </x:c>
      <x:c r="L392" s="5" t="str"/>
    </x:row>
    <x:row r="393" ht="36" customHeight="1">
      <x:c r="A393" s="5" t="str">
        <x:v>7.1.2.3</x:v>
      </x:c>
      <x:c r="B393" s="5" t="str">
        <x:v>Logistik</x:v>
      </x:c>
      <x:c r="C393" s="5" t="str">
        <x:v>Lieferantenmanagement</x:v>
      </x:c>
      <x:c r="D393" s="5" t="str">
        <x:v>vollständig abgedeckt</x:v>
      </x:c>
      <x:c r="E393" s="5" t="str">
        <x:v>vollständig abgedeckt</x:v>
      </x:c>
      <x:c r="F393" s="5" t="str"/>
      <x:c r="G393" s="5" t="str">
        <x:v>L-0052–L-0068; L-0070–L-0075; L-0123; L-0125–L-0132; L-0280, L-0281; L-0316</x:v>
      </x:c>
      <x:c r="H393" s="5" t="str"/>
      <x:c r="I393" s="5" t="str">
        <x:v>Analysebewertung erhalten; keine neue Frage allein aus ID-Zahlen ableiten.</x:v>
      </x:c>
      <x:c r="J393" s="5" t="str">
        <x:v>Soll-Ist-Matrix 2026-09-27</x:v>
      </x:c>
      <x:c r="K393" s="5" t="str">
        <x:v>Vorbewertung aus Soll-Ist-Matrix; Kandidaten nicht automatisch Einzelbelege</x:v>
      </x:c>
      <x:c r="L393" s="5" t="str">
        <x:v>L-0052; L-0053; L-0054; L-0055; L-0056; L-0057; L-0058; L-0059; L-0060; L-0061; L-0063; L-0064; L-0065; L-0066; L-0067; L-0068; L-0070; L-0071; L-0072; L-0073; L-0074; L-0075; L-0123; L-0125; L-0126; L-0127; L-0128; L-0129; L-0130; L-0131; L-0132; L-0280; L-0281; L-0316</x:v>
      </x:c>
    </x:row>
    <x:row r="394" ht="36" customHeight="1">
      <x:c r="A394" s="5" t="str">
        <x:v>7.1.2.4</x:v>
      </x:c>
      <x:c r="B394" s="5" t="str">
        <x:v>Logistik</x:v>
      </x:c>
      <x:c r="C394" s="5" t="str">
        <x:v>Analysetechniken</x:v>
      </x:c>
      <x:c r="D394" s="5" t="str">
        <x:v>vollständig abgedeckt</x:v>
      </x:c>
      <x:c r="E394" s="5" t="str">
        <x:v>vollständig abgedeckt</x:v>
      </x:c>
      <x:c r="F394" s="5" t="str"/>
      <x:c r="G394" s="5" t="str">
        <x:v>L-0039–L-0051; L-0069; L-0108–L-0122; L-0124; L-0278, L-0279; L-0018; L-0076–L-0095; L-0102, L-0103; L-0133–L-0137; L-0282, L-0283</x:v>
      </x:c>
      <x:c r="H394" s="5" t="str"/>
      <x:c r="I394" s="5" t="str">
        <x:v>Analysebewertung erhalten; keine neue Frage allein aus ID-Zahlen ableiten.</x:v>
      </x:c>
      <x:c r="J394" s="5" t="str">
        <x:v>Soll-Ist-Matrix 2026-09-27</x:v>
      </x:c>
      <x:c r="K394" s="5" t="str">
        <x:v>Vorbewertung aus Soll-Ist-Matrix; Kandidaten nicht automatisch Einzelbelege</x:v>
      </x:c>
      <x:c r="L394" s="5" t="str">
        <x:v>L-0018; L-0076; L-0077; L-0078; L-0079; L-0080; L-0081; L-0082; L-0083; L-0084; L-0085; L-0086; L-0087; L-0088; L-0089; L-0090; L-0091; L-0092; L-0093; L-0094; L-0095; L-0102; L-0103; L-0133; L-0134; L-0135; L-0136; L-0137; L-0282; L-0283</x:v>
      </x:c>
    </x:row>
    <x:row r="395" ht="36" customHeight="1">
      <x:c r="A395" s="5" t="str">
        <x:v>7.1.3</x:v>
      </x:c>
      <x:c r="B395" s="5" t="str">
        <x:v>Logistik</x:v>
      </x:c>
      <x:c r="C395" s="5" t="str">
        <x:v>Beschaffungsprozess</x:v>
      </x:c>
      <x:c r="D395" s="5" t="str">
        <x:v>vollständig abgedeckt</x:v>
      </x:c>
      <x:c r="E395" s="5" t="str">
        <x:v>vollständig abgedeckt</x:v>
      </x:c>
      <x:c r="F395" s="5" t="str"/>
      <x:c r="G395" s="5" t="str">
        <x:v>L-0018; L-0076–L-0095; L-0102, L-0103; L-0133–L-0137; L-0282, L-0283; L-0096–L-0101; L-0138–L-0171; L-0265–L-0273; L-0284–L-0286; L-0317; L-0205; L-0237–L-0247; L-0264; L-0275; L-0303–L-0306</x:v>
      </x:c>
      <x:c r="H395" s="5" t="str"/>
      <x:c r="I395" s="5" t="str">
        <x:v>Analysebewertung erhalten; keine neue Frage allein aus ID-Zahlen ableiten.</x:v>
      </x:c>
      <x:c r="J395" s="5" t="str">
        <x:v>Soll-Ist-Matrix 2026-09-27</x:v>
      </x:c>
      <x:c r="K395" s="5" t="str">
        <x:v>Vorbewertung aus Soll-Ist-Matrix; Kandidaten nicht automatisch Einzelbelege</x:v>
      </x:c>
      <x:c r="L395" s="5" t="str">
        <x:v>L-0096; L-0097; L-0098; L-0099; L-0100; L-0101; L-0138; L-0139; L-0140; L-0141; L-0142; L-0143; L-0144; L-0145; L-0146; L-0147; L-0148; L-0149; L-0150; L-0151; L-0152; L-0153; L-0154; L-0155; L-0156; L-0157; L-0158; L-0159; L-0160; L-0161; L-0162; L-0163; L-0164; L-0165; L-0166; L-0167; L-0168; L-0169; L-0170; L-0171; L-0265; L-0266; L-0267; L-0268; L-0269; L-0270; L-0271; L-0272; L-0273; L-0284; L-0285; L-0317</x:v>
      </x:c>
    </x:row>
    <x:row r="396" ht="36" customHeight="1">
      <x:c r="A396" s="5" t="str">
        <x:v>7.1.3.1</x:v>
      </x:c>
      <x:c r="B396" s="5" t="str">
        <x:v>Logistik</x:v>
      </x:c>
      <x:c r="C396" s="5" t="str">
        <x:v>Beschaffungsstrategien</x:v>
      </x:c>
      <x:c r="D396" s="5" t="str">
        <x:v>vollständig abgedeckt</x:v>
      </x:c>
      <x:c r="E396" s="5" t="str">
        <x:v>vollständig abgedeckt</x:v>
      </x:c>
      <x:c r="F396" s="5" t="str"/>
      <x:c r="G396" s="5" t="str">
        <x:v>L-0018; L-0076–L-0095; L-0102, L-0103; L-0133–L-0137; L-0282, L-0283; L-0096–L-0101; L-0138–L-0171; L-0265–L-0273; L-0284–L-0286; L-0317; L-0205; L-0237–L-0247; L-0264; L-0275; L-0303–L-0306</x:v>
      </x:c>
      <x:c r="H396" s="5" t="str"/>
      <x:c r="I396" s="5" t="str">
        <x:v>Analysebewertung erhalten; keine neue Frage allein aus ID-Zahlen ableiten.</x:v>
      </x:c>
      <x:c r="J396" s="5" t="str">
        <x:v>Soll-Ist-Matrix 2026-09-27</x:v>
      </x:c>
      <x:c r="K396" s="5" t="str">
        <x:v>Vorbewertung aus Soll-Ist-Matrix; Kandidaten nicht automatisch Einzelbelege</x:v>
      </x:c>
      <x:c r="L396" s="5" t="str"/>
    </x:row>
    <x:row r="397" ht="36" customHeight="1">
      <x:c r="A397" s="5" t="str">
        <x:v>7.1.3.2</x:v>
      </x:c>
      <x:c r="B397" s="5" t="str">
        <x:v>Logistik</x:v>
      </x:c>
      <x:c r="C397" s="5" t="str">
        <x:v>Bedarfsrechnung</x:v>
      </x:c>
      <x:c r="D397" s="5" t="str">
        <x:v>vollständig abgedeckt</x:v>
      </x:c>
      <x:c r="E397" s="5" t="str">
        <x:v>vollständig abgedeckt</x:v>
      </x:c>
      <x:c r="F397" s="5" t="str"/>
      <x:c r="G397" s="5" t="str">
        <x:v>L-0096–L-0101; L-0138–L-0171; L-0265–L-0273; L-0284–L-0286; L-0317</x:v>
      </x:c>
      <x:c r="H397" s="5" t="str"/>
      <x:c r="I397" s="5" t="str">
        <x:v>Analysebewertung erhalten; keine neue Frage allein aus ID-Zahlen ableiten.</x:v>
      </x:c>
      <x:c r="J397" s="5" t="str">
        <x:v>Soll-Ist-Matrix 2026-09-27</x:v>
      </x:c>
      <x:c r="K397" s="5" t="str">
        <x:v>Vorbewertung aus Soll-Ist-Matrix; Kandidaten nicht automatisch Einzelbelege</x:v>
      </x:c>
      <x:c r="L397" s="5" t="str"/>
    </x:row>
    <x:row r="398" ht="36" customHeight="1">
      <x:c r="A398" s="5" t="str">
        <x:v>7.1.3.3</x:v>
      </x:c>
      <x:c r="B398" s="5" t="str">
        <x:v>Logistik</x:v>
      </x:c>
      <x:c r="C398" s="5" t="str">
        <x:v>Liefermengen</x:v>
      </x:c>
      <x:c r="D398" s="5" t="str">
        <x:v>vollständig abgedeckt</x:v>
      </x:c>
      <x:c r="E398" s="5" t="str">
        <x:v>vollständig abgedeckt</x:v>
      </x:c>
      <x:c r="F398" s="5" t="str"/>
      <x:c r="G398" s="5" t="str">
        <x:v>L-0096–L-0101; L-0138–L-0171; L-0265–L-0273; L-0284–L-0286; L-0317</x:v>
      </x:c>
      <x:c r="H398" s="5" t="str"/>
      <x:c r="I398" s="5" t="str">
        <x:v>Analysebewertung erhalten; keine neue Frage allein aus ID-Zahlen ableiten.</x:v>
      </x:c>
      <x:c r="J398" s="5" t="str">
        <x:v>Soll-Ist-Matrix 2026-09-27</x:v>
      </x:c>
      <x:c r="K398" s="5" t="str">
        <x:v>Vorbewertung aus Soll-Ist-Matrix; Kandidaten nicht automatisch Einzelbelege</x:v>
      </x:c>
      <x:c r="L398" s="5" t="str"/>
    </x:row>
    <x:row r="399" ht="36" customHeight="1">
      <x:c r="A399" s="5" t="str">
        <x:v>7.1.3.4</x:v>
      </x:c>
      <x:c r="B399" s="5" t="str">
        <x:v>Logistik</x:v>
      </x:c>
      <x:c r="C399" s="5" t="str">
        <x:v>Lieferzeitpunkt</x:v>
      </x:c>
      <x:c r="D399" s="5" t="str">
        <x:v>vollständig abgedeckt</x:v>
      </x:c>
      <x:c r="E399" s="5" t="str">
        <x:v>vollständig abgedeckt</x:v>
      </x:c>
      <x:c r="F399" s="5" t="str"/>
      <x:c r="G399" s="5" t="str">
        <x:v>L-0096–L-0101; L-0138–L-0171; L-0265–L-0273; L-0284–L-0286; L-0317</x:v>
      </x:c>
      <x:c r="H399" s="5" t="str"/>
      <x:c r="I399" s="5" t="str">
        <x:v>Analysebewertung erhalten; keine neue Frage allein aus ID-Zahlen ableiten.</x:v>
      </x:c>
      <x:c r="J399" s="5" t="str">
        <x:v>Soll-Ist-Matrix 2026-09-27</x:v>
      </x:c>
      <x:c r="K399" s="5" t="str">
        <x:v>Vorbewertung aus Soll-Ist-Matrix; Kandidaten nicht automatisch Einzelbelege</x:v>
      </x:c>
      <x:c r="L399" s="5" t="str"/>
    </x:row>
    <x:row r="400" ht="36" customHeight="1">
      <x:c r="A400" s="5" t="str">
        <x:v>7.1.3.5</x:v>
      </x:c>
      <x:c r="B400" s="5" t="str">
        <x:v>Logistik</x:v>
      </x:c>
      <x:c r="C400" s="5" t="str">
        <x:v>Feinabruf</x:v>
      </x:c>
      <x:c r="D400" s="5" t="str">
        <x:v>vollständig abgedeckt</x:v>
      </x:c>
      <x:c r="E400" s="5" t="str">
        <x:v>vollständig abgedeckt</x:v>
      </x:c>
      <x:c r="F400" s="5" t="str"/>
      <x:c r="G400" s="5" t="str">
        <x:v>L-0096–L-0101; L-0138–L-0171; L-0265–L-0273; L-0284–L-0286; L-0317</x:v>
      </x:c>
      <x:c r="H400" s="5" t="str"/>
      <x:c r="I400" s="5" t="str">
        <x:v>Analysebewertung erhalten; keine neue Frage allein aus ID-Zahlen ableiten.</x:v>
      </x:c>
      <x:c r="J400" s="5" t="str">
        <x:v>Soll-Ist-Matrix 2026-09-27</x:v>
      </x:c>
      <x:c r="K400" s="5" t="str">
        <x:v>Vorbewertung aus Soll-Ist-Matrix; Kandidaten nicht automatisch Einzelbelege</x:v>
      </x:c>
      <x:c r="L400" s="5" t="str">
        <x:v>L-0286</x:v>
      </x:c>
    </x:row>
    <x:row r="401" ht="36" customHeight="1">
      <x:c r="A401" s="5" t="str">
        <x:v>7.2</x:v>
      </x:c>
      <x:c r="B401" s="5" t="str">
        <x:v>Logistik</x:v>
      </x:c>
      <x:c r="C401" s="5" t="str">
        <x:v>Materialwirtschaft und Lagerhaltung</x:v>
      </x:c>
      <x:c r="D401" s="5" t="str">
        <x:v>vollständig abgedeckt</x:v>
      </x:c>
      <x:c r="E401" s="5" t="str">
        <x:v>vollständig abgedeckt</x:v>
      </x:c>
      <x:c r="F401" s="5" t="str"/>
      <x:c r="G401" s="5" t="str">
        <x:v>L-0052–L-0068; L-0070–L-0075; L-0123; L-0125–L-0132; L-0280, L-0281; L-0316; L-0172–L-0198; L-0200–L-0204; L-0287–L-0292; L-0318, L-0319; L-0039–L-0051; L-0069; L-0108–L-0122; L-0124; L-0278, L-0279; L-0037, L-0038; L-0222–L-0236; L-0274; L-0296–L-0302; L-0314, L-0315; L-0320</x:v>
      </x:c>
      <x:c r="H401" s="5" t="str"/>
      <x:c r="I401" s="5" t="str">
        <x:v>Analysebewertung erhalten; keine neue Frage allein aus ID-Zahlen ableiten.</x:v>
      </x:c>
      <x:c r="J401" s="5" t="str">
        <x:v>Soll-Ist-Matrix 2026-09-27</x:v>
      </x:c>
      <x:c r="K401" s="5" t="str">
        <x:v>Vorbewertung aus Soll-Ist-Matrix; Kandidaten nicht automatisch Einzelbelege</x:v>
      </x:c>
      <x:c r="L401" s="5" t="str"/>
    </x:row>
    <x:row r="402" ht="36" customHeight="1">
      <x:c r="A402" s="5" t="str">
        <x:v>7.2.1</x:v>
      </x:c>
      <x:c r="B402" s="5" t="str">
        <x:v>Logistik</x:v>
      </x:c>
      <x:c r="C402" s="5" t="str">
        <x:v>Materialwirtschaft</x:v>
      </x:c>
      <x:c r="D402" s="5" t="str">
        <x:v>vollständig abgedeckt</x:v>
      </x:c>
      <x:c r="E402" s="5" t="str">
        <x:v>vollständig abgedeckt</x:v>
      </x:c>
      <x:c r="F402" s="5" t="str"/>
      <x:c r="G402" s="5" t="str">
        <x:v>L-0052–L-0068; L-0070–L-0075; L-0123; L-0125–L-0132; L-0280, L-0281; L-0316; L-0172–L-0198; L-0200–L-0204; L-0287–L-0292; L-0318, L-0319; L-0039–L-0051; L-0069; L-0108–L-0122; L-0124; L-0278, L-0279</x:v>
      </x:c>
      <x:c r="H402" s="5" t="str"/>
      <x:c r="I402" s="5" t="str">
        <x:v>Analysebewertung erhalten; keine neue Frage allein aus ID-Zahlen ableiten.</x:v>
      </x:c>
      <x:c r="J402" s="5" t="str">
        <x:v>Soll-Ist-Matrix 2026-09-27</x:v>
      </x:c>
      <x:c r="K402" s="5" t="str">
        <x:v>Vorbewertung aus Soll-Ist-Matrix; Kandidaten nicht automatisch Einzelbelege</x:v>
      </x:c>
      <x:c r="L402" s="5" t="str">
        <x:v>L-0175; L-0288; L-0289; L-0318</x:v>
      </x:c>
    </x:row>
    <x:row r="403" ht="36" customHeight="1">
      <x:c r="A403" s="5" t="str">
        <x:v>7.2.1.1</x:v>
      </x:c>
      <x:c r="B403" s="5" t="str">
        <x:v>Logistik</x:v>
      </x:c>
      <x:c r="C403" s="5" t="str">
        <x:v>Wareneingang</x:v>
      </x:c>
      <x:c r="D403" s="5" t="str">
        <x:v>vollständig abgedeckt</x:v>
      </x:c>
      <x:c r="E403" s="5" t="str">
        <x:v>vollständig abgedeckt</x:v>
      </x:c>
      <x:c r="F403" s="5" t="str"/>
      <x:c r="G403" s="5" t="str">
        <x:v>L-0052–L-0068; L-0070–L-0075; L-0123; L-0125–L-0132; L-0280, L-0281; L-0316; L-0172–L-0198; L-0200–L-0204; L-0287–L-0292; L-0318, L-0319</x:v>
      </x:c>
      <x:c r="H403" s="5" t="str"/>
      <x:c r="I403" s="5" t="str">
        <x:v>Analysebewertung erhalten; keine neue Frage allein aus ID-Zahlen ableiten.</x:v>
      </x:c>
      <x:c r="J403" s="5" t="str">
        <x:v>Soll-Ist-Matrix 2026-09-27</x:v>
      </x:c>
      <x:c r="K403" s="5" t="str">
        <x:v>Vorbewertung aus Soll-Ist-Matrix; Kandidaten nicht automatisch Einzelbelege</x:v>
      </x:c>
      <x:c r="L403" s="5" t="str"/>
    </x:row>
    <x:row r="404" ht="36" customHeight="1">
      <x:c r="A404" s="5" t="str">
        <x:v>7.2.1.1#1</x:v>
      </x:c>
      <x:c r="B404" s="5" t="str">
        <x:v>Logistik</x:v>
      </x:c>
      <x:c r="C404" s="5" t="str">
        <x:v>Lieferantenbeurteilung</x:v>
      </x:c>
      <x:c r="D404" s="5" t="str">
        <x:v>vollständig abgedeckt</x:v>
      </x:c>
      <x:c r="E404" s="5" t="str">
        <x:v>vollständig abgedeckt</x:v>
      </x:c>
      <x:c r="F404" s="5" t="str"/>
      <x:c r="G404" s="5" t="str">
        <x:v>L-0052–L-0068; L-0070–L-0075; L-0123; L-0125–L-0132; L-0280, L-0281; L-0316</x:v>
      </x:c>
      <x:c r="H404" s="5" t="str"/>
      <x:c r="I404" s="5" t="str">
        <x:v>Analysebewertung erhalten; keine neue Frage allein aus ID-Zahlen ableiten.</x:v>
      </x:c>
      <x:c r="J404" s="5" t="str">
        <x:v>Soll-Ist-Matrix 2026-09-27</x:v>
      </x:c>
      <x:c r="K404" s="5" t="str">
        <x:v>Vorbewertung aus Soll-Ist-Matrix; Kandidaten nicht automatisch Einzelbelege</x:v>
      </x:c>
      <x:c r="L404" s="5" t="str"/>
    </x:row>
    <x:row r="405" ht="36" customHeight="1">
      <x:c r="A405" s="5" t="str">
        <x:v>7.2.1.1#2</x:v>
      </x:c>
      <x:c r="B405" s="5" t="str">
        <x:v>Logistik</x:v>
      </x:c>
      <x:c r="C405" s="5" t="str">
        <x:v>Gestaltung des Wareneingang</x:v>
      </x:c>
      <x:c r="D405" s="5" t="str">
        <x:v>vollständig abgedeckt</x:v>
      </x:c>
      <x:c r="E405" s="5" t="str">
        <x:v>vollständig abgedeckt</x:v>
      </x:c>
      <x:c r="F405" s="5" t="str"/>
      <x:c r="G405" s="5" t="str">
        <x:v>L-0172–L-0198; L-0200–L-0204; L-0287–L-0292; L-0318, L-0319</x:v>
      </x:c>
      <x:c r="H405" s="5" t="str"/>
      <x:c r="I405" s="5" t="str">
        <x:v>Analysebewertung erhalten; keine neue Frage allein aus ID-Zahlen ableiten.</x:v>
      </x:c>
      <x:c r="J405" s="5" t="str">
        <x:v>Soll-Ist-Matrix 2026-09-27</x:v>
      </x:c>
      <x:c r="K405" s="5" t="str">
        <x:v>Vorbewertung aus Soll-Ist-Matrix; Kandidaten nicht automatisch Einzelbelege</x:v>
      </x:c>
      <x:c r="L405" s="5" t="str">
        <x:v>L-0174</x:v>
      </x:c>
    </x:row>
    <x:row r="406" ht="36" customHeight="1">
      <x:c r="A406" s="5" t="str">
        <x:v>7.2.1.1#3</x:v>
      </x:c>
      <x:c r="B406" s="5" t="str">
        <x:v>Logistik</x:v>
      </x:c>
      <x:c r="C406" s="5" t="str">
        <x:v>Ident-, Mengen- und Qualitätsprüfung</x:v>
      </x:c>
      <x:c r="D406" s="5" t="str">
        <x:v>vollständig abgedeckt</x:v>
      </x:c>
      <x:c r="E406" s="5" t="str">
        <x:v>vollständig abgedeckt</x:v>
      </x:c>
      <x:c r="F406" s="5" t="str"/>
      <x:c r="G406" s="5" t="str">
        <x:v>L-0172–L-0198; L-0200–L-0204; L-0287–L-0292; L-0318, L-0319</x:v>
      </x:c>
      <x:c r="H406" s="5" t="str"/>
      <x:c r="I406" s="5" t="str">
        <x:v>Analysebewertung erhalten; keine neue Frage allein aus ID-Zahlen ableiten.</x:v>
      </x:c>
      <x:c r="J406" s="5" t="str">
        <x:v>Soll-Ist-Matrix 2026-09-27</x:v>
      </x:c>
      <x:c r="K406" s="5" t="str">
        <x:v>Vorbewertung aus Soll-Ist-Matrix; Kandidaten nicht automatisch Einzelbelege</x:v>
      </x:c>
      <x:c r="L406" s="5" t="str">
        <x:v>L-0172</x:v>
      </x:c>
    </x:row>
    <x:row r="407" ht="36" customHeight="1">
      <x:c r="A407" s="5" t="str">
        <x:v>7.2.1.1#4</x:v>
      </x:c>
      <x:c r="B407" s="5" t="str">
        <x:v>Logistik</x:v>
      </x:c>
      <x:c r="C407" s="5" t="str">
        <x:v>Einlagerung</x:v>
      </x:c>
      <x:c r="D407" s="5" t="str">
        <x:v>vollständig abgedeckt</x:v>
      </x:c>
      <x:c r="E407" s="5" t="str">
        <x:v>vollständig abgedeckt</x:v>
      </x:c>
      <x:c r="F407" s="5" t="str"/>
      <x:c r="G407" s="5" t="str">
        <x:v>L-0172–L-0198; L-0200–L-0204; L-0287–L-0292; L-0318, L-0319</x:v>
      </x:c>
      <x:c r="H407" s="5" t="str"/>
      <x:c r="I407" s="5" t="str">
        <x:v>Analysebewertung erhalten; keine neue Frage allein aus ID-Zahlen ableiten.</x:v>
      </x:c>
      <x:c r="J407" s="5" t="str">
        <x:v>Soll-Ist-Matrix 2026-09-27</x:v>
      </x:c>
      <x:c r="K407" s="5" t="str">
        <x:v>Vorbewertung aus Soll-Ist-Matrix; Kandidaten nicht automatisch Einzelbelege</x:v>
      </x:c>
      <x:c r="L407" s="5" t="str"/>
    </x:row>
    <x:row r="408" ht="36" customHeight="1">
      <x:c r="A408" s="5" t="str">
        <x:v>7.2.1.2</x:v>
      </x:c>
      <x:c r="B408" s="5" t="str">
        <x:v>Logistik</x:v>
      </x:c>
      <x:c r="C408" s="5" t="str">
        <x:v>Beschaffungscontrolling</x:v>
      </x:c>
      <x:c r="D408" s="5" t="str">
        <x:v>vollständig abgedeckt</x:v>
      </x:c>
      <x:c r="E408" s="5" t="str">
        <x:v>vollständig abgedeckt</x:v>
      </x:c>
      <x:c r="F408" s="5" t="str"/>
      <x:c r="G408" s="5" t="str">
        <x:v>L-0172–L-0198; L-0200–L-0204; L-0287–L-0292; L-0318, L-0319; L-0039–L-0051; L-0069; L-0108–L-0122; L-0124; L-0278, L-0279</x:v>
      </x:c>
      <x:c r="H408" s="5" t="str"/>
      <x:c r="I408" s="5" t="str">
        <x:v>Analysebewertung erhalten; keine neue Frage allein aus ID-Zahlen ableiten.</x:v>
      </x:c>
      <x:c r="J408" s="5" t="str">
        <x:v>Soll-Ist-Matrix 2026-09-27</x:v>
      </x:c>
      <x:c r="K408" s="5" t="str">
        <x:v>Vorbewertung aus Soll-Ist-Matrix; Kandidaten nicht automatisch Einzelbelege</x:v>
      </x:c>
      <x:c r="L408" s="5" t="str"/>
    </x:row>
    <x:row r="409" ht="36" customHeight="1">
      <x:c r="A409" s="5" t="str">
        <x:v>7.2.1.2#1</x:v>
      </x:c>
      <x:c r="B409" s="5" t="str">
        <x:v>Logistik</x:v>
      </x:c>
      <x:c r="C409" s="5" t="str">
        <x:v>Bestellmengenkontrolle</x:v>
      </x:c>
      <x:c r="D409" s="5" t="str">
        <x:v>vollständig abgedeckt</x:v>
      </x:c>
      <x:c r="E409" s="5" t="str">
        <x:v>vollständig abgedeckt</x:v>
      </x:c>
      <x:c r="F409" s="5" t="str"/>
      <x:c r="G409" s="5" t="str">
        <x:v>L-0172–L-0198; L-0200–L-0204; L-0287–L-0292; L-0318, L-0319; L-0039–L-0051; L-0069; L-0108–L-0122; L-0124; L-0278, L-0279</x:v>
      </x:c>
      <x:c r="H409" s="5" t="str"/>
      <x:c r="I409" s="5" t="str">
        <x:v>Analysebewertung erhalten; keine neue Frage allein aus ID-Zahlen ableiten.</x:v>
      </x:c>
      <x:c r="J409" s="5" t="str">
        <x:v>Soll-Ist-Matrix 2026-09-27</x:v>
      </x:c>
      <x:c r="K409" s="5" t="str">
        <x:v>Vorbewertung aus Soll-Ist-Matrix; Kandidaten nicht automatisch Einzelbelege</x:v>
      </x:c>
      <x:c r="L409" s="5" t="str"/>
    </x:row>
    <x:row r="410" ht="36" customHeight="1">
      <x:c r="A410" s="5" t="str">
        <x:v>7.2.1.2#2</x:v>
      </x:c>
      <x:c r="B410" s="5" t="str">
        <x:v>Logistik</x:v>
      </x:c>
      <x:c r="C410" s="5" t="str">
        <x:v>Lieferterminkontrolle</x:v>
      </x:c>
      <x:c r="D410" s="5" t="str">
        <x:v>vollständig abgedeckt</x:v>
      </x:c>
      <x:c r="E410" s="5" t="str">
        <x:v>vollständig abgedeckt</x:v>
      </x:c>
      <x:c r="F410" s="5" t="str"/>
      <x:c r="G410" s="5" t="str">
        <x:v>L-0172–L-0198; L-0200–L-0204; L-0287–L-0292; L-0318, L-0319; L-0039–L-0051; L-0069; L-0108–L-0122; L-0124; L-0278, L-0279</x:v>
      </x:c>
      <x:c r="H410" s="5" t="str"/>
      <x:c r="I410" s="5" t="str">
        <x:v>Analysebewertung erhalten; keine neue Frage allein aus ID-Zahlen ableiten.</x:v>
      </x:c>
      <x:c r="J410" s="5" t="str">
        <x:v>Soll-Ist-Matrix 2026-09-27</x:v>
      </x:c>
      <x:c r="K410" s="5" t="str">
        <x:v>Vorbewertung aus Soll-Ist-Matrix; Kandidaten nicht automatisch Einzelbelege</x:v>
      </x:c>
      <x:c r="L410" s="5" t="str"/>
    </x:row>
    <x:row r="411" ht="36" customHeight="1">
      <x:c r="A411" s="5" t="str">
        <x:v>7.2.1.2#3</x:v>
      </x:c>
      <x:c r="B411" s="5" t="str">
        <x:v>Logistik</x:v>
      </x:c>
      <x:c r="C411" s="5" t="str">
        <x:v>Kostenkontrolle</x:v>
      </x:c>
      <x:c r="D411" s="5" t="str">
        <x:v>vollständig abgedeckt</x:v>
      </x:c>
      <x:c r="E411" s="5" t="str">
        <x:v>vollständig abgedeckt</x:v>
      </x:c>
      <x:c r="F411" s="5" t="str"/>
      <x:c r="G411" s="5" t="str">
        <x:v>L-0172–L-0198; L-0200–L-0204; L-0287–L-0292; L-0318, L-0319; L-0039–L-0051; L-0069; L-0108–L-0122; L-0124; L-0278, L-0279</x:v>
      </x:c>
      <x:c r="H411" s="5" t="str"/>
      <x:c r="I411" s="5" t="str">
        <x:v>Analysebewertung erhalten; keine neue Frage allein aus ID-Zahlen ableiten.</x:v>
      </x:c>
      <x:c r="J411" s="5" t="str">
        <x:v>Soll-Ist-Matrix 2026-09-27</x:v>
      </x:c>
      <x:c r="K411" s="5" t="str">
        <x:v>Vorbewertung aus Soll-Ist-Matrix; Kandidaten nicht automatisch Einzelbelege</x:v>
      </x:c>
      <x:c r="L411" s="5" t="str"/>
    </x:row>
    <x:row r="412" ht="36" customHeight="1">
      <x:c r="A412" s="5" t="str">
        <x:v>7.2.2</x:v>
      </x:c>
      <x:c r="B412" s="5" t="str">
        <x:v>Logistik</x:v>
      </x:c>
      <x:c r="C412" s="5" t="str">
        <x:v>Lagerhaltung</x:v>
      </x:c>
      <x:c r="D412" s="5" t="str">
        <x:v>vollständig abgedeckt</x:v>
      </x:c>
      <x:c r="E412" s="5" t="str">
        <x:v>vollständig abgedeckt</x:v>
      </x:c>
      <x:c r="F412" s="5" t="str"/>
      <x:c r="G412" s="5" t="str">
        <x:v>L-0172–L-0198; L-0200–L-0204; L-0287–L-0292; L-0318, L-0319; L-0037, L-0038; L-0222–L-0236; L-0274; L-0296–L-0302; L-0314, L-0315; L-0320</x:v>
      </x:c>
      <x:c r="H412" s="5" t="str"/>
      <x:c r="I412" s="5" t="str">
        <x:v>Analysebewertung erhalten; keine neue Frage allein aus ID-Zahlen ableiten.</x:v>
      </x:c>
      <x:c r="J412" s="5" t="str">
        <x:v>Soll-Ist-Matrix 2026-09-27</x:v>
      </x:c>
      <x:c r="K412" s="5" t="str">
        <x:v>Vorbewertung aus Soll-Ist-Matrix; Kandidaten nicht automatisch Einzelbelege</x:v>
      </x:c>
      <x:c r="L412" s="5" t="str">
        <x:v>L-0173; L-0176; L-0177; L-0178; L-0179; L-0180; L-0181; L-0182; L-0183; L-0184; L-0186; L-0187; L-0188; L-0190; L-0191; L-0192; L-0193; L-0195; L-0200; L-0201; L-0202; L-0203; L-0204; L-0287; L-0290; L-0292</x:v>
      </x:c>
    </x:row>
    <x:row r="413" ht="36" customHeight="1">
      <x:c r="A413" s="5" t="str">
        <x:v>7.2.2.1</x:v>
      </x:c>
      <x:c r="B413" s="5" t="str">
        <x:v>Logistik</x:v>
      </x:c>
      <x:c r="C413" s="5" t="str">
        <x:v>Lagerung</x:v>
      </x:c>
      <x:c r="D413" s="5" t="str">
        <x:v>vollständig abgedeckt</x:v>
      </x:c>
      <x:c r="E413" s="5" t="str">
        <x:v>vollständig abgedeckt</x:v>
      </x:c>
      <x:c r="F413" s="5" t="str"/>
      <x:c r="G413" s="5" t="str">
        <x:v>L-0172–L-0198; L-0200–L-0204; L-0287–L-0292; L-0318, L-0319; L-0037, L-0038; L-0222–L-0236; L-0274; L-0296–L-0302; L-0314, L-0315; L-0320</x:v>
      </x:c>
      <x:c r="H413" s="5" t="str"/>
      <x:c r="I413" s="5" t="str">
        <x:v>Analysebewertung erhalten; keine neue Frage allein aus ID-Zahlen ableiten.</x:v>
      </x:c>
      <x:c r="J413" s="5" t="str">
        <x:v>Soll-Ist-Matrix 2026-09-27</x:v>
      </x:c>
      <x:c r="K413" s="5" t="str">
        <x:v>Vorbewertung aus Soll-Ist-Matrix; Kandidaten nicht automatisch Einzelbelege</x:v>
      </x:c>
      <x:c r="L413" s="5" t="str">
        <x:v>L-0194</x:v>
      </x:c>
    </x:row>
    <x:row r="414" ht="36" customHeight="1">
      <x:c r="A414" s="5" t="str">
        <x:v>7.2.2.1#1</x:v>
      </x:c>
      <x:c r="B414" s="5" t="str">
        <x:v>Logistik</x:v>
      </x:c>
      <x:c r="C414" s="5" t="str">
        <x:v>Funktionen des Lagers</x:v>
      </x:c>
      <x:c r="D414" s="5" t="str">
        <x:v>vollständig abgedeckt</x:v>
      </x:c>
      <x:c r="E414" s="5" t="str">
        <x:v>vollständig abgedeckt</x:v>
      </x:c>
      <x:c r="F414" s="5" t="str"/>
      <x:c r="G414" s="5" t="str">
        <x:v>L-0172–L-0198; L-0200–L-0204; L-0287–L-0292; L-0318, L-0319; L-0037, L-0038; L-0222–L-0236; L-0274; L-0296–L-0302; L-0314, L-0315; L-0320</x:v>
      </x:c>
      <x:c r="H414" s="5" t="str"/>
      <x:c r="I414" s="5" t="str">
        <x:v>Analysebewertung erhalten; keine neue Frage allein aus ID-Zahlen ableiten.</x:v>
      </x:c>
      <x:c r="J414" s="5" t="str">
        <x:v>Soll-Ist-Matrix 2026-09-27</x:v>
      </x:c>
      <x:c r="K414" s="5" t="str">
        <x:v>Vorbewertung aus Soll-Ist-Matrix; Kandidaten nicht automatisch Einzelbelege</x:v>
      </x:c>
      <x:c r="L414" s="5" t="str">
        <x:v>L-0185; L-0189; L-0197; L-0291</x:v>
      </x:c>
    </x:row>
    <x:row r="415" ht="36" customHeight="1">
      <x:c r="A415" s="5" t="str">
        <x:v>7.2.2.1#2</x:v>
      </x:c>
      <x:c r="B415" s="5" t="str">
        <x:v>Logistik</x:v>
      </x:c>
      <x:c r="C415" s="5" t="str">
        <x:v>Lagerarten</x:v>
      </x:c>
      <x:c r="D415" s="5" t="str">
        <x:v>vollständig abgedeckt</x:v>
      </x:c>
      <x:c r="E415" s="5" t="str">
        <x:v>vollständig abgedeckt</x:v>
      </x:c>
      <x:c r="F415" s="5" t="str"/>
      <x:c r="G415" s="5" t="str">
        <x:v>L-0172–L-0198; L-0200–L-0204; L-0287–L-0292; L-0318, L-0319; L-0037, L-0038; L-0222–L-0236; L-0274; L-0296–L-0302; L-0314, L-0315; L-0320</x:v>
      </x:c>
      <x:c r="H415" s="5" t="str"/>
      <x:c r="I415" s="5" t="str">
        <x:v>Analysebewertung erhalten; keine neue Frage allein aus ID-Zahlen ableiten.</x:v>
      </x:c>
      <x:c r="J415" s="5" t="str">
        <x:v>Soll-Ist-Matrix 2026-09-27</x:v>
      </x:c>
      <x:c r="K415" s="5" t="str">
        <x:v>Vorbewertung aus Soll-Ist-Matrix; Kandidaten nicht automatisch Einzelbelege</x:v>
      </x:c>
      <x:c r="L415" s="5" t="str"/>
    </x:row>
    <x:row r="416" ht="36" customHeight="1">
      <x:c r="A416" s="5" t="str">
        <x:v>7.2.2.1#3</x:v>
      </x:c>
      <x:c r="B416" s="5" t="str">
        <x:v>Logistik</x:v>
      </x:c>
      <x:c r="C416" s="5" t="str">
        <x:v>Lagereinrichtungen</x:v>
      </x:c>
      <x:c r="D416" s="5" t="str">
        <x:v>vollständig abgedeckt</x:v>
      </x:c>
      <x:c r="E416" s="5" t="str">
        <x:v>vollständig abgedeckt</x:v>
      </x:c>
      <x:c r="F416" s="5" t="str"/>
      <x:c r="G416" s="5" t="str">
        <x:v>L-0172–L-0198; L-0200–L-0204; L-0287–L-0292; L-0318, L-0319; L-0037, L-0038; L-0222–L-0236; L-0274; L-0296–L-0302; L-0314, L-0315; L-0320</x:v>
      </x:c>
      <x:c r="H416" s="5" t="str"/>
      <x:c r="I416" s="5" t="str">
        <x:v>Analysebewertung erhalten; keine neue Frage allein aus ID-Zahlen ableiten.</x:v>
      </x:c>
      <x:c r="J416" s="5" t="str">
        <x:v>Soll-Ist-Matrix 2026-09-27</x:v>
      </x:c>
      <x:c r="K416" s="5" t="str">
        <x:v>Vorbewertung aus Soll-Ist-Matrix; Kandidaten nicht automatisch Einzelbelege</x:v>
      </x:c>
      <x:c r="L416" s="5" t="str">
        <x:v>L-0196</x:v>
      </x:c>
    </x:row>
    <x:row r="417" ht="36" customHeight="1">
      <x:c r="A417" s="5" t="str">
        <x:v>7.2.2.1#4</x:v>
      </x:c>
      <x:c r="B417" s="5" t="str">
        <x:v>Logistik</x:v>
      </x:c>
      <x:c r="C417" s="5" t="str">
        <x:v>Eigen- und Fremdlagerung</x:v>
      </x:c>
      <x:c r="D417" s="5" t="str">
        <x:v>vollständig abgedeckt</x:v>
      </x:c>
      <x:c r="E417" s="5" t="str">
        <x:v>vollständig abgedeckt</x:v>
      </x:c>
      <x:c r="F417" s="5" t="str"/>
      <x:c r="G417" s="5" t="str">
        <x:v>L-0172–L-0198; L-0200–L-0204; L-0287–L-0292; L-0318, L-0319; L-0037, L-0038; L-0222–L-0236; L-0274; L-0296–L-0302; L-0314, L-0315; L-0320</x:v>
      </x:c>
      <x:c r="H417" s="5" t="str"/>
      <x:c r="I417" s="5" t="str">
        <x:v>Analysebewertung erhalten; keine neue Frage allein aus ID-Zahlen ableiten.</x:v>
      </x:c>
      <x:c r="J417" s="5" t="str">
        <x:v>Soll-Ist-Matrix 2026-09-27</x:v>
      </x:c>
      <x:c r="K417" s="5" t="str">
        <x:v>Vorbewertung aus Soll-Ist-Matrix; Kandidaten nicht automatisch Einzelbelege</x:v>
      </x:c>
      <x:c r="L417" s="5" t="str">
        <x:v>L-0319</x:v>
      </x:c>
    </x:row>
    <x:row r="418" ht="36" customHeight="1">
      <x:c r="A418" s="5" t="str">
        <x:v>7.2.2.2</x:v>
      </x:c>
      <x:c r="B418" s="5" t="str">
        <x:v>Logistik</x:v>
      </x:c>
      <x:c r="C418" s="5" t="str">
        <x:v>Kommissionierung</x:v>
      </x:c>
      <x:c r="D418" s="5" t="str">
        <x:v>vollständig abgedeckt</x:v>
      </x:c>
      <x:c r="E418" s="5" t="str">
        <x:v>vollständig abgedeckt</x:v>
      </x:c>
      <x:c r="F418" s="5" t="str"/>
      <x:c r="G418" s="5" t="str">
        <x:v>L-0172–L-0198; L-0200–L-0204; L-0287–L-0292; L-0318, L-0319; L-0037, L-0038; L-0222–L-0236; L-0274; L-0296–L-0302; L-0314, L-0315; L-0320</x:v>
      </x:c>
      <x:c r="H418" s="5" t="str"/>
      <x:c r="I418" s="5" t="str">
        <x:v>Analysebewertung erhalten; keine neue Frage allein aus ID-Zahlen ableiten.</x:v>
      </x:c>
      <x:c r="J418" s="5" t="str">
        <x:v>Soll-Ist-Matrix 2026-09-27</x:v>
      </x:c>
      <x:c r="K418" s="5" t="str">
        <x:v>Vorbewertung aus Soll-Ist-Matrix; Kandidaten nicht automatisch Einzelbelege</x:v>
      </x:c>
      <x:c r="L418" s="5" t="str">
        <x:v>L-0198</x:v>
      </x:c>
    </x:row>
    <x:row r="419" ht="36" customHeight="1">
      <x:c r="A419" s="5" t="str">
        <x:v>7.2.2.2#1</x:v>
      </x:c>
      <x:c r="B419" s="5" t="str">
        <x:v>Logistik</x:v>
      </x:c>
      <x:c r="C419" s="5" t="str">
        <x:v>Elemente der Kommissionierung</x:v>
      </x:c>
      <x:c r="D419" s="5" t="str">
        <x:v>vollständig abgedeckt</x:v>
      </x:c>
      <x:c r="E419" s="5" t="str">
        <x:v>vollständig abgedeckt</x:v>
      </x:c>
      <x:c r="F419" s="5" t="str"/>
      <x:c r="G419" s="5" t="str">
        <x:v>L-0172–L-0198; L-0200–L-0204; L-0287–L-0292; L-0318, L-0319; L-0037, L-0038; L-0222–L-0236; L-0274; L-0296–L-0302; L-0314, L-0315; L-0320</x:v>
      </x:c>
      <x:c r="H419" s="5" t="str"/>
      <x:c r="I419" s="5" t="str">
        <x:v>Analysebewertung erhalten; keine neue Frage allein aus ID-Zahlen ableiten.</x:v>
      </x:c>
      <x:c r="J419" s="5" t="str">
        <x:v>Soll-Ist-Matrix 2026-09-27</x:v>
      </x:c>
      <x:c r="K419" s="5" t="str">
        <x:v>Vorbewertung aus Soll-Ist-Matrix; Kandidaten nicht automatisch Einzelbelege</x:v>
      </x:c>
      <x:c r="L419" s="5" t="str"/>
    </x:row>
    <x:row r="420" ht="36" customHeight="1">
      <x:c r="A420" s="5" t="str">
        <x:v>7.2.2.2#2</x:v>
      </x:c>
      <x:c r="B420" s="5" t="str">
        <x:v>Logistik</x:v>
      </x:c>
      <x:c r="C420" s="5" t="str">
        <x:v>Gestaltung der Kommissionierung</x:v>
      </x:c>
      <x:c r="D420" s="5" t="str">
        <x:v>vollständig abgedeckt</x:v>
      </x:c>
      <x:c r="E420" s="5" t="str">
        <x:v>vollständig abgedeckt</x:v>
      </x:c>
      <x:c r="F420" s="5" t="str"/>
      <x:c r="G420" s="5" t="str">
        <x:v>L-0172–L-0198; L-0200–L-0204; L-0287–L-0292; L-0318, L-0319; L-0037, L-0038; L-0222–L-0236; L-0274; L-0296–L-0302; L-0314, L-0315; L-0320</x:v>
      </x:c>
      <x:c r="H420" s="5" t="str"/>
      <x:c r="I420" s="5" t="str">
        <x:v>Analysebewertung erhalten; keine neue Frage allein aus ID-Zahlen ableiten.</x:v>
      </x:c>
      <x:c r="J420" s="5" t="str">
        <x:v>Soll-Ist-Matrix 2026-09-27</x:v>
      </x:c>
      <x:c r="K420" s="5" t="str">
        <x:v>Vorbewertung aus Soll-Ist-Matrix; Kandidaten nicht automatisch Einzelbelege</x:v>
      </x:c>
      <x:c r="L420" s="5" t="str"/>
    </x:row>
    <x:row r="421" ht="36" customHeight="1">
      <x:c r="A421" s="5" t="str">
        <x:v>7.3</x:v>
      </x:c>
      <x:c r="B421" s="5" t="str">
        <x:v>Logistik</x:v>
      </x:c>
      <x:c r="C421" s="5" t="str">
        <x:v>Wertschöpfungskette</x:v>
      </x:c>
      <x:c r="D421" s="5" t="str">
        <x:v>vollständig abgedeckt</x:v>
      </x:c>
      <x:c r="E421" s="5" t="str">
        <x:v>vollständig abgedeckt</x:v>
      </x:c>
      <x:c r="F421" s="5" t="str"/>
      <x:c r="G421" s="5" t="str">
        <x:v>L-0206–L-0209; L-0212–L-0220; L-0293–L-0295; L-0037, L-0038; L-0222–L-0236; L-0274; L-0296–L-0302; L-0314, L-0315; L-0320; L-0205; L-0237–L-0247; L-0264; L-0275; L-0303–L-0306</x:v>
      </x:c>
      <x:c r="H421" s="5" t="str"/>
      <x:c r="I421" s="5" t="str">
        <x:v>Analysebewertung erhalten; keine neue Frage allein aus ID-Zahlen ableiten.</x:v>
      </x:c>
      <x:c r="J421" s="5" t="str">
        <x:v>Soll-Ist-Matrix 2026-09-27</x:v>
      </x:c>
      <x:c r="K421" s="5" t="str">
        <x:v>Vorbewertung aus Soll-Ist-Matrix; Kandidaten nicht automatisch Einzelbelege</x:v>
      </x:c>
      <x:c r="L421" s="5" t="str"/>
    </x:row>
    <x:row r="422" ht="36" customHeight="1">
      <x:c r="A422" s="5" t="str">
        <x:v>7.3.1</x:v>
      </x:c>
      <x:c r="B422" s="5" t="str">
        <x:v>Logistik</x:v>
      </x:c>
      <x:c r="C422" s="5" t="str">
        <x:v>Fertigungsprinzipien</x:v>
      </x:c>
      <x:c r="D422" s="5" t="str">
        <x:v>vollständig abgedeckt</x:v>
      </x:c>
      <x:c r="E422" s="5" t="str">
        <x:v>vollständig abgedeckt</x:v>
      </x:c>
      <x:c r="F422" s="5" t="str"/>
      <x:c r="G422" s="5" t="str">
        <x:v>L-0206–L-0209; L-0212–L-0220; L-0293–L-0295</x:v>
      </x:c>
      <x:c r="H422" s="5" t="str"/>
      <x:c r="I422" s="5" t="str">
        <x:v>Analysebewertung erhalten; keine neue Frage allein aus ID-Zahlen ableiten.</x:v>
      </x:c>
      <x:c r="J422" s="5" t="str">
        <x:v>Soll-Ist-Matrix 2026-09-27</x:v>
      </x:c>
      <x:c r="K422" s="5" t="str">
        <x:v>Vorbewertung aus Soll-Ist-Matrix; Kandidaten nicht automatisch Einzelbelege</x:v>
      </x:c>
      <x:c r="L422" s="5" t="str">
        <x:v>L-0206; L-0207; L-0212; L-0213; L-0214; L-0215; L-0216; L-0217; L-0218; L-0219; L-0293; L-0294</x:v>
      </x:c>
    </x:row>
    <x:row r="423" ht="36" customHeight="1">
      <x:c r="A423" s="5" t="str">
        <x:v>7.3.1.1</x:v>
      </x:c>
      <x:c r="B423" s="5" t="str">
        <x:v>Logistik</x:v>
      </x:c>
      <x:c r="C423" s="5" t="str">
        <x:v>Werkstattfertigung</x:v>
      </x:c>
      <x:c r="D423" s="5" t="str">
        <x:v>vollständig abgedeckt</x:v>
      </x:c>
      <x:c r="E423" s="5" t="str">
        <x:v>vollständig abgedeckt</x:v>
      </x:c>
      <x:c r="F423" s="5" t="str"/>
      <x:c r="G423" s="5" t="str">
        <x:v>L-0206–L-0209; L-0212–L-0220; L-0293–L-0295</x:v>
      </x:c>
      <x:c r="H423" s="5" t="str"/>
      <x:c r="I423" s="5" t="str">
        <x:v>Analysebewertung erhalten; keine neue Frage allein aus ID-Zahlen ableiten.</x:v>
      </x:c>
      <x:c r="J423" s="5" t="str">
        <x:v>Soll-Ist-Matrix 2026-09-27</x:v>
      </x:c>
      <x:c r="K423" s="5" t="str">
        <x:v>Vorbewertung aus Soll-Ist-Matrix; Kandidaten nicht automatisch Einzelbelege</x:v>
      </x:c>
      <x:c r="L423" s="5" t="str">
        <x:v>L-0208</x:v>
      </x:c>
    </x:row>
    <x:row r="424" ht="36" customHeight="1">
      <x:c r="A424" s="5" t="str">
        <x:v>7.3.1.2</x:v>
      </x:c>
      <x:c r="B424" s="5" t="str">
        <x:v>Logistik</x:v>
      </x:c>
      <x:c r="C424" s="5" t="str">
        <x:v>Fertigungsinseln</x:v>
      </x:c>
      <x:c r="D424" s="5" t="str">
        <x:v>vollständig abgedeckt</x:v>
      </x:c>
      <x:c r="E424" s="5" t="str">
        <x:v>vollständig abgedeckt</x:v>
      </x:c>
      <x:c r="F424" s="5" t="str"/>
      <x:c r="G424" s="5" t="str">
        <x:v>L-0206–L-0209; L-0212–L-0220; L-0293–L-0295</x:v>
      </x:c>
      <x:c r="H424" s="5" t="str"/>
      <x:c r="I424" s="5" t="str">
        <x:v>Analysebewertung erhalten; keine neue Frage allein aus ID-Zahlen ableiten.</x:v>
      </x:c>
      <x:c r="J424" s="5" t="str">
        <x:v>Soll-Ist-Matrix 2026-09-27</x:v>
      </x:c>
      <x:c r="K424" s="5" t="str">
        <x:v>Vorbewertung aus Soll-Ist-Matrix; Kandidaten nicht automatisch Einzelbelege</x:v>
      </x:c>
      <x:c r="L424" s="5" t="str"/>
    </x:row>
    <x:row r="425" ht="36" customHeight="1">
      <x:c r="A425" s="5" t="str">
        <x:v>7.3.1.3</x:v>
      </x:c>
      <x:c r="B425" s="5" t="str">
        <x:v>Logistik</x:v>
      </x:c>
      <x:c r="C425" s="5" t="str">
        <x:v>Fließfertigung</x:v>
      </x:c>
      <x:c r="D425" s="5" t="str">
        <x:v>vollständig abgedeckt</x:v>
      </x:c>
      <x:c r="E425" s="5" t="str">
        <x:v>vollständig abgedeckt</x:v>
      </x:c>
      <x:c r="F425" s="5" t="str"/>
      <x:c r="G425" s="5" t="str">
        <x:v>L-0206–L-0209; L-0212–L-0220; L-0293–L-0295</x:v>
      </x:c>
      <x:c r="H425" s="5" t="str"/>
      <x:c r="I425" s="5" t="str">
        <x:v>Analysebewertung erhalten; keine neue Frage allein aus ID-Zahlen ableiten.</x:v>
      </x:c>
      <x:c r="J425" s="5" t="str">
        <x:v>Soll-Ist-Matrix 2026-09-27</x:v>
      </x:c>
      <x:c r="K425" s="5" t="str">
        <x:v>Vorbewertung aus Soll-Ist-Matrix; Kandidaten nicht automatisch Einzelbelege</x:v>
      </x:c>
      <x:c r="L425" s="5" t="str">
        <x:v>L-0209</x:v>
      </x:c>
    </x:row>
    <x:row r="426" ht="36" customHeight="1">
      <x:c r="A426" s="5" t="str">
        <x:v>7.3.2</x:v>
      </x:c>
      <x:c r="B426" s="5" t="str">
        <x:v>Logistik</x:v>
      </x:c>
      <x:c r="C426" s="5" t="str">
        <x:v>Transportsysteme</x:v>
      </x:c>
      <x:c r="D426" s="5" t="str">
        <x:v>vollständig abgedeckt</x:v>
      </x:c>
      <x:c r="E426" s="5" t="str">
        <x:v>vollständig abgedeckt</x:v>
      </x:c>
      <x:c r="F426" s="5" t="str"/>
      <x:c r="G426" s="5" t="str">
        <x:v>L-0206–L-0209; L-0212–L-0220; L-0293–L-0295; L-0037, L-0038; L-0222–L-0236; L-0274; L-0296–L-0302; L-0314, L-0315; L-0320</x:v>
      </x:c>
      <x:c r="H426" s="5" t="str"/>
      <x:c r="I426" s="5" t="str">
        <x:v>Analysebewertung erhalten; keine neue Frage allein aus ID-Zahlen ableiten.</x:v>
      </x:c>
      <x:c r="J426" s="5" t="str">
        <x:v>Soll-Ist-Matrix 2026-09-27</x:v>
      </x:c>
      <x:c r="K426" s="5" t="str">
        <x:v>Vorbewertung aus Soll-Ist-Matrix; Kandidaten nicht automatisch Einzelbelege</x:v>
      </x:c>
      <x:c r="L426" s="5" t="str"/>
    </x:row>
    <x:row r="427" ht="36" customHeight="1">
      <x:c r="A427" s="5" t="str">
        <x:v>7.3.2.1</x:v>
      </x:c>
      <x:c r="B427" s="5" t="str">
        <x:v>Logistik</x:v>
      </x:c>
      <x:c r="C427" s="5" t="str">
        <x:v>Intern</x:v>
      </x:c>
      <x:c r="D427" s="5" t="str">
        <x:v>vollständig abgedeckt</x:v>
      </x:c>
      <x:c r="E427" s="5" t="str">
        <x:v>vollständig abgedeckt</x:v>
      </x:c>
      <x:c r="F427" s="5" t="str"/>
      <x:c r="G427" s="5" t="str">
        <x:v>L-0206–L-0209; L-0212–L-0220; L-0293–L-0295</x:v>
      </x:c>
      <x:c r="H427" s="5" t="str"/>
      <x:c r="I427" s="5" t="str">
        <x:v>Analysebewertung erhalten; keine neue Frage allein aus ID-Zahlen ableiten.</x:v>
      </x:c>
      <x:c r="J427" s="5" t="str">
        <x:v>Soll-Ist-Matrix 2026-09-27</x:v>
      </x:c>
      <x:c r="K427" s="5" t="str">
        <x:v>Vorbewertung aus Soll-Ist-Matrix; Kandidaten nicht automatisch Einzelbelege</x:v>
      </x:c>
      <x:c r="L427" s="5" t="str">
        <x:v>L-0220; L-0295</x:v>
      </x:c>
    </x:row>
    <x:row r="428" ht="36" customHeight="1">
      <x:c r="A428" s="5" t="str">
        <x:v>7.3.2.1#1</x:v>
      </x:c>
      <x:c r="B428" s="5" t="str">
        <x:v>Logistik</x:v>
      </x:c>
      <x:c r="C428" s="5" t="str">
        <x:v>Auswahlkriterien</x:v>
      </x:c>
      <x:c r="D428" s="5" t="str">
        <x:v>vollständig abgedeckt</x:v>
      </x:c>
      <x:c r="E428" s="5" t="str">
        <x:v>vollständig abgedeckt</x:v>
      </x:c>
      <x:c r="F428" s="5" t="str"/>
      <x:c r="G428" s="5" t="str">
        <x:v>L-0206–L-0209; L-0212–L-0220; L-0293–L-0295</x:v>
      </x:c>
      <x:c r="H428" s="5" t="str"/>
      <x:c r="I428" s="5" t="str">
        <x:v>Analysebewertung erhalten; keine neue Frage allein aus ID-Zahlen ableiten.</x:v>
      </x:c>
      <x:c r="J428" s="5" t="str">
        <x:v>Soll-Ist-Matrix 2026-09-27</x:v>
      </x:c>
      <x:c r="K428" s="5" t="str">
        <x:v>Vorbewertung aus Soll-Ist-Matrix; Kandidaten nicht automatisch Einzelbelege</x:v>
      </x:c>
      <x:c r="L428" s="5" t="str"/>
    </x:row>
    <x:row r="429" ht="36" customHeight="1">
      <x:c r="A429" s="5" t="str">
        <x:v>7.3.2.1#2</x:v>
      </x:c>
      <x:c r="B429" s="5" t="str">
        <x:v>Logistik</x:v>
      </x:c>
      <x:c r="C429" s="5" t="str">
        <x:v>Zuordnung</x:v>
      </x:c>
      <x:c r="D429" s="5" t="str">
        <x:v>vollständig abgedeckt</x:v>
      </x:c>
      <x:c r="E429" s="5" t="str">
        <x:v>vollständig abgedeckt</x:v>
      </x:c>
      <x:c r="F429" s="5" t="str"/>
      <x:c r="G429" s="5" t="str">
        <x:v>L-0206–L-0209; L-0212–L-0220; L-0293–L-0295</x:v>
      </x:c>
      <x:c r="H429" s="5" t="str"/>
      <x:c r="I429" s="5" t="str">
        <x:v>Analysebewertung erhalten; keine neue Frage allein aus ID-Zahlen ableiten.</x:v>
      </x:c>
      <x:c r="J429" s="5" t="str">
        <x:v>Soll-Ist-Matrix 2026-09-27</x:v>
      </x:c>
      <x:c r="K429" s="5" t="str">
        <x:v>Vorbewertung aus Soll-Ist-Matrix; Kandidaten nicht automatisch Einzelbelege</x:v>
      </x:c>
      <x:c r="L429" s="5" t="str"/>
    </x:row>
    <x:row r="430" ht="36" customHeight="1">
      <x:c r="A430" s="5" t="str">
        <x:v>7.3.2.2</x:v>
      </x:c>
      <x:c r="B430" s="5" t="str">
        <x:v>Logistik</x:v>
      </x:c>
      <x:c r="C430" s="5" t="str">
        <x:v>Extern</x:v>
      </x:c>
      <x:c r="D430" s="5" t="str">
        <x:v>vollständig abgedeckt</x:v>
      </x:c>
      <x:c r="E430" s="5" t="str">
        <x:v>vollständig abgedeckt</x:v>
      </x:c>
      <x:c r="F430" s="5" t="str"/>
      <x:c r="G430" s="5" t="str">
        <x:v>L-0037, L-0038; L-0222–L-0236; L-0274; L-0296–L-0302; L-0314, L-0315; L-0320</x:v>
      </x:c>
      <x:c r="H430" s="5" t="str"/>
      <x:c r="I430" s="5" t="str">
        <x:v>Analysebewertung erhalten; keine neue Frage allein aus ID-Zahlen ableiten.</x:v>
      </x:c>
      <x:c r="J430" s="5" t="str">
        <x:v>Soll-Ist-Matrix 2026-09-27</x:v>
      </x:c>
      <x:c r="K430" s="5" t="str">
        <x:v>Vorbewertung aus Soll-Ist-Matrix; Kandidaten nicht automatisch Einzelbelege</x:v>
      </x:c>
      <x:c r="L430" s="5" t="str">
        <x:v>L-0037; L-0038; L-0222; L-0223; L-0224; L-0225; L-0226; L-0231; L-0232; L-0233; L-0234; L-0236; L-0296; L-0297; L-0299; L-0301; L-0302; L-0314; L-0315; L-0320</x:v>
      </x:c>
    </x:row>
    <x:row r="431" ht="36" customHeight="1">
      <x:c r="A431" s="5" t="str">
        <x:v>7.3.2.2#1</x:v>
      </x:c>
      <x:c r="B431" s="5" t="str">
        <x:v>Logistik</x:v>
      </x:c>
      <x:c r="C431" s="5" t="str">
        <x:v>Auswahlkriterien</x:v>
      </x:c>
      <x:c r="D431" s="5" t="str">
        <x:v>vollständig abgedeckt</x:v>
      </x:c>
      <x:c r="E431" s="5" t="str">
        <x:v>vollständig abgedeckt</x:v>
      </x:c>
      <x:c r="F431" s="5" t="str"/>
      <x:c r="G431" s="5" t="str">
        <x:v>L-0037, L-0038; L-0222–L-0236; L-0274; L-0296–L-0302; L-0314, L-0315; L-0320</x:v>
      </x:c>
      <x:c r="H431" s="5" t="str"/>
      <x:c r="I431" s="5" t="str">
        <x:v>Analysebewertung erhalten; keine neue Frage allein aus ID-Zahlen ableiten.</x:v>
      </x:c>
      <x:c r="J431" s="5" t="str">
        <x:v>Soll-Ist-Matrix 2026-09-27</x:v>
      </x:c>
      <x:c r="K431" s="5" t="str">
        <x:v>Vorbewertung aus Soll-Ist-Matrix; Kandidaten nicht automatisch Einzelbelege</x:v>
      </x:c>
      <x:c r="L431" s="5" t="str"/>
    </x:row>
    <x:row r="432" ht="36" customHeight="1">
      <x:c r="A432" s="5" t="str">
        <x:v>7.3.2.2#2</x:v>
      </x:c>
      <x:c r="B432" s="5" t="str">
        <x:v>Logistik</x:v>
      </x:c>
      <x:c r="C432" s="5" t="str">
        <x:v>Beurteilung</x:v>
      </x:c>
      <x:c r="D432" s="5" t="str">
        <x:v>vollständig abgedeckt</x:v>
      </x:c>
      <x:c r="E432" s="5" t="str">
        <x:v>vollständig abgedeckt</x:v>
      </x:c>
      <x:c r="F432" s="5" t="str"/>
      <x:c r="G432" s="5" t="str">
        <x:v>L-0037, L-0038; L-0222–L-0236; L-0274; L-0296–L-0302; L-0314, L-0315; L-0320</x:v>
      </x:c>
      <x:c r="H432" s="5" t="str"/>
      <x:c r="I432" s="5" t="str">
        <x:v>Analysebewertung erhalten; keine neue Frage allein aus ID-Zahlen ableiten.</x:v>
      </x:c>
      <x:c r="J432" s="5" t="str">
        <x:v>Soll-Ist-Matrix 2026-09-27</x:v>
      </x:c>
      <x:c r="K432" s="5" t="str">
        <x:v>Vorbewertung aus Soll-Ist-Matrix; Kandidaten nicht automatisch Einzelbelege</x:v>
      </x:c>
      <x:c r="L432" s="5" t="str"/>
    </x:row>
    <x:row r="433" ht="36" customHeight="1">
      <x:c r="A433" s="5" t="str">
        <x:v>7.3.3</x:v>
      </x:c>
      <x:c r="B433" s="5" t="str">
        <x:v>Logistik</x:v>
      </x:c>
      <x:c r="C433" s="5" t="str">
        <x:v>Verpackung</x:v>
      </x:c>
      <x:c r="D433" s="5" t="str">
        <x:v>vollständig abgedeckt</x:v>
      </x:c>
      <x:c r="E433" s="5" t="str">
        <x:v>vollständig abgedeckt</x:v>
      </x:c>
      <x:c r="F433" s="5" t="str"/>
      <x:c r="G433" s="5" t="str">
        <x:v>L-0037, L-0038; L-0222–L-0236; L-0274; L-0296–L-0302; L-0314, L-0315; L-0320</x:v>
      </x:c>
      <x:c r="H433" s="5" t="str"/>
      <x:c r="I433" s="5" t="str">
        <x:v>Analysebewertung erhalten; keine neue Frage allein aus ID-Zahlen ableiten.</x:v>
      </x:c>
      <x:c r="J433" s="5" t="str">
        <x:v>Soll-Ist-Matrix 2026-09-27</x:v>
      </x:c>
      <x:c r="K433" s="5" t="str">
        <x:v>Vorbewertung aus Soll-Ist-Matrix; Kandidaten nicht automatisch Einzelbelege</x:v>
      </x:c>
      <x:c r="L433" s="5" t="str">
        <x:v>L-0227; L-0228; L-0229; L-0230; L-0240</x:v>
      </x:c>
    </x:row>
    <x:row r="434" ht="36" customHeight="1">
      <x:c r="A434" s="5" t="str">
        <x:v>7.3.3#1</x:v>
      </x:c>
      <x:c r="B434" s="5" t="str">
        <x:v>Logistik</x:v>
      </x:c>
      <x:c r="C434" s="5" t="str">
        <x:v>Funktionen</x:v>
      </x:c>
      <x:c r="D434" s="5" t="str">
        <x:v>vollständig abgedeckt</x:v>
      </x:c>
      <x:c r="E434" s="5" t="str">
        <x:v>vollständig abgedeckt</x:v>
      </x:c>
      <x:c r="F434" s="5" t="str"/>
      <x:c r="G434" s="5" t="str">
        <x:v>L-0037, L-0038; L-0222–L-0236; L-0274; L-0296–L-0302; L-0314, L-0315; L-0320</x:v>
      </x:c>
      <x:c r="H434" s="5" t="str"/>
      <x:c r="I434" s="5" t="str">
        <x:v>Analysebewertung erhalten; keine neue Frage allein aus ID-Zahlen ableiten.</x:v>
      </x:c>
      <x:c r="J434" s="5" t="str">
        <x:v>Soll-Ist-Matrix 2026-09-27</x:v>
      </x:c>
      <x:c r="K434" s="5" t="str">
        <x:v>Vorbewertung aus Soll-Ist-Matrix; Kandidaten nicht automatisch Einzelbelege</x:v>
      </x:c>
      <x:c r="L434" s="5" t="str"/>
    </x:row>
    <x:row r="435" ht="36" customHeight="1">
      <x:c r="A435" s="5" t="str">
        <x:v>7.3.3#2</x:v>
      </x:c>
      <x:c r="B435" s="5" t="str">
        <x:v>Logistik</x:v>
      </x:c>
      <x:c r="C435" s="5" t="str">
        <x:v>Arten</x:v>
      </x:c>
      <x:c r="D435" s="5" t="str">
        <x:v>vollständig abgedeckt</x:v>
      </x:c>
      <x:c r="E435" s="5" t="str">
        <x:v>vollständig abgedeckt</x:v>
      </x:c>
      <x:c r="F435" s="5" t="str"/>
      <x:c r="G435" s="5" t="str">
        <x:v>L-0037, L-0038; L-0222–L-0236; L-0274; L-0296–L-0302; L-0314, L-0315; L-0320</x:v>
      </x:c>
      <x:c r="H435" s="5" t="str"/>
      <x:c r="I435" s="5" t="str">
        <x:v>Analysebewertung erhalten; keine neue Frage allein aus ID-Zahlen ableiten.</x:v>
      </x:c>
      <x:c r="J435" s="5" t="str">
        <x:v>Soll-Ist-Matrix 2026-09-27</x:v>
      </x:c>
      <x:c r="K435" s="5" t="str">
        <x:v>Vorbewertung aus Soll-Ist-Matrix; Kandidaten nicht automatisch Einzelbelege</x:v>
      </x:c>
      <x:c r="L435" s="5" t="str"/>
    </x:row>
    <x:row r="436" ht="36" customHeight="1">
      <x:c r="A436" s="5" t="str">
        <x:v>7.3.3#3</x:v>
      </x:c>
      <x:c r="B436" s="5" t="str">
        <x:v>Logistik</x:v>
      </x:c>
      <x:c r="C436" s="5" t="str">
        <x:v>Einsatz</x:v>
      </x:c>
      <x:c r="D436" s="5" t="str">
        <x:v>vollständig abgedeckt</x:v>
      </x:c>
      <x:c r="E436" s="5" t="str">
        <x:v>vollständig abgedeckt</x:v>
      </x:c>
      <x:c r="F436" s="5" t="str"/>
      <x:c r="G436" s="5" t="str">
        <x:v>L-0037, L-0038; L-0222–L-0236; L-0274; L-0296–L-0302; L-0314, L-0315; L-0320</x:v>
      </x:c>
      <x:c r="H436" s="5" t="str"/>
      <x:c r="I436" s="5" t="str">
        <x:v>Analysebewertung erhalten; keine neue Frage allein aus ID-Zahlen ableiten.</x:v>
      </x:c>
      <x:c r="J436" s="5" t="str">
        <x:v>Soll-Ist-Matrix 2026-09-27</x:v>
      </x:c>
      <x:c r="K436" s="5" t="str">
        <x:v>Vorbewertung aus Soll-Ist-Matrix; Kandidaten nicht automatisch Einzelbelege</x:v>
      </x:c>
      <x:c r="L436" s="5" t="str"/>
    </x:row>
    <x:row r="437" ht="36" customHeight="1">
      <x:c r="A437" s="5" t="str">
        <x:v>7.3.4</x:v>
      </x:c>
      <x:c r="B437" s="5" t="str">
        <x:v>Logistik</x:v>
      </x:c>
      <x:c r="C437" s="5" t="str">
        <x:v>Warenausgang</x:v>
      </x:c>
      <x:c r="D437" s="5" t="str">
        <x:v>vollständig abgedeckt</x:v>
      </x:c>
      <x:c r="E437" s="5" t="str">
        <x:v>vollständig abgedeckt</x:v>
      </x:c>
      <x:c r="F437" s="5" t="str"/>
      <x:c r="G437" s="5" t="str">
        <x:v>L-0037, L-0038; L-0222–L-0236; L-0274; L-0296–L-0302; L-0314, L-0315; L-0320</x:v>
      </x:c>
      <x:c r="H437" s="5" t="str"/>
      <x:c r="I437" s="5" t="str">
        <x:v>Analysebewertung erhalten; keine neue Frage allein aus ID-Zahlen ableiten.</x:v>
      </x:c>
      <x:c r="J437" s="5" t="str">
        <x:v>Soll-Ist-Matrix 2026-09-27</x:v>
      </x:c>
      <x:c r="K437" s="5" t="str">
        <x:v>Vorbewertung aus Soll-Ist-Matrix; Kandidaten nicht automatisch Einzelbelege</x:v>
      </x:c>
      <x:c r="L437" s="5" t="str">
        <x:v>L-0298</x:v>
      </x:c>
    </x:row>
    <x:row r="438" ht="36" customHeight="1">
      <x:c r="A438" s="5" t="str">
        <x:v>7.3.5</x:v>
      </x:c>
      <x:c r="B438" s="5" t="str">
        <x:v>Logistik</x:v>
      </x:c>
      <x:c r="C438" s="5" t="str">
        <x:v>Verladung</x:v>
      </x:c>
      <x:c r="D438" s="5" t="str">
        <x:v>vollständig abgedeckt</x:v>
      </x:c>
      <x:c r="E438" s="5" t="str">
        <x:v>vollständig abgedeckt</x:v>
      </x:c>
      <x:c r="F438" s="5" t="str"/>
      <x:c r="G438" s="5" t="str">
        <x:v>L-0037, L-0038; L-0222–L-0236; L-0274; L-0296–L-0302; L-0314, L-0315; L-0320</x:v>
      </x:c>
      <x:c r="H438" s="5" t="str"/>
      <x:c r="I438" s="5" t="str">
        <x:v>Analysebewertung erhalten; keine neue Frage allein aus ID-Zahlen ableiten.</x:v>
      </x:c>
      <x:c r="J438" s="5" t="str">
        <x:v>Soll-Ist-Matrix 2026-09-27</x:v>
      </x:c>
      <x:c r="K438" s="5" t="str">
        <x:v>Vorbewertung aus Soll-Ist-Matrix; Kandidaten nicht automatisch Einzelbelege</x:v>
      </x:c>
      <x:c r="L438" s="5" t="str">
        <x:v>L-0235; L-0274; L-0300</x:v>
      </x:c>
    </x:row>
    <x:row r="439" ht="36" customHeight="1">
      <x:c r="A439" s="5" t="str">
        <x:v>7.3.6</x:v>
      </x:c>
      <x:c r="B439" s="5" t="str">
        <x:v>Logistik</x:v>
      </x:c>
      <x:c r="C439" s="5" t="str">
        <x:v>Entsorgung</x:v>
      </x:c>
      <x:c r="D439" s="5" t="str">
        <x:v>vollständig abgedeckt</x:v>
      </x:c>
      <x:c r="E439" s="5" t="str">
        <x:v>vollständig abgedeckt</x:v>
      </x:c>
      <x:c r="F439" s="5" t="str"/>
      <x:c r="G439" s="5" t="str">
        <x:v>L-0205; L-0237–L-0247; L-0264; L-0275; L-0303–L-0306</x:v>
      </x:c>
      <x:c r="H439" s="5" t="str"/>
      <x:c r="I439" s="5" t="str">
        <x:v>Analysebewertung erhalten; keine neue Frage allein aus ID-Zahlen ableiten.</x:v>
      </x:c>
      <x:c r="J439" s="5" t="str">
        <x:v>Soll-Ist-Matrix 2026-09-27</x:v>
      </x:c>
      <x:c r="K439" s="5" t="str">
        <x:v>Vorbewertung aus Soll-Ist-Matrix; Kandidaten nicht automatisch Einzelbelege</x:v>
      </x:c>
      <x:c r="L439" s="5" t="str">
        <x:v>L-0205; L-0237; L-0241; L-0247; L-0275; L-0305; L-0306</x:v>
      </x:c>
    </x:row>
    <x:row r="440" ht="36" customHeight="1">
      <x:c r="A440" s="5" t="str">
        <x:v>7.3.6.1</x:v>
      </x:c>
      <x:c r="B440" s="5" t="str">
        <x:v>Logistik</x:v>
      </x:c>
      <x:c r="C440" s="5" t="str">
        <x:v>Objekte der Entsorgungslogistik</x:v>
      </x:c>
      <x:c r="D440" s="5" t="str">
        <x:v>vollständig abgedeckt</x:v>
      </x:c>
      <x:c r="E440" s="5" t="str">
        <x:v>vollständig abgedeckt</x:v>
      </x:c>
      <x:c r="F440" s="5" t="str"/>
      <x:c r="G440" s="5" t="str">
        <x:v>L-0205; L-0237–L-0247; L-0264; L-0275; L-0303–L-0306</x:v>
      </x:c>
      <x:c r="H440" s="5" t="str"/>
      <x:c r="I440" s="5" t="str">
        <x:v>Analysebewertung erhalten; keine neue Frage allein aus ID-Zahlen ableiten.</x:v>
      </x:c>
      <x:c r="J440" s="5" t="str">
        <x:v>Soll-Ist-Matrix 2026-09-27</x:v>
      </x:c>
      <x:c r="K440" s="5" t="str">
        <x:v>Vorbewertung aus Soll-Ist-Matrix; Kandidaten nicht automatisch Einzelbelege</x:v>
      </x:c>
      <x:c r="L440" s="5" t="str">
        <x:v>L-0238</x:v>
      </x:c>
    </x:row>
    <x:row r="441" ht="36" customHeight="1">
      <x:c r="A441" s="5" t="str">
        <x:v>7.3.6.2</x:v>
      </x:c>
      <x:c r="B441" s="5" t="str">
        <x:v>Logistik</x:v>
      </x:c>
      <x:c r="C441" s="5" t="str">
        <x:v>Abfallvermeidung</x:v>
      </x:c>
      <x:c r="D441" s="5" t="str">
        <x:v>vollständig abgedeckt</x:v>
      </x:c>
      <x:c r="E441" s="5" t="str">
        <x:v>vollständig abgedeckt</x:v>
      </x:c>
      <x:c r="F441" s="5" t="str"/>
      <x:c r="G441" s="5" t="str">
        <x:v>L-0205; L-0237–L-0247; L-0264; L-0275; L-0303–L-0306</x:v>
      </x:c>
      <x:c r="H441" s="5" t="str"/>
      <x:c r="I441" s="5" t="str">
        <x:v>Analysebewertung erhalten; keine neue Frage allein aus ID-Zahlen ableiten.</x:v>
      </x:c>
      <x:c r="J441" s="5" t="str">
        <x:v>Soll-Ist-Matrix 2026-09-27</x:v>
      </x:c>
      <x:c r="K441" s="5" t="str">
        <x:v>Vorbewertung aus Soll-Ist-Matrix; Kandidaten nicht automatisch Einzelbelege</x:v>
      </x:c>
      <x:c r="L441" s="5" t="str"/>
    </x:row>
    <x:row r="442" ht="36" customHeight="1">
      <x:c r="A442" s="5" t="str">
        <x:v>7.3.6.3</x:v>
      </x:c>
      <x:c r="B442" s="5" t="str">
        <x:v>Logistik</x:v>
      </x:c>
      <x:c r="C442" s="5" t="str">
        <x:v>Abfallbehandlung</x:v>
      </x:c>
      <x:c r="D442" s="5" t="str">
        <x:v>vollständig abgedeckt</x:v>
      </x:c>
      <x:c r="E442" s="5" t="str">
        <x:v>vollständig abgedeckt</x:v>
      </x:c>
      <x:c r="F442" s="5" t="str"/>
      <x:c r="G442" s="5" t="str">
        <x:v>L-0205; L-0237–L-0247; L-0264; L-0275; L-0303–L-0306</x:v>
      </x:c>
      <x:c r="H442" s="5" t="str"/>
      <x:c r="I442" s="5" t="str">
        <x:v>Analysebewertung erhalten; keine neue Frage allein aus ID-Zahlen ableiten.</x:v>
      </x:c>
      <x:c r="J442" s="5" t="str">
        <x:v>Soll-Ist-Matrix 2026-09-27</x:v>
      </x:c>
      <x:c r="K442" s="5" t="str">
        <x:v>Vorbewertung aus Soll-Ist-Matrix; Kandidaten nicht automatisch Einzelbelege</x:v>
      </x:c>
      <x:c r="L442" s="5" t="str"/>
    </x:row>
    <x:row r="443" ht="36" customHeight="1">
      <x:c r="A443" s="5" t="str">
        <x:v>7.3.6.4</x:v>
      </x:c>
      <x:c r="B443" s="5" t="str">
        <x:v>Logistik</x:v>
      </x:c>
      <x:c r="C443" s="5" t="str">
        <x:v>Abfallbeseitigung</x:v>
      </x:c>
      <x:c r="D443" s="5" t="str">
        <x:v>vollständig abgedeckt</x:v>
      </x:c>
      <x:c r="E443" s="5" t="str">
        <x:v>vollständig abgedeckt</x:v>
      </x:c>
      <x:c r="F443" s="5" t="str"/>
      <x:c r="G443" s="5" t="str">
        <x:v>L-0205; L-0237–L-0247; L-0264; L-0275; L-0303–L-0306</x:v>
      </x:c>
      <x:c r="H443" s="5" t="str"/>
      <x:c r="I443" s="5" t="str">
        <x:v>Analysebewertung erhalten; keine neue Frage allein aus ID-Zahlen ableiten.</x:v>
      </x:c>
      <x:c r="J443" s="5" t="str">
        <x:v>Soll-Ist-Matrix 2026-09-27</x:v>
      </x:c>
      <x:c r="K443" s="5" t="str">
        <x:v>Vorbewertung aus Soll-Ist-Matrix; Kandidaten nicht automatisch Einzelbelege</x:v>
      </x:c>
      <x:c r="L443" s="5" t="str"/>
    </x:row>
    <x:row r="444" ht="36" customHeight="1">
      <x:c r="A444" s="5" t="str">
        <x:v>7.4</x:v>
      </x:c>
      <x:c r="B444" s="5" t="str">
        <x:v>Logistik</x:v>
      </x:c>
      <x:c r="C444" s="5" t="str">
        <x:v>Aspekte der Rationalisierung</x:v>
      </x:c>
      <x:c r="D444" s="5" t="str">
        <x:v>vollständig abgedeckt</x:v>
      </x:c>
      <x:c r="E444" s="5" t="str">
        <x:v>vollständig abgedeckt</x:v>
      </x:c>
      <x:c r="F444" s="5" t="str"/>
      <x:c r="G444" s="5" t="str">
        <x:v>L-0205; L-0237–L-0247; L-0264; L-0275; L-0303–L-0306; L-0052–L-0068; L-0070–L-0075; L-0123; L-0125–L-0132; L-0280, L-0281; L-0316</x:v>
      </x:c>
      <x:c r="H444" s="5" t="str"/>
      <x:c r="I444" s="5" t="str">
        <x:v>Analysebewertung erhalten; keine neue Frage allein aus ID-Zahlen ableiten.</x:v>
      </x:c>
      <x:c r="J444" s="5" t="str">
        <x:v>Soll-Ist-Matrix 2026-09-27</x:v>
      </x:c>
      <x:c r="K444" s="5" t="str">
        <x:v>Vorbewertung aus Soll-Ist-Matrix; Kandidaten nicht automatisch Einzelbelege</x:v>
      </x:c>
      <x:c r="L444" s="5" t="str"/>
    </x:row>
    <x:row r="445" ht="36" customHeight="1">
      <x:c r="A445" s="5" t="str">
        <x:v>7.4.1</x:v>
      </x:c>
      <x:c r="B445" s="5" t="str">
        <x:v>Logistik</x:v>
      </x:c>
      <x:c r="C445" s="5" t="str">
        <x:v>Optimierung des Produkt-Portfolios</x:v>
      </x:c>
      <x:c r="D445" s="5" t="str">
        <x:v>vollständig abgedeckt</x:v>
      </x:c>
      <x:c r="E445" s="5" t="str">
        <x:v>vollständig abgedeckt</x:v>
      </x:c>
      <x:c r="F445" s="5" t="str"/>
      <x:c r="G445" s="5" t="str">
        <x:v>L-0205; L-0237–L-0247; L-0264; L-0275; L-0303–L-0306</x:v>
      </x:c>
      <x:c r="H445" s="5" t="str"/>
      <x:c r="I445" s="5" t="str">
        <x:v>Analysebewertung erhalten; keine neue Frage allein aus ID-Zahlen ableiten.</x:v>
      </x:c>
      <x:c r="J445" s="5" t="str">
        <x:v>Soll-Ist-Matrix 2026-09-27</x:v>
      </x:c>
      <x:c r="K445" s="5" t="str">
        <x:v>Vorbewertung aus Soll-Ist-Matrix; Kandidaten nicht automatisch Einzelbelege</x:v>
      </x:c>
      <x:c r="L445" s="5" t="str">
        <x:v>L-0242; L-0303</x:v>
      </x:c>
    </x:row>
    <x:row r="446" ht="36" customHeight="1">
      <x:c r="A446" s="5" t="str">
        <x:v>7.4.2</x:v>
      </x:c>
      <x:c r="B446" s="5" t="str">
        <x:v>Logistik</x:v>
      </x:c>
      <x:c r="C446" s="5" t="str">
        <x:v>Weltweiter Einkauf</x:v>
      </x:c>
      <x:c r="D446" s="5" t="str">
        <x:v>vollständig abgedeckt</x:v>
      </x:c>
      <x:c r="E446" s="5" t="str">
        <x:v>vollständig abgedeckt</x:v>
      </x:c>
      <x:c r="F446" s="5" t="str"/>
      <x:c r="G446" s="5" t="str">
        <x:v>L-0052–L-0068; L-0070–L-0075; L-0123; L-0125–L-0132; L-0280, L-0281; L-0316; L-0205; L-0237–L-0247; L-0264; L-0275; L-0303–L-0306</x:v>
      </x:c>
      <x:c r="H446" s="5" t="str"/>
      <x:c r="I446" s="5" t="str">
        <x:v>Analysebewertung erhalten; keine neue Frage allein aus ID-Zahlen ableiten.</x:v>
      </x:c>
      <x:c r="J446" s="5" t="str">
        <x:v>Soll-Ist-Matrix 2026-09-27</x:v>
      </x:c>
      <x:c r="K446" s="5" t="str">
        <x:v>Vorbewertung aus Soll-Ist-Matrix; Kandidaten nicht automatisch Einzelbelege</x:v>
      </x:c>
      <x:c r="L446" s="5" t="str">
        <x:v>L-0062; L-0243; L-0304</x:v>
      </x:c>
    </x:row>
    <x:row r="447" ht="36" customHeight="1">
      <x:c r="A447" s="5" t="str">
        <x:v>7.4.3</x:v>
      </x:c>
      <x:c r="B447" s="5" t="str">
        <x:v>Logistik</x:v>
      </x:c>
      <x:c r="C447" s="5" t="str">
        <x:v>Prozesse auf Verschwendung</x:v>
      </x:c>
      <x:c r="D447" s="5" t="str">
        <x:v>vollständig abgedeckt</x:v>
      </x:c>
      <x:c r="E447" s="5" t="str">
        <x:v>vollständig abgedeckt</x:v>
      </x:c>
      <x:c r="F447" s="5" t="str"/>
      <x:c r="G447" s="5" t="str">
        <x:v>L-0205; L-0237–L-0247; L-0264; L-0275; L-0303–L-0306</x:v>
      </x:c>
      <x:c r="H447" s="5" t="str"/>
      <x:c r="I447" s="5" t="str">
        <x:v>Analysebewertung erhalten; keine neue Frage allein aus ID-Zahlen ableiten.</x:v>
      </x:c>
      <x:c r="J447" s="5" t="str">
        <x:v>Soll-Ist-Matrix 2026-09-27</x:v>
      </x:c>
      <x:c r="K447" s="5" t="str">
        <x:v>Vorbewertung aus Soll-Ist-Matrix; Kandidaten nicht automatisch Einzelbelege</x:v>
      </x:c>
      <x:c r="L447" s="5" t="str">
        <x:v>L-0244; L-0245; L-0246</x:v>
      </x:c>
    </x:row>
    <x:row r="448" ht="36" customHeight="1">
      <x:c r="A448" s="5" t="str">
        <x:v>7.5</x:v>
      </x:c>
      <x:c r="B448" s="5" t="str">
        <x:v>Logistik</x:v>
      </x:c>
      <x:c r="C448" s="5" t="str">
        <x:v>Spezielle Rechtsaspekte</x:v>
      </x:c>
      <x:c r="D448" s="5" t="str">
        <x:v>teilweise abgedeckt</x:v>
      </x:c>
      <x:c r="E448" s="5" t="str">
        <x:v>vollständig abgedeckt</x:v>
      </x:c>
      <x:c r="F448" s="5" t="str">
        <x:v>L-0248; L-0286</x:v>
      </x:c>
      <x:c r="G448" s="5" t="str">
        <x:v>L-0039–L-0051; L-0069; L-0108–L-0122; L-0124; L-0278, L-0279; L-0199; L-0248–L-0263; L-0307–L-0313; L-0096–L-0101; L-0138–L-0171; L-0265–L-0273; L-0284–L-0286; L-0317; L-0205; L-0237–L-0247; L-0264; L-0275; L-0303–L-0306</x:v>
      </x:c>
      <x:c r="H448" s="5" t="str">
        <x:v>Keine verbleibende Lücke nach Einzelpunktprüfung</x:v>
      </x:c>
      <x:c r="I448" s="5" t="str">
        <x:v>Abgeleiteter Elternstatus; keine zusätzliche Inhaltsaufgabe. Siehe Einzelpunkte 7.5.2</x:v>
      </x:c>
      <x:c r="J448" s="5" t="str">
        <x:v>Soll-Ist-Matrix 2026-09-27</x:v>
      </x:c>
      <x:c r="K448" s="5" t="str">
        <x:v>Elternbewertung aus einzeln geprüften Unterpunkten</x:v>
      </x:c>
      <x:c r="L448" s="5" t="str"/>
    </x:row>
    <x:row r="449" ht="36" customHeight="1">
      <x:c r="A449" s="5" t="str">
        <x:v>7.5.1</x:v>
      </x:c>
      <x:c r="B449" s="5" t="str">
        <x:v>Logistik</x:v>
      </x:c>
      <x:c r="C449" s="5" t="str">
        <x:v>Einkaufsverträge</x:v>
      </x:c>
      <x:c r="D449" s="5" t="str">
        <x:v>vollständig abgedeckt</x:v>
      </x:c>
      <x:c r="E449" s="5" t="str">
        <x:v>vollständig abgedeckt</x:v>
      </x:c>
      <x:c r="F449" s="5" t="str"/>
      <x:c r="G449" s="5" t="str">
        <x:v>L-0039–L-0051; L-0069; L-0108–L-0122; L-0124; L-0278, L-0279; L-0199; L-0248–L-0263; L-0307–L-0313; L-0096–L-0101; L-0138–L-0171; L-0265–L-0273; L-0284–L-0286; L-0317</x:v>
      </x:c>
      <x:c r="H449" s="5" t="str"/>
      <x:c r="I449" s="5" t="str">
        <x:v>Analysebewertung erhalten; keine neue Frage allein aus ID-Zahlen ableiten.</x:v>
      </x:c>
      <x:c r="J449" s="5" t="str">
        <x:v>Soll-Ist-Matrix 2026-09-27</x:v>
      </x:c>
      <x:c r="K449" s="5" t="str">
        <x:v>Vorbewertung aus Soll-Ist-Matrix; Kandidaten nicht automatisch Einzelbelege</x:v>
      </x:c>
      <x:c r="L449" s="5" t="str">
        <x:v>L-0199; L-0249; L-0250; L-0251; L-0252; L-0253; L-0254; L-0256; L-0257; L-0258; L-0259; L-0260; L-0263; L-0307; L-0309; L-0311; L-0312</x:v>
      </x:c>
    </x:row>
    <x:row r="450" ht="36" customHeight="1">
      <x:c r="A450" s="5" t="str">
        <x:v>7.5.1.1</x:v>
      </x:c>
      <x:c r="B450" s="5" t="str">
        <x:v>Logistik</x:v>
      </x:c>
      <x:c r="C450" s="5" t="str">
        <x:v>Bestellung</x:v>
      </x:c>
      <x:c r="D450" s="5" t="str">
        <x:v>vollständig abgedeckt</x:v>
      </x:c>
      <x:c r="E450" s="5" t="str">
        <x:v>vollständig abgedeckt</x:v>
      </x:c>
      <x:c r="F450" s="5" t="str"/>
      <x:c r="G450" s="5" t="str">
        <x:v>L-0039–L-0051; L-0069; L-0108–L-0122; L-0124; L-0278, L-0279; L-0199; L-0248–L-0263; L-0307–L-0313</x:v>
      </x:c>
      <x:c r="H450" s="5" t="str"/>
      <x:c r="I450" s="5" t="str">
        <x:v>Analysebewertung erhalten; keine neue Frage allein aus ID-Zahlen ableiten.</x:v>
      </x:c>
      <x:c r="J450" s="5" t="str">
        <x:v>Soll-Ist-Matrix 2026-09-27</x:v>
      </x:c>
      <x:c r="K450" s="5" t="str">
        <x:v>Vorbewertung aus Soll-Ist-Matrix; Kandidaten nicht automatisch Einzelbelege</x:v>
      </x:c>
      <x:c r="L450" s="5" t="str"/>
    </x:row>
    <x:row r="451" ht="36" customHeight="1">
      <x:c r="A451" s="5" t="str">
        <x:v>7.5.1.2</x:v>
      </x:c>
      <x:c r="B451" s="5" t="str">
        <x:v>Logistik</x:v>
      </x:c>
      <x:c r="C451" s="5" t="str">
        <x:v>Feinabruf</x:v>
      </x:c>
      <x:c r="D451" s="5" t="str">
        <x:v>vollständig abgedeckt</x:v>
      </x:c>
      <x:c r="E451" s="5" t="str">
        <x:v>vollständig abgedeckt</x:v>
      </x:c>
      <x:c r="F451" s="5" t="str"/>
      <x:c r="G451" s="5" t="str">
        <x:v>L-0096–L-0101; L-0138–L-0171; L-0265–L-0273; L-0284–L-0286; L-0317; L-0199; L-0248–L-0263; L-0307–L-0313</x:v>
      </x:c>
      <x:c r="H451" s="5" t="str"/>
      <x:c r="I451" s="5" t="str">
        <x:v>Analysebewertung erhalten; keine neue Frage allein aus ID-Zahlen ableiten.</x:v>
      </x:c>
      <x:c r="J451" s="5" t="str">
        <x:v>Soll-Ist-Matrix 2026-09-27</x:v>
      </x:c>
      <x:c r="K451" s="5" t="str">
        <x:v>Vorbewertung aus Soll-Ist-Matrix; Kandidaten nicht automatisch Einzelbelege</x:v>
      </x:c>
      <x:c r="L451" s="5" t="str"/>
    </x:row>
    <x:row r="452" ht="36" customHeight="1">
      <x:c r="A452" s="5" t="str">
        <x:v>7.5.2</x:v>
      </x:c>
      <x:c r="B452" s="5" t="str">
        <x:v>Logistik</x:v>
      </x:c>
      <x:c r="C452" s="5" t="str">
        <x:v>Verkaufsverträge</x:v>
      </x:c>
      <x:c r="D452" s="5" t="str">
        <x:v>teilweise abgedeckt</x:v>
      </x:c>
      <x:c r="E452" s="5" t="str">
        <x:v>vollständig abgedeckt</x:v>
      </x:c>
      <x:c r="F452" s="5" t="str">
        <x:v>L-0248; L-0286</x:v>
      </x:c>
      <x:c r="G452" s="5" t="str">
        <x:v>L-0199; L-0248–L-0263; L-0307–L-0313</x:v>
      </x:c>
      <x:c r="H452" s="5" t="str">
        <x:v>Keine gesonderte Inhaltslücke allein aufgrund Verkäufer-/Einkäuferperspektive. Das Fachbuch erläutert beide als Blickwinkel derselben Verträge.</x:v>
      </x:c>
      <x:c r="I452" s="5" t="str">
        <x:v>L-0248 primär 7.5.2 und quer 7.5.1; L-0286 zusätzlich verbinden. Keine Kopie und keine neue Frage erforderlich.</x:v>
      </x:c>
      <x:c r="J452" s="5" t="str">
        <x:v>L_Buch: Kap. 5.1 Einkaufs- und Verkaufsverträge, Textstellen um 201.460–205.373; L_Skript: Überblick, keine weitergehende Tiefenprüfung möglich</x:v>
      </x:c>
      <x:c r="K452" s="5" t="str">
        <x:v>Vorbewertung aus Soll-Ist-Matrix; Kandidaten nicht automatisch Einzelbelege</x:v>
      </x:c>
      <x:c r="L452" s="5" t="str">
        <x:v>L-0248; L-0255</x:v>
      </x:c>
    </x:row>
    <x:row r="453" ht="36" customHeight="1">
      <x:c r="A453" s="5" t="str">
        <x:v>7.5.3</x:v>
      </x:c>
      <x:c r="B453" s="5" t="str">
        <x:v>Logistik</x:v>
      </x:c>
      <x:c r="C453" s="5" t="str">
        <x:v>Zollrecht bei Im- und Export</x:v>
      </x:c>
      <x:c r="D453" s="5" t="str">
        <x:v>vollständig abgedeckt</x:v>
      </x:c>
      <x:c r="E453" s="5" t="str">
        <x:v>vollständig abgedeckt</x:v>
      </x:c>
      <x:c r="F453" s="5" t="str"/>
      <x:c r="G453" s="5" t="str">
        <x:v>L-0199; L-0248–L-0263; L-0307–L-0313</x:v>
      </x:c>
      <x:c r="H453" s="5" t="str"/>
      <x:c r="I453" s="5" t="str">
        <x:v>Analysebewertung erhalten; keine neue Frage allein aus ID-Zahlen ableiten.</x:v>
      </x:c>
      <x:c r="J453" s="5" t="str">
        <x:v>Soll-Ist-Matrix 2026-09-27</x:v>
      </x:c>
      <x:c r="K453" s="5" t="str">
        <x:v>Vorbewertung aus Soll-Ist-Matrix; Kandidaten nicht automatisch Einzelbelege</x:v>
      </x:c>
      <x:c r="L453" s="5" t="str">
        <x:v>L-0261; L-0262; L-0308; L-0310; L-0313</x:v>
      </x:c>
    </x:row>
    <x:row r="454" ht="36" customHeight="1">
      <x:c r="A454" s="5" t="str">
        <x:v>7.5.4</x:v>
      </x:c>
      <x:c r="B454" s="5" t="str">
        <x:v>Logistik</x:v>
      </x:c>
      <x:c r="C454" s="5" t="str">
        <x:v>Abfallwirtschaft</x:v>
      </x:c>
      <x:c r="D454" s="5" t="str">
        <x:v>vollständig abgedeckt</x:v>
      </x:c>
      <x:c r="E454" s="5" t="str">
        <x:v>vollständig abgedeckt</x:v>
      </x:c>
      <x:c r="F454" s="5" t="str"/>
      <x:c r="G454" s="5" t="str">
        <x:v>L-0205; L-0237–L-0247; L-0264; L-0275; L-0303–L-0306</x:v>
      </x:c>
      <x:c r="H454" s="5" t="str"/>
      <x:c r="I454" s="5" t="str">
        <x:v>Analysebewertung erhalten; keine neue Frage allein aus ID-Zahlen ableiten.</x:v>
      </x:c>
      <x:c r="J454" s="5" t="str">
        <x:v>Soll-Ist-Matrix 2026-09-27</x:v>
      </x:c>
      <x:c r="K454" s="5" t="str">
        <x:v>Vorbewertung aus Soll-Ist-Matrix; Kandidaten nicht automatisch Einzelbelege</x:v>
      </x:c>
      <x:c r="L454" s="5" t="str">
        <x:v>L-0239; L-0264</x:v>
      </x:c>
    </x:row>
    <x:row r="455" ht="36" customHeight="1">
      <x:c r="A455" s="5" t="str">
        <x:v>8</x:v>
      </x:c>
      <x:c r="B455" s="5" t="str">
        <x:v>Marketing und Vertrieb</x:v>
      </x:c>
      <x:c r="C455" s="5" t="str">
        <x:v>Marketing und Vertrieb</x:v>
      </x:c>
      <x:c r="D455" s="5" t="str">
        <x:v>teilweise abgedeckt</x:v>
      </x:c>
      <x:c r="E455" s="5" t="str">
        <x:v>teilweise abgedeckt</x:v>
      </x:c>
      <x:c r="F455" s="5" t="str">
        <x:v>M-0024; M-0107; M-0025; M-0027; M-0020; M-0021; M-0026; V-0040; V-0077</x:v>
      </x:c>
      <x:c r="G455" s="5" t="str">
        <x:v>M-0005, M-0006; M-0008–M-0010; M-0106; M-0004; M-0007; M-0028–M-0033; M-0079, M-0080; M-0012–M-0016; M-0101, M-0102; M-0011; M-0017–M-0022; M-0024–M-0027; M-0077, M-0078; M-0090; M-0107; M-0001–M-0003; M-0076; M-0091; M-0023; M-0034–M-0050; M-0093, M-0094; M-0051–M-0058; M-0092; M-0081–M-0089; V-0007–V-0011; V-0013–V-0018; V-0043; V-0001–V-0003; V-0012; V-0051–V-0053; M-0059–M-0075; M-0095–M-0100; M-0103–M-0105; V-0004, V-0005; V-0044; V-0054–V-0056; V-0080; V-0006; V-0019–V-0023; V-0045; V-0057–V-0059; V-0081, V-0082; V-0024–V-0027; V-0060–V-0066; V-0083; V-0028–V-0030; V-0067–V-0071; V-0084; V-0031, V-0032; V-0046, V-0047; V-0072, V-0073; V-0033–V-0036; V-0050; V-0074, V-0075; V-0037–V-0039; V-0048, V-0049; V-0076; V-0040–V-0042; V-0077–V-0079</x:v>
      </x:c>
      <x:c r="H455" s="5" t="str">
        <x:v>8.1.3.2#4: Ein systematisches Einzelwettbewerberprofil einschließlich Zielen, Strategien, Stärken/Schwächen, Instrumenteneinsatz und Reaktionsprofil fehlt als vollständiger Zusammenhang. | 8.5.3.1: Der Vertragstyp und der Zusammenhang von Mängelrechten und Nacherfüllung bleiben im HQ-Bestand nicht vollständig ausdrücklich. WQ-Recht-Belege dürfen den HQ-Bestand nicht als eigene Abdeckung ersetzen.</x:v>
      </x:c>
      <x:c r="I455" s="5" t="str">
        <x:v>Abgeleiteter Elternstatus; keine zusätzliche Inhaltsaufgabe. Siehe Einzelpunkte 8.1.3.2#1, 8.1.3.2#2, 8.1.3.2#3, 8.1.3.2#4, 8.1.3.2#5, 8.5.3.1</x:v>
      </x:c>
      <x:c r="J455" s="5" t="str">
        <x:v>Soll-Ist-Matrix 2026-09-27</x:v>
      </x:c>
      <x:c r="K455" s="5" t="str">
        <x:v>Elternbewertung aus einzeln geprüften Unterpunkten</x:v>
      </x:c>
      <x:c r="L455" s="5" t="str"/>
    </x:row>
    <x:row r="456" ht="36" customHeight="1">
      <x:c r="A456" s="5" t="str">
        <x:v>8.1</x:v>
      </x:c>
      <x:c r="B456" s="5" t="str">
        <x:v>Marketing und Vertrieb</x:v>
      </x:c>
      <x:c r="C456" s="5" t="str">
        <x:v>Marketingplanung</x:v>
      </x:c>
      <x:c r="D456" s="5" t="str">
        <x:v>teilweise abgedeckt</x:v>
      </x:c>
      <x:c r="E456" s="5" t="str">
        <x:v>teilweise abgedeckt</x:v>
      </x:c>
      <x:c r="F456" s="5" t="str">
        <x:v>M-0024; M-0107; M-0025; M-0027; M-0020; M-0021; M-0026</x:v>
      </x:c>
      <x:c r="G456" s="5" t="str">
        <x:v>M-0005, M-0006; M-0008–M-0010; M-0106; M-0004; M-0007; M-0028–M-0033; M-0079, M-0080; M-0012–M-0016; M-0101, M-0102; M-0011; M-0017–M-0022; M-0024–M-0027; M-0077, M-0078; M-0090; M-0107</x:v>
      </x:c>
      <x:c r="H456" s="5" t="str">
        <x:v>8.1.3.2#4: Ein systematisches Einzelwettbewerberprofil einschließlich Zielen, Strategien, Stärken/Schwächen, Instrumenteneinsatz und Reaktionsprofil fehlt als vollständiger Zusammenhang.</x:v>
      </x:c>
      <x:c r="I456" s="5" t="str">
        <x:v>Abgeleiteter Elternstatus; keine zusätzliche Inhaltsaufgabe. Siehe Einzelpunkte 8.1.3.2#1, 8.1.3.2#2, 8.1.3.2#3, 8.1.3.2#4, 8.1.3.2#5</x:v>
      </x:c>
      <x:c r="J456" s="5" t="str">
        <x:v>Soll-Ist-Matrix 2026-09-27</x:v>
      </x:c>
      <x:c r="K456" s="5" t="str">
        <x:v>Elternbewertung aus einzeln geprüften Unterpunkten</x:v>
      </x:c>
      <x:c r="L456" s="5" t="str"/>
    </x:row>
    <x:row r="457" ht="36" customHeight="1">
      <x:c r="A457" s="5" t="str">
        <x:v>8.1.1</x:v>
      </x:c>
      <x:c r="B457" s="5" t="str">
        <x:v>Marketing und Vertrieb</x:v>
      </x:c>
      <x:c r="C457" s="5" t="str">
        <x:v>Marketingprozess</x:v>
      </x:c>
      <x:c r="D457" s="5" t="str">
        <x:v>vollständig abgedeckt</x:v>
      </x:c>
      <x:c r="E457" s="5" t="str">
        <x:v>vollständig abgedeckt</x:v>
      </x:c>
      <x:c r="F457" s="5" t="str"/>
      <x:c r="G457" s="5" t="str">
        <x:v>M-0005, M-0006; M-0008–M-0010; M-0106; M-0004; M-0007; M-0028–M-0033; M-0079, M-0080</x:v>
      </x:c>
      <x:c r="H457" s="5" t="str"/>
      <x:c r="I457" s="5" t="str">
        <x:v>Analysebewertung erhalten; keine neue Frage allein aus ID-Zahlen ableiten.</x:v>
      </x:c>
      <x:c r="J457" s="5" t="str">
        <x:v>Soll-Ist-Matrix 2026-09-27</x:v>
      </x:c>
      <x:c r="K457" s="5" t="str">
        <x:v>Vorbewertung aus Soll-Ist-Matrix; Kandidaten nicht automatisch Einzelbelege</x:v>
      </x:c>
      <x:c r="L457" s="5" t="str">
        <x:v>M-0012; M-0013; M-0014; M-0015; M-0016; M-0101; M-0102</x:v>
      </x:c>
    </x:row>
    <x:row r="458" ht="36" customHeight="1">
      <x:c r="A458" s="5" t="str">
        <x:v>8.1.2</x:v>
      </x:c>
      <x:c r="B458" s="5" t="str">
        <x:v>Marketing und Vertrieb</x:v>
      </x:c>
      <x:c r="C458" s="5" t="str">
        <x:v>Marketing-Ziele</x:v>
      </x:c>
      <x:c r="D458" s="5" t="str">
        <x:v>vollständig abgedeckt</x:v>
      </x:c>
      <x:c r="E458" s="5" t="str">
        <x:v>vollständig abgedeckt</x:v>
      </x:c>
      <x:c r="F458" s="5" t="str"/>
      <x:c r="G458" s="5" t="str">
        <x:v>M-0005, M-0006; M-0008–M-0010; M-0106</x:v>
      </x:c>
      <x:c r="H458" s="5" t="str"/>
      <x:c r="I458" s="5" t="str">
        <x:v>Analysebewertung erhalten; keine neue Frage allein aus ID-Zahlen ableiten.</x:v>
      </x:c>
      <x:c r="J458" s="5" t="str">
        <x:v>Soll-Ist-Matrix 2026-09-27</x:v>
      </x:c>
      <x:c r="K458" s="5" t="str">
        <x:v>Vorbewertung aus Soll-Ist-Matrix; Kandidaten nicht automatisch Einzelbelege</x:v>
      </x:c>
      <x:c r="L458" s="5" t="str">
        <x:v>M-0005; M-0006; M-0008; M-0009; M-0010; M-0106</x:v>
      </x:c>
    </x:row>
    <x:row r="459" ht="36" customHeight="1">
      <x:c r="A459" s="5" t="str">
        <x:v>8.1.3</x:v>
      </x:c>
      <x:c r="B459" s="5" t="str">
        <x:v>Marketing und Vertrieb</x:v>
      </x:c>
      <x:c r="C459" s="5" t="str">
        <x:v>Marketingstrategien</x:v>
      </x:c>
      <x:c r="D459" s="5" t="str">
        <x:v>teilweise abgedeckt</x:v>
      </x:c>
      <x:c r="E459" s="5" t="str">
        <x:v>teilweise abgedeckt</x:v>
      </x:c>
      <x:c r="F459" s="5" t="str">
        <x:v>M-0024; M-0107; M-0025; M-0027; M-0020; M-0021; M-0026</x:v>
      </x:c>
      <x:c r="G459" s="5" t="str">
        <x:v>M-0012–M-0016; M-0101, M-0102; M-0011; M-0017–M-0022; M-0024–M-0027; M-0077, M-0078; M-0090; M-0107</x:v>
      </x:c>
      <x:c r="H459" s="5" t="str">
        <x:v>8.1.3.2#4: Ein systematisches Einzelwettbewerberprofil einschließlich Zielen, Strategien, Stärken/Schwächen, Instrumenteneinsatz und Reaktionsprofil fehlt als vollständiger Zusammenhang.</x:v>
      </x:c>
      <x:c r="I459" s="5" t="str">
        <x:v>Abgeleiteter Elternstatus; keine zusätzliche Inhaltsaufgabe. Siehe Einzelpunkte 8.1.3.2#1, 8.1.3.2#2, 8.1.3.2#3, 8.1.3.2#4, 8.1.3.2#5</x:v>
      </x:c>
      <x:c r="J459" s="5" t="str">
        <x:v>Soll-Ist-Matrix 2026-09-27</x:v>
      </x:c>
      <x:c r="K459" s="5" t="str">
        <x:v>Elternbewertung aus einzeln geprüften Unterpunkten</x:v>
      </x:c>
      <x:c r="L459" s="5" t="str">
        <x:v>M-0018; M-0019; M-0020; M-0090</x:v>
      </x:c>
    </x:row>
    <x:row r="460" ht="36" customHeight="1">
      <x:c r="A460" s="5" t="str">
        <x:v>8.1.3.1</x:v>
      </x:c>
      <x:c r="B460" s="5" t="str">
        <x:v>Marketing und Vertrieb</x:v>
      </x:c>
      <x:c r="C460" s="5" t="str">
        <x:v>Arten von Strategien</x:v>
      </x:c>
      <x:c r="D460" s="5" t="str">
        <x:v>vollständig abgedeckt</x:v>
      </x:c>
      <x:c r="E460" s="5" t="str">
        <x:v>vollständig abgedeckt</x:v>
      </x:c>
      <x:c r="F460" s="5" t="str"/>
      <x:c r="G460" s="5" t="str">
        <x:v>M-0012–M-0016; M-0101, M-0102; M-0011; M-0017–M-0022; M-0024–M-0027; M-0077, M-0078; M-0090; M-0107</x:v>
      </x:c>
      <x:c r="H460" s="5" t="str"/>
      <x:c r="I460" s="5" t="str">
        <x:v>Analysebewertung erhalten; keine neue Frage allein aus ID-Zahlen ableiten.</x:v>
      </x:c>
      <x:c r="J460" s="5" t="str">
        <x:v>Soll-Ist-Matrix 2026-09-27</x:v>
      </x:c>
      <x:c r="K460" s="5" t="str">
        <x:v>Vorbewertung aus Soll-Ist-Matrix; Kandidaten nicht automatisch Einzelbelege</x:v>
      </x:c>
      <x:c r="L460" s="5" t="str">
        <x:v>M-0011; M-0017; M-0022; M-0077; M-0078</x:v>
      </x:c>
    </x:row>
    <x:row r="461" ht="36" customHeight="1">
      <x:c r="A461" s="5" t="str">
        <x:v>8.1.3.1#1</x:v>
      </x:c>
      <x:c r="B461" s="5" t="str">
        <x:v>Marketing und Vertrieb</x:v>
      </x:c>
      <x:c r="C461" s="5" t="str">
        <x:v>Marktsegmentierung</x:v>
      </x:c>
      <x:c r="D461" s="5" t="str">
        <x:v>vollständig abgedeckt</x:v>
      </x:c>
      <x:c r="E461" s="5" t="str">
        <x:v>vollständig abgedeckt</x:v>
      </x:c>
      <x:c r="F461" s="5" t="str"/>
      <x:c r="G461" s="5" t="str">
        <x:v>M-0012–M-0016; M-0101, M-0102; M-0011; M-0017–M-0022; M-0024–M-0027; M-0077, M-0078; M-0090; M-0107</x:v>
      </x:c>
      <x:c r="H461" s="5" t="str"/>
      <x:c r="I461" s="5" t="str">
        <x:v>Analysebewertung erhalten; keine neue Frage allein aus ID-Zahlen ableiten.</x:v>
      </x:c>
      <x:c r="J461" s="5" t="str">
        <x:v>Soll-Ist-Matrix 2026-09-27</x:v>
      </x:c>
      <x:c r="K461" s="5" t="str">
        <x:v>Vorbewertung aus Soll-Ist-Matrix; Kandidaten nicht automatisch Einzelbelege</x:v>
      </x:c>
      <x:c r="L461" s="5" t="str"/>
    </x:row>
    <x:row r="462" ht="36" customHeight="1">
      <x:c r="A462" s="5" t="str">
        <x:v>8.1.3.1#2</x:v>
      </x:c>
      <x:c r="B462" s="5" t="str">
        <x:v>Marketing und Vertrieb</x:v>
      </x:c>
      <x:c r="C462" s="5" t="str">
        <x:v>Marktstrategien</x:v>
      </x:c>
      <x:c r="D462" s="5" t="str">
        <x:v>vollständig abgedeckt</x:v>
      </x:c>
      <x:c r="E462" s="5" t="str">
        <x:v>vollständig abgedeckt</x:v>
      </x:c>
      <x:c r="F462" s="5" t="str"/>
      <x:c r="G462" s="5" t="str">
        <x:v>M-0012–M-0016; M-0101, M-0102; M-0011; M-0017–M-0022; M-0024–M-0027; M-0077, M-0078; M-0090; M-0107</x:v>
      </x:c>
      <x:c r="H462" s="5" t="str"/>
      <x:c r="I462" s="5" t="str">
        <x:v>Analysebewertung erhalten; keine neue Frage allein aus ID-Zahlen ableiten.</x:v>
      </x:c>
      <x:c r="J462" s="5" t="str">
        <x:v>Soll-Ist-Matrix 2026-09-27</x:v>
      </x:c>
      <x:c r="K462" s="5" t="str">
        <x:v>Vorbewertung aus Soll-Ist-Matrix; Kandidaten nicht automatisch Einzelbelege</x:v>
      </x:c>
      <x:c r="L462" s="5" t="str"/>
    </x:row>
    <x:row r="463" ht="36" customHeight="1">
      <x:c r="A463" s="5" t="str">
        <x:v>8.1.3.1#3</x:v>
      </x:c>
      <x:c r="B463" s="5" t="str">
        <x:v>Marketing und Vertrieb</x:v>
      </x:c>
      <x:c r="C463" s="5" t="str">
        <x:v>Verhaltensstrategien</x:v>
      </x:c>
      <x:c r="D463" s="5" t="str">
        <x:v>vollständig abgedeckt</x:v>
      </x:c>
      <x:c r="E463" s="5" t="str">
        <x:v>vollständig abgedeckt</x:v>
      </x:c>
      <x:c r="F463" s="5" t="str"/>
      <x:c r="G463" s="5" t="str">
        <x:v>M-0012–M-0016; M-0101, M-0102; M-0011; M-0017–M-0022; M-0024–M-0027; M-0077, M-0078; M-0090; M-0107</x:v>
      </x:c>
      <x:c r="H463" s="5" t="str"/>
      <x:c r="I463" s="5" t="str">
        <x:v>Analysebewertung erhalten; keine neue Frage allein aus ID-Zahlen ableiten.</x:v>
      </x:c>
      <x:c r="J463" s="5" t="str">
        <x:v>Soll-Ist-Matrix 2026-09-27</x:v>
      </x:c>
      <x:c r="K463" s="5" t="str">
        <x:v>Vorbewertung aus Soll-Ist-Matrix; Kandidaten nicht automatisch Einzelbelege</x:v>
      </x:c>
      <x:c r="L463" s="5" t="str"/>
    </x:row>
    <x:row r="464" ht="36" customHeight="1">
      <x:c r="A464" s="5" t="str">
        <x:v>8.1.3.1#4</x:v>
      </x:c>
      <x:c r="B464" s="5" t="str">
        <x:v>Marketing und Vertrieb</x:v>
      </x:c>
      <x:c r="C464" s="5" t="str">
        <x:v>Wettbewerbsstrategien</x:v>
      </x:c>
      <x:c r="D464" s="5" t="str">
        <x:v>vollständig abgedeckt</x:v>
      </x:c>
      <x:c r="E464" s="5" t="str">
        <x:v>vollständig abgedeckt</x:v>
      </x:c>
      <x:c r="F464" s="5" t="str"/>
      <x:c r="G464" s="5" t="str">
        <x:v>M-0012–M-0016; M-0101, M-0102; M-0011; M-0017–M-0022; M-0024–M-0027; M-0077, M-0078; M-0090; M-0107</x:v>
      </x:c>
      <x:c r="H464" s="5" t="str"/>
      <x:c r="I464" s="5" t="str">
        <x:v>Analysebewertung erhalten; keine neue Frage allein aus ID-Zahlen ableiten.</x:v>
      </x:c>
      <x:c r="J464" s="5" t="str">
        <x:v>Soll-Ist-Matrix 2026-09-27</x:v>
      </x:c>
      <x:c r="K464" s="5" t="str">
        <x:v>Vorbewertung aus Soll-Ist-Matrix; Kandidaten nicht automatisch Einzelbelege</x:v>
      </x:c>
      <x:c r="L464" s="5" t="str"/>
    </x:row>
    <x:row r="465" ht="36" customHeight="1">
      <x:c r="A465" s="5" t="str">
        <x:v>8.1.3.2</x:v>
      </x:c>
      <x:c r="B465" s="5" t="str">
        <x:v>Marketing und Vertrieb</x:v>
      </x:c>
      <x:c r="C465" s="5" t="str">
        <x:v>Techniken der strategischen Marketingplanung und -analyse</x:v>
      </x:c>
      <x:c r="D465" s="5" t="str">
        <x:v>teilweise abgedeckt</x:v>
      </x:c>
      <x:c r="E465" s="5" t="str">
        <x:v>teilweise abgedeckt</x:v>
      </x:c>
      <x:c r="F465" s="5" t="str">
        <x:v>M-0024; M-0107; M-0025; M-0027; M-0020; M-0021; M-0026</x:v>
      </x:c>
      <x:c r="G465" s="5" t="str">
        <x:v>M-0012–M-0016; M-0101, M-0102; M-0011; M-0017–M-0022; M-0024–M-0027; M-0077, M-0078; M-0090; M-0107</x:v>
      </x:c>
      <x:c r="H465" s="5" t="str">
        <x:v>8.1.3.2#4: Ein systematisches Einzelwettbewerberprofil einschließlich Zielen, Strategien, Stärken/Schwächen, Instrumenteneinsatz und Reaktionsprofil fehlt als vollständiger Zusammenhang.</x:v>
      </x:c>
      <x:c r="I465" s="5" t="str">
        <x:v>Abgeleiteter Elternstatus; keine zusätzliche Inhaltsaufgabe. Siehe Einzelpunkte 8.1.3.2#1, 8.1.3.2#2, 8.1.3.2#3, 8.1.3.2#4, 8.1.3.2#5</x:v>
      </x:c>
      <x:c r="J465" s="5" t="str">
        <x:v>Soll-Ist-Matrix 2026-09-27</x:v>
      </x:c>
      <x:c r="K465" s="5" t="str">
        <x:v>Elternbewertung aus einzeln geprüften Unterpunkten</x:v>
      </x:c>
      <x:c r="L465" s="5" t="str">
        <x:v>M-0021</x:v>
      </x:c>
    </x:row>
    <x:row r="466" ht="36" customHeight="1">
      <x:c r="A466" s="5" t="str">
        <x:v>8.1.3.2#1</x:v>
      </x:c>
      <x:c r="B466" s="5" t="str">
        <x:v>Marketing und Vertrieb</x:v>
      </x:c>
      <x:c r="C466" s="5" t="str">
        <x:v>Produktlebenszyklus</x:v>
      </x:c>
      <x:c r="D466" s="5" t="str">
        <x:v>teilweise abgedeckt</x:v>
      </x:c>
      <x:c r="E466" s="5" t="str">
        <x:v>vollständig abgedeckt</x:v>
      </x:c>
      <x:c r="F466" s="5" t="str">
        <x:v>M-0024; M-0107</x:v>
      </x:c>
      <x:c r="G466" s="5" t="str">
        <x:v>M-0012–M-0016; M-0101, M-0102; M-0011; M-0017–M-0022; M-0024–M-0027; M-0077, M-0078; M-0090; M-0107</x:v>
      </x:c>
      <x:c r="H466" s="5" t="str">
        <x:v>Keine; fehlende Konkurrenzanalyse betrifft nicht diesen Unterpunkt.</x:v>
      </x:c>
      <x:c r="I466" s="5" t="str">
        <x:v>Einzelpunkt unabhängig vom Elternstatus bewerten.</x:v>
      </x:c>
      <x:c r="J466" s="5" t="str">
        <x:v>M_Buch: Kap. 1.3.2 Produktlebenszyklus; MV_Skript2: Marketinginstrumente</x:v>
      </x:c>
      <x:c r="K466" s="5" t="str">
        <x:v>Vorbewertung aus Soll-Ist-Matrix; Kandidaten nicht automatisch Einzelbelege</x:v>
      </x:c>
      <x:c r="L466" s="5" t="str">
        <x:v>M-0024; M-0107</x:v>
      </x:c>
    </x:row>
    <x:row r="467" ht="36" customHeight="1">
      <x:c r="A467" s="5" t="str">
        <x:v>8.1.3.2#2</x:v>
      </x:c>
      <x:c r="B467" s="5" t="str">
        <x:v>Marketing und Vertrieb</x:v>
      </x:c>
      <x:c r="C467" s="5" t="str">
        <x:v>Portfolio-Analyse</x:v>
      </x:c>
      <x:c r="D467" s="5" t="str">
        <x:v>teilweise abgedeckt</x:v>
      </x:c>
      <x:c r="E467" s="5" t="str">
        <x:v>vollständig abgedeckt</x:v>
      </x:c>
      <x:c r="F467" s="5" t="str">
        <x:v>M-0025</x:v>
      </x:c>
      <x:c r="G467" s="5" t="str">
        <x:v>M-0012–M-0016; M-0101, M-0102; M-0011; M-0017–M-0022; M-0024–M-0027; M-0077, M-0078; M-0090; M-0107</x:v>
      </x:c>
      <x:c r="H467" s="5" t="str">
        <x:v>Keine; keine künstliche Ergänzung.</x:v>
      </x:c>
      <x:c r="I467" s="5" t="str">
        <x:v>Beleg direkt erfassen.</x:v>
      </x:c>
      <x:c r="J467" s="5" t="str">
        <x:v>M_Buch: Kap. 1.3.2 Portfolioanalyse</x:v>
      </x:c>
      <x:c r="K467" s="5" t="str">
        <x:v>Vorbewertung aus Soll-Ist-Matrix; Kandidaten nicht automatisch Einzelbelege</x:v>
      </x:c>
      <x:c r="L467" s="5" t="str">
        <x:v>M-0025</x:v>
      </x:c>
    </x:row>
    <x:row r="468" ht="36" customHeight="1">
      <x:c r="A468" s="5" t="str">
        <x:v>8.1.3.2#3</x:v>
      </x:c>
      <x:c r="B468" s="5" t="str">
        <x:v>Marketing und Vertrieb</x:v>
      </x:c>
      <x:c r="C468" s="5" t="str">
        <x:v>Branchenstrukturanalyse</x:v>
      </x:c>
      <x:c r="D468" s="5" t="str">
        <x:v>teilweise abgedeckt</x:v>
      </x:c>
      <x:c r="E468" s="5" t="str">
        <x:v>vollständig abgedeckt</x:v>
      </x:c>
      <x:c r="F468" s="5" t="str">
        <x:v>M-0027</x:v>
      </x:c>
      <x:c r="G468" s="5" t="str">
        <x:v>M-0012–M-0016; M-0101, M-0102; M-0011; M-0017–M-0022; M-0024–M-0027; M-0077, M-0078; M-0090; M-0107</x:v>
      </x:c>
      <x:c r="H468" s="5" t="str">
        <x:v>Keine; Branchenstruktur ersetzt allerdings nicht vollständige Analyse einzelner Wettbewerber.</x:v>
      </x:c>
      <x:c r="I468" s="5" t="str">
        <x:v>Branchenstruktur vollständig, Konkurrenzanalyse getrennt bewerten.</x:v>
      </x:c>
      <x:c r="J468" s="5" t="str">
        <x:v>M_Buch: Kap. 1.3.2 Branchenstrukturanalyse</x:v>
      </x:c>
      <x:c r="K468" s="5" t="str">
        <x:v>Vorbewertung aus Soll-Ist-Matrix; Kandidaten nicht automatisch Einzelbelege</x:v>
      </x:c>
      <x:c r="L468" s="5" t="str">
        <x:v>M-0027</x:v>
      </x:c>
    </x:row>
    <x:row r="469" ht="36" customHeight="1">
      <x:c r="A469" s="5" t="str">
        <x:v>8.1.3.2#4</x:v>
      </x:c>
      <x:c r="B469" s="5" t="str">
        <x:v>Marketing und Vertrieb</x:v>
      </x:c>
      <x:c r="C469" s="5" t="str">
        <x:v>Konkurrenz-Analyse</x:v>
      </x:c>
      <x:c r="D469" s="5" t="str">
        <x:v>teilweise abgedeckt</x:v>
      </x:c>
      <x:c r="E469" s="5" t="str">
        <x:v>teilweise abgedeckt</x:v>
      </x:c>
      <x:c r="F469" s="5" t="str">
        <x:v>M-0020; M-0021; M-0027</x:v>
      </x:c>
      <x:c r="G469" s="5" t="str">
        <x:v>M-0012–M-0016; M-0101, M-0102; M-0011; M-0017–M-0022; M-0024–M-0027; M-0077, M-0078; M-0090; M-0107</x:v>
      </x:c>
      <x:c r="H469" s="5" t="str">
        <x:v>Ein systematisches Einzelwettbewerberprofil einschließlich Zielen, Strategien, Stärken/Schwächen, Instrumenteneinsatz und Reaktionsprofil fehlt als vollständiger Zusammenhang.</x:v>
      </x:c>
      <x:c r="I469" s="5" t="str">
        <x:v>M-0021 später unter derselben ID um ein vollständiges Wettbewerberprofil ergänzen; nicht lediglich einen neuen Titel vergeben und keine neue ID automatisch erzeugen.</x:v>
      </x:c>
      <x:c r="J469" s="5" t="str">
        <x:v>M_Buch: Abschnitt Konkurrenzanalyse; MV_Skript2: strategische Marketingplanung</x:v>
      </x:c>
      <x:c r="K469" s="5" t="str">
        <x:v>Vorbewertung aus Soll-Ist-Matrix; Kandidaten nicht automatisch Einzelbelege</x:v>
      </x:c>
      <x:c r="L469" s="5" t="str"/>
    </x:row>
    <x:row r="470" ht="36" customHeight="1">
      <x:c r="A470" s="5" t="str">
        <x:v>8.1.3.2#5</x:v>
      </x:c>
      <x:c r="B470" s="5" t="str">
        <x:v>Marketing und Vertrieb</x:v>
      </x:c>
      <x:c r="C470" s="5" t="str">
        <x:v>Erfahrungskurven-Analyse</x:v>
      </x:c>
      <x:c r="D470" s="5" t="str">
        <x:v>teilweise abgedeckt</x:v>
      </x:c>
      <x:c r="E470" s="5" t="str">
        <x:v>vollständig abgedeckt</x:v>
      </x:c>
      <x:c r="F470" s="5" t="str">
        <x:v>M-0026</x:v>
      </x:c>
      <x:c r="G470" s="5" t="str">
        <x:v>M-0012–M-0016; M-0101, M-0102; M-0011; M-0017–M-0022; M-0024–M-0027; M-0077, M-0078; M-0090; M-0107</x:v>
      </x:c>
      <x:c r="H470" s="5" t="str">
        <x:v>Keine.</x:v>
      </x:c>
      <x:c r="I470" s="5" t="str">
        <x:v>Eigenständigen Beleg erhalten.</x:v>
      </x:c>
      <x:c r="J470" s="5" t="str">
        <x:v>M_Buch: Kap. 1.3.2 Erfahrungskurvenanalyse</x:v>
      </x:c>
      <x:c r="K470" s="5" t="str">
        <x:v>Vorbewertung aus Soll-Ist-Matrix; Kandidaten nicht automatisch Einzelbelege</x:v>
      </x:c>
      <x:c r="L470" s="5" t="str">
        <x:v>M-0026</x:v>
      </x:c>
    </x:row>
    <x:row r="471" ht="36" customHeight="1">
      <x:c r="A471" s="5" t="str">
        <x:v>8.1.4</x:v>
      </x:c>
      <x:c r="B471" s="5" t="str">
        <x:v>Marketing und Vertrieb</x:v>
      </x:c>
      <x:c r="C471" s="5" t="str">
        <x:v>Marketingplan</x:v>
      </x:c>
      <x:c r="D471" s="5" t="str">
        <x:v>vollständig abgedeckt</x:v>
      </x:c>
      <x:c r="E471" s="5" t="str">
        <x:v>vollständig abgedeckt</x:v>
      </x:c>
      <x:c r="F471" s="5" t="str"/>
      <x:c r="G471" s="5" t="str">
        <x:v>M-0004; M-0007; M-0028–M-0033; M-0079, M-0080</x:v>
      </x:c>
      <x:c r="H471" s="5" t="str"/>
      <x:c r="I471" s="5" t="str">
        <x:v>Analysebewertung erhalten; keine neue Frage allein aus ID-Zahlen ableiten.</x:v>
      </x:c>
      <x:c r="J471" s="5" t="str">
        <x:v>Soll-Ist-Matrix 2026-09-27</x:v>
      </x:c>
      <x:c r="K471" s="5" t="str">
        <x:v>Vorbewertung aus Soll-Ist-Matrix; Kandidaten nicht automatisch Einzelbelege</x:v>
      </x:c>
      <x:c r="L471" s="5" t="str">
        <x:v>M-0004; M-0007; M-0028; M-0029; M-0030; M-0031; M-0032; M-0033; M-0079; M-0080</x:v>
      </x:c>
    </x:row>
    <x:row r="472" ht="36" customHeight="1">
      <x:c r="A472" s="5" t="str">
        <x:v>8.2</x:v>
      </x:c>
      <x:c r="B472" s="5" t="str">
        <x:v>Marketing und Vertrieb</x:v>
      </x:c>
      <x:c r="C472" s="5" t="str">
        <x:v>Marketinginstrumentarium / Marketing-Mix</x:v>
      </x:c>
      <x:c r="D472" s="5" t="str">
        <x:v>vollständig abgedeckt</x:v>
      </x:c>
      <x:c r="E472" s="5" t="str">
        <x:v>vollständig abgedeckt</x:v>
      </x:c>
      <x:c r="F472" s="5" t="str"/>
      <x:c r="G472" s="5" t="str">
        <x:v>M-0004; M-0007; M-0028–M-0033; M-0079, M-0080; M-0001–M-0003; M-0076; M-0091; M-0023; M-0034–M-0050; M-0093, M-0094; M-0051–M-0058; M-0092; M-0081–M-0089; V-0007–V-0011; V-0013–V-0018; V-0043; V-0001–V-0003; V-0012; V-0051–V-0053; M-0059–M-0075; M-0095–M-0100; M-0103–M-0105; M-0011; M-0017–M-0022; M-0024–M-0027; M-0077, M-0078; M-0090; M-0107</x:v>
      </x:c>
      <x:c r="H472" s="5" t="str"/>
      <x:c r="I472" s="5" t="str">
        <x:v>Analysebewertung erhalten; keine neue Frage allein aus ID-Zahlen ableiten.</x:v>
      </x:c>
      <x:c r="J472" s="5" t="str">
        <x:v>Soll-Ist-Matrix 2026-09-27</x:v>
      </x:c>
      <x:c r="K472" s="5" t="str">
        <x:v>Vorbewertung aus Soll-Ist-Matrix; Kandidaten nicht automatisch Einzelbelege</x:v>
      </x:c>
      <x:c r="L472" s="5" t="str"/>
    </x:row>
    <x:row r="473" ht="36" customHeight="1">
      <x:c r="A473" s="5" t="str">
        <x:v>8.2.1</x:v>
      </x:c>
      <x:c r="B473" s="5" t="str">
        <x:v>Marketing und Vertrieb</x:v>
      </x:c>
      <x:c r="C473" s="5" t="str">
        <x:v>Marketinginstrumente</x:v>
      </x:c>
      <x:c r="D473" s="5" t="str">
        <x:v>vollständig abgedeckt</x:v>
      </x:c>
      <x:c r="E473" s="5" t="str">
        <x:v>vollständig abgedeckt</x:v>
      </x:c>
      <x:c r="F473" s="5" t="str"/>
      <x:c r="G473" s="5" t="str">
        <x:v>M-0004; M-0007; M-0028–M-0033; M-0079, M-0080; M-0001–M-0003; M-0076; M-0091</x:v>
      </x:c>
      <x:c r="H473" s="5" t="str"/>
      <x:c r="I473" s="5" t="str">
        <x:v>Analysebewertung erhalten; keine neue Frage allein aus ID-Zahlen ableiten.</x:v>
      </x:c>
      <x:c r="J473" s="5" t="str">
        <x:v>Soll-Ist-Matrix 2026-09-27</x:v>
      </x:c>
      <x:c r="K473" s="5" t="str">
        <x:v>Vorbewertung aus Soll-Ist-Matrix; Kandidaten nicht automatisch Einzelbelege</x:v>
      </x:c>
      <x:c r="L473" s="5" t="str"/>
    </x:row>
    <x:row r="474" ht="36" customHeight="1">
      <x:c r="A474" s="5" t="str">
        <x:v>8.2.2</x:v>
      </x:c>
      <x:c r="B474" s="5" t="str">
        <x:v>Marketing und Vertrieb</x:v>
      </x:c>
      <x:c r="C474" s="5" t="str">
        <x:v>Produktpolitik</x:v>
      </x:c>
      <x:c r="D474" s="5" t="str">
        <x:v>vollständig abgedeckt</x:v>
      </x:c>
      <x:c r="E474" s="5" t="str">
        <x:v>vollständig abgedeckt</x:v>
      </x:c>
      <x:c r="F474" s="5" t="str"/>
      <x:c r="G474" s="5" t="str">
        <x:v>M-0023; M-0034–M-0050; M-0093, M-0094</x:v>
      </x:c>
      <x:c r="H474" s="5" t="str"/>
      <x:c r="I474" s="5" t="str">
        <x:v>Analysebewertung erhalten; keine neue Frage allein aus ID-Zahlen ableiten.</x:v>
      </x:c>
      <x:c r="J474" s="5" t="str">
        <x:v>Soll-Ist-Matrix 2026-09-27</x:v>
      </x:c>
      <x:c r="K474" s="5" t="str">
        <x:v>Vorbewertung aus Soll-Ist-Matrix; Kandidaten nicht automatisch Einzelbelege</x:v>
      </x:c>
      <x:c r="L474" s="5" t="str">
        <x:v>M-0023; M-0035; M-0036; M-0038; M-0039; M-0040; M-0041; M-0043; M-0044; M-0045; M-0046; M-0047; M-0048; M-0049; M-0050; M-0094</x:v>
      </x:c>
    </x:row>
    <x:row r="475" ht="36" customHeight="1">
      <x:c r="A475" s="5" t="str">
        <x:v>8.2.2.1</x:v>
      </x:c>
      <x:c r="B475" s="5" t="str">
        <x:v>Marketing und Vertrieb</x:v>
      </x:c>
      <x:c r="C475" s="5" t="str">
        <x:v>Produktgestaltung</x:v>
      </x:c>
      <x:c r="D475" s="5" t="str">
        <x:v>vollständig abgedeckt</x:v>
      </x:c>
      <x:c r="E475" s="5" t="str">
        <x:v>vollständig abgedeckt</x:v>
      </x:c>
      <x:c r="F475" s="5" t="str"/>
      <x:c r="G475" s="5" t="str">
        <x:v>M-0023; M-0034–M-0050; M-0093, M-0094</x:v>
      </x:c>
      <x:c r="H475" s="5" t="str"/>
      <x:c r="I475" s="5" t="str">
        <x:v>Analysebewertung erhalten; keine neue Frage allein aus ID-Zahlen ableiten.</x:v>
      </x:c>
      <x:c r="J475" s="5" t="str">
        <x:v>Soll-Ist-Matrix 2026-09-27</x:v>
      </x:c>
      <x:c r="K475" s="5" t="str">
        <x:v>Vorbewertung aus Soll-Ist-Matrix; Kandidaten nicht automatisch Einzelbelege</x:v>
      </x:c>
      <x:c r="L475" s="5" t="str">
        <x:v>M-0037</x:v>
      </x:c>
    </x:row>
    <x:row r="476" ht="36" customHeight="1">
      <x:c r="A476" s="5" t="str">
        <x:v>8.2.2.1#1</x:v>
      </x:c>
      <x:c r="B476" s="5" t="str">
        <x:v>Marketing und Vertrieb</x:v>
      </x:c>
      <x:c r="C476" s="5" t="str">
        <x:v>Innovation</x:v>
      </x:c>
      <x:c r="D476" s="5" t="str">
        <x:v>vollständig abgedeckt</x:v>
      </x:c>
      <x:c r="E476" s="5" t="str">
        <x:v>vollständig abgedeckt</x:v>
      </x:c>
      <x:c r="F476" s="5" t="str"/>
      <x:c r="G476" s="5" t="str">
        <x:v>M-0023; M-0034–M-0050; M-0093, M-0094</x:v>
      </x:c>
      <x:c r="H476" s="5" t="str"/>
      <x:c r="I476" s="5" t="str">
        <x:v>Analysebewertung erhalten; keine neue Frage allein aus ID-Zahlen ableiten.</x:v>
      </x:c>
      <x:c r="J476" s="5" t="str">
        <x:v>Soll-Ist-Matrix 2026-09-27</x:v>
      </x:c>
      <x:c r="K476" s="5" t="str">
        <x:v>Vorbewertung aus Soll-Ist-Matrix; Kandidaten nicht automatisch Einzelbelege</x:v>
      </x:c>
      <x:c r="L476" s="5" t="str">
        <x:v>M-0093</x:v>
      </x:c>
    </x:row>
    <x:row r="477" ht="36" customHeight="1">
      <x:c r="A477" s="5" t="str">
        <x:v>8.2.2.1#2</x:v>
      </x:c>
      <x:c r="B477" s="5" t="str">
        <x:v>Marketing und Vertrieb</x:v>
      </x:c>
      <x:c r="C477" s="5" t="str">
        <x:v>Markenstrategie</x:v>
      </x:c>
      <x:c r="D477" s="5" t="str">
        <x:v>vollständig abgedeckt</x:v>
      </x:c>
      <x:c r="E477" s="5" t="str">
        <x:v>vollständig abgedeckt</x:v>
      </x:c>
      <x:c r="F477" s="5" t="str"/>
      <x:c r="G477" s="5" t="str">
        <x:v>M-0023; M-0034–M-0050; M-0093, M-0094</x:v>
      </x:c>
      <x:c r="H477" s="5" t="str"/>
      <x:c r="I477" s="5" t="str">
        <x:v>Analysebewertung erhalten; keine neue Frage allein aus ID-Zahlen ableiten.</x:v>
      </x:c>
      <x:c r="J477" s="5" t="str">
        <x:v>Soll-Ist-Matrix 2026-09-27</x:v>
      </x:c>
      <x:c r="K477" s="5" t="str">
        <x:v>Vorbewertung aus Soll-Ist-Matrix; Kandidaten nicht automatisch Einzelbelege</x:v>
      </x:c>
      <x:c r="L477" s="5" t="str">
        <x:v>M-0042</x:v>
      </x:c>
    </x:row>
    <x:row r="478" ht="36" customHeight="1">
      <x:c r="A478" s="5" t="str">
        <x:v>8.2.2.1#3</x:v>
      </x:c>
      <x:c r="B478" s="5" t="str">
        <x:v>Marketing und Vertrieb</x:v>
      </x:c>
      <x:c r="C478" s="5" t="str">
        <x:v>Produktdifferenzierung</x:v>
      </x:c>
      <x:c r="D478" s="5" t="str">
        <x:v>vollständig abgedeckt</x:v>
      </x:c>
      <x:c r="E478" s="5" t="str">
        <x:v>vollständig abgedeckt</x:v>
      </x:c>
      <x:c r="F478" s="5" t="str"/>
      <x:c r="G478" s="5" t="str">
        <x:v>M-0023; M-0034–M-0050; M-0093, M-0094</x:v>
      </x:c>
      <x:c r="H478" s="5" t="str"/>
      <x:c r="I478" s="5" t="str">
        <x:v>Analysebewertung erhalten; keine neue Frage allein aus ID-Zahlen ableiten.</x:v>
      </x:c>
      <x:c r="J478" s="5" t="str">
        <x:v>Soll-Ist-Matrix 2026-09-27</x:v>
      </x:c>
      <x:c r="K478" s="5" t="str">
        <x:v>Vorbewertung aus Soll-Ist-Matrix; Kandidaten nicht automatisch Einzelbelege</x:v>
      </x:c>
      <x:c r="L478" s="5" t="str"/>
    </x:row>
    <x:row r="479" ht="36" customHeight="1">
      <x:c r="A479" s="5" t="str">
        <x:v>8.2.2.1#4</x:v>
      </x:c>
      <x:c r="B479" s="5" t="str">
        <x:v>Marketing und Vertrieb</x:v>
      </x:c>
      <x:c r="C479" s="5" t="str">
        <x:v>Produktvariation</x:v>
      </x:c>
      <x:c r="D479" s="5" t="str">
        <x:v>vollständig abgedeckt</x:v>
      </x:c>
      <x:c r="E479" s="5" t="str">
        <x:v>vollständig abgedeckt</x:v>
      </x:c>
      <x:c r="F479" s="5" t="str"/>
      <x:c r="G479" s="5" t="str">
        <x:v>M-0023; M-0034–M-0050; M-0093, M-0094</x:v>
      </x:c>
      <x:c r="H479" s="5" t="str"/>
      <x:c r="I479" s="5" t="str">
        <x:v>Analysebewertung erhalten; keine neue Frage allein aus ID-Zahlen ableiten.</x:v>
      </x:c>
      <x:c r="J479" s="5" t="str">
        <x:v>Soll-Ist-Matrix 2026-09-27</x:v>
      </x:c>
      <x:c r="K479" s="5" t="str">
        <x:v>Vorbewertung aus Soll-Ist-Matrix; Kandidaten nicht automatisch Einzelbelege</x:v>
      </x:c>
      <x:c r="L479" s="5" t="str"/>
    </x:row>
    <x:row r="480" ht="36" customHeight="1">
      <x:c r="A480" s="5" t="str">
        <x:v>8.2.2.2</x:v>
      </x:c>
      <x:c r="B480" s="5" t="str">
        <x:v>Marketing und Vertrieb</x:v>
      </x:c>
      <x:c r="C480" s="5" t="str">
        <x:v>Programm- und Sortimentspolitik</x:v>
      </x:c>
      <x:c r="D480" s="5" t="str">
        <x:v>vollständig abgedeckt</x:v>
      </x:c>
      <x:c r="E480" s="5" t="str">
        <x:v>vollständig abgedeckt</x:v>
      </x:c>
      <x:c r="F480" s="5" t="str"/>
      <x:c r="G480" s="5" t="str">
        <x:v>M-0023; M-0034–M-0050; M-0093, M-0094</x:v>
      </x:c>
      <x:c r="H480" s="5" t="str"/>
      <x:c r="I480" s="5" t="str">
        <x:v>Analysebewertung erhalten; keine neue Frage allein aus ID-Zahlen ableiten.</x:v>
      </x:c>
      <x:c r="J480" s="5" t="str">
        <x:v>Soll-Ist-Matrix 2026-09-27</x:v>
      </x:c>
      <x:c r="K480" s="5" t="str">
        <x:v>Vorbewertung aus Soll-Ist-Matrix; Kandidaten nicht automatisch Einzelbelege</x:v>
      </x:c>
      <x:c r="L480" s="5" t="str">
        <x:v>M-0034</x:v>
      </x:c>
    </x:row>
    <x:row r="481" ht="36" customHeight="1">
      <x:c r="A481" s="5" t="str">
        <x:v>8.2.2.3</x:v>
      </x:c>
      <x:c r="B481" s="5" t="str">
        <x:v>Marketing und Vertrieb</x:v>
      </x:c>
      <x:c r="C481" s="5" t="str">
        <x:v>Servicepolitik</x:v>
      </x:c>
      <x:c r="D481" s="5" t="str">
        <x:v>vollständig abgedeckt</x:v>
      </x:c>
      <x:c r="E481" s="5" t="str">
        <x:v>vollständig abgedeckt</x:v>
      </x:c>
      <x:c r="F481" s="5" t="str"/>
      <x:c r="G481" s="5" t="str">
        <x:v>M-0023; M-0034–M-0050; M-0093, M-0094</x:v>
      </x:c>
      <x:c r="H481" s="5" t="str"/>
      <x:c r="I481" s="5" t="str">
        <x:v>Analysebewertung erhalten; keine neue Frage allein aus ID-Zahlen ableiten.</x:v>
      </x:c>
      <x:c r="J481" s="5" t="str">
        <x:v>Soll-Ist-Matrix 2026-09-27</x:v>
      </x:c>
      <x:c r="K481" s="5" t="str">
        <x:v>Vorbewertung aus Soll-Ist-Matrix; Kandidaten nicht automatisch Einzelbelege</x:v>
      </x:c>
      <x:c r="L481" s="5" t="str"/>
    </x:row>
    <x:row r="482" ht="36" customHeight="1">
      <x:c r="A482" s="5" t="str">
        <x:v>8.2.3</x:v>
      </x:c>
      <x:c r="B482" s="5" t="str">
        <x:v>Marketing und Vertrieb</x:v>
      </x:c>
      <x:c r="C482" s="5" t="str">
        <x:v>Preispolitik</x:v>
      </x:c>
      <x:c r="D482" s="5" t="str">
        <x:v>vollständig abgedeckt</x:v>
      </x:c>
      <x:c r="E482" s="5" t="str">
        <x:v>vollständig abgedeckt</x:v>
      </x:c>
      <x:c r="F482" s="5" t="str"/>
      <x:c r="G482" s="5" t="str">
        <x:v>M-0051–M-0058; M-0092</x:v>
      </x:c>
      <x:c r="H482" s="5" t="str"/>
      <x:c r="I482" s="5" t="str">
        <x:v>Analysebewertung erhalten; keine neue Frage allein aus ID-Zahlen ableiten.</x:v>
      </x:c>
      <x:c r="J482" s="5" t="str">
        <x:v>Soll-Ist-Matrix 2026-09-27</x:v>
      </x:c>
      <x:c r="K482" s="5" t="str">
        <x:v>Vorbewertung aus Soll-Ist-Matrix; Kandidaten nicht automatisch Einzelbelege</x:v>
      </x:c>
      <x:c r="L482" s="5" t="str">
        <x:v>M-0051; M-0052; M-0053; M-0054; M-0055; M-0056; M-0092</x:v>
      </x:c>
    </x:row>
    <x:row r="483" ht="36" customHeight="1">
      <x:c r="A483" s="5" t="str">
        <x:v>8.2.3.1</x:v>
      </x:c>
      <x:c r="B483" s="5" t="str">
        <x:v>Marketing und Vertrieb</x:v>
      </x:c>
      <x:c r="C483" s="5" t="str">
        <x:v>Kostenorientierte Preisgestaltung</x:v>
      </x:c>
      <x:c r="D483" s="5" t="str">
        <x:v>vollständig abgedeckt</x:v>
      </x:c>
      <x:c r="E483" s="5" t="str">
        <x:v>vollständig abgedeckt</x:v>
      </x:c>
      <x:c r="F483" s="5" t="str"/>
      <x:c r="G483" s="5" t="str">
        <x:v>M-0051–M-0058; M-0092</x:v>
      </x:c>
      <x:c r="H483" s="5" t="str"/>
      <x:c r="I483" s="5" t="str">
        <x:v>Analysebewertung erhalten; keine neue Frage allein aus ID-Zahlen ableiten.</x:v>
      </x:c>
      <x:c r="J483" s="5" t="str">
        <x:v>Soll-Ist-Matrix 2026-09-27</x:v>
      </x:c>
      <x:c r="K483" s="5" t="str">
        <x:v>Vorbewertung aus Soll-Ist-Matrix; Kandidaten nicht automatisch Einzelbelege</x:v>
      </x:c>
      <x:c r="L483" s="5" t="str"/>
    </x:row>
    <x:row r="484" ht="36" customHeight="1">
      <x:c r="A484" s="5" t="str">
        <x:v>8.2.3.2</x:v>
      </x:c>
      <x:c r="B484" s="5" t="str">
        <x:v>Marketing und Vertrieb</x:v>
      </x:c>
      <x:c r="C484" s="5" t="str">
        <x:v>Konkurrenzorientierte Preisgestaltung</x:v>
      </x:c>
      <x:c r="D484" s="5" t="str">
        <x:v>vollständig abgedeckt</x:v>
      </x:c>
      <x:c r="E484" s="5" t="str">
        <x:v>vollständig abgedeckt</x:v>
      </x:c>
      <x:c r="F484" s="5" t="str"/>
      <x:c r="G484" s="5" t="str">
        <x:v>M-0051–M-0058; M-0092</x:v>
      </x:c>
      <x:c r="H484" s="5" t="str"/>
      <x:c r="I484" s="5" t="str">
        <x:v>Analysebewertung erhalten; keine neue Frage allein aus ID-Zahlen ableiten.</x:v>
      </x:c>
      <x:c r="J484" s="5" t="str">
        <x:v>Soll-Ist-Matrix 2026-09-27</x:v>
      </x:c>
      <x:c r="K484" s="5" t="str">
        <x:v>Vorbewertung aus Soll-Ist-Matrix; Kandidaten nicht automatisch Einzelbelege</x:v>
      </x:c>
      <x:c r="L484" s="5" t="str"/>
    </x:row>
    <x:row r="485" ht="36" customHeight="1">
      <x:c r="A485" s="5" t="str">
        <x:v>8.2.3.3</x:v>
      </x:c>
      <x:c r="B485" s="5" t="str">
        <x:v>Marketing und Vertrieb</x:v>
      </x:c>
      <x:c r="C485" s="5" t="str">
        <x:v>Nachfrageorientierte Preisgestaltung</x:v>
      </x:c>
      <x:c r="D485" s="5" t="str">
        <x:v>vollständig abgedeckt</x:v>
      </x:c>
      <x:c r="E485" s="5" t="str">
        <x:v>vollständig abgedeckt</x:v>
      </x:c>
      <x:c r="F485" s="5" t="str"/>
      <x:c r="G485" s="5" t="str">
        <x:v>M-0051–M-0058; M-0092</x:v>
      </x:c>
      <x:c r="H485" s="5" t="str"/>
      <x:c r="I485" s="5" t="str">
        <x:v>Analysebewertung erhalten; keine neue Frage allein aus ID-Zahlen ableiten.</x:v>
      </x:c>
      <x:c r="J485" s="5" t="str">
        <x:v>Soll-Ist-Matrix 2026-09-27</x:v>
      </x:c>
      <x:c r="K485" s="5" t="str">
        <x:v>Vorbewertung aus Soll-Ist-Matrix; Kandidaten nicht automatisch Einzelbelege</x:v>
      </x:c>
      <x:c r="L485" s="5" t="str"/>
    </x:row>
    <x:row r="486" ht="36" customHeight="1">
      <x:c r="A486" s="5" t="str">
        <x:v>8.2.3.4</x:v>
      </x:c>
      <x:c r="B486" s="5" t="str">
        <x:v>Marketing und Vertrieb</x:v>
      </x:c>
      <x:c r="C486" s="5" t="str">
        <x:v>Preisdifferenzierung</x:v>
      </x:c>
      <x:c r="D486" s="5" t="str">
        <x:v>vollständig abgedeckt</x:v>
      </x:c>
      <x:c r="E486" s="5" t="str">
        <x:v>vollständig abgedeckt</x:v>
      </x:c>
      <x:c r="F486" s="5" t="str"/>
      <x:c r="G486" s="5" t="str">
        <x:v>M-0051–M-0058; M-0092</x:v>
      </x:c>
      <x:c r="H486" s="5" t="str"/>
      <x:c r="I486" s="5" t="str">
        <x:v>Analysebewertung erhalten; keine neue Frage allein aus ID-Zahlen ableiten.</x:v>
      </x:c>
      <x:c r="J486" s="5" t="str">
        <x:v>Soll-Ist-Matrix 2026-09-27</x:v>
      </x:c>
      <x:c r="K486" s="5" t="str">
        <x:v>Vorbewertung aus Soll-Ist-Matrix; Kandidaten nicht automatisch Einzelbelege</x:v>
      </x:c>
      <x:c r="L486" s="5" t="str">
        <x:v>M-0057</x:v>
      </x:c>
    </x:row>
    <x:row r="487" ht="36" customHeight="1">
      <x:c r="A487" s="5" t="str">
        <x:v>8.2.3.5</x:v>
      </x:c>
      <x:c r="B487" s="5" t="str">
        <x:v>Marketing und Vertrieb</x:v>
      </x:c>
      <x:c r="C487" s="5" t="str">
        <x:v>Preisvariation</x:v>
      </x:c>
      <x:c r="D487" s="5" t="str">
        <x:v>vollständig abgedeckt</x:v>
      </x:c>
      <x:c r="E487" s="5" t="str">
        <x:v>vollständig abgedeckt</x:v>
      </x:c>
      <x:c r="F487" s="5" t="str"/>
      <x:c r="G487" s="5" t="str">
        <x:v>M-0051–M-0058; M-0092</x:v>
      </x:c>
      <x:c r="H487" s="5" t="str"/>
      <x:c r="I487" s="5" t="str">
        <x:v>Analysebewertung erhalten; keine neue Frage allein aus ID-Zahlen ableiten.</x:v>
      </x:c>
      <x:c r="J487" s="5" t="str">
        <x:v>Soll-Ist-Matrix 2026-09-27</x:v>
      </x:c>
      <x:c r="K487" s="5" t="str">
        <x:v>Vorbewertung aus Soll-Ist-Matrix; Kandidaten nicht automatisch Einzelbelege</x:v>
      </x:c>
      <x:c r="L487" s="5" t="str"/>
    </x:row>
    <x:row r="488" ht="36" customHeight="1">
      <x:c r="A488" s="5" t="str">
        <x:v>8.2.3.6</x:v>
      </x:c>
      <x:c r="B488" s="5" t="str">
        <x:v>Marketing und Vertrieb</x:v>
      </x:c>
      <x:c r="C488" s="5" t="str">
        <x:v>Konditionenpolitik</x:v>
      </x:c>
      <x:c r="D488" s="5" t="str">
        <x:v>vollständig abgedeckt</x:v>
      </x:c>
      <x:c r="E488" s="5" t="str">
        <x:v>vollständig abgedeckt</x:v>
      </x:c>
      <x:c r="F488" s="5" t="str"/>
      <x:c r="G488" s="5" t="str">
        <x:v>M-0051–M-0058; M-0092</x:v>
      </x:c>
      <x:c r="H488" s="5" t="str"/>
      <x:c r="I488" s="5" t="str">
        <x:v>Analysebewertung erhalten; keine neue Frage allein aus ID-Zahlen ableiten.</x:v>
      </x:c>
      <x:c r="J488" s="5" t="str">
        <x:v>Soll-Ist-Matrix 2026-09-27</x:v>
      </x:c>
      <x:c r="K488" s="5" t="str">
        <x:v>Vorbewertung aus Soll-Ist-Matrix; Kandidaten nicht automatisch Einzelbelege</x:v>
      </x:c>
      <x:c r="L488" s="5" t="str">
        <x:v>M-0058</x:v>
      </x:c>
    </x:row>
    <x:row r="489" ht="36" customHeight="1">
      <x:c r="A489" s="5" t="str">
        <x:v>8.2.4</x:v>
      </x:c>
      <x:c r="B489" s="5" t="str">
        <x:v>Marketing und Vertrieb</x:v>
      </x:c>
      <x:c r="C489" s="5" t="str">
        <x:v>Distributionspolitik</x:v>
      </x:c>
      <x:c r="D489" s="5" t="str">
        <x:v>vollständig abgedeckt</x:v>
      </x:c>
      <x:c r="E489" s="5" t="str">
        <x:v>vollständig abgedeckt</x:v>
      </x:c>
      <x:c r="F489" s="5" t="str"/>
      <x:c r="G489" s="5" t="str">
        <x:v>M-0081–M-0089; V-0007–V-0011; V-0013–V-0018; V-0043; V-0001–V-0003; V-0012; V-0051–V-0053</x:v>
      </x:c>
      <x:c r="H489" s="5" t="str"/>
      <x:c r="I489" s="5" t="str">
        <x:v>Analysebewertung erhalten; keine neue Frage allein aus ID-Zahlen ableiten.</x:v>
      </x:c>
      <x:c r="J489" s="5" t="str">
        <x:v>Soll-Ist-Matrix 2026-09-27</x:v>
      </x:c>
      <x:c r="K489" s="5" t="str">
        <x:v>Vorbewertung aus Soll-Ist-Matrix; Kandidaten nicht automatisch Einzelbelege</x:v>
      </x:c>
      <x:c r="L489" s="5" t="str">
        <x:v>M-0081; M-0082; M-0083; M-0084; M-0085; M-0086; M-0087; M-0088; M-0089</x:v>
      </x:c>
    </x:row>
    <x:row r="490" ht="36" customHeight="1">
      <x:c r="A490" s="5" t="str">
        <x:v>8.2.4.1</x:v>
      </x:c>
      <x:c r="B490" s="5" t="str">
        <x:v>Marketing und Vertrieb</x:v>
      </x:c>
      <x:c r="C490" s="5" t="str">
        <x:v>Direkter Absatz</x:v>
      </x:c>
      <x:c r="D490" s="5" t="str">
        <x:v>vollständig abgedeckt</x:v>
      </x:c>
      <x:c r="E490" s="5" t="str">
        <x:v>vollständig abgedeckt</x:v>
      </x:c>
      <x:c r="F490" s="5" t="str"/>
      <x:c r="G490" s="5" t="str">
        <x:v>M-0081–M-0089; V-0007–V-0011; V-0013–V-0018; V-0043; V-0001–V-0003; V-0012; V-0051–V-0053</x:v>
      </x:c>
      <x:c r="H490" s="5" t="str"/>
      <x:c r="I490" s="5" t="str">
        <x:v>Analysebewertung erhalten; keine neue Frage allein aus ID-Zahlen ableiten.</x:v>
      </x:c>
      <x:c r="J490" s="5" t="str">
        <x:v>Soll-Ist-Matrix 2026-09-27</x:v>
      </x:c>
      <x:c r="K490" s="5" t="str">
        <x:v>Vorbewertung aus Soll-Ist-Matrix; Kandidaten nicht automatisch Einzelbelege</x:v>
      </x:c>
      <x:c r="L490" s="5" t="str"/>
    </x:row>
    <x:row r="491" ht="36" customHeight="1">
      <x:c r="A491" s="5" t="str">
        <x:v>8.2.4.2</x:v>
      </x:c>
      <x:c r="B491" s="5" t="str">
        <x:v>Marketing und Vertrieb</x:v>
      </x:c>
      <x:c r="C491" s="5" t="str">
        <x:v>Indirekter Absatz</x:v>
      </x:c>
      <x:c r="D491" s="5" t="str">
        <x:v>vollständig abgedeckt</x:v>
      </x:c>
      <x:c r="E491" s="5" t="str">
        <x:v>vollständig abgedeckt</x:v>
      </x:c>
      <x:c r="F491" s="5" t="str"/>
      <x:c r="G491" s="5" t="str">
        <x:v>M-0081–M-0089; V-0007–V-0011; V-0013–V-0018; V-0043; V-0001–V-0003; V-0012; V-0051–V-0053</x:v>
      </x:c>
      <x:c r="H491" s="5" t="str"/>
      <x:c r="I491" s="5" t="str">
        <x:v>Analysebewertung erhalten; keine neue Frage allein aus ID-Zahlen ableiten.</x:v>
      </x:c>
      <x:c r="J491" s="5" t="str">
        <x:v>Soll-Ist-Matrix 2026-09-27</x:v>
      </x:c>
      <x:c r="K491" s="5" t="str">
        <x:v>Vorbewertung aus Soll-Ist-Matrix; Kandidaten nicht automatisch Einzelbelege</x:v>
      </x:c>
      <x:c r="L491" s="5" t="str"/>
    </x:row>
    <x:row r="492" ht="36" customHeight="1">
      <x:c r="A492" s="5" t="str">
        <x:v>8.2.5</x:v>
      </x:c>
      <x:c r="B492" s="5" t="str">
        <x:v>Marketing und Vertrieb</x:v>
      </x:c>
      <x:c r="C492" s="5" t="str">
        <x:v>Kommunikationspolitik</x:v>
      </x:c>
      <x:c r="D492" s="5" t="str">
        <x:v>vollständig abgedeckt</x:v>
      </x:c>
      <x:c r="E492" s="5" t="str">
        <x:v>vollständig abgedeckt</x:v>
      </x:c>
      <x:c r="F492" s="5" t="str"/>
      <x:c r="G492" s="5" t="str">
        <x:v>M-0059–M-0075; M-0095–M-0100; M-0103–M-0105</x:v>
      </x:c>
      <x:c r="H492" s="5" t="str"/>
      <x:c r="I492" s="5" t="str">
        <x:v>Analysebewertung erhalten; keine neue Frage allein aus ID-Zahlen ableiten.</x:v>
      </x:c>
      <x:c r="J492" s="5" t="str">
        <x:v>Soll-Ist-Matrix 2026-09-27</x:v>
      </x:c>
      <x:c r="K492" s="5" t="str">
        <x:v>Vorbewertung aus Soll-Ist-Matrix; Kandidaten nicht automatisch Einzelbelege</x:v>
      </x:c>
      <x:c r="L492" s="5" t="str">
        <x:v>M-0059; M-0060; M-0062; M-0063; M-0064; M-0065; M-0066; M-0069; M-0070; M-0072; M-0073; M-0074; M-0075; M-0096; M-0097; M-0099; M-0100; M-0103; M-0104; M-0105</x:v>
      </x:c>
    </x:row>
    <x:row r="493" ht="36" customHeight="1">
      <x:c r="A493" s="5" t="str">
        <x:v>8.2.5.1</x:v>
      </x:c>
      <x:c r="B493" s="5" t="str">
        <x:v>Marketing und Vertrieb</x:v>
      </x:c>
      <x:c r="C493" s="5" t="str">
        <x:v>Werbung</x:v>
      </x:c>
      <x:c r="D493" s="5" t="str">
        <x:v>vollständig abgedeckt</x:v>
      </x:c>
      <x:c r="E493" s="5" t="str">
        <x:v>vollständig abgedeckt</x:v>
      </x:c>
      <x:c r="F493" s="5" t="str"/>
      <x:c r="G493" s="5" t="str">
        <x:v>M-0059–M-0075; M-0095–M-0100; M-0103–M-0105</x:v>
      </x:c>
      <x:c r="H493" s="5" t="str"/>
      <x:c r="I493" s="5" t="str">
        <x:v>Analysebewertung erhalten; keine neue Frage allein aus ID-Zahlen ableiten.</x:v>
      </x:c>
      <x:c r="J493" s="5" t="str">
        <x:v>Soll-Ist-Matrix 2026-09-27</x:v>
      </x:c>
      <x:c r="K493" s="5" t="str">
        <x:v>Vorbewertung aus Soll-Ist-Matrix; Kandidaten nicht automatisch Einzelbelege</x:v>
      </x:c>
      <x:c r="L493" s="5" t="str">
        <x:v>M-0061; M-0067; M-0098</x:v>
      </x:c>
    </x:row>
    <x:row r="494" ht="36" customHeight="1">
      <x:c r="A494" s="5" t="str">
        <x:v>8.2.5.2</x:v>
      </x:c>
      <x:c r="B494" s="5" t="str">
        <x:v>Marketing und Vertrieb</x:v>
      </x:c>
      <x:c r="C494" s="5" t="str">
        <x:v>Verkaufsförderung</x:v>
      </x:c>
      <x:c r="D494" s="5" t="str">
        <x:v>vollständig abgedeckt</x:v>
      </x:c>
      <x:c r="E494" s="5" t="str">
        <x:v>vollständig abgedeckt</x:v>
      </x:c>
      <x:c r="F494" s="5" t="str"/>
      <x:c r="G494" s="5" t="str">
        <x:v>M-0059–M-0075; M-0095–M-0100; M-0103–M-0105</x:v>
      </x:c>
      <x:c r="H494" s="5" t="str"/>
      <x:c r="I494" s="5" t="str">
        <x:v>Analysebewertung erhalten; keine neue Frage allein aus ID-Zahlen ableiten.</x:v>
      </x:c>
      <x:c r="J494" s="5" t="str">
        <x:v>Soll-Ist-Matrix 2026-09-27</x:v>
      </x:c>
      <x:c r="K494" s="5" t="str">
        <x:v>Vorbewertung aus Soll-Ist-Matrix; Kandidaten nicht automatisch Einzelbelege</x:v>
      </x:c>
      <x:c r="L494" s="5" t="str">
        <x:v>M-0068; M-0095</x:v>
      </x:c>
    </x:row>
    <x:row r="495" ht="36" customHeight="1">
      <x:c r="A495" s="5" t="str">
        <x:v>8.2.5.3</x:v>
      </x:c>
      <x:c r="B495" s="5" t="str">
        <x:v>Marketing und Vertrieb</x:v>
      </x:c>
      <x:c r="C495" s="5" t="str">
        <x:v>Public Relation</x:v>
      </x:c>
      <x:c r="D495" s="5" t="str">
        <x:v>vollständig abgedeckt</x:v>
      </x:c>
      <x:c r="E495" s="5" t="str">
        <x:v>vollständig abgedeckt</x:v>
      </x:c>
      <x:c r="F495" s="5" t="str"/>
      <x:c r="G495" s="5" t="str">
        <x:v>M-0059–M-0075; M-0095–M-0100; M-0103–M-0105</x:v>
      </x:c>
      <x:c r="H495" s="5" t="str"/>
      <x:c r="I495" s="5" t="str">
        <x:v>Analysebewertung erhalten; keine neue Frage allein aus ID-Zahlen ableiten.</x:v>
      </x:c>
      <x:c r="J495" s="5" t="str">
        <x:v>Soll-Ist-Matrix 2026-09-27</x:v>
      </x:c>
      <x:c r="K495" s="5" t="str">
        <x:v>Vorbewertung aus Soll-Ist-Matrix; Kandidaten nicht automatisch Einzelbelege</x:v>
      </x:c>
      <x:c r="L495" s="5" t="str"/>
    </x:row>
    <x:row r="496" ht="36" customHeight="1">
      <x:c r="A496" s="5" t="str">
        <x:v>8.2.5.4</x:v>
      </x:c>
      <x:c r="B496" s="5" t="str">
        <x:v>Marketing und Vertrieb</x:v>
      </x:c>
      <x:c r="C496" s="5" t="str">
        <x:v>Sponsoring</x:v>
      </x:c>
      <x:c r="D496" s="5" t="str">
        <x:v>vollständig abgedeckt</x:v>
      </x:c>
      <x:c r="E496" s="5" t="str">
        <x:v>vollständig abgedeckt</x:v>
      </x:c>
      <x:c r="F496" s="5" t="str"/>
      <x:c r="G496" s="5" t="str">
        <x:v>M-0059–M-0075; M-0095–M-0100; M-0103–M-0105</x:v>
      </x:c>
      <x:c r="H496" s="5" t="str"/>
      <x:c r="I496" s="5" t="str">
        <x:v>Analysebewertung erhalten; keine neue Frage allein aus ID-Zahlen ableiten.</x:v>
      </x:c>
      <x:c r="J496" s="5" t="str">
        <x:v>Soll-Ist-Matrix 2026-09-27</x:v>
      </x:c>
      <x:c r="K496" s="5" t="str">
        <x:v>Vorbewertung aus Soll-Ist-Matrix; Kandidaten nicht automatisch Einzelbelege</x:v>
      </x:c>
      <x:c r="L496" s="5" t="str">
        <x:v>M-0071</x:v>
      </x:c>
    </x:row>
    <x:row r="497" ht="36" customHeight="1">
      <x:c r="A497" s="5" t="str">
        <x:v>8.2.6</x:v>
      </x:c>
      <x:c r="B497" s="5" t="str">
        <x:v>Marketing und Vertrieb</x:v>
      </x:c>
      <x:c r="C497" s="5" t="str">
        <x:v>Marketing-Mix</x:v>
      </x:c>
      <x:c r="D497" s="5" t="str">
        <x:v>vollständig abgedeckt</x:v>
      </x:c>
      <x:c r="E497" s="5" t="str">
        <x:v>vollständig abgedeckt</x:v>
      </x:c>
      <x:c r="F497" s="5" t="str"/>
      <x:c r="G497" s="5" t="str">
        <x:v>M-0001–M-0003; M-0076; M-0091; M-0004; M-0007; M-0028–M-0033; M-0079, M-0080; M-0011; M-0017–M-0022; M-0024–M-0027; M-0077, M-0078; M-0090; M-0107</x:v>
      </x:c>
      <x:c r="H497" s="5" t="str"/>
      <x:c r="I497" s="5" t="str">
        <x:v>Analysebewertung erhalten; keine neue Frage allein aus ID-Zahlen ableiten.</x:v>
      </x:c>
      <x:c r="J497" s="5" t="str">
        <x:v>Soll-Ist-Matrix 2026-09-27</x:v>
      </x:c>
      <x:c r="K497" s="5" t="str">
        <x:v>Vorbewertung aus Soll-Ist-Matrix; Kandidaten nicht automatisch Einzelbelege</x:v>
      </x:c>
      <x:c r="L497" s="5" t="str">
        <x:v>M-0001; M-0002; M-0003; M-0076; M-0091</x:v>
      </x:c>
    </x:row>
    <x:row r="498" ht="36" customHeight="1">
      <x:c r="A498" s="5" t="str">
        <x:v>8.3</x:v>
      </x:c>
      <x:c r="B498" s="5" t="str">
        <x:v>Marketing und Vertrieb</x:v>
      </x:c>
      <x:c r="C498" s="5" t="str">
        <x:v>Vertriebsmanagement</x:v>
      </x:c>
      <x:c r="D498" s="5" t="str">
        <x:v>vollständig abgedeckt</x:v>
      </x:c>
      <x:c r="E498" s="5" t="str">
        <x:v>vollständig abgedeckt</x:v>
      </x:c>
      <x:c r="F498" s="5" t="str"/>
      <x:c r="G498" s="5" t="str">
        <x:v>V-0004, V-0005; V-0044; V-0054–V-0056; V-0080; V-0006; V-0019–V-0023; V-0045; V-0057–V-0059; V-0081, V-0082</x:v>
      </x:c>
      <x:c r="H498" s="5" t="str"/>
      <x:c r="I498" s="5" t="str">
        <x:v>Analysebewertung erhalten; keine neue Frage allein aus ID-Zahlen ableiten.</x:v>
      </x:c>
      <x:c r="J498" s="5" t="str">
        <x:v>Soll-Ist-Matrix 2026-09-27</x:v>
      </x:c>
      <x:c r="K498" s="5" t="str">
        <x:v>Vorbewertung aus Soll-Ist-Matrix; Kandidaten nicht automatisch Einzelbelege</x:v>
      </x:c>
      <x:c r="L498" s="5" t="str"/>
    </x:row>
    <x:row r="499" ht="36" customHeight="1">
      <x:c r="A499" s="5" t="str">
        <x:v>8.3.1</x:v>
      </x:c>
      <x:c r="B499" s="5" t="str">
        <x:v>Marketing und Vertrieb</x:v>
      </x:c>
      <x:c r="C499" s="5" t="str">
        <x:v>Vertriebsorganisation</x:v>
      </x:c>
      <x:c r="D499" s="5" t="str">
        <x:v>vollständig abgedeckt</x:v>
      </x:c>
      <x:c r="E499" s="5" t="str">
        <x:v>vollständig abgedeckt</x:v>
      </x:c>
      <x:c r="F499" s="5" t="str"/>
      <x:c r="G499" s="5" t="str">
        <x:v>V-0004, V-0005; V-0044; V-0054–V-0056; V-0080</x:v>
      </x:c>
      <x:c r="H499" s="5" t="str"/>
      <x:c r="I499" s="5" t="str">
        <x:v>Analysebewertung erhalten; keine neue Frage allein aus ID-Zahlen ableiten.</x:v>
      </x:c>
      <x:c r="J499" s="5" t="str">
        <x:v>Soll-Ist-Matrix 2026-09-27</x:v>
      </x:c>
      <x:c r="K499" s="5" t="str">
        <x:v>Vorbewertung aus Soll-Ist-Matrix; Kandidaten nicht automatisch Einzelbelege</x:v>
      </x:c>
      <x:c r="L499" s="5" t="str">
        <x:v>V-0001; V-0002; V-0003; V-0004; V-0005; V-0007; V-0008; V-0009; V-0010; V-0011; V-0012; V-0013; V-0014; V-0015; V-0016; V-0017; V-0018; V-0043; V-0044; V-0051; V-0052; V-0053; V-0054; V-0055; V-0056; V-0080</x:v>
      </x:c>
    </x:row>
    <x:row r="500" ht="36" customHeight="1">
      <x:c r="A500" s="5" t="str">
        <x:v>8.3.2</x:v>
      </x:c>
      <x:c r="B500" s="5" t="str">
        <x:v>Marketing und Vertrieb</x:v>
      </x:c>
      <x:c r="C500" s="5" t="str">
        <x:v>Vertriebscontrolling</x:v>
      </x:c>
      <x:c r="D500" s="5" t="str">
        <x:v>vollständig abgedeckt</x:v>
      </x:c>
      <x:c r="E500" s="5" t="str">
        <x:v>vollständig abgedeckt</x:v>
      </x:c>
      <x:c r="F500" s="5" t="str"/>
      <x:c r="G500" s="5" t="str">
        <x:v>V-0006; V-0019–V-0023; V-0045; V-0057–V-0059; V-0081, V-0082</x:v>
      </x:c>
      <x:c r="H500" s="5" t="str"/>
      <x:c r="I500" s="5" t="str">
        <x:v>Analysebewertung erhalten; keine neue Frage allein aus ID-Zahlen ableiten.</x:v>
      </x:c>
      <x:c r="J500" s="5" t="str">
        <x:v>Soll-Ist-Matrix 2026-09-27</x:v>
      </x:c>
      <x:c r="K500" s="5" t="str">
        <x:v>Vorbewertung aus Soll-Ist-Matrix; Kandidaten nicht automatisch Einzelbelege</x:v>
      </x:c>
      <x:c r="L500" s="5" t="str">
        <x:v>V-0006; V-0019; V-0020; V-0021; V-0022; V-0023; V-0045; V-0057; V-0058; V-0059; V-0081; V-0082</x:v>
      </x:c>
    </x:row>
    <x:row r="501" ht="36" customHeight="1">
      <x:c r="A501" s="5" t="str">
        <x:v>8.4</x:v>
      </x:c>
      <x:c r="B501" s="5" t="str">
        <x:v>Marketing und Vertrieb</x:v>
      </x:c>
      <x:c r="C501" s="5" t="str">
        <x:v>Internationale Geschäftsbeziehungen und Geschäftsentwicklung, interkulturelle Kommunikation</x:v>
      </x:c>
      <x:c r="D501" s="5" t="str">
        <x:v>vollständig abgedeckt</x:v>
      </x:c>
      <x:c r="E501" s="5" t="str">
        <x:v>vollständig abgedeckt</x:v>
      </x:c>
      <x:c r="F501" s="5" t="str"/>
      <x:c r="G501" s="5" t="str">
        <x:v>V-0024–V-0027; V-0060–V-0066; V-0083; V-0028–V-0030; V-0067–V-0071; V-0084; V-0031, V-0032; V-0046, V-0047; V-0072, V-0073</x:v>
      </x:c>
      <x:c r="H501" s="5" t="str"/>
      <x:c r="I501" s="5" t="str">
        <x:v>Analysebewertung erhalten; keine neue Frage allein aus ID-Zahlen ableiten.</x:v>
      </x:c>
      <x:c r="J501" s="5" t="str">
        <x:v>Soll-Ist-Matrix 2026-09-27</x:v>
      </x:c>
      <x:c r="K501" s="5" t="str">
        <x:v>Vorbewertung aus Soll-Ist-Matrix; Kandidaten nicht automatisch Einzelbelege</x:v>
      </x:c>
      <x:c r="L501" s="5" t="str"/>
    </x:row>
    <x:row r="502" ht="36" customHeight="1">
      <x:c r="A502" s="5" t="str">
        <x:v>8.4.1</x:v>
      </x:c>
      <x:c r="B502" s="5" t="str">
        <x:v>Marketing und Vertrieb</x:v>
      </x:c>
      <x:c r="C502" s="5" t="str">
        <x:v>Einführung in den Außenhandel</x:v>
      </x:c>
      <x:c r="D502" s="5" t="str">
        <x:v>vollständig abgedeckt</x:v>
      </x:c>
      <x:c r="E502" s="5" t="str">
        <x:v>vollständig abgedeckt</x:v>
      </x:c>
      <x:c r="F502" s="5" t="str"/>
      <x:c r="G502" s="5" t="str">
        <x:v>V-0024–V-0027; V-0060–V-0066; V-0083</x:v>
      </x:c>
      <x:c r="H502" s="5" t="str"/>
      <x:c r="I502" s="5" t="str">
        <x:v>Analysebewertung erhalten; keine neue Frage allein aus ID-Zahlen ableiten.</x:v>
      </x:c>
      <x:c r="J502" s="5" t="str">
        <x:v>Soll-Ist-Matrix 2026-09-27</x:v>
      </x:c>
      <x:c r="K502" s="5" t="str">
        <x:v>Vorbewertung aus Soll-Ist-Matrix; Kandidaten nicht automatisch Einzelbelege</x:v>
      </x:c>
      <x:c r="L502" s="5" t="str">
        <x:v>V-0024; V-0025; V-0026; V-0027; V-0060; V-0061; V-0062; V-0063; V-0064; V-0065; V-0066; V-0083</x:v>
      </x:c>
    </x:row>
    <x:row r="503" ht="36" customHeight="1">
      <x:c r="A503" s="5" t="str">
        <x:v>8.4.2</x:v>
      </x:c>
      <x:c r="B503" s="5" t="str">
        <x:v>Marketing und Vertrieb</x:v>
      </x:c>
      <x:c r="C503" s="5" t="str">
        <x:v>Kooperationen im Außenhandel</x:v>
      </x:c>
      <x:c r="D503" s="5" t="str">
        <x:v>vollständig abgedeckt</x:v>
      </x:c>
      <x:c r="E503" s="5" t="str">
        <x:v>vollständig abgedeckt</x:v>
      </x:c>
      <x:c r="F503" s="5" t="str"/>
      <x:c r="G503" s="5" t="str">
        <x:v>V-0028–V-0030; V-0067–V-0071; V-0084</x:v>
      </x:c>
      <x:c r="H503" s="5" t="str"/>
      <x:c r="I503" s="5" t="str">
        <x:v>Analysebewertung erhalten; keine neue Frage allein aus ID-Zahlen ableiten.</x:v>
      </x:c>
      <x:c r="J503" s="5" t="str">
        <x:v>Soll-Ist-Matrix 2026-09-27</x:v>
      </x:c>
      <x:c r="K503" s="5" t="str">
        <x:v>Vorbewertung aus Soll-Ist-Matrix; Kandidaten nicht automatisch Einzelbelege</x:v>
      </x:c>
      <x:c r="L503" s="5" t="str">
        <x:v>V-0028; V-0029; V-0030; V-0067; V-0068; V-0069; V-0070; V-0071; V-0084</x:v>
      </x:c>
    </x:row>
    <x:row r="504" ht="36" customHeight="1">
      <x:c r="A504" s="5" t="str">
        <x:v>8.4.3</x:v>
      </x:c>
      <x:c r="B504" s="5" t="str">
        <x:v>Marketing und Vertrieb</x:v>
      </x:c>
      <x:c r="C504" s="5" t="str">
        <x:v>Interkulturelle Kommunikationsdimensionen</x:v>
      </x:c>
      <x:c r="D504" s="5" t="str">
        <x:v>vollständig abgedeckt</x:v>
      </x:c>
      <x:c r="E504" s="5" t="str">
        <x:v>vollständig abgedeckt</x:v>
      </x:c>
      <x:c r="F504" s="5" t="str"/>
      <x:c r="G504" s="5" t="str">
        <x:v>V-0031, V-0032; V-0046, V-0047; V-0072, V-0073</x:v>
      </x:c>
      <x:c r="H504" s="5" t="str"/>
      <x:c r="I504" s="5" t="str">
        <x:v>Analysebewertung erhalten; keine neue Frage allein aus ID-Zahlen ableiten.</x:v>
      </x:c>
      <x:c r="J504" s="5" t="str">
        <x:v>Soll-Ist-Matrix 2026-09-27</x:v>
      </x:c>
      <x:c r="K504" s="5" t="str">
        <x:v>Vorbewertung aus Soll-Ist-Matrix; Kandidaten nicht automatisch Einzelbelege</x:v>
      </x:c>
      <x:c r="L504" s="5" t="str">
        <x:v>V-0031; V-0032; V-0046; V-0047; V-0072; V-0073</x:v>
      </x:c>
    </x:row>
    <x:row r="505" ht="36" customHeight="1">
      <x:c r="A505" s="5" t="str">
        <x:v>8.5</x:v>
      </x:c>
      <x:c r="B505" s="5" t="str">
        <x:v>Marketing und Vertrieb</x:v>
      </x:c>
      <x:c r="C505" s="5" t="str">
        <x:v>Spezielle Rechtsaspekte</x:v>
      </x:c>
      <x:c r="D505" s="5" t="str">
        <x:v>teilweise abgedeckt</x:v>
      </x:c>
      <x:c r="E505" s="5" t="str">
        <x:v>teilweise abgedeckt</x:v>
      </x:c>
      <x:c r="F505" s="5" t="str">
        <x:v>V-0040; V-0077</x:v>
      </x:c>
      <x:c r="G505" s="5" t="str">
        <x:v>V-0033–V-0036; V-0050; V-0074, V-0075; V-0037–V-0039; V-0048, V-0049; V-0076; V-0040–V-0042; V-0077–V-0079</x:v>
      </x:c>
      <x:c r="H505" s="5" t="str">
        <x:v>8.5.3.1: Der Vertragstyp und der Zusammenhang von Mängelrechten und Nacherfüllung bleiben im HQ-Bestand nicht vollständig ausdrücklich. WQ-Recht-Belege dürfen den HQ-Bestand nicht als eigene Abdeckung ersetzen.</x:v>
      </x:c>
      <x:c r="I505" s="5" t="str">
        <x:v>Abgeleiteter Elternstatus; keine zusätzliche Inhaltsaufgabe. Siehe Einzelpunkte 8.5.3.1</x:v>
      </x:c>
      <x:c r="J505" s="5" t="str">
        <x:v>Soll-Ist-Matrix 2026-09-27</x:v>
      </x:c>
      <x:c r="K505" s="5" t="str">
        <x:v>Elternbewertung aus einzeln geprüften Unterpunkten</x:v>
      </x:c>
      <x:c r="L505" s="5" t="str"/>
    </x:row>
    <x:row r="506" ht="36" customHeight="1">
      <x:c r="A506" s="5" t="str">
        <x:v>8.5.1</x:v>
      </x:c>
      <x:c r="B506" s="5" t="str">
        <x:v>Marketing und Vertrieb</x:v>
      </x:c>
      <x:c r="C506" s="5" t="str">
        <x:v>Wettbewerbsrecht</x:v>
      </x:c>
      <x:c r="D506" s="5" t="str">
        <x:v>vollständig abgedeckt</x:v>
      </x:c>
      <x:c r="E506" s="5" t="str">
        <x:v>vollständig abgedeckt</x:v>
      </x:c>
      <x:c r="F506" s="5" t="str"/>
      <x:c r="G506" s="5" t="str">
        <x:v>V-0033–V-0036; V-0050; V-0074, V-0075</x:v>
      </x:c>
      <x:c r="H506" s="5" t="str"/>
      <x:c r="I506" s="5" t="str">
        <x:v>Analysebewertung erhalten; keine neue Frage allein aus ID-Zahlen ableiten.</x:v>
      </x:c>
      <x:c r="J506" s="5" t="str">
        <x:v>Soll-Ist-Matrix 2026-09-27</x:v>
      </x:c>
      <x:c r="K506" s="5" t="str">
        <x:v>Vorbewertung aus Soll-Ist-Matrix; Kandidaten nicht automatisch Einzelbelege</x:v>
      </x:c>
      <x:c r="L506" s="5" t="str">
        <x:v>V-0033; V-0034; V-0035; V-0036; V-0050; V-0074; V-0075</x:v>
      </x:c>
    </x:row>
    <x:row r="507" ht="36" customHeight="1">
      <x:c r="A507" s="5" t="str">
        <x:v>8.5.1.1</x:v>
      </x:c>
      <x:c r="B507" s="5" t="str">
        <x:v>Marketing und Vertrieb</x:v>
      </x:c>
      <x:c r="C507" s="5" t="str">
        <x:v>Verbot unlauteren Wettbewerbs (UWG)</x:v>
      </x:c>
      <x:c r="D507" s="5" t="str">
        <x:v>vollständig abgedeckt</x:v>
      </x:c>
      <x:c r="E507" s="5" t="str">
        <x:v>vollständig abgedeckt</x:v>
      </x:c>
      <x:c r="F507" s="5" t="str"/>
      <x:c r="G507" s="5" t="str">
        <x:v>V-0033–V-0036; V-0050; V-0074, V-0075</x:v>
      </x:c>
      <x:c r="H507" s="5" t="str"/>
      <x:c r="I507" s="5" t="str">
        <x:v>Analysebewertung erhalten; keine neue Frage allein aus ID-Zahlen ableiten.</x:v>
      </x:c>
      <x:c r="J507" s="5" t="str">
        <x:v>Soll-Ist-Matrix 2026-09-27</x:v>
      </x:c>
      <x:c r="K507" s="5" t="str">
        <x:v>Vorbewertung aus Soll-Ist-Matrix; Kandidaten nicht automatisch Einzelbelege</x:v>
      </x:c>
      <x:c r="L507" s="5" t="str"/>
    </x:row>
    <x:row r="508" ht="36" customHeight="1">
      <x:c r="A508" s="5" t="str">
        <x:v>8.5.1.2</x:v>
      </x:c>
      <x:c r="B508" s="5" t="str">
        <x:v>Marketing und Vertrieb</x:v>
      </x:c>
      <x:c r="C508" s="5" t="str">
        <x:v>Kartellverbot (GWB)</x:v>
      </x:c>
      <x:c r="D508" s="5" t="str">
        <x:v>vollständig abgedeckt</x:v>
      </x:c>
      <x:c r="E508" s="5" t="str">
        <x:v>vollständig abgedeckt</x:v>
      </x:c>
      <x:c r="F508" s="5" t="str"/>
      <x:c r="G508" s="5" t="str">
        <x:v>V-0033–V-0036; V-0050; V-0074, V-0075</x:v>
      </x:c>
      <x:c r="H508" s="5" t="str"/>
      <x:c r="I508" s="5" t="str">
        <x:v>Analysebewertung erhalten; keine neue Frage allein aus ID-Zahlen ableiten.</x:v>
      </x:c>
      <x:c r="J508" s="5" t="str">
        <x:v>Soll-Ist-Matrix 2026-09-27</x:v>
      </x:c>
      <x:c r="K508" s="5" t="str">
        <x:v>Vorbewertung aus Soll-Ist-Matrix; Kandidaten nicht automatisch Einzelbelege</x:v>
      </x:c>
      <x:c r="L508" s="5" t="str"/>
    </x:row>
    <x:row r="509" ht="36" customHeight="1">
      <x:c r="A509" s="5" t="str">
        <x:v>8.5.2</x:v>
      </x:c>
      <x:c r="B509" s="5" t="str">
        <x:v>Marketing und Vertrieb</x:v>
      </x:c>
      <x:c r="C509" s="5" t="str">
        <x:v>Markenrecht</x:v>
      </x:c>
      <x:c r="D509" s="5" t="str">
        <x:v>vollständig abgedeckt</x:v>
      </x:c>
      <x:c r="E509" s="5" t="str">
        <x:v>vollständig abgedeckt</x:v>
      </x:c>
      <x:c r="F509" s="5" t="str"/>
      <x:c r="G509" s="5" t="str">
        <x:v>V-0037–V-0039; V-0048, V-0049; V-0076</x:v>
      </x:c>
      <x:c r="H509" s="5" t="str"/>
      <x:c r="I509" s="5" t="str">
        <x:v>Analysebewertung erhalten; keine neue Frage allein aus ID-Zahlen ableiten.</x:v>
      </x:c>
      <x:c r="J509" s="5" t="str">
        <x:v>Soll-Ist-Matrix 2026-09-27</x:v>
      </x:c>
      <x:c r="K509" s="5" t="str">
        <x:v>Vorbewertung aus Soll-Ist-Matrix; Kandidaten nicht automatisch Einzelbelege</x:v>
      </x:c>
      <x:c r="L509" s="5" t="str"/>
    </x:row>
    <x:row r="510" ht="36" customHeight="1">
      <x:c r="A510" s="5" t="str">
        <x:v>8.5.2.1</x:v>
      </x:c>
      <x:c r="B510" s="5" t="str">
        <x:v>Marketing und Vertrieb</x:v>
      </x:c>
      <x:c r="C510" s="5" t="str">
        <x:v>Schutz von Marken und geschäftlichen Bezeichnungen</x:v>
      </x:c>
      <x:c r="D510" s="5" t="str">
        <x:v>vollständig abgedeckt</x:v>
      </x:c>
      <x:c r="E510" s="5" t="str">
        <x:v>vollständig abgedeckt</x:v>
      </x:c>
      <x:c r="F510" s="5" t="str"/>
      <x:c r="G510" s="5" t="str">
        <x:v>V-0037–V-0039; V-0048, V-0049; V-0076</x:v>
      </x:c>
      <x:c r="H510" s="5" t="str"/>
      <x:c r="I510" s="5" t="str">
        <x:v>Analysebewertung erhalten; keine neue Frage allein aus ID-Zahlen ableiten.</x:v>
      </x:c>
      <x:c r="J510" s="5" t="str">
        <x:v>Soll-Ist-Matrix 2026-09-27</x:v>
      </x:c>
      <x:c r="K510" s="5" t="str">
        <x:v>Vorbewertung aus Soll-Ist-Matrix; Kandidaten nicht automatisch Einzelbelege</x:v>
      </x:c>
      <x:c r="L510" s="5" t="str">
        <x:v>V-0037; V-0038; V-0039; V-0048; V-0049; V-0076</x:v>
      </x:c>
    </x:row>
    <x:row r="511" ht="36" customHeight="1">
      <x:c r="A511" s="5" t="str">
        <x:v>8.5.2.2</x:v>
      </x:c>
      <x:c r="B511" s="5" t="str">
        <x:v>Marketing und Vertrieb</x:v>
      </x:c>
      <x:c r="C511" s="5" t="str">
        <x:v>Beginn und Ende des Markenschutzes</x:v>
      </x:c>
      <x:c r="D511" s="5" t="str">
        <x:v>vollständig abgedeckt</x:v>
      </x:c>
      <x:c r="E511" s="5" t="str">
        <x:v>vollständig abgedeckt</x:v>
      </x:c>
      <x:c r="F511" s="5" t="str"/>
      <x:c r="G511" s="5" t="str">
        <x:v>V-0037–V-0039; V-0048, V-0049; V-0076</x:v>
      </x:c>
      <x:c r="H511" s="5" t="str"/>
      <x:c r="I511" s="5" t="str">
        <x:v>Analysebewertung erhalten; keine neue Frage allein aus ID-Zahlen ableiten.</x:v>
      </x:c>
      <x:c r="J511" s="5" t="str">
        <x:v>Soll-Ist-Matrix 2026-09-27</x:v>
      </x:c>
      <x:c r="K511" s="5" t="str">
        <x:v>Vorbewertung aus Soll-Ist-Matrix; Kandidaten nicht automatisch Einzelbelege</x:v>
      </x:c>
      <x:c r="L511" s="5" t="str"/>
    </x:row>
    <x:row r="512" ht="36" customHeight="1">
      <x:c r="A512" s="5" t="str">
        <x:v>8.5.3</x:v>
      </x:c>
      <x:c r="B512" s="5" t="str">
        <x:v>Marketing und Vertrieb</x:v>
      </x:c>
      <x:c r="C512" s="5" t="str">
        <x:v>Verbraucherschutz</x:v>
      </x:c>
      <x:c r="D512" s="5" t="str">
        <x:v>teilweise abgedeckt</x:v>
      </x:c>
      <x:c r="E512" s="5" t="str">
        <x:v>teilweise abgedeckt</x:v>
      </x:c>
      <x:c r="F512" s="5" t="str">
        <x:v>V-0040; V-0077</x:v>
      </x:c>
      <x:c r="G512" s="5" t="str">
        <x:v>V-0040–V-0042; V-0077–V-0079</x:v>
      </x:c>
      <x:c r="H512" s="5" t="str">
        <x:v>8.5.3.1: Der Vertragstyp und der Zusammenhang von Mängelrechten und Nacherfüllung bleiben im HQ-Bestand nicht vollständig ausdrücklich. WQ-Recht-Belege dürfen den HQ-Bestand nicht als eigene Abdeckung ersetzen.</x:v>
      </x:c>
      <x:c r="I512" s="5" t="str">
        <x:v>Abgeleiteter Elternstatus; keine zusätzliche Inhaltsaufgabe. Siehe Einzelpunkte 8.5.3.1</x:v>
      </x:c>
      <x:c r="J512" s="5" t="str">
        <x:v>Soll-Ist-Matrix 2026-09-27</x:v>
      </x:c>
      <x:c r="K512" s="5" t="str">
        <x:v>Elternbewertung aus einzeln geprüften Unterpunkten</x:v>
      </x:c>
      <x:c r="L512" s="5" t="str">
        <x:v>V-0041</x:v>
      </x:c>
    </x:row>
    <x:row r="513" ht="36" customHeight="1">
      <x:c r="A513" s="5" t="str">
        <x:v>8.5.3.1</x:v>
      </x:c>
      <x:c r="B513" s="5" t="str">
        <x:v>Marketing und Vertrieb</x:v>
      </x:c>
      <x:c r="C513" s="5" t="str">
        <x:v>Besonderheiten des Verbrauchsgüterkaufs</x:v>
      </x:c>
      <x:c r="D513" s="5" t="str">
        <x:v>teilweise abgedeckt</x:v>
      </x:c>
      <x:c r="E513" s="5" t="str">
        <x:v>teilweise abgedeckt</x:v>
      </x:c>
      <x:c r="F513" s="5" t="str">
        <x:v>V-0040; V-0077</x:v>
      </x:c>
      <x:c r="G513" s="5" t="str">
        <x:v>V-0040–V-0042; V-0077–V-0079</x:v>
      </x:c>
      <x:c r="H513" s="5" t="str">
        <x:v>Der Vertragstyp und der Zusammenhang von Mängelrechten und Nacherfüllung bleiben im HQ-Bestand nicht vollständig ausdrücklich. WQ-Recht-Belege dürfen den HQ-Bestand nicht als eigene Abdeckung ersetzen.</x:v>
      </x:c>
      <x:c r="I513" s="5" t="str">
        <x:v>V-0077 später unter derselben ID um Vertragstyp sowie Mängelrechte/Nacherfüllung ergänzen; Rechtsstand vor Veröffentlichung prüfen. Keine Kopie von R-IDs und keine zusätzliche ID automatisch erzeugen.</x:v>
      </x:c>
      <x:c r="J513" s="5" t="str">
        <x:v>V_Buch: Kap. 5.3.1; MV_Skript: Gegenprüfung Verbraucherschutz</x:v>
      </x:c>
      <x:c r="K513" s="5" t="str">
        <x:v>Vorbewertung aus Soll-Ist-Matrix; Kandidaten nicht automatisch Einzelbelege</x:v>
      </x:c>
      <x:c r="L513" s="5" t="str">
        <x:v>V-0040; V-0077</x:v>
      </x:c>
    </x:row>
    <x:row r="514" ht="36" customHeight="1">
      <x:c r="A514" s="5" t="str">
        <x:v>8.5.3.2</x:v>
      </x:c>
      <x:c r="B514" s="5" t="str">
        <x:v>Marketing und Vertrieb</x:v>
      </x:c>
      <x:c r="C514" s="5" t="str">
        <x:v>Widerrufsrecht bei Verbraucherverträgen</x:v>
      </x:c>
      <x:c r="D514" s="5" t="str">
        <x:v>vollständig abgedeckt</x:v>
      </x:c>
      <x:c r="E514" s="5" t="str">
        <x:v>vollständig abgedeckt</x:v>
      </x:c>
      <x:c r="F514" s="5" t="str"/>
      <x:c r="G514" s="5" t="str">
        <x:v>V-0040–V-0042; V-0077–V-0079</x:v>
      </x:c>
      <x:c r="H514" s="5" t="str"/>
      <x:c r="I514" s="5" t="str">
        <x:v>Analysebewertung erhalten; keine neue Frage allein aus ID-Zahlen ableiten.</x:v>
      </x:c>
      <x:c r="J514" s="5" t="str">
        <x:v>Soll-Ist-Matrix 2026-09-27</x:v>
      </x:c>
      <x:c r="K514" s="5" t="str">
        <x:v>Vorbewertung aus Soll-Ist-Matrix; Kandidaten nicht automatisch Einzelbelege</x:v>
      </x:c>
      <x:c r="L514" s="5" t="str">
        <x:v>V-0078</x:v>
      </x:c>
    </x:row>
    <x:row r="515" ht="36" customHeight="1">
      <x:c r="A515" s="5" t="str">
        <x:v>8.5.3.3</x:v>
      </x:c>
      <x:c r="B515" s="5" t="str">
        <x:v>Marketing und Vertrieb</x:v>
      </x:c>
      <x:c r="C515" s="5" t="str">
        <x:v>Einbeziehung und Inhaltskontrolle von AGB</x:v>
      </x:c>
      <x:c r="D515" s="5" t="str">
        <x:v>vollständig abgedeckt</x:v>
      </x:c>
      <x:c r="E515" s="5" t="str">
        <x:v>vollständig abgedeckt</x:v>
      </x:c>
      <x:c r="F515" s="5" t="str"/>
      <x:c r="G515" s="5" t="str">
        <x:v>V-0040–V-0042; V-0077–V-0079</x:v>
      </x:c>
      <x:c r="H515" s="5" t="str"/>
      <x:c r="I515" s="5" t="str">
        <x:v>Analysebewertung erhalten; keine neue Frage allein aus ID-Zahlen ableiten.</x:v>
      </x:c>
      <x:c r="J515" s="5" t="str">
        <x:v>Soll-Ist-Matrix 2026-09-27</x:v>
      </x:c>
      <x:c r="K515" s="5" t="str">
        <x:v>Vorbewertung aus Soll-Ist-Matrix; Kandidaten nicht automatisch Einzelbelege</x:v>
      </x:c>
      <x:c r="L515" s="5" t="str">
        <x:v>V-0042; V-0079</x:v>
      </x:c>
    </x:row>
    <x:row r="516" ht="36" customHeight="1">
      <x:c r="A516" s="5" t="str">
        <x:v>9</x:v>
      </x:c>
      <x:c r="B516" s="5" t="str">
        <x:v>Führung und Zusammenarbeit</x:v>
      </x:c>
      <x:c r="C516" s="5" t="str">
        <x:v>Führung und Zusammenarbeit</x:v>
      </x:c>
      <x:c r="D516" s="5" t="str">
        <x:v>vollständig abgedeckt</x:v>
      </x:c>
      <x:c r="E516" s="5" t="str">
        <x:v>vollständig abgedeckt</x:v>
      </x:c>
      <x:c r="F516" s="5" t="str"/>
      <x:c r="G516" s="5" t="str">
        <x:v>PF-0023–PF-0030; PF-0054; PF-0115; PF-0152; PF-0159, PF-0160; PF-0114; PF-0116–PF-0119; PF-0121; PF-0136, PF-0137; PF-0175, PF-0176; PF-0178; PF-0204, PF-0205; PF-0001–PF-0012; PF-0018–PF-0022; PF-0034, PF-0035; PF-0039; PF-0078; PF-0162; PF-0181, PF-0182; PF-0031–PF-0033; PF-0036–PF-0038; PF-0040–PF-0053; PF-0055–PF-0057; PF-0120; PF-0161; PF-0163; PF-0184, PF-0185; PF-0183; PF-0013–PF-0017; PF-0058–PF-0073; PF-0095; PF-0153; PF-0194–PF-0197; PF-0074–PF-0077; PF-0079–PF-0087; PF-0089; PF-0154; PF-0164; PF-0188, PF-0189; PF-0088; PF-0090–PF-0094; PF-0155; PF-0165–PF-0167; PF-0198, PF-0199; PF-0096–PF-0113; PF-0156; PF-0168–PF-0174; PF-0200, PF-0201; PF-0122–PF-0135; PF-0157; PF-0177; PF-0206, PF-0207; PF-0138–PF-0151; PF-0158; PF-0179, PF-0180</x:v>
      </x:c>
      <x:c r="H516" s="5" t="str"/>
      <x:c r="I516" s="5" t="str">
        <x:v>Analysebewertung erhalten; keine neue Frage allein aus ID-Zahlen ableiten.</x:v>
      </x:c>
      <x:c r="J516" s="5" t="str">
        <x:v>Soll-Ist-Matrix 2026-09-27</x:v>
      </x:c>
      <x:c r="K516" s="5" t="str">
        <x:v>Vorbewertung aus Soll-Ist-Matrix; Kandidaten nicht automatisch Einzelbelege</x:v>
      </x:c>
      <x:c r="L516" s="5" t="str"/>
    </x:row>
    <x:row r="517" ht="36" customHeight="1">
      <x:c r="A517" s="5" t="str">
        <x:v>9.1</x:v>
      </x:c>
      <x:c r="B517" s="5" t="str">
        <x:v>Führung und Zusammenarbeit</x:v>
      </x:c>
      <x:c r="C517" s="5" t="str">
        <x:v>Zusammenarbeit, Kommunikation und Kooperation</x:v>
      </x:c>
      <x:c r="D517" s="5" t="str">
        <x:v>vollständig abgedeckt</x:v>
      </x:c>
      <x:c r="E517" s="5" t="str">
        <x:v>vollständig abgedeckt</x:v>
      </x:c>
      <x:c r="F517" s="5" t="str"/>
      <x:c r="G517" s="5" t="str">
        <x:v>PF-0023–PF-0030; PF-0054; PF-0115; PF-0152; PF-0159, PF-0160; PF-0114; PF-0116–PF-0119; PF-0121; PF-0136, PF-0137; PF-0175, PF-0176; PF-0178; PF-0204, PF-0205; PF-0001–PF-0012; PF-0018–PF-0022; PF-0034, PF-0035; PF-0039; PF-0078; PF-0162; PF-0181, PF-0182; PF-0031–PF-0033; PF-0036–PF-0038; PF-0040–PF-0053; PF-0055–PF-0057; PF-0120; PF-0161; PF-0163; PF-0184, PF-0185; PF-0183</x:v>
      </x:c>
      <x:c r="H517" s="5" t="str"/>
      <x:c r="I517" s="5" t="str">
        <x:v>Analysebewertung erhalten; keine neue Frage allein aus ID-Zahlen ableiten.</x:v>
      </x:c>
      <x:c r="J517" s="5" t="str">
        <x:v>Soll-Ist-Matrix 2026-09-27</x:v>
      </x:c>
      <x:c r="K517" s="5" t="str">
        <x:v>Vorbewertung aus Soll-Ist-Matrix; Kandidaten nicht automatisch Einzelbelege</x:v>
      </x:c>
      <x:c r="L517" s="5" t="str"/>
    </x:row>
    <x:row r="518" ht="36" customHeight="1">
      <x:c r="A518" s="5" t="str">
        <x:v>9.1.1</x:v>
      </x:c>
      <x:c r="B518" s="5" t="str">
        <x:v>Führung und Zusammenarbeit</x:v>
      </x:c>
      <x:c r="C518" s="5" t="str">
        <x:v>Zusammenhang Persönlichkeit und beruflicher Entwicklung</x:v>
      </x:c>
      <x:c r="D518" s="5" t="str">
        <x:v>vollständig abgedeckt</x:v>
      </x:c>
      <x:c r="E518" s="5" t="str">
        <x:v>vollständig abgedeckt</x:v>
      </x:c>
      <x:c r="F518" s="5" t="str"/>
      <x:c r="G518" s="5" t="str">
        <x:v>PF-0023–PF-0030; PF-0054; PF-0115; PF-0152; PF-0159, PF-0160</x:v>
      </x:c>
      <x:c r="H518" s="5" t="str"/>
      <x:c r="I518" s="5" t="str">
        <x:v>Analysebewertung erhalten; keine neue Frage allein aus ID-Zahlen ableiten.</x:v>
      </x:c>
      <x:c r="J518" s="5" t="str">
        <x:v>Soll-Ist-Matrix 2026-09-27</x:v>
      </x:c>
      <x:c r="K518" s="5" t="str">
        <x:v>Vorbewertung aus Soll-Ist-Matrix; Kandidaten nicht automatisch Einzelbelege</x:v>
      </x:c>
      <x:c r="L518" s="5" t="str">
        <x:v>PF-0023; PF-0024; PF-0025; PF-0026; PF-0027; PF-0028; PF-0029; PF-0030; PF-0054; PF-0115; PF-0152; PF-0159; PF-0160</x:v>
      </x:c>
    </x:row>
    <x:row r="519" ht="36" customHeight="1">
      <x:c r="A519" s="5" t="str">
        <x:v>9.1.2</x:v>
      </x:c>
      <x:c r="B519" s="5" t="str">
        <x:v>Führung und Zusammenarbeit</x:v>
      </x:c>
      <x:c r="C519" s="5" t="str">
        <x:v>Entwicklung des Sozialverhalten</x:v>
      </x:c>
      <x:c r="D519" s="5" t="str">
        <x:v>vollständig abgedeckt</x:v>
      </x:c>
      <x:c r="E519" s="5" t="str">
        <x:v>vollständig abgedeckt</x:v>
      </x:c>
      <x:c r="F519" s="5" t="str"/>
      <x:c r="G519" s="5" t="str">
        <x:v>PF-0023–PF-0030; PF-0054; PF-0115; PF-0152; PF-0159, PF-0160; PF-0114; PF-0116–PF-0119; PF-0121; PF-0136, PF-0137; PF-0175, PF-0176; PF-0178; PF-0204, PF-0205</x:v>
      </x:c>
      <x:c r="H519" s="5" t="str"/>
      <x:c r="I519" s="5" t="str">
        <x:v>Analysebewertung erhalten; keine neue Frage allein aus ID-Zahlen ableiten.</x:v>
      </x:c>
      <x:c r="J519" s="5" t="str">
        <x:v>Soll-Ist-Matrix 2026-09-27</x:v>
      </x:c>
      <x:c r="K519" s="5" t="str">
        <x:v>Vorbewertung aus Soll-Ist-Matrix; Kandidaten nicht automatisch Einzelbelege</x:v>
      </x:c>
      <x:c r="L519" s="5" t="str"/>
    </x:row>
    <x:row r="520" ht="36" customHeight="1">
      <x:c r="A520" s="5" t="str">
        <x:v>9.1.3</x:v>
      </x:c>
      <x:c r="B520" s="5" t="str">
        <x:v>Führung und Zusammenarbeit</x:v>
      </x:c>
      <x:c r="C520" s="5" t="str">
        <x:v>Psychologische und soziologische Aspekte bestimmter Personengruppen</x:v>
      </x:c>
      <x:c r="D520" s="5" t="str">
        <x:v>vollständig abgedeckt</x:v>
      </x:c>
      <x:c r="E520" s="5" t="str">
        <x:v>vollständig abgedeckt</x:v>
      </x:c>
      <x:c r="F520" s="5" t="str"/>
      <x:c r="G520" s="5" t="str">
        <x:v>PF-0023–PF-0030; PF-0054; PF-0115; PF-0152; PF-0159, PF-0160</x:v>
      </x:c>
      <x:c r="H520" s="5" t="str"/>
      <x:c r="I520" s="5" t="str">
        <x:v>Analysebewertung erhalten; keine neue Frage allein aus ID-Zahlen ableiten.</x:v>
      </x:c>
      <x:c r="J520" s="5" t="str">
        <x:v>Soll-Ist-Matrix 2026-09-27</x:v>
      </x:c>
      <x:c r="K520" s="5" t="str">
        <x:v>Vorbewertung aus Soll-Ist-Matrix; Kandidaten nicht automatisch Einzelbelege</x:v>
      </x:c>
      <x:c r="L520" s="5" t="str"/>
    </x:row>
    <x:row r="521" ht="36" customHeight="1">
      <x:c r="A521" s="5" t="str">
        <x:v>9.1.4</x:v>
      </x:c>
      <x:c r="B521" s="5" t="str">
        <x:v>Führung und Zusammenarbeit</x:v>
      </x:c>
      <x:c r="C521" s="5" t="str">
        <x:v>Zielorientiertes Führen</x:v>
      </x:c>
      <x:c r="D521" s="5" t="str">
        <x:v>vollständig abgedeckt</x:v>
      </x:c>
      <x:c r="E521" s="5" t="str">
        <x:v>vollständig abgedeckt</x:v>
      </x:c>
      <x:c r="F521" s="5" t="str"/>
      <x:c r="G521" s="5" t="str">
        <x:v>PF-0001–PF-0012; PF-0018–PF-0022; PF-0034, PF-0035; PF-0039; PF-0078; PF-0162; PF-0181, PF-0182; PF-0031–PF-0033; PF-0036–PF-0038; PF-0040–PF-0053; PF-0055–PF-0057; PF-0120; PF-0161; PF-0163; PF-0184, PF-0185; PF-0183</x:v>
      </x:c>
      <x:c r="H521" s="5" t="str"/>
      <x:c r="I521" s="5" t="str">
        <x:v>Analysebewertung erhalten; keine neue Frage allein aus ID-Zahlen ableiten.</x:v>
      </x:c>
      <x:c r="J521" s="5" t="str">
        <x:v>Soll-Ist-Matrix 2026-09-27</x:v>
      </x:c>
      <x:c r="K521" s="5" t="str">
        <x:v>Vorbewertung aus Soll-Ist-Matrix; Kandidaten nicht automatisch Einzelbelege</x:v>
      </x:c>
      <x:c r="L521" s="5" t="str">
        <x:v>PF-0001; PF-0002; PF-0003; PF-0004; PF-0005; PF-0006; PF-0007; PF-0008; PF-0009; PF-0010; PF-0011; PF-0012; PF-0018; PF-0019; PF-0020; PF-0021; PF-0022; PF-0031; PF-0033; PF-0034; PF-0035; PF-0036; PF-0037; PF-0040; PF-0043; PF-0044; PF-0045; PF-0047; PF-0048; PF-0049; PF-0050; PF-0051; PF-0053; PF-0055; PF-0056; PF-0057; PF-0078; PF-0120; PF-0162; PF-0182; PF-0183; PF-0184; PF-0185</x:v>
      </x:c>
    </x:row>
    <x:row r="522" ht="36" customHeight="1">
      <x:c r="A522" s="5" t="str">
        <x:v>9.1.4.1</x:v>
      </x:c>
      <x:c r="B522" s="5" t="str">
        <x:v>Führung und Zusammenarbeit</x:v>
      </x:c>
      <x:c r="C522" s="5" t="str">
        <x:v>Grundsätze für zielorientiertes Führen</x:v>
      </x:c>
      <x:c r="D522" s="5" t="str">
        <x:v>vollständig abgedeckt</x:v>
      </x:c>
      <x:c r="E522" s="5" t="str">
        <x:v>vollständig abgedeckt</x:v>
      </x:c>
      <x:c r="F522" s="5" t="str"/>
      <x:c r="G522" s="5" t="str">
        <x:v>PF-0001–PF-0012; PF-0018–PF-0022; PF-0034, PF-0035; PF-0039; PF-0078; PF-0162; PF-0181, PF-0182</x:v>
      </x:c>
      <x:c r="H522" s="5" t="str"/>
      <x:c r="I522" s="5" t="str">
        <x:v>Analysebewertung erhalten; keine neue Frage allein aus ID-Zahlen ableiten.</x:v>
      </x:c>
      <x:c r="J522" s="5" t="str">
        <x:v>Soll-Ist-Matrix 2026-09-27</x:v>
      </x:c>
      <x:c r="K522" s="5" t="str">
        <x:v>Vorbewertung aus Soll-Ist-Matrix; Kandidaten nicht automatisch Einzelbelege</x:v>
      </x:c>
      <x:c r="L522" s="5" t="str">
        <x:v>PF-0039</x:v>
      </x:c>
    </x:row>
    <x:row r="523" ht="36" customHeight="1">
      <x:c r="A523" s="5" t="str">
        <x:v>9.1.4.2</x:v>
      </x:c>
      <x:c r="B523" s="5" t="str">
        <x:v>Führung und Zusammenarbeit</x:v>
      </x:c>
      <x:c r="C523" s="5" t="str">
        <x:v>Führungsstile und ihre Auswirkungen auf die Führungsleistung</x:v>
      </x:c>
      <x:c r="D523" s="5" t="str">
        <x:v>vollständig abgedeckt</x:v>
      </x:c>
      <x:c r="E523" s="5" t="str">
        <x:v>vollständig abgedeckt</x:v>
      </x:c>
      <x:c r="F523" s="5" t="str"/>
      <x:c r="G523" s="5" t="str">
        <x:v>PF-0031–PF-0033; PF-0036–PF-0038; PF-0040–PF-0053; PF-0055–PF-0057; PF-0120; PF-0161; PF-0163; PF-0184, PF-0185</x:v>
      </x:c>
      <x:c r="H523" s="5" t="str"/>
      <x:c r="I523" s="5" t="str">
        <x:v>Analysebewertung erhalten; keine neue Frage allein aus ID-Zahlen ableiten.</x:v>
      </x:c>
      <x:c r="J523" s="5" t="str">
        <x:v>Soll-Ist-Matrix 2026-09-27</x:v>
      </x:c>
      <x:c r="K523" s="5" t="str">
        <x:v>Vorbewertung aus Soll-Ist-Matrix; Kandidaten nicht automatisch Einzelbelege</x:v>
      </x:c>
      <x:c r="L523" s="5" t="str">
        <x:v>PF-0032; PF-0161; PF-0163</x:v>
      </x:c>
    </x:row>
    <x:row r="524" ht="36" customHeight="1">
      <x:c r="A524" s="5" t="str">
        <x:v>9.1.4.3</x:v>
      </x:c>
      <x:c r="B524" s="5" t="str">
        <x:v>Führung und Zusammenarbeit</x:v>
      </x:c>
      <x:c r="C524" s="5" t="str">
        <x:v>Führungsmethoden und Führungsmittel</x:v>
      </x:c>
      <x:c r="D524" s="5" t="str">
        <x:v>vollständig abgedeckt</x:v>
      </x:c>
      <x:c r="E524" s="5" t="str">
        <x:v>vollständig abgedeckt</x:v>
      </x:c>
      <x:c r="F524" s="5" t="str"/>
      <x:c r="G524" s="5" t="str">
        <x:v>PF-0001–PF-0012; PF-0018–PF-0022; PF-0034, PF-0035; PF-0039; PF-0078; PF-0162; PF-0031–PF-0033; PF-0036–PF-0038; PF-0040–PF-0053; PF-0055–PF-0057; PF-0120; PF-0161; PF-0163; PF-0183, PF-0184</x:v>
      </x:c>
      <x:c r="H524" s="5" t="str"/>
      <x:c r="I524" s="5" t="str">
        <x:v>Analysebewertung erhalten; keine neue Frage allein aus ID-Zahlen ableiten.</x:v>
      </x:c>
      <x:c r="J524" s="5" t="str">
        <x:v>Soll-Ist-Matrix 2026-09-27</x:v>
      </x:c>
      <x:c r="K524" s="5" t="str">
        <x:v>Vorbewertung aus Soll-Ist-Matrix; Kandidaten nicht automatisch Einzelbelege</x:v>
      </x:c>
      <x:c r="L524" s="5" t="str">
        <x:v>PF-0038</x:v>
      </x:c>
    </x:row>
    <x:row r="525" ht="36" customHeight="1">
      <x:c r="A525" s="5" t="str">
        <x:v>9.1.4.4</x:v>
      </x:c>
      <x:c r="B525" s="5" t="str">
        <x:v>Führung und Zusammenarbeit</x:v>
      </x:c>
      <x:c r="C525" s="5" t="str">
        <x:v>Führungsdefizite und Maßnahmen zu deren Abhilfe</x:v>
      </x:c>
      <x:c r="D525" s="5" t="str">
        <x:v>vollständig abgedeckt</x:v>
      </x:c>
      <x:c r="E525" s="5" t="str">
        <x:v>vollständig abgedeckt</x:v>
      </x:c>
      <x:c r="F525" s="5" t="str"/>
      <x:c r="G525" s="5" t="str">
        <x:v>PF-0031–PF-0033; PF-0036–PF-0038; PF-0040–PF-0053; PF-0055–PF-0057; PF-0120; PF-0161; PF-0163; PF-0181, PF-0182</x:v>
      </x:c>
      <x:c r="H525" s="5" t="str"/>
      <x:c r="I525" s="5" t="str">
        <x:v>Analysebewertung erhalten; keine neue Frage allein aus ID-Zahlen ableiten.</x:v>
      </x:c>
      <x:c r="J525" s="5" t="str">
        <x:v>Soll-Ist-Matrix 2026-09-27</x:v>
      </x:c>
      <x:c r="K525" s="5" t="str">
        <x:v>Vorbewertung aus Soll-Ist-Matrix; Kandidaten nicht automatisch Einzelbelege</x:v>
      </x:c>
      <x:c r="L525" s="5" t="str">
        <x:v>PF-0041; PF-0042; PF-0046; PF-0052; PF-0181</x:v>
      </x:c>
    </x:row>
    <x:row r="526" ht="36" customHeight="1">
      <x:c r="A526" s="5" t="str">
        <x:v>9.1.5</x:v>
      </x:c>
      <x:c r="B526" s="5" t="str">
        <x:v>Führung und Zusammenarbeit</x:v>
      </x:c>
      <x:c r="C526" s="5" t="str">
        <x:v>Grundsätze der Zusammenarbeit</x:v>
      </x:c>
      <x:c r="D526" s="5" t="str">
        <x:v>vollständig abgedeckt</x:v>
      </x:c>
      <x:c r="E526" s="5" t="str">
        <x:v>vollständig abgedeckt</x:v>
      </x:c>
      <x:c r="F526" s="5" t="str"/>
      <x:c r="G526" s="5" t="str">
        <x:v>PF-0031–PF-0033; PF-0036–PF-0038; PF-0040–PF-0053; PF-0055–PF-0057; PF-0120; PF-0161; PF-0163</x:v>
      </x:c>
      <x:c r="H526" s="5" t="str"/>
      <x:c r="I526" s="5" t="str">
        <x:v>Analysebewertung erhalten; keine neue Frage allein aus ID-Zahlen ableiten.</x:v>
      </x:c>
      <x:c r="J526" s="5" t="str">
        <x:v>Soll-Ist-Matrix 2026-09-27</x:v>
      </x:c>
      <x:c r="K526" s="5" t="str">
        <x:v>Vorbewertung aus Soll-Ist-Matrix; Kandidaten nicht automatisch Einzelbelege</x:v>
      </x:c>
      <x:c r="L526" s="5" t="str">
        <x:v>PF-0186; PF-0187</x:v>
      </x:c>
    </x:row>
    <x:row r="527" ht="36" customHeight="1">
      <x:c r="A527" s="5" t="str">
        <x:v>9.2</x:v>
      </x:c>
      <x:c r="B527" s="5" t="str">
        <x:v>Führung und Zusammenarbeit</x:v>
      </x:c>
      <x:c r="C527" s="5" t="str">
        <x:v>Mitarbeitergespräche</x:v>
      </x:c>
      <x:c r="D527" s="5" t="str">
        <x:v>vollständig abgedeckt</x:v>
      </x:c>
      <x:c r="E527" s="5" t="str">
        <x:v>vollständig abgedeckt</x:v>
      </x:c>
      <x:c r="F527" s="5" t="str"/>
      <x:c r="G527" s="5" t="str">
        <x:v>PF-0013–PF-0017; PF-0058–PF-0073; PF-0095; PF-0153; PF-0194–PF-0197</x:v>
      </x:c>
      <x:c r="H527" s="5" t="str"/>
      <x:c r="I527" s="5" t="str">
        <x:v>Analysebewertung erhalten; keine neue Frage allein aus ID-Zahlen ableiten.</x:v>
      </x:c>
      <x:c r="J527" s="5" t="str">
        <x:v>Soll-Ist-Matrix 2026-09-27</x:v>
      </x:c>
      <x:c r="K527" s="5" t="str">
        <x:v>Vorbewertung aus Soll-Ist-Matrix; Kandidaten nicht automatisch Einzelbelege</x:v>
      </x:c>
      <x:c r="L527" s="5" t="str"/>
    </x:row>
    <x:row r="528" ht="36" customHeight="1">
      <x:c r="A528" s="5" t="str">
        <x:v>9.2.1</x:v>
      </x:c>
      <x:c r="B528" s="5" t="str">
        <x:v>Führung und Zusammenarbeit</x:v>
      </x:c>
      <x:c r="C528" s="5" t="str">
        <x:v>Anerkennungs- und Kritikgespräch</x:v>
      </x:c>
      <x:c r="D528" s="5" t="str">
        <x:v>vollständig abgedeckt</x:v>
      </x:c>
      <x:c r="E528" s="5" t="str">
        <x:v>vollständig abgedeckt</x:v>
      </x:c>
      <x:c r="F528" s="5" t="str"/>
      <x:c r="G528" s="5" t="str">
        <x:v>PF-0013–PF-0017; PF-0058–PF-0073; PF-0095; PF-0153</x:v>
      </x:c>
      <x:c r="H528" s="5" t="str"/>
      <x:c r="I528" s="5" t="str">
        <x:v>Analysebewertung erhalten; keine neue Frage allein aus ID-Zahlen ableiten.</x:v>
      </x:c>
      <x:c r="J528" s="5" t="str">
        <x:v>Soll-Ist-Matrix 2026-09-27</x:v>
      </x:c>
      <x:c r="K528" s="5" t="str">
        <x:v>Vorbewertung aus Soll-Ist-Matrix; Kandidaten nicht automatisch Einzelbelege</x:v>
      </x:c>
      <x:c r="L528" s="5" t="str">
        <x:v>PF-0016; PF-0017; PF-0058; PF-0059</x:v>
      </x:c>
    </x:row>
    <x:row r="529" ht="36" customHeight="1">
      <x:c r="A529" s="5" t="str">
        <x:v>9.2.2</x:v>
      </x:c>
      <x:c r="B529" s="5" t="str">
        <x:v>Führung und Zusammenarbeit</x:v>
      </x:c>
      <x:c r="C529" s="5" t="str">
        <x:v>Beurteilungsgespräch</x:v>
      </x:c>
      <x:c r="D529" s="5" t="str">
        <x:v>vollständig abgedeckt</x:v>
      </x:c>
      <x:c r="E529" s="5" t="str">
        <x:v>vollständig abgedeckt</x:v>
      </x:c>
      <x:c r="F529" s="5" t="str"/>
      <x:c r="G529" s="5" t="str">
        <x:v>PF-0013–PF-0017; PF-0058–PF-0073; PF-0095; PF-0153; PF-0194–PF-0197</x:v>
      </x:c>
      <x:c r="H529" s="5" t="str"/>
      <x:c r="I529" s="5" t="str">
        <x:v>Analysebewertung erhalten; keine neue Frage allein aus ID-Zahlen ableiten.</x:v>
      </x:c>
      <x:c r="J529" s="5" t="str">
        <x:v>Soll-Ist-Matrix 2026-09-27</x:v>
      </x:c>
      <x:c r="K529" s="5" t="str">
        <x:v>Vorbewertung aus Soll-Ist-Matrix; Kandidaten nicht automatisch Einzelbelege</x:v>
      </x:c>
      <x:c r="L529" s="5" t="str">
        <x:v>PF-0014; PF-0015; PF-0060; PF-0061; PF-0062; PF-0063; PF-0064; PF-0065; PF-0068; PF-0069; PF-0070; PF-0071; PF-0073; PF-0095; PF-0190; PF-0191; PF-0192; PF-0193</x:v>
      </x:c>
    </x:row>
    <x:row r="530" ht="36" customHeight="1">
      <x:c r="A530" s="5" t="str">
        <x:v>9.2.2.1</x:v>
      </x:c>
      <x:c r="B530" s="5" t="str">
        <x:v>Führung und Zusammenarbeit</x:v>
      </x:c>
      <x:c r="C530" s="5" t="str">
        <x:v>Grundsätze, Ziele und Anlässe</x:v>
      </x:c>
      <x:c r="D530" s="5" t="str">
        <x:v>vollständig abgedeckt</x:v>
      </x:c>
      <x:c r="E530" s="5" t="str">
        <x:v>vollständig abgedeckt</x:v>
      </x:c>
      <x:c r="F530" s="5" t="str"/>
      <x:c r="G530" s="5" t="str">
        <x:v>PF-0013–PF-0017; PF-0058–PF-0073; PF-0095; PF-0153; PF-0194–PF-0197</x:v>
      </x:c>
      <x:c r="H530" s="5" t="str"/>
      <x:c r="I530" s="5" t="str">
        <x:v>Analysebewertung erhalten; keine neue Frage allein aus ID-Zahlen ableiten.</x:v>
      </x:c>
      <x:c r="J530" s="5" t="str">
        <x:v>Soll-Ist-Matrix 2026-09-27</x:v>
      </x:c>
      <x:c r="K530" s="5" t="str">
        <x:v>Vorbewertung aus Soll-Ist-Matrix; Kandidaten nicht automatisch Einzelbelege</x:v>
      </x:c>
      <x:c r="L530" s="5" t="str">
        <x:v>PF-0013</x:v>
      </x:c>
    </x:row>
    <x:row r="531" ht="36" customHeight="1">
      <x:c r="A531" s="5" t="str">
        <x:v>9.2.2.2</x:v>
      </x:c>
      <x:c r="B531" s="5" t="str">
        <x:v>Führung und Zusammenarbeit</x:v>
      </x:c>
      <x:c r="C531" s="5" t="str">
        <x:v>Beurteilungskriterien und -systeme</x:v>
      </x:c>
      <x:c r="D531" s="5" t="str">
        <x:v>vollständig abgedeckt</x:v>
      </x:c>
      <x:c r="E531" s="5" t="str">
        <x:v>vollständig abgedeckt</x:v>
      </x:c>
      <x:c r="F531" s="5" t="str"/>
      <x:c r="G531" s="5" t="str">
        <x:v>PF-0013–PF-0017; PF-0058–PF-0073; PF-0095; PF-0153; PF-0194–PF-0197</x:v>
      </x:c>
      <x:c r="H531" s="5" t="str"/>
      <x:c r="I531" s="5" t="str">
        <x:v>Analysebewertung erhalten; keine neue Frage allein aus ID-Zahlen ableiten.</x:v>
      </x:c>
      <x:c r="J531" s="5" t="str">
        <x:v>Soll-Ist-Matrix 2026-09-27</x:v>
      </x:c>
      <x:c r="K531" s="5" t="str">
        <x:v>Vorbewertung aus Soll-Ist-Matrix; Kandidaten nicht automatisch Einzelbelege</x:v>
      </x:c>
      <x:c r="L531" s="5" t="str">
        <x:v>PF-0066</x:v>
      </x:c>
    </x:row>
    <x:row r="532" ht="36" customHeight="1">
      <x:c r="A532" s="5" t="str">
        <x:v>9.2.2.3</x:v>
      </x:c>
      <x:c r="B532" s="5" t="str">
        <x:v>Führung und Zusammenarbeit</x:v>
      </x:c>
      <x:c r="C532" s="5" t="str">
        <x:v>Ablauf des Beurteilungsgesprächs</x:v>
      </x:c>
      <x:c r="D532" s="5" t="str">
        <x:v>vollständig abgedeckt</x:v>
      </x:c>
      <x:c r="E532" s="5" t="str">
        <x:v>vollständig abgedeckt</x:v>
      </x:c>
      <x:c r="F532" s="5" t="str"/>
      <x:c r="G532" s="5" t="str">
        <x:v>PF-0013–PF-0017; PF-0058–PF-0073; PF-0095; PF-0153; PF-0194–PF-0197</x:v>
      </x:c>
      <x:c r="H532" s="5" t="str"/>
      <x:c r="I532" s="5" t="str">
        <x:v>Analysebewertung erhalten; keine neue Frage allein aus ID-Zahlen ableiten.</x:v>
      </x:c>
      <x:c r="J532" s="5" t="str">
        <x:v>Soll-Ist-Matrix 2026-09-27</x:v>
      </x:c>
      <x:c r="K532" s="5" t="str">
        <x:v>Vorbewertung aus Soll-Ist-Matrix; Kandidaten nicht automatisch Einzelbelege</x:v>
      </x:c>
      <x:c r="L532" s="5" t="str">
        <x:v>PF-0067</x:v>
      </x:c>
    </x:row>
    <x:row r="533" ht="36" customHeight="1">
      <x:c r="A533" s="5" t="str">
        <x:v>9.2.2.4</x:v>
      </x:c>
      <x:c r="B533" s="5" t="str">
        <x:v>Führung und Zusammenarbeit</x:v>
      </x:c>
      <x:c r="C533" s="5" t="str">
        <x:v>Beurteilungsfehler</x:v>
      </x:c>
      <x:c r="D533" s="5" t="str">
        <x:v>vollständig abgedeckt</x:v>
      </x:c>
      <x:c r="E533" s="5" t="str">
        <x:v>vollständig abgedeckt</x:v>
      </x:c>
      <x:c r="F533" s="5" t="str"/>
      <x:c r="G533" s="5" t="str">
        <x:v>PF-0013–PF-0017; PF-0058–PF-0073; PF-0095; PF-0153; PF-0194–PF-0197</x:v>
      </x:c>
      <x:c r="H533" s="5" t="str"/>
      <x:c r="I533" s="5" t="str">
        <x:v>Analysebewertung erhalten; keine neue Frage allein aus ID-Zahlen ableiten.</x:v>
      </x:c>
      <x:c r="J533" s="5" t="str">
        <x:v>Soll-Ist-Matrix 2026-09-27</x:v>
      </x:c>
      <x:c r="K533" s="5" t="str">
        <x:v>Vorbewertung aus Soll-Ist-Matrix; Kandidaten nicht automatisch Einzelbelege</x:v>
      </x:c>
      <x:c r="L533" s="5" t="str">
        <x:v>PF-0072; PF-0153</x:v>
      </x:c>
    </x:row>
    <x:row r="534" ht="36" customHeight="1">
      <x:c r="A534" s="5" t="str">
        <x:v>9.3</x:v>
      </x:c>
      <x:c r="B534" s="5" t="str">
        <x:v>Führung und Zusammenarbeit</x:v>
      </x:c>
      <x:c r="C534" s="5" t="str">
        <x:v>Konfliktmanagement</x:v>
      </x:c>
      <x:c r="D534" s="5" t="str">
        <x:v>vollständig abgedeckt</x:v>
      </x:c>
      <x:c r="E534" s="5" t="str">
        <x:v>vollständig abgedeckt</x:v>
      </x:c>
      <x:c r="F534" s="5" t="str"/>
      <x:c r="G534" s="5" t="str">
        <x:v>PF-0074–PF-0077; PF-0079–PF-0087; PF-0089; PF-0154; PF-0164; PF-0188, PF-0189</x:v>
      </x:c>
      <x:c r="H534" s="5" t="str"/>
      <x:c r="I534" s="5" t="str">
        <x:v>Analysebewertung erhalten; keine neue Frage allein aus ID-Zahlen ableiten.</x:v>
      </x:c>
      <x:c r="J534" s="5" t="str">
        <x:v>Soll-Ist-Matrix 2026-09-27</x:v>
      </x:c>
      <x:c r="K534" s="5" t="str">
        <x:v>Vorbewertung aus Soll-Ist-Matrix; Kandidaten nicht automatisch Einzelbelege</x:v>
      </x:c>
      <x:c r="L534" s="5" t="str"/>
    </x:row>
    <x:row r="535" ht="36" customHeight="1">
      <x:c r="A535" s="5" t="str">
        <x:v>9.3.1</x:v>
      </x:c>
      <x:c r="B535" s="5" t="str">
        <x:v>Führung und Zusammenarbeit</x:v>
      </x:c>
      <x:c r="C535" s="5" t="str">
        <x:v>Konflikte und Ursachen</x:v>
      </x:c>
      <x:c r="D535" s="5" t="str">
        <x:v>vollständig abgedeckt</x:v>
      </x:c>
      <x:c r="E535" s="5" t="str">
        <x:v>vollständig abgedeckt</x:v>
      </x:c>
      <x:c r="F535" s="5" t="str"/>
      <x:c r="G535" s="5" t="str">
        <x:v>PF-0074–PF-0077; PF-0079–PF-0087; PF-0089; PF-0154; PF-0164; PF-0188, PF-0189</x:v>
      </x:c>
      <x:c r="H535" s="5" t="str"/>
      <x:c r="I535" s="5" t="str">
        <x:v>Analysebewertung erhalten; keine neue Frage allein aus ID-Zahlen ableiten.</x:v>
      </x:c>
      <x:c r="J535" s="5" t="str">
        <x:v>Soll-Ist-Matrix 2026-09-27</x:v>
      </x:c>
      <x:c r="K535" s="5" t="str">
        <x:v>Vorbewertung aus Soll-Ist-Matrix; Kandidaten nicht automatisch Einzelbelege</x:v>
      </x:c>
      <x:c r="L535" s="5" t="str"/>
    </x:row>
    <x:row r="536" ht="36" customHeight="1">
      <x:c r="A536" s="5" t="str">
        <x:v>9.3.2</x:v>
      </x:c>
      <x:c r="B536" s="5" t="str">
        <x:v>Führung und Zusammenarbeit</x:v>
      </x:c>
      <x:c r="C536" s="5" t="str">
        <x:v>Maßnahmen zur Vermeidung von Konflikten</x:v>
      </x:c>
      <x:c r="D536" s="5" t="str">
        <x:v>vollständig abgedeckt</x:v>
      </x:c>
      <x:c r="E536" s="5" t="str">
        <x:v>vollständig abgedeckt</x:v>
      </x:c>
      <x:c r="F536" s="5" t="str"/>
      <x:c r="G536" s="5" t="str">
        <x:v>PF-0074–PF-0077; PF-0079–PF-0087; PF-0089; PF-0154; PF-0164; PF-0188, PF-0189</x:v>
      </x:c>
      <x:c r="H536" s="5" t="str"/>
      <x:c r="I536" s="5" t="str">
        <x:v>Analysebewertung erhalten; keine neue Frage allein aus ID-Zahlen ableiten.</x:v>
      </x:c>
      <x:c r="J536" s="5" t="str">
        <x:v>Soll-Ist-Matrix 2026-09-27</x:v>
      </x:c>
      <x:c r="K536" s="5" t="str">
        <x:v>Vorbewertung aus Soll-Ist-Matrix; Kandidaten nicht automatisch Einzelbelege</x:v>
      </x:c>
      <x:c r="L536" s="5" t="str"/>
    </x:row>
    <x:row r="537" ht="36" customHeight="1">
      <x:c r="A537" s="5" t="str">
        <x:v>9.3.3</x:v>
      </x:c>
      <x:c r="B537" s="5" t="str">
        <x:v>Führung und Zusammenarbeit</x:v>
      </x:c>
      <x:c r="C537" s="5" t="str">
        <x:v>Maßnahmen im Umgang mit Konflikten</x:v>
      </x:c>
      <x:c r="D537" s="5" t="str">
        <x:v>vollständig abgedeckt</x:v>
      </x:c>
      <x:c r="E537" s="5" t="str">
        <x:v>vollständig abgedeckt</x:v>
      </x:c>
      <x:c r="F537" s="5" t="str"/>
      <x:c r="G537" s="5" t="str">
        <x:v>PF-0074–PF-0077; PF-0079–PF-0087; PF-0089; PF-0154; PF-0164; PF-0188, PF-0189</x:v>
      </x:c>
      <x:c r="H537" s="5" t="str"/>
      <x:c r="I537" s="5" t="str">
        <x:v>Analysebewertung erhalten; keine neue Frage allein aus ID-Zahlen ableiten.</x:v>
      </x:c>
      <x:c r="J537" s="5" t="str">
        <x:v>Soll-Ist-Matrix 2026-09-27</x:v>
      </x:c>
      <x:c r="K537" s="5" t="str">
        <x:v>Vorbewertung aus Soll-Ist-Matrix; Kandidaten nicht automatisch Einzelbelege</x:v>
      </x:c>
      <x:c r="L537" s="5" t="str">
        <x:v>PF-0074; PF-0075; PF-0076; PF-0077; PF-0079; PF-0080; PF-0081; PF-0082; PF-0083; PF-0084; PF-0085; PF-0086; PF-0087; PF-0089; PF-0154; PF-0164; PF-0188; PF-0189</x:v>
      </x:c>
    </x:row>
    <x:row r="538" ht="36" customHeight="1">
      <x:c r="A538" s="5" t="str">
        <x:v>9.3.4</x:v>
      </x:c>
      <x:c r="B538" s="5" t="str">
        <x:v>Führung und Zusammenarbeit</x:v>
      </x:c>
      <x:c r="C538" s="5" t="str">
        <x:v>Möglichkeiten zur Überwindung von Widerständen gegen Veränderungen</x:v>
      </x:c>
      <x:c r="D538" s="5" t="str">
        <x:v>vollständig abgedeckt</x:v>
      </x:c>
      <x:c r="E538" s="5" t="str">
        <x:v>vollständig abgedeckt</x:v>
      </x:c>
      <x:c r="F538" s="5" t="str"/>
      <x:c r="G538" s="5" t="str">
        <x:v>PF-0074–PF-0077; PF-0079–PF-0087; PF-0089; PF-0154; PF-0164; PF-0188, PF-0189</x:v>
      </x:c>
      <x:c r="H538" s="5" t="str"/>
      <x:c r="I538" s="5" t="str">
        <x:v>Analysebewertung erhalten; keine neue Frage allein aus ID-Zahlen ableiten.</x:v>
      </x:c>
      <x:c r="J538" s="5" t="str">
        <x:v>Soll-Ist-Matrix 2026-09-27</x:v>
      </x:c>
      <x:c r="K538" s="5" t="str">
        <x:v>Vorbewertung aus Soll-Ist-Matrix; Kandidaten nicht automatisch Einzelbelege</x:v>
      </x:c>
      <x:c r="L538" s="5" t="str"/>
    </x:row>
    <x:row r="539" ht="36" customHeight="1">
      <x:c r="A539" s="5" t="str">
        <x:v>9.4</x:v>
      </x:c>
      <x:c r="B539" s="5" t="str">
        <x:v>Führung und Zusammenarbeit</x:v>
      </x:c>
      <x:c r="C539" s="5" t="str">
        <x:v>Mitarbeiterförderung</x:v>
      </x:c>
      <x:c r="D539" s="5" t="str">
        <x:v>vollständig abgedeckt</x:v>
      </x:c>
      <x:c r="E539" s="5" t="str">
        <x:v>vollständig abgedeckt</x:v>
      </x:c>
      <x:c r="F539" s="5" t="str"/>
      <x:c r="G539" s="5" t="str">
        <x:v>PF-0088; PF-0090–PF-0094; PF-0155; PF-0165–PF-0167; PF-0198, PF-0199; PF-0013–PF-0017; PF-0058–PF-0073; PF-0095; PF-0153; PF-0194–PF-0197</x:v>
      </x:c>
      <x:c r="H539" s="5" t="str"/>
      <x:c r="I539" s="5" t="str">
        <x:v>Analysebewertung erhalten; keine neue Frage allein aus ID-Zahlen ableiten.</x:v>
      </x:c>
      <x:c r="J539" s="5" t="str">
        <x:v>Soll-Ist-Matrix 2026-09-27</x:v>
      </x:c>
      <x:c r="K539" s="5" t="str">
        <x:v>Vorbewertung aus Soll-Ist-Matrix; Kandidaten nicht automatisch Einzelbelege</x:v>
      </x:c>
      <x:c r="L539" s="5" t="str"/>
    </x:row>
    <x:row r="540" ht="36" customHeight="1">
      <x:c r="A540" s="5" t="str">
        <x:v>9.4.1</x:v>
      </x:c>
      <x:c r="B540" s="5" t="str">
        <x:v>Führung und Zusammenarbeit</x:v>
      </x:c>
      <x:c r="C540" s="5" t="str">
        <x:v>Personalentwicklung als Mittel der Steuerung und Förderung der personellen Ressourcen</x:v>
      </x:c>
      <x:c r="D540" s="5" t="str">
        <x:v>vollständig abgedeckt</x:v>
      </x:c>
      <x:c r="E540" s="5" t="str">
        <x:v>vollständig abgedeckt</x:v>
      </x:c>
      <x:c r="F540" s="5" t="str"/>
      <x:c r="G540" s="5" t="str">
        <x:v>PF-0088; PF-0090–PF-0094; PF-0155; PF-0165–PF-0167; PF-0198, PF-0199</x:v>
      </x:c>
      <x:c r="H540" s="5" t="str"/>
      <x:c r="I540" s="5" t="str">
        <x:v>Analysebewertung erhalten; keine neue Frage allein aus ID-Zahlen ableiten.</x:v>
      </x:c>
      <x:c r="J540" s="5" t="str">
        <x:v>Soll-Ist-Matrix 2026-09-27</x:v>
      </x:c>
      <x:c r="K540" s="5" t="str">
        <x:v>Vorbewertung aus Soll-Ist-Matrix; Kandidaten nicht automatisch Einzelbelege</x:v>
      </x:c>
      <x:c r="L540" s="5" t="str">
        <x:v>PF-0088; PF-0090; PF-0091; PF-0092; PF-0093; PF-0094; PF-0155; PF-0165; PF-0167; PF-0194; PF-0198; PF-0199</x:v>
      </x:c>
    </x:row>
    <x:row r="541" ht="36" customHeight="1">
      <x:c r="A541" s="5" t="str">
        <x:v>9.4.2</x:v>
      </x:c>
      <x:c r="B541" s="5" t="str">
        <x:v>Führung und Zusammenarbeit</x:v>
      </x:c>
      <x:c r="C541" s="5" t="str">
        <x:v>Potenzialanalyse von Mitarbeitern</x:v>
      </x:c>
      <x:c r="D541" s="5" t="str">
        <x:v>vollständig abgedeckt</x:v>
      </x:c>
      <x:c r="E541" s="5" t="str">
        <x:v>vollständig abgedeckt</x:v>
      </x:c>
      <x:c r="F541" s="5" t="str"/>
      <x:c r="G541" s="5" t="str">
        <x:v>PF-0088; PF-0090–PF-0094; PF-0155; PF-0165–PF-0167</x:v>
      </x:c>
      <x:c r="H541" s="5" t="str"/>
      <x:c r="I541" s="5" t="str">
        <x:v>Analysebewertung erhalten; keine neue Frage allein aus ID-Zahlen ableiten.</x:v>
      </x:c>
      <x:c r="J541" s="5" t="str">
        <x:v>Soll-Ist-Matrix 2026-09-27</x:v>
      </x:c>
      <x:c r="K541" s="5" t="str">
        <x:v>Vorbewertung aus Soll-Ist-Matrix; Kandidaten nicht automatisch Einzelbelege</x:v>
      </x:c>
      <x:c r="L541" s="5" t="str"/>
    </x:row>
    <x:row r="542" ht="36" customHeight="1">
      <x:c r="A542" s="5" t="str">
        <x:v>9.4.2.1</x:v>
      </x:c>
      <x:c r="B542" s="5" t="str">
        <x:v>Führung und Zusammenarbeit</x:v>
      </x:c>
      <x:c r="C542" s="5" t="str">
        <x:v>Instrument für den Entwicklungsprozess der Mitarbeiter</x:v>
      </x:c>
      <x:c r="D542" s="5" t="str">
        <x:v>vollständig abgedeckt</x:v>
      </x:c>
      <x:c r="E542" s="5" t="str">
        <x:v>vollständig abgedeckt</x:v>
      </x:c>
      <x:c r="F542" s="5" t="str"/>
      <x:c r="G542" s="5" t="str">
        <x:v>PF-0088; PF-0090–PF-0094; PF-0155; PF-0165–PF-0167</x:v>
      </x:c>
      <x:c r="H542" s="5" t="str"/>
      <x:c r="I542" s="5" t="str">
        <x:v>Analysebewertung erhalten; keine neue Frage allein aus ID-Zahlen ableiten.</x:v>
      </x:c>
      <x:c r="J542" s="5" t="str">
        <x:v>Soll-Ist-Matrix 2026-09-27</x:v>
      </x:c>
      <x:c r="K542" s="5" t="str">
        <x:v>Vorbewertung aus Soll-Ist-Matrix; Kandidaten nicht automatisch Einzelbelege</x:v>
      </x:c>
      <x:c r="L542" s="5" t="str">
        <x:v>PF-0195; PF-0196</x:v>
      </x:c>
    </x:row>
    <x:row r="543" ht="36" customHeight="1">
      <x:c r="A543" s="5" t="str">
        <x:v>9.4.2.2</x:v>
      </x:c>
      <x:c r="B543" s="5" t="str">
        <x:v>Führung und Zusammenarbeit</x:v>
      </x:c>
      <x:c r="C543" s="5" t="str">
        <x:v>Formen von Potenzialeinschätzungen als Stärke-Schwäche-Profil</x:v>
      </x:c>
      <x:c r="D543" s="5" t="str">
        <x:v>vollständig abgedeckt</x:v>
      </x:c>
      <x:c r="E543" s="5" t="str">
        <x:v>vollständig abgedeckt</x:v>
      </x:c>
      <x:c r="F543" s="5" t="str"/>
      <x:c r="G543" s="5" t="str">
        <x:v>PF-0088; PF-0090–PF-0094; PF-0155; PF-0165–PF-0167</x:v>
      </x:c>
      <x:c r="H543" s="5" t="str"/>
      <x:c r="I543" s="5" t="str">
        <x:v>Analysebewertung erhalten; keine neue Frage allein aus ID-Zahlen ableiten.</x:v>
      </x:c>
      <x:c r="J543" s="5" t="str">
        <x:v>Soll-Ist-Matrix 2026-09-27</x:v>
      </x:c>
      <x:c r="K543" s="5" t="str">
        <x:v>Vorbewertung aus Soll-Ist-Matrix; Kandidaten nicht automatisch Einzelbelege</x:v>
      </x:c>
      <x:c r="L543" s="5" t="str">
        <x:v>PF-0166</x:v>
      </x:c>
    </x:row>
    <x:row r="544" ht="36" customHeight="1">
      <x:c r="A544" s="5" t="str">
        <x:v>9.4.3</x:v>
      </x:c>
      <x:c r="B544" s="5" t="str">
        <x:v>Führung und Zusammenarbeit</x:v>
      </x:c>
      <x:c r="C544" s="5" t="str">
        <x:v>Personaleinschätzung</x:v>
      </x:c>
      <x:c r="D544" s="5" t="str">
        <x:v>vollständig abgedeckt</x:v>
      </x:c>
      <x:c r="E544" s="5" t="str">
        <x:v>vollständig abgedeckt</x:v>
      </x:c>
      <x:c r="F544" s="5" t="str"/>
      <x:c r="G544" s="5" t="str">
        <x:v>PF-0013–PF-0017; PF-0058–PF-0073; PF-0095; PF-0153; PF-0088; PF-0090–PF-0094; PF-0155; PF-0165–PF-0167; PF-0194–PF-0197</x:v>
      </x:c>
      <x:c r="H544" s="5" t="str"/>
      <x:c r="I544" s="5" t="str">
        <x:v>Analysebewertung erhalten; keine neue Frage allein aus ID-Zahlen ableiten.</x:v>
      </x:c>
      <x:c r="J544" s="5" t="str">
        <x:v>Soll-Ist-Matrix 2026-09-27</x:v>
      </x:c>
      <x:c r="K544" s="5" t="str">
        <x:v>Vorbewertung aus Soll-Ist-Matrix; Kandidaten nicht automatisch Einzelbelege</x:v>
      </x:c>
      <x:c r="L544" s="5" t="str">
        <x:v>PF-0197</x:v>
      </x:c>
    </x:row>
    <x:row r="545" ht="36" customHeight="1">
      <x:c r="A545" s="5" t="str">
        <x:v>9.5</x:v>
      </x:c>
      <x:c r="B545" s="5" t="str">
        <x:v>Führung und Zusammenarbeit</x:v>
      </x:c>
      <x:c r="C545" s="5" t="str">
        <x:v>Ausbildung</x:v>
      </x:c>
      <x:c r="D545" s="5" t="str">
        <x:v>vollständig abgedeckt</x:v>
      </x:c>
      <x:c r="E545" s="5" t="str">
        <x:v>vollständig abgedeckt</x:v>
      </x:c>
      <x:c r="F545" s="5" t="str"/>
      <x:c r="G545" s="5" t="str">
        <x:v>PF-0096–PF-0113; PF-0156; PF-0168–PF-0174; PF-0200, PF-0201; PF-0088; PF-0090–PF-0094; PF-0155; PF-0165–PF-0167</x:v>
      </x:c>
      <x:c r="H545" s="5" t="str"/>
      <x:c r="I545" s="5" t="str">
        <x:v>Analysebewertung erhalten; keine neue Frage allein aus ID-Zahlen ableiten.</x:v>
      </x:c>
      <x:c r="J545" s="5" t="str">
        <x:v>Soll-Ist-Matrix 2026-09-27</x:v>
      </x:c>
      <x:c r="K545" s="5" t="str">
        <x:v>Vorbewertung aus Soll-Ist-Matrix; Kandidaten nicht automatisch Einzelbelege</x:v>
      </x:c>
      <x:c r="L545" s="5" t="str"/>
    </x:row>
    <x:row r="546" ht="36" customHeight="1">
      <x:c r="A546" s="5" t="str">
        <x:v>9.5.1</x:v>
      </x:c>
      <x:c r="B546" s="5" t="str">
        <x:v>Führung und Zusammenarbeit</x:v>
      </x:c>
      <x:c r="C546" s="5" t="str">
        <x:v>Rechtliche Rahmenbedingungen</x:v>
      </x:c>
      <x:c r="D546" s="5" t="str">
        <x:v>vollständig abgedeckt</x:v>
      </x:c>
      <x:c r="E546" s="5" t="str">
        <x:v>vollständig abgedeckt</x:v>
      </x:c>
      <x:c r="F546" s="5" t="str"/>
      <x:c r="G546" s="5" t="str">
        <x:v>PF-0096–PF-0113; PF-0156; PF-0168–PF-0174; PF-0200, PF-0201; PF-0088; PF-0090–PF-0094; PF-0155; PF-0165–PF-0167</x:v>
      </x:c>
      <x:c r="H546" s="5" t="str"/>
      <x:c r="I546" s="5" t="str">
        <x:v>Analysebewertung erhalten; keine neue Frage allein aus ID-Zahlen ableiten.</x:v>
      </x:c>
      <x:c r="J546" s="5" t="str">
        <x:v>Soll-Ist-Matrix 2026-09-27</x:v>
      </x:c>
      <x:c r="K546" s="5" t="str">
        <x:v>Vorbewertung aus Soll-Ist-Matrix; Kandidaten nicht automatisch Einzelbelege</x:v>
      </x:c>
      <x:c r="L546" s="5" t="str">
        <x:v>PF-0096; PF-0097; PF-0102; PF-0168</x:v>
      </x:c>
    </x:row>
    <x:row r="547" ht="36" customHeight="1">
      <x:c r="A547" s="5" t="str">
        <x:v>9.5.2</x:v>
      </x:c>
      <x:c r="B547" s="5" t="str">
        <x:v>Führung und Zusammenarbeit</x:v>
      </x:c>
      <x:c r="C547" s="5" t="str">
        <x:v>Ausbilder-Eignungsverordnung (AEVO)</x:v>
      </x:c>
      <x:c r="D547" s="5" t="str">
        <x:v>vollständig abgedeckt</x:v>
      </x:c>
      <x:c r="E547" s="5" t="str">
        <x:v>vollständig abgedeckt</x:v>
      </x:c>
      <x:c r="F547" s="5" t="str"/>
      <x:c r="G547" s="5" t="str">
        <x:v>PF-0096–PF-0113; PF-0156; PF-0168–PF-0174; PF-0200, PF-0201; PF-0088; PF-0090–PF-0094; PF-0155; PF-0165–PF-0167</x:v>
      </x:c>
      <x:c r="H547" s="5" t="str"/>
      <x:c r="I547" s="5" t="str">
        <x:v>Analysebewertung erhalten; keine neue Frage allein aus ID-Zahlen ableiten.</x:v>
      </x:c>
      <x:c r="J547" s="5" t="str">
        <x:v>Soll-Ist-Matrix 2026-09-27</x:v>
      </x:c>
      <x:c r="K547" s="5" t="str">
        <x:v>Vorbewertung aus Soll-Ist-Matrix; Kandidaten nicht automatisch Einzelbelege</x:v>
      </x:c>
      <x:c r="L547" s="5" t="str">
        <x:v>PF-0100; PF-0101</x:v>
      </x:c>
    </x:row>
    <x:row r="548" ht="36" customHeight="1">
      <x:c r="A548" s="5" t="str">
        <x:v>9.5.3</x:v>
      </x:c>
      <x:c r="B548" s="5" t="str">
        <x:v>Führung und Zusammenarbeit</x:v>
      </x:c>
      <x:c r="C548" s="5" t="str">
        <x:v>Anforderungen an die Eignung der Ausbilder und Ausbilderinnen</x:v>
      </x:c>
      <x:c r="D548" s="5" t="str">
        <x:v>vollständig abgedeckt</x:v>
      </x:c>
      <x:c r="E548" s="5" t="str">
        <x:v>vollständig abgedeckt</x:v>
      </x:c>
      <x:c r="F548" s="5" t="str"/>
      <x:c r="G548" s="5" t="str">
        <x:v>PF-0096–PF-0113; PF-0156; PF-0168–PF-0174; PF-0200, PF-0201; PF-0088; PF-0090–PF-0094; PF-0155; PF-0165–PF-0167</x:v>
      </x:c>
      <x:c r="H548" s="5" t="str"/>
      <x:c r="I548" s="5" t="str">
        <x:v>Analysebewertung erhalten; keine neue Frage allein aus ID-Zahlen ableiten.</x:v>
      </x:c>
      <x:c r="J548" s="5" t="str">
        <x:v>Soll-Ist-Matrix 2026-09-27</x:v>
      </x:c>
      <x:c r="K548" s="5" t="str">
        <x:v>Vorbewertung aus Soll-Ist-Matrix; Kandidaten nicht automatisch Einzelbelege</x:v>
      </x:c>
      <x:c r="L548" s="5" t="str">
        <x:v>PF-0099; PF-0169</x:v>
      </x:c>
    </x:row>
    <x:row r="549" ht="36" customHeight="1">
      <x:c r="A549" s="5" t="str">
        <x:v>9.5.4</x:v>
      </x:c>
      <x:c r="B549" s="5" t="str">
        <x:v>Führung und Zusammenarbeit</x:v>
      </x:c>
      <x:c r="C549" s="5" t="str">
        <x:v>Beteiligte und Mitwirkende an der Ausbildung</x:v>
      </x:c>
      <x:c r="D549" s="5" t="str">
        <x:v>vollständig abgedeckt</x:v>
      </x:c>
      <x:c r="E549" s="5" t="str">
        <x:v>vollständig abgedeckt</x:v>
      </x:c>
      <x:c r="F549" s="5" t="str"/>
      <x:c r="G549" s="5" t="str">
        <x:v>PF-0096–PF-0113; PF-0156; PF-0168–PF-0174; PF-0200, PF-0201; PF-0088; PF-0090–PF-0094; PF-0155; PF-0165–PF-0167</x:v>
      </x:c>
      <x:c r="H549" s="5" t="str"/>
      <x:c r="I549" s="5" t="str">
        <x:v>Analysebewertung erhalten; keine neue Frage allein aus ID-Zahlen ableiten.</x:v>
      </x:c>
      <x:c r="J549" s="5" t="str">
        <x:v>Soll-Ist-Matrix 2026-09-27</x:v>
      </x:c>
      <x:c r="K549" s="5" t="str">
        <x:v>Vorbewertung aus Soll-Ist-Matrix; Kandidaten nicht automatisch Einzelbelege</x:v>
      </x:c>
      <x:c r="L549" s="5" t="str">
        <x:v>PF-0098; PF-0170</x:v>
      </x:c>
    </x:row>
    <x:row r="550" ht="36" customHeight="1">
      <x:c r="A550" s="5" t="str">
        <x:v>9.5.5</x:v>
      </x:c>
      <x:c r="B550" s="5" t="str">
        <x:v>Führung und Zusammenarbeit</x:v>
      </x:c>
      <x:c r="C550" s="5" t="str">
        <x:v>Ergänzende individuelle Bildungsmaßnahmen</x:v>
      </x:c>
      <x:c r="D550" s="5" t="str">
        <x:v>vollständig abgedeckt</x:v>
      </x:c>
      <x:c r="E550" s="5" t="str">
        <x:v>vollständig abgedeckt</x:v>
      </x:c>
      <x:c r="F550" s="5" t="str"/>
      <x:c r="G550" s="5" t="str">
        <x:v>PF-0096–PF-0113; PF-0156; PF-0168–PF-0174; PF-0200, PF-0201; PF-0088; PF-0090–PF-0094; PF-0155; PF-0165–PF-0167</x:v>
      </x:c>
      <x:c r="H550" s="5" t="str"/>
      <x:c r="I550" s="5" t="str">
        <x:v>Analysebewertung erhalten; keine neue Frage allein aus ID-Zahlen ableiten.</x:v>
      </x:c>
      <x:c r="J550" s="5" t="str">
        <x:v>Soll-Ist-Matrix 2026-09-27</x:v>
      </x:c>
      <x:c r="K550" s="5" t="str">
        <x:v>Vorbewertung aus Soll-Ist-Matrix; Kandidaten nicht automatisch Einzelbelege</x:v>
      </x:c>
      <x:c r="L550" s="5" t="str">
        <x:v>PF-0171</x:v>
      </x:c>
    </x:row>
    <x:row r="551" ht="36" customHeight="1">
      <x:c r="A551" s="5" t="str">
        <x:v>9.5.6</x:v>
      </x:c>
      <x:c r="B551" s="5" t="str">
        <x:v>Führung und Zusammenarbeit</x:v>
      </x:c>
      <x:c r="C551" s="5" t="str">
        <x:v>Prüfungsdurchführung</x:v>
      </x:c>
      <x:c r="D551" s="5" t="str">
        <x:v>vollständig abgedeckt</x:v>
      </x:c>
      <x:c r="E551" s="5" t="str">
        <x:v>vollständig abgedeckt</x:v>
      </x:c>
      <x:c r="F551" s="5" t="str"/>
      <x:c r="G551" s="5" t="str">
        <x:v>PF-0096–PF-0113; PF-0156; PF-0168–PF-0174; PF-0200, PF-0201; PF-0088; PF-0090–PF-0094; PF-0155; PF-0165–PF-0167</x:v>
      </x:c>
      <x:c r="H551" s="5" t="str"/>
      <x:c r="I551" s="5" t="str">
        <x:v>Analysebewertung erhalten; keine neue Frage allein aus ID-Zahlen ableiten.</x:v>
      </x:c>
      <x:c r="J551" s="5" t="str">
        <x:v>Soll-Ist-Matrix 2026-09-27</x:v>
      </x:c>
      <x:c r="K551" s="5" t="str">
        <x:v>Vorbewertung aus Soll-Ist-Matrix; Kandidaten nicht automatisch Einzelbelege</x:v>
      </x:c>
      <x:c r="L551" s="5" t="str">
        <x:v>PF-0105; PF-0106; PF-0172</x:v>
      </x:c>
    </x:row>
    <x:row r="552" ht="36" customHeight="1">
      <x:c r="A552" s="5" t="str">
        <x:v>9.5.7</x:v>
      </x:c>
      <x:c r="B552" s="5" t="str">
        <x:v>Führung und Zusammenarbeit</x:v>
      </x:c>
      <x:c r="C552" s="5" t="str">
        <x:v>Anforderungen an Ausstattung und Ergonomie der Arbeitsumgebung</x:v>
      </x:c>
      <x:c r="D552" s="5" t="str">
        <x:v>vollständig abgedeckt</x:v>
      </x:c>
      <x:c r="E552" s="5" t="str">
        <x:v>vollständig abgedeckt</x:v>
      </x:c>
      <x:c r="F552" s="5" t="str"/>
      <x:c r="G552" s="5" t="str">
        <x:v>PF-0096–PF-0113; PF-0156; PF-0168–PF-0174; PF-0200, PF-0201; PF-0088; PF-0090–PF-0094; PF-0155; PF-0165–PF-0167</x:v>
      </x:c>
      <x:c r="H552" s="5" t="str"/>
      <x:c r="I552" s="5" t="str">
        <x:v>Analysebewertung erhalten; keine neue Frage allein aus ID-Zahlen ableiten.</x:v>
      </x:c>
      <x:c r="J552" s="5" t="str">
        <x:v>Soll-Ist-Matrix 2026-09-27</x:v>
      </x:c>
      <x:c r="K552" s="5" t="str">
        <x:v>Vorbewertung aus Soll-Ist-Matrix; Kandidaten nicht automatisch Einzelbelege</x:v>
      </x:c>
      <x:c r="L552" s="5" t="str">
        <x:v>PF-0107; PF-0108</x:v>
      </x:c>
    </x:row>
    <x:row r="553" ht="36" customHeight="1">
      <x:c r="A553" s="5" t="str">
        <x:v>9.5.8</x:v>
      </x:c>
      <x:c r="B553" s="5" t="str">
        <x:v>Führung und Zusammenarbeit</x:v>
      </x:c>
      <x:c r="C553" s="5" t="str">
        <x:v>Unterweisung</x:v>
      </x:c>
      <x:c r="D553" s="5" t="str">
        <x:v>vollständig abgedeckt</x:v>
      </x:c>
      <x:c r="E553" s="5" t="str">
        <x:v>vollständig abgedeckt</x:v>
      </x:c>
      <x:c r="F553" s="5" t="str"/>
      <x:c r="G553" s="5" t="str">
        <x:v>PF-0096–PF-0113; PF-0156; PF-0168–PF-0174; PF-0200, PF-0201; PF-0088; PF-0090–PF-0094; PF-0155; PF-0165–PF-0167</x:v>
      </x:c>
      <x:c r="H553" s="5" t="str"/>
      <x:c r="I553" s="5" t="str">
        <x:v>Analysebewertung erhalten; keine neue Frage allein aus ID-Zahlen ableiten.</x:v>
      </x:c>
      <x:c r="J553" s="5" t="str">
        <x:v>Soll-Ist-Matrix 2026-09-27</x:v>
      </x:c>
      <x:c r="K553" s="5" t="str">
        <x:v>Vorbewertung aus Soll-Ist-Matrix; Kandidaten nicht automatisch Einzelbelege</x:v>
      </x:c>
      <x:c r="L553" s="5" t="str">
        <x:v>PF-0103; PF-0104; PF-0109; PF-0110; PF-0156; PF-0173</x:v>
      </x:c>
    </x:row>
    <x:row r="554" ht="36" customHeight="1">
      <x:c r="A554" s="5" t="str">
        <x:v>9.5.9</x:v>
      </x:c>
      <x:c r="B554" s="5" t="str">
        <x:v>Führung und Zusammenarbeit</x:v>
      </x:c>
      <x:c r="C554" s="5" t="str">
        <x:v>Außer- und überbetriebliche Ausbildung</x:v>
      </x:c>
      <x:c r="D554" s="5" t="str">
        <x:v>vollständig abgedeckt</x:v>
      </x:c>
      <x:c r="E554" s="5" t="str">
        <x:v>vollständig abgedeckt</x:v>
      </x:c>
      <x:c r="F554" s="5" t="str"/>
      <x:c r="G554" s="5" t="str">
        <x:v>PF-0096–PF-0113; PF-0156; PF-0168–PF-0174; PF-0200, PF-0201; PF-0088; PF-0090–PF-0094; PF-0155; PF-0165–PF-0167</x:v>
      </x:c>
      <x:c r="H554" s="5" t="str"/>
      <x:c r="I554" s="5" t="str">
        <x:v>Analysebewertung erhalten; keine neue Frage allein aus ID-Zahlen ableiten.</x:v>
      </x:c>
      <x:c r="J554" s="5" t="str">
        <x:v>Soll-Ist-Matrix 2026-09-27</x:v>
      </x:c>
      <x:c r="K554" s="5" t="str">
        <x:v>Vorbewertung aus Soll-Ist-Matrix; Kandidaten nicht automatisch Einzelbelege</x:v>
      </x:c>
      <x:c r="L554" s="5" t="str">
        <x:v>PF-0111; PF-0112; PF-0174</x:v>
      </x:c>
    </x:row>
    <x:row r="555" ht="36" customHeight="1">
      <x:c r="A555" s="5" t="str">
        <x:v>9.5.10</x:v>
      </x:c>
      <x:c r="B555" s="5" t="str">
        <x:v>Führung und Zusammenarbeit</x:v>
      </x:c>
      <x:c r="C555" s="5" t="str">
        <x:v>Maßnahmen der Personalentwicklung</x:v>
      </x:c>
      <x:c r="D555" s="5" t="str">
        <x:v>vollständig abgedeckt</x:v>
      </x:c>
      <x:c r="E555" s="5" t="str">
        <x:v>vollständig abgedeckt</x:v>
      </x:c>
      <x:c r="F555" s="5" t="str"/>
      <x:c r="G555" s="5" t="str">
        <x:v>PF-0096–PF-0113; PF-0156; PF-0168–PF-0174; PF-0200, PF-0201; PF-0088; PF-0090–PF-0094; PF-0155; PF-0165–PF-0167</x:v>
      </x:c>
      <x:c r="H555" s="5" t="str"/>
      <x:c r="I555" s="5" t="str">
        <x:v>Analysebewertung erhalten; keine neue Frage allein aus ID-Zahlen ableiten.</x:v>
      </x:c>
      <x:c r="J555" s="5" t="str">
        <x:v>Soll-Ist-Matrix 2026-09-27</x:v>
      </x:c>
      <x:c r="K555" s="5" t="str">
        <x:v>Vorbewertung aus Soll-Ist-Matrix; Kandidaten nicht automatisch Einzelbelege</x:v>
      </x:c>
      <x:c r="L555" s="5" t="str">
        <x:v>PF-0113; PF-0200; PF-0201</x:v>
      </x:c>
    </x:row>
    <x:row r="556" ht="36" customHeight="1">
      <x:c r="A556" s="5" t="str">
        <x:v>9.6</x:v>
      </x:c>
      <x:c r="B556" s="5" t="str">
        <x:v>Führung und Zusammenarbeit</x:v>
      </x:c>
      <x:c r="C556" s="5" t="str">
        <x:v>Moderation von Projektgruppen</x:v>
      </x:c>
      <x:c r="D556" s="5" t="str">
        <x:v>vollständig abgedeckt</x:v>
      </x:c>
      <x:c r="E556" s="5" t="str">
        <x:v>vollständig abgedeckt</x:v>
      </x:c>
      <x:c r="F556" s="5" t="str"/>
      <x:c r="G556" s="5" t="str">
        <x:v>PF-0114; PF-0116–PF-0119; PF-0121; PF-0136, PF-0137; PF-0175, PF-0176; PF-0178; PF-0204, PF-0205; PF-0122–PF-0135; PF-0157; PF-0177; PF-0206, PF-0207</x:v>
      </x:c>
      <x:c r="H556" s="5" t="str"/>
      <x:c r="I556" s="5" t="str">
        <x:v>Analysebewertung erhalten; keine neue Frage allein aus ID-Zahlen ableiten.</x:v>
      </x:c>
      <x:c r="J556" s="5" t="str">
        <x:v>Soll-Ist-Matrix 2026-09-27</x:v>
      </x:c>
      <x:c r="K556" s="5" t="str">
        <x:v>Vorbewertung aus Soll-Ist-Matrix; Kandidaten nicht automatisch Einzelbelege</x:v>
      </x:c>
      <x:c r="L556" s="5" t="str"/>
    </x:row>
    <x:row r="557" ht="36" customHeight="1">
      <x:c r="A557" s="5" t="str">
        <x:v>9.6.1</x:v>
      </x:c>
      <x:c r="B557" s="5" t="str">
        <x:v>Führung und Zusammenarbeit</x:v>
      </x:c>
      <x:c r="C557" s="5" t="str">
        <x:v>Arbeitsgruppen, Teams und Projektgruppen</x:v>
      </x:c>
      <x:c r="D557" s="5" t="str">
        <x:v>vollständig abgedeckt</x:v>
      </x:c>
      <x:c r="E557" s="5" t="str">
        <x:v>vollständig abgedeckt</x:v>
      </x:c>
      <x:c r="F557" s="5" t="str"/>
      <x:c r="G557" s="5" t="str">
        <x:v>PF-0114; PF-0116–PF-0119; PF-0121; PF-0136, PF-0137; PF-0175, PF-0176; PF-0178; PF-0204, PF-0205</x:v>
      </x:c>
      <x:c r="H557" s="5" t="str"/>
      <x:c r="I557" s="5" t="str">
        <x:v>Analysebewertung erhalten; keine neue Frage allein aus ID-Zahlen ableiten.</x:v>
      </x:c>
      <x:c r="J557" s="5" t="str">
        <x:v>Soll-Ist-Matrix 2026-09-27</x:v>
      </x:c>
      <x:c r="K557" s="5" t="str">
        <x:v>Vorbewertung aus Soll-Ist-Matrix; Kandidaten nicht automatisch Einzelbelege</x:v>
      </x:c>
      <x:c r="L557" s="5" t="str">
        <x:v>PF-0117; PF-0118; PF-0119; PF-0176; PF-0178; PF-0204; PF-0205</x:v>
      </x:c>
    </x:row>
    <x:row r="558" ht="36" customHeight="1">
      <x:c r="A558" s="5" t="str">
        <x:v>9.6.1.1</x:v>
      </x:c>
      <x:c r="B558" s="5" t="str">
        <x:v>Führung und Zusammenarbeit</x:v>
      </x:c>
      <x:c r="C558" s="5" t="str">
        <x:v>Kernelemente und Gütekriterien der Gruppenarbeit</x:v>
      </x:c>
      <x:c r="D558" s="5" t="str">
        <x:v>vollständig abgedeckt</x:v>
      </x:c>
      <x:c r="E558" s="5" t="str">
        <x:v>vollständig abgedeckt</x:v>
      </x:c>
      <x:c r="F558" s="5" t="str"/>
      <x:c r="G558" s="5" t="str">
        <x:v>PF-0114; PF-0116–PF-0119; PF-0121; PF-0136, PF-0137; PF-0175, PF-0176; PF-0178; PF-0204, PF-0205</x:v>
      </x:c>
      <x:c r="H558" s="5" t="str"/>
      <x:c r="I558" s="5" t="str">
        <x:v>Analysebewertung erhalten; keine neue Frage allein aus ID-Zahlen ableiten.</x:v>
      </x:c>
      <x:c r="J558" s="5" t="str">
        <x:v>Soll-Ist-Matrix 2026-09-27</x:v>
      </x:c>
      <x:c r="K558" s="5" t="str">
        <x:v>Vorbewertung aus Soll-Ist-Matrix; Kandidaten nicht automatisch Einzelbelege</x:v>
      </x:c>
      <x:c r="L558" s="5" t="str">
        <x:v>PF-0116; PF-0121</x:v>
      </x:c>
    </x:row>
    <x:row r="559" ht="36" customHeight="1">
      <x:c r="A559" s="5" t="str">
        <x:v>9.6.1.2</x:v>
      </x:c>
      <x:c r="B559" s="5" t="str">
        <x:v>Führung und Zusammenarbeit</x:v>
      </x:c>
      <x:c r="C559" s="5" t="str">
        <x:v>Besetzung, Organisation und sachliche Ausrichtung von Projektgruppen</x:v>
      </x:c>
      <x:c r="D559" s="5" t="str">
        <x:v>vollständig abgedeckt</x:v>
      </x:c>
      <x:c r="E559" s="5" t="str">
        <x:v>vollständig abgedeckt</x:v>
      </x:c>
      <x:c r="F559" s="5" t="str"/>
      <x:c r="G559" s="5" t="str">
        <x:v>PF-0114; PF-0116–PF-0119; PF-0121; PF-0136, PF-0137; PF-0175, PF-0176; PF-0178; PF-0204, PF-0205</x:v>
      </x:c>
      <x:c r="H559" s="5" t="str"/>
      <x:c r="I559" s="5" t="str">
        <x:v>Analysebewertung erhalten; keine neue Frage allein aus ID-Zahlen ableiten.</x:v>
      </x:c>
      <x:c r="J559" s="5" t="str">
        <x:v>Soll-Ist-Matrix 2026-09-27</x:v>
      </x:c>
      <x:c r="K559" s="5" t="str">
        <x:v>Vorbewertung aus Soll-Ist-Matrix; Kandidaten nicht automatisch Einzelbelege</x:v>
      </x:c>
      <x:c r="L559" s="5" t="str">
        <x:v>PF-0114; PF-0175</x:v>
      </x:c>
    </x:row>
    <x:row r="560" ht="36" customHeight="1">
      <x:c r="A560" s="5" t="str">
        <x:v>9.6.2</x:v>
      </x:c>
      <x:c r="B560" s="5" t="str">
        <x:v>Führung und Zusammenarbeit</x:v>
      </x:c>
      <x:c r="C560" s="5" t="str">
        <x:v>Moderieren von Arbeits- und Projektgruppen</x:v>
      </x:c>
      <x:c r="D560" s="5" t="str">
        <x:v>vollständig abgedeckt</x:v>
      </x:c>
      <x:c r="E560" s="5" t="str">
        <x:v>vollständig abgedeckt</x:v>
      </x:c>
      <x:c r="F560" s="5" t="str"/>
      <x:c r="G560" s="5" t="str">
        <x:v>PF-0122–PF-0135; PF-0157; PF-0177; PF-0206, PF-0207</x:v>
      </x:c>
      <x:c r="H560" s="5" t="str"/>
      <x:c r="I560" s="5" t="str">
        <x:v>Analysebewertung erhalten; keine neue Frage allein aus ID-Zahlen ableiten.</x:v>
      </x:c>
      <x:c r="J560" s="5" t="str">
        <x:v>Soll-Ist-Matrix 2026-09-27</x:v>
      </x:c>
      <x:c r="K560" s="5" t="str">
        <x:v>Vorbewertung aus Soll-Ist-Matrix; Kandidaten nicht automatisch Einzelbelege</x:v>
      </x:c>
      <x:c r="L560" s="5" t="str">
        <x:v>PF-0126; PF-0128; PF-0134</x:v>
      </x:c>
    </x:row>
    <x:row r="561" ht="36" customHeight="1">
      <x:c r="A561" s="5" t="str">
        <x:v>9.6.2.1</x:v>
      </x:c>
      <x:c r="B561" s="5" t="str">
        <x:v>Führung und Zusammenarbeit</x:v>
      </x:c>
      <x:c r="C561" s="5" t="str">
        <x:v>Moderation als Methode der aktiven Beteiligung und einer entsprechenden Zielorientierung</x:v>
      </x:c>
      <x:c r="D561" s="5" t="str">
        <x:v>vollständig abgedeckt</x:v>
      </x:c>
      <x:c r="E561" s="5" t="str">
        <x:v>vollständig abgedeckt</x:v>
      </x:c>
      <x:c r="F561" s="5" t="str"/>
      <x:c r="G561" s="5" t="str">
        <x:v>PF-0122–PF-0135; PF-0157; PF-0177; PF-0206, PF-0207</x:v>
      </x:c>
      <x:c r="H561" s="5" t="str"/>
      <x:c r="I561" s="5" t="str">
        <x:v>Analysebewertung erhalten; keine neue Frage allein aus ID-Zahlen ableiten.</x:v>
      </x:c>
      <x:c r="J561" s="5" t="str">
        <x:v>Soll-Ist-Matrix 2026-09-27</x:v>
      </x:c>
      <x:c r="K561" s="5" t="str">
        <x:v>Vorbewertung aus Soll-Ist-Matrix; Kandidaten nicht automatisch Einzelbelege</x:v>
      </x:c>
      <x:c r="L561" s="5" t="str">
        <x:v>PF-0122; PF-0123; PF-0125; PF-0130; PF-0131; PF-0133; PF-0157; PF-0207</x:v>
      </x:c>
    </x:row>
    <x:row r="562" ht="36" customHeight="1">
      <x:c r="A562" s="5" t="str">
        <x:v>9.6.2.2</x:v>
      </x:c>
      <x:c r="B562" s="5" t="str">
        <x:v>Führung und Zusammenarbeit</x:v>
      </x:c>
      <x:c r="C562" s="5" t="str">
        <x:v>Geteilte Moderation</x:v>
      </x:c>
      <x:c r="D562" s="5" t="str">
        <x:v>vollständig abgedeckt</x:v>
      </x:c>
      <x:c r="E562" s="5" t="str">
        <x:v>vollständig abgedeckt</x:v>
      </x:c>
      <x:c r="F562" s="5" t="str"/>
      <x:c r="G562" s="5" t="str">
        <x:v>PF-0122–PF-0135; PF-0157; PF-0177; PF-0206, PF-0207</x:v>
      </x:c>
      <x:c r="H562" s="5" t="str"/>
      <x:c r="I562" s="5" t="str">
        <x:v>Analysebewertung erhalten; keine neue Frage allein aus ID-Zahlen ableiten.</x:v>
      </x:c>
      <x:c r="J562" s="5" t="str">
        <x:v>Soll-Ist-Matrix 2026-09-27</x:v>
      </x:c>
      <x:c r="K562" s="5" t="str">
        <x:v>Vorbewertung aus Soll-Ist-Matrix; Kandidaten nicht automatisch Einzelbelege</x:v>
      </x:c>
      <x:c r="L562" s="5" t="str">
        <x:v>PF-0177</x:v>
      </x:c>
    </x:row>
    <x:row r="563" ht="36" customHeight="1">
      <x:c r="A563" s="5" t="str">
        <x:v>9.6.2.3</x:v>
      </x:c>
      <x:c r="B563" s="5" t="str">
        <x:v>Führung und Zusammenarbeit</x:v>
      </x:c>
      <x:c r="C563" s="5" t="str">
        <x:v>Regeln für die Vorbereitung</x:v>
      </x:c>
      <x:c r="D563" s="5" t="str">
        <x:v>vollständig abgedeckt</x:v>
      </x:c>
      <x:c r="E563" s="5" t="str">
        <x:v>vollständig abgedeckt</x:v>
      </x:c>
      <x:c r="F563" s="5" t="str"/>
      <x:c r="G563" s="5" t="str">
        <x:v>PF-0122–PF-0135; PF-0157; PF-0177; PF-0206, PF-0207</x:v>
      </x:c>
      <x:c r="H563" s="5" t="str"/>
      <x:c r="I563" s="5" t="str">
        <x:v>Analysebewertung erhalten; keine neue Frage allein aus ID-Zahlen ableiten.</x:v>
      </x:c>
      <x:c r="J563" s="5" t="str">
        <x:v>Soll-Ist-Matrix 2026-09-27</x:v>
      </x:c>
      <x:c r="K563" s="5" t="str">
        <x:v>Vorbewertung aus Soll-Ist-Matrix; Kandidaten nicht automatisch Einzelbelege</x:v>
      </x:c>
      <x:c r="L563" s="5" t="str">
        <x:v>PF-0124; PF-0127</x:v>
      </x:c>
    </x:row>
    <x:row r="564" ht="36" customHeight="1">
      <x:c r="A564" s="5" t="str">
        <x:v>9.6.2.4</x:v>
      </x:c>
      <x:c r="B564" s="5" t="str">
        <x:v>Führung und Zusammenarbeit</x:v>
      </x:c>
      <x:c r="C564" s="5" t="str">
        <x:v>Kreativitätstechniken und Methoden der Ideenfindung</x:v>
      </x:c>
      <x:c r="D564" s="5" t="str">
        <x:v>vollständig abgedeckt</x:v>
      </x:c>
      <x:c r="E564" s="5" t="str">
        <x:v>vollständig abgedeckt</x:v>
      </x:c>
      <x:c r="F564" s="5" t="str"/>
      <x:c r="G564" s="5" t="str">
        <x:v>PF-0122–PF-0135; PF-0157; PF-0177; PF-0206, PF-0207</x:v>
      </x:c>
      <x:c r="H564" s="5" t="str"/>
      <x:c r="I564" s="5" t="str">
        <x:v>Analysebewertung erhalten; keine neue Frage allein aus ID-Zahlen ableiten.</x:v>
      </x:c>
      <x:c r="J564" s="5" t="str">
        <x:v>Soll-Ist-Matrix 2026-09-27</x:v>
      </x:c>
      <x:c r="K564" s="5" t="str">
        <x:v>Vorbewertung aus Soll-Ist-Matrix; Kandidaten nicht automatisch Einzelbelege</x:v>
      </x:c>
      <x:c r="L564" s="5" t="str">
        <x:v>PF-0129</x:v>
      </x:c>
    </x:row>
    <x:row r="565" ht="36" customHeight="1">
      <x:c r="A565" s="5" t="str">
        <x:v>9.6.2.5</x:v>
      </x:c>
      <x:c r="B565" s="5" t="str">
        <x:v>Führung und Zusammenarbeit</x:v>
      </x:c>
      <x:c r="C565" s="5" t="str">
        <x:v>Nachbereitung der Moderation</x:v>
      </x:c>
      <x:c r="D565" s="5" t="str">
        <x:v>vollständig abgedeckt</x:v>
      </x:c>
      <x:c r="E565" s="5" t="str">
        <x:v>vollständig abgedeckt</x:v>
      </x:c>
      <x:c r="F565" s="5" t="str"/>
      <x:c r="G565" s="5" t="str">
        <x:v>PF-0122–PF-0135; PF-0157; PF-0177; PF-0206, PF-0207</x:v>
      </x:c>
      <x:c r="H565" s="5" t="str"/>
      <x:c r="I565" s="5" t="str">
        <x:v>Analysebewertung erhalten; keine neue Frage allein aus ID-Zahlen ableiten.</x:v>
      </x:c>
      <x:c r="J565" s="5" t="str">
        <x:v>Soll-Ist-Matrix 2026-09-27</x:v>
      </x:c>
      <x:c r="K565" s="5" t="str">
        <x:v>Vorbewertung aus Soll-Ist-Matrix; Kandidaten nicht automatisch Einzelbelege</x:v>
      </x:c>
      <x:c r="L565" s="5" t="str">
        <x:v>PF-0132; PF-0135; PF-0206</x:v>
      </x:c>
    </x:row>
    <x:row r="566" ht="36" customHeight="1">
      <x:c r="A566" s="5" t="str">
        <x:v>9.6.3</x:v>
      </x:c>
      <x:c r="B566" s="5" t="str">
        <x:v>Führung und Zusammenarbeit</x:v>
      </x:c>
      <x:c r="C566" s="5" t="str">
        <x:v>Steuern von Arbeits- und Projektgruppen</x:v>
      </x:c>
      <x:c r="D566" s="5" t="str">
        <x:v>vollständig abgedeckt</x:v>
      </x:c>
      <x:c r="E566" s="5" t="str">
        <x:v>vollständig abgedeckt</x:v>
      </x:c>
      <x:c r="F566" s="5" t="str"/>
      <x:c r="G566" s="5" t="str">
        <x:v>PF-0122–PF-0135; PF-0157; PF-0177; PF-0206, PF-0207; PF-0114; PF-0116–PF-0119; PF-0121; PF-0136, PF-0137; PF-0175, PF-0176; PF-0178; PF-0204, PF-0205</x:v>
      </x:c>
      <x:c r="H566" s="5" t="str"/>
      <x:c r="I566" s="5" t="str">
        <x:v>Analysebewertung erhalten; keine neue Frage allein aus ID-Zahlen ableiten.</x:v>
      </x:c>
      <x:c r="J566" s="5" t="str">
        <x:v>Soll-Ist-Matrix 2026-09-27</x:v>
      </x:c>
      <x:c r="K566" s="5" t="str">
        <x:v>Vorbewertung aus Soll-Ist-Matrix; Kandidaten nicht automatisch Einzelbelege</x:v>
      </x:c>
      <x:c r="L566" s="5" t="str"/>
    </x:row>
    <x:row r="567" ht="36" customHeight="1">
      <x:c r="A567" s="5" t="str">
        <x:v>9.6.3.1</x:v>
      </x:c>
      <x:c r="B567" s="5" t="str">
        <x:v>Führung und Zusammenarbeit</x:v>
      </x:c>
      <x:c r="C567" s="5" t="str">
        <x:v>Phasen der Prozesssteuerung</x:v>
      </x:c>
      <x:c r="D567" s="5" t="str">
        <x:v>vollständig abgedeckt</x:v>
      </x:c>
      <x:c r="E567" s="5" t="str">
        <x:v>vollständig abgedeckt</x:v>
      </x:c>
      <x:c r="F567" s="5" t="str"/>
      <x:c r="G567" s="5" t="str">
        <x:v>PF-0122–PF-0135; PF-0157; PF-0177; PF-0206, PF-0207</x:v>
      </x:c>
      <x:c r="H567" s="5" t="str"/>
      <x:c r="I567" s="5" t="str">
        <x:v>Analysebewertung erhalten; keine neue Frage allein aus ID-Zahlen ableiten.</x:v>
      </x:c>
      <x:c r="J567" s="5" t="str">
        <x:v>Soll-Ist-Matrix 2026-09-27</x:v>
      </x:c>
      <x:c r="K567" s="5" t="str">
        <x:v>Vorbewertung aus Soll-Ist-Matrix; Kandidaten nicht automatisch Einzelbelege</x:v>
      </x:c>
      <x:c r="L567" s="5" t="str"/>
    </x:row>
    <x:row r="568" ht="36" customHeight="1">
      <x:c r="A568" s="5" t="str">
        <x:v>9.6.3.2</x:v>
      </x:c>
      <x:c r="B568" s="5" t="str">
        <x:v>Führung und Zusammenarbeit</x:v>
      </x:c>
      <x:c r="C568" s="5" t="str">
        <x:v>Verhalten von Gruppenmitgliedern</x:v>
      </x:c>
      <x:c r="D568" s="5" t="str">
        <x:v>vollständig abgedeckt</x:v>
      </x:c>
      <x:c r="E568" s="5" t="str">
        <x:v>vollständig abgedeckt</x:v>
      </x:c>
      <x:c r="F568" s="5" t="str"/>
      <x:c r="G568" s="5" t="str">
        <x:v>PF-0114; PF-0116–PF-0119; PF-0121; PF-0136, PF-0137; PF-0175, PF-0176; PF-0178; PF-0204, PF-0205; PF-0122–PF-0135; PF-0157; PF-0177; PF-0206, PF-0207</x:v>
      </x:c>
      <x:c r="H568" s="5" t="str"/>
      <x:c r="I568" s="5" t="str">
        <x:v>Analysebewertung erhalten; keine neue Frage allein aus ID-Zahlen ableiten.</x:v>
      </x:c>
      <x:c r="J568" s="5" t="str">
        <x:v>Soll-Ist-Matrix 2026-09-27</x:v>
      </x:c>
      <x:c r="K568" s="5" t="str">
        <x:v>Vorbewertung aus Soll-Ist-Matrix; Kandidaten nicht automatisch Einzelbelege</x:v>
      </x:c>
      <x:c r="L568" s="5" t="str"/>
    </x:row>
    <x:row r="569" ht="36" customHeight="1">
      <x:c r="A569" s="5" t="str">
        <x:v>9.6.4</x:v>
      </x:c>
      <x:c r="B569" s="5" t="str">
        <x:v>Führung und Zusammenarbeit</x:v>
      </x:c>
      <x:c r="C569" s="5" t="str">
        <x:v>Projektabschluss durch Projektleitung</x:v>
      </x:c>
      <x:c r="D569" s="5" t="str">
        <x:v>vollständig abgedeckt</x:v>
      </x:c>
      <x:c r="E569" s="5" t="str">
        <x:v>vollständig abgedeckt</x:v>
      </x:c>
      <x:c r="F569" s="5" t="str"/>
      <x:c r="G569" s="5" t="str">
        <x:v>PF-0114; PF-0116–PF-0119; PF-0121; PF-0136, PF-0137; PF-0175, PF-0176; PF-0178; PF-0204, PF-0205</x:v>
      </x:c>
      <x:c r="H569" s="5" t="str"/>
      <x:c r="I569" s="5" t="str">
        <x:v>Analysebewertung erhalten; keine neue Frage allein aus ID-Zahlen ableiten.</x:v>
      </x:c>
      <x:c r="J569" s="5" t="str">
        <x:v>Soll-Ist-Matrix 2026-09-27</x:v>
      </x:c>
      <x:c r="K569" s="5" t="str">
        <x:v>Vorbewertung aus Soll-Ist-Matrix; Kandidaten nicht automatisch Einzelbelege</x:v>
      </x:c>
      <x:c r="L569" s="5" t="str">
        <x:v>PF-0136; PF-0137</x:v>
      </x:c>
    </x:row>
    <x:row r="570" ht="36" customHeight="1">
      <x:c r="A570" s="5" t="str">
        <x:v>9.7</x:v>
      </x:c>
      <x:c r="B570" s="5" t="str">
        <x:v>Führung und Zusammenarbeit</x:v>
      </x:c>
      <x:c r="C570" s="5" t="str">
        <x:v>Präsentationstechniken</x:v>
      </x:c>
      <x:c r="D570" s="5" t="str">
        <x:v>vollständig abgedeckt</x:v>
      </x:c>
      <x:c r="E570" s="5" t="str">
        <x:v>vollständig abgedeckt</x:v>
      </x:c>
      <x:c r="F570" s="5" t="str"/>
      <x:c r="G570" s="5" t="str">
        <x:v>PF-0138–PF-0151; PF-0158; PF-0179, PF-0180; PF-0122–PF-0135; PF-0157; PF-0177; PF-0206, PF-0207</x:v>
      </x:c>
      <x:c r="H570" s="5" t="str"/>
      <x:c r="I570" s="5" t="str">
        <x:v>Analysebewertung erhalten; keine neue Frage allein aus ID-Zahlen ableiten.</x:v>
      </x:c>
      <x:c r="J570" s="5" t="str">
        <x:v>Soll-Ist-Matrix 2026-09-27</x:v>
      </x:c>
      <x:c r="K570" s="5" t="str">
        <x:v>Vorbewertung aus Soll-Ist-Matrix; Kandidaten nicht automatisch Einzelbelege</x:v>
      </x:c>
      <x:c r="L570" s="5" t="str"/>
    </x:row>
    <x:row r="571" ht="36" customHeight="1">
      <x:c r="A571" s="5" t="str">
        <x:v>9.7.1</x:v>
      </x:c>
      <x:c r="B571" s="5" t="str">
        <x:v>Führung und Zusammenarbeit</x:v>
      </x:c>
      <x:c r="C571" s="5" t="str">
        <x:v>Ziel und Gegenstand einer Präsentation</x:v>
      </x:c>
      <x:c r="D571" s="5" t="str">
        <x:v>vollständig abgedeckt</x:v>
      </x:c>
      <x:c r="E571" s="5" t="str">
        <x:v>vollständig abgedeckt</x:v>
      </x:c>
      <x:c r="F571" s="5" t="str"/>
      <x:c r="G571" s="5" t="str">
        <x:v>PF-0138–PF-0151; PF-0158; PF-0179, PF-0180; PF-0122–PF-0135; PF-0157; PF-0177; PF-0206, PF-0207</x:v>
      </x:c>
      <x:c r="H571" s="5" t="str"/>
      <x:c r="I571" s="5" t="str">
        <x:v>Analysebewertung erhalten; keine neue Frage allein aus ID-Zahlen ableiten.</x:v>
      </x:c>
      <x:c r="J571" s="5" t="str">
        <x:v>Soll-Ist-Matrix 2026-09-27</x:v>
      </x:c>
      <x:c r="K571" s="5" t="str">
        <x:v>Vorbewertung aus Soll-Ist-Matrix; Kandidaten nicht automatisch Einzelbelege</x:v>
      </x:c>
      <x:c r="L571" s="5" t="str"/>
    </x:row>
    <x:row r="572" ht="36" customHeight="1">
      <x:c r="A572" s="5" t="str">
        <x:v>9.7.2</x:v>
      </x:c>
      <x:c r="B572" s="5" t="str">
        <x:v>Führung und Zusammenarbeit</x:v>
      </x:c>
      <x:c r="C572" s="5" t="str">
        <x:v>Voraussetzungen für eine erfolgreiche Präsentation</x:v>
      </x:c>
      <x:c r="D572" s="5" t="str">
        <x:v>vollständig abgedeckt</x:v>
      </x:c>
      <x:c r="E572" s="5" t="str">
        <x:v>vollständig abgedeckt</x:v>
      </x:c>
      <x:c r="F572" s="5" t="str"/>
      <x:c r="G572" s="5" t="str">
        <x:v>PF-0138–PF-0151; PF-0158; PF-0179, PF-0180</x:v>
      </x:c>
      <x:c r="H572" s="5" t="str"/>
      <x:c r="I572" s="5" t="str">
        <x:v>Analysebewertung erhalten; keine neue Frage allein aus ID-Zahlen ableiten.</x:v>
      </x:c>
      <x:c r="J572" s="5" t="str">
        <x:v>Soll-Ist-Matrix 2026-09-27</x:v>
      </x:c>
      <x:c r="K572" s="5" t="str">
        <x:v>Vorbewertung aus Soll-Ist-Matrix; Kandidaten nicht automatisch Einzelbelege</x:v>
      </x:c>
      <x:c r="L572" s="5" t="str"/>
    </x:row>
    <x:row r="573" ht="36" customHeight="1">
      <x:c r="A573" s="5" t="str">
        <x:v>9.7.2.1</x:v>
      </x:c>
      <x:c r="B573" s="5" t="str">
        <x:v>Führung und Zusammenarbeit</x:v>
      </x:c>
      <x:c r="C573" s="5" t="str">
        <x:v>Rhetorisch-methodische Bedingungen</x:v>
      </x:c>
      <x:c r="D573" s="5" t="str">
        <x:v>vollständig abgedeckt</x:v>
      </x:c>
      <x:c r="E573" s="5" t="str">
        <x:v>vollständig abgedeckt</x:v>
      </x:c>
      <x:c r="F573" s="5" t="str"/>
      <x:c r="G573" s="5" t="str">
        <x:v>PF-0138–PF-0151; PF-0158; PF-0179, PF-0180</x:v>
      </x:c>
      <x:c r="H573" s="5" t="str"/>
      <x:c r="I573" s="5" t="str">
        <x:v>Analysebewertung erhalten; keine neue Frage allein aus ID-Zahlen ableiten.</x:v>
      </x:c>
      <x:c r="J573" s="5" t="str">
        <x:v>Soll-Ist-Matrix 2026-09-27</x:v>
      </x:c>
      <x:c r="K573" s="5" t="str">
        <x:v>Vorbewertung aus Soll-Ist-Matrix; Kandidaten nicht automatisch Einzelbelege</x:v>
      </x:c>
      <x:c r="L573" s="5" t="str"/>
    </x:row>
    <x:row r="574" ht="36" customHeight="1">
      <x:c r="A574" s="5" t="str">
        <x:v>9.7.2.2</x:v>
      </x:c>
      <x:c r="B574" s="5" t="str">
        <x:v>Führung und Zusammenarbeit</x:v>
      </x:c>
      <x:c r="C574" s="5" t="str">
        <x:v>Gestaltungselemente</x:v>
      </x:c>
      <x:c r="D574" s="5" t="str">
        <x:v>vollständig abgedeckt</x:v>
      </x:c>
      <x:c r="E574" s="5" t="str">
        <x:v>vollständig abgedeckt</x:v>
      </x:c>
      <x:c r="F574" s="5" t="str"/>
      <x:c r="G574" s="5" t="str">
        <x:v>PF-0138–PF-0151; PF-0158; PF-0179, PF-0180</x:v>
      </x:c>
      <x:c r="H574" s="5" t="str"/>
      <x:c r="I574" s="5" t="str">
        <x:v>Analysebewertung erhalten; keine neue Frage allein aus ID-Zahlen ableiten.</x:v>
      </x:c>
      <x:c r="J574" s="5" t="str">
        <x:v>Soll-Ist-Matrix 2026-09-27</x:v>
      </x:c>
      <x:c r="K574" s="5" t="str">
        <x:v>Vorbewertung aus Soll-Ist-Matrix; Kandidaten nicht automatisch Einzelbelege</x:v>
      </x:c>
      <x:c r="L574" s="5" t="str"/>
    </x:row>
    <x:row r="575" ht="36" customHeight="1">
      <x:c r="A575" s="5" t="str">
        <x:v>9.7.3</x:v>
      </x:c>
      <x:c r="B575" s="5" t="str">
        <x:v>Führung und Zusammenarbeit</x:v>
      </x:c>
      <x:c r="C575" s="5" t="str">
        <x:v>Präsentation</x:v>
      </x:c>
      <x:c r="D575" s="5" t="str">
        <x:v>vollständig abgedeckt</x:v>
      </x:c>
      <x:c r="E575" s="5" t="str">
        <x:v>vollständig abgedeckt</x:v>
      </x:c>
      <x:c r="F575" s="5" t="str"/>
      <x:c r="G575" s="5" t="str">
        <x:v>PF-0138–PF-0151; PF-0158; PF-0179, PF-0180</x:v>
      </x:c>
      <x:c r="H575" s="5" t="str"/>
      <x:c r="I575" s="5" t="str">
        <x:v>Analysebewertung erhalten; keine neue Frage allein aus ID-Zahlen ableiten.</x:v>
      </x:c>
      <x:c r="J575" s="5" t="str">
        <x:v>Soll-Ist-Matrix 2026-09-27</x:v>
      </x:c>
      <x:c r="K575" s="5" t="str">
        <x:v>Vorbewertung aus Soll-Ist-Matrix; Kandidaten nicht automatisch Einzelbelege</x:v>
      </x:c>
      <x:c r="L575" s="5" t="str">
        <x:v>PF-0141; PF-0143; PF-0144; PF-0146; PF-0150; PF-0158</x:v>
      </x:c>
    </x:row>
    <x:row r="576" ht="36" customHeight="1">
      <x:c r="A576" s="5" t="str">
        <x:v>9.7.3.1</x:v>
      </x:c>
      <x:c r="B576" s="5" t="str">
        <x:v>Führung und Zusammenarbeit</x:v>
      </x:c>
      <x:c r="C576" s="5" t="str">
        <x:v>Thema und Ziel der Präsentation</x:v>
      </x:c>
      <x:c r="D576" s="5" t="str">
        <x:v>vollständig abgedeckt</x:v>
      </x:c>
      <x:c r="E576" s="5" t="str">
        <x:v>vollständig abgedeckt</x:v>
      </x:c>
      <x:c r="F576" s="5" t="str"/>
      <x:c r="G576" s="5" t="str">
        <x:v>PF-0138–PF-0151; PF-0158; PF-0179, PF-0180</x:v>
      </x:c>
      <x:c r="H576" s="5" t="str"/>
      <x:c r="I576" s="5" t="str">
        <x:v>Analysebewertung erhalten; keine neue Frage allein aus ID-Zahlen ableiten.</x:v>
      </x:c>
      <x:c r="J576" s="5" t="str">
        <x:v>Soll-Ist-Matrix 2026-09-27</x:v>
      </x:c>
      <x:c r="K576" s="5" t="str">
        <x:v>Vorbewertung aus Soll-Ist-Matrix; Kandidaten nicht automatisch Einzelbelege</x:v>
      </x:c>
      <x:c r="L576" s="5" t="str">
        <x:v>PF-0138; PF-0139; PF-0140; PF-0142; PF-0147; PF-0149; PF-0151; PF-0179; PF-0180</x:v>
      </x:c>
    </x:row>
    <x:row r="577" ht="36" customHeight="1">
      <x:c r="A577" s="5" t="str">
        <x:v>9.7.3.2</x:v>
      </x:c>
      <x:c r="B577" s="5" t="str">
        <x:v>Führung und Zusammenarbeit</x:v>
      </x:c>
      <x:c r="C577" s="5" t="str">
        <x:v>Zielgruppe und deren Zusammensetzung</x:v>
      </x:c>
      <x:c r="D577" s="5" t="str">
        <x:v>vollständig abgedeckt</x:v>
      </x:c>
      <x:c r="E577" s="5" t="str">
        <x:v>vollständig abgedeckt</x:v>
      </x:c>
      <x:c r="F577" s="5" t="str"/>
      <x:c r="G577" s="5" t="str">
        <x:v>PF-0138–PF-0151; PF-0158; PF-0179, PF-0180</x:v>
      </x:c>
      <x:c r="H577" s="5" t="str"/>
      <x:c r="I577" s="5" t="str">
        <x:v>Analysebewertung erhalten; keine neue Frage allein aus ID-Zahlen ableiten.</x:v>
      </x:c>
      <x:c r="J577" s="5" t="str">
        <x:v>Soll-Ist-Matrix 2026-09-27</x:v>
      </x:c>
      <x:c r="K577" s="5" t="str">
        <x:v>Vorbewertung aus Soll-Ist-Matrix; Kandidaten nicht automatisch Einzelbelege</x:v>
      </x:c>
      <x:c r="L577" s="5" t="str">
        <x:v>PF-0145</x:v>
      </x:c>
    </x:row>
    <x:row r="578" ht="36" customHeight="1">
      <x:c r="A578" s="5" t="str">
        <x:v>9.7.3.3</x:v>
      </x:c>
      <x:c r="B578" s="5" t="str">
        <x:v>Führung und Zusammenarbeit</x:v>
      </x:c>
      <x:c r="C578" s="5" t="str">
        <x:v>Inhaltliche Vorbereitung</x:v>
      </x:c>
      <x:c r="D578" s="5" t="str">
        <x:v>vollständig abgedeckt</x:v>
      </x:c>
      <x:c r="E578" s="5" t="str">
        <x:v>vollständig abgedeckt</x:v>
      </x:c>
      <x:c r="F578" s="5" t="str"/>
      <x:c r="G578" s="5" t="str">
        <x:v>PF-0138–PF-0151; PF-0158; PF-0179, PF-0180</x:v>
      </x:c>
      <x:c r="H578" s="5" t="str"/>
      <x:c r="I578" s="5" t="str">
        <x:v>Analysebewertung erhalten; keine neue Frage allein aus ID-Zahlen ableiten.</x:v>
      </x:c>
      <x:c r="J578" s="5" t="str">
        <x:v>Soll-Ist-Matrix 2026-09-27</x:v>
      </x:c>
      <x:c r="K578" s="5" t="str">
        <x:v>Vorbewertung aus Soll-Ist-Matrix; Kandidaten nicht automatisch Einzelbelege</x:v>
      </x:c>
      <x:c r="L578" s="5" t="str"/>
    </x:row>
    <x:row r="579" ht="36" customHeight="1">
      <x:c r="A579" s="5" t="str">
        <x:v>9.7.3.4</x:v>
      </x:c>
      <x:c r="B579" s="5" t="str">
        <x:v>Führung und Zusammenarbeit</x:v>
      </x:c>
      <x:c r="C579" s="5" t="str">
        <x:v>Organisatorische Vorbereitung</x:v>
      </x:c>
      <x:c r="D579" s="5" t="str">
        <x:v>vollständig abgedeckt</x:v>
      </x:c>
      <x:c r="E579" s="5" t="str">
        <x:v>vollständig abgedeckt</x:v>
      </x:c>
      <x:c r="F579" s="5" t="str"/>
      <x:c r="G579" s="5" t="str">
        <x:v>PF-0138–PF-0151; PF-0158; PF-0179, PF-0180</x:v>
      </x:c>
      <x:c r="H579" s="5" t="str"/>
      <x:c r="I579" s="5" t="str">
        <x:v>Analysebewertung erhalten; keine neue Frage allein aus ID-Zahlen ableiten.</x:v>
      </x:c>
      <x:c r="J579" s="5" t="str">
        <x:v>Soll-Ist-Matrix 2026-09-27</x:v>
      </x:c>
      <x:c r="K579" s="5" t="str">
        <x:v>Vorbewertung aus Soll-Ist-Matrix; Kandidaten nicht automatisch Einzelbelege</x:v>
      </x:c>
      <x:c r="L579" s="5" t="str">
        <x:v>PF-0148</x:v>
      </x:c>
    </x:row>
    <x:row r="580" ht="36" customHeight="1">
      <x:c r="A580" s="5" t="str">
        <x:v>9.7.4</x:v>
      </x:c>
      <x:c r="B580" s="5" t="str">
        <x:v>Führung und Zusammenarbeit</x:v>
      </x:c>
      <x:c r="C580" s="5" t="str">
        <x:v>Präsentation</x:v>
      </x:c>
      <x:c r="D580" s="5" t="str">
        <x:v>vollständig abgedeckt</x:v>
      </x:c>
      <x:c r="E580" s="5" t="str">
        <x:v>vollständig abgedeckt</x:v>
      </x:c>
      <x:c r="F580" s="5" t="str"/>
      <x:c r="G580" s="5" t="str">
        <x:v>PF-0138–PF-0151; PF-0158; PF-0179, PF-0180</x:v>
      </x:c>
      <x:c r="H580" s="5" t="str"/>
      <x:c r="I580" s="5" t="str">
        <x:v>Analysebewertung erhalten; keine neue Frage allein aus ID-Zahlen ableiten.</x:v>
      </x:c>
      <x:c r="J580" s="5" t="str">
        <x:v>Soll-Ist-Matrix 2026-09-27</x:v>
      </x:c>
      <x:c r="K580" s="5" t="str">
        <x:v>Vorbewertung aus Soll-Ist-Matrix; Kandidaten nicht automatisch Einzelbelege</x:v>
      </x:c>
      <x:c r="L580" s="5" t="str"/>
    </x:row>
    <x:row r="581" ht="36" customHeight="1">
      <x:c r="A581" s="5" t="str">
        <x:v>9.7.4.1</x:v>
      </x:c>
      <x:c r="B581" s="5" t="str">
        <x:v>Führung und Zusammenarbeit</x:v>
      </x:c>
      <x:c r="C581" s="5" t="str">
        <x:v>Eröffnung, Hauptteil und Abschluss der Präsentation durch Einsatz von Medien und Methoden</x:v>
      </x:c>
      <x:c r="D581" s="5" t="str">
        <x:v>vollständig abgedeckt</x:v>
      </x:c>
      <x:c r="E581" s="5" t="str">
        <x:v>vollständig abgedeckt</x:v>
      </x:c>
      <x:c r="F581" s="5" t="str"/>
      <x:c r="G581" s="5" t="str">
        <x:v>PF-0138–PF-0151; PF-0158; PF-0179, PF-0180</x:v>
      </x:c>
      <x:c r="H581" s="5" t="str"/>
      <x:c r="I581" s="5" t="str">
        <x:v>Analysebewertung erhalten; keine neue Frage allein aus ID-Zahlen ableiten.</x:v>
      </x:c>
      <x:c r="J581" s="5" t="str">
        <x:v>Soll-Ist-Matrix 2026-09-27</x:v>
      </x:c>
      <x:c r="K581" s="5" t="str">
        <x:v>Vorbewertung aus Soll-Ist-Matrix; Kandidaten nicht automatisch Einzelbelege</x:v>
      </x:c>
      <x:c r="L581" s="5" t="str"/>
    </x:row>
    <x:row r="582" ht="36" customHeight="1">
      <x:c r="A582" s="5" t="str">
        <x:v>9.7.4.2</x:v>
      </x:c>
      <x:c r="B582" s="5" t="str">
        <x:v>Führung und Zusammenarbeit</x:v>
      </x:c>
      <x:c r="C582" s="5" t="str">
        <x:v>Umgang mit unvorhergesehenen Tatsachen</x:v>
      </x:c>
      <x:c r="D582" s="5" t="str">
        <x:v>vollständig abgedeckt</x:v>
      </x:c>
      <x:c r="E582" s="5" t="str">
        <x:v>vollständig abgedeckt</x:v>
      </x:c>
      <x:c r="F582" s="5" t="str"/>
      <x:c r="G582" s="5" t="str">
        <x:v>PF-0138–PF-0151; PF-0158; PF-0179, PF-0180</x:v>
      </x:c>
      <x:c r="H582" s="5" t="str"/>
      <x:c r="I582" s="5" t="str">
        <x:v>Analysebewertung erhalten; keine neue Frage allein aus ID-Zahlen ableiten.</x:v>
      </x:c>
      <x:c r="J582" s="5" t="str">
        <x:v>Soll-Ist-Matrix 2026-09-27</x:v>
      </x:c>
      <x:c r="K582" s="5" t="str">
        <x:v>Vorbewertung aus Soll-Ist-Matrix; Kandidaten nicht automatisch Einzelbelege</x:v>
      </x:c>
      <x:c r="L582" s="5" t="str"/>
    </x:row>
    <x:row r="583" ht="36" customHeight="1">
      <x:c r="A583" s="5" t="str">
        <x:v>9.7.4.3</x:v>
      </x:c>
      <x:c r="B583" s="5" t="str">
        <x:v>Führung und Zusammenarbeit</x:v>
      </x:c>
      <x:c r="C583" s="5" t="str">
        <x:v>Nachbereitung einer Präsentation</x:v>
      </x:c>
      <x:c r="D583" s="5" t="str">
        <x:v>vollständig abgedeckt</x:v>
      </x:c>
      <x:c r="E583" s="5" t="str">
        <x:v>vollständig abgedeckt</x:v>
      </x:c>
      <x:c r="F583" s="5" t="str"/>
      <x:c r="G583" s="5" t="str">
        <x:v>PF-0138–PF-0151; PF-0158; PF-0179, PF-0180</x:v>
      </x:c>
      <x:c r="H583" s="5" t="str"/>
      <x:c r="I583" s="5" t="str">
        <x:v>Analysebewertung erhalten; keine neue Frage allein aus ID-Zahlen ableiten.</x:v>
      </x:c>
      <x:c r="J583" s="5" t="str">
        <x:v>Soll-Ist-Matrix 2026-09-27</x:v>
      </x:c>
      <x:c r="K583" s="5" t="str">
        <x:v>Vorbewertung aus Soll-Ist-Matrix; Kandidaten nicht automatisch Einzelbelege</x:v>
      </x:c>
      <x:c r="L583" s="5" t="str"/>
    </x:row>
  </x:sheetData>
  <x:pageMargins left="0.7" right="0.7" top="0.75" bottom="0.75" header="0.3" footer="0.3"/>
  <x:tableParts count="1">
    <x:tablePart xmlns:r="http://schemas.openxmlformats.org/officeDocument/2006/relationships" r:id="R06769165191c483e"/>
  </x:tableParts>
</x:worksheet>
</file>

<file path=xl/worksheets/sheet6.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0" hidden="0" customWidth="1"/>
    <x:col min="2" max="2" width="42" hidden="0" customWidth="1"/>
    <x:col min="3" max="3" width="70" hidden="0" customWidth="1"/>
    <x:col min="4" max="4" width="27" hidden="0" customWidth="1"/>
    <x:col min="5" max="5" width="27" hidden="0" customWidth="1"/>
    <x:col min="6" max="6" width="55" hidden="0" customWidth="1"/>
    <x:col min="7" max="7" width="100" hidden="0" customWidth="1"/>
    <x:col min="8" max="8" width="100" hidden="0" customWidth="1"/>
    <x:col min="9" max="9" width="43" hidden="0" customWidth="1"/>
    <x:col min="10" max="10" width="55" hidden="0" customWidth="1"/>
    <x:col min="11" max="11" width="65" hidden="0" customWidth="1"/>
  </x:cols>
  <x:sheetData>
    <x:row r="2">
      <x:c r="A2" s="1" t="str">
        <x:v>Alle bisherigen Teilabdeckungen und Leerstellen</x:v>
      </x:c>
    </x:row>
    <x:row r="4">
      <x:c r="A4" s="2" t="str">
        <x:v>Planung / Revisionsstand · 28.09.2026 · WIFA-TR-GESAMT-20260927-REV2-FREIGEGEBENE-GRENZFAELLE · keine produktive Änderung</x:v>
      </x:c>
    </x:row>
    <x:row r="6" ht="34" customHeight="1">
      <x:c r="A6" s="9" t="str">
        <x:v>PunktKey</x:v>
      </x:c>
      <x:c r="B6" s="9" t="str">
        <x:v>Fach</x:v>
      </x:c>
      <x:c r="C6" s="9" t="str">
        <x:v>Unterpunkt</x:v>
      </x:c>
      <x:c r="D6" s="9" t="str">
        <x:v>Altstatus</x:v>
      </x:c>
      <x:c r="E6" s="9" t="str">
        <x:v>Planstatus</x:v>
      </x:c>
      <x:c r="F6" s="9" t="str">
        <x:v>Vorhandene Belege</x:v>
      </x:c>
      <x:c r="G6" s="9" t="str">
        <x:v>Was fehlt tatsächlich?</x:v>
      </x:c>
      <x:c r="H6" s="9" t="str">
        <x:v>Spätere Maßnahme</x:v>
      </x:c>
      <x:c r="I6" s="9" t="str">
        <x:v>Befundart</x:v>
      </x:c>
      <x:c r="J6" s="9" t="str">
        <x:v>Neue Inhalte?</x:v>
      </x:c>
      <x:c r="K6" s="9" t="str">
        <x:v>Quellen</x:v>
      </x:c>
    </x:row>
    <x:row r="7" ht="36" customHeight="1">
      <x:c r="A7" s="5" t="str">
        <x:v>2.3</x:v>
      </x:c>
      <x:c r="B7" s="5" t="str">
        <x:v>Rechnungswesen</x:v>
      </x:c>
      <x:c r="C7" s="5" t="str">
        <x:v>Kosten- und Leistungsrechnung</x:v>
      </x:c>
      <x:c r="D7" s="5" t="str">
        <x:v>teilweise abgedeckt</x:v>
      </x:c>
      <x:c r="E7" s="5" t="str">
        <x:v>teilweise abgedeckt</x:v>
      </x:c>
      <x:c r="F7" s="5" t="str">
        <x:v>BR-0037; BR-0029; BR-0076</x:v>
      </x:c>
      <x:c r="G7" s="5" t="str">
        <x:v>2.3.4.1: Spätere Überarbeitung erforderlich: Kostenträgerzeitrechnung nicht pauschal als vergangenheitsorientiert darstellen; Kostenträgerstückrechnung nicht als alleinige Ermittlung eines Produktgewinns darstellen.</x:v>
      </x:c>
      <x:c r="H7" s="5" t="str">
        <x:v>Abgeleiteter Elternstatus; keine zusätzliche Inhaltsaufgabe. Siehe Einzelpunkte 2.3.1.3, 2.3.4.1</x:v>
      </x:c>
      <x:c r="I7" s="5" t="str">
        <x:v>Elternbewertung / siehe Einzelpunkt</x:v>
      </x:c>
      <x:c r="J7" s="5" t="str">
        <x:v>siehe untergeordnete Befunde</x:v>
      </x:c>
      <x:c r="K7" s="5" t="str">
        <x:v>Soll-Ist-Matrix 2026-09-27</x:v>
      </x:c>
    </x:row>
    <x:row r="8" ht="36" customHeight="1">
      <x:c r="A8" s="5" t="str">
        <x:v>2.3.1</x:v>
      </x:c>
      <x:c r="B8" s="5" t="str">
        <x:v>Rechnungswesen</x:v>
      </x:c>
      <x:c r="C8" s="5" t="str">
        <x:v>Einführung in die Kosten- und Leistungsrechnung</x:v>
      </x:c>
      <x:c r="D8" s="5" t="str">
        <x:v>teilweise abgedeckt</x:v>
      </x:c>
      <x:c r="E8" s="5" t="str">
        <x:v>vollständig abgedeckt</x:v>
      </x:c>
      <x:c r="F8" s="5" t="str">
        <x:v>BR-0037; BR-0029</x:v>
      </x:c>
      <x:c r="G8" s="5" t="str">
        <x:v>Keine verbleibende Lücke nach Einzelpunktprüfung</x:v>
      </x:c>
      <x:c r="H8" s="5" t="str">
        <x:v>Abgeleiteter Elternstatus; keine zusätzliche Inhaltsaufgabe. Siehe Einzelpunkte 2.3.1.3</x:v>
      </x:c>
      <x:c r="I8" s="5" t="str">
        <x:v>Elternbewertung / siehe Einzelpunkt</x:v>
      </x:c>
      <x:c r="J8" s="5" t="str">
        <x:v>siehe untergeordnete Befunde</x:v>
      </x:c>
      <x:c r="K8" s="5" t="str">
        <x:v>Soll-Ist-Matrix 2026-09-27</x:v>
      </x:c>
    </x:row>
    <x:row r="9" ht="36" customHeight="1">
      <x:c r="A9" s="5" t="str">
        <x:v>2.3.1.3</x:v>
      </x:c>
      <x:c r="B9" s="5" t="str">
        <x:v>Rechnungswesen</x:v>
      </x:c>
      <x:c r="C9" s="5" t="str">
        <x:v>Aufgaben und Ziele der Kosten- und Leistungsrechnung</x:v>
      </x:c>
      <x:c r="D9" s="5" t="str">
        <x:v>teilweise abgedeckt</x:v>
      </x:c>
      <x:c r="E9" s="5" t="str">
        <x:v>vollständig abgedeckt</x:v>
      </x:c>
      <x:c r="F9" s="5" t="str">
        <x:v>BR-0037; BR-0029</x:v>
      </x:c>
      <x:c r="G9" s="5" t="str">
        <x:v>Keine fachliche Lücke im beschriebenen Themenumfang nachweisbar.</x:v>
      </x:c>
      <x:c r="H9" s="5" t="str">
        <x:v>Bestehende Belege gezielt verknüpfen; keine neue Frage allein wegen bisher fehlender expliziter Titelzeile.</x:v>
      </x:c>
      <x:c r="I9" s="5" t="str">
        <x:v>Zuordnungs-/Belegproblem</x:v>
      </x:c>
      <x:c r="J9" s="5" t="str">
        <x:v>nein</x:v>
      </x:c>
      <x:c r="K9" s="5" t="str">
        <x:v>RW_Buch: Kap. 3.1.3; RW_Skript: Einführung KLR</x:v>
      </x:c>
    </x:row>
    <x:row r="10" ht="36" customHeight="1">
      <x:c r="A10" s="5" t="str">
        <x:v>2.3.4</x:v>
      </x:c>
      <x:c r="B10" s="5" t="str">
        <x:v>Rechnungswesen</x:v>
      </x:c>
      <x:c r="C10" s="5" t="str">
        <x:v>Kostenträgerzeit- und Kostenträgerstückrechnung</x:v>
      </x:c>
      <x:c r="D10" s="5" t="str">
        <x:v>teilweise abgedeckt</x:v>
      </x:c>
      <x:c r="E10" s="5" t="str">
        <x:v>teilweise abgedeckt</x:v>
      </x:c>
      <x:c r="F10" s="5" t="str">
        <x:v>BR-0076</x:v>
      </x:c>
      <x:c r="G10" s="5" t="str">
        <x:v>2.3.4.1: Spätere Überarbeitung erforderlich: Kostenträgerzeitrechnung nicht pauschal als vergangenheitsorientiert darstellen; Kostenträgerstückrechnung nicht als alleinige Ermittlung eines Produktgewinns darstellen.</x:v>
      </x:c>
      <x:c r="H10" s="5" t="str">
        <x:v>Abgeleiteter Elternstatus; keine zusätzliche Inhaltsaufgabe. Siehe Einzelpunkte 2.3.4.1</x:v>
      </x:c>
      <x:c r="I10" s="5" t="str">
        <x:v>Elternbewertung / siehe Einzelpunkt</x:v>
      </x:c>
      <x:c r="J10" s="5" t="str">
        <x:v>siehe untergeordnete Befunde</x:v>
      </x:c>
      <x:c r="K10" s="5" t="str">
        <x:v>Soll-Ist-Matrix 2026-09-27</x:v>
      </x:c>
    </x:row>
    <x:row r="11" ht="36" customHeight="1">
      <x:c r="A11" s="5" t="str">
        <x:v>2.3.4.1</x:v>
      </x:c>
      <x:c r="B11" s="5" t="str">
        <x:v>Rechnungswesen</x:v>
      </x:c>
      <x:c r="C11" s="5" t="str">
        <x:v>Kostenträgerzeitrechnung</x:v>
      </x:c>
      <x:c r="D11" s="5" t="str">
        <x:v>teilweise abgedeckt</x:v>
      </x:c>
      <x:c r="E11" s="5" t="str">
        <x:v>teilweise abgedeckt</x:v>
      </x:c>
      <x:c r="F11" s="5" t="str">
        <x:v>BR-0076</x:v>
      </x:c>
      <x:c r="G11" s="5" t="str">
        <x:v>Spätere Überarbeitung erforderlich: Kostenträgerzeitrechnung nicht pauschal als vergangenheitsorientiert darstellen; Kostenträgerstückrechnung nicht als alleinige Ermittlung eines Produktgewinns darstellen.</x:v>
      </x:c>
      <x:c r="H11" s="5" t="str">
        <x:v>BR-0076 unter derselben ID redaktionell und fachlich präzisieren; Lückentext, Musterlösung und Schlüsselwörter gemeinsam prüfen. Keine neue ID erzeugen.</x:v>
      </x:c>
      <x:c r="I11" s="5" t="str">
        <x:v>Fachlicher Überarbeitungsbedarf</x:v>
      </x:c>
      <x:c r="J11" s="5" t="str">
        <x:v>Überarbeitung statt neuer ID</x:v>
      </x:c>
      <x:c r="K11" s="5" t="str">
        <x:v>RW_Buch: Kap. 3.4.1 und 5; RW_Skript: Abschnitt Kostenträgerzeitrechnung</x:v>
      </x:c>
    </x:row>
    <x:row r="12" ht="36" customHeight="1">
      <x:c r="A12" s="5" t="str">
        <x:v>2.4</x:v>
      </x:c>
      <x:c r="B12" s="5" t="str">
        <x:v>Rechnungswesen</x:v>
      </x:c>
      <x:c r="C12" s="5" t="str">
        <x:v>Auswertung der betriebswirtschaftlichen Zahlen</x:v>
      </x:c>
      <x:c r="D12" s="5" t="str">
        <x:v>teilweise abgedeckt</x:v>
      </x:c>
      <x:c r="E12" s="5" t="str">
        <x:v>vollständig abgedeckt</x:v>
      </x:c>
      <x:c r="F12" s="5" t="str">
        <x:v>BR-0112; BR-0044; BR-0008</x:v>
      </x:c>
      <x:c r="G12" s="5" t="str">
        <x:v>Keine verbleibende Lücke nach Einzelpunktprüfung</x:v>
      </x:c>
      <x:c r="H12" s="5" t="str">
        <x:v>Abgeleiteter Elternstatus; keine zusätzliche Inhaltsaufgabe. Siehe Einzelpunkte 2.4.1.1</x:v>
      </x:c>
      <x:c r="I12" s="5" t="str">
        <x:v>Elternbewertung / siehe Einzelpunkt</x:v>
      </x:c>
      <x:c r="J12" s="5" t="str">
        <x:v>siehe untergeordnete Befunde</x:v>
      </x:c>
      <x:c r="K12" s="5" t="str">
        <x:v>Soll-Ist-Matrix 2026-09-27</x:v>
      </x:c>
    </x:row>
    <x:row r="13" ht="36" customHeight="1">
      <x:c r="A13" s="5" t="str">
        <x:v>2.4.1</x:v>
      </x:c>
      <x:c r="B13" s="5" t="str">
        <x:v>Rechnungswesen</x:v>
      </x:c>
      <x:c r="C13" s="5" t="str">
        <x:v>Aufbereitung und Auswertung der Zahlen</x:v>
      </x:c>
      <x:c r="D13" s="5" t="str">
        <x:v>teilweise abgedeckt</x:v>
      </x:c>
      <x:c r="E13" s="5" t="str">
        <x:v>vollständig abgedeckt</x:v>
      </x:c>
      <x:c r="F13" s="5" t="str">
        <x:v>BR-0112; BR-0044; BR-0008</x:v>
      </x:c>
      <x:c r="G13" s="5" t="str">
        <x:v>Keine verbleibende Lücke nach Einzelpunktprüfung</x:v>
      </x:c>
      <x:c r="H13" s="5" t="str">
        <x:v>Abgeleiteter Elternstatus; keine zusätzliche Inhaltsaufgabe. Siehe Einzelpunkte 2.4.1.1</x:v>
      </x:c>
      <x:c r="I13" s="5" t="str">
        <x:v>Elternbewertung / siehe Einzelpunkt</x:v>
      </x:c>
      <x:c r="J13" s="5" t="str">
        <x:v>siehe untergeordnete Befunde</x:v>
      </x:c>
      <x:c r="K13" s="5" t="str">
        <x:v>Soll-Ist-Matrix 2026-09-27</x:v>
      </x:c>
    </x:row>
    <x:row r="14" ht="36" customHeight="1">
      <x:c r="A14" s="5" t="str">
        <x:v>2.4.1.1</x:v>
      </x:c>
      <x:c r="B14" s="5" t="str">
        <x:v>Rechnungswesen</x:v>
      </x:c>
      <x:c r="C14" s="5" t="str">
        <x:v>Adressaten der Auswertungen</x:v>
      </x:c>
      <x:c r="D14" s="5" t="str">
        <x:v>teilweise abgedeckt</x:v>
      </x:c>
      <x:c r="E14" s="5" t="str">
        <x:v>vollständig abgedeckt</x:v>
      </x:c>
      <x:c r="F14" s="5" t="str">
        <x:v>BR-0112; BR-0044; BR-0008</x:v>
      </x:c>
      <x:c r="G14" s="5" t="str">
        <x:v>Keine verbleibende Inhaltslücke; bisherige Kandidatenliste ließ direkte Belege unzureichend erkennen.</x:v>
      </x:c>
      <x:c r="H14" s="5" t="str">
        <x:v>2.4.1.1 mit BR-0112 direkt belegen; FiBu-Bezug von BR-0044 zusätzlich dokumentieren.</x:v>
      </x:c>
      <x:c r="I14" s="5" t="str">
        <x:v>Zuordnungs-/Belegproblem</x:v>
      </x:c>
      <x:c r="J14" s="5" t="str">
        <x:v>nein</x:v>
      </x:c>
      <x:c r="K14" s="5" t="str">
        <x:v>RW_Buch: Kap. 4.1.1; RW_Skript: Adressatenkreis und Jahresabschluss</x:v>
      </x:c>
    </x:row>
    <x:row r="15" ht="36" customHeight="1">
      <x:c r="A15" s="5" t="str">
        <x:v>4.1</x:v>
      </x:c>
      <x:c r="B15" s="5" t="str">
        <x:v>Unternehmensführung</x:v>
      </x:c>
      <x:c r="C15" s="5" t="str">
        <x:v>Betriebsorganisation</x:v>
      </x:c>
      <x:c r="D15" s="5" t="str">
        <x:v>teilweise abgedeckt</x:v>
      </x:c>
      <x:c r="E15" s="5" t="str">
        <x:v>teilweise abgedeckt</x:v>
      </x:c>
      <x:c r="F15" s="5" t="str">
        <x:v>UF-0058; UF-0198</x:v>
      </x:c>
      <x:c r="G15" s="5" t="str">
        <x:v>4.1.4.2#2: Eine explizite Darstellungs- bzw. Interpretationskomponente eines funktionsbezogenen Arbeitsablaufdiagramms bleibt offen.</x:v>
      </x:c>
      <x:c r="H15" s="5" t="str">
        <x:v>Abgeleiteter Elternstatus; keine zusätzliche Inhaltsaufgabe. Siehe Einzelpunkte 4.1.4.2#2</x:v>
      </x:c>
      <x:c r="I15" s="5" t="str">
        <x:v>Elternbewertung / siehe Einzelpunkt</x:v>
      </x:c>
      <x:c r="J15" s="5" t="str">
        <x:v>siehe untergeordnete Befunde</x:v>
      </x:c>
      <x:c r="K15" s="5" t="str">
        <x:v>Soll-Ist-Matrix 2026-09-27</x:v>
      </x:c>
    </x:row>
    <x:row r="16" ht="36" customHeight="1">
      <x:c r="A16" s="5" t="str">
        <x:v>4.1.4</x:v>
      </x:c>
      <x:c r="B16" s="5" t="str">
        <x:v>Unternehmensführung</x:v>
      </x:c>
      <x:c r="C16" s="5" t="str">
        <x:v>Ablauforganisation</x:v>
      </x:c>
      <x:c r="D16" s="5" t="str">
        <x:v>teilweise abgedeckt</x:v>
      </x:c>
      <x:c r="E16" s="5" t="str">
        <x:v>teilweise abgedeckt</x:v>
      </x:c>
      <x:c r="F16" s="5" t="str">
        <x:v>UF-0058; UF-0198</x:v>
      </x:c>
      <x:c r="G16" s="5" t="str">
        <x:v>4.1.4.2#2: Eine explizite Darstellungs- bzw. Interpretationskomponente eines funktionsbezogenen Arbeitsablaufdiagramms bleibt offen.</x:v>
      </x:c>
      <x:c r="H16" s="5" t="str">
        <x:v>Abgeleiteter Elternstatus; keine zusätzliche Inhaltsaufgabe. Siehe Einzelpunkte 4.1.4.2#2</x:v>
      </x:c>
      <x:c r="I16" s="5" t="str">
        <x:v>Elternbewertung / siehe Einzelpunkt</x:v>
      </x:c>
      <x:c r="J16" s="5" t="str">
        <x:v>siehe untergeordnete Befunde</x:v>
      </x:c>
      <x:c r="K16" s="5" t="str">
        <x:v>Soll-Ist-Matrix 2026-09-27</x:v>
      </x:c>
    </x:row>
    <x:row r="17" ht="36" customHeight="1">
      <x:c r="A17" s="5" t="str">
        <x:v>4.1.4.2</x:v>
      </x:c>
      <x:c r="B17" s="5" t="str">
        <x:v>Unternehmensführung</x:v>
      </x:c>
      <x:c r="C17" s="5" t="str">
        <x:v>Darstellungs- und Durchführungsformen der Ablauforganisation</x:v>
      </x:c>
      <x:c r="D17" s="5" t="str">
        <x:v>teilweise abgedeckt</x:v>
      </x:c>
      <x:c r="E17" s="5" t="str">
        <x:v>teilweise abgedeckt</x:v>
      </x:c>
      <x:c r="F17" s="5" t="str">
        <x:v>UF-0058; UF-0198</x:v>
      </x:c>
      <x:c r="G17" s="5" t="str">
        <x:v>4.1.4.2#2: Eine explizite Darstellungs- bzw. Interpretationskomponente eines funktionsbezogenen Arbeitsablaufdiagramms bleibt offen.</x:v>
      </x:c>
      <x:c r="H17" s="5" t="str">
        <x:v>Abgeleiteter Elternstatus; keine zusätzliche Inhaltsaufgabe. Siehe Einzelpunkte 4.1.4.2#2</x:v>
      </x:c>
      <x:c r="I17" s="5" t="str">
        <x:v>Elternbewertung / siehe Einzelpunkt</x:v>
      </x:c>
      <x:c r="J17" s="5" t="str">
        <x:v>siehe untergeordnete Befunde</x:v>
      </x:c>
      <x:c r="K17" s="5" t="str">
        <x:v>Soll-Ist-Matrix 2026-09-27</x:v>
      </x:c>
    </x:row>
    <x:row r="18" ht="36" customHeight="1">
      <x:c r="A18" s="5" t="str">
        <x:v>4.1.4.2#2</x:v>
      </x:c>
      <x:c r="B18" s="5" t="str">
        <x:v>Unternehmensführung</x:v>
      </x:c>
      <x:c r="C18" s="5" t="str">
        <x:v>Arbeitsablaufdiagramm</x:v>
      </x:c>
      <x:c r="D18" s="5" t="str">
        <x:v>nicht abgedeckt</x:v>
      </x:c>
      <x:c r="E18" s="5" t="str">
        <x:v>teilweise abgedeckt</x:v>
      </x:c>
      <x:c r="F18" s="5" t="str">
        <x:v>UF-0058; UF-0198</x:v>
      </x:c>
      <x:c r="G18" s="5" t="str">
        <x:v>Eine explizite Darstellungs- bzw. Interpretationskomponente eines funktionsbezogenen Arbeitsablaufdiagramms bleibt offen.</x:v>
      </x:c>
      <x:c r="H18" s="5" t="str">
        <x:v>UF-0058 später unter derselben ID um eine Darstellungs-/Interpretationskomponente mit Rollen, Übergaben und Rückschleife ergänzen. Keine neue ID automatisch erzeugen.</x:v>
      </x:c>
      <x:c r="I18" s="5" t="str">
        <x:v>Teilabdeckung / Inhaltsmaßnahme</x:v>
      </x:c>
      <x:c r="J18" s="5" t="str">
        <x:v>Überarbeitung einer bestehenden ID</x:v>
      </x:c>
      <x:c r="K18" s="5" t="str">
        <x:v>Rahmenplan: 4.1.4.2#2; UF-0058/UF-0198; UF_Buch und UF_Skript: Gegenprüfung Ablauforganisation</x:v>
      </x:c>
    </x:row>
    <x:row r="19" ht="36" customHeight="1">
      <x:c r="A19" s="5" t="str">
        <x:v>5.1</x:v>
      </x:c>
      <x:c r="B19" s="5" t="str">
        <x:v>Betriebliches Management</x:v>
      </x:c>
      <x:c r="C19" s="5" t="str">
        <x:v>Betriebliche Planungsprozesse unter Einbeziehung der Betriebsstatistik</x:v>
      </x:c>
      <x:c r="D19" s="5" t="str">
        <x:v>teilweise abgedeckt</x:v>
      </x:c>
      <x:c r="E19" s="5" t="str">
        <x:v>vollständig abgedeckt</x:v>
      </x:c>
      <x:c r="F19" s="5" t="str">
        <x:v>BM-0113; BM-0116; BM-0117; BM-0118; BM-0119; BM-0120; BM-0121; BM-0122; BM-0123</x:v>
      </x:c>
      <x:c r="G19" s="5" t="str">
        <x:v>Keine verbleibende Lücke nach Einzelpunktprüfung</x:v>
      </x:c>
      <x:c r="H19" s="5" t="str">
        <x:v>Abgeleiteter Elternstatus; keine zusätzliche Inhaltsaufgabe. Siehe Einzelpunkte 5.1.4</x:v>
      </x:c>
      <x:c r="I19" s="5" t="str">
        <x:v>Elternbewertung / siehe Einzelpunkt</x:v>
      </x:c>
      <x:c r="J19" s="5" t="str">
        <x:v>siehe untergeordnete Befunde</x:v>
      </x:c>
      <x:c r="K19" s="5" t="str">
        <x:v>Soll-Ist-Matrix 2026-09-27</x:v>
      </x:c>
    </x:row>
    <x:row r="20" ht="36" customHeight="1">
      <x:c r="A20" s="5" t="str">
        <x:v>5.1.4</x:v>
      </x:c>
      <x:c r="B20" s="5" t="str">
        <x:v>Betriebliches Management</x:v>
      </x:c>
      <x:c r="C20" s="5" t="str">
        <x:v>Betriebsstatistik, Vergleichsrechnung, Planungsrechnung als Grundlage betrieblicher Planungsprozesse</x:v>
      </x:c>
      <x:c r="D20" s="5" t="str">
        <x:v>teilweise abgedeckt</x:v>
      </x:c>
      <x:c r="E20" s="5" t="str">
        <x:v>vollständig abgedeckt</x:v>
      </x:c>
      <x:c r="F20" s="5" t="str">
        <x:v>BM-0113; BM-0116; BM-0117; BM-0118; BM-0119; BM-0120; BM-0121; BM-0122; BM-0123</x:v>
      </x:c>
      <x:c r="G20" s="5" t="str">
        <x:v>Keine zusätzliche Lücke allein wegen fehlender Überschrift Betriebsstatistik; das Dozentenskript behandelt diesen Abschnitt ebenfalls über Kennzahlen und Vergleiche.</x:v>
      </x:c>
      <x:c r="H20" s="5" t="str">
        <x:v>Belege zu 5.1.4 zusammenführen; keine künstliche Statistik-Ergänzung.</x:v>
      </x:c>
      <x:c r="I20" s="5" t="str">
        <x:v>Zuordnungs-/Belegproblem</x:v>
      </x:c>
      <x:c r="J20" s="5" t="str">
        <x:v>nein</x:v>
      </x:c>
      <x:c r="K20" s="5" t="str">
        <x:v>BM_Plan: Kap. 1.4 Betriebsstatistik und Vergleichsrechnung; BM_Buch: Kap. 1.4</x:v>
      </x:c>
    </x:row>
    <x:row r="21" ht="36" customHeight="1">
      <x:c r="A21" s="5" t="str">
        <x:v>5.2</x:v>
      </x:c>
      <x:c r="B21" s="5" t="str">
        <x:v>Betriebliches Management</x:v>
      </x:c>
      <x:c r="C21" s="5" t="str">
        <x:v>Organisations- und Personalentwicklung</x:v>
      </x:c>
      <x:c r="D21" s="5" t="str">
        <x:v>teilweise abgedeckt</x:v>
      </x:c>
      <x:c r="E21" s="5" t="str">
        <x:v>teilweise abgedeckt</x:v>
      </x:c>
      <x:c r="F21" s="5" t="str">
        <x:v>BM-0113; BM-0127; BM-0128; BM-0134; BM-0152; BM-0146; BM-0147; BM-0260; BM-0140; BM-0141; BM-0154</x:v>
      </x:c>
      <x:c r="G21" s="5" t="str">
        <x:v>5.2.3.3#2: Explizite Ableitung veränderter Positionsanforderungen aus einer konkret gewählten OE-Strategie fehlt weiterhin. | 5.2.3.4#4: Interne Auslegung freigegeben: „strategischer Kompetenzaufbau und künftige Rollenbesetzung“. Der strategische Zweck bleibt gegenüber Laufbahn-/Nachfolgeförderung nur indirekt erkennbar.</x:v>
      </x:c>
      <x:c r="H21" s="5" t="str">
        <x:v>Abgeleiteter Elternstatus; keine zusätzliche Inhaltsaufgabe. Siehe Einzelpunkte 5.2.1, 5.2.3.3#2, 5.2.3.4#4</x:v>
      </x:c>
      <x:c r="I21" s="5" t="str">
        <x:v>Elternbewertung / siehe Einzelpunkt</x:v>
      </x:c>
      <x:c r="J21" s="5" t="str">
        <x:v>siehe untergeordnete Befunde</x:v>
      </x:c>
      <x:c r="K21" s="5" t="str">
        <x:v>Soll-Ist-Matrix 2026-09-27</x:v>
      </x:c>
    </x:row>
    <x:row r="22" ht="36" customHeight="1">
      <x:c r="A22" s="5" t="str">
        <x:v>5.2.1</x:v>
      </x:c>
      <x:c r="B22" s="5" t="str">
        <x:v>Betriebliches Management</x:v>
      </x:c>
      <x:c r="C22" s="5" t="str">
        <x:v>Auswirkungen betrieblicher Planungsprozesse auf die Organisations- und Personalentwicklung</x:v>
      </x:c>
      <x:c r="D22" s="5" t="str">
        <x:v>teilweise abgedeckt</x:v>
      </x:c>
      <x:c r="E22" s="5" t="str">
        <x:v>vollständig abgedeckt</x:v>
      </x:c>
      <x:c r="F22" s="5" t="str">
        <x:v>BM-0113; BM-0127; BM-0128; BM-0134; BM-0152</x:v>
      </x:c>
      <x:c r="G22" s="5" t="str">
        <x:v>Kein fehlender Einzelaspekt nachweisbar; eine zusätzliche integrative Fallfrage wäre didaktisch möglich, ist aber kein Vollständigkeitskriterium.</x:v>
      </x:c>
      <x:c r="H22" s="5" t="str">
        <x:v>Querverbindungen zwischen Planung, OE und PE ausdrücklich dokumentieren.</x:v>
      </x:c>
      <x:c r="I22" s="5" t="str">
        <x:v>Verteilt abgedeckt</x:v>
      </x:c>
      <x:c r="J22" s="5" t="str">
        <x:v>nein</x:v>
      </x:c>
      <x:c r="K22" s="5" t="str">
        <x:v>BM_Skript: Organisationsentwicklung/Ursachen und Beteiligung; BM_PE: Bedarf und PE-Prozess; BM_Buch: Kap. 2.1</x:v>
      </x:c>
    </x:row>
    <x:row r="23" ht="36" customHeight="1">
      <x:c r="A23" s="5" t="str">
        <x:v>5.2.3</x:v>
      </x:c>
      <x:c r="B23" s="5" t="str">
        <x:v>Betriebliches Management</x:v>
      </x:c>
      <x:c r="C23" s="5" t="str">
        <x:v>Personalentwicklung (PE)</x:v>
      </x:c>
      <x:c r="D23" s="5" t="str">
        <x:v>teilweise abgedeckt</x:v>
      </x:c>
      <x:c r="E23" s="5" t="str">
        <x:v>teilweise abgedeckt</x:v>
      </x:c>
      <x:c r="F23" s="5" t="str">
        <x:v>BM-0146; BM-0147; BM-0260; BM-0140; BM-0141; BM-0152; BM-0154</x:v>
      </x:c>
      <x:c r="G23" s="5" t="str">
        <x:v>5.2.3.3#2: Explizite Ableitung veränderter Positionsanforderungen aus einer konkret gewählten OE-Strategie fehlt weiterhin. | 5.2.3.4#4: Interne Auslegung freigegeben: „strategischer Kompetenzaufbau und künftige Rollenbesetzung“. Der strategische Zweck bleibt gegenüber Laufbahn-/Nachfolgeförderung nur indirekt erkennbar.</x:v>
      </x:c>
      <x:c r="H23" s="5" t="str">
        <x:v>Abgeleiteter Elternstatus; keine zusätzliche Inhaltsaufgabe. Siehe Einzelpunkte 5.2.3.3#2, 5.2.3.4#4</x:v>
      </x:c>
      <x:c r="I23" s="5" t="str">
        <x:v>Elternbewertung / siehe Einzelpunkt</x:v>
      </x:c>
      <x:c r="J23" s="5" t="str">
        <x:v>siehe untergeordnete Befunde</x:v>
      </x:c>
      <x:c r="K23" s="5" t="str">
        <x:v>Soll-Ist-Matrix 2026-09-27</x:v>
      </x:c>
    </x:row>
    <x:row r="24" ht="36" customHeight="1">
      <x:c r="A24" s="5" t="str">
        <x:v>5.2.3.3</x:v>
      </x:c>
      <x:c r="B24" s="5" t="str">
        <x:v>Betriebliches Management</x:v>
      </x:c>
      <x:c r="C24" s="5" t="str">
        <x:v>Instrumente der Personalentwicklung</x:v>
      </x:c>
      <x:c r="D24" s="5" t="str">
        <x:v>teilweise abgedeckt</x:v>
      </x:c>
      <x:c r="E24" s="5" t="str">
        <x:v>teilweise abgedeckt</x:v>
      </x:c>
      <x:c r="F24" s="5" t="str">
        <x:v>BM-0146; BM-0147; BM-0260</x:v>
      </x:c>
      <x:c r="G24" s="5" t="str">
        <x:v>5.2.3.3#2: Explizite Ableitung veränderter Positionsanforderungen aus einer konkret gewählten OE-Strategie fehlt weiterhin.</x:v>
      </x:c>
      <x:c r="H24" s="5" t="str">
        <x:v>Abgeleiteter Elternstatus; keine zusätzliche Inhaltsaufgabe. Siehe Einzelpunkte 5.2.3.3#2</x:v>
      </x:c>
      <x:c r="I24" s="5" t="str">
        <x:v>Elternbewertung / siehe Einzelpunkt</x:v>
      </x:c>
      <x:c r="J24" s="5" t="str">
        <x:v>siehe untergeordnete Befunde</x:v>
      </x:c>
      <x:c r="K24" s="5" t="str">
        <x:v>Soll-Ist-Matrix 2026-09-27</x:v>
      </x:c>
    </x:row>
    <x:row r="25" ht="36" customHeight="1">
      <x:c r="A25" s="5" t="str">
        <x:v>5.2.3.3#2</x:v>
      </x:c>
      <x:c r="B25" s="5" t="str">
        <x:v>Betriebliches Management</x:v>
      </x:c>
      <x:c r="C25" s="5" t="str">
        <x:v>Positionsanforderungen gemäß OE-Strategie</x:v>
      </x:c>
      <x:c r="D25" s="5" t="str">
        <x:v>teilweise abgedeckt</x:v>
      </x:c>
      <x:c r="E25" s="5" t="str">
        <x:v>teilweise abgedeckt</x:v>
      </x:c>
      <x:c r="F25" s="5" t="str">
        <x:v>BM-0146; BM-0147; BM-0260</x:v>
      </x:c>
      <x:c r="G25" s="5" t="str">
        <x:v>Explizite Ableitung veränderter Positionsanforderungen aus einer konkret gewählten OE-Strategie fehlt weiterhin.</x:v>
      </x:c>
      <x:c r="H25" s="5" t="str">
        <x:v>BM-0260 später um Strategieänderung und Ableitung künftiger Anforderungen erweitern; alternativ eigener Fall nach Freigabe.</x:v>
      </x:c>
      <x:c r="I25" s="5" t="str">
        <x:v>Echter fehlender Teilaspekt</x:v>
      </x:c>
      <x:c r="J25" s="5" t="str">
        <x:v>ja, vorzugsweise bestehende ID erweitern</x:v>
      </x:c>
      <x:c r="K25" s="5" t="str">
        <x:v>BM_Buch: Kap. 2.3 Instrumente, Stellen-/Anforderungsprofile; BM_PE: Personalentwicklungsprozess und Bedarf</x:v>
      </x:c>
    </x:row>
    <x:row r="26" ht="36" customHeight="1">
      <x:c r="A26" s="5" t="str">
        <x:v>5.2.3.4</x:v>
      </x:c>
      <x:c r="B26" s="5" t="str">
        <x:v>Betriebliches Management</x:v>
      </x:c>
      <x:c r="C26" s="5" t="str">
        <x:v>Einsatzfelder der Personalentwicklung</x:v>
      </x:c>
      <x:c r="D26" s="5" t="str">
        <x:v>teilweise abgedeckt</x:v>
      </x:c>
      <x:c r="E26" s="5" t="str">
        <x:v>teilweise abgedeckt</x:v>
      </x:c>
      <x:c r="F26" s="5" t="str">
        <x:v>BM-0140; BM-0141; BM-0152; BM-0154</x:v>
      </x:c>
      <x:c r="G26" s="5" t="str">
        <x:v>5.2.3.4#4: Interne Auslegung freigegeben: „strategischer Kompetenzaufbau und künftige Rollenbesetzung“. Der strategische Zweck bleibt gegenüber Laufbahn-/Nachfolgeförderung nur indirekt erkennbar.</x:v>
      </x:c>
      <x:c r="H26" s="5" t="str">
        <x:v>Abgeleiteter Elternstatus; keine zusätzliche Inhaltsaufgabe. Siehe Einzelpunkte 5.2.3.4#4</x:v>
      </x:c>
      <x:c r="I26" s="5" t="str">
        <x:v>Elternbewertung / siehe Einzelpunkt</x:v>
      </x:c>
      <x:c r="J26" s="5" t="str">
        <x:v>siehe untergeordnete Befunde</x:v>
      </x:c>
      <x:c r="K26" s="5" t="str">
        <x:v>Soll-Ist-Matrix 2026-09-27</x:v>
      </x:c>
    </x:row>
    <x:row r="27" ht="36" customHeight="1">
      <x:c r="A27" s="5" t="str">
        <x:v>5.2.3.4#4</x:v>
      </x:c>
      <x:c r="B27" s="5" t="str">
        <x:v>Betriebliches Management</x:v>
      </x:c>
      <x:c r="C27" s="5" t="str">
        <x:v>Strategische Positionierung</x:v>
      </x:c>
      <x:c r="D27" s="5" t="str">
        <x:v>teilweise abgedeckt</x:v>
      </x:c>
      <x:c r="E27" s="5" t="str">
        <x:v>teilweise abgedeckt</x:v>
      </x:c>
      <x:c r="F27" s="5" t="str">
        <x:v>BM-0140; BM-0141; BM-0152; BM-0154</x:v>
      </x:c>
      <x:c r="G27" s="5" t="str">
        <x:v>Interne Auslegung freigegeben: „strategischer Kompetenzaufbau und künftige Rollenbesetzung“. Der strategische Zweck bleibt gegenüber Laufbahn-/Nachfolgeförderung nur indirekt erkennbar.</x:v>
      </x:c>
      <x:c r="H27" s="5" t="str">
        <x:v>BM-0154 später um strategische Zielrolle, Kompetenz-/Potenzialabgleich und begründeten Entwicklungsweg ergänzen. Die interne Auslegung ist keine wörtliche DIHK-Definition.</x:v>
      </x:c>
      <x:c r="I27" s="5" t="str">
        <x:v>Echter fehlender Teilaspekt</x:v>
      </x:c>
      <x:c r="J27" s="5" t="str">
        <x:v>Überarbeitung einer bestehenden ID</x:v>
      </x:c>
      <x:c r="K27" s="5" t="str">
        <x:v>BM_Buch: Kap. 2.3 Einsatzfelder; BM_PE: Ziele, Laufbahn und Bedarf; Arbeitsgrundlage 5.2.3.4#4</x:v>
      </x:c>
    </x:row>
    <x:row r="28" ht="36" customHeight="1">
      <x:c r="A28" s="5" t="str">
        <x:v>6.2</x:v>
      </x:c>
      <x:c r="B28" s="5" t="str">
        <x:v>Investition, Finanzierung, betriebliches Rechnungswesen und Controlling</x:v>
      </x:c>
      <x:c r="C28" s="5" t="str">
        <x:v>Finanzplanung und Ermittlung des Finanzbedarfs</x:v>
      </x:c>
      <x:c r="D28" s="5" t="str">
        <x:v>teilweise abgedeckt</x:v>
      </x:c>
      <x:c r="E28" s="5" t="str">
        <x:v>teilweise abgedeckt</x:v>
      </x:c>
      <x:c r="F28" s="5" t="str">
        <x:v>IF-0154; IF-0078; IF-0152; IF-0146; IF-0147</x:v>
      </x:c>
      <x:c r="G28" s="5" t="str">
        <x:v>6.2.2.1#3: Die Abgrenzung zu privaten Geldgebern außerhalb des Gesellschafterkreises fehlt ausdrücklich; deshalb Teilbeleg, kein Leerbefund.</x:v>
      </x:c>
      <x:c r="H28" s="5" t="str">
        <x:v>Abgeleiteter Elternstatus; keine zusätzliche Inhaltsaufgabe. Siehe Einzelpunkte 6.2.2.1#1, 6.2.2.1#2, 6.2.2.1#3, 6.2.2.1#4</x:v>
      </x:c>
      <x:c r="I28" s="5" t="str">
        <x:v>Elternbewertung / siehe Einzelpunkt</x:v>
      </x:c>
      <x:c r="J28" s="5" t="str">
        <x:v>siehe untergeordnete Befunde</x:v>
      </x:c>
      <x:c r="K28" s="5" t="str">
        <x:v>Soll-Ist-Matrix 2026-09-27</x:v>
      </x:c>
    </x:row>
    <x:row r="29" ht="36" customHeight="1">
      <x:c r="A29" s="5" t="str">
        <x:v>6.2.2</x:v>
      </x:c>
      <x:c r="B29" s="5" t="str">
        <x:v>Investition, Finanzierung, betriebliches Rechnungswesen und Controlling</x:v>
      </x:c>
      <x:c r="C29" s="5" t="str">
        <x:v>Finanzierungsplanung</x:v>
      </x:c>
      <x:c r="D29" s="5" t="str">
        <x:v>teilweise abgedeckt</x:v>
      </x:c>
      <x:c r="E29" s="5" t="str">
        <x:v>teilweise abgedeckt</x:v>
      </x:c>
      <x:c r="F29" s="5" t="str">
        <x:v>IF-0154; IF-0078; IF-0152; IF-0146; IF-0147</x:v>
      </x:c>
      <x:c r="G29" s="5" t="str">
        <x:v>6.2.2.1#3: Die Abgrenzung zu privaten Geldgebern außerhalb des Gesellschafterkreises fehlt ausdrücklich; deshalb Teilbeleg, kein Leerbefund.</x:v>
      </x:c>
      <x:c r="H29" s="5" t="str">
        <x:v>Abgeleiteter Elternstatus; keine zusätzliche Inhaltsaufgabe. Siehe Einzelpunkte 6.2.2.1#1, 6.2.2.1#2, 6.2.2.1#3, 6.2.2.1#4</x:v>
      </x:c>
      <x:c r="I29" s="5" t="str">
        <x:v>Elternbewertung / siehe Einzelpunkt</x:v>
      </x:c>
      <x:c r="J29" s="5" t="str">
        <x:v>siehe untergeordnete Befunde</x:v>
      </x:c>
      <x:c r="K29" s="5" t="str">
        <x:v>Soll-Ist-Matrix 2026-09-27</x:v>
      </x:c>
    </x:row>
    <x:row r="30" ht="36" customHeight="1">
      <x:c r="A30" s="5" t="str">
        <x:v>6.2.2.1</x:v>
      </x:c>
      <x:c r="B30" s="5" t="str">
        <x:v>Investition, Finanzierung, betriebliches Rechnungswesen und Controlling</x:v>
      </x:c>
      <x:c r="C30" s="5" t="str">
        <x:v>Fremdfinanzierung</x:v>
      </x:c>
      <x:c r="D30" s="5" t="str">
        <x:v>teilweise abgedeckt</x:v>
      </x:c>
      <x:c r="E30" s="5" t="str">
        <x:v>teilweise abgedeckt</x:v>
      </x:c>
      <x:c r="F30" s="5" t="str">
        <x:v>IF-0154; IF-0078; IF-0152; IF-0146; IF-0147</x:v>
      </x:c>
      <x:c r="G30" s="5" t="str">
        <x:v>6.2.2.1#3: Die Abgrenzung zu privaten Geldgebern außerhalb des Gesellschafterkreises fehlt ausdrücklich; deshalb Teilbeleg, kein Leerbefund.</x:v>
      </x:c>
      <x:c r="H30" s="5" t="str">
        <x:v>Abgeleiteter Elternstatus; keine zusätzliche Inhaltsaufgabe. Siehe Einzelpunkte 6.2.2.1#1, 6.2.2.1#2, 6.2.2.1#3, 6.2.2.1#4</x:v>
      </x:c>
      <x:c r="I30" s="5" t="str">
        <x:v>Elternbewertung / siehe Einzelpunkt</x:v>
      </x:c>
      <x:c r="J30" s="5" t="str">
        <x:v>siehe untergeordnete Befunde</x:v>
      </x:c>
      <x:c r="K30" s="5" t="str">
        <x:v>Soll-Ist-Matrix 2026-09-27</x:v>
      </x:c>
    </x:row>
    <x:row r="31" ht="36" customHeight="1">
      <x:c r="A31" s="5" t="str">
        <x:v>6.2.2.1#1</x:v>
      </x:c>
      <x:c r="B31" s="5" t="str">
        <x:v>Investition, Finanzierung, betriebliches Rechnungswesen und Controlling</x:v>
      </x:c>
      <x:c r="C31" s="5" t="str">
        <x:v>Förderprogramme</x:v>
      </x:c>
      <x:c r="D31" s="5" t="str">
        <x:v>teilweise abgedeckt</x:v>
      </x:c>
      <x:c r="E31" s="5" t="str">
        <x:v>vollständig abgedeckt</x:v>
      </x:c>
      <x:c r="F31" s="5" t="str">
        <x:v>IF-0154</x:v>
      </x:c>
      <x:c r="G31" s="5" t="str">
        <x:v>Keine Lücke; der Fehlbestand private Darlehen darf nicht auf dieses Geschwisterthema übertragen werden.</x:v>
      </x:c>
      <x:c r="H31" s="5" t="str">
        <x:v>Einzelpunkt vollständig führen; laufende Programmbedingungen sind kein Anlass für neue Struktur.</x:v>
      </x:c>
      <x:c r="I31" s="5" t="str">
        <x:v>Bewertungs-/Aggregationsfehler</x:v>
      </x:c>
      <x:c r="J31" s="5" t="str">
        <x:v>nein</x:v>
      </x:c>
      <x:c r="K31" s="5" t="str">
        <x:v>IF_Buch: Kap. 2.2.1; IF_Skript: Fremdfinanzierung</x:v>
      </x:c>
    </x:row>
    <x:row r="32" ht="36" customHeight="1">
      <x:c r="A32" s="5" t="str">
        <x:v>6.2.2.1#2</x:v>
      </x:c>
      <x:c r="B32" s="5" t="str">
        <x:v>Investition, Finanzierung, betriebliches Rechnungswesen und Controlling</x:v>
      </x:c>
      <x:c r="C32" s="5" t="str">
        <x:v>Bankdarlehen</x:v>
      </x:c>
      <x:c r="D32" s="5" t="str">
        <x:v>teilweise abgedeckt</x:v>
      </x:c>
      <x:c r="E32" s="5" t="str">
        <x:v>vollständig abgedeckt</x:v>
      </x:c>
      <x:c r="F32" s="5" t="str">
        <x:v>IF-0078; IF-0152</x:v>
      </x:c>
      <x:c r="G32" s="5" t="str">
        <x:v>Keine Lücke aus dem fehlenden Geschwisterpunkt ableitbar.</x:v>
      </x:c>
      <x:c r="H32" s="5" t="str">
        <x:v>Direkte Belege verknüpfen; keine Datensatzkopie aus 6.3.</x:v>
      </x:c>
      <x:c r="I32" s="5" t="str">
        <x:v>Bewertungs-/Aggregationsfehler</x:v>
      </x:c>
      <x:c r="J32" s="5" t="str">
        <x:v>nein</x:v>
      </x:c>
      <x:c r="K32" s="5" t="str">
        <x:v>IF_Buch: Kap. 2.2.1 und 3.4.3; IF_Skript: Kreditfinanzierung</x:v>
      </x:c>
    </x:row>
    <x:row r="33" ht="36" customHeight="1">
      <x:c r="A33" s="5" t="str">
        <x:v>6.2.2.1#3</x:v>
      </x:c>
      <x:c r="B33" s="5" t="str">
        <x:v>Investition, Finanzierung, betriebliches Rechnungswesen und Controlling</x:v>
      </x:c>
      <x:c r="C33" s="5" t="str">
        <x:v>Private Darlehen</x:v>
      </x:c>
      <x:c r="D33" s="5" t="str">
        <x:v>nicht abgedeckt</x:v>
      </x:c>
      <x:c r="E33" s="5" t="str">
        <x:v>teilweise abgedeckt</x:v>
      </x:c>
      <x:c r="F33" s="5" t="str">
        <x:v>IF-0152</x:v>
      </x:c>
      <x:c r="G33" s="5" t="str">
        <x:v>Die Abgrenzung zu privaten Geldgebern außerhalb des Gesellschafterkreises fehlt ausdrücklich; deshalb Teilbeleg, kein Leerbefund.</x:v>
      </x:c>
      <x:c r="H33" s="5" t="str">
        <x:v>IF-0152 später unter derselben ID um allgemeine private Darlehensgeber und die Abgrenzung zum Gesellschafterdarlehen erweitern. Keine zusätzliche ID erzeugen.</x:v>
      </x:c>
      <x:c r="I33" s="5" t="str">
        <x:v>Echter fehlender Teilaspekt</x:v>
      </x:c>
      <x:c r="J33" s="5" t="str">
        <x:v>Überarbeitung einer bestehenden ID</x:v>
      </x:c>
      <x:c r="K33" s="5" t="str">
        <x:v>IF_Buch: Kap. 2.2.1, private Personen/Gesellschafterdarlehen; IF_Skript: kein eindeutiger eigener Begriffstreffer</x:v>
      </x:c>
    </x:row>
    <x:row r="34" ht="36" customHeight="1">
      <x:c r="A34" s="5" t="str">
        <x:v>6.2.2.1#4</x:v>
      </x:c>
      <x:c r="B34" s="5" t="str">
        <x:v>Investition, Finanzierung, betriebliches Rechnungswesen und Controlling</x:v>
      </x:c>
      <x:c r="C34" s="5" t="str">
        <x:v>Kontokorrentrahmen</x:v>
      </x:c>
      <x:c r="D34" s="5" t="str">
        <x:v>teilweise abgedeckt</x:v>
      </x:c>
      <x:c r="E34" s="5" t="str">
        <x:v>vollständig abgedeckt</x:v>
      </x:c>
      <x:c r="F34" s="5" t="str">
        <x:v>IF-0146; IF-0147</x:v>
      </x:c>
      <x:c r="G34" s="5" t="str">
        <x:v>Keine Lücke; falsche Mitbewertung wegen privater Darlehen korrigieren.</x:v>
      </x:c>
      <x:c r="H34" s="5" t="str">
        <x:v>Querverweis aus Kreditarten zur Finanzierungsplanung, kein Duplikat.</x:v>
      </x:c>
      <x:c r="I34" s="5" t="str">
        <x:v>Bewertungs-/Aggregationsfehler</x:v>
      </x:c>
      <x:c r="J34" s="5" t="str">
        <x:v>nein</x:v>
      </x:c>
      <x:c r="K34" s="5" t="str">
        <x:v>IF_Buch: Kap. 2.2.1; IF_Skript: Kontokorrentkredit</x:v>
      </x:c>
    </x:row>
    <x:row r="35" ht="36" customHeight="1">
      <x:c r="A35" s="5" t="str">
        <x:v>7.5</x:v>
      </x:c>
      <x:c r="B35" s="5" t="str">
        <x:v>Logistik</x:v>
      </x:c>
      <x:c r="C35" s="5" t="str">
        <x:v>Spezielle Rechtsaspekte</x:v>
      </x:c>
      <x:c r="D35" s="5" t="str">
        <x:v>teilweise abgedeckt</x:v>
      </x:c>
      <x:c r="E35" s="5" t="str">
        <x:v>vollständig abgedeckt</x:v>
      </x:c>
      <x:c r="F35" s="5" t="str">
        <x:v>L-0248; L-0286</x:v>
      </x:c>
      <x:c r="G35" s="5" t="str">
        <x:v>Keine verbleibende Lücke nach Einzelpunktprüfung</x:v>
      </x:c>
      <x:c r="H35" s="5" t="str">
        <x:v>Abgeleiteter Elternstatus; keine zusätzliche Inhaltsaufgabe. Siehe Einzelpunkte 7.5.2</x:v>
      </x:c>
      <x:c r="I35" s="5" t="str">
        <x:v>Elternbewertung / siehe Einzelpunkt</x:v>
      </x:c>
      <x:c r="J35" s="5" t="str">
        <x:v>siehe untergeordnete Befunde</x:v>
      </x:c>
      <x:c r="K35" s="5" t="str">
        <x:v>Soll-Ist-Matrix 2026-09-27</x:v>
      </x:c>
    </x:row>
    <x:row r="36" ht="36" customHeight="1">
      <x:c r="A36" s="5" t="str">
        <x:v>7.5.2</x:v>
      </x:c>
      <x:c r="B36" s="5" t="str">
        <x:v>Logistik</x:v>
      </x:c>
      <x:c r="C36" s="5" t="str">
        <x:v>Verkaufsverträge</x:v>
      </x:c>
      <x:c r="D36" s="5" t="str">
        <x:v>teilweise abgedeckt</x:v>
      </x:c>
      <x:c r="E36" s="5" t="str">
        <x:v>vollständig abgedeckt</x:v>
      </x:c>
      <x:c r="F36" s="5" t="str">
        <x:v>L-0248; L-0286</x:v>
      </x:c>
      <x:c r="G36" s="5" t="str">
        <x:v>Keine gesonderte Inhaltslücke allein aufgrund Verkäufer-/Einkäuferperspektive. Das Fachbuch erläutert beide als Blickwinkel derselben Verträge.</x:v>
      </x:c>
      <x:c r="H36" s="5" t="str">
        <x:v>L-0248 primär 7.5.2 und quer 7.5.1; L-0286 zusätzlich verbinden. Keine Kopie und keine neue Frage erforderlich.</x:v>
      </x:c>
      <x:c r="I36" s="5" t="str">
        <x:v>Verteilt abgedeckt / Zuordnungsproblem</x:v>
      </x:c>
      <x:c r="J36" s="5" t="str">
        <x:v>nein</x:v>
      </x:c>
      <x:c r="K36" s="5" t="str">
        <x:v>L_Buch: Kap. 5.1 Einkaufs- und Verkaufsverträge, Textstellen um 201.460–205.373; L_Skript: Überblick, keine weitergehende Tiefenprüfung möglich</x:v>
      </x:c>
    </x:row>
    <x:row r="37" ht="36" customHeight="1">
      <x:c r="A37" s="5" t="str">
        <x:v>8.1</x:v>
      </x:c>
      <x:c r="B37" s="5" t="str">
        <x:v>Marketing und Vertrieb</x:v>
      </x:c>
      <x:c r="C37" s="5" t="str">
        <x:v>Marketingplanung</x:v>
      </x:c>
      <x:c r="D37" s="5" t="str">
        <x:v>teilweise abgedeckt</x:v>
      </x:c>
      <x:c r="E37" s="5" t="str">
        <x:v>teilweise abgedeckt</x:v>
      </x:c>
      <x:c r="F37" s="5" t="str">
        <x:v>M-0024; M-0107; M-0025; M-0027; M-0020; M-0021; M-0026</x:v>
      </x:c>
      <x:c r="G37" s="5" t="str">
        <x:v>8.1.3.2#4: Ein systematisches Einzelwettbewerberprofil einschließlich Zielen, Strategien, Stärken/Schwächen, Instrumenteneinsatz und Reaktionsprofil fehlt als vollständiger Zusammenhang.</x:v>
      </x:c>
      <x:c r="H37" s="5" t="str">
        <x:v>Abgeleiteter Elternstatus; keine zusätzliche Inhaltsaufgabe. Siehe Einzelpunkte 8.1.3.2#1, 8.1.3.2#2, 8.1.3.2#3, 8.1.3.2#4, 8.1.3.2#5</x:v>
      </x:c>
      <x:c r="I37" s="5" t="str">
        <x:v>Elternbewertung / siehe Einzelpunkt</x:v>
      </x:c>
      <x:c r="J37" s="5" t="str">
        <x:v>siehe untergeordnete Befunde</x:v>
      </x:c>
      <x:c r="K37" s="5" t="str">
        <x:v>Soll-Ist-Matrix 2026-09-27</x:v>
      </x:c>
    </x:row>
    <x:row r="38" ht="36" customHeight="1">
      <x:c r="A38" s="5" t="str">
        <x:v>8.1.3</x:v>
      </x:c>
      <x:c r="B38" s="5" t="str">
        <x:v>Marketing und Vertrieb</x:v>
      </x:c>
      <x:c r="C38" s="5" t="str">
        <x:v>Marketingstrategien</x:v>
      </x:c>
      <x:c r="D38" s="5" t="str">
        <x:v>teilweise abgedeckt</x:v>
      </x:c>
      <x:c r="E38" s="5" t="str">
        <x:v>teilweise abgedeckt</x:v>
      </x:c>
      <x:c r="F38" s="5" t="str">
        <x:v>M-0024; M-0107; M-0025; M-0027; M-0020; M-0021; M-0026</x:v>
      </x:c>
      <x:c r="G38" s="5" t="str">
        <x:v>8.1.3.2#4: Ein systematisches Einzelwettbewerberprofil einschließlich Zielen, Strategien, Stärken/Schwächen, Instrumenteneinsatz und Reaktionsprofil fehlt als vollständiger Zusammenhang.</x:v>
      </x:c>
      <x:c r="H38" s="5" t="str">
        <x:v>Abgeleiteter Elternstatus; keine zusätzliche Inhaltsaufgabe. Siehe Einzelpunkte 8.1.3.2#1, 8.1.3.2#2, 8.1.3.2#3, 8.1.3.2#4, 8.1.3.2#5</x:v>
      </x:c>
      <x:c r="I38" s="5" t="str">
        <x:v>Elternbewertung / siehe Einzelpunkt</x:v>
      </x:c>
      <x:c r="J38" s="5" t="str">
        <x:v>siehe untergeordnete Befunde</x:v>
      </x:c>
      <x:c r="K38" s="5" t="str">
        <x:v>Soll-Ist-Matrix 2026-09-27</x:v>
      </x:c>
    </x:row>
    <x:row r="39" ht="36" customHeight="1">
      <x:c r="A39" s="5" t="str">
        <x:v>8.1.3.2</x:v>
      </x:c>
      <x:c r="B39" s="5" t="str">
        <x:v>Marketing und Vertrieb</x:v>
      </x:c>
      <x:c r="C39" s="5" t="str">
        <x:v>Techniken der strategischen Marketingplanung und -analyse</x:v>
      </x:c>
      <x:c r="D39" s="5" t="str">
        <x:v>teilweise abgedeckt</x:v>
      </x:c>
      <x:c r="E39" s="5" t="str">
        <x:v>teilweise abgedeckt</x:v>
      </x:c>
      <x:c r="F39" s="5" t="str">
        <x:v>M-0024; M-0107; M-0025; M-0027; M-0020; M-0021; M-0026</x:v>
      </x:c>
      <x:c r="G39" s="5" t="str">
        <x:v>8.1.3.2#4: Ein systematisches Einzelwettbewerberprofil einschließlich Zielen, Strategien, Stärken/Schwächen, Instrumenteneinsatz und Reaktionsprofil fehlt als vollständiger Zusammenhang.</x:v>
      </x:c>
      <x:c r="H39" s="5" t="str">
        <x:v>Abgeleiteter Elternstatus; keine zusätzliche Inhaltsaufgabe. Siehe Einzelpunkte 8.1.3.2#1, 8.1.3.2#2, 8.1.3.2#3, 8.1.3.2#4, 8.1.3.2#5</x:v>
      </x:c>
      <x:c r="I39" s="5" t="str">
        <x:v>Elternbewertung / siehe Einzelpunkt</x:v>
      </x:c>
      <x:c r="J39" s="5" t="str">
        <x:v>siehe untergeordnete Befunde</x:v>
      </x:c>
      <x:c r="K39" s="5" t="str">
        <x:v>Soll-Ist-Matrix 2026-09-27</x:v>
      </x:c>
    </x:row>
    <x:row r="40" ht="36" customHeight="1">
      <x:c r="A40" s="5" t="str">
        <x:v>8.1.3.2#1</x:v>
      </x:c>
      <x:c r="B40" s="5" t="str">
        <x:v>Marketing und Vertrieb</x:v>
      </x:c>
      <x:c r="C40" s="5" t="str">
        <x:v>Produktlebenszyklus</x:v>
      </x:c>
      <x:c r="D40" s="5" t="str">
        <x:v>teilweise abgedeckt</x:v>
      </x:c>
      <x:c r="E40" s="5" t="str">
        <x:v>vollständig abgedeckt</x:v>
      </x:c>
      <x:c r="F40" s="5" t="str">
        <x:v>M-0024; M-0107</x:v>
      </x:c>
      <x:c r="G40" s="5" t="str">
        <x:v>Keine; fehlende Konkurrenzanalyse betrifft nicht diesen Unterpunkt.</x:v>
      </x:c>
      <x:c r="H40" s="5" t="str">
        <x:v>Einzelpunkt unabhängig vom Elternstatus bewerten.</x:v>
      </x:c>
      <x:c r="I40" s="5" t="str">
        <x:v>Bewertungs-/Aggregationsfehler</x:v>
      </x:c>
      <x:c r="J40" s="5" t="str">
        <x:v>nein</x:v>
      </x:c>
      <x:c r="K40" s="5" t="str">
        <x:v>M_Buch: Kap. 1.3.2 Produktlebenszyklus; MV_Skript2: Marketinginstrumente</x:v>
      </x:c>
    </x:row>
    <x:row r="41" ht="36" customHeight="1">
      <x:c r="A41" s="5" t="str">
        <x:v>8.1.3.2#2</x:v>
      </x:c>
      <x:c r="B41" s="5" t="str">
        <x:v>Marketing und Vertrieb</x:v>
      </x:c>
      <x:c r="C41" s="5" t="str">
        <x:v>Portfolio-Analyse</x:v>
      </x:c>
      <x:c r="D41" s="5" t="str">
        <x:v>teilweise abgedeckt</x:v>
      </x:c>
      <x:c r="E41" s="5" t="str">
        <x:v>vollständig abgedeckt</x:v>
      </x:c>
      <x:c r="F41" s="5" t="str">
        <x:v>M-0025</x:v>
      </x:c>
      <x:c r="G41" s="5" t="str">
        <x:v>Keine; keine künstliche Ergänzung.</x:v>
      </x:c>
      <x:c r="H41" s="5" t="str">
        <x:v>Beleg direkt erfassen.</x:v>
      </x:c>
      <x:c r="I41" s="5" t="str">
        <x:v>Bewertungs-/Aggregationsfehler</x:v>
      </x:c>
      <x:c r="J41" s="5" t="str">
        <x:v>nein</x:v>
      </x:c>
      <x:c r="K41" s="5" t="str">
        <x:v>M_Buch: Kap. 1.3.2 Portfolioanalyse</x:v>
      </x:c>
    </x:row>
    <x:row r="42" ht="36" customHeight="1">
      <x:c r="A42" s="5" t="str">
        <x:v>8.1.3.2#3</x:v>
      </x:c>
      <x:c r="B42" s="5" t="str">
        <x:v>Marketing und Vertrieb</x:v>
      </x:c>
      <x:c r="C42" s="5" t="str">
        <x:v>Branchenstrukturanalyse</x:v>
      </x:c>
      <x:c r="D42" s="5" t="str">
        <x:v>teilweise abgedeckt</x:v>
      </x:c>
      <x:c r="E42" s="5" t="str">
        <x:v>vollständig abgedeckt</x:v>
      </x:c>
      <x:c r="F42" s="5" t="str">
        <x:v>M-0027</x:v>
      </x:c>
      <x:c r="G42" s="5" t="str">
        <x:v>Keine; Branchenstruktur ersetzt allerdings nicht vollständige Analyse einzelner Wettbewerber.</x:v>
      </x:c>
      <x:c r="H42" s="5" t="str">
        <x:v>Branchenstruktur vollständig, Konkurrenzanalyse getrennt bewerten.</x:v>
      </x:c>
      <x:c r="I42" s="5" t="str">
        <x:v>Bewertungs-/Aggregationsfehler</x:v>
      </x:c>
      <x:c r="J42" s="5" t="str">
        <x:v>nein</x:v>
      </x:c>
      <x:c r="K42" s="5" t="str">
        <x:v>M_Buch: Kap. 1.3.2 Branchenstrukturanalyse</x:v>
      </x:c>
    </x:row>
    <x:row r="43" ht="36" customHeight="1">
      <x:c r="A43" s="5" t="str">
        <x:v>8.1.3.2#4</x:v>
      </x:c>
      <x:c r="B43" s="5" t="str">
        <x:v>Marketing und Vertrieb</x:v>
      </x:c>
      <x:c r="C43" s="5" t="str">
        <x:v>Konkurrenz-Analyse</x:v>
      </x:c>
      <x:c r="D43" s="5" t="str">
        <x:v>teilweise abgedeckt</x:v>
      </x:c>
      <x:c r="E43" s="5" t="str">
        <x:v>teilweise abgedeckt</x:v>
      </x:c>
      <x:c r="F43" s="5" t="str">
        <x:v>M-0020; M-0021; M-0027</x:v>
      </x:c>
      <x:c r="G43" s="5" t="str">
        <x:v>Ein systematisches Einzelwettbewerberprofil einschließlich Zielen, Strategien, Stärken/Schwächen, Instrumenteneinsatz und Reaktionsprofil fehlt als vollständiger Zusammenhang.</x:v>
      </x:c>
      <x:c r="H43" s="5" t="str">
        <x:v>M-0021 später unter derselben ID um ein vollständiges Wettbewerberprofil ergänzen; nicht lediglich einen neuen Titel vergeben und keine neue ID automatisch erzeugen.</x:v>
      </x:c>
      <x:c r="I43" s="5" t="str">
        <x:v>Echter fehlender Teilaspekt</x:v>
      </x:c>
      <x:c r="J43" s="5" t="str">
        <x:v>Überarbeitung einer bestehenden ID</x:v>
      </x:c>
      <x:c r="K43" s="5" t="str">
        <x:v>M_Buch: Abschnitt Konkurrenzanalyse; MV_Skript2: strategische Marketingplanung</x:v>
      </x:c>
    </x:row>
    <x:row r="44" ht="36" customHeight="1">
      <x:c r="A44" s="5" t="str">
        <x:v>8.1.3.2#5</x:v>
      </x:c>
      <x:c r="B44" s="5" t="str">
        <x:v>Marketing und Vertrieb</x:v>
      </x:c>
      <x:c r="C44" s="5" t="str">
        <x:v>Erfahrungskurven-Analyse</x:v>
      </x:c>
      <x:c r="D44" s="5" t="str">
        <x:v>teilweise abgedeckt</x:v>
      </x:c>
      <x:c r="E44" s="5" t="str">
        <x:v>vollständig abgedeckt</x:v>
      </x:c>
      <x:c r="F44" s="5" t="str">
        <x:v>M-0026</x:v>
      </x:c>
      <x:c r="G44" s="5" t="str">
        <x:v>Keine.</x:v>
      </x:c>
      <x:c r="H44" s="5" t="str">
        <x:v>Eigenständigen Beleg erhalten.</x:v>
      </x:c>
      <x:c r="I44" s="5" t="str">
        <x:v>Bewertungs-/Aggregationsfehler</x:v>
      </x:c>
      <x:c r="J44" s="5" t="str">
        <x:v>nein</x:v>
      </x:c>
      <x:c r="K44" s="5" t="str">
        <x:v>M_Buch: Kap. 1.3.2 Erfahrungskurvenanalyse</x:v>
      </x:c>
    </x:row>
    <x:row r="45" ht="36" customHeight="1">
      <x:c r="A45" s="5" t="str">
        <x:v>8.5</x:v>
      </x:c>
      <x:c r="B45" s="5" t="str">
        <x:v>Marketing und Vertrieb</x:v>
      </x:c>
      <x:c r="C45" s="5" t="str">
        <x:v>Spezielle Rechtsaspekte</x:v>
      </x:c>
      <x:c r="D45" s="5" t="str">
        <x:v>teilweise abgedeckt</x:v>
      </x:c>
      <x:c r="E45" s="5" t="str">
        <x:v>teilweise abgedeckt</x:v>
      </x:c>
      <x:c r="F45" s="5" t="str">
        <x:v>V-0040; V-0077</x:v>
      </x:c>
      <x:c r="G45" s="5" t="str">
        <x:v>8.5.3.1: Der Vertragstyp und der Zusammenhang von Mängelrechten und Nacherfüllung bleiben im HQ-Bestand nicht vollständig ausdrücklich. WQ-Recht-Belege dürfen den HQ-Bestand nicht als eigene Abdeckung ersetzen.</x:v>
      </x:c>
      <x:c r="H45" s="5" t="str">
        <x:v>Abgeleiteter Elternstatus; keine zusätzliche Inhaltsaufgabe. Siehe Einzelpunkte 8.5.3.1</x:v>
      </x:c>
      <x:c r="I45" s="5" t="str">
        <x:v>Elternbewertung / siehe Einzelpunkt</x:v>
      </x:c>
      <x:c r="J45" s="5" t="str">
        <x:v>siehe untergeordnete Befunde</x:v>
      </x:c>
      <x:c r="K45" s="5" t="str">
        <x:v>Soll-Ist-Matrix 2026-09-27</x:v>
      </x:c>
    </x:row>
    <x:row r="46" ht="36" customHeight="1">
      <x:c r="A46" s="5" t="str">
        <x:v>8.5.3</x:v>
      </x:c>
      <x:c r="B46" s="5" t="str">
        <x:v>Marketing und Vertrieb</x:v>
      </x:c>
      <x:c r="C46" s="5" t="str">
        <x:v>Verbraucherschutz</x:v>
      </x:c>
      <x:c r="D46" s="5" t="str">
        <x:v>teilweise abgedeckt</x:v>
      </x:c>
      <x:c r="E46" s="5" t="str">
        <x:v>teilweise abgedeckt</x:v>
      </x:c>
      <x:c r="F46" s="5" t="str">
        <x:v>V-0040; V-0077</x:v>
      </x:c>
      <x:c r="G46" s="5" t="str">
        <x:v>8.5.3.1: Der Vertragstyp und der Zusammenhang von Mängelrechten und Nacherfüllung bleiben im HQ-Bestand nicht vollständig ausdrücklich. WQ-Recht-Belege dürfen den HQ-Bestand nicht als eigene Abdeckung ersetzen.</x:v>
      </x:c>
      <x:c r="H46" s="5" t="str">
        <x:v>Abgeleiteter Elternstatus; keine zusätzliche Inhaltsaufgabe. Siehe Einzelpunkte 8.5.3.1</x:v>
      </x:c>
      <x:c r="I46" s="5" t="str">
        <x:v>Elternbewertung / siehe Einzelpunkt</x:v>
      </x:c>
      <x:c r="J46" s="5" t="str">
        <x:v>siehe untergeordnete Befunde</x:v>
      </x:c>
      <x:c r="K46" s="5" t="str">
        <x:v>Soll-Ist-Matrix 2026-09-27</x:v>
      </x:c>
    </x:row>
    <x:row r="47" ht="36" customHeight="1">
      <x:c r="A47" s="5" t="str">
        <x:v>8.5.3.1</x:v>
      </x:c>
      <x:c r="B47" s="5" t="str">
        <x:v>Marketing und Vertrieb</x:v>
      </x:c>
      <x:c r="C47" s="5" t="str">
        <x:v>Besonderheiten des Verbrauchsgüterkaufs</x:v>
      </x:c>
      <x:c r="D47" s="5" t="str">
        <x:v>teilweise abgedeckt</x:v>
      </x:c>
      <x:c r="E47" s="5" t="str">
        <x:v>teilweise abgedeckt</x:v>
      </x:c>
      <x:c r="F47" s="5" t="str">
        <x:v>V-0040; V-0077</x:v>
      </x:c>
      <x:c r="G47" s="5" t="str">
        <x:v>Der Vertragstyp und der Zusammenhang von Mängelrechten und Nacherfüllung bleiben im HQ-Bestand nicht vollständig ausdrücklich. WQ-Recht-Belege dürfen den HQ-Bestand nicht als eigene Abdeckung ersetzen.</x:v>
      </x:c>
      <x:c r="H47" s="5" t="str">
        <x:v>V-0077 später unter derselben ID um Vertragstyp sowie Mängelrechte/Nacherfüllung ergänzen; Rechtsstand vor Veröffentlichung prüfen. Keine Kopie von R-IDs und keine zusätzliche ID automatisch erzeugen.</x:v>
      </x:c>
      <x:c r="I47" s="5" t="str">
        <x:v>Echter fehlender Teilaspekt</x:v>
      </x:c>
      <x:c r="J47" s="5" t="str">
        <x:v>Überarbeitung einer bestehenden ID</x:v>
      </x:c>
      <x:c r="K47" s="5" t="str">
        <x:v>V_Buch: Kap. 5.3.1; MV_Skript: Gegenprüfung Verbraucherschutz</x:v>
      </x:c>
    </x:row>
  </x:sheetData>
  <x:pageMargins left="0.7" right="0.7" top="0.75" bottom="0.75" header="0.3" footer="0.3"/>
  <x:tableParts count="1">
    <x:tablePart xmlns:r="http://schemas.openxmlformats.org/officeDocument/2006/relationships" r:id="Rf2b52426e9644c9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38" hidden="0" customWidth="1"/>
    <x:col min="3" max="3" width="90" hidden="0" customWidth="1"/>
    <x:col min="4" max="4" width="100" hidden="0" customWidth="1"/>
    <x:col min="5" max="5" width="100" hidden="0" customWidth="1"/>
    <x:col min="6" max="6" width="60" hidden="0" customWidth="1"/>
    <x:col min="7" max="7" width="70" hidden="0" customWidth="1"/>
  </x:cols>
  <x:sheetData>
    <x:row r="2">
      <x:c r="A2" s="1" t="str">
        <x:v>Tatsächlich fehlende Inhalte – noch keine neuen IDs</x:v>
      </x:c>
    </x:row>
    <x:row r="4">
      <x:c r="A4" s="2" t="str">
        <x:v>Planung / Revisionsstand · 28.09.2026 · WIFA-TR-GESAMT-20260927-REV2-FREIGEGEBENE-GRENZFAELLE · keine produktive Änderung</x:v>
      </x:c>
    </x:row>
    <x:row r="6" ht="34" customHeight="1">
      <x:c r="A6" s="9" t="str">
        <x:v>PunktKey</x:v>
      </x:c>
      <x:c r="B6" s="9" t="str">
        <x:v>Vorhandene Teilbelege</x:v>
      </x:c>
      <x:c r="C6" s="9" t="str">
        <x:v>Schon vorhanden</x:v>
      </x:c>
      <x:c r="D6" s="9" t="str">
        <x:v>Fehlender Inhalt</x:v>
      </x:c>
      <x:c r="E6" s="9" t="str">
        <x:v>Spätere Maßnahme</x:v>
      </x:c>
      <x:c r="F6" s="9" t="str">
        <x:v>Neue Inhalte/ID?</x:v>
      </x:c>
      <x:c r="G6" s="9" t="str">
        <x:v>Quellen</x:v>
      </x:c>
    </x:row>
    <x:row r="7" ht="36" customHeight="1">
      <x:c r="A7" s="5" t="str">
        <x:v>5.2.3.3#2</x:v>
      </x:c>
      <x:c r="B7" s="5" t="str">
        <x:v>BM-0146; BM-0147; BM-0260</x:v>
      </x:c>
      <x:c r="C7" s="5" t="str">
        <x:v>Stellenbeschreibung, Anforderungsprofil, Matching sowie Ableitung von Kompetenzen aus Organisations-/Controlling-Aufgaben.</x:v>
      </x:c>
      <x:c r="D7" s="5" t="str">
        <x:v>Explizite Ableitung veränderter Positionsanforderungen aus einer konkret gewählten OE-Strategie fehlt weiterhin.</x:v>
      </x:c>
      <x:c r="E7" s="5" t="str">
        <x:v>BM-0260 später um Strategieänderung und Ableitung künftiger Anforderungen erweitern; alternativ eigener Fall nach Freigabe.</x:v>
      </x:c>
      <x:c r="F7" s="5" t="str">
        <x:v>ja, vorzugsweise bestehende ID erweitern</x:v>
      </x:c>
      <x:c r="G7" s="5" t="str">
        <x:v>BM_Buch: Kap. 2.3 Instrumente, Stellen-/Anforderungsprofile; BM_PE: Personalentwicklungsprozess und Bedarf</x:v>
      </x:c>
    </x:row>
    <x:row r="8" ht="36" customHeight="1">
      <x:c r="A8" s="5" t="str">
        <x:v>5.2.3.4#4</x:v>
      </x:c>
      <x:c r="B8" s="5" t="str">
        <x:v>BM-0140; BM-0141; BM-0152; BM-0154</x:v>
      </x:c>
      <x:c r="C8" s="5" t="str">
        <x:v>Nachwuchs-/Führungskräfteentwicklung, Personalportfolio und Vorbereitung auf verantwortungsvollere Funktion vorhanden.</x:v>
      </x:c>
      <x:c r="D8" s="5" t="str">
        <x:v>Interne Auslegung freigegeben: „strategischer Kompetenzaufbau und künftige Rollenbesetzung“. Der strategische Zweck bleibt gegenüber Laufbahn-/Nachfolgeförderung nur indirekt erkennbar.</x:v>
      </x:c>
      <x:c r="E8" s="5" t="str">
        <x:v>BM-0154 später um strategische Zielrolle, Kompetenz-/Potenzialabgleich und begründeten Entwicklungsweg ergänzen. Die interne Auslegung ist keine wörtliche DIHK-Definition.</x:v>
      </x:c>
      <x:c r="F8" s="5" t="str">
        <x:v>Überarbeitung einer bestehenden ID</x:v>
      </x:c>
      <x:c r="G8" s="5" t="str">
        <x:v>BM_Buch: Kap. 2.3 Einsatzfelder; BM_PE: Ziele, Laufbahn und Bedarf; Arbeitsgrundlage 5.2.3.4#4</x:v>
      </x:c>
    </x:row>
    <x:row r="9" ht="36" customHeight="1">
      <x:c r="A9" s="5" t="str">
        <x:v>6.2.2.1#3</x:v>
      </x:c>
      <x:c r="B9" s="5" t="str">
        <x:v>IF-0152</x:v>
      </x:c>
      <x:c r="C9" s="5" t="str">
        <x:v>Gesellschafterdarlehen ausdrücklich als Fremdkapital einschließlich Nachrangabgrenzung vorhanden.</x:v>
      </x:c>
      <x:c r="D9" s="5" t="str">
        <x:v>Die Abgrenzung zu privaten Geldgebern außerhalb des Gesellschafterkreises fehlt ausdrücklich; deshalb Teilbeleg, kein Leerbefund.</x:v>
      </x:c>
      <x:c r="E9" s="5" t="str">
        <x:v>IF-0152 später unter derselben ID um allgemeine private Darlehensgeber und die Abgrenzung zum Gesellschafterdarlehen erweitern. Keine zusätzliche ID erzeugen.</x:v>
      </x:c>
      <x:c r="F9" s="5" t="str">
        <x:v>Überarbeitung einer bestehenden ID</x:v>
      </x:c>
      <x:c r="G9" s="5" t="str">
        <x:v>IF_Buch: Kap. 2.2.1, private Personen/Gesellschafterdarlehen; IF_Skript: kein eindeutiger eigener Begriffstreffer</x:v>
      </x:c>
    </x:row>
    <x:row r="10" ht="36" customHeight="1">
      <x:c r="A10" s="5" t="str">
        <x:v>8.1.3.2#4</x:v>
      </x:c>
      <x:c r="B10" s="5" t="str">
        <x:v>M-0020; M-0021; M-0027</x:v>
      </x:c>
      <x:c r="C10" s="5" t="str">
        <x:v>Wettbewerbsreaktionen, USP und Branchenkräfte vorhanden.</x:v>
      </x:c>
      <x:c r="D10" s="5" t="str">
        <x:v>Ein systematisches Einzelwettbewerberprofil einschließlich Zielen, Strategien, Stärken/Schwächen, Instrumenteneinsatz und Reaktionsprofil fehlt als vollständiger Zusammenhang.</x:v>
      </x:c>
      <x:c r="E10" s="5" t="str">
        <x:v>M-0021 später unter derselben ID um ein vollständiges Wettbewerberprofil ergänzen; nicht lediglich einen neuen Titel vergeben und keine neue ID automatisch erzeugen.</x:v>
      </x:c>
      <x:c r="F10" s="5" t="str">
        <x:v>Überarbeitung einer bestehenden ID</x:v>
      </x:c>
      <x:c r="G10" s="5" t="str">
        <x:v>M_Buch: Abschnitt Konkurrenzanalyse; MV_Skript2: strategische Marketingplanung</x:v>
      </x:c>
    </x:row>
    <x:row r="11" ht="36" customHeight="1">
      <x:c r="A11" s="5" t="str">
        <x:v>8.5.3.1</x:v>
      </x:c>
      <x:c r="B11" s="5" t="str">
        <x:v>V-0040; V-0077</x:v>
      </x:c>
      <x:c r="C11" s="5" t="str">
        <x:v>Beweislastumkehr, Versandgefahr, Verjährung und Rückgriff in der Lieferkette.</x:v>
      </x:c>
      <x:c r="D11" s="5" t="str">
        <x:v>Der Vertragstyp und der Zusammenhang von Mängelrechten und Nacherfüllung bleiben im HQ-Bestand nicht vollständig ausdrücklich. WQ-Recht-Belege dürfen den HQ-Bestand nicht als eigene Abdeckung ersetzen.</x:v>
      </x:c>
      <x:c r="E11" s="5" t="str">
        <x:v>V-0077 später unter derselben ID um Vertragstyp sowie Mängelrechte/Nacherfüllung ergänzen; Rechtsstand vor Veröffentlichung prüfen. Keine Kopie von R-IDs und keine zusätzliche ID automatisch erzeugen.</x:v>
      </x:c>
      <x:c r="F11" s="5" t="str">
        <x:v>Überarbeitung einer bestehenden ID</x:v>
      </x:c>
      <x:c r="G11" s="5" t="str">
        <x:v>V_Buch: Kap. 5.3.1; MV_Skript: Gegenprüfung Verbraucherschutz</x:v>
      </x:c>
    </x:row>
  </x:sheetData>
  <x:pageMargins left="0.7" right="0.7" top="0.75" bottom="0.75" header="0.3" footer="0.3"/>
  <x:tableParts count="1">
    <x:tablePart xmlns:r="http://schemas.openxmlformats.org/officeDocument/2006/relationships" r:id="R516c94b4beab439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5" hidden="0" customWidth="1"/>
    <x:col min="2" max="2" width="28" hidden="0" customWidth="1"/>
    <x:col min="3" max="3" width="145" hidden="0" customWidth="1"/>
  </x:cols>
  <x:sheetData>
    <x:row r="2">
      <x:c r="A2" s="1" t="str">
        <x:v>Separat offene Inhaltsmaßnahmen</x:v>
      </x:c>
    </x:row>
    <x:row r="4">
      <x:c r="A4" s="2" t="str">
        <x:v>Planung / Revisionsstand · 28.09.2026 · WIFA-TR-GESAMT-20260927-REV2-FREIGEGEBENE-GRENZFAELLE · keine produktive Änderung</x:v>
      </x:c>
    </x:row>
    <x:row r="6" ht="34" customHeight="1">
      <x:c r="A6" s="9" t="str">
        <x:v>Trainer-ID / Punkt</x:v>
      </x:c>
      <x:c r="B6" s="9" t="str">
        <x:v>Status</x:v>
      </x:c>
      <x:c r="C6" s="9" t="str">
        <x:v>Verbleibende fachliche Maßnahme</x:v>
      </x:c>
    </x:row>
    <x:row r="7" ht="36" customHeight="1">
      <x:c r="A7" s="5" t="str">
        <x:v>VWL-0127</x:v>
      </x:c>
      <x:c r="B7" s="5" t="str">
        <x:v>SPÄTERE INHALTSMASSNAHME – NICHT DURCH STRUKTURMIGRATION ERLEDIGT</x:v>
      </x:c>
      <x:c r="C7" s="5" t="str">
        <x:v>Haftungs- und Verwaltungsaufwandsaussagen später fachlich präzisieren.</x:v>
      </x:c>
    </x:row>
    <x:row r="8" ht="36" customHeight="1">
      <x:c r="A8" s="5" t="str">
        <x:v>BR-0076</x:v>
      </x:c>
      <x:c r="B8" s="5" t="str">
        <x:v>SPÄTERE INHALTSMASSNAHME – NICHT DURCH STRUKTURMIGRATION ERLEDIGT</x:v>
      </x:c>
      <x:c r="C8" s="5" t="str">
        <x:v>Zeitrechnung nicht pauschal vergangenheitsorientiert und Stückrechnung nicht als alleinige Gewinnermittlung darstellen.</x:v>
      </x:c>
    </x:row>
    <x:row r="9" ht="36" customHeight="1">
      <x:c r="A9" s="5" t="str">
        <x:v>IF-0091</x:v>
      </x:c>
      <x:c r="B9" s="5" t="str">
        <x:v>SPÄTERE INHALTSMASSNAHME – NICHT DURCH STRUKTURMIGRATION ERLEDIGT</x:v>
      </x:c>
      <x:c r="C9" s="5" t="str">
        <x:v>Entscheidungsrelevante bzw. vermeidbare Fixkosten später ausdrücklich klarstellen.</x:v>
      </x:c>
    </x:row>
    <x:row r="10" ht="36" customHeight="1">
      <x:c r="A10" s="5" t="str">
        <x:v>UF-0058; UF-0198</x:v>
      </x:c>
      <x:c r="B10" s="5" t="str">
        <x:v>SPÄTERE INHALTSMASSNAHME – NICHT DURCH STRUKTURMIGRATION ERLEDIGT</x:v>
      </x:c>
      <x:c r="C10" s="5" t="str">
        <x:v>UF-0058 später unter derselben ID um eine Darstellungs-/Interpretationskomponente mit Rollen, Übergaben und Rückschleife ergänzen. Keine neue ID automatisch erzeugen.</x:v>
      </x:c>
    </x:row>
    <x:row r="11" ht="36" customHeight="1">
      <x:c r="A11" s="5" t="str">
        <x:v>BM-0146; BM-0147; BM-0260</x:v>
      </x:c>
      <x:c r="B11" s="5" t="str">
        <x:v>SPÄTERE INHALTSMASSNAHME – NICHT DURCH STRUKTURMIGRATION ERLEDIGT</x:v>
      </x:c>
      <x:c r="C11" s="5" t="str">
        <x:v>BM-0260 später um Strategieänderung und Ableitung künftiger Anforderungen erweitern; alternativ eigener Fall nach Freigabe.</x:v>
      </x:c>
    </x:row>
    <x:row r="12" ht="36" customHeight="1">
      <x:c r="A12" s="5" t="str">
        <x:v>BM-0140; BM-0141; BM-0152; BM-0154</x:v>
      </x:c>
      <x:c r="B12" s="5" t="str">
        <x:v>SPÄTERE INHALTSMASSNAHME – NICHT DURCH STRUKTURMIGRATION ERLEDIGT</x:v>
      </x:c>
      <x:c r="C12" s="5" t="str">
        <x:v>BM-0154 später um strategische Zielrolle, Kompetenz-/Potenzialabgleich und begründeten Entwicklungsweg ergänzen. Die interne Auslegung ist keine wörtliche DIHK-Definition.</x:v>
      </x:c>
    </x:row>
    <x:row r="13" ht="36" customHeight="1">
      <x:c r="A13" s="5" t="str">
        <x:v>IF-0152</x:v>
      </x:c>
      <x:c r="B13" s="5" t="str">
        <x:v>SPÄTERE INHALTSMASSNAHME – NICHT DURCH STRUKTURMIGRATION ERLEDIGT</x:v>
      </x:c>
      <x:c r="C13" s="5" t="str">
        <x:v>IF-0152 später unter derselben ID um allgemeine private Darlehensgeber und die Abgrenzung zum Gesellschafterdarlehen erweitern. Keine zusätzliche ID erzeugen.</x:v>
      </x:c>
    </x:row>
    <x:row r="14" ht="36" customHeight="1">
      <x:c r="A14" s="5" t="str">
        <x:v>M-0020; M-0021; M-0027</x:v>
      </x:c>
      <x:c r="B14" s="5" t="str">
        <x:v>SPÄTERE INHALTSMASSNAHME – NICHT DURCH STRUKTURMIGRATION ERLEDIGT</x:v>
      </x:c>
      <x:c r="C14" s="5" t="str">
        <x:v>M-0021 später unter derselben ID um ein vollständiges Wettbewerberprofil ergänzen; nicht lediglich einen neuen Titel vergeben und keine neue ID automatisch erzeugen.</x:v>
      </x:c>
    </x:row>
    <x:row r="15" ht="36" customHeight="1">
      <x:c r="A15" s="5" t="str">
        <x:v>V-0040; V-0077</x:v>
      </x:c>
      <x:c r="B15" s="5" t="str">
        <x:v>SPÄTERE INHALTSMASSNAHME – NICHT DURCH STRUKTURMIGRATION ERLEDIGT</x:v>
      </x:c>
      <x:c r="C15" s="5" t="str">
        <x:v>V-0077 später unter derselben ID um Vertragstyp sowie Mängelrechte/Nacherfüllung ergänzen; Rechtsstand vor Veröffentlichung prüfen. Keine Kopie von R-IDs und keine zusätzliche ID automatisch erzeugen.</x:v>
      </x:c>
    </x:row>
  </x:sheetData>
  <x:pageMargins left="0.7" right="0.7" top="0.75" bottom="0.75" header="0.3" footer="0.3"/>
  <x:tableParts count="1">
    <x:tablePart xmlns:r="http://schemas.openxmlformats.org/officeDocument/2006/relationships" r:id="R41f05cddf71a4cc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2" hidden="0" customWidth="1"/>
    <x:col min="4" max="4" width="55" hidden="0" customWidth="1"/>
    <x:col min="5" max="5" width="85" hidden="0" customWidth="1"/>
    <x:col min="6" max="6" width="100" hidden="0" customWidth="1"/>
    <x:col min="7" max="7" width="75" hidden="0" customWidth="1"/>
  </x:cols>
  <x:sheetData>
    <x:row r="2">
      <x:c r="A2" s="1" t="str">
        <x:v>Freigegebene Fachentscheidungen</x:v>
      </x:c>
    </x:row>
    <x:row r="4">
      <x:c r="A4" s="2" t="str">
        <x:v>Planung / Revisionsstand · 28.09.2026 · WIFA-TR-GESAMT-20260927-REV2-FREIGEGEBENE-GRENZFAELLE · keine produktive Änderung</x:v>
      </x:c>
    </x:row>
    <x:row r="6" ht="34" customHeight="1">
      <x:c r="A6" s="9" t="str">
        <x:v>Entscheidung</x:v>
      </x:c>
      <x:c r="B6" s="9" t="str">
        <x:v>Status</x:v>
      </x:c>
      <x:c r="C6" s="9" t="str">
        <x:v>Fachcode</x:v>
      </x:c>
      <x:c r="D6" s="9" t="str">
        <x:v>Trainer-IDs</x:v>
      </x:c>
      <x:c r="E6" s="9" t="str">
        <x:v>Grenzfall</x:v>
      </x:c>
      <x:c r="F6" s="9" t="str">
        <x:v>Freigegebene Entscheidung</x:v>
      </x:c>
      <x:c r="G6" s="9" t="str">
        <x:v>Verbleibende Abhängigkeit</x:v>
      </x:c>
    </x:row>
    <x:row r="7" ht="36" customHeight="1">
      <x:c r="A7" s="5" t="str">
        <x:v>E01</x:v>
      </x:c>
      <x:c r="B7" s="5" t="str">
        <x:v>FREIGEGEBEN</x:v>
      </x:c>
      <x:c r="C7" s="5" t="str">
        <x:v>1</x:v>
      </x:c>
      <x:c r="D7" s="5" t="str">
        <x:v>VWL-0127</x:v>
      </x:c>
      <x:c r="E7" s="5" t="str">
        <x:v>Auslandsgesellschaft versus Zweigniederlassung</x:v>
      </x:c>
      <x:c r="F7" s="5" t="str">
        <x:v>Primär 1.3.3.2; Rechtsformvergleich und Außenwirtschaft bleiben Querverweise. Haftungs- und Verwaltungsaufwandsaussagen später fachlich präzisieren.</x:v>
      </x:c>
      <x:c r="G7" s="5" t="str">
        <x:v>Separate Inhaltsmaßnahme; kein Strukturblocker</x:v>
      </x:c>
    </x:row>
    <x:row r="8" ht="36" customHeight="1">
      <x:c r="A8" s="5" t="str">
        <x:v>E02</x:v>
      </x:c>
      <x:c r="B8" s="5" t="str">
        <x:v>FREIGEGEBEN</x:v>
      </x:c>
      <x:c r="C8" s="5" t="str">
        <x:v>2</x:v>
      </x:c>
      <x:c r="D8" s="5" t="str">
        <x:v>BR-0076</x:v>
      </x:c>
      <x:c r="E8" s="5" t="str">
        <x:v>Kostenträgerzeit- und Stückrechnung</x:v>
      </x:c>
      <x:c r="F8" s="5" t="str">
        <x:v>Primär 2.3.4.1 beibehalten; Zeitrechnung nicht pauschal vergangenheitsorientiert und Stückrechnung nicht als alleinige Gewinnermittlung darstellen.</x:v>
      </x:c>
      <x:c r="G8" s="5" t="str">
        <x:v>Separate Inhaltsmaßnahme; kein Strukturblocker</x:v>
      </x:c>
    </x:row>
    <x:row r="9" ht="36" customHeight="1">
      <x:c r="A9" s="5" t="str">
        <x:v>E03</x:v>
      </x:c>
      <x:c r="B9" s="5" t="str">
        <x:v>FREIGEGEBEN</x:v>
      </x:c>
      <x:c r="C9" s="5" t="str">
        <x:v>6</x:v>
      </x:c>
      <x:c r="D9" s="5" t="str">
        <x:v>IF-0091</x:v>
      </x:c>
      <x:c r="E9" s="5" t="str">
        <x:v>Make-or-Buy im Quellfach Investition und Finanzierung</x:v>
      </x:c>
      <x:c r="F9" s="5" t="str">
        <x:v>Primär 6.4.1.2; Originalquelle bleibt erhalten. Entscheidungsrelevante Fixkosten später ausdrücklich klarstellen.</x:v>
      </x:c>
      <x:c r="G9" s="5" t="str">
        <x:v>Separate Inhaltsmaßnahme; Mehrquellenadapter technisch testen</x:v>
      </x:c>
    </x:row>
    <x:row r="10" ht="36" customHeight="1">
      <x:c r="A10" s="5" t="str">
        <x:v>E04</x:v>
      </x:c>
      <x:c r="B10" s="5" t="str">
        <x:v>FREIGEGEBEN</x:v>
      </x:c>
      <x:c r="C10" s="5" t="str">
        <x:v>9</x:v>
      </x:c>
      <x:c r="D10" s="5" t="str">
        <x:v>PF-0194; PF-0195; PF-0196; PF-0197</x:v>
      </x:c>
      <x:c r="E10" s="5" t="str">
        <x:v>Personalmarketing und Potenzialdiagnostik</x:v>
      </x:c>
      <x:c r="F10" s="5" t="str">
        <x:v>PF-0194 ergänzend 9.4.1 ohne direkten Abdeckungsbeleg; PF-0195/0196 9.4.2.1; PF-0197 9.4.3.</x:v>
      </x:c>
      <x:c r="G10" s="5" t="str">
        <x:v>Kein Strukturblocker; Belegrollen technisch getrennt führen</x:v>
      </x:c>
    </x:row>
    <x:row r="11" ht="36" customHeight="1">
      <x:c r="A11" s="5" t="str">
        <x:v>E04b</x:v>
      </x:c>
      <x:c r="B11" s="5" t="str">
        <x:v>FREIGEGEBEN</x:v>
      </x:c>
      <x:c r="C11" s="5" t="str">
        <x:v>5</x:v>
      </x:c>
      <x:c r="D11" s="5" t="str">
        <x:v>PF-0202; PF-0203</x:v>
      </x:c>
      <x:c r="E11" s="5" t="str">
        <x:v>Personalbedarfs- und Projektkapazitätsplanung</x:v>
      </x:c>
      <x:c r="F11" s="5" t="str">
        <x:v>PF-0202 primär 5.1.4; PF-0203 primär 5.4.3.2. Quellblatt, ID und historische Leistungen unverändert.</x:v>
      </x:c>
      <x:c r="G11" s="5" t="str">
        <x:v>Kein Strukturblocker; Quellfachadapter technisch testen</x:v>
      </x:c>
    </x:row>
    <x:row r="12" ht="36" customHeight="1">
      <x:c r="A12" s="5" t="str">
        <x:v>E05</x:v>
      </x:c>
      <x:c r="B12" s="5" t="str">
        <x:v>FREIGEGEBEN</x:v>
      </x:c>
      <x:c r="C12" s="5" t="str">
        <x:v>4</x:v>
      </x:c>
      <x:c r="D12" s="5" t="str">
        <x:v>UF-0058; UF-0198</x:v>
      </x:c>
      <x:c r="E12" s="5" t="str">
        <x:v>Arbeitsablaufdiagramm</x:v>
      </x:c>
      <x:c r="F12" s="5" t="str">
        <x:v>Teilabdeckung statt Leerbefund; Darstellungs-/Interpretationskomponente später in UF-0058 ergänzen.</x:v>
      </x:c>
      <x:c r="G12" s="5" t="str">
        <x:v>Separate Inhaltsmaßnahme; keine neue ID automatisch</x:v>
      </x:c>
    </x:row>
    <x:row r="13" ht="36" customHeight="1">
      <x:c r="A13" s="5" t="str">
        <x:v>E06</x:v>
      </x:c>
      <x:c r="B13" s="5" t="str">
        <x:v>FREIGEGEBEN</x:v>
      </x:c>
      <x:c r="C13" s="5" t="str">
        <x:v>5</x:v>
      </x:c>
      <x:c r="D13" s="5" t="str">
        <x:v>BM-0260; BM-0154</x:v>
      </x:c>
      <x:c r="E13" s="5" t="str">
        <x:v>OE-Strategie und strategische Positionierung</x:v>
      </x:c>
      <x:c r="F13" s="5" t="str">
        <x:v>BM-0260 später mit strategischer Herleitung ergänzen; interne Auslegung für BM-0154: strategischer Kompetenzaufbau und künftige Rollenbesetzung.</x:v>
      </x:c>
      <x:c r="G13" s="5" t="str">
        <x:v>Separate Inhaltsmaßnahmen; keine wörtliche DIHK-Definition behaupten</x:v>
      </x:c>
    </x:row>
    <x:row r="14" ht="36" customHeight="1">
      <x:c r="A14" s="5" t="str">
        <x:v>E07</x:v>
      </x:c>
      <x:c r="B14" s="5" t="str">
        <x:v>FREIGEGEBEN</x:v>
      </x:c>
      <x:c r="C14" s="5" t="str">
        <x:v>8</x:v>
      </x:c>
      <x:c r="D14" s="5" t="str">
        <x:v>M-0021; V-0077</x:v>
      </x:c>
      <x:c r="E14" s="5" t="str">
        <x:v>Konkurrenzanalyse und Verbrauchsgüterkauf</x:v>
      </x:c>
      <x:c r="F14" s="5" t="str">
        <x:v>M-0021 um Einzelwettbewerberprofil, V-0077 um Vertragstyp sowie Mängelrechte/Nacherfüllung erweitern.</x:v>
      </x:c>
      <x:c r="G14" s="5" t="str">
        <x:v>Separate Inhaltsmaßnahmen; Rechtsstand vor Veröffentlichung prüfen</x:v>
      </x:c>
    </x:row>
    <x:row r="15" ht="36" customHeight="1">
      <x:c r="A15" s="5" t="str">
        <x:v>E08</x:v>
      </x:c>
      <x:c r="B15" s="5" t="str">
        <x:v>FREIGEGEBEN</x:v>
      </x:c>
      <x:c r="C15" s="5" t="str">
        <x:v>6</x:v>
      </x:c>
      <x:c r="D15" s="5" t="str">
        <x:v>IF-0152</x:v>
      </x:c>
      <x:c r="E15" s="5" t="str">
        <x:v>Private Darlehen</x:v>
      </x:c>
      <x:c r="F15" s="5" t="str">
        <x:v>Allgemeine private Geldgeber und Abgrenzung zum Gesellschafterdarlehen später in IF-0152 ergänzen.</x:v>
      </x:c>
      <x:c r="G15" s="5" t="str">
        <x:v>Separate Inhaltsmaßnahme; keine neue ID automatisch</x:v>
      </x:c>
    </x:row>
  </x:sheetData>
  <x:pageMargins left="0.7" right="0.7" top="0.75" bottom="0.75" header="0.3" footer="0.3"/>
  <x:tableParts count="1">
    <x:tablePart xmlns:r="http://schemas.openxmlformats.org/officeDocument/2006/relationships" r:id="R7b9611a712a44111"/>
  </x:tableParts>
</x:worksheet>
</file>

<file path=xl/worksheets/sheet10.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6" hidden="0" customWidth="1"/>
    <x:col min="2" max="2" width="10" hidden="0" customWidth="1"/>
    <x:col min="3" max="3" width="42" hidden="0" customWidth="1"/>
    <x:col min="4" max="4" width="22" hidden="0" customWidth="1"/>
    <x:col min="5" max="5" width="22" hidden="0" customWidth="1"/>
    <x:col min="6" max="6" width="66" hidden="0" customWidth="1"/>
    <x:col min="7" max="7" width="110" hidden="0" customWidth="1"/>
  </x:cols>
  <x:sheetData>
    <x:row r="2">
      <x:c r="A2" s="1" t="str">
        <x:v>Querverweise und gezielt geprüfte Abdeckungsbelege</x:v>
      </x:c>
    </x:row>
    <x:row r="4">
      <x:c r="A4" s="2" t="str">
        <x:v>Planung / Revisionsstand · 28.09.2026 · WIFA-TR-GESAMT-20260927-REV2-FREIGEGEBENE-GRENZFAELLE · keine produktive Änderung</x:v>
      </x:c>
    </x:row>
    <x:row r="6" ht="34" customHeight="1">
      <x:c r="A6" s="9" t="str">
        <x:v>Trainer-ID</x:v>
      </x:c>
      <x:c r="B6" s="9" t="str">
        <x:v>Bereich</x:v>
      </x:c>
      <x:c r="C6" s="9" t="str">
        <x:v>Quellfach</x:v>
      </x:c>
      <x:c r="D6" s="9" t="str">
        <x:v>PunktKey</x:v>
      </x:c>
      <x:c r="E6" s="9" t="str">
        <x:v>Planungsrolle</x:v>
      </x:c>
      <x:c r="F6" s="9" t="str">
        <x:v>Belegstatus</x:v>
      </x:c>
      <x:c r="G6" s="9" t="str">
        <x:v>Begründung</x:v>
      </x:c>
    </x:row>
    <x:row r="7" ht="36" customHeight="1">
      <x:c r="A7" s="5" t="str">
        <x:v>VWL-0127</x:v>
      </x:c>
      <x:c r="B7" s="5" t="str">
        <x:v>WQ</x:v>
      </x:c>
      <x:c r="C7" s="5" t="str">
        <x:v>VWL</x:v>
      </x:c>
      <x:c r="D7" s="5" t="str">
        <x:v>1.3.3.1</x:v>
      </x:c>
      <x:c r="E7" s="5" t="str">
        <x:v>QUER</x:v>
      </x:c>
      <x:c r="F7" s="5" t="str">
        <x:v>Thematischer Querverweis; allein kein Vollständigkeitsbeleg</x:v>
      </x:c>
      <x:c r="G7" s="5" t="str">
        <x:v>Freigegeben: Auslandsgesellschaft/Zweigniederlassung primär als Haftungs-, Geschäftsführungs- und Vertretungsfrage. Kein Beleg für Freihandel; Haftung und Verwaltungsaufwand später fachlich präzisieren.</x:v>
      </x:c>
    </x:row>
    <x:row r="8" ht="36" customHeight="1">
      <x:c r="A8" s="5" t="str">
        <x:v>VWL-0127</x:v>
      </x:c>
      <x:c r="B8" s="5" t="str">
        <x:v>WQ</x:v>
      </x:c>
      <x:c r="C8" s="5" t="str">
        <x:v>VWL</x:v>
      </x:c>
      <x:c r="D8" s="5" t="str">
        <x:v>1.1.4</x:v>
      </x:c>
      <x:c r="E8" s="5" t="str">
        <x:v>QUER</x:v>
      </x:c>
      <x:c r="F8" s="5" t="str">
        <x:v>Thematischer Querverweis; allein kein Vollständigkeitsbeleg</x:v>
      </x:c>
      <x:c r="G8" s="5" t="str">
        <x:v>Freigegeben: Auslandsgesellschaft/Zweigniederlassung primär als Haftungs-, Geschäftsführungs- und Vertretungsfrage. Kein Beleg für Freihandel; Haftung und Verwaltungsaufwand später fachlich präzisieren.</x:v>
      </x:c>
    </x:row>
    <x:row r="9" ht="36" customHeight="1">
      <x:c r="A9" s="5" t="str">
        <x:v>BR-0044</x:v>
      </x:c>
      <x:c r="B9" s="5" t="str">
        <x:v>WQ</x:v>
      </x:c>
      <x:c r="C9" s="5" t="str">
        <x:v>Rechnungswesen</x:v>
      </x:c>
      <x:c r="D9" s="5" t="str">
        <x:v>2.4.1.1</x:v>
      </x:c>
      <x:c r="E9" s="5" t="str">
        <x:v>QUER</x:v>
      </x:c>
      <x:c r="F9" s="5" t="str">
        <x:v>Thematischer Querverweis; allein kein Vollständigkeitsbeleg</x:v>
      </x:c>
      <x:c r="G9" s="5" t="str">
        <x:v>Gezielt geprüfter Einzelbeleg</x:v>
      </x:c>
    </x:row>
    <x:row r="10" ht="36" customHeight="1">
      <x:c r="A10" s="5" t="str">
        <x:v>BR-0076</x:v>
      </x:c>
      <x:c r="B10" s="5" t="str">
        <x:v>WQ</x:v>
      </x:c>
      <x:c r="C10" s="5" t="str">
        <x:v>Rechnungswesen</x:v>
      </x:c>
      <x:c r="D10" s="5" t="str">
        <x:v>2.3.4</x:v>
      </x:c>
      <x:c r="E10" s="5" t="str">
        <x:v>QUER</x:v>
      </x:c>
      <x:c r="F10" s="5" t="str">
        <x:v>Thematischer Querverweis; allein kein Vollständigkeitsbeleg</x:v>
      </x:c>
      <x:c r="G10" s="5" t="str">
        <x:v>Freigegeben: Kostenträgerzeitrechnung. Spätere Inhaltsüberarbeitung: nicht pauschal vergangenheitsorientiert; Stückrechnung nicht als alleinige Gewinnermittlung darstellen.</x:v>
      </x:c>
    </x:row>
    <x:row r="11" ht="36" customHeight="1">
      <x:c r="A11" s="5" t="str">
        <x:v>R-0027</x:v>
      </x:c>
      <x:c r="B11" s="5" t="str">
        <x:v>WQ</x:v>
      </x:c>
      <x:c r="C11" s="5" t="str">
        <x:v>Recht</x:v>
      </x:c>
      <x:c r="D11" s="5" t="str">
        <x:v>3.1.5.1</x:v>
      </x:c>
      <x:c r="E11" s="5" t="str">
        <x:v>QUER</x:v>
      </x:c>
      <x:c r="F11" s="5" t="str">
        <x:v>Pilot Revision 2 unverändert</x:v>
      </x:c>
      <x:c r="G11" s="5" t="str">
        <x:v>Revision 2 unverändert übernommen</x:v>
      </x:c>
    </x:row>
    <x:row r="12" ht="36" customHeight="1">
      <x:c r="A12" s="5" t="str">
        <x:v>R-0027</x:v>
      </x:c>
      <x:c r="B12" s="5" t="str">
        <x:v>WQ</x:v>
      </x:c>
      <x:c r="C12" s="5" t="str">
        <x:v>Recht</x:v>
      </x:c>
      <x:c r="D12" s="5" t="str">
        <x:v>3.1.5.2</x:v>
      </x:c>
      <x:c r="E12" s="5" t="str">
        <x:v>QUER</x:v>
      </x:c>
      <x:c r="F12" s="5" t="str">
        <x:v>Pilot Revision 2 unverändert</x:v>
      </x:c>
      <x:c r="G12" s="5" t="str">
        <x:v>Revision 2 unverändert übernommen</x:v>
      </x:c>
    </x:row>
    <x:row r="13" ht="36" customHeight="1">
      <x:c r="A13" s="5" t="str">
        <x:v>R-0027</x:v>
      </x:c>
      <x:c r="B13" s="5" t="str">
        <x:v>WQ</x:v>
      </x:c>
      <x:c r="C13" s="5" t="str">
        <x:v>Recht</x:v>
      </x:c>
      <x:c r="D13" s="5" t="str">
        <x:v>3.1.5.3</x:v>
      </x:c>
      <x:c r="E13" s="5" t="str">
        <x:v>QUER</x:v>
      </x:c>
      <x:c r="F13" s="5" t="str">
        <x:v>Pilot Revision 2 unverändert</x:v>
      </x:c>
      <x:c r="G13" s="5" t="str">
        <x:v>Revision 2 unverändert übernommen</x:v>
      </x:c>
    </x:row>
    <x:row r="14" ht="36" customHeight="1">
      <x:c r="A14" s="5" t="str">
        <x:v>R-0028</x:v>
      </x:c>
      <x:c r="B14" s="5" t="str">
        <x:v>WQ</x:v>
      </x:c>
      <x:c r="C14" s="5" t="str">
        <x:v>Recht</x:v>
      </x:c>
      <x:c r="D14" s="5" t="str">
        <x:v>3.1.5.3</x:v>
      </x:c>
      <x:c r="E14" s="5" t="str">
        <x:v>QUER</x:v>
      </x:c>
      <x:c r="F14" s="5" t="str">
        <x:v>Pilot Revision 2 unverändert</x:v>
      </x:c>
      <x:c r="G14" s="5" t="str">
        <x:v>Revision 2 unverändert übernommen</x:v>
      </x:c>
    </x:row>
    <x:row r="15" ht="36" customHeight="1">
      <x:c r="A15" s="5" t="str">
        <x:v>R-0031</x:v>
      </x:c>
      <x:c r="B15" s="5" t="str">
        <x:v>WQ</x:v>
      </x:c>
      <x:c r="C15" s="5" t="str">
        <x:v>Recht</x:v>
      </x:c>
      <x:c r="D15" s="5" t="str">
        <x:v>3.1.1.1</x:v>
      </x:c>
      <x:c r="E15" s="5" t="str">
        <x:v>QUER</x:v>
      </x:c>
      <x:c r="F15" s="5" t="str">
        <x:v>Pilot Revision 2 unverändert</x:v>
      </x:c>
      <x:c r="G15" s="5" t="str">
        <x:v>Revision 2 unverändert übernommen</x:v>
      </x:c>
    </x:row>
    <x:row r="16" ht="36" customHeight="1">
      <x:c r="A16" s="5" t="str">
        <x:v>R-0087</x:v>
      </x:c>
      <x:c r="B16" s="5" t="str">
        <x:v>WQ</x:v>
      </x:c>
      <x:c r="C16" s="5" t="str">
        <x:v>Recht</x:v>
      </x:c>
      <x:c r="D16" s="5" t="str">
        <x:v>3.1.2.1 [2]</x:v>
      </x:c>
      <x:c r="E16" s="5" t="str">
        <x:v>QUER</x:v>
      </x:c>
      <x:c r="F16" s="5" t="str">
        <x:v>Pilot Revision 2 unverändert</x:v>
      </x:c>
      <x:c r="G16" s="5" t="str">
        <x:v>Revision 2 unverändert übernommen</x:v>
      </x:c>
    </x:row>
    <x:row r="17" ht="36" customHeight="1">
      <x:c r="A17" s="5" t="str">
        <x:v>R-0087</x:v>
      </x:c>
      <x:c r="B17" s="5" t="str">
        <x:v>WQ</x:v>
      </x:c>
      <x:c r="C17" s="5" t="str">
        <x:v>Recht</x:v>
      </x:c>
      <x:c r="D17" s="5" t="str">
        <x:v>3.1.4</x:v>
      </x:c>
      <x:c r="E17" s="5" t="str">
        <x:v>QUER</x:v>
      </x:c>
      <x:c r="F17" s="5" t="str">
        <x:v>Pilot Revision 2 unverändert</x:v>
      </x:c>
      <x:c r="G17" s="5" t="str">
        <x:v>Revision 2 unverändert übernommen</x:v>
      </x:c>
    </x:row>
    <x:row r="18" ht="36" customHeight="1">
      <x:c r="A18" s="5" t="str">
        <x:v>R-0225</x:v>
      </x:c>
      <x:c r="B18" s="5" t="str">
        <x:v>WQ</x:v>
      </x:c>
      <x:c r="C18" s="5" t="str">
        <x:v>Recht</x:v>
      </x:c>
      <x:c r="D18" s="5" t="str">
        <x:v>3.1.3.2</x:v>
      </x:c>
      <x:c r="E18" s="5" t="str">
        <x:v>QUER</x:v>
      </x:c>
      <x:c r="F18" s="5" t="str">
        <x:v>Pilot Revision 2 unverändert</x:v>
      </x:c>
      <x:c r="G18" s="5" t="str">
        <x:v>Revision 2 unverändert übernommen</x:v>
      </x:c>
    </x:row>
    <x:row r="19" ht="36" customHeight="1">
      <x:c r="A19" s="5" t="str">
        <x:v>R-0264</x:v>
      </x:c>
      <x:c r="B19" s="5" t="str">
        <x:v>WQ</x:v>
      </x:c>
      <x:c r="C19" s="5" t="str">
        <x:v>Recht</x:v>
      </x:c>
      <x:c r="D19" s="5" t="str">
        <x:v>3.1.3.2</x:v>
      </x:c>
      <x:c r="E19" s="5" t="str">
        <x:v>QUER</x:v>
      </x:c>
      <x:c r="F19" s="5" t="str">
        <x:v>Pilot Revision 2 unverändert</x:v>
      </x:c>
      <x:c r="G19" s="5" t="str">
        <x:v>Revision 2 unverändert übernommen</x:v>
      </x:c>
    </x:row>
    <x:row r="20" ht="36" customHeight="1">
      <x:c r="A20" s="5" t="str">
        <x:v>R-0265</x:v>
      </x:c>
      <x:c r="B20" s="5" t="str">
        <x:v>WQ</x:v>
      </x:c>
      <x:c r="C20" s="5" t="str">
        <x:v>Recht</x:v>
      </x:c>
      <x:c r="D20" s="5" t="str">
        <x:v>3.1.3.2</x:v>
      </x:c>
      <x:c r="E20" s="5" t="str">
        <x:v>QUER</x:v>
      </x:c>
      <x:c r="F20" s="5" t="str">
        <x:v>Pilot Revision 2 unverändert</x:v>
      </x:c>
      <x:c r="G20" s="5" t="str">
        <x:v>Revision 2 unverändert übernommen</x:v>
      </x:c>
    </x:row>
    <x:row r="21" ht="36" customHeight="1">
      <x:c r="A21" s="5" t="str">
        <x:v>R-0312</x:v>
      </x:c>
      <x:c r="B21" s="5" t="str">
        <x:v>WQ</x:v>
      </x:c>
      <x:c r="C21" s="5" t="str">
        <x:v>Recht</x:v>
      </x:c>
      <x:c r="D21" s="5" t="str">
        <x:v>3.1.1.1</x:v>
      </x:c>
      <x:c r="E21" s="5" t="str">
        <x:v>QUER</x:v>
      </x:c>
      <x:c r="F21" s="5" t="str">
        <x:v>Pilot Revision 2 unverändert</x:v>
      </x:c>
      <x:c r="G21" s="5" t="str">
        <x:v>Revision 2 unverändert übernommen</x:v>
      </x:c>
    </x:row>
    <x:row r="22" ht="36" customHeight="1">
      <x:c r="A22" s="5" t="str">
        <x:v>R-0314</x:v>
      </x:c>
      <x:c r="B22" s="5" t="str">
        <x:v>WQ</x:v>
      </x:c>
      <x:c r="C22" s="5" t="str">
        <x:v>Recht</x:v>
      </x:c>
      <x:c r="D22" s="5" t="str">
        <x:v>3.1.3.1</x:v>
      </x:c>
      <x:c r="E22" s="5" t="str">
        <x:v>QUER</x:v>
      </x:c>
      <x:c r="F22" s="5" t="str">
        <x:v>Pilot Revision 2 unverändert</x:v>
      </x:c>
      <x:c r="G22" s="5" t="str">
        <x:v>Revision 2 unverändert übernommen</x:v>
      </x:c>
    </x:row>
    <x:row r="23" ht="36" customHeight="1">
      <x:c r="A23" s="5" t="str">
        <x:v>R-0316</x:v>
      </x:c>
      <x:c r="B23" s="5" t="str">
        <x:v>WQ</x:v>
      </x:c>
      <x:c r="C23" s="5" t="str">
        <x:v>Recht</x:v>
      </x:c>
      <x:c r="D23" s="5" t="str">
        <x:v>3.1.3.1</x:v>
      </x:c>
      <x:c r="E23" s="5" t="str">
        <x:v>QUER</x:v>
      </x:c>
      <x:c r="F23" s="5" t="str">
        <x:v>Pilot Revision 2 unverändert</x:v>
      </x:c>
      <x:c r="G23" s="5" t="str">
        <x:v>Revision 2 unverändert übernommen</x:v>
      </x:c>
    </x:row>
    <x:row r="24" ht="36" customHeight="1">
      <x:c r="A24" s="5" t="str">
        <x:v>R-0317</x:v>
      </x:c>
      <x:c r="B24" s="5" t="str">
        <x:v>WQ</x:v>
      </x:c>
      <x:c r="C24" s="5" t="str">
        <x:v>Recht</x:v>
      </x:c>
      <x:c r="D24" s="5" t="str">
        <x:v>3.1.3.1</x:v>
      </x:c>
      <x:c r="E24" s="5" t="str">
        <x:v>QUER</x:v>
      </x:c>
      <x:c r="F24" s="5" t="str">
        <x:v>Pilot Revision 2 unverändert</x:v>
      </x:c>
      <x:c r="G24" s="5" t="str">
        <x:v>Revision 2 unverändert übernommen</x:v>
      </x:c>
    </x:row>
    <x:row r="25" ht="36" customHeight="1">
      <x:c r="A25" s="5" t="str">
        <x:v>R-0321</x:v>
      </x:c>
      <x:c r="B25" s="5" t="str">
        <x:v>WQ</x:v>
      </x:c>
      <x:c r="C25" s="5" t="str">
        <x:v>Recht</x:v>
      </x:c>
      <x:c r="D25" s="5" t="str">
        <x:v>3.1.3.1</x:v>
      </x:c>
      <x:c r="E25" s="5" t="str">
        <x:v>QUER</x:v>
      </x:c>
      <x:c r="F25" s="5" t="str">
        <x:v>Pilot Revision 2 unverändert</x:v>
      </x:c>
      <x:c r="G25" s="5" t="str">
        <x:v>Revision 2 unverändert übernommen</x:v>
      </x:c>
    </x:row>
    <x:row r="26" ht="36" customHeight="1">
      <x:c r="A26" s="5" t="str">
        <x:v>R-0407</x:v>
      </x:c>
      <x:c r="B26" s="5" t="str">
        <x:v>WQ</x:v>
      </x:c>
      <x:c r="C26" s="5" t="str">
        <x:v>Recht</x:v>
      </x:c>
      <x:c r="D26" s="5" t="str">
        <x:v>3.1.5.1</x:v>
      </x:c>
      <x:c r="E26" s="5" t="str">
        <x:v>QUER</x:v>
      </x:c>
      <x:c r="F26" s="5" t="str">
        <x:v>Pilot Revision 2 unverändert</x:v>
      </x:c>
      <x:c r="G26" s="5" t="str">
        <x:v>Revision 2 unverändert übernommen</x:v>
      </x:c>
    </x:row>
    <x:row r="27" ht="36" customHeight="1">
      <x:c r="A27" s="5" t="str">
        <x:v>R-0407</x:v>
      </x:c>
      <x:c r="B27" s="5" t="str">
        <x:v>WQ</x:v>
      </x:c>
      <x:c r="C27" s="5" t="str">
        <x:v>Recht</x:v>
      </x:c>
      <x:c r="D27" s="5" t="str">
        <x:v>3.1.5.2</x:v>
      </x:c>
      <x:c r="E27" s="5" t="str">
        <x:v>QUER</x:v>
      </x:c>
      <x:c r="F27" s="5" t="str">
        <x:v>Pilot Revision 2 unverändert</x:v>
      </x:c>
      <x:c r="G27" s="5" t="str">
        <x:v>Revision 2 unverändert übernommen</x:v>
      </x:c>
    </x:row>
    <x:row r="28" ht="36" customHeight="1">
      <x:c r="A28" s="5" t="str">
        <x:v>R-0407</x:v>
      </x:c>
      <x:c r="B28" s="5" t="str">
        <x:v>WQ</x:v>
      </x:c>
      <x:c r="C28" s="5" t="str">
        <x:v>Recht</x:v>
      </x:c>
      <x:c r="D28" s="5" t="str">
        <x:v>3.1.5.3</x:v>
      </x:c>
      <x:c r="E28" s="5" t="str">
        <x:v>QUER</x:v>
      </x:c>
      <x:c r="F28" s="5" t="str">
        <x:v>Pilot Revision 2 unverändert</x:v>
      </x:c>
      <x:c r="G28" s="5" t="str">
        <x:v>Revision 2 unverändert übernommen</x:v>
      </x:c>
    </x:row>
    <x:row r="29" ht="36" customHeight="1">
      <x:c r="A29" s="5" t="str">
        <x:v>R-0408</x:v>
      </x:c>
      <x:c r="B29" s="5" t="str">
        <x:v>WQ</x:v>
      </x:c>
      <x:c r="C29" s="5" t="str">
        <x:v>Recht</x:v>
      </x:c>
      <x:c r="D29" s="5" t="str">
        <x:v>3.1.5.1</x:v>
      </x:c>
      <x:c r="E29" s="5" t="str">
        <x:v>QUER</x:v>
      </x:c>
      <x:c r="F29" s="5" t="str">
        <x:v>Pilot Revision 2 unverändert</x:v>
      </x:c>
      <x:c r="G29" s="5" t="str">
        <x:v>Revision 2 unverändert übernommen</x:v>
      </x:c>
    </x:row>
    <x:row r="30" ht="36" customHeight="1">
      <x:c r="A30" s="5" t="str">
        <x:v>R-0408</x:v>
      </x:c>
      <x:c r="B30" s="5" t="str">
        <x:v>WQ</x:v>
      </x:c>
      <x:c r="C30" s="5" t="str">
        <x:v>Recht</x:v>
      </x:c>
      <x:c r="D30" s="5" t="str">
        <x:v>3.1.5.2</x:v>
      </x:c>
      <x:c r="E30" s="5" t="str">
        <x:v>QUER</x:v>
      </x:c>
      <x:c r="F30" s="5" t="str">
        <x:v>Pilot Revision 2 unverändert</x:v>
      </x:c>
      <x:c r="G30" s="5" t="str">
        <x:v>Revision 2 unverändert übernommen</x:v>
      </x:c>
    </x:row>
    <x:row r="31" ht="36" customHeight="1">
      <x:c r="A31" s="5" t="str">
        <x:v>R-0408</x:v>
      </x:c>
      <x:c r="B31" s="5" t="str">
        <x:v>WQ</x:v>
      </x:c>
      <x:c r="C31" s="5" t="str">
        <x:v>Recht</x:v>
      </x:c>
      <x:c r="D31" s="5" t="str">
        <x:v>3.1.5.3</x:v>
      </x:c>
      <x:c r="E31" s="5" t="str">
        <x:v>QUER</x:v>
      </x:c>
      <x:c r="F31" s="5" t="str">
        <x:v>Pilot Revision 2 unverändert</x:v>
      </x:c>
      <x:c r="G31" s="5" t="str">
        <x:v>Revision 2 unverändert übernommen</x:v>
      </x:c>
    </x:row>
    <x:row r="32" ht="36" customHeight="1">
      <x:c r="A32" s="5" t="str">
        <x:v>R-0413</x:v>
      </x:c>
      <x:c r="B32" s="5" t="str">
        <x:v>WQ</x:v>
      </x:c>
      <x:c r="C32" s="5" t="str">
        <x:v>Recht</x:v>
      </x:c>
      <x:c r="D32" s="5" t="str">
        <x:v>3.1.5.3</x:v>
      </x:c>
      <x:c r="E32" s="5" t="str">
        <x:v>QUER</x:v>
      </x:c>
      <x:c r="F32" s="5" t="str">
        <x:v>Pilot Revision 2 unverändert</x:v>
      </x:c>
      <x:c r="G32" s="5" t="str">
        <x:v>Revision 2 unverändert übernommen</x:v>
      </x:c>
    </x:row>
    <x:row r="33" ht="36" customHeight="1">
      <x:c r="A33" s="5" t="str">
        <x:v>R-0414</x:v>
      </x:c>
      <x:c r="B33" s="5" t="str">
        <x:v>WQ</x:v>
      </x:c>
      <x:c r="C33" s="5" t="str">
        <x:v>Recht</x:v>
      </x:c>
      <x:c r="D33" s="5" t="str">
        <x:v>3.1.5.3</x:v>
      </x:c>
      <x:c r="E33" s="5" t="str">
        <x:v>QUER</x:v>
      </x:c>
      <x:c r="F33" s="5" t="str">
        <x:v>Pilot Revision 2 unverändert</x:v>
      </x:c>
      <x:c r="G33" s="5" t="str">
        <x:v>Revision 2 unverändert übernommen</x:v>
      </x:c>
    </x:row>
    <x:row r="34" ht="36" customHeight="1">
      <x:c r="A34" s="5" t="str">
        <x:v>R-0452</x:v>
      </x:c>
      <x:c r="B34" s="5" t="str">
        <x:v>WQ</x:v>
      </x:c>
      <x:c r="C34" s="5" t="str">
        <x:v>Recht</x:v>
      </x:c>
      <x:c r="D34" s="5" t="str">
        <x:v>3.1.5.3</x:v>
      </x:c>
      <x:c r="E34" s="5" t="str">
        <x:v>QUER</x:v>
      </x:c>
      <x:c r="F34" s="5" t="str">
        <x:v>Pilot Revision 2 unverändert</x:v>
      </x:c>
      <x:c r="G34" s="5" t="str">
        <x:v>Revision 2 unverändert übernommen</x:v>
      </x:c>
    </x:row>
    <x:row r="35" ht="36" customHeight="1">
      <x:c r="A35" s="5" t="str">
        <x:v>R-0453</x:v>
      </x:c>
      <x:c r="B35" s="5" t="str">
        <x:v>WQ</x:v>
      </x:c>
      <x:c r="C35" s="5" t="str">
        <x:v>Recht</x:v>
      </x:c>
      <x:c r="D35" s="5" t="str">
        <x:v>3.1.5.3</x:v>
      </x:c>
      <x:c r="E35" s="5" t="str">
        <x:v>QUER</x:v>
      </x:c>
      <x:c r="F35" s="5" t="str">
        <x:v>Pilot Revision 2 unverändert</x:v>
      </x:c>
      <x:c r="G35" s="5" t="str">
        <x:v>Revision 2 unverändert übernommen</x:v>
      </x:c>
    </x:row>
    <x:row r="36" ht="36" customHeight="1">
      <x:c r="A36" s="5" t="str">
        <x:v>R-0464</x:v>
      </x:c>
      <x:c r="B36" s="5" t="str">
        <x:v>WQ</x:v>
      </x:c>
      <x:c r="C36" s="5" t="str">
        <x:v>Recht</x:v>
      </x:c>
      <x:c r="D36" s="5" t="str">
        <x:v>3.1.5.2</x:v>
      </x:c>
      <x:c r="E36" s="5" t="str">
        <x:v>QUER</x:v>
      </x:c>
      <x:c r="F36" s="5" t="str">
        <x:v>Pilot Revision 2 unverändert</x:v>
      </x:c>
      <x:c r="G36" s="5" t="str">
        <x:v>Revision 2 unverändert übernommen</x:v>
      </x:c>
    </x:row>
    <x:row r="37" ht="36" customHeight="1">
      <x:c r="A37" s="5" t="str">
        <x:v>R-0465</x:v>
      </x:c>
      <x:c r="B37" s="5" t="str">
        <x:v>WQ</x:v>
      </x:c>
      <x:c r="C37" s="5" t="str">
        <x:v>Recht</x:v>
      </x:c>
      <x:c r="D37" s="5" t="str">
        <x:v>3.1.5.2</x:v>
      </x:c>
      <x:c r="E37" s="5" t="str">
        <x:v>QUER</x:v>
      </x:c>
      <x:c r="F37" s="5" t="str">
        <x:v>Pilot Revision 2 unverändert</x:v>
      </x:c>
      <x:c r="G37" s="5" t="str">
        <x:v>Revision 2 unverändert übernommen</x:v>
      </x:c>
    </x:row>
    <x:row r="38" ht="36" customHeight="1">
      <x:c r="A38" s="5" t="str">
        <x:v>R-0481</x:v>
      </x:c>
      <x:c r="B38" s="5" t="str">
        <x:v>WQ</x:v>
      </x:c>
      <x:c r="C38" s="5" t="str">
        <x:v>Recht</x:v>
      </x:c>
      <x:c r="D38" s="5" t="str">
        <x:v>3.1.5.3</x:v>
      </x:c>
      <x:c r="E38" s="5" t="str">
        <x:v>QUER</x:v>
      </x:c>
      <x:c r="F38" s="5" t="str">
        <x:v>Pilot Revision 2 unverändert</x:v>
      </x:c>
      <x:c r="G38" s="5" t="str">
        <x:v>Revision 2 unverändert übernommen</x:v>
      </x:c>
    </x:row>
    <x:row r="39" ht="36" customHeight="1">
      <x:c r="A39" s="5" t="str">
        <x:v>R-0484</x:v>
      </x:c>
      <x:c r="B39" s="5" t="str">
        <x:v>WQ</x:v>
      </x:c>
      <x:c r="C39" s="5" t="str">
        <x:v>Recht</x:v>
      </x:c>
      <x:c r="D39" s="5" t="str">
        <x:v>3.1.5.3</x:v>
      </x:c>
      <x:c r="E39" s="5" t="str">
        <x:v>QUER</x:v>
      </x:c>
      <x:c r="F39" s="5" t="str">
        <x:v>Pilot Revision 2 unverändert</x:v>
      </x:c>
      <x:c r="G39" s="5" t="str">
        <x:v>Revision 2 unverändert übernommen</x:v>
      </x:c>
    </x:row>
    <x:row r="40" ht="36" customHeight="1">
      <x:c r="A40" s="5" t="str">
        <x:v>R-0566</x:v>
      </x:c>
      <x:c r="B40" s="5" t="str">
        <x:v>WQ</x:v>
      </x:c>
      <x:c r="C40" s="5" t="str">
        <x:v>Recht</x:v>
      </x:c>
      <x:c r="D40" s="5" t="str">
        <x:v>3.1.2.5</x:v>
      </x:c>
      <x:c r="E40" s="5" t="str">
        <x:v>QUER</x:v>
      </x:c>
      <x:c r="F40" s="5" t="str">
        <x:v>Pilot Revision 2 unverändert</x:v>
      </x:c>
      <x:c r="G40" s="5" t="str">
        <x:v>Revision 2 unverändert übernommen</x:v>
      </x:c>
    </x:row>
    <x:row r="41" ht="36" customHeight="1">
      <x:c r="A41" s="5" t="str">
        <x:v>R-0572</x:v>
      </x:c>
      <x:c r="B41" s="5" t="str">
        <x:v>WQ</x:v>
      </x:c>
      <x:c r="C41" s="5" t="str">
        <x:v>Recht</x:v>
      </x:c>
      <x:c r="D41" s="5" t="str">
        <x:v>3.1.3.2</x:v>
      </x:c>
      <x:c r="E41" s="5" t="str">
        <x:v>QUER</x:v>
      </x:c>
      <x:c r="F41" s="5" t="str">
        <x:v>Pilot Revision 2 unverändert</x:v>
      </x:c>
      <x:c r="G41" s="5" t="str">
        <x:v>Revision 2 unverändert übernommen</x:v>
      </x:c>
    </x:row>
    <x:row r="42" ht="36" customHeight="1">
      <x:c r="A42" s="5" t="str">
        <x:v>R-0572</x:v>
      </x:c>
      <x:c r="B42" s="5" t="str">
        <x:v>WQ</x:v>
      </x:c>
      <x:c r="C42" s="5" t="str">
        <x:v>Recht</x:v>
      </x:c>
      <x:c r="D42" s="5" t="str">
        <x:v>HQ 6.2 (nur Querverweis)</x:v>
      </x:c>
      <x:c r="E42" s="5" t="str">
        <x:v>QUER</x:v>
      </x:c>
      <x:c r="F42" s="5" t="str">
        <x:v>Pilot Revision 2 unverändert</x:v>
      </x:c>
      <x:c r="G42" s="5" t="str">
        <x:v>Revision 2 unverändert übernommen</x:v>
      </x:c>
    </x:row>
    <x:row r="43" ht="36" customHeight="1">
      <x:c r="A43" s="5" t="str">
        <x:v>R-0573</x:v>
      </x:c>
      <x:c r="B43" s="5" t="str">
        <x:v>WQ</x:v>
      </x:c>
      <x:c r="C43" s="5" t="str">
        <x:v>Recht</x:v>
      </x:c>
      <x:c r="D43" s="5" t="str">
        <x:v>3.1.3.2</x:v>
      </x:c>
      <x:c r="E43" s="5" t="str">
        <x:v>QUER</x:v>
      </x:c>
      <x:c r="F43" s="5" t="str">
        <x:v>Pilot Revision 2 unverändert</x:v>
      </x:c>
      <x:c r="G43" s="5" t="str">
        <x:v>Revision 2 unverändert übernommen</x:v>
      </x:c>
    </x:row>
    <x:row r="44" ht="36" customHeight="1">
      <x:c r="A44" s="5" t="str">
        <x:v>R-0573</x:v>
      </x:c>
      <x:c r="B44" s="5" t="str">
        <x:v>WQ</x:v>
      </x:c>
      <x:c r="C44" s="5" t="str">
        <x:v>Recht</x:v>
      </x:c>
      <x:c r="D44" s="5" t="str">
        <x:v>HQ 6.2 (nur Querverweis)</x:v>
      </x:c>
      <x:c r="E44" s="5" t="str">
        <x:v>QUER</x:v>
      </x:c>
      <x:c r="F44" s="5" t="str">
        <x:v>Pilot Revision 2 unverändert</x:v>
      </x:c>
      <x:c r="G44" s="5" t="str">
        <x:v>Revision 2 unverändert übernommen</x:v>
      </x:c>
    </x:row>
    <x:row r="45" ht="36" customHeight="1">
      <x:c r="A45" s="5" t="str">
        <x:v>R-0574</x:v>
      </x:c>
      <x:c r="B45" s="5" t="str">
        <x:v>WQ</x:v>
      </x:c>
      <x:c r="C45" s="5" t="str">
        <x:v>Recht</x:v>
      </x:c>
      <x:c r="D45" s="5" t="str">
        <x:v>3.1.3.2</x:v>
      </x:c>
      <x:c r="E45" s="5" t="str">
        <x:v>QUER</x:v>
      </x:c>
      <x:c r="F45" s="5" t="str">
        <x:v>Pilot Revision 2 unverändert</x:v>
      </x:c>
      <x:c r="G45" s="5" t="str">
        <x:v>Revision 2 unverändert übernommen</x:v>
      </x:c>
    </x:row>
    <x:row r="46" ht="36" customHeight="1">
      <x:c r="A46" s="5" t="str">
        <x:v>R-0574</x:v>
      </x:c>
      <x:c r="B46" s="5" t="str">
        <x:v>WQ</x:v>
      </x:c>
      <x:c r="C46" s="5" t="str">
        <x:v>Recht</x:v>
      </x:c>
      <x:c r="D46" s="5" t="str">
        <x:v>HQ 6.2 (nur Querverweis)</x:v>
      </x:c>
      <x:c r="E46" s="5" t="str">
        <x:v>QUER</x:v>
      </x:c>
      <x:c r="F46" s="5" t="str">
        <x:v>Pilot Revision 2 unverändert</x:v>
      </x:c>
      <x:c r="G46" s="5" t="str">
        <x:v>Revision 2 unverändert übernommen</x:v>
      </x:c>
    </x:row>
    <x:row r="47" ht="36" customHeight="1">
      <x:c r="A47" s="5" t="str">
        <x:v>R-0576</x:v>
      </x:c>
      <x:c r="B47" s="5" t="str">
        <x:v>WQ</x:v>
      </x:c>
      <x:c r="C47" s="5" t="str">
        <x:v>Recht</x:v>
      </x:c>
      <x:c r="D47" s="5" t="str">
        <x:v>3.1.2.3</x:v>
      </x:c>
      <x:c r="E47" s="5" t="str">
        <x:v>QUER</x:v>
      </x:c>
      <x:c r="F47" s="5" t="str">
        <x:v>Pilot Revision 2 unverändert</x:v>
      </x:c>
      <x:c r="G47" s="5" t="str">
        <x:v>Revision 2 unverändert übernommen</x:v>
      </x:c>
    </x:row>
    <x:row r="48" ht="36" customHeight="1">
      <x:c r="A48" s="5" t="str">
        <x:v>R-0576</x:v>
      </x:c>
      <x:c r="B48" s="5" t="str">
        <x:v>WQ</x:v>
      </x:c>
      <x:c r="C48" s="5" t="str">
        <x:v>Recht</x:v>
      </x:c>
      <x:c r="D48" s="5" t="str">
        <x:v>3.1.2.5</x:v>
      </x:c>
      <x:c r="E48" s="5" t="str">
        <x:v>QUER</x:v>
      </x:c>
      <x:c r="F48" s="5" t="str">
        <x:v>Pilot Revision 2 unverändert</x:v>
      </x:c>
      <x:c r="G48" s="5" t="str">
        <x:v>Revision 2 unverändert übernommen</x:v>
      </x:c>
    </x:row>
    <x:row r="49" ht="36" customHeight="1">
      <x:c r="A49" s="5" t="str">
        <x:v>R-0576</x:v>
      </x:c>
      <x:c r="B49" s="5" t="str">
        <x:v>WQ</x:v>
      </x:c>
      <x:c r="C49" s="5" t="str">
        <x:v>Recht</x:v>
      </x:c>
      <x:c r="D49" s="5" t="str">
        <x:v>HQ 7 (nur Querverweis)</x:v>
      </x:c>
      <x:c r="E49" s="5" t="str">
        <x:v>QUER</x:v>
      </x:c>
      <x:c r="F49" s="5" t="str">
        <x:v>Pilot Revision 2 unverändert</x:v>
      </x:c>
      <x:c r="G49" s="5" t="str">
        <x:v>Revision 2 unverändert übernommen</x:v>
      </x:c>
    </x:row>
    <x:row r="50" ht="36" customHeight="1">
      <x:c r="A50" s="5" t="str">
        <x:v>R-0578</x:v>
      </x:c>
      <x:c r="B50" s="5" t="str">
        <x:v>WQ</x:v>
      </x:c>
      <x:c r="C50" s="5" t="str">
        <x:v>Recht</x:v>
      </x:c>
      <x:c r="D50" s="5" t="str">
        <x:v>3.1.5.1</x:v>
      </x:c>
      <x:c r="E50" s="5" t="str">
        <x:v>QUER</x:v>
      </x:c>
      <x:c r="F50" s="5" t="str">
        <x:v>Pilot Revision 2 unverändert</x:v>
      </x:c>
      <x:c r="G50" s="5" t="str">
        <x:v>Revision 2 unverändert übernommen</x:v>
      </x:c>
    </x:row>
    <x:row r="51" ht="36" customHeight="1">
      <x:c r="A51" s="5" t="str">
        <x:v>R-0578</x:v>
      </x:c>
      <x:c r="B51" s="5" t="str">
        <x:v>WQ</x:v>
      </x:c>
      <x:c r="C51" s="5" t="str">
        <x:v>Recht</x:v>
      </x:c>
      <x:c r="D51" s="5" t="str">
        <x:v>3.1.5.2</x:v>
      </x:c>
      <x:c r="E51" s="5" t="str">
        <x:v>QUER</x:v>
      </x:c>
      <x:c r="F51" s="5" t="str">
        <x:v>Pilot Revision 2 unverändert</x:v>
      </x:c>
      <x:c r="G51" s="5" t="str">
        <x:v>Revision 2 unverändert übernommen</x:v>
      </x:c>
    </x:row>
    <x:row r="52" ht="36" customHeight="1">
      <x:c r="A52" s="5" t="str">
        <x:v>R-0578</x:v>
      </x:c>
      <x:c r="B52" s="5" t="str">
        <x:v>WQ</x:v>
      </x:c>
      <x:c r="C52" s="5" t="str">
        <x:v>Recht</x:v>
      </x:c>
      <x:c r="D52" s="5" t="str">
        <x:v>3.1.5.3</x:v>
      </x:c>
      <x:c r="E52" s="5" t="str">
        <x:v>QUER</x:v>
      </x:c>
      <x:c r="F52" s="5" t="str">
        <x:v>Pilot Revision 2 unverändert</x:v>
      </x:c>
      <x:c r="G52" s="5" t="str">
        <x:v>Revision 2 unverändert übernommen</x:v>
      </x:c>
    </x:row>
    <x:row r="53" ht="36" customHeight="1">
      <x:c r="A53" s="5" t="str">
        <x:v>ST-0014</x:v>
      </x:c>
      <x:c r="B53" s="5" t="str">
        <x:v>WQ</x:v>
      </x:c>
      <x:c r="C53" s="5" t="str">
        <x:v>Steuern</x:v>
      </x:c>
      <x:c r="D53" s="5" t="str">
        <x:v>3.2.2.1</x:v>
      </x:c>
      <x:c r="E53" s="5" t="str">
        <x:v>QUER</x:v>
      </x:c>
      <x:c r="F53" s="5" t="str">
        <x:v>Pilot Revision 2 unverändert</x:v>
      </x:c>
      <x:c r="G53" s="5" t="str">
        <x:v>Revision 2 unverändert übernommen</x:v>
      </x:c>
    </x:row>
    <x:row r="54" ht="36" customHeight="1">
      <x:c r="A54" s="5" t="str">
        <x:v>ST-0014</x:v>
      </x:c>
      <x:c r="B54" s="5" t="str">
        <x:v>WQ</x:v>
      </x:c>
      <x:c r="C54" s="5" t="str">
        <x:v>Steuern</x:v>
      </x:c>
      <x:c r="D54" s="5" t="str">
        <x:v>3.2.2.4</x:v>
      </x:c>
      <x:c r="E54" s="5" t="str">
        <x:v>QUER</x:v>
      </x:c>
      <x:c r="F54" s="5" t="str">
        <x:v>Pilot Revision 2 unverändert</x:v>
      </x:c>
      <x:c r="G54" s="5" t="str">
        <x:v>Revision 2 unverändert übernommen</x:v>
      </x:c>
    </x:row>
    <x:row r="55" ht="36" customHeight="1">
      <x:c r="A55" s="5" t="str">
        <x:v>ST-0038</x:v>
      </x:c>
      <x:c r="B55" s="5" t="str">
        <x:v>WQ</x:v>
      </x:c>
      <x:c r="C55" s="5" t="str">
        <x:v>Steuern</x:v>
      </x:c>
      <x:c r="D55" s="5" t="str">
        <x:v>3.2.2.1</x:v>
      </x:c>
      <x:c r="E55" s="5" t="str">
        <x:v>QUER</x:v>
      </x:c>
      <x:c r="F55" s="5" t="str">
        <x:v>Pilot Revision 2 unverändert</x:v>
      </x:c>
      <x:c r="G55" s="5" t="str">
        <x:v>Revision 2 unverändert übernommen</x:v>
      </x:c>
    </x:row>
    <x:row r="56" ht="36" customHeight="1">
      <x:c r="A56" s="5" t="str">
        <x:v>ST-0038</x:v>
      </x:c>
      <x:c r="B56" s="5" t="str">
        <x:v>WQ</x:v>
      </x:c>
      <x:c r="C56" s="5" t="str">
        <x:v>Steuern</x:v>
      </x:c>
      <x:c r="D56" s="5" t="str">
        <x:v>3.2.2.4</x:v>
      </x:c>
      <x:c r="E56" s="5" t="str">
        <x:v>QUER</x:v>
      </x:c>
      <x:c r="F56" s="5" t="str">
        <x:v>Pilot Revision 2 unverändert</x:v>
      </x:c>
      <x:c r="G56" s="5" t="str">
        <x:v>Revision 2 unverändert übernommen</x:v>
      </x:c>
    </x:row>
    <x:row r="57" ht="36" customHeight="1">
      <x:c r="A57" s="5" t="str">
        <x:v>ST-0039</x:v>
      </x:c>
      <x:c r="B57" s="5" t="str">
        <x:v>WQ</x:v>
      </x:c>
      <x:c r="C57" s="5" t="str">
        <x:v>Steuern</x:v>
      </x:c>
      <x:c r="D57" s="5" t="str">
        <x:v>3.2.2.1</x:v>
      </x:c>
      <x:c r="E57" s="5" t="str">
        <x:v>QUER</x:v>
      </x:c>
      <x:c r="F57" s="5" t="str">
        <x:v>Pilot Revision 2 unverändert</x:v>
      </x:c>
      <x:c r="G57" s="5" t="str">
        <x:v>Revision 2 unverändert übernommen</x:v>
      </x:c>
    </x:row>
    <x:row r="58" ht="36" customHeight="1">
      <x:c r="A58" s="5" t="str">
        <x:v>ST-0039</x:v>
      </x:c>
      <x:c r="B58" s="5" t="str">
        <x:v>WQ</x:v>
      </x:c>
      <x:c r="C58" s="5" t="str">
        <x:v>Steuern</x:v>
      </x:c>
      <x:c r="D58" s="5" t="str">
        <x:v>3.2.2.4</x:v>
      </x:c>
      <x:c r="E58" s="5" t="str">
        <x:v>QUER</x:v>
      </x:c>
      <x:c r="F58" s="5" t="str">
        <x:v>Pilot Revision 2 unverändert</x:v>
      </x:c>
      <x:c r="G58" s="5" t="str">
        <x:v>Revision 2 unverändert übernommen</x:v>
      </x:c>
    </x:row>
    <x:row r="59" ht="36" customHeight="1">
      <x:c r="A59" s="5" t="str">
        <x:v>ST-0059</x:v>
      </x:c>
      <x:c r="B59" s="5" t="str">
        <x:v>WQ</x:v>
      </x:c>
      <x:c r="C59" s="5" t="str">
        <x:v>Steuern</x:v>
      </x:c>
      <x:c r="D59" s="5" t="str">
        <x:v>3.2.2.1</x:v>
      </x:c>
      <x:c r="E59" s="5" t="str">
        <x:v>QUER</x:v>
      </x:c>
      <x:c r="F59" s="5" t="str">
        <x:v>Pilot Revision 2 unverändert</x:v>
      </x:c>
      <x:c r="G59" s="5" t="str">
        <x:v>Revision 2 unverändert übernommen</x:v>
      </x:c>
    </x:row>
    <x:row r="60" ht="36" customHeight="1">
      <x:c r="A60" s="5" t="str">
        <x:v>ST-0059</x:v>
      </x:c>
      <x:c r="B60" s="5" t="str">
        <x:v>WQ</x:v>
      </x:c>
      <x:c r="C60" s="5" t="str">
        <x:v>Steuern</x:v>
      </x:c>
      <x:c r="D60" s="5" t="str">
        <x:v>3.2.2.4</x:v>
      </x:c>
      <x:c r="E60" s="5" t="str">
        <x:v>QUER</x:v>
      </x:c>
      <x:c r="F60" s="5" t="str">
        <x:v>Pilot Revision 2 unverändert</x:v>
      </x:c>
      <x:c r="G60" s="5" t="str">
        <x:v>Revision 2 unverändert übernommen</x:v>
      </x:c>
    </x:row>
    <x:row r="61" ht="36" customHeight="1">
      <x:c r="A61" s="5" t="str">
        <x:v>ST-0066</x:v>
      </x:c>
      <x:c r="B61" s="5" t="str">
        <x:v>WQ</x:v>
      </x:c>
      <x:c r="C61" s="5" t="str">
        <x:v>Steuern</x:v>
      </x:c>
      <x:c r="D61" s="5" t="str">
        <x:v>3.2.2.1</x:v>
      </x:c>
      <x:c r="E61" s="5" t="str">
        <x:v>QUER</x:v>
      </x:c>
      <x:c r="F61" s="5" t="str">
        <x:v>Pilot Revision 2 unverändert</x:v>
      </x:c>
      <x:c r="G61" s="5" t="str">
        <x:v>Revision 2 unverändert übernommen</x:v>
      </x:c>
    </x:row>
    <x:row r="62" ht="36" customHeight="1">
      <x:c r="A62" s="5" t="str">
        <x:v>ST-0066</x:v>
      </x:c>
      <x:c r="B62" s="5" t="str">
        <x:v>WQ</x:v>
      </x:c>
      <x:c r="C62" s="5" t="str">
        <x:v>Steuern</x:v>
      </x:c>
      <x:c r="D62" s="5" t="str">
        <x:v>3.2.2.4</x:v>
      </x:c>
      <x:c r="E62" s="5" t="str">
        <x:v>QUER</x:v>
      </x:c>
      <x:c r="F62" s="5" t="str">
        <x:v>Pilot Revision 2 unverändert</x:v>
      </x:c>
      <x:c r="G62" s="5" t="str">
        <x:v>Revision 2 unverändert übernommen</x:v>
      </x:c>
    </x:row>
    <x:row r="63" ht="36" customHeight="1">
      <x:c r="A63" s="5" t="str">
        <x:v>ST-0105</x:v>
      </x:c>
      <x:c r="B63" s="5" t="str">
        <x:v>WQ</x:v>
      </x:c>
      <x:c r="C63" s="5" t="str">
        <x:v>Steuern</x:v>
      </x:c>
      <x:c r="D63" s="5" t="str">
        <x:v>3.2.2.1</x:v>
      </x:c>
      <x:c r="E63" s="5" t="str">
        <x:v>QUER</x:v>
      </x:c>
      <x:c r="F63" s="5" t="str">
        <x:v>Pilot Revision 2 unverändert</x:v>
      </x:c>
      <x:c r="G63" s="5" t="str">
        <x:v>Revision 2 unverändert übernommen</x:v>
      </x:c>
    </x:row>
    <x:row r="64" ht="36" customHeight="1">
      <x:c r="A64" s="5" t="str">
        <x:v>ST-0105</x:v>
      </x:c>
      <x:c r="B64" s="5" t="str">
        <x:v>WQ</x:v>
      </x:c>
      <x:c r="C64" s="5" t="str">
        <x:v>Steuern</x:v>
      </x:c>
      <x:c r="D64" s="5" t="str">
        <x:v>3.2.2.4</x:v>
      </x:c>
      <x:c r="E64" s="5" t="str">
        <x:v>QUER</x:v>
      </x:c>
      <x:c r="F64" s="5" t="str">
        <x:v>Pilot Revision 2 unverändert</x:v>
      </x:c>
      <x:c r="G64" s="5" t="str">
        <x:v>Revision 2 unverändert übernommen</x:v>
      </x:c>
    </x:row>
    <x:row r="65" ht="36" customHeight="1">
      <x:c r="A65" s="5" t="str">
        <x:v>ST-0198</x:v>
      </x:c>
      <x:c r="B65" s="5" t="str">
        <x:v>WQ</x:v>
      </x:c>
      <x:c r="C65" s="5" t="str">
        <x:v>Steuern</x:v>
      </x:c>
      <x:c r="D65" s="5" t="str">
        <x:v>3.2.2.4</x:v>
      </x:c>
      <x:c r="E65" s="5" t="str">
        <x:v>QUER</x:v>
      </x:c>
      <x:c r="F65" s="5" t="str">
        <x:v>Pilot Revision 2 unverändert</x:v>
      </x:c>
      <x:c r="G65" s="5" t="str">
        <x:v>Revision 2 unverändert übernommen</x:v>
      </x:c>
    </x:row>
    <x:row r="66" ht="36" customHeight="1">
      <x:c r="A66" s="5" t="str">
        <x:v>ST-0198</x:v>
      </x:c>
      <x:c r="B66" s="5" t="str">
        <x:v>WQ</x:v>
      </x:c>
      <x:c r="C66" s="5" t="str">
        <x:v>Steuern</x:v>
      </x:c>
      <x:c r="D66" s="5" t="str">
        <x:v>3.1.4</x:v>
      </x:c>
      <x:c r="E66" s="5" t="str">
        <x:v>QUER</x:v>
      </x:c>
      <x:c r="F66" s="5" t="str">
        <x:v>Pilot Revision 2 unverändert</x:v>
      </x:c>
      <x:c r="G66" s="5" t="str">
        <x:v>Revision 2 unverändert übernommen</x:v>
      </x:c>
    </x:row>
    <x:row r="67" ht="36" customHeight="1">
      <x:c r="A67" s="5" t="str">
        <x:v>ST-0233</x:v>
      </x:c>
      <x:c r="B67" s="5" t="str">
        <x:v>WQ</x:v>
      </x:c>
      <x:c r="C67" s="5" t="str">
        <x:v>Steuern</x:v>
      </x:c>
      <x:c r="D67" s="5" t="str">
        <x:v>3.2.2.2</x:v>
      </x:c>
      <x:c r="E67" s="5" t="str">
        <x:v>QUER</x:v>
      </x:c>
      <x:c r="F67" s="5" t="str">
        <x:v>Pilot Revision 2 unverändert</x:v>
      </x:c>
      <x:c r="G67" s="5" t="str">
        <x:v>Revision 2 unverändert übernommen</x:v>
      </x:c>
    </x:row>
    <x:row r="68" ht="36" customHeight="1">
      <x:c r="A68" s="5" t="str">
        <x:v>PF-0202</x:v>
      </x:c>
      <x:c r="B68" s="5" t="str">
        <x:v>HQ</x:v>
      </x:c>
      <x:c r="C68" s="5" t="str">
        <x:v>Führung und Zusammenarbeit</x:v>
      </x:c>
      <x:c r="D68" s="5" t="str">
        <x:v>5.2.1</x:v>
      </x:c>
      <x:c r="E68" s="5" t="str">
        <x:v>QUER</x:v>
      </x:c>
      <x:c r="F68" s="5" t="str">
        <x:v>Thematischer Querverweis; allein kein Vollständigkeitsbeleg</x:v>
      </x:c>
      <x:c r="G68" s="5" t="str">
        <x:v>Freigegeben: kennzahlengestützte Personalbedarfsplanung im Betrieblichen Management. ID, Quellblatt und historische Leistungen unverändert.</x:v>
      </x:c>
    </x:row>
    <x:row r="69" ht="36" customHeight="1">
      <x:c r="A69" s="5" t="str">
        <x:v>PF-0202</x:v>
      </x:c>
      <x:c r="B69" s="5" t="str">
        <x:v>HQ</x:v>
      </x:c>
      <x:c r="C69" s="5" t="str">
        <x:v>Führung und Zusammenarbeit</x:v>
      </x:c>
      <x:c r="D69" s="5" t="str">
        <x:v>4.2.5.1</x:v>
      </x:c>
      <x:c r="E69" s="5" t="str">
        <x:v>QUER</x:v>
      </x:c>
      <x:c r="F69" s="5" t="str">
        <x:v>Thematischer Querverweis; allein kein Vollständigkeitsbeleg</x:v>
      </x:c>
      <x:c r="G69" s="5" t="str">
        <x:v>Freigegeben: kennzahlengestützte Personalbedarfsplanung im Betrieblichen Management. ID, Quellblatt und historische Leistungen unverändert.</x:v>
      </x:c>
    </x:row>
    <x:row r="70" ht="36" customHeight="1">
      <x:c r="A70" s="5" t="str">
        <x:v>PF-0203</x:v>
      </x:c>
      <x:c r="B70" s="5" t="str">
        <x:v>HQ</x:v>
      </x:c>
      <x:c r="C70" s="5" t="str">
        <x:v>Führung und Zusammenarbeit</x:v>
      </x:c>
      <x:c r="D70" s="5" t="str">
        <x:v>9.6.1.2</x:v>
      </x:c>
      <x:c r="E70" s="5" t="str">
        <x:v>QUER</x:v>
      </x:c>
      <x:c r="F70" s="5" t="str">
        <x:v>Thematischer Querverweis; allein kein Vollständigkeitsbeleg</x:v>
      </x:c>
      <x:c r="G70" s="5" t="str">
        <x:v>Freigegeben: Projektressourcen- und Personalkapazitätsplanung im Betrieblichen Management. ID, Quellblatt und historische Leistungen unverändert.</x:v>
      </x:c>
    </x:row>
    <x:row r="71" ht="36" customHeight="1">
      <x:c r="A71" s="5" t="str">
        <x:v>PF-0203</x:v>
      </x:c>
      <x:c r="B71" s="5" t="str">
        <x:v>HQ</x:v>
      </x:c>
      <x:c r="C71" s="5" t="str">
        <x:v>Führung und Zusammenarbeit</x:v>
      </x:c>
      <x:c r="D71" s="5" t="str">
        <x:v>9.6.3.1</x:v>
      </x:c>
      <x:c r="E71" s="5" t="str">
        <x:v>QUER</x:v>
      </x:c>
      <x:c r="F71" s="5" t="str">
        <x:v>Thematischer Querverweis; allein kein Vollständigkeitsbeleg</x:v>
      </x:c>
      <x:c r="G71" s="5" t="str">
        <x:v>Freigegeben: Projektressourcen- und Personalkapazitätsplanung im Betrieblichen Management. ID, Quellblatt und historische Leistungen unverändert.</x:v>
      </x:c>
    </x:row>
    <x:row r="72" ht="36" customHeight="1">
      <x:c r="A72" s="5" t="str">
        <x:v>IF-0078</x:v>
      </x:c>
      <x:c r="B72" s="5" t="str">
        <x:v>HQ</x:v>
      </x:c>
      <x:c r="C72" s="5" t="str">
        <x:v>Investition und Finanzierung</x:v>
      </x:c>
      <x:c r="D72" s="5" t="str">
        <x:v>6.2.2.1#2</x:v>
      </x:c>
      <x:c r="E72" s="5" t="str">
        <x:v>QUER</x:v>
      </x:c>
      <x:c r="F72" s="5" t="str">
        <x:v>Thematischer Querverweis; allein kein Vollständigkeitsbeleg</x:v>
      </x:c>
      <x:c r="G72" s="5" t="str">
        <x:v>Gezielt geprüfter Einzelbeleg</x:v>
      </x:c>
    </x:row>
    <x:row r="73" ht="36" customHeight="1">
      <x:c r="A73" s="5" t="str">
        <x:v>IF-0078</x:v>
      </x:c>
      <x:c r="B73" s="5" t="str">
        <x:v>HQ</x:v>
      </x:c>
      <x:c r="C73" s="5" t="str">
        <x:v>Investition und Finanzierung</x:v>
      </x:c>
      <x:c r="D73" s="5" t="str">
        <x:v>6.2.2.2#2</x:v>
      </x:c>
      <x:c r="E73" s="5" t="str">
        <x:v>QUER</x:v>
      </x:c>
      <x:c r="F73" s="5" t="str">
        <x:v>Thematischer Querverweis; allein kein Vollständigkeitsbeleg</x:v>
      </x:c>
      <x:c r="G73" s="5" t="str">
        <x:v>Gezielt geprüfter Einzelbeleg</x:v>
      </x:c>
    </x:row>
    <x:row r="74" ht="36" customHeight="1">
      <x:c r="A74" s="5" t="str">
        <x:v>IF-0091</x:v>
      </x:c>
      <x:c r="B74" s="5" t="str">
        <x:v>HQ</x:v>
      </x:c>
      <x:c r="C74" s="5" t="str">
        <x:v>Investition und Finanzierung</x:v>
      </x:c>
      <x:c r="D74" s="5" t="str">
        <x:v>6.1.2.2#1</x:v>
      </x:c>
      <x:c r="E74" s="5" t="str">
        <x:v>QUER</x:v>
      </x:c>
      <x:c r="F74" s="5" t="str">
        <x:v>Thematischer Querverweis; allein kein Vollständigkeitsbeleg</x:v>
      </x:c>
      <x:c r="G74" s="5" t="str">
        <x:v>Freigegeben: Make-or-Buy im KLR-Punkt 6.4.1.2; Quellfach bleibt erhalten. Entscheidungsrelevante Fixkosten später ausdrücklich klarstellen.</x:v>
      </x:c>
    </x:row>
    <x:row r="75" ht="36" customHeight="1">
      <x:c r="A75" s="5" t="str">
        <x:v>IF-0146</x:v>
      </x:c>
      <x:c r="B75" s="5" t="str">
        <x:v>HQ</x:v>
      </x:c>
      <x:c r="C75" s="5" t="str">
        <x:v>Investition und Finanzierung</x:v>
      </x:c>
      <x:c r="D75" s="5" t="str">
        <x:v>6.2.2.1#4</x:v>
      </x:c>
      <x:c r="E75" s="5" t="str">
        <x:v>QUER</x:v>
      </x:c>
      <x:c r="F75" s="5" t="str">
        <x:v>Thematischer Querverweis; allein kein Vollständigkeitsbeleg</x:v>
      </x:c>
      <x:c r="G75" s="5" t="str">
        <x:v>Gezielt geprüfter Einzelbeleg</x:v>
      </x:c>
    </x:row>
    <x:row r="76" ht="36" customHeight="1">
      <x:c r="A76" s="5" t="str">
        <x:v>IF-0152</x:v>
      </x:c>
      <x:c r="B76" s="5" t="str">
        <x:v>HQ</x:v>
      </x:c>
      <x:c r="C76" s="5" t="str">
        <x:v>Investition und Finanzierung</x:v>
      </x:c>
      <x:c r="D76" s="5" t="str">
        <x:v>6.2.2.1#3</x:v>
      </x:c>
      <x:c r="E76" s="5" t="str">
        <x:v>QUER</x:v>
      </x:c>
      <x:c r="F76" s="5" t="str">
        <x:v>Thematischer Querverweis; allein kein Vollständigkeitsbeleg</x:v>
      </x:c>
      <x:c r="G76" s="5" t="str">
        <x:v>Gesellschafterdarlehen als Teilbeleg privater Darlehen; nicht jede private Darlehensquelle abgedeckt.</x:v>
      </x:c>
    </x:row>
    <x:row r="77" ht="36" customHeight="1">
      <x:c r="A77" s="5" t="str">
        <x:v>L-0248</x:v>
      </x:c>
      <x:c r="B77" s="5" t="str">
        <x:v>HQ</x:v>
      </x:c>
      <x:c r="C77" s="5" t="str">
        <x:v>Logistik</x:v>
      </x:c>
      <x:c r="D77" s="5" t="str">
        <x:v>7.5.1</x:v>
      </x:c>
      <x:c r="E77" s="5" t="str">
        <x:v>QUER</x:v>
      </x:c>
      <x:c r="F77" s="5" t="str">
        <x:v>Thematischer Querverweis; allein kein Vollständigkeitsbeleg</x:v>
      </x:c>
      <x:c r="G77" s="5" t="str">
        <x:v>Gezielt geprüfter Einzelbeleg</x:v>
      </x:c>
    </x:row>
    <x:row r="78" ht="36" customHeight="1">
      <x:c r="A78" s="5" t="str">
        <x:v>L-0286</x:v>
      </x:c>
      <x:c r="B78" s="5" t="str">
        <x:v>HQ</x:v>
      </x:c>
      <x:c r="C78" s="5" t="str">
        <x:v>Logistik</x:v>
      </x:c>
      <x:c r="D78" s="5" t="str">
        <x:v>7.5.1.2</x:v>
      </x:c>
      <x:c r="E78" s="5" t="str">
        <x:v>QUER</x:v>
      </x:c>
      <x:c r="F78" s="5" t="str">
        <x:v>Thematischer Querverweis; allein kein Vollständigkeitsbeleg</x:v>
      </x:c>
      <x:c r="G78" s="5" t="str">
        <x:v>Gezielt geprüfter Einzelbeleg</x:v>
      </x:c>
    </x:row>
    <x:row r="79" ht="36" customHeight="1">
      <x:c r="A79" s="5" t="str">
        <x:v>L-0286</x:v>
      </x:c>
      <x:c r="B79" s="5" t="str">
        <x:v>HQ</x:v>
      </x:c>
      <x:c r="C79" s="5" t="str">
        <x:v>Logistik</x:v>
      </x:c>
      <x:c r="D79" s="5" t="str">
        <x:v>7.5.2</x:v>
      </x:c>
      <x:c r="E79" s="5" t="str">
        <x:v>QUER</x:v>
      </x:c>
      <x:c r="F79" s="5" t="str">
        <x:v>Thematischer Querverweis; allein kein Vollständigkeitsbeleg</x:v>
      </x:c>
      <x:c r="G79" s="5" t="str">
        <x:v>Gezielt geprüfter Einzelbeleg</x:v>
      </x:c>
    </x:row>
    <x:row r="80" ht="36" customHeight="1">
      <x:c r="A80" s="5" t="str">
        <x:v>PF-0194</x:v>
      </x:c>
      <x:c r="B80" s="5" t="str">
        <x:v>HQ</x:v>
      </x:c>
      <x:c r="C80" s="5" t="str">
        <x:v>Führung und Zusammenarbeit</x:v>
      </x:c>
      <x:c r="D80" s="5" t="str">
        <x:v>4.2.6</x:v>
      </x:c>
      <x:c r="E80" s="5" t="str">
        <x:v>QUER</x:v>
      </x:c>
      <x:c r="F80" s="5" t="str">
        <x:v>Thematischer Querverweis; allein kein Vollständigkeitsbeleg</x:v>
      </x:c>
      <x:c r="G80" s="5" t="str">
        <x:v>Freigegeben: sinnvolle Ergänzung unter Mitarbeiterförderung, jedoch ausdrücklich kein direkter Rahmenplan-Abdeckungsnachweis.</x:v>
      </x:c>
    </x:row>
    <x:row r="81" ht="36" customHeight="1">
      <x:c r="A81" s="5" t="str">
        <x:v>PF-0194</x:v>
      </x:c>
      <x:c r="B81" s="5" t="str">
        <x:v>HQ</x:v>
      </x:c>
      <x:c r="C81" s="5" t="str">
        <x:v>Führung und Zusammenarbeit</x:v>
      </x:c>
      <x:c r="D81" s="5" t="str">
        <x:v>5.2.3.1</x:v>
      </x:c>
      <x:c r="E81" s="5" t="str">
        <x:v>QUER</x:v>
      </x:c>
      <x:c r="F81" s="5" t="str">
        <x:v>Thematischer Querverweis; allein kein Vollständigkeitsbeleg</x:v>
      </x:c>
      <x:c r="G81" s="5" t="str">
        <x:v>Freigegeben: sinnvolle Ergänzung unter Mitarbeiterförderung, jedoch ausdrücklich kein direkter Rahmenplan-Abdeckungsnachweis.</x:v>
      </x:c>
    </x:row>
    <x:row r="82" ht="36" customHeight="1">
      <x:c r="A82" s="5" t="str">
        <x:v>PF-0195</x:v>
      </x:c>
      <x:c r="B82" s="5" t="str">
        <x:v>HQ</x:v>
      </x:c>
      <x:c r="C82" s="5" t="str">
        <x:v>Führung und Zusammenarbeit</x:v>
      </x:c>
      <x:c r="D82" s="5" t="str">
        <x:v>9.4.3</x:v>
      </x:c>
      <x:c r="E82" s="5" t="str">
        <x:v>QUER</x:v>
      </x:c>
      <x:c r="F82" s="5" t="str">
        <x:v>Thematischer Querverweis; allein kein Vollständigkeitsbeleg</x:v>
      </x:c>
      <x:c r="G82" s="5" t="str">
        <x:v>Freigegeben: anforderungsbezogene Potenzialdiagnostik; methodischer Teilbeleg.</x:v>
      </x:c>
    </x:row>
    <x:row r="83" ht="36" customHeight="1">
      <x:c r="A83" s="5" t="str">
        <x:v>PF-0195</x:v>
      </x:c>
      <x:c r="B83" s="5" t="str">
        <x:v>HQ</x:v>
      </x:c>
      <x:c r="C83" s="5" t="str">
        <x:v>Führung und Zusammenarbeit</x:v>
      </x:c>
      <x:c r="D83" s="5" t="str">
        <x:v>5.2.3.3#4</x:v>
      </x:c>
      <x:c r="E83" s="5" t="str">
        <x:v>QUER</x:v>
      </x:c>
      <x:c r="F83" s="5" t="str">
        <x:v>Thematischer Querverweis; allein kein Vollständigkeitsbeleg</x:v>
      </x:c>
      <x:c r="G83" s="5" t="str">
        <x:v>Freigegeben: anforderungsbezogene Potenzialdiagnostik; methodischer Teilbeleg.</x:v>
      </x:c>
    </x:row>
    <x:row r="84" ht="36" customHeight="1">
      <x:c r="A84" s="5" t="str">
        <x:v>PF-0195</x:v>
      </x:c>
      <x:c r="B84" s="5" t="str">
        <x:v>HQ</x:v>
      </x:c>
      <x:c r="C84" s="5" t="str">
        <x:v>Führung und Zusammenarbeit</x:v>
      </x:c>
      <x:c r="D84" s="5" t="str">
        <x:v>4.2.6</x:v>
      </x:c>
      <x:c r="E84" s="5" t="str">
        <x:v>QUER</x:v>
      </x:c>
      <x:c r="F84" s="5" t="str">
        <x:v>Thematischer Querverweis; allein kein Vollständigkeitsbeleg</x:v>
      </x:c>
      <x:c r="G84" s="5" t="str">
        <x:v>Freigegeben: anforderungsbezogene Potenzialdiagnostik; methodischer Teilbeleg.</x:v>
      </x:c>
    </x:row>
    <x:row r="85" ht="36" customHeight="1">
      <x:c r="A85" s="5" t="str">
        <x:v>PF-0196</x:v>
      </x:c>
      <x:c r="B85" s="5" t="str">
        <x:v>HQ</x:v>
      </x:c>
      <x:c r="C85" s="5" t="str">
        <x:v>Führung und Zusammenarbeit</x:v>
      </x:c>
      <x:c r="D85" s="5" t="str">
        <x:v>9.4.3</x:v>
      </x:c>
      <x:c r="E85" s="5" t="str">
        <x:v>QUER</x:v>
      </x:c>
      <x:c r="F85" s="5" t="str">
        <x:v>Thematischer Querverweis; allein kein Vollständigkeitsbeleg</x:v>
      </x:c>
      <x:c r="G85" s="5" t="str">
        <x:v>Freigegeben: Assessment-Center als Instrument der Potenzialdiagnostik.</x:v>
      </x:c>
    </x:row>
    <x:row r="86" ht="36" customHeight="1">
      <x:c r="A86" s="5" t="str">
        <x:v>PF-0196</x:v>
      </x:c>
      <x:c r="B86" s="5" t="str">
        <x:v>HQ</x:v>
      </x:c>
      <x:c r="C86" s="5" t="str">
        <x:v>Führung und Zusammenarbeit</x:v>
      </x:c>
      <x:c r="D86" s="5" t="str">
        <x:v>5.2.3.3#4</x:v>
      </x:c>
      <x:c r="E86" s="5" t="str">
        <x:v>QUER</x:v>
      </x:c>
      <x:c r="F86" s="5" t="str">
        <x:v>Thematischer Querverweis; allein kein Vollständigkeitsbeleg</x:v>
      </x:c>
      <x:c r="G86" s="5" t="str">
        <x:v>Freigegeben: Assessment-Center als Instrument der Potenzialdiagnostik.</x:v>
      </x:c>
    </x:row>
    <x:row r="87" ht="36" customHeight="1">
      <x:c r="A87" s="5" t="str">
        <x:v>PF-0196</x:v>
      </x:c>
      <x:c r="B87" s="5" t="str">
        <x:v>HQ</x:v>
      </x:c>
      <x:c r="C87" s="5" t="str">
        <x:v>Führung und Zusammenarbeit</x:v>
      </x:c>
      <x:c r="D87" s="5" t="str">
        <x:v>4.2.6</x:v>
      </x:c>
      <x:c r="E87" s="5" t="str">
        <x:v>QUER</x:v>
      </x:c>
      <x:c r="F87" s="5" t="str">
        <x:v>Thematischer Querverweis; allein kein Vollständigkeitsbeleg</x:v>
      </x:c>
      <x:c r="G87" s="5" t="str">
        <x:v>Freigegeben: Assessment-Center als Instrument der Potenzialdiagnostik.</x:v>
      </x:c>
    </x:row>
    <x:row r="88" ht="36" customHeight="1">
      <x:c r="A88" s="5" t="str">
        <x:v>PF-0197</x:v>
      </x:c>
      <x:c r="B88" s="5" t="str">
        <x:v>HQ</x:v>
      </x:c>
      <x:c r="C88" s="5" t="str">
        <x:v>Führung und Zusammenarbeit</x:v>
      </x:c>
      <x:c r="D88" s="5" t="str">
        <x:v>9.2.2.4</x:v>
      </x:c>
      <x:c r="E88" s="5" t="str">
        <x:v>QUER</x:v>
      </x:c>
      <x:c r="F88" s="5" t="str">
        <x:v>Thematischer Querverweis; allein kein Vollständigkeitsbeleg</x:v>
      </x:c>
      <x:c r="G88" s="5" t="str">
        <x:v>Freigegeben: Qualität und Fehler der Personaleinschätzung.</x:v>
      </x:c>
    </x:row>
    <x:row r="89" ht="36" customHeight="1">
      <x:c r="A89" s="5" t="str">
        <x:v>PF-0197</x:v>
      </x:c>
      <x:c r="B89" s="5" t="str">
        <x:v>HQ</x:v>
      </x:c>
      <x:c r="C89" s="5" t="str">
        <x:v>Führung und Zusammenarbeit</x:v>
      </x:c>
      <x:c r="D89" s="5" t="str">
        <x:v>9.4.2.1</x:v>
      </x:c>
      <x:c r="E89" s="5" t="str">
        <x:v>QUER</x:v>
      </x:c>
      <x:c r="F89" s="5" t="str">
        <x:v>Thematischer Querverweis; allein kein Vollständigkeitsbeleg</x:v>
      </x:c>
      <x:c r="G89" s="5" t="str">
        <x:v>Freigegeben: Qualität und Fehler der Personaleinschätzung.</x:v>
      </x:c>
    </x:row>
    <x:row r="90" ht="36" customHeight="1">
      <x:c r="A90" s="5" t="str">
        <x:v>PF-0197</x:v>
      </x:c>
      <x:c r="B90" s="5" t="str">
        <x:v>HQ</x:v>
      </x:c>
      <x:c r="C90" s="5" t="str">
        <x:v>Führung und Zusammenarbeit</x:v>
      </x:c>
      <x:c r="D90" s="5" t="str">
        <x:v>5.2.3.3#4</x:v>
      </x:c>
      <x:c r="E90" s="5" t="str">
        <x:v>QUER</x:v>
      </x:c>
      <x:c r="F90" s="5" t="str">
        <x:v>Thematischer Querverweis; allein kein Vollständigkeitsbeleg</x:v>
      </x:c>
      <x:c r="G90" s="5" t="str">
        <x:v>Freigegeben: Qualität und Fehler der Personaleinschätzung.</x:v>
      </x:c>
    </x:row>
    <x:row r="91" ht="36" customHeight="1">
      <x:c r="A91" s="5" t="str">
        <x:v>BR-0037</x:v>
      </x:c>
      <x:c r="B91" s="5" t="str">
        <x:v>WQ</x:v>
      </x:c>
      <x:c r="C91" s="5" t="str">
        <x:v>Rechnungswesen</x:v>
      </x:c>
      <x:c r="D91" s="5" t="str">
        <x:v>2.3.1.3</x:v>
      </x:c>
      <x:c r="E91" s="5" t="str">
        <x:v>BELEG</x:v>
      </x:c>
      <x:c r="F91" s="5" t="str">
        <x:v>geprüfter fachlicher Beleg</x:v>
      </x:c>
      <x:c r="G91" s="5" t="str">
        <x:v>Ermittlung und Analyse von Kosten/Leistungen, Kalkulation, Planung, Kontrolle und kurzfristige Entscheidungen ausdrücklich in BR-0037; Wirtschaftlichkeitskontrolle ergänzend BR-0029.</x:v>
      </x:c>
    </x:row>
    <x:row r="92" ht="36" customHeight="1">
      <x:c r="A92" s="5" t="str">
        <x:v>BR-0029</x:v>
      </x:c>
      <x:c r="B92" s="5" t="str">
        <x:v>WQ</x:v>
      </x:c>
      <x:c r="C92" s="5" t="str">
        <x:v>Rechnungswesen</x:v>
      </x:c>
      <x:c r="D92" s="5" t="str">
        <x:v>2.3.1.3</x:v>
      </x:c>
      <x:c r="E92" s="5" t="str">
        <x:v>BELEG</x:v>
      </x:c>
      <x:c r="F92" s="5" t="str">
        <x:v>geprüfter fachlicher Beleg</x:v>
      </x:c>
      <x:c r="G92" s="5" t="str">
        <x:v>Ermittlung und Analyse von Kosten/Leistungen, Kalkulation, Planung, Kontrolle und kurzfristige Entscheidungen ausdrücklich in BR-0037; Wirtschaftlichkeitskontrolle ergänzend BR-0029.</x:v>
      </x:c>
    </x:row>
    <x:row r="93" ht="36" customHeight="1">
      <x:c r="A93" s="5" t="str">
        <x:v>BR-0076</x:v>
      </x:c>
      <x:c r="B93" s="5" t="str">
        <x:v>WQ</x:v>
      </x:c>
      <x:c r="C93" s="5" t="str">
        <x:v>Rechnungswesen</x:v>
      </x:c>
      <x:c r="D93" s="5" t="str">
        <x:v>2.3.4.1</x:v>
      </x:c>
      <x:c r="E93" s="5" t="str">
        <x:v>BELEG</x:v>
      </x:c>
      <x:c r="F93" s="5" t="str">
        <x:v>geprüfter Teilbeleg</x:v>
      </x:c>
      <x:c r="G93" s="5" t="str">
        <x:v>BR-0076 erläutert Periodenbezug und Betriebsergebnis aus Umsatz und Selbstkosten ausdrücklich; kein vollständiger Leerbestand.</x:v>
      </x:c>
    </x:row>
    <x:row r="94" ht="36" customHeight="1">
      <x:c r="A94" s="5" t="str">
        <x:v>BR-0112</x:v>
      </x:c>
      <x:c r="B94" s="5" t="str">
        <x:v>WQ</x:v>
      </x:c>
      <x:c r="C94" s="5" t="str">
        <x:v>Rechnungswesen</x:v>
      </x:c>
      <x:c r="D94" s="5" t="str">
        <x:v>2.4.1.1</x:v>
      </x:c>
      <x:c r="E94" s="5" t="str">
        <x:v>BELEG</x:v>
      </x:c>
      <x:c r="F94" s="5" t="str">
        <x:v>geprüfter fachlicher Beleg</x:v>
      </x:c>
      <x:c r="G94" s="5" t="str">
        <x:v>BR-0112 unterscheidet Informationszugang, Empfänger, Detailtiefe, Berichtsarten und Verdichtung. BR-0044 benennt Interessen an Gewinn, Liquidität und Bonität.</x:v>
      </x:c>
    </x:row>
    <x:row r="95" ht="36" customHeight="1">
      <x:c r="A95" s="5" t="str">
        <x:v>BR-0044</x:v>
      </x:c>
      <x:c r="B95" s="5" t="str">
        <x:v>WQ</x:v>
      </x:c>
      <x:c r="C95" s="5" t="str">
        <x:v>Rechnungswesen</x:v>
      </x:c>
      <x:c r="D95" s="5" t="str">
        <x:v>2.4.1.1</x:v>
      </x:c>
      <x:c r="E95" s="5" t="str">
        <x:v>BELEG</x:v>
      </x:c>
      <x:c r="F95" s="5" t="str">
        <x:v>geprüfter fachlicher Beleg</x:v>
      </x:c>
      <x:c r="G95" s="5" t="str">
        <x:v>BR-0112 unterscheidet Informationszugang, Empfänger, Detailtiefe, Berichtsarten und Verdichtung. BR-0044 benennt Interessen an Gewinn, Liquidität und Bonität.</x:v>
      </x:c>
    </x:row>
    <x:row r="96" ht="36" customHeight="1">
      <x:c r="A96" s="5" t="str">
        <x:v>BR-0008</x:v>
      </x:c>
      <x:c r="B96" s="5" t="str">
        <x:v>WQ</x:v>
      </x:c>
      <x:c r="C96" s="5" t="str">
        <x:v>Rechnungswesen</x:v>
      </x:c>
      <x:c r="D96" s="5" t="str">
        <x:v>2.4.1.1</x:v>
      </x:c>
      <x:c r="E96" s="5" t="str">
        <x:v>BELEG</x:v>
      </x:c>
      <x:c r="F96" s="5" t="str">
        <x:v>geprüfter fachlicher Beleg</x:v>
      </x:c>
      <x:c r="G96" s="5" t="str">
        <x:v>BR-0112 unterscheidet Informationszugang, Empfänger, Detailtiefe, Berichtsarten und Verdichtung. BR-0044 benennt Interessen an Gewinn, Liquidität und Bonität.</x:v>
      </x:c>
    </x:row>
    <x:row r="97" ht="36" customHeight="1">
      <x:c r="A97" s="5" t="str">
        <x:v>UF-0058</x:v>
      </x:c>
      <x:c r="B97" s="5" t="str">
        <x:v>WQ</x:v>
      </x:c>
      <x:c r="C97" s="5" t="str">
        <x:v>Unternehmensführung</x:v>
      </x:c>
      <x:c r="D97" s="5" t="str">
        <x:v>4.1.4.2#2</x:v>
      </x:c>
      <x:c r="E97" s="5" t="str">
        <x:v>BELEG</x:v>
      </x:c>
      <x:c r="F97" s="5" t="str">
        <x:v>geprüfter Teilbeleg</x:v>
      </x:c>
      <x:c r="G97" s="5" t="str">
        <x:v>UF-0058 behandelt Tätigkeitsfolge, Zuständigkeiten, Rückgabe bei Änderungsbedarf und Freigabe; UF-0198 grenzt Darstellungsinstrumente ab. Damit liegt kein vollständiger Leerbefund vor.</x:v>
      </x:c>
    </x:row>
    <x:row r="98" ht="36" customHeight="1">
      <x:c r="A98" s="5" t="str">
        <x:v>UF-0198</x:v>
      </x:c>
      <x:c r="B98" s="5" t="str">
        <x:v>WQ</x:v>
      </x:c>
      <x:c r="C98" s="5" t="str">
        <x:v>Unternehmensführung</x:v>
      </x:c>
      <x:c r="D98" s="5" t="str">
        <x:v>4.1.4.2#2</x:v>
      </x:c>
      <x:c r="E98" s="5" t="str">
        <x:v>BELEG</x:v>
      </x:c>
      <x:c r="F98" s="5" t="str">
        <x:v>geprüfter Teilbeleg</x:v>
      </x:c>
      <x:c r="G98" s="5" t="str">
        <x:v>UF-0058 behandelt Tätigkeitsfolge, Zuständigkeiten, Rückgabe bei Änderungsbedarf und Freigabe; UF-0198 grenzt Darstellungsinstrumente ab. Damit liegt kein vollständiger Leerbefund vor.</x:v>
      </x:c>
    </x:row>
    <x:row r="99" ht="36" customHeight="1">
      <x:c r="A99" s="5" t="str">
        <x:v>BM-0113</x:v>
      </x:c>
      <x:c r="B99" s="5" t="str">
        <x:v>HQ</x:v>
      </x:c>
      <x:c r="C99" s="5" t="str">
        <x:v>Betriebliches Management</x:v>
      </x:c>
      <x:c r="D99" s="5" t="str">
        <x:v>5.1.4</x:v>
      </x:c>
      <x:c r="E99" s="5" t="str">
        <x:v>BELEG</x:v>
      </x:c>
      <x:c r="F99" s="5" t="str">
        <x:v>geprüfter fachlicher Beleg</x:v>
      </x:c>
      <x:c r="G99" s="5" t="str">
        <x:v>Kennzahlentypen, ROI-Schema/Rechnung, Vergleichsrechnung/Benchmarking und Übersetzung von Planung in messbare Ziele vorhanden.</x:v>
      </x:c>
    </x:row>
    <x:row r="100" ht="36" customHeight="1">
      <x:c r="A100" s="5" t="str">
        <x:v>BM-0116</x:v>
      </x:c>
      <x:c r="B100" s="5" t="str">
        <x:v>HQ</x:v>
      </x:c>
      <x:c r="C100" s="5" t="str">
        <x:v>Betriebliches Management</x:v>
      </x:c>
      <x:c r="D100" s="5" t="str">
        <x:v>5.1.4</x:v>
      </x:c>
      <x:c r="E100" s="5" t="str">
        <x:v>BELEG</x:v>
      </x:c>
      <x:c r="F100" s="5" t="str">
        <x:v>geprüfter fachlicher Beleg</x:v>
      </x:c>
      <x:c r="G100" s="5" t="str">
        <x:v>Kennzahlentypen, ROI-Schema/Rechnung, Vergleichsrechnung/Benchmarking und Übersetzung von Planung in messbare Ziele vorhanden.</x:v>
      </x:c>
    </x:row>
    <x:row r="101" ht="36" customHeight="1">
      <x:c r="A101" s="5" t="str">
        <x:v>BM-0117</x:v>
      </x:c>
      <x:c r="B101" s="5" t="str">
        <x:v>HQ</x:v>
      </x:c>
      <x:c r="C101" s="5" t="str">
        <x:v>Betriebliches Management</x:v>
      </x:c>
      <x:c r="D101" s="5" t="str">
        <x:v>5.1.4</x:v>
      </x:c>
      <x:c r="E101" s="5" t="str">
        <x:v>BELEG</x:v>
      </x:c>
      <x:c r="F101" s="5" t="str">
        <x:v>geprüfter fachlicher Beleg</x:v>
      </x:c>
      <x:c r="G101" s="5" t="str">
        <x:v>Kennzahlentypen, ROI-Schema/Rechnung, Vergleichsrechnung/Benchmarking und Übersetzung von Planung in messbare Ziele vorhanden.</x:v>
      </x:c>
    </x:row>
    <x:row r="102" ht="36" customHeight="1">
      <x:c r="A102" s="5" t="str">
        <x:v>BM-0118</x:v>
      </x:c>
      <x:c r="B102" s="5" t="str">
        <x:v>HQ</x:v>
      </x:c>
      <x:c r="C102" s="5" t="str">
        <x:v>Betriebliches Management</x:v>
      </x:c>
      <x:c r="D102" s="5" t="str">
        <x:v>5.1.4</x:v>
      </x:c>
      <x:c r="E102" s="5" t="str">
        <x:v>BELEG</x:v>
      </x:c>
      <x:c r="F102" s="5" t="str">
        <x:v>geprüfter fachlicher Beleg</x:v>
      </x:c>
      <x:c r="G102" s="5" t="str">
        <x:v>Kennzahlentypen, ROI-Schema/Rechnung, Vergleichsrechnung/Benchmarking und Übersetzung von Planung in messbare Ziele vorhanden.</x:v>
      </x:c>
    </x:row>
    <x:row r="103" ht="36" customHeight="1">
      <x:c r="A103" s="5" t="str">
        <x:v>BM-0119</x:v>
      </x:c>
      <x:c r="B103" s="5" t="str">
        <x:v>HQ</x:v>
      </x:c>
      <x:c r="C103" s="5" t="str">
        <x:v>Betriebliches Management</x:v>
      </x:c>
      <x:c r="D103" s="5" t="str">
        <x:v>5.1.4</x:v>
      </x:c>
      <x:c r="E103" s="5" t="str">
        <x:v>BELEG</x:v>
      </x:c>
      <x:c r="F103" s="5" t="str">
        <x:v>geprüfter fachlicher Beleg</x:v>
      </x:c>
      <x:c r="G103" s="5" t="str">
        <x:v>Kennzahlentypen, ROI-Schema/Rechnung, Vergleichsrechnung/Benchmarking und Übersetzung von Planung in messbare Ziele vorhanden.</x:v>
      </x:c>
    </x:row>
    <x:row r="104" ht="36" customHeight="1">
      <x:c r="A104" s="5" t="str">
        <x:v>BM-0120</x:v>
      </x:c>
      <x:c r="B104" s="5" t="str">
        <x:v>HQ</x:v>
      </x:c>
      <x:c r="C104" s="5" t="str">
        <x:v>Betriebliches Management</x:v>
      </x:c>
      <x:c r="D104" s="5" t="str">
        <x:v>5.1.4</x:v>
      </x:c>
      <x:c r="E104" s="5" t="str">
        <x:v>BELEG</x:v>
      </x:c>
      <x:c r="F104" s="5" t="str">
        <x:v>geprüfter fachlicher Beleg</x:v>
      </x:c>
      <x:c r="G104" s="5" t="str">
        <x:v>Kennzahlentypen, ROI-Schema/Rechnung, Vergleichsrechnung/Benchmarking und Übersetzung von Planung in messbare Ziele vorhanden.</x:v>
      </x:c>
    </x:row>
    <x:row r="105" ht="36" customHeight="1">
      <x:c r="A105" s="5" t="str">
        <x:v>BM-0121</x:v>
      </x:c>
      <x:c r="B105" s="5" t="str">
        <x:v>HQ</x:v>
      </x:c>
      <x:c r="C105" s="5" t="str">
        <x:v>Betriebliches Management</x:v>
      </x:c>
      <x:c r="D105" s="5" t="str">
        <x:v>5.1.4</x:v>
      </x:c>
      <x:c r="E105" s="5" t="str">
        <x:v>BELEG</x:v>
      </x:c>
      <x:c r="F105" s="5" t="str">
        <x:v>geprüfter fachlicher Beleg</x:v>
      </x:c>
      <x:c r="G105" s="5" t="str">
        <x:v>Kennzahlentypen, ROI-Schema/Rechnung, Vergleichsrechnung/Benchmarking und Übersetzung von Planung in messbare Ziele vorhanden.</x:v>
      </x:c>
    </x:row>
    <x:row r="106" ht="36" customHeight="1">
      <x:c r="A106" s="5" t="str">
        <x:v>BM-0122</x:v>
      </x:c>
      <x:c r="B106" s="5" t="str">
        <x:v>HQ</x:v>
      </x:c>
      <x:c r="C106" s="5" t="str">
        <x:v>Betriebliches Management</x:v>
      </x:c>
      <x:c r="D106" s="5" t="str">
        <x:v>5.1.4</x:v>
      </x:c>
      <x:c r="E106" s="5" t="str">
        <x:v>BELEG</x:v>
      </x:c>
      <x:c r="F106" s="5" t="str">
        <x:v>geprüfter fachlicher Beleg</x:v>
      </x:c>
      <x:c r="G106" s="5" t="str">
        <x:v>Kennzahlentypen, ROI-Schema/Rechnung, Vergleichsrechnung/Benchmarking und Übersetzung von Planung in messbare Ziele vorhanden.</x:v>
      </x:c>
    </x:row>
    <x:row r="107" ht="36" customHeight="1">
      <x:c r="A107" s="5" t="str">
        <x:v>BM-0123</x:v>
      </x:c>
      <x:c r="B107" s="5" t="str">
        <x:v>HQ</x:v>
      </x:c>
      <x:c r="C107" s="5" t="str">
        <x:v>Betriebliches Management</x:v>
      </x:c>
      <x:c r="D107" s="5" t="str">
        <x:v>5.1.4</x:v>
      </x:c>
      <x:c r="E107" s="5" t="str">
        <x:v>BELEG</x:v>
      </x:c>
      <x:c r="F107" s="5" t="str">
        <x:v>geprüfter fachlicher Beleg</x:v>
      </x:c>
      <x:c r="G107" s="5" t="str">
        <x:v>Kennzahlentypen, ROI-Schema/Rechnung, Vergleichsrechnung/Benchmarking und Übersetzung von Planung in messbare Ziele vorhanden.</x:v>
      </x:c>
    </x:row>
    <x:row r="108" ht="36" customHeight="1">
      <x:c r="A108" s="5" t="str">
        <x:v>BM-0113</x:v>
      </x:c>
      <x:c r="B108" s="5" t="str">
        <x:v>HQ</x:v>
      </x:c>
      <x:c r="C108" s="5" t="str">
        <x:v>Betriebliches Management</x:v>
      </x:c>
      <x:c r="D108" s="5" t="str">
        <x:v>5.2.1</x:v>
      </x:c>
      <x:c r="E108" s="5" t="str">
        <x:v>BELEG</x:v>
      </x:c>
      <x:c r="F108" s="5" t="str">
        <x:v>geprüfter fachlicher Beleg</x:v>
      </x:c>
      <x:c r="G108" s="5" t="str">
        <x:v>Planungsebenen mit Personalbedarf, organisatorischer Wandel infolge Strategie und Qualifizierung/PE-Bedarfsableitung zusammen fachlich vorhanden.</x:v>
      </x:c>
    </x:row>
    <x:row r="109" ht="36" customHeight="1">
      <x:c r="A109" s="5" t="str">
        <x:v>BM-0127</x:v>
      </x:c>
      <x:c r="B109" s="5" t="str">
        <x:v>HQ</x:v>
      </x:c>
      <x:c r="C109" s="5" t="str">
        <x:v>Betriebliches Management</x:v>
      </x:c>
      <x:c r="D109" s="5" t="str">
        <x:v>5.2.1</x:v>
      </x:c>
      <x:c r="E109" s="5" t="str">
        <x:v>BELEG</x:v>
      </x:c>
      <x:c r="F109" s="5" t="str">
        <x:v>geprüfter fachlicher Beleg</x:v>
      </x:c>
      <x:c r="G109" s="5" t="str">
        <x:v>Planungsebenen mit Personalbedarf, organisatorischer Wandel infolge Strategie und Qualifizierung/PE-Bedarfsableitung zusammen fachlich vorhanden.</x:v>
      </x:c>
    </x:row>
    <x:row r="110" ht="36" customHeight="1">
      <x:c r="A110" s="5" t="str">
        <x:v>BM-0128</x:v>
      </x:c>
      <x:c r="B110" s="5" t="str">
        <x:v>HQ</x:v>
      </x:c>
      <x:c r="C110" s="5" t="str">
        <x:v>Betriebliches Management</x:v>
      </x:c>
      <x:c r="D110" s="5" t="str">
        <x:v>5.2.1</x:v>
      </x:c>
      <x:c r="E110" s="5" t="str">
        <x:v>BELEG</x:v>
      </x:c>
      <x:c r="F110" s="5" t="str">
        <x:v>geprüfter fachlicher Beleg</x:v>
      </x:c>
      <x:c r="G110" s="5" t="str">
        <x:v>Planungsebenen mit Personalbedarf, organisatorischer Wandel infolge Strategie und Qualifizierung/PE-Bedarfsableitung zusammen fachlich vorhanden.</x:v>
      </x:c>
    </x:row>
    <x:row r="111" ht="36" customHeight="1">
      <x:c r="A111" s="5" t="str">
        <x:v>BM-0134</x:v>
      </x:c>
      <x:c r="B111" s="5" t="str">
        <x:v>HQ</x:v>
      </x:c>
      <x:c r="C111" s="5" t="str">
        <x:v>Betriebliches Management</x:v>
      </x:c>
      <x:c r="D111" s="5" t="str">
        <x:v>5.2.1</x:v>
      </x:c>
      <x:c r="E111" s="5" t="str">
        <x:v>BELEG</x:v>
      </x:c>
      <x:c r="F111" s="5" t="str">
        <x:v>geprüfter fachlicher Beleg</x:v>
      </x:c>
      <x:c r="G111" s="5" t="str">
        <x:v>Planungsebenen mit Personalbedarf, organisatorischer Wandel infolge Strategie und Qualifizierung/PE-Bedarfsableitung zusammen fachlich vorhanden.</x:v>
      </x:c>
    </x:row>
    <x:row r="112" ht="36" customHeight="1">
      <x:c r="A112" s="5" t="str">
        <x:v>BM-0152</x:v>
      </x:c>
      <x:c r="B112" s="5" t="str">
        <x:v>HQ</x:v>
      </x:c>
      <x:c r="C112" s="5" t="str">
        <x:v>Betriebliches Management</x:v>
      </x:c>
      <x:c r="D112" s="5" t="str">
        <x:v>5.2.1</x:v>
      </x:c>
      <x:c r="E112" s="5" t="str">
        <x:v>BELEG</x:v>
      </x:c>
      <x:c r="F112" s="5" t="str">
        <x:v>geprüfter fachlicher Beleg</x:v>
      </x:c>
      <x:c r="G112" s="5" t="str">
        <x:v>Planungsebenen mit Personalbedarf, organisatorischer Wandel infolge Strategie und Qualifizierung/PE-Bedarfsableitung zusammen fachlich vorhanden.</x:v>
      </x:c>
    </x:row>
    <x:row r="113" ht="36" customHeight="1">
      <x:c r="A113" s="5" t="str">
        <x:v>BM-0146</x:v>
      </x:c>
      <x:c r="B113" s="5" t="str">
        <x:v>HQ</x:v>
      </x:c>
      <x:c r="C113" s="5" t="str">
        <x:v>Betriebliches Management</x:v>
      </x:c>
      <x:c r="D113" s="5" t="str">
        <x:v>5.2.3.3#2</x:v>
      </x:c>
      <x:c r="E113" s="5" t="str">
        <x:v>BELEG</x:v>
      </x:c>
      <x:c r="F113" s="5" t="str">
        <x:v>geprüfter Teilbeleg</x:v>
      </x:c>
      <x:c r="G113" s="5" t="str">
        <x:v>Stellenbeschreibung, Anforderungsprofil, Matching sowie Ableitung von Kompetenzen aus Organisations-/Controlling-Aufgaben.</x:v>
      </x:c>
    </x:row>
    <x:row r="114" ht="36" customHeight="1">
      <x:c r="A114" s="5" t="str">
        <x:v>BM-0147</x:v>
      </x:c>
      <x:c r="B114" s="5" t="str">
        <x:v>HQ</x:v>
      </x:c>
      <x:c r="C114" s="5" t="str">
        <x:v>Betriebliches Management</x:v>
      </x:c>
      <x:c r="D114" s="5" t="str">
        <x:v>5.2.3.3#2</x:v>
      </x:c>
      <x:c r="E114" s="5" t="str">
        <x:v>BELEG</x:v>
      </x:c>
      <x:c r="F114" s="5" t="str">
        <x:v>geprüfter Teilbeleg</x:v>
      </x:c>
      <x:c r="G114" s="5" t="str">
        <x:v>Stellenbeschreibung, Anforderungsprofil, Matching sowie Ableitung von Kompetenzen aus Organisations-/Controlling-Aufgaben.</x:v>
      </x:c>
    </x:row>
    <x:row r="115" ht="36" customHeight="1">
      <x:c r="A115" s="5" t="str">
        <x:v>BM-0260</x:v>
      </x:c>
      <x:c r="B115" s="5" t="str">
        <x:v>HQ</x:v>
      </x:c>
      <x:c r="C115" s="5" t="str">
        <x:v>Betriebliches Management</x:v>
      </x:c>
      <x:c r="D115" s="5" t="str">
        <x:v>5.2.3.3#2</x:v>
      </x:c>
      <x:c r="E115" s="5" t="str">
        <x:v>BELEG</x:v>
      </x:c>
      <x:c r="F115" s="5" t="str">
        <x:v>geprüfter Teilbeleg</x:v>
      </x:c>
      <x:c r="G115" s="5" t="str">
        <x:v>Stellenbeschreibung, Anforderungsprofil, Matching sowie Ableitung von Kompetenzen aus Organisations-/Controlling-Aufgaben.</x:v>
      </x:c>
    </x:row>
    <x:row r="116" ht="36" customHeight="1">
      <x:c r="A116" s="5" t="str">
        <x:v>BM-0140</x:v>
      </x:c>
      <x:c r="B116" s="5" t="str">
        <x:v>HQ</x:v>
      </x:c>
      <x:c r="C116" s="5" t="str">
        <x:v>Betriebliches Management</x:v>
      </x:c>
      <x:c r="D116" s="5" t="str">
        <x:v>5.2.3.4#4</x:v>
      </x:c>
      <x:c r="E116" s="5" t="str">
        <x:v>BELEG</x:v>
      </x:c>
      <x:c r="F116" s="5" t="str">
        <x:v>geprüfter Teilbeleg</x:v>
      </x:c>
      <x:c r="G116" s="5" t="str">
        <x:v>Nachwuchs-/Führungskräfteentwicklung, Personalportfolio und Vorbereitung auf verantwortungsvollere Funktion vorhanden.</x:v>
      </x:c>
    </x:row>
    <x:row r="117" ht="36" customHeight="1">
      <x:c r="A117" s="5" t="str">
        <x:v>BM-0141</x:v>
      </x:c>
      <x:c r="B117" s="5" t="str">
        <x:v>HQ</x:v>
      </x:c>
      <x:c r="C117" s="5" t="str">
        <x:v>Betriebliches Management</x:v>
      </x:c>
      <x:c r="D117" s="5" t="str">
        <x:v>5.2.3.4#4</x:v>
      </x:c>
      <x:c r="E117" s="5" t="str">
        <x:v>BELEG</x:v>
      </x:c>
      <x:c r="F117" s="5" t="str">
        <x:v>geprüfter Teilbeleg</x:v>
      </x:c>
      <x:c r="G117" s="5" t="str">
        <x:v>Nachwuchs-/Führungskräfteentwicklung, Personalportfolio und Vorbereitung auf verantwortungsvollere Funktion vorhanden.</x:v>
      </x:c>
    </x:row>
    <x:row r="118" ht="36" customHeight="1">
      <x:c r="A118" s="5" t="str">
        <x:v>BM-0152</x:v>
      </x:c>
      <x:c r="B118" s="5" t="str">
        <x:v>HQ</x:v>
      </x:c>
      <x:c r="C118" s="5" t="str">
        <x:v>Betriebliches Management</x:v>
      </x:c>
      <x:c r="D118" s="5" t="str">
        <x:v>5.2.3.4#4</x:v>
      </x:c>
      <x:c r="E118" s="5" t="str">
        <x:v>BELEG</x:v>
      </x:c>
      <x:c r="F118" s="5" t="str">
        <x:v>geprüfter Teilbeleg</x:v>
      </x:c>
      <x:c r="G118" s="5" t="str">
        <x:v>Nachwuchs-/Führungskräfteentwicklung, Personalportfolio und Vorbereitung auf verantwortungsvollere Funktion vorhanden.</x:v>
      </x:c>
    </x:row>
    <x:row r="119" ht="36" customHeight="1">
      <x:c r="A119" s="5" t="str">
        <x:v>BM-0154</x:v>
      </x:c>
      <x:c r="B119" s="5" t="str">
        <x:v>HQ</x:v>
      </x:c>
      <x:c r="C119" s="5" t="str">
        <x:v>Betriebliches Management</x:v>
      </x:c>
      <x:c r="D119" s="5" t="str">
        <x:v>5.2.3.4#4</x:v>
      </x:c>
      <x:c r="E119" s="5" t="str">
        <x:v>BELEG</x:v>
      </x:c>
      <x:c r="F119" s="5" t="str">
        <x:v>geprüfter Teilbeleg</x:v>
      </x:c>
      <x:c r="G119" s="5" t="str">
        <x:v>Nachwuchs-/Führungskräfteentwicklung, Personalportfolio und Vorbereitung auf verantwortungsvollere Funktion vorhanden.</x:v>
      </x:c>
    </x:row>
    <x:row r="120" ht="36" customHeight="1">
      <x:c r="A120" s="5" t="str">
        <x:v>IF-0154</x:v>
      </x:c>
      <x:c r="B120" s="5" t="str">
        <x:v>HQ</x:v>
      </x:c>
      <x:c r="C120" s="5" t="str">
        <x:v>Investition und Finanzierung</x:v>
      </x:c>
      <x:c r="D120" s="5" t="str">
        <x:v>6.2.2.1#1</x:v>
      </x:c>
      <x:c r="E120" s="5" t="str">
        <x:v>BELEG</x:v>
      </x:c>
      <x:c r="F120" s="5" t="str">
        <x:v>geprüfter fachlicher Beleg</x:v>
      </x:c>
      <x:c r="G120" s="5" t="str">
        <x:v>Öffentliche Förderdarlehen, Hausbankverfahren und typische Förderanlässe ausdrücklich behandelt.</x:v>
      </x:c>
    </x:row>
    <x:row r="121" ht="36" customHeight="1">
      <x:c r="A121" s="5" t="str">
        <x:v>IF-0078</x:v>
      </x:c>
      <x:c r="B121" s="5" t="str">
        <x:v>HQ</x:v>
      </x:c>
      <x:c r="C121" s="5" t="str">
        <x:v>Investition und Finanzierung</x:v>
      </x:c>
      <x:c r="D121" s="5" t="str">
        <x:v>6.2.2.1#2</x:v>
      </x:c>
      <x:c r="E121" s="5" t="str">
        <x:v>BELEG</x:v>
      </x:c>
      <x:c r="F121" s="5" t="str">
        <x:v>geprüfter fachlicher Beleg</x:v>
      </x:c>
      <x:c r="G121" s="5" t="str">
        <x:v>Abgrenzung Bankdarlehen und Eigenkapital, Rückzahlungs-/Zinsanspruch und langfristige Kreditformen.</x:v>
      </x:c>
    </x:row>
    <x:row r="122" ht="36" customHeight="1">
      <x:c r="A122" s="5" t="str">
        <x:v>IF-0152</x:v>
      </x:c>
      <x:c r="B122" s="5" t="str">
        <x:v>HQ</x:v>
      </x:c>
      <x:c r="C122" s="5" t="str">
        <x:v>Investition und Finanzierung</x:v>
      </x:c>
      <x:c r="D122" s="5" t="str">
        <x:v>6.2.2.1#2</x:v>
      </x:c>
      <x:c r="E122" s="5" t="str">
        <x:v>BELEG</x:v>
      </x:c>
      <x:c r="F122" s="5" t="str">
        <x:v>geprüfter fachlicher Beleg</x:v>
      </x:c>
      <x:c r="G122" s="5" t="str">
        <x:v>Abgrenzung Bankdarlehen und Eigenkapital, Rückzahlungs-/Zinsanspruch und langfristige Kreditformen.</x:v>
      </x:c>
    </x:row>
    <x:row r="123" ht="36" customHeight="1">
      <x:c r="A123" s="5" t="str">
        <x:v>IF-0152</x:v>
      </x:c>
      <x:c r="B123" s="5" t="str">
        <x:v>HQ</x:v>
      </x:c>
      <x:c r="C123" s="5" t="str">
        <x:v>Investition und Finanzierung</x:v>
      </x:c>
      <x:c r="D123" s="5" t="str">
        <x:v>6.2.2.1#3</x:v>
      </x:c>
      <x:c r="E123" s="5" t="str">
        <x:v>BELEG</x:v>
      </x:c>
      <x:c r="F123" s="5" t="str">
        <x:v>geprüfter Teilbeleg</x:v>
      </x:c>
      <x:c r="G123" s="5" t="str">
        <x:v>Gesellschafterdarlehen ausdrücklich als Fremdkapital einschließlich Nachrangabgrenzung vorhanden.</x:v>
      </x:c>
    </x:row>
    <x:row r="124" ht="36" customHeight="1">
      <x:c r="A124" s="5" t="str">
        <x:v>IF-0146</x:v>
      </x:c>
      <x:c r="B124" s="5" t="str">
        <x:v>HQ</x:v>
      </x:c>
      <x:c r="C124" s="5" t="str">
        <x:v>Investition und Finanzierung</x:v>
      </x:c>
      <x:c r="D124" s="5" t="str">
        <x:v>6.2.2.1#4</x:v>
      </x:c>
      <x:c r="E124" s="5" t="str">
        <x:v>BELEG</x:v>
      </x:c>
      <x:c r="F124" s="5" t="str">
        <x:v>geprüfter fachlicher Beleg</x:v>
      </x:c>
      <x:c r="G124" s="5" t="str">
        <x:v>Kontokorrentrahmen, Flexibilität, Kosten, Risiko und Einsatzgrenzen ausdrücklich abgedeckt.</x:v>
      </x:c>
    </x:row>
    <x:row r="125" ht="36" customHeight="1">
      <x:c r="A125" s="5" t="str">
        <x:v>IF-0147</x:v>
      </x:c>
      <x:c r="B125" s="5" t="str">
        <x:v>HQ</x:v>
      </x:c>
      <x:c r="C125" s="5" t="str">
        <x:v>Investition und Finanzierung</x:v>
      </x:c>
      <x:c r="D125" s="5" t="str">
        <x:v>6.2.2.1#4</x:v>
      </x:c>
      <x:c r="E125" s="5" t="str">
        <x:v>BELEG</x:v>
      </x:c>
      <x:c r="F125" s="5" t="str">
        <x:v>geprüfter fachlicher Beleg</x:v>
      </x:c>
      <x:c r="G125" s="5" t="str">
        <x:v>Kontokorrentrahmen, Flexibilität, Kosten, Risiko und Einsatzgrenzen ausdrücklich abgedeckt.</x:v>
      </x:c>
    </x:row>
    <x:row r="126" ht="36" customHeight="1">
      <x:c r="A126" s="5" t="str">
        <x:v>L-0248</x:v>
      </x:c>
      <x:c r="B126" s="5" t="str">
        <x:v>HQ</x:v>
      </x:c>
      <x:c r="C126" s="5" t="str">
        <x:v>Logistik</x:v>
      </x:c>
      <x:c r="D126" s="5" t="str">
        <x:v>7.5.2</x:v>
      </x:c>
      <x:c r="E126" s="5" t="str">
        <x:v>BELEG</x:v>
      </x:c>
      <x:c r="F126" s="5" t="str">
        <x:v>geprüfter fachlicher Beleg</x:v>
      </x:c>
      <x:c r="G126" s="5" t="str">
        <x:v>Bestell-, Rahmen-, Sukzessivliefer-, Spezifikations- und Konsignationslagervertrag in L-0248; Feinabruf im Rahmenvertrag in L-0286. Kauf-/Werkvertrag und Bedingungen außerdem in bisherigen Kandidaten.</x:v>
      </x:c>
    </x:row>
    <x:row r="127" ht="36" customHeight="1">
      <x:c r="A127" s="5" t="str">
        <x:v>L-0286</x:v>
      </x:c>
      <x:c r="B127" s="5" t="str">
        <x:v>HQ</x:v>
      </x:c>
      <x:c r="C127" s="5" t="str">
        <x:v>Logistik</x:v>
      </x:c>
      <x:c r="D127" s="5" t="str">
        <x:v>7.5.2</x:v>
      </x:c>
      <x:c r="E127" s="5" t="str">
        <x:v>BELEG</x:v>
      </x:c>
      <x:c r="F127" s="5" t="str">
        <x:v>geprüfter fachlicher Beleg</x:v>
      </x:c>
      <x:c r="G127" s="5" t="str">
        <x:v>Bestell-, Rahmen-, Sukzessivliefer-, Spezifikations- und Konsignationslagervertrag in L-0248; Feinabruf im Rahmenvertrag in L-0286. Kauf-/Werkvertrag und Bedingungen außerdem in bisherigen Kandidaten.</x:v>
      </x:c>
    </x:row>
    <x:row r="128" ht="36" customHeight="1">
      <x:c r="A128" s="5" t="str">
        <x:v>M-0024</x:v>
      </x:c>
      <x:c r="B128" s="5" t="str">
        <x:v>HQ</x:v>
      </x:c>
      <x:c r="C128" s="5" t="str">
        <x:v>Marketing</x:v>
      </x:c>
      <x:c r="D128" s="5" t="str">
        <x:v>8.1.3.2#1</x:v>
      </x:c>
      <x:c r="E128" s="5" t="str">
        <x:v>BELEG</x:v>
      </x:c>
      <x:c r="F128" s="5" t="str">
        <x:v>geprüfter fachlicher Beleg</x:v>
      </x:c>
      <x:c r="G128" s="5" t="str">
        <x:v>Lebenszyklusphasen, Umsatz-/Gewinnverlauf und phasengerechte Marketingmaßnahmen.</x:v>
      </x:c>
    </x:row>
    <x:row r="129" ht="36" customHeight="1">
      <x:c r="A129" s="5" t="str">
        <x:v>M-0107</x:v>
      </x:c>
      <x:c r="B129" s="5" t="str">
        <x:v>HQ</x:v>
      </x:c>
      <x:c r="C129" s="5" t="str">
        <x:v>Marketing</x:v>
      </x:c>
      <x:c r="D129" s="5" t="str">
        <x:v>8.1.3.2#1</x:v>
      </x:c>
      <x:c r="E129" s="5" t="str">
        <x:v>BELEG</x:v>
      </x:c>
      <x:c r="F129" s="5" t="str">
        <x:v>geprüfter fachlicher Beleg</x:v>
      </x:c>
      <x:c r="G129" s="5" t="str">
        <x:v>Lebenszyklusphasen, Umsatz-/Gewinnverlauf und phasengerechte Marketingmaßnahmen.</x:v>
      </x:c>
    </x:row>
    <x:row r="130" ht="36" customHeight="1">
      <x:c r="A130" s="5" t="str">
        <x:v>M-0025</x:v>
      </x:c>
      <x:c r="B130" s="5" t="str">
        <x:v>HQ</x:v>
      </x:c>
      <x:c r="C130" s="5" t="str">
        <x:v>Marketing</x:v>
      </x:c>
      <x:c r="D130" s="5" t="str">
        <x:v>8.1.3.2#2</x:v>
      </x:c>
      <x:c r="E130" s="5" t="str">
        <x:v>BELEG</x:v>
      </x:c>
      <x:c r="F130" s="5" t="str">
        <x:v>geprüfter fachlicher Beleg</x:v>
      </x:c>
      <x:c r="G130" s="5" t="str">
        <x:v>Relativer Marktanteil, BCG-Felder und Normstrategien mit Rechen-/Entscheidungsfall.</x:v>
      </x:c>
    </x:row>
    <x:row r="131" ht="36" customHeight="1">
      <x:c r="A131" s="5" t="str">
        <x:v>M-0027</x:v>
      </x:c>
      <x:c r="B131" s="5" t="str">
        <x:v>HQ</x:v>
      </x:c>
      <x:c r="C131" s="5" t="str">
        <x:v>Marketing</x:v>
      </x:c>
      <x:c r="D131" s="5" t="str">
        <x:v>8.1.3.2#3</x:v>
      </x:c>
      <x:c r="E131" s="5" t="str">
        <x:v>BELEG</x:v>
      </x:c>
      <x:c r="F131" s="5" t="str">
        <x:v>geprüfter fachlicher Beleg</x:v>
      </x:c>
      <x:c r="G131" s="5" t="str">
        <x:v>Porters fünf Wettbewerbskräfte mit situationsbezogener Zuordnung.</x:v>
      </x:c>
    </x:row>
    <x:row r="132" ht="36" customHeight="1">
      <x:c r="A132" s="5" t="str">
        <x:v>M-0020</x:v>
      </x:c>
      <x:c r="B132" s="5" t="str">
        <x:v>HQ</x:v>
      </x:c>
      <x:c r="C132" s="5" t="str">
        <x:v>Marketing</x:v>
      </x:c>
      <x:c r="D132" s="5" t="str">
        <x:v>8.1.3.2#4</x:v>
      </x:c>
      <x:c r="E132" s="5" t="str">
        <x:v>BELEG</x:v>
      </x:c>
      <x:c r="F132" s="5" t="str">
        <x:v>geprüfter Teilbeleg</x:v>
      </x:c>
      <x:c r="G132" s="5" t="str">
        <x:v>Wettbewerbsreaktionen, USP und Branchenkräfte vorhanden.</x:v>
      </x:c>
    </x:row>
    <x:row r="133" ht="36" customHeight="1">
      <x:c r="A133" s="5" t="str">
        <x:v>M-0021</x:v>
      </x:c>
      <x:c r="B133" s="5" t="str">
        <x:v>HQ</x:v>
      </x:c>
      <x:c r="C133" s="5" t="str">
        <x:v>Marketing</x:v>
      </x:c>
      <x:c r="D133" s="5" t="str">
        <x:v>8.1.3.2#4</x:v>
      </x:c>
      <x:c r="E133" s="5" t="str">
        <x:v>BELEG</x:v>
      </x:c>
      <x:c r="F133" s="5" t="str">
        <x:v>geprüfter Teilbeleg</x:v>
      </x:c>
      <x:c r="G133" s="5" t="str">
        <x:v>Wettbewerbsreaktionen, USP und Branchenkräfte vorhanden.</x:v>
      </x:c>
    </x:row>
    <x:row r="134" ht="36" customHeight="1">
      <x:c r="A134" s="5" t="str">
        <x:v>M-0027</x:v>
      </x:c>
      <x:c r="B134" s="5" t="str">
        <x:v>HQ</x:v>
      </x:c>
      <x:c r="C134" s="5" t="str">
        <x:v>Marketing</x:v>
      </x:c>
      <x:c r="D134" s="5" t="str">
        <x:v>8.1.3.2#4</x:v>
      </x:c>
      <x:c r="E134" s="5" t="str">
        <x:v>BELEG</x:v>
      </x:c>
      <x:c r="F134" s="5" t="str">
        <x:v>geprüfter Teilbeleg</x:v>
      </x:c>
      <x:c r="G134" s="5" t="str">
        <x:v>Wettbewerbsreaktionen, USP und Branchenkräfte vorhanden.</x:v>
      </x:c>
    </x:row>
    <x:row r="135" ht="36" customHeight="1">
      <x:c r="A135" s="5" t="str">
        <x:v>M-0026</x:v>
      </x:c>
      <x:c r="B135" s="5" t="str">
        <x:v>HQ</x:v>
      </x:c>
      <x:c r="C135" s="5" t="str">
        <x:v>Marketing</x:v>
      </x:c>
      <x:c r="D135" s="5" t="str">
        <x:v>8.1.3.2#5</x:v>
      </x:c>
      <x:c r="E135" s="5" t="str">
        <x:v>BELEG</x:v>
      </x:c>
      <x:c r="F135" s="5" t="str">
        <x:v>geprüfter fachlicher Beleg</x:v>
      </x:c>
      <x:c r="G135" s="5" t="str">
        <x:v>Erfahrungskurve, Kostenreduktion bei Mengenverdopplung, Berechnung und strategische Konsequenz.</x:v>
      </x:c>
    </x:row>
    <x:row r="136" ht="36" customHeight="1">
      <x:c r="A136" s="5" t="str">
        <x:v>V-0040</x:v>
      </x:c>
      <x:c r="B136" s="5" t="str">
        <x:v>HQ</x:v>
      </x:c>
      <x:c r="C136" s="5" t="str">
        <x:v>Vertrieb</x:v>
      </x:c>
      <x:c r="D136" s="5" t="str">
        <x:v>8.5.3.1</x:v>
      </x:c>
      <x:c r="E136" s="5" t="str">
        <x:v>BELEG</x:v>
      </x:c>
      <x:c r="F136" s="5" t="str">
        <x:v>geprüfter Teilbeleg</x:v>
      </x:c>
      <x:c r="G136" s="5" t="str">
        <x:v>Beweislastumkehr, Versandgefahr, Verjährung und Rückgriff in der Lieferkette.</x:v>
      </x:c>
    </x:row>
    <x:row r="137" ht="36" customHeight="1">
      <x:c r="A137" s="5" t="str">
        <x:v>V-0077</x:v>
      </x:c>
      <x:c r="B137" s="5" t="str">
        <x:v>HQ</x:v>
      </x:c>
      <x:c r="C137" s="5" t="str">
        <x:v>Vertrieb</x:v>
      </x:c>
      <x:c r="D137" s="5" t="str">
        <x:v>8.5.3.1</x:v>
      </x:c>
      <x:c r="E137" s="5" t="str">
        <x:v>BELEG</x:v>
      </x:c>
      <x:c r="F137" s="5" t="str">
        <x:v>geprüfter Teilbeleg</x:v>
      </x:c>
      <x:c r="G137" s="5" t="str">
        <x:v>Beweislastumkehr, Versandgefahr, Verjährung und Rückgriff in der Lieferkette.</x:v>
      </x:c>
    </x:row>
  </x:sheetData>
  <x:pageMargins left="0.7" right="0.7" top="0.75" bottom="0.75" header="0.3" footer="0.3"/>
  <x:tableParts count="1">
    <x:tablePart xmlns:r="http://schemas.openxmlformats.org/officeDocument/2006/relationships" r:id="Rad4f47c3ca944857"/>
  </x:tableParts>
</x:worksheet>
</file>

<file path=xl/worksheets/sheet11.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40" hidden="0" customWidth="1"/>
    <x:col min="2" max="2" width="65" hidden="0" customWidth="1"/>
    <x:col min="3" max="3" width="75" hidden="0" customWidth="1"/>
    <x:col min="4" max="4" width="75" hidden="0" customWidth="1"/>
    <x:col min="5" max="5" width="14" hidden="0" customWidth="1"/>
    <x:col min="6" max="6" width="65" hidden="0" customWidth="1"/>
    <x:col min="7" max="7" width="65" hidden="0" customWidth="1"/>
  </x:cols>
  <x:sheetData>
    <x:row r="2">
      <x:c r="A2" s="1" t="str">
        <x:v>Historische Themen – nur für Kompatibilität</x:v>
      </x:c>
    </x:row>
    <x:row r="4">
      <x:c r="A4" s="2" t="str">
        <x:v>Planung / Revisionsstand · 28.09.2026 · WIFA-TR-GESAMT-20260927-REV2-FREIGEGEBENE-GRENZFAELLE · keine produktive Änderung</x:v>
      </x:c>
    </x:row>
    <x:row r="6" ht="34" customHeight="1">
      <x:c r="A6" s="9" t="str">
        <x:v>Quellfach</x:v>
      </x:c>
      <x:c r="B6" s="9" t="str">
        <x:v>Historisches Thema</x:v>
      </x:c>
      <x:c r="C6" s="9" t="str">
        <x:v>Ziel-UI-Keys</x:v>
      </x:c>
      <x:c r="D6" s="9" t="str">
        <x:v>Interne Gruppen</x:v>
      </x:c>
      <x:c r="E6" s="9" t="str">
        <x:v>ID-Anzahl</x:v>
      </x:c>
      <x:c r="F6" s="9" t="str">
        <x:v>Maßnahme</x:v>
      </x:c>
      <x:c r="G6" s="9" t="str">
        <x:v>Resume ohne ID</x:v>
      </x:c>
    </x:row>
    <x:row r="7" ht="36" customHeight="1">
      <x:c r="A7" s="5" t="str">
        <x:v>BWL</x:v>
      </x:c>
      <x:c r="B7" s="5" t="str">
        <x:v>Zusammenwirken, Führung, Ziele &amp; Nachhaltigkeit</x:v>
      </x:c>
      <x:c r="C7" s="5" t="str">
        <x:v>ui-wq-0002</x:v>
      </x:c>
      <x:c r="D7" s="5" t="str">
        <x:v>dg-wq-0044</x:v>
      </x:c>
      <x:c r="E7" s="5" t="n">
        <x:v>14</x:v>
      </x:c>
      <x:c r="F7" s="5" t="str">
        <x:v>unter Oberthema intern behalten / zusammenführen</x:v>
      </x:c>
      <x:c r="G7" s="5" t="str">
        <x:v>Eindeutig auf UI-Key auflösen</x:v>
      </x:c>
    </x:row>
    <x:row r="8" ht="36" customHeight="1">
      <x:c r="A8" s="5" t="str">
        <x:v>BWL</x:v>
      </x:c>
      <x:c r="B8" s="5" t="str">
        <x:v>Produktion &amp; Leistungserstellung</x:v>
      </x:c>
      <x:c r="C8" s="5" t="str">
        <x:v>ui-wq-0002</x:v>
      </x:c>
      <x:c r="D8" s="5" t="str">
        <x:v>dg-wq-0045</x:v>
      </x:c>
      <x:c r="E8" s="5" t="n">
        <x:v>13</x:v>
      </x:c>
      <x:c r="F8" s="5" t="str">
        <x:v>unter Oberthema intern behalten / zusammenführen</x:v>
      </x:c>
      <x:c r="G8" s="5" t="str">
        <x:v>Eindeutig auf UI-Key auflösen</x:v>
      </x:c>
    </x:row>
    <x:row r="9" ht="36" customHeight="1">
      <x:c r="A9" s="5" t="str">
        <x:v>BWL</x:v>
      </x:c>
      <x:c r="B9" s="5" t="str">
        <x:v>Logistik &amp; Supply Chain</x:v>
      </x:c>
      <x:c r="C9" s="5" t="str">
        <x:v>ui-wq-0002</x:v>
      </x:c>
      <x:c r="D9" s="5" t="str">
        <x:v>dg-wq-0046</x:v>
      </x:c>
      <x:c r="E9" s="5" t="n">
        <x:v>10</x:v>
      </x:c>
      <x:c r="F9" s="5" t="str">
        <x:v>unter Oberthema intern behalten / zusammenführen</x:v>
      </x:c>
      <x:c r="G9" s="5" t="str">
        <x:v>Eindeutig auf UI-Key auflösen</x:v>
      </x:c>
    </x:row>
    <x:row r="10" ht="36" customHeight="1">
      <x:c r="A10" s="5" t="str">
        <x:v>BWL</x:v>
      </x:c>
      <x:c r="B10" s="5" t="str">
        <x:v>Marketing, Marktforschung &amp; F&amp;E</x:v>
      </x:c>
      <x:c r="C10" s="5" t="str">
        <x:v>ui-wq-0002</x:v>
      </x:c>
      <x:c r="D10" s="5" t="str">
        <x:v>dg-wq-0047</x:v>
      </x:c>
      <x:c r="E10" s="5" t="n">
        <x:v>19</x:v>
      </x:c>
      <x:c r="F10" s="5" t="str">
        <x:v>unter Oberthema intern behalten / zusammenführen</x:v>
      </x:c>
      <x:c r="G10" s="5" t="str">
        <x:v>Eindeutig auf UI-Key auflösen</x:v>
      </x:c>
    </x:row>
    <x:row r="11" ht="36" customHeight="1">
      <x:c r="A11" s="5" t="str">
        <x:v>BWL</x:v>
      </x:c>
      <x:c r="B11" s="5" t="str">
        <x:v>Rechnungswesen &amp; Kostenrechnung</x:v>
      </x:c>
      <x:c r="C11" s="5" t="str">
        <x:v>ui-wq-0002</x:v>
      </x:c>
      <x:c r="D11" s="5" t="str">
        <x:v>dg-wq-0048</x:v>
      </x:c>
      <x:c r="E11" s="5" t="n">
        <x:v>12</x:v>
      </x:c>
      <x:c r="F11" s="5" t="str">
        <x:v>unter Oberthema intern behalten / zusammenführen</x:v>
      </x:c>
      <x:c r="G11" s="5" t="str">
        <x:v>Eindeutig auf UI-Key auflösen</x:v>
      </x:c>
    </x:row>
    <x:row r="12" ht="36" customHeight="1">
      <x:c r="A12" s="5" t="str">
        <x:v>BWL</x:v>
      </x:c>
      <x:c r="B12" s="5" t="str">
        <x:v>Finanzierung &amp; Investition</x:v>
      </x:c>
      <x:c r="C12" s="5" t="str">
        <x:v>ui-wq-0002</x:v>
      </x:c>
      <x:c r="D12" s="5" t="str">
        <x:v>dg-wq-0049</x:v>
      </x:c>
      <x:c r="E12" s="5" t="n">
        <x:v>17</x:v>
      </x:c>
      <x:c r="F12" s="5" t="str">
        <x:v>unter Oberthema intern behalten / zusammenführen</x:v>
      </x:c>
      <x:c r="G12" s="5" t="str">
        <x:v>Eindeutig auf UI-Key auflösen</x:v>
      </x:c>
    </x:row>
    <x:row r="13" ht="36" customHeight="1">
      <x:c r="A13" s="5" t="str">
        <x:v>BWL</x:v>
      </x:c>
      <x:c r="B13" s="5" t="str">
        <x:v>Existenzgründung &amp; Rechtsformen</x:v>
      </x:c>
      <x:c r="C13" s="5" t="str">
        <x:v>ui-wq-0003</x:v>
      </x:c>
      <x:c r="D13" s="5" t="str">
        <x:v>dg-wq-0050; dg-wq-0053</x:v>
      </x:c>
      <x:c r="E13" s="5" t="n">
        <x:v>20</x:v>
      </x:c>
      <x:c r="F13" s="5" t="str">
        <x:v>unter Oberthema intern behalten / zusammenführen</x:v>
      </x:c>
      <x:c r="G13" s="5" t="str">
        <x:v>Eindeutig auf UI-Key auflösen</x:v>
      </x:c>
    </x:row>
    <x:row r="14" ht="36" customHeight="1">
      <x:c r="A14" s="5" t="str">
        <x:v>BWL</x:v>
      </x:c>
      <x:c r="B14" s="5" t="str">
        <x:v>Controlling &amp; Planung</x:v>
      </x:c>
      <x:c r="C14" s="5" t="str">
        <x:v>ui-wq-0002</x:v>
      </x:c>
      <x:c r="D14" s="5" t="str">
        <x:v>dg-wq-0051</x:v>
      </x:c>
      <x:c r="E14" s="5" t="n">
        <x:v>4</x:v>
      </x:c>
      <x:c r="F14" s="5" t="str">
        <x:v>unter Oberthema intern behalten / zusammenführen</x:v>
      </x:c>
      <x:c r="G14" s="5" t="str">
        <x:v>Eindeutig auf UI-Key auflösen</x:v>
      </x:c>
    </x:row>
    <x:row r="15" ht="36" customHeight="1">
      <x:c r="A15" s="5" t="str">
        <x:v>BWL</x:v>
      </x:c>
      <x:c r="B15" s="5" t="str">
        <x:v>Personalmanagement</x:v>
      </x:c>
      <x:c r="C15" s="5" t="str">
        <x:v>ui-wq-0002</x:v>
      </x:c>
      <x:c r="D15" s="5" t="str">
        <x:v>dg-wq-0052</x:v>
      </x:c>
      <x:c r="E15" s="5" t="n">
        <x:v>7</x:v>
      </x:c>
      <x:c r="F15" s="5" t="str">
        <x:v>unter Oberthema intern behalten / zusammenführen</x:v>
      </x:c>
      <x:c r="G15" s="5" t="str">
        <x:v>Eindeutig auf UI-Key auflösen</x:v>
      </x:c>
    </x:row>
    <x:row r="16" ht="36" customHeight="1">
      <x:c r="A16" s="5" t="str">
        <x:v>BWL</x:v>
      </x:c>
      <x:c r="B16" s="5" t="str">
        <x:v>Unternehmenszusammenschlüsse</x:v>
      </x:c>
      <x:c r="C16" s="5" t="str">
        <x:v>ui-wq-0004</x:v>
      </x:c>
      <x:c r="D16" s="5" t="str">
        <x:v>dg-wq-0054; dg-wq-0055</x:v>
      </x:c>
      <x:c r="E16" s="5" t="n">
        <x:v>10</x:v>
      </x:c>
      <x:c r="F16" s="5" t="str">
        <x:v>unter Oberthema intern behalten / zusammenführen</x:v>
      </x:c>
      <x:c r="G16" s="5" t="str">
        <x:v>Eindeutig auf UI-Key auflösen</x:v>
      </x:c>
    </x:row>
    <x:row r="17" ht="36" customHeight="1">
      <x:c r="A17" s="5" t="str">
        <x:v>VWL</x:v>
      </x:c>
      <x:c r="B17" s="5" t="str">
        <x:v>Grundlagen, Bedürfnisse, Güter &amp; ökonomisches Prinzip</x:v>
      </x:c>
      <x:c r="C17" s="5" t="str">
        <x:v>ui-wq-0001</x:v>
      </x:c>
      <x:c r="D17" s="5" t="str">
        <x:v>dg-wq-0056</x:v>
      </x:c>
      <x:c r="E17" s="5" t="n">
        <x:v>25</x:v>
      </x:c>
      <x:c r="F17" s="5" t="str">
        <x:v>unter Oberthema intern behalten / zusammenführen</x:v>
      </x:c>
      <x:c r="G17" s="5" t="str">
        <x:v>Eindeutig auf UI-Key auflösen</x:v>
      </x:c>
    </x:row>
    <x:row r="18" ht="36" customHeight="1">
      <x:c r="A18" s="5" t="str">
        <x:v>VWL</x:v>
      </x:c>
      <x:c r="B18" s="5" t="str">
        <x:v>Marktformen, Angebot, Nachfrage &amp; Preisbildung</x:v>
      </x:c>
      <x:c r="C18" s="5" t="str">
        <x:v>ui-wq-0001</x:v>
      </x:c>
      <x:c r="D18" s="5" t="str">
        <x:v>dg-wq-0057</x:v>
      </x:c>
      <x:c r="E18" s="5" t="n">
        <x:v>25</x:v>
      </x:c>
      <x:c r="F18" s="5" t="str">
        <x:v>unter Oberthema intern behalten / zusammenführen</x:v>
      </x:c>
      <x:c r="G18" s="5" t="str">
        <x:v>Eindeutig auf UI-Key auflösen</x:v>
      </x:c>
    </x:row>
    <x:row r="19" ht="36" customHeight="1">
      <x:c r="A19" s="5" t="str">
        <x:v>VWL</x:v>
      </x:c>
      <x:c r="B19" s="5" t="str">
        <x:v>Wettbewerbspolitik &amp; staatliche Markteingriffe</x:v>
      </x:c>
      <x:c r="C19" s="5" t="str">
        <x:v>ui-wq-0001</x:v>
      </x:c>
      <x:c r="D19" s="5" t="str">
        <x:v>dg-wq-0058</x:v>
      </x:c>
      <x:c r="E19" s="5" t="n">
        <x:v>11</x:v>
      </x:c>
      <x:c r="F19" s="5" t="str">
        <x:v>unter Oberthema intern behalten / zusammenführen</x:v>
      </x:c>
      <x:c r="G19" s="5" t="str">
        <x:v>Eindeutig auf UI-Key auflösen</x:v>
      </x:c>
    </x:row>
    <x:row r="20" ht="36" customHeight="1">
      <x:c r="A20" s="5" t="str">
        <x:v>VWL</x:v>
      </x:c>
      <x:c r="B20" s="5" t="str">
        <x:v>VGR &amp; Einkommensverteilung</x:v>
      </x:c>
      <x:c r="C20" s="5" t="str">
        <x:v>ui-wq-0001</x:v>
      </x:c>
      <x:c r="D20" s="5" t="str">
        <x:v>dg-wq-0059</x:v>
      </x:c>
      <x:c r="E20" s="5" t="n">
        <x:v>15</x:v>
      </x:c>
      <x:c r="F20" s="5" t="str">
        <x:v>unter Oberthema intern behalten / zusammenführen</x:v>
      </x:c>
      <x:c r="G20" s="5" t="str">
        <x:v>Eindeutig auf UI-Key auflösen</x:v>
      </x:c>
    </x:row>
    <x:row r="21" ht="36" customHeight="1">
      <x:c r="A21" s="5" t="str">
        <x:v>VWL</x:v>
      </x:c>
      <x:c r="B21" s="5" t="str">
        <x:v>Konjunktur, Stabilitätsziele, Arbeitslosigkeit &amp; Inflation</x:v>
      </x:c>
      <x:c r="C21" s="5" t="str">
        <x:v>ui-wq-0001</x:v>
      </x:c>
      <x:c r="D21" s="5" t="str">
        <x:v>dg-wq-0060</x:v>
      </x:c>
      <x:c r="E21" s="5" t="n">
        <x:v>22</x:v>
      </x:c>
      <x:c r="F21" s="5" t="str">
        <x:v>unter Oberthema intern behalten / zusammenführen</x:v>
      </x:c>
      <x:c r="G21" s="5" t="str">
        <x:v>Eindeutig auf UI-Key auflösen</x:v>
      </x:c>
    </x:row>
    <x:row r="22" ht="36" customHeight="1">
      <x:c r="A22" s="5" t="str">
        <x:v>VWL</x:v>
      </x:c>
      <x:c r="B22" s="5" t="str">
        <x:v>Geld- &amp; Finanzpolitik</x:v>
      </x:c>
      <x:c r="C22" s="5" t="str">
        <x:v>ui-wq-0001</x:v>
      </x:c>
      <x:c r="D22" s="5" t="str">
        <x:v>dg-wq-0061</x:v>
      </x:c>
      <x:c r="E22" s="5" t="n">
        <x:v>13</x:v>
      </x:c>
      <x:c r="F22" s="5" t="str">
        <x:v>unter Oberthema intern behalten / zusammenführen</x:v>
      </x:c>
      <x:c r="G22" s="5" t="str">
        <x:v>Eindeutig auf UI-Key auflösen</x:v>
      </x:c>
    </x:row>
    <x:row r="23" ht="36" customHeight="1">
      <x:c r="A23" s="5" t="str">
        <x:v>VWL</x:v>
      </x:c>
      <x:c r="B23" s="5" t="str">
        <x:v>Wachstums-, Tarif- &amp; Arbeitsmarktpolitik</x:v>
      </x:c>
      <x:c r="C23" s="5" t="str">
        <x:v>ui-wq-0001</x:v>
      </x:c>
      <x:c r="D23" s="5" t="str">
        <x:v>dg-wq-0061</x:v>
      </x:c>
      <x:c r="E23" s="5" t="n">
        <x:v>8</x:v>
      </x:c>
      <x:c r="F23" s="5" t="str">
        <x:v>unter Oberthema intern behalten / zusammenführen</x:v>
      </x:c>
      <x:c r="G23" s="5" t="str">
        <x:v>Eindeutig auf UI-Key auflösen</x:v>
      </x:c>
    </x:row>
    <x:row r="24" ht="36" customHeight="1">
      <x:c r="A24" s="5" t="str">
        <x:v>VWL</x:v>
      </x:c>
      <x:c r="B24" s="5" t="str">
        <x:v>Umweltpolitik &amp; nachfrage-/angebotsorientierte Politik</x:v>
      </x:c>
      <x:c r="C24" s="5" t="str">
        <x:v>ui-wq-0001</x:v>
      </x:c>
      <x:c r="D24" s="5" t="str">
        <x:v>dg-wq-0061</x:v>
      </x:c>
      <x:c r="E24" s="5" t="n">
        <x:v>9</x:v>
      </x:c>
      <x:c r="F24" s="5" t="str">
        <x:v>unter Oberthema intern behalten / zusammenführen</x:v>
      </x:c>
      <x:c r="G24" s="5" t="str">
        <x:v>Eindeutig auf UI-Key auflösen</x:v>
      </x:c>
    </x:row>
    <x:row r="25" ht="36" customHeight="1">
      <x:c r="A25" s="5" t="str">
        <x:v>VWL</x:v>
      </x:c>
      <x:c r="B25" s="5" t="str">
        <x:v>Außenwirtschaft, Freihandel &amp; Protektionismus</x:v>
      </x:c>
      <x:c r="C25" s="5" t="str">
        <x:v>ui-wq-0001; ui-wq-0003</x:v>
      </x:c>
      <x:c r="D25" s="5" t="str">
        <x:v>dg-wq-0062; dg-wq-0064</x:v>
      </x:c>
      <x:c r="E25" s="5" t="n">
        <x:v>16</x:v>
      </x:c>
      <x:c r="F25" s="5" t="str">
        <x:v>in mehrere Oberthemen aufteilen</x:v>
      </x:c>
      <x:c r="G25" s="5" t="str">
        <x:v>Nicht eindeutig: Auswahl anbieten</x:v>
      </x:c>
    </x:row>
    <x:row r="26" ht="36" customHeight="1">
      <x:c r="A26" s="5" t="str">
        <x:v>VWL</x:v>
      </x:c>
      <x:c r="B26" s="5" t="str">
        <x:v>EU-Binnenmarkt &amp; Wirtschafts- und Währungsunion</x:v>
      </x:c>
      <x:c r="C26" s="5" t="str">
        <x:v>ui-wq-0001</x:v>
      </x:c>
      <x:c r="D26" s="5" t="str">
        <x:v>dg-wq-0063</x:v>
      </x:c>
      <x:c r="E26" s="5" t="n">
        <x:v>6</x:v>
      </x:c>
      <x:c r="F26" s="5" t="str">
        <x:v>unter Oberthema intern behalten / zusammenführen</x:v>
      </x:c>
      <x:c r="G26" s="5" t="str">
        <x:v>Eindeutig auf UI-Key auflösen</x:v>
      </x:c>
    </x:row>
    <x:row r="27" ht="36" customHeight="1">
      <x:c r="A27" s="5" t="str">
        <x:v>VWL</x:v>
      </x:c>
      <x:c r="B27" s="5" t="str">
        <x:v>Volkswirtschaftliche Grundtatbestände</x:v>
      </x:c>
      <x:c r="C27" s="5" t="str">
        <x:v>ui-wq-0001</x:v>
      </x:c>
      <x:c r="D27" s="5" t="str">
        <x:v>dg-wq-0056</x:v>
      </x:c>
      <x:c r="E27" s="5" t="n">
        <x:v>2</x:v>
      </x:c>
      <x:c r="F27" s="5" t="str">
        <x:v>unter Oberthema intern behalten / zusammenführen</x:v>
      </x:c>
      <x:c r="G27" s="5" t="str">
        <x:v>Eindeutig auf UI-Key auflösen</x:v>
      </x:c>
    </x:row>
    <x:row r="28" ht="36" customHeight="1">
      <x:c r="A28" s="5" t="str">
        <x:v>VWL</x:v>
      </x:c>
      <x:c r="B28" s="5" t="str">
        <x:v>Wirtschaftsordnung &amp; Soziale Marktwirtschaft</x:v>
      </x:c>
      <x:c r="C28" s="5" t="str">
        <x:v>ui-wq-0001</x:v>
      </x:c>
      <x:c r="D28" s="5" t="str">
        <x:v>dg-wq-0056</x:v>
      </x:c>
      <x:c r="E28" s="5" t="n">
        <x:v>3</x:v>
      </x:c>
      <x:c r="F28" s="5" t="str">
        <x:v>unter Oberthema intern behalten / zusammenführen</x:v>
      </x:c>
      <x:c r="G28" s="5" t="str">
        <x:v>Eindeutig auf UI-Key auflösen</x:v>
      </x:c>
    </x:row>
    <x:row r="29" ht="36" customHeight="1">
      <x:c r="A29" s="5" t="str">
        <x:v>VWL</x:v>
      </x:c>
      <x:c r="B29" s="5" t="str">
        <x:v>Wirtschaftspolitik &amp; Stabilitätsziele</x:v>
      </x:c>
      <x:c r="C29" s="5" t="str">
        <x:v>ui-wq-0001</x:v>
      </x:c>
      <x:c r="D29" s="5" t="str">
        <x:v>dg-wq-0060</x:v>
      </x:c>
      <x:c r="E29" s="5" t="n">
        <x:v>2</x:v>
      </x:c>
      <x:c r="F29" s="5" t="str">
        <x:v>unter Oberthema intern behalten / zusammenführen</x:v>
      </x:c>
      <x:c r="G29" s="5" t="str">
        <x:v>Eindeutig auf UI-Key auflösen</x:v>
      </x:c>
    </x:row>
    <x:row r="30" ht="36" customHeight="1">
      <x:c r="A30" s="5" t="str">
        <x:v>Rechnungswesen</x:v>
      </x:c>
      <x:c r="B30" s="5" t="str">
        <x:v>Teilkostenrechnung, Deckungsbeitrag &amp; Break-even</x:v>
      </x:c>
      <x:c r="C30" s="5" t="str">
        <x:v>ui-wq-0007</x:v>
      </x:c>
      <x:c r="D30" s="5" t="str">
        <x:v>dg-wq-0027</x:v>
      </x:c>
      <x:c r="E30" s="5" t="n">
        <x:v>18</x:v>
      </x:c>
      <x:c r="F30" s="5" t="str">
        <x:v>unter Oberthema intern behalten / zusammenführen</x:v>
      </x:c>
      <x:c r="G30" s="5" t="str">
        <x:v>Eindeutig auf UI-Key auflösen</x:v>
      </x:c>
    </x:row>
    <x:row r="31" ht="36" customHeight="1">
      <x:c r="A31" s="5" t="str">
        <x:v>Rechnungswesen</x:v>
      </x:c>
      <x:c r="B31" s="5" t="str">
        <x:v>Grundlagen des Rechnungswesens</x:v>
      </x:c>
      <x:c r="C31" s="5" t="str">
        <x:v>ui-wq-0005; ui-wq-0007</x:v>
      </x:c>
      <x:c r="D31" s="5" t="str">
        <x:v>dg-wq-0028; dg-wq-0037</x:v>
      </x:c>
      <x:c r="E31" s="5" t="n">
        <x:v>7</x:v>
      </x:c>
      <x:c r="F31" s="5" t="str">
        <x:v>in mehrere Oberthemen aufteilen</x:v>
      </x:c>
      <x:c r="G31" s="5" t="str">
        <x:v>Nicht eindeutig: Auswahl anbieten</x:v>
      </x:c>
    </x:row>
    <x:row r="32" ht="36" customHeight="1">
      <x:c r="A32" s="5" t="str">
        <x:v>Rechnungswesen</x:v>
      </x:c>
      <x:c r="B32" s="5" t="str">
        <x:v>Planungsrechnung</x:v>
      </x:c>
      <x:c r="C32" s="5" t="str">
        <x:v>ui-wq-0009</x:v>
      </x:c>
      <x:c r="D32" s="5" t="str">
        <x:v>dg-wq-0029</x:v>
      </x:c>
      <x:c r="E32" s="5" t="n">
        <x:v>7</x:v>
      </x:c>
      <x:c r="F32" s="5" t="str">
        <x:v>unter Oberthema intern behalten / zusammenführen</x:v>
      </x:c>
      <x:c r="G32" s="5" t="str">
        <x:v>Eindeutig auf UI-Key auflösen</x:v>
      </x:c>
    </x:row>
    <x:row r="33" ht="36" customHeight="1">
      <x:c r="A33" s="5" t="str">
        <x:v>Rechnungswesen</x:v>
      </x:c>
      <x:c r="B33" s="5" t="str">
        <x:v>Finanzbuchhaltung &amp; Konten</x:v>
      </x:c>
      <x:c r="C33" s="5" t="str">
        <x:v>ui-wq-0006</x:v>
      </x:c>
      <x:c r="D33" s="5" t="str">
        <x:v>dg-wq-0030; dg-wq-0038</x:v>
      </x:c>
      <x:c r="E33" s="5" t="n">
        <x:v>14</x:v>
      </x:c>
      <x:c r="F33" s="5" t="str">
        <x:v>unter Oberthema intern behalten / zusammenführen</x:v>
      </x:c>
      <x:c r="G33" s="5" t="str">
        <x:v>Eindeutig auf UI-Key auflösen</x:v>
      </x:c>
    </x:row>
    <x:row r="34" ht="36" customHeight="1">
      <x:c r="A34" s="5" t="str">
        <x:v>Rechnungswesen</x:v>
      </x:c>
      <x:c r="B34" s="5" t="str">
        <x:v>GoB, Buchführungspflicht &amp; Bewertung</x:v>
      </x:c>
      <x:c r="C34" s="5" t="str">
        <x:v>ui-wq-0005</x:v>
      </x:c>
      <x:c r="D34" s="5" t="str">
        <x:v>dg-wq-0031; dg-wq-0033; dg-wq-0034</x:v>
      </x:c>
      <x:c r="E34" s="5" t="n">
        <x:v>20</x:v>
      </x:c>
      <x:c r="F34" s="5" t="str">
        <x:v>unter Oberthema intern behalten / zusammenführen</x:v>
      </x:c>
      <x:c r="G34" s="5" t="str">
        <x:v>Eindeutig auf UI-Key auflösen</x:v>
      </x:c>
    </x:row>
    <x:row r="35" ht="36" customHeight="1">
      <x:c r="A35" s="5" t="str">
        <x:v>Rechnungswesen</x:v>
      </x:c>
      <x:c r="B35" s="5" t="str">
        <x:v>Inventur, Bilanz &amp; Jahresabschluss</x:v>
      </x:c>
      <x:c r="C35" s="5" t="str">
        <x:v>ui-wq-0006</x:v>
      </x:c>
      <x:c r="D35" s="5" t="str">
        <x:v>dg-wq-0032</x:v>
      </x:c>
      <x:c r="E35" s="5" t="n">
        <x:v>14</x:v>
      </x:c>
      <x:c r="F35" s="5" t="str">
        <x:v>unter Oberthema intern behalten / zusammenführen</x:v>
      </x:c>
      <x:c r="G35" s="5" t="str">
        <x:v>Eindeutig auf UI-Key auflösen</x:v>
      </x:c>
    </x:row>
    <x:row r="36" ht="36" customHeight="1">
      <x:c r="A36" s="5" t="str">
        <x:v>Rechnungswesen</x:v>
      </x:c>
      <x:c r="B36" s="5" t="str">
        <x:v>KLR: Kostenstellenrechnung &amp; BAB</x:v>
      </x:c>
      <x:c r="C36" s="5" t="str">
        <x:v>ui-wq-0007</x:v>
      </x:c>
      <x:c r="D36" s="5" t="str">
        <x:v>dg-wq-0035</x:v>
      </x:c>
      <x:c r="E36" s="5" t="n">
        <x:v>7</x:v>
      </x:c>
      <x:c r="F36" s="5" t="str">
        <x:v>unter Oberthema intern behalten / zusammenführen</x:v>
      </x:c>
      <x:c r="G36" s="5" t="str">
        <x:v>Eindeutig auf UI-Key auflösen</x:v>
      </x:c>
    </x:row>
    <x:row r="37" ht="36" customHeight="1">
      <x:c r="A37" s="5" t="str">
        <x:v>Rechnungswesen</x:v>
      </x:c>
      <x:c r="B37" s="5" t="str">
        <x:v>KLR: Grundlagen, Abgrenzung &amp; Kostenarten</x:v>
      </x:c>
      <x:c r="C37" s="5" t="str">
        <x:v>ui-wq-0007</x:v>
      </x:c>
      <x:c r="D37" s="5" t="str">
        <x:v>dg-wq-0036</x:v>
      </x:c>
      <x:c r="E37" s="5" t="n">
        <x:v>13</x:v>
      </x:c>
      <x:c r="F37" s="5" t="str">
        <x:v>unter Oberthema intern behalten / zusammenführen</x:v>
      </x:c>
      <x:c r="G37" s="5" t="str">
        <x:v>Eindeutig auf UI-Key auflösen</x:v>
      </x:c>
    </x:row>
    <x:row r="38" ht="36" customHeight="1">
      <x:c r="A38" s="5" t="str">
        <x:v>Rechnungswesen</x:v>
      </x:c>
      <x:c r="B38" s="5" t="str">
        <x:v>KLR: Kostenträgerrechnung &amp; Kalkulation</x:v>
      </x:c>
      <x:c r="C38" s="5" t="str">
        <x:v>ui-wq-0007</x:v>
      </x:c>
      <x:c r="D38" s="5" t="str">
        <x:v>dg-wq-0039; dg-wq-0040</x:v>
      </x:c>
      <x:c r="E38" s="5" t="n">
        <x:v>12</x:v>
      </x:c>
      <x:c r="F38" s="5" t="str">
        <x:v>unter Oberthema intern behalten / zusammenführen</x:v>
      </x:c>
      <x:c r="G38" s="5" t="str">
        <x:v>Eindeutig auf UI-Key auflösen</x:v>
      </x:c>
    </x:row>
    <x:row r="39" ht="36" customHeight="1">
      <x:c r="A39" s="5" t="str">
        <x:v>Rechnungswesen</x:v>
      </x:c>
      <x:c r="B39" s="5" t="str">
        <x:v>Auswertung &amp; Rentabilitätsrechnungen</x:v>
      </x:c>
      <x:c r="C39" s="5" t="str">
        <x:v>ui-wq-0008</x:v>
      </x:c>
      <x:c r="D39" s="5" t="str">
        <x:v>dg-wq-0041; dg-wq-0042</x:v>
      </x:c>
      <x:c r="E39" s="5" t="n">
        <x:v>8</x:v>
      </x:c>
      <x:c r="F39" s="5" t="str">
        <x:v>unter Oberthema intern behalten / zusammenführen</x:v>
      </x:c>
      <x:c r="G39" s="5" t="str">
        <x:v>Eindeutig auf UI-Key auflösen</x:v>
      </x:c>
    </x:row>
    <x:row r="40" ht="36" customHeight="1">
      <x:c r="A40" s="5" t="str">
        <x:v>Rechnungswesen</x:v>
      </x:c>
      <x:c r="B40" s="5" t="str">
        <x:v>KLR: Teilkostenrechnung &amp; Break-even</x:v>
      </x:c>
      <x:c r="C40" s="5" t="str">
        <x:v>ui-wq-0007</x:v>
      </x:c>
      <x:c r="D40" s="5" t="str">
        <x:v>dg-wq-0027</x:v>
      </x:c>
      <x:c r="E40" s="5" t="n">
        <x:v>1</x:v>
      </x:c>
      <x:c r="F40" s="5" t="str">
        <x:v>unter Oberthema intern behalten / zusammenführen</x:v>
      </x:c>
      <x:c r="G40" s="5" t="str">
        <x:v>Eindeutig auf UI-Key auflösen</x:v>
      </x:c>
    </x:row>
    <x:row r="41" ht="36" customHeight="1">
      <x:c r="A41" s="5" t="str">
        <x:v>Rechnungswesen</x:v>
      </x:c>
      <x:c r="B41" s="5" t="str">
        <x:v>KLR: Handelskalkulation &amp; Deckungsbeitrag</x:v>
      </x:c>
      <x:c r="C41" s="5" t="str">
        <x:v>ui-wq-0007</x:v>
      </x:c>
      <x:c r="D41" s="5" t="str">
        <x:v>dg-wq-0043</x:v>
      </x:c>
      <x:c r="E41" s="5" t="n">
        <x:v>1</x:v>
      </x:c>
      <x:c r="F41" s="5" t="str">
        <x:v>unter Oberthema intern behalten / zusammenführen</x:v>
      </x:c>
      <x:c r="G41" s="5" t="str">
        <x:v>Eindeutig auf UI-Key auflösen</x:v>
      </x:c>
    </x:row>
    <x:row r="42" ht="36" customHeight="1">
      <x:c r="A42" s="5" t="str">
        <x:v>Recht</x:v>
      </x:c>
      <x:c r="B42" s="5" t="str">
        <x:v>Kaufrecht &amp; Verbraucherschutz</x:v>
      </x:c>
      <x:c r="C42" s="5" t="str">
        <x:v>ui-wq-recht-schuld</x:v>
      </x:c>
      <x:c r="D42" s="5" t="str">
        <x:v>tr-wq-r04</x:v>
      </x:c>
      <x:c r="E42" s="5" t="n">
        <x:v>53</x:v>
      </x:c>
      <x:c r="F42" s="5" t="str">
        <x:v>unter Oberthema intern behalten / zusammenführen</x:v>
      </x:c>
      <x:c r="G42" s="5" t="str">
        <x:v>Eindeutig auf UI-Key auflösen</x:v>
      </x:c>
    </x:row>
    <x:row r="43" ht="36" customHeight="1">
      <x:c r="A43" s="5" t="str">
        <x:v>Recht</x:v>
      </x:c>
      <x:c r="B43" s="5" t="str">
        <x:v>Arbeitsvertrag, Entgelt &amp; Kündigung</x:v>
      </x:c>
      <x:c r="C43" s="5" t="str">
        <x:v>ui-wq-recht-arbeit</x:v>
      </x:c>
      <x:c r="D43" s="5" t="str">
        <x:v>tr-wq-r16</x:v>
      </x:c>
      <x:c r="E43" s="5" t="n">
        <x:v>79</x:v>
      </x:c>
      <x:c r="F43" s="5" t="str">
        <x:v>unter Oberthema intern behalten / zusammenführen</x:v>
      </x:c>
      <x:c r="G43" s="5" t="str">
        <x:v>Eindeutig auf UI-Key auflösen</x:v>
      </x:c>
    </x:row>
    <x:row r="44" ht="36" customHeight="1">
      <x:c r="A44" s="5" t="str">
        <x:v>Recht</x:v>
      </x:c>
      <x:c r="B44" s="5" t="str">
        <x:v>Betriebsverfassungs-, Tarif- &amp; Arbeitsschutzrecht</x:v>
      </x:c>
      <x:c r="C44" s="5" t="str">
        <x:v>ui-wq-recht-arbeit</x:v>
      </x:c>
      <x:c r="D44" s="5" t="str">
        <x:v>tr-wq-r18; tr-wq-r19; tr-wq-r17</x:v>
      </x:c>
      <x:c r="E44" s="5" t="n">
        <x:v>37</x:v>
      </x:c>
      <x:c r="F44" s="5" t="str">
        <x:v>unter Oberthema intern behalten / zusammenführen</x:v>
      </x:c>
      <x:c r="G44" s="5" t="str">
        <x:v>Eindeutig auf UI-Key auflösen</x:v>
      </x:c>
    </x:row>
    <x:row r="45" ht="36" customHeight="1">
      <x:c r="A45" s="5" t="str">
        <x:v>Recht</x:v>
      </x:c>
      <x:c r="B45" s="5" t="str">
        <x:v>Sachenrecht, Kreditsicherheiten &amp; Insolvenz</x:v>
      </x:c>
      <x:c r="C45" s="5" t="str">
        <x:v>ui-wq-recht-sachen</x:v>
      </x:c>
      <x:c r="D45" s="5" t="str">
        <x:v>tr-wq-r08; tr-wq-r09; tr-wq-r10</x:v>
      </x:c>
      <x:c r="E45" s="5" t="n">
        <x:v>84</x:v>
      </x:c>
      <x:c r="F45" s="5" t="str">
        <x:v>unter Oberthema intern behalten / zusammenführen</x:v>
      </x:c>
      <x:c r="G45" s="5" t="str">
        <x:v>Eindeutig auf UI-Key auflösen</x:v>
      </x:c>
    </x:row>
    <x:row r="46" ht="36" customHeight="1">
      <x:c r="A46" s="5" t="str">
        <x:v>Recht</x:v>
      </x:c>
      <x:c r="B46" s="5" t="str">
        <x:v>BGB Allgemeiner Teil</x:v>
      </x:c>
      <x:c r="C46" s="5" t="str">
        <x:v>ui-wq-recht-at; ui-wq-recht-schuld</x:v>
      </x:c>
      <x:c r="D46" s="5" t="str">
        <x:v>tr-wq-r01; tr-wq-r06; tr-wq-r07</x:v>
      </x:c>
      <x:c r="E46" s="5" t="n">
        <x:v>67</x:v>
      </x:c>
      <x:c r="F46" s="5" t="str">
        <x:v>in mehrere Oberthemen aufteilen</x:v>
      </x:c>
      <x:c r="G46" s="5" t="str">
        <x:v>Nicht eindeutig: Auswahl anbieten</x:v>
      </x:c>
    </x:row>
    <x:row r="47" ht="36" customHeight="1">
      <x:c r="A47" s="5" t="str">
        <x:v>Recht</x:v>
      </x:c>
      <x:c r="B47" s="5" t="str">
        <x:v>Handelsrecht</x:v>
      </x:c>
      <x:c r="C47" s="5" t="str">
        <x:v>ui-wq-recht-handel; ui-wq-recht-schuld</x:v>
      </x:c>
      <x:c r="D47" s="5" t="str">
        <x:v>tr-wq-r11; tr-wq-r12; tr-wq-r14; tr-wq-r13; tr-wq-r15; tr-wq-r04</x:v>
      </x:c>
      <x:c r="E47" s="5" t="n">
        <x:v>76</x:v>
      </x:c>
      <x:c r="F47" s="5" t="str">
        <x:v>in mehrere Oberthemen aufteilen</x:v>
      </x:c>
      <x:c r="G47" s="5" t="str">
        <x:v>Nicht eindeutig: Auswahl anbieten</x:v>
      </x:c>
    </x:row>
    <x:row r="48" ht="36" customHeight="1">
      <x:c r="A48" s="5" t="str">
        <x:v>Recht</x:v>
      </x:c>
      <x:c r="B48" s="5" t="str">
        <x:v>Schuldrecht: Grundlagen, AGB, Verjährung, Gerichte &amp; Produkthaftung</x:v>
      </x:c>
      <x:c r="C48" s="5" t="str">
        <x:v>ui-wq-recht-at; ui-wq-recht-schuld</x:v>
      </x:c>
      <x:c r="D48" s="5" t="str">
        <x:v>tr-wq-r01; tr-wq-r02; tr-wq-r03</x:v>
      </x:c>
      <x:c r="E48" s="5" t="n">
        <x:v>46</x:v>
      </x:c>
      <x:c r="F48" s="5" t="str">
        <x:v>in mehrere Oberthemen aufteilen</x:v>
      </x:c>
      <x:c r="G48" s="5" t="str">
        <x:v>Nicht eindeutig: Auswahl anbieten</x:v>
      </x:c>
    </x:row>
    <x:row r="49" ht="36" customHeight="1">
      <x:c r="A49" s="5" t="str">
        <x:v>Recht</x:v>
      </x:c>
      <x:c r="B49" s="5" t="str">
        <x:v>Weitere Vertragstypen, E-Commerce &amp; Leistungsstörungen</x:v>
      </x:c>
      <x:c r="C49" s="5" t="str">
        <x:v>ui-wq-recht-schuld</x:v>
      </x:c>
      <x:c r="D49" s="5" t="str">
        <x:v>tr-wq-r07; tr-wq-r05; tr-wq-r06</x:v>
      </x:c>
      <x:c r="E49" s="5" t="n">
        <x:v>84</x:v>
      </x:c>
      <x:c r="F49" s="5" t="str">
        <x:v>unter Oberthema intern behalten / zusammenführen</x:v>
      </x:c>
      <x:c r="G49" s="5" t="str">
        <x:v>Eindeutig auf UI-Key auflösen</x:v>
      </x:c>
    </x:row>
    <x:row r="50" ht="36" customHeight="1">
      <x:c r="A50" s="5" t="str">
        <x:v>Recht</x:v>
      </x:c>
      <x:c r="B50" s="5" t="str">
        <x:v>Wettbewerbsrecht</x:v>
      </x:c>
      <x:c r="C50" s="5" t="str">
        <x:v>ui-wq-recht-wettbewerb</x:v>
      </x:c>
      <x:c r="D50" s="5" t="str">
        <x:v>tr-wq-r20</x:v>
      </x:c>
      <x:c r="E50" s="5" t="n">
        <x:v>17</x:v>
      </x:c>
      <x:c r="F50" s="5" t="str">
        <x:v>unter Oberthema intern behalten / zusammenführen</x:v>
      </x:c>
      <x:c r="G50" s="5" t="str">
        <x:v>Eindeutig auf UI-Key auflösen</x:v>
      </x:c>
    </x:row>
    <x:row r="51" ht="36" customHeight="1">
      <x:c r="A51" s="5" t="str">
        <x:v>Recht</x:v>
      </x:c>
      <x:c r="B51" s="5" t="str">
        <x:v>Gewerberecht</x:v>
      </x:c>
      <x:c r="C51" s="5" t="str">
        <x:v>ui-wq-recht-gewerbe</x:v>
      </x:c>
      <x:c r="D51" s="5" t="str">
        <x:v>tr-wq-r21</x:v>
      </x:c>
      <x:c r="E51" s="5" t="n">
        <x:v>16</x:v>
      </x:c>
      <x:c r="F51" s="5" t="str">
        <x:v>unter Oberthema intern behalten / zusammenführen</x:v>
      </x:c>
      <x:c r="G51" s="5" t="str">
        <x:v>Eindeutig auf UI-Key auflösen</x:v>
      </x:c>
    </x:row>
    <x:row r="52" ht="36" customHeight="1">
      <x:c r="A52" s="5" t="str">
        <x:v>Recht</x:v>
      </x:c>
      <x:c r="B52" s="5" t="str">
        <x:v>Rechtliche Grundlagen &amp; Methoden</x:v>
      </x:c>
      <x:c r="C52" s="5" t="str">
        <x:v>ui-wq-recht-at</x:v>
      </x:c>
      <x:c r="D52" s="5" t="str">
        <x:v>tr-wq-r22</x:v>
      </x:c>
      <x:c r="E52" s="5" t="n">
        <x:v>1</x:v>
      </x:c>
      <x:c r="F52" s="5" t="str">
        <x:v>unter Oberthema intern behalten / zusammenführen</x:v>
      </x:c>
      <x:c r="G52" s="5" t="str">
        <x:v>Eindeutig auf UI-Key auflösen</x:v>
      </x:c>
    </x:row>
    <x:row r="53" ht="36" customHeight="1">
      <x:c r="A53" s="5" t="str">
        <x:v>Recht</x:v>
      </x:c>
      <x:c r="B53" s="5" t="str">
        <x:v>BGB Schuldrecht</x:v>
      </x:c>
      <x:c r="C53" s="5" t="str">
        <x:v>ui-wq-recht-schuld</x:v>
      </x:c>
      <x:c r="D53" s="5" t="str">
        <x:v>tr-wq-r02</x:v>
      </x:c>
      <x:c r="E53" s="5" t="n">
        <x:v>7</x:v>
      </x:c>
      <x:c r="F53" s="5" t="str">
        <x:v>unter Oberthema intern behalten / zusammenführen</x:v>
      </x:c>
      <x:c r="G53" s="5" t="str">
        <x:v>Eindeutig auf UI-Key auflösen</x:v>
      </x:c>
    </x:row>
    <x:row r="54" ht="36" customHeight="1">
      <x:c r="A54" s="5" t="str">
        <x:v>Steuern</x:v>
      </x:c>
      <x:c r="B54" s="5" t="str">
        <x:v>Gewerbesteuer</x:v>
      </x:c>
      <x:c r="C54" s="5" t="str">
        <x:v>ui-wq-steuern-unternehmen</x:v>
      </x:c>
      <x:c r="D54" s="5" t="str">
        <x:v>tr-wq-s06</x:v>
      </x:c>
      <x:c r="E54" s="5" t="n">
        <x:v>26</x:v>
      </x:c>
      <x:c r="F54" s="5" t="str">
        <x:v>unter Oberthema intern behalten / zusammenführen</x:v>
      </x:c>
      <x:c r="G54" s="5" t="str">
        <x:v>Eindeutig auf UI-Key auflösen</x:v>
      </x:c>
    </x:row>
    <x:row r="55" ht="36" customHeight="1">
      <x:c r="A55" s="5" t="str">
        <x:v>Steuern</x:v>
      </x:c>
      <x:c r="B55" s="5" t="str">
        <x:v>Körperschaftsteuer &amp; Kapitalertragsteuer</x:v>
      </x:c>
      <x:c r="C55" s="5" t="str">
        <x:v>ui-wq-steuern-unternehmen</x:v>
      </x:c>
      <x:c r="D55" s="5" t="str">
        <x:v>tr-wq-s05; tr-wq-s02; tr-wq-s07</x:v>
      </x:c>
      <x:c r="E55" s="5" t="n">
        <x:v>29</x:v>
      </x:c>
      <x:c r="F55" s="5" t="str">
        <x:v>unter Oberthema intern behalten / zusammenführen</x:v>
      </x:c>
      <x:c r="G55" s="5" t="str">
        <x:v>Eindeutig auf UI-Key auflösen</x:v>
      </x:c>
    </x:row>
    <x:row r="56" ht="36" customHeight="1">
      <x:c r="A56" s="5" t="str">
        <x:v>Steuern</x:v>
      </x:c>
      <x:c r="B56" s="5" t="str">
        <x:v>Steuerliche Grundlagen &amp; Systematik</x:v>
      </x:c>
      <x:c r="C56" s="5" t="str">
        <x:v>ui-wq-steuern-grundlagen; ui-wq-steuern-unternehmen; ui-wq-steuern-ao</x:v>
      </x:c>
      <x:c r="D56" s="5" t="str">
        <x:v>tr-wq-s01; tr-wq-s02; tr-wq-s13</x:v>
      </x:c>
      <x:c r="E56" s="5" t="n">
        <x:v>14</x:v>
      </x:c>
      <x:c r="F56" s="5" t="str">
        <x:v>in mehrere Oberthemen aufteilen</x:v>
      </x:c>
      <x:c r="G56" s="5" t="str">
        <x:v>Nicht eindeutig: Auswahl anbieten</x:v>
      </x:c>
    </x:row>
    <x:row r="57" ht="36" customHeight="1">
      <x:c r="A57" s="5" t="str">
        <x:v>Steuern</x:v>
      </x:c>
      <x:c r="B57" s="5" t="str">
        <x:v>Einkommensteuer – Einkunftsarten &amp; Gewinnermittlung</x:v>
      </x:c>
      <x:c r="C57" s="5" t="str">
        <x:v>ui-wq-steuern-unternehmen</x:v>
      </x:c>
      <x:c r="D57" s="5" t="str">
        <x:v>tr-wq-s02; tr-wq-s04; tr-wq-s07</x:v>
      </x:c>
      <x:c r="E57" s="5" t="n">
        <x:v>40</x:v>
      </x:c>
      <x:c r="F57" s="5" t="str">
        <x:v>unter Oberthema intern behalten / zusammenführen</x:v>
      </x:c>
      <x:c r="G57" s="5" t="str">
        <x:v>Eindeutig auf UI-Key auflösen</x:v>
      </x:c>
    </x:row>
    <x:row r="58" ht="36" customHeight="1">
      <x:c r="A58" s="5" t="str">
        <x:v>Steuern</x:v>
      </x:c>
      <x:c r="B58" s="5" t="str">
        <x:v>Einkommensteuer – Abzüge, Tarif &amp; Veranlagung</x:v>
      </x:c>
      <x:c r="C58" s="5" t="str">
        <x:v>ui-wq-steuern-unternehmen</x:v>
      </x:c>
      <x:c r="D58" s="5" t="str">
        <x:v>tr-wq-s03</x:v>
      </x:c>
      <x:c r="E58" s="5" t="n">
        <x:v>18</x:v>
      </x:c>
      <x:c r="F58" s="5" t="str">
        <x:v>unter Oberthema intern behalten / zusammenführen</x:v>
      </x:c>
      <x:c r="G58" s="5" t="str">
        <x:v>Eindeutig auf UI-Key auflösen</x:v>
      </x:c>
    </x:row>
    <x:row r="59" ht="36" customHeight="1">
      <x:c r="A59" s="5" t="str">
        <x:v>Steuern</x:v>
      </x:c>
      <x:c r="B59" s="5" t="str">
        <x:v>Umsatzsteuer – Grundlagen &amp; Vorsteuer</x:v>
      </x:c>
      <x:c r="C59" s="5" t="str">
        <x:v>ui-wq-steuern-unternehmen</x:v>
      </x:c>
      <x:c r="D59" s="5" t="str">
        <x:v>tr-wq-s08</x:v>
      </x:c>
      <x:c r="E59" s="5" t="n">
        <x:v>34</x:v>
      </x:c>
      <x:c r="F59" s="5" t="str">
        <x:v>unter Oberthema intern behalten / zusammenführen</x:v>
      </x:c>
      <x:c r="G59" s="5" t="str">
        <x:v>Eindeutig auf UI-Key auflösen</x:v>
      </x:c>
    </x:row>
    <x:row r="60" ht="36" customHeight="1">
      <x:c r="A60" s="5" t="str">
        <x:v>Steuern</x:v>
      </x:c>
      <x:c r="B60" s="5" t="str">
        <x:v>Umsatzsteuer – EU, Drittland &amp; Sonderfälle</x:v>
      </x:c>
      <x:c r="C60" s="5" t="str">
        <x:v>ui-wq-steuern-unternehmen</x:v>
      </x:c>
      <x:c r="D60" s="5" t="str">
        <x:v>tr-wq-s09</x:v>
      </x:c>
      <x:c r="E60" s="5" t="n">
        <x:v>33</x:v>
      </x:c>
      <x:c r="F60" s="5" t="str">
        <x:v>unter Oberthema intern behalten / zusammenführen</x:v>
      </x:c>
      <x:c r="G60" s="5" t="str">
        <x:v>Eindeutig auf UI-Key auflösen</x:v>
      </x:c>
    </x:row>
    <x:row r="61" ht="36" customHeight="1">
      <x:c r="A61" s="5" t="str">
        <x:v>Steuern</x:v>
      </x:c>
      <x:c r="B61" s="5" t="str">
        <x:v>Grunderwerb- &amp; Grundsteuer</x:v>
      </x:c>
      <x:c r="C61" s="5" t="str">
        <x:v>ui-wq-steuern-unternehmen</x:v>
      </x:c>
      <x:c r="D61" s="5" t="str">
        <x:v>tr-wq-s11; tr-wq-s10</x:v>
      </x:c>
      <x:c r="E61" s="5" t="n">
        <x:v>8</x:v>
      </x:c>
      <x:c r="F61" s="5" t="str">
        <x:v>unter Oberthema intern behalten / zusammenführen</x:v>
      </x:c>
      <x:c r="G61" s="5" t="str">
        <x:v>Eindeutig auf UI-Key auflösen</x:v>
      </x:c>
    </x:row>
    <x:row r="62" ht="36" customHeight="1">
      <x:c r="A62" s="5" t="str">
        <x:v>Steuern</x:v>
      </x:c>
      <x:c r="B62" s="5" t="str">
        <x:v>Erbschaft- &amp; Schenkungsteuer</x:v>
      </x:c>
      <x:c r="C62" s="5" t="str">
        <x:v>ui-wq-steuern-unternehmen</x:v>
      </x:c>
      <x:c r="D62" s="5" t="str">
        <x:v>tr-wq-s12</x:v>
      </x:c>
      <x:c r="E62" s="5" t="n">
        <x:v>10</x:v>
      </x:c>
      <x:c r="F62" s="5" t="str">
        <x:v>unter Oberthema intern behalten / zusammenführen</x:v>
      </x:c>
      <x:c r="G62" s="5" t="str">
        <x:v>Eindeutig auf UI-Key auflösen</x:v>
      </x:c>
    </x:row>
    <x:row r="63" ht="36" customHeight="1">
      <x:c r="A63" s="5" t="str">
        <x:v>Steuern</x:v>
      </x:c>
      <x:c r="B63" s="5" t="str">
        <x:v>Abgabenordnung &amp; Besteuerungsverfahren</x:v>
      </x:c>
      <x:c r="C63" s="5" t="str">
        <x:v>ui-wq-steuern-ao</x:v>
      </x:c>
      <x:c r="D63" s="5" t="str">
        <x:v>tr-wq-s13</x:v>
      </x:c>
      <x:c r="E63" s="5" t="n">
        <x:v>15</x:v>
      </x:c>
      <x:c r="F63" s="5" t="str">
        <x:v>unter Oberthema intern behalten / zusammenführen</x:v>
      </x:c>
      <x:c r="G63" s="5" t="str">
        <x:v>Eindeutig auf UI-Key auflösen</x:v>
      </x:c>
    </x:row>
    <x:row r="64" ht="36" customHeight="1">
      <x:c r="A64" s="5" t="str">
        <x:v>Steuern</x:v>
      </x:c>
      <x:c r="B64" s="5" t="str">
        <x:v>Einkommensteuer – Einkommensberechnung &amp; Tarif</x:v>
      </x:c>
      <x:c r="C64" s="5" t="str">
        <x:v>ui-wq-steuern-unternehmen</x:v>
      </x:c>
      <x:c r="D64" s="5" t="str">
        <x:v>tr-wq-s03</x:v>
      </x:c>
      <x:c r="E64" s="5" t="n">
        <x:v>5</x:v>
      </x:c>
      <x:c r="F64" s="5" t="str">
        <x:v>unter Oberthema intern behalten / zusammenführen</x:v>
      </x:c>
      <x:c r="G64" s="5" t="str">
        <x:v>Eindeutig auf UI-Key auflösen</x:v>
      </x:c>
    </x:row>
    <x:row r="65" ht="36" customHeight="1">
      <x:c r="A65" s="5" t="str">
        <x:v>Steuern</x:v>
      </x:c>
      <x:c r="B65" s="5" t="str">
        <x:v>Mitunternehmerschaft &amp; Personengesellschaften</x:v>
      </x:c>
      <x:c r="C65" s="5" t="str">
        <x:v>ui-wq-steuern-unternehmen</x:v>
      </x:c>
      <x:c r="D65" s="5" t="str">
        <x:v>tr-wq-s04</x:v>
      </x:c>
      <x:c r="E65" s="5" t="n">
        <x:v>1</x:v>
      </x:c>
      <x:c r="F65" s="5" t="str">
        <x:v>unter Oberthema intern behalten / zusammenführen</x:v>
      </x:c>
      <x:c r="G65" s="5" t="str">
        <x:v>Eindeutig auf UI-Key auflösen</x:v>
      </x:c>
    </x:row>
    <x:row r="66" ht="36" customHeight="1">
      <x:c r="A66" s="5" t="str">
        <x:v>Unternehmensführung</x:v>
      </x:c>
      <x:c r="B66" s="5" t="str">
        <x:v>Leitbild, Unternehmenspolitik &amp; Planung</x:v>
      </x:c>
      <x:c r="C66" s="5" t="str">
        <x:v>ui-wq-0010</x:v>
      </x:c>
      <x:c r="D66" s="5" t="str">
        <x:v>dg-wq-0065</x:v>
      </x:c>
      <x:c r="E66" s="5" t="n">
        <x:v>33</x:v>
      </x:c>
      <x:c r="F66" s="5" t="str">
        <x:v>unter Oberthema intern behalten / zusammenführen</x:v>
      </x:c>
      <x:c r="G66" s="5" t="str">
        <x:v>Eindeutig auf UI-Key auflösen</x:v>
      </x:c>
    </x:row>
    <x:row r="67" ht="36" customHeight="1">
      <x:c r="A67" s="5" t="str">
        <x:v>Unternehmensführung</x:v>
      </x:c>
      <x:c r="B67" s="5" t="str">
        <x:v>Führungsgrundlagen, Motivation &amp; Führungsstile</x:v>
      </x:c>
      <x:c r="C67" s="5" t="str">
        <x:v>ui-wq-0011</x:v>
      </x:c>
      <x:c r="D67" s="5" t="str">
        <x:v>dg-wq-0066</x:v>
      </x:c>
      <x:c r="E67" s="5" t="n">
        <x:v>24</x:v>
      </x:c>
      <x:c r="F67" s="5" t="str">
        <x:v>unter Oberthema intern behalten / zusammenführen</x:v>
      </x:c>
      <x:c r="G67" s="5" t="str">
        <x:v>Eindeutig auf UI-Key auflösen</x:v>
      </x:c>
    </x:row>
    <x:row r="68" ht="36" customHeight="1">
      <x:c r="A68" s="5" t="str">
        <x:v>Unternehmensführung</x:v>
      </x:c>
      <x:c r="B68" s="5" t="str">
        <x:v>Integrierte Managementsysteme &amp; KVP</x:v>
      </x:c>
      <x:c r="C68" s="5" t="str">
        <x:v>ui-wq-0010</x:v>
      </x:c>
      <x:c r="D68" s="5" t="str">
        <x:v>dg-wq-0067</x:v>
      </x:c>
      <x:c r="E68" s="5" t="n">
        <x:v>15</x:v>
      </x:c>
      <x:c r="F68" s="5" t="str">
        <x:v>unter Oberthema intern behalten / zusammenführen</x:v>
      </x:c>
      <x:c r="G68" s="5" t="str">
        <x:v>Eindeutig auf UI-Key auflösen</x:v>
      </x:c>
    </x:row>
    <x:row r="69" ht="36" customHeight="1">
      <x:c r="A69" s="5" t="str">
        <x:v>Unternehmensführung</x:v>
      </x:c>
      <x:c r="B69" s="5" t="str">
        <x:v>Aufbau- &amp; Ablauforganisation</x:v>
      </x:c>
      <x:c r="C69" s="5" t="str">
        <x:v>ui-wq-0010</x:v>
      </x:c>
      <x:c r="D69" s="5" t="str">
        <x:v>dg-wq-0067; dg-wq-0068</x:v>
      </x:c>
      <x:c r="E69" s="5" t="n">
        <x:v>33</x:v>
      </x:c>
      <x:c r="F69" s="5" t="str">
        <x:v>unter Oberthema intern behalten / zusammenführen</x:v>
      </x:c>
      <x:c r="G69" s="5" t="str">
        <x:v>Eindeutig auf UI-Key auflösen</x:v>
      </x:c>
    </x:row>
    <x:row r="70" ht="36" customHeight="1">
      <x:c r="A70" s="5" t="str">
        <x:v>Unternehmensführung</x:v>
      </x:c>
      <x:c r="B70" s="5" t="str">
        <x:v>Analysemethoden &amp; Betriebsstatistik</x:v>
      </x:c>
      <x:c r="C70" s="5" t="str">
        <x:v>ui-wq-0010</x:v>
      </x:c>
      <x:c r="D70" s="5" t="str">
        <x:v>dg-wq-0069</x:v>
      </x:c>
      <x:c r="E70" s="5" t="n">
        <x:v>21</x:v>
      </x:c>
      <x:c r="F70" s="5" t="str">
        <x:v>unter Oberthema intern behalten / zusammenführen</x:v>
      </x:c>
      <x:c r="G70" s="5" t="str">
        <x:v>Eindeutig auf UI-Key auflösen</x:v>
      </x:c>
    </x:row>
    <x:row r="71" ht="36" customHeight="1">
      <x:c r="A71" s="5" t="str">
        <x:v>Unternehmensführung</x:v>
      </x:c>
      <x:c r="B71" s="5" t="str">
        <x:v>Arten der Personalentwicklung</x:v>
      </x:c>
      <x:c r="C71" s="5" t="str">
        <x:v>ui-wq-0012</x:v>
      </x:c>
      <x:c r="D71" s="5" t="str">
        <x:v>dg-wq-0070</x:v>
      </x:c>
      <x:c r="E71" s="5" t="n">
        <x:v>21</x:v>
      </x:c>
      <x:c r="F71" s="5" t="str">
        <x:v>unter Oberthema intern behalten / zusammenführen</x:v>
      </x:c>
      <x:c r="G71" s="5" t="str">
        <x:v>Eindeutig auf UI-Key auflösen</x:v>
      </x:c>
    </x:row>
    <x:row r="72" ht="36" customHeight="1">
      <x:c r="A72" s="5" t="str">
        <x:v>Unternehmensführung</x:v>
      </x:c>
      <x:c r="B72" s="5" t="str">
        <x:v>Gruppenführung &amp; Gruppenverhalten</x:v>
      </x:c>
      <x:c r="C72" s="5" t="str">
        <x:v>ui-wq-0011</x:v>
      </x:c>
      <x:c r="D72" s="5" t="str">
        <x:v>dg-wq-0071</x:v>
      </x:c>
      <x:c r="E72" s="5" t="n">
        <x:v>12</x:v>
      </x:c>
      <x:c r="F72" s="5" t="str">
        <x:v>unter Oberthema intern behalten / zusammenführen</x:v>
      </x:c>
      <x:c r="G72" s="5" t="str">
        <x:v>Eindeutig auf UI-Key auflösen</x:v>
      </x:c>
    </x:row>
    <x:row r="73" ht="36" customHeight="1">
      <x:c r="A73" s="5" t="str">
        <x:v>Unternehmensführung</x:v>
      </x:c>
      <x:c r="B73" s="5" t="str">
        <x:v>Personalplanung &amp; -beschaffung</x:v>
      </x:c>
      <x:c r="C73" s="5" t="str">
        <x:v>ui-wq-0011</x:v>
      </x:c>
      <x:c r="D73" s="5" t="str">
        <x:v>dg-wq-0072; dg-wq-0073</x:v>
      </x:c>
      <x:c r="E73" s="5" t="n">
        <x:v>18</x:v>
      </x:c>
      <x:c r="F73" s="5" t="str">
        <x:v>unter Oberthema intern behalten / zusammenführen</x:v>
      </x:c>
      <x:c r="G73" s="5" t="str">
        <x:v>Eindeutig auf UI-Key auflösen</x:v>
      </x:c>
    </x:row>
    <x:row r="74" ht="36" customHeight="1">
      <x:c r="A74" s="5" t="str">
        <x:v>Unternehmensführung</x:v>
      </x:c>
      <x:c r="B74" s="5" t="str">
        <x:v>Personalanpassung, Entgelt &amp; Personalkosten</x:v>
      </x:c>
      <x:c r="C74" s="5" t="str">
        <x:v>ui-wq-0011</x:v>
      </x:c>
      <x:c r="D74" s="5" t="str">
        <x:v>dg-wq-0074; dg-wq-0075</x:v>
      </x:c>
      <x:c r="E74" s="5" t="n">
        <x:v>16</x:v>
      </x:c>
      <x:c r="F74" s="5" t="str">
        <x:v>unter Oberthema intern behalten / zusammenführen</x:v>
      </x:c>
      <x:c r="G74" s="5" t="str">
        <x:v>Eindeutig auf UI-Key auflösen</x:v>
      </x:c>
    </x:row>
    <x:row r="75" ht="36" customHeight="1">
      <x:c r="A75" s="5" t="str">
        <x:v>Unternehmensführung</x:v>
      </x:c>
      <x:c r="B75" s="5" t="str">
        <x:v>Potenzialanalyse &amp; Personalcontrolling</x:v>
      </x:c>
      <x:c r="C75" s="5" t="str">
        <x:v>ui-wq-0012</x:v>
      </x:c>
      <x:c r="D75" s="5" t="str">
        <x:v>dg-wq-0076; dg-wq-0077</x:v>
      </x:c>
      <x:c r="E75" s="5" t="n">
        <x:v>25</x:v>
      </x:c>
      <x:c r="F75" s="5" t="str">
        <x:v>unter Oberthema intern behalten / zusammenführen</x:v>
      </x:c>
      <x:c r="G75" s="5" t="str">
        <x:v>Eindeutig auf UI-Key auflösen</x:v>
      </x:c>
    </x:row>
    <x:row r="76" ht="36" customHeight="1">
      <x:c r="A76" s="5" t="str">
        <x:v>Unternehmensführung</x:v>
      </x:c>
      <x:c r="B76" s="5" t="str">
        <x:v>Unternehmensplanung &amp; Ziele</x:v>
      </x:c>
      <x:c r="C76" s="5" t="str">
        <x:v>ui-wq-0010</x:v>
      </x:c>
      <x:c r="D76" s="5" t="str">
        <x:v>dg-wq-0078</x:v>
      </x:c>
      <x:c r="E76" s="5" t="n">
        <x:v>2</x:v>
      </x:c>
      <x:c r="F76" s="5" t="str">
        <x:v>unter Oberthema intern behalten / zusammenführen</x:v>
      </x:c>
      <x:c r="G76" s="5" t="str">
        <x:v>Eindeutig auf UI-Key auflösen</x:v>
      </x:c>
    </x:row>
    <x:row r="77" ht="36" customHeight="1">
      <x:c r="A77" s="5" t="str">
        <x:v>Unternehmensführung</x:v>
      </x:c>
      <x:c r="B77" s="5" t="str">
        <x:v>Organisation &amp; Organisationsformen</x:v>
      </x:c>
      <x:c r="C77" s="5" t="str">
        <x:v>ui-wq-0010</x:v>
      </x:c>
      <x:c r="D77" s="5" t="str">
        <x:v>dg-wq-0067</x:v>
      </x:c>
      <x:c r="E77" s="5" t="n">
        <x:v>2</x:v>
      </x:c>
      <x:c r="F77" s="5" t="str">
        <x:v>unter Oberthema intern behalten / zusammenführen</x:v>
      </x:c>
      <x:c r="G77" s="5" t="str">
        <x:v>Eindeutig auf UI-Key auflösen</x:v>
      </x:c>
    </x:row>
    <x:row r="78" ht="36" customHeight="1">
      <x:c r="A78" s="5" t="str">
        <x:v>Unternehmensführung</x:v>
      </x:c>
      <x:c r="B78" s="5" t="str">
        <x:v>Qualitätsmanagement</x:v>
      </x:c>
      <x:c r="C78" s="5" t="str">
        <x:v>ui-wq-0010</x:v>
      </x:c>
      <x:c r="D78" s="5" t="str">
        <x:v>dg-wq-0067</x:v>
      </x:c>
      <x:c r="E78" s="5" t="n">
        <x:v>2</x:v>
      </x:c>
      <x:c r="F78" s="5" t="str">
        <x:v>unter Oberthema intern behalten / zusammenführen</x:v>
      </x:c>
      <x:c r="G78" s="5" t="str">
        <x:v>Eindeutig auf UI-Key auflösen</x:v>
      </x:c>
    </x:row>
    <x:row r="79" ht="36" customHeight="1">
      <x:c r="A79" s="5" t="str">
        <x:v>Unternehmensführung</x:v>
      </x:c>
      <x:c r="B79" s="5" t="str">
        <x:v>Motivation &amp; Führung</x:v>
      </x:c>
      <x:c r="C79" s="5" t="str">
        <x:v>ui-wq-0011</x:v>
      </x:c>
      <x:c r="D79" s="5" t="str">
        <x:v>dg-wq-0066; dg-wq-0075</x:v>
      </x:c>
      <x:c r="E79" s="5" t="n">
        <x:v>4</x:v>
      </x:c>
      <x:c r="F79" s="5" t="str">
        <x:v>unter Oberthema intern behalten / zusammenführen</x:v>
      </x:c>
      <x:c r="G79" s="5" t="str">
        <x:v>Eindeutig auf UI-Key auflösen</x:v>
      </x:c>
    </x:row>
    <x:row r="80" ht="36" customHeight="1">
      <x:c r="A80" s="5" t="str">
        <x:v>Unternehmensführung</x:v>
      </x:c>
      <x:c r="B80" s="5" t="str">
        <x:v>Management-by-Techniken</x:v>
      </x:c>
      <x:c r="C80" s="5" t="str">
        <x:v>ui-wq-0011</x:v>
      </x:c>
      <x:c r="D80" s="5" t="str">
        <x:v>dg-wq-0079</x:v>
      </x:c>
      <x:c r="E80" s="5" t="n">
        <x:v>1</x:v>
      </x:c>
      <x:c r="F80" s="5" t="str">
        <x:v>unter Oberthema intern behalten / zusammenführen</x:v>
      </x:c>
      <x:c r="G80" s="5" t="str">
        <x:v>Eindeutig auf UI-Key auflösen</x:v>
      </x:c>
    </x:row>
    <x:row r="81" ht="36" customHeight="1">
      <x:c r="A81" s="5" t="str">
        <x:v>Unternehmensführung</x:v>
      </x:c>
      <x:c r="B81" s="5" t="str">
        <x:v>Kommunikation &amp; Konflikte</x:v>
      </x:c>
      <x:c r="C81" s="5" t="str">
        <x:v>ui-wq-0011</x:v>
      </x:c>
      <x:c r="D81" s="5" t="str">
        <x:v>dg-wq-0071</x:v>
      </x:c>
      <x:c r="E81" s="5" t="n">
        <x:v>3</x:v>
      </x:c>
      <x:c r="F81" s="5" t="str">
        <x:v>unter Oberthema intern behalten / zusammenführen</x:v>
      </x:c>
      <x:c r="G81" s="5" t="str">
        <x:v>Eindeutig auf UI-Key auflösen</x:v>
      </x:c>
    </x:row>
    <x:row r="82" ht="36" customHeight="1">
      <x:c r="A82" s="5" t="str">
        <x:v>Unternehmensführung</x:v>
      </x:c>
      <x:c r="B82" s="5" t="str">
        <x:v>Arbeitszeit &amp; Arbeitsplatz</x:v>
      </x:c>
      <x:c r="C82" s="5" t="str">
        <x:v>ui-wq-0010</x:v>
      </x:c>
      <x:c r="D82" s="5" t="str">
        <x:v>dg-wq-0068</x:v>
      </x:c>
      <x:c r="E82" s="5" t="n">
        <x:v>3</x:v>
      </x:c>
      <x:c r="F82" s="5" t="str">
        <x:v>unter Oberthema intern behalten / zusammenführen</x:v>
      </x:c>
      <x:c r="G82" s="5" t="str">
        <x:v>Eindeutig auf UI-Key auflösen</x:v>
      </x:c>
    </x:row>
    <x:row r="83" ht="36" customHeight="1">
      <x:c r="A83" s="5" t="str">
        <x:v>Betriebliches Management</x:v>
      </x:c>
      <x:c r="B83" s="5" t="str">
        <x:v>Managementgrundlagen</x:v>
      </x:c>
      <x:c r="C83" s="5" t="str">
        <x:v>ui-hq-0013</x:v>
      </x:c>
      <x:c r="D83" s="5" t="str">
        <x:v>dg-hq-0080</x:v>
      </x:c>
      <x:c r="E83" s="5" t="n">
        <x:v>35</x:v>
      </x:c>
      <x:c r="F83" s="5" t="str">
        <x:v>unter Oberthema intern behalten / zusammenführen</x:v>
      </x:c>
      <x:c r="G83" s="5" t="str">
        <x:v>Eindeutig auf UI-Key auflösen</x:v>
      </x:c>
    </x:row>
    <x:row r="84" ht="36" customHeight="1">
      <x:c r="A84" s="5" t="str">
        <x:v>Betriebliches Management</x:v>
      </x:c>
      <x:c r="B84" s="5" t="str">
        <x:v>Planung, Strategie &amp; Kennzahlen</x:v>
      </x:c>
      <x:c r="C84" s="5" t="str">
        <x:v>ui-hq-0013</x:v>
      </x:c>
      <x:c r="D84" s="5" t="str">
        <x:v>dg-hq-0081; dg-hq-0083</x:v>
      </x:c>
      <x:c r="E84" s="5" t="n">
        <x:v>29</x:v>
      </x:c>
      <x:c r="F84" s="5" t="str">
        <x:v>unter Oberthema intern behalten / zusammenführen</x:v>
      </x:c>
      <x:c r="G84" s="5" t="str">
        <x:v>Eindeutig auf UI-Key auflösen</x:v>
      </x:c>
    </x:row>
    <x:row r="85" ht="36" customHeight="1">
      <x:c r="A85" s="5" t="str">
        <x:v>Betriebliches Management</x:v>
      </x:c>
      <x:c r="B85" s="5" t="str">
        <x:v>Organisationsentwicklung &amp; Change Management</x:v>
      </x:c>
      <x:c r="C85" s="5" t="str">
        <x:v>ui-hq-0014</x:v>
      </x:c>
      <x:c r="D85" s="5" t="str">
        <x:v>dg-hq-0082</x:v>
      </x:c>
      <x:c r="E85" s="5" t="n">
        <x:v>22</x:v>
      </x:c>
      <x:c r="F85" s="5" t="str">
        <x:v>unter Oberthema intern behalten / zusammenführen</x:v>
      </x:c>
      <x:c r="G85" s="5" t="str">
        <x:v>Eindeutig auf UI-Key auflösen</x:v>
      </x:c>
    </x:row>
    <x:row r="86" ht="36" customHeight="1">
      <x:c r="A86" s="5" t="str">
        <x:v>Betriebliches Management</x:v>
      </x:c>
      <x:c r="B86" s="5" t="str">
        <x:v>Betriebliches Zielsystem &amp; Zielbildung</x:v>
      </x:c>
      <x:c r="C86" s="5" t="str">
        <x:v>ui-hq-0013</x:v>
      </x:c>
      <x:c r="D86" s="5" t="str">
        <x:v>dg-hq-0080</x:v>
      </x:c>
      <x:c r="E86" s="5" t="n">
        <x:v>63</x:v>
      </x:c>
      <x:c r="F86" s="5" t="str">
        <x:v>unter Oberthema intern behalten / zusammenführen</x:v>
      </x:c>
      <x:c r="G86" s="5" t="str">
        <x:v>Eindeutig auf UI-Key auflösen</x:v>
      </x:c>
    </x:row>
    <x:row r="87" ht="36" customHeight="1">
      <x:c r="A87" s="5" t="str">
        <x:v>Betriebliches Management</x:v>
      </x:c>
      <x:c r="B87" s="5" t="str">
        <x:v>Personalentwicklung</x:v>
      </x:c>
      <x:c r="C87" s="5" t="str">
        <x:v>ui-hq-0014</x:v>
      </x:c>
      <x:c r="D87" s="5" t="str">
        <x:v>dg-hq-0084</x:v>
      </x:c>
      <x:c r="E87" s="5" t="n">
        <x:v>25</x:v>
      </x:c>
      <x:c r="F87" s="5" t="str">
        <x:v>unter Oberthema intern behalten / zusammenführen</x:v>
      </x:c>
      <x:c r="G87" s="5" t="str">
        <x:v>Eindeutig auf UI-Key auflösen</x:v>
      </x:c>
    </x:row>
    <x:row r="88" ht="36" customHeight="1">
      <x:c r="A88" s="5" t="str">
        <x:v>Betriebliches Management</x:v>
      </x:c>
      <x:c r="B88" s="5" t="str">
        <x:v>Wissensmanagement &amp; Informationstechnologie</x:v>
      </x:c>
      <x:c r="C88" s="5" t="str">
        <x:v>ui-hq-0015</x:v>
      </x:c>
      <x:c r="D88" s="5" t="str">
        <x:v>dg-hq-0085; dg-hq-0086</x:v>
      </x:c>
      <x:c r="E88" s="5" t="n">
        <x:v>26</x:v>
      </x:c>
      <x:c r="F88" s="5" t="str">
        <x:v>unter Oberthema intern behalten / zusammenführen</x:v>
      </x:c>
      <x:c r="G88" s="5" t="str">
        <x:v>Eindeutig auf UI-Key auflösen</x:v>
      </x:c>
    </x:row>
    <x:row r="89" ht="36" customHeight="1">
      <x:c r="A89" s="5" t="str">
        <x:v>Betriebliches Management</x:v>
      </x:c>
      <x:c r="B89" s="5" t="str">
        <x:v>Zeit- &amp; Selbstmanagement</x:v>
      </x:c>
      <x:c r="C89" s="5" t="str">
        <x:v>ui-hq-0016</x:v>
      </x:c>
      <x:c r="D89" s="5" t="str">
        <x:v>dg-hq-0087</x:v>
      </x:c>
      <x:c r="E89" s="5" t="n">
        <x:v>7</x:v>
      </x:c>
      <x:c r="F89" s="5" t="str">
        <x:v>unter Oberthema intern behalten / zusammenführen</x:v>
      </x:c>
      <x:c r="G89" s="5" t="str">
        <x:v>Eindeutig auf UI-Key auflösen</x:v>
      </x:c>
    </x:row>
    <x:row r="90" ht="36" customHeight="1">
      <x:c r="A90" s="5" t="str">
        <x:v>Betriebliches Management</x:v>
      </x:c>
      <x:c r="B90" s="5" t="str">
        <x:v>Kreativitäts- &amp; Entscheidungstechniken</x:v>
      </x:c>
      <x:c r="C90" s="5" t="str">
        <x:v>ui-hq-0016</x:v>
      </x:c>
      <x:c r="D90" s="5" t="str">
        <x:v>dg-hq-0088</x:v>
      </x:c>
      <x:c r="E90" s="5" t="n">
        <x:v>18</x:v>
      </x:c>
      <x:c r="F90" s="5" t="str">
        <x:v>unter Oberthema intern behalten / zusammenführen</x:v>
      </x:c>
      <x:c r="G90" s="5" t="str">
        <x:v>Eindeutig auf UI-Key auflösen</x:v>
      </x:c>
    </x:row>
    <x:row r="91" ht="36" customHeight="1">
      <x:c r="A91" s="5" t="str">
        <x:v>Betriebliches Management</x:v>
      </x:c>
      <x:c r="B91" s="5" t="str">
        <x:v>Projektmanagement</x:v>
      </x:c>
      <x:c r="C91" s="5" t="str">
        <x:v>ui-hq-0016</x:v>
      </x:c>
      <x:c r="D91" s="5" t="str">
        <x:v>dg-hq-0089</x:v>
      </x:c>
      <x:c r="E91" s="5" t="n">
        <x:v>14</x:v>
      </x:c>
      <x:c r="F91" s="5" t="str">
        <x:v>unter Oberthema intern behalten / zusammenführen</x:v>
      </x:c>
      <x:c r="G91" s="5" t="str">
        <x:v>Eindeutig auf UI-Key auflösen</x:v>
      </x:c>
    </x:row>
    <x:row r="92" ht="36" customHeight="1">
      <x:c r="A92" s="5" t="str">
        <x:v>Betriebliches Management</x:v>
      </x:c>
      <x:c r="B92" s="5" t="str">
        <x:v>Gesprächs- &amp; Kooperationstechniken</x:v>
      </x:c>
      <x:c r="C92" s="5" t="str">
        <x:v>ui-hq-0016</x:v>
      </x:c>
      <x:c r="D92" s="5" t="str">
        <x:v>dg-hq-0090</x:v>
      </x:c>
      <x:c r="E92" s="5" t="n">
        <x:v>23</x:v>
      </x:c>
      <x:c r="F92" s="5" t="str">
        <x:v>unter Oberthema intern behalten / zusammenführen</x:v>
      </x:c>
      <x:c r="G92" s="5" t="str">
        <x:v>Eindeutig auf UI-Key auflösen</x:v>
      </x:c>
    </x:row>
    <x:row r="93" ht="36" customHeight="1">
      <x:c r="A93" s="5" t="str">
        <x:v>Führung und Zusammenarbeit</x:v>
      </x:c>
      <x:c r="B93" s="5" t="str">
        <x:v>Personalbedarfsrechnung</x:v>
      </x:c>
      <x:c r="C93" s="5" t="str">
        <x:v>ui-hq-0013; ui-hq-0016</x:v>
      </x:c>
      <x:c r="D93" s="5" t="str">
        <x:v>dg-hq-0025; dg-hq-0026</x:v>
      </x:c>
      <x:c r="E93" s="5" t="n">
        <x:v>2</x:v>
      </x:c>
      <x:c r="F93" s="5" t="str">
        <x:v>in mehrere Oberthemen aufteilen</x:v>
      </x:c>
      <x:c r="G93" s="5" t="str">
        <x:v>Nicht eindeutig: Auswahl anbieten</x:v>
      </x:c>
    </x:row>
    <x:row r="94" ht="36" customHeight="1">
      <x:c r="A94" s="5" t="str">
        <x:v>Betriebliches Rechnungswesen und Controlling</x:v>
      </x:c>
      <x:c r="B94" s="5" t="str">
        <x:v>Voll- &amp; Teilkostenrechnung</x:v>
      </x:c>
      <x:c r="C94" s="5" t="str">
        <x:v>ui-hq-0020</x:v>
      </x:c>
      <x:c r="D94" s="5" t="str">
        <x:v>dg-hq-0136</x:v>
      </x:c>
      <x:c r="E94" s="5" t="n">
        <x:v>7</x:v>
      </x:c>
      <x:c r="F94" s="5" t="str">
        <x:v>unter Oberthema intern behalten / zusammenführen</x:v>
      </x:c>
      <x:c r="G94" s="5" t="str">
        <x:v>Eindeutig auf UI-Key auflösen</x:v>
      </x:c>
    </x:row>
    <x:row r="95" ht="36" customHeight="1">
      <x:c r="A95" s="5" t="str">
        <x:v>Betriebliches Rechnungswesen und Controlling</x:v>
      </x:c>
      <x:c r="B95" s="5" t="str">
        <x:v>Deckungsbeitragsrechnung, Preisuntergrenzen &amp; Break-even</x:v>
      </x:c>
      <x:c r="C95" s="5" t="str">
        <x:v>ui-hq-0020</x:v>
      </x:c>
      <x:c r="D95" s="5" t="str">
        <x:v>dg-hq-0136</x:v>
      </x:c>
      <x:c r="E95" s="5" t="n">
        <x:v>21</x:v>
      </x:c>
      <x:c r="F95" s="5" t="str">
        <x:v>unter Oberthema intern behalten / zusammenführen</x:v>
      </x:c>
      <x:c r="G95" s="5" t="str">
        <x:v>Eindeutig auf UI-Key auflösen</x:v>
      </x:c>
    </x:row>
    <x:row r="96" ht="36" customHeight="1">
      <x:c r="A96" s="5" t="str">
        <x:v>Betriebliches Rechnungswesen und Controlling</x:v>
      </x:c>
      <x:c r="B96" s="5" t="str">
        <x:v>Make-or-Buy, Auftragsannahme &amp; Engpassplanung</x:v>
      </x:c>
      <x:c r="C96" s="5" t="str">
        <x:v>ui-hq-0020</x:v>
      </x:c>
      <x:c r="D96" s="5" t="str">
        <x:v>dg-hq-0136</x:v>
      </x:c>
      <x:c r="E96" s="5" t="n">
        <x:v>14</x:v>
      </x:c>
      <x:c r="F96" s="5" t="str">
        <x:v>unter Oberthema intern behalten / zusammenführen</x:v>
      </x:c>
      <x:c r="G96" s="5" t="str">
        <x:v>Eindeutig auf UI-Key auflösen</x:v>
      </x:c>
    </x:row>
    <x:row r="97" ht="36" customHeight="1">
      <x:c r="A97" s="5" t="str">
        <x:v>Betriebliches Rechnungswesen und Controlling</x:v>
      </x:c>
      <x:c r="B97" s="5" t="str">
        <x:v>Ist- &amp; Normalkostenrechnung</x:v>
      </x:c>
      <x:c r="C97" s="5" t="str">
        <x:v>ui-hq-0020</x:v>
      </x:c>
      <x:c r="D97" s="5" t="str">
        <x:v>dg-hq-0137</x:v>
      </x:c>
      <x:c r="E97" s="5" t="n">
        <x:v>8</x:v>
      </x:c>
      <x:c r="F97" s="5" t="str">
        <x:v>unter Oberthema intern behalten / zusammenführen</x:v>
      </x:c>
      <x:c r="G97" s="5" t="str">
        <x:v>Eindeutig auf UI-Key auflösen</x:v>
      </x:c>
    </x:row>
    <x:row r="98" ht="36" customHeight="1">
      <x:c r="A98" s="5" t="str">
        <x:v>Betriebliches Rechnungswesen und Controlling</x:v>
      </x:c>
      <x:c r="B98" s="5" t="str">
        <x:v>Plankostenrechnung &amp; Abweichungsanalyse</x:v>
      </x:c>
      <x:c r="C98" s="5" t="str">
        <x:v>ui-hq-0020</x:v>
      </x:c>
      <x:c r="D98" s="5" t="str">
        <x:v>dg-hq-0138</x:v>
      </x:c>
      <x:c r="E98" s="5" t="n">
        <x:v>9</x:v>
      </x:c>
      <x:c r="F98" s="5" t="str">
        <x:v>unter Oberthema intern behalten / zusammenführen</x:v>
      </x:c>
      <x:c r="G98" s="5" t="str">
        <x:v>Eindeutig auf UI-Key auflösen</x:v>
      </x:c>
    </x:row>
    <x:row r="99" ht="36" customHeight="1">
      <x:c r="A99" s="5" t="str">
        <x:v>Betriebliches Rechnungswesen und Controlling</x:v>
      </x:c>
      <x:c r="B99" s="5" t="str">
        <x:v>Target Costing</x:v>
      </x:c>
      <x:c r="C99" s="5" t="str">
        <x:v>ui-hq-0020</x:v>
      </x:c>
      <x:c r="D99" s="5" t="str">
        <x:v>dg-hq-0139</x:v>
      </x:c>
      <x:c r="E99" s="5" t="n">
        <x:v>5</x:v>
      </x:c>
      <x:c r="F99" s="5" t="str">
        <x:v>unter Oberthema intern behalten / zusammenführen</x:v>
      </x:c>
      <x:c r="G99" s="5" t="str">
        <x:v>Eindeutig auf UI-Key auflösen</x:v>
      </x:c>
    </x:row>
    <x:row r="100" ht="36" customHeight="1">
      <x:c r="A100" s="5" t="str">
        <x:v>Betriebliches Rechnungswesen und Controlling</x:v>
      </x:c>
      <x:c r="B100" s="5" t="str">
        <x:v>Prozesskostenrechnung</x:v>
      </x:c>
      <x:c r="C100" s="5" t="str">
        <x:v>ui-hq-0020</x:v>
      </x:c>
      <x:c r="D100" s="5" t="str">
        <x:v>dg-hq-0140</x:v>
      </x:c>
      <x:c r="E100" s="5" t="n">
        <x:v>6</x:v>
      </x:c>
      <x:c r="F100" s="5" t="str">
        <x:v>unter Oberthema intern behalten / zusammenführen</x:v>
      </x:c>
      <x:c r="G100" s="5" t="str">
        <x:v>Eindeutig auf UI-Key auflösen</x:v>
      </x:c>
    </x:row>
    <x:row r="101" ht="36" customHeight="1">
      <x:c r="A101" s="5" t="str">
        <x:v>Betriebliches Rechnungswesen und Controlling</x:v>
      </x:c>
      <x:c r="B101" s="5" t="str">
        <x:v>Controlling-Grundlagen, Aufgaben &amp; Organisation</x:v>
      </x:c>
      <x:c r="C101" s="5" t="str">
        <x:v>ui-hq-0021</x:v>
      </x:c>
      <x:c r="D101" s="5" t="str">
        <x:v>dg-hq-0141</x:v>
      </x:c>
      <x:c r="E101" s="5" t="n">
        <x:v>9</x:v>
      </x:c>
      <x:c r="F101" s="5" t="str">
        <x:v>unter Oberthema intern behalten / zusammenführen</x:v>
      </x:c>
      <x:c r="G101" s="5" t="str">
        <x:v>Eindeutig auf UI-Key auflösen</x:v>
      </x:c>
    </x:row>
    <x:row r="102" ht="36" customHeight="1">
      <x:c r="A102" s="5" t="str">
        <x:v>Betriebliches Rechnungswesen und Controlling</x:v>
      </x:c>
      <x:c r="B102" s="5" t="str">
        <x:v>Strategische Controllinginstrumente</x:v>
      </x:c>
      <x:c r="C102" s="5" t="str">
        <x:v>ui-hq-0021</x:v>
      </x:c>
      <x:c r="D102" s="5" t="str">
        <x:v>dg-hq-0142</x:v>
      </x:c>
      <x:c r="E102" s="5" t="n">
        <x:v>13</x:v>
      </x:c>
      <x:c r="F102" s="5" t="str">
        <x:v>unter Oberthema intern behalten / zusammenführen</x:v>
      </x:c>
      <x:c r="G102" s="5" t="str">
        <x:v>Eindeutig auf UI-Key auflösen</x:v>
      </x:c>
    </x:row>
    <x:row r="103" ht="36" customHeight="1">
      <x:c r="A103" s="5" t="str">
        <x:v>Betriebliches Rechnungswesen und Controlling</x:v>
      </x:c>
      <x:c r="B103" s="5" t="str">
        <x:v>Operatives Controlling, Kennzahlen &amp; Berichtswesen</x:v>
      </x:c>
      <x:c r="C103" s="5" t="str">
        <x:v>ui-hq-0021</x:v>
      </x:c>
      <x:c r="D103" s="5" t="str">
        <x:v>dg-hq-0143</x:v>
      </x:c>
      <x:c r="E103" s="5" t="n">
        <x:v>11</x:v>
      </x:c>
      <x:c r="F103" s="5" t="str">
        <x:v>unter Oberthema intern behalten / zusammenführen</x:v>
      </x:c>
      <x:c r="G103" s="5" t="str">
        <x:v>Eindeutig auf UI-Key auflösen</x:v>
      </x:c>
    </x:row>
    <x:row r="104" ht="36" customHeight="1">
      <x:c r="A104" s="5" t="str">
        <x:v>Investition und Finanzierung</x:v>
      </x:c>
      <x:c r="B104" s="5" t="str">
        <x:v>Kapitalbedarfs-, Finanz- &amp; Liquiditätsplanung</x:v>
      </x:c>
      <x:c r="C104" s="5" t="str">
        <x:v>ui-hq-0018</x:v>
      </x:c>
      <x:c r="D104" s="5" t="str">
        <x:v>dg-hq-0144; dg-hq-0149</x:v>
      </x:c>
      <x:c r="E104" s="5" t="n">
        <x:v>21</x:v>
      </x:c>
      <x:c r="F104" s="5" t="str">
        <x:v>unter Oberthema intern behalten / zusammenführen</x:v>
      </x:c>
      <x:c r="G104" s="5" t="str">
        <x:v>Eindeutig auf UI-Key auflösen</x:v>
      </x:c>
    </x:row>
    <x:row r="105" ht="36" customHeight="1">
      <x:c r="A105" s="5" t="str">
        <x:v>Investition und Finanzierung</x:v>
      </x:c>
      <x:c r="B105" s="5" t="str">
        <x:v>Investitionsgrundlagen &amp; -entscheidungen</x:v>
      </x:c>
      <x:c r="C105" s="5" t="str">
        <x:v>ui-hq-0017</x:v>
      </x:c>
      <x:c r="D105" s="5" t="str">
        <x:v>dg-hq-0145</x:v>
      </x:c>
      <x:c r="E105" s="5" t="n">
        <x:v>15</x:v>
      </x:c>
      <x:c r="F105" s="5" t="str">
        <x:v>unter Oberthema intern behalten / zusammenführen</x:v>
      </x:c>
      <x:c r="G105" s="5" t="str">
        <x:v>Eindeutig auf UI-Key auflösen</x:v>
      </x:c>
    </x:row>
    <x:row r="106" ht="36" customHeight="1">
      <x:c r="A106" s="5" t="str">
        <x:v>Investition und Finanzierung</x:v>
      </x:c>
      <x:c r="B106" s="5" t="str">
        <x:v>Statische Investitionsrechnung</x:v>
      </x:c>
      <x:c r="C106" s="5" t="str">
        <x:v>ui-hq-0017; ui-hq-0020</x:v>
      </x:c>
      <x:c r="D106" s="5" t="str">
        <x:v>dg-hq-0146; dg-hq-0157</x:v>
      </x:c>
      <x:c r="E106" s="5" t="n">
        <x:v>16</x:v>
      </x:c>
      <x:c r="F106" s="5" t="str">
        <x:v>in mehrere Oberthemen aufteilen</x:v>
      </x:c>
      <x:c r="G106" s="5" t="str">
        <x:v>Nicht eindeutig: Auswahl anbieten</x:v>
      </x:c>
    </x:row>
    <x:row r="107" ht="36" customHeight="1">
      <x:c r="A107" s="5" t="str">
        <x:v>Investition und Finanzierung</x:v>
      </x:c>
      <x:c r="B107" s="5" t="str">
        <x:v>Dynamische Investitionsrechnung &amp; Nutzungsdauer</x:v>
      </x:c>
      <x:c r="C107" s="5" t="str">
        <x:v>ui-hq-0017</x:v>
      </x:c>
      <x:c r="D107" s="5" t="str">
        <x:v>dg-hq-0147; dg-hq-0148</x:v>
      </x:c>
      <x:c r="E107" s="5" t="n">
        <x:v>20</x:v>
      </x:c>
      <x:c r="F107" s="5" t="str">
        <x:v>unter Oberthema intern behalten / zusammenführen</x:v>
      </x:c>
      <x:c r="G107" s="5" t="str">
        <x:v>Eindeutig auf UI-Key auflösen</x:v>
      </x:c>
    </x:row>
    <x:row r="108" ht="36" customHeight="1">
      <x:c r="A108" s="5" t="str">
        <x:v>Investition und Finanzierung</x:v>
      </x:c>
      <x:c r="B108" s="5" t="str">
        <x:v>Kapitalstruktur, Finanzierungsregeln &amp; Leverage</x:v>
      </x:c>
      <x:c r="C108" s="5" t="str">
        <x:v>ui-hq-0018</x:v>
      </x:c>
      <x:c r="D108" s="5" t="str">
        <x:v>dg-hq-0150; dg-hq-0156</x:v>
      </x:c>
      <x:c r="E108" s="5" t="n">
        <x:v>20</x:v>
      </x:c>
      <x:c r="F108" s="5" t="str">
        <x:v>unter Oberthema intern behalten / zusammenführen</x:v>
      </x:c>
      <x:c r="G108" s="5" t="str">
        <x:v>Eindeutig auf UI-Key auflösen</x:v>
      </x:c>
    </x:row>
    <x:row r="109" ht="36" customHeight="1">
      <x:c r="A109" s="5" t="str">
        <x:v>Investition und Finanzierung</x:v>
      </x:c>
      <x:c r="B109" s="5" t="str">
        <x:v>Kreditsicherheiten</x:v>
      </x:c>
      <x:c r="C109" s="5" t="str">
        <x:v>ui-hq-0018</x:v>
      </x:c>
      <x:c r="D109" s="5" t="str">
        <x:v>dg-hq-0151</x:v>
      </x:c>
      <x:c r="E109" s="5" t="n">
        <x:v>10</x:v>
      </x:c>
      <x:c r="F109" s="5" t="str">
        <x:v>unter Oberthema intern behalten / zusammenführen</x:v>
      </x:c>
      <x:c r="G109" s="5" t="str">
        <x:v>Eindeutig auf UI-Key auflösen</x:v>
      </x:c>
    </x:row>
    <x:row r="110" ht="36" customHeight="1">
      <x:c r="A110" s="5" t="str">
        <x:v>Investition und Finanzierung</x:v>
      </x:c>
      <x:c r="B110" s="5" t="str">
        <x:v>Innenfinanzierung &amp; Kapitalfreisetzung</x:v>
      </x:c>
      <x:c r="C110" s="5" t="str">
        <x:v>ui-hq-0019</x:v>
      </x:c>
      <x:c r="D110" s="5" t="str">
        <x:v>dg-hq-0152</x:v>
      </x:c>
      <x:c r="E110" s="5" t="n">
        <x:v>16</x:v>
      </x:c>
      <x:c r="F110" s="5" t="str">
        <x:v>unter Oberthema intern behalten / zusammenführen</x:v>
      </x:c>
      <x:c r="G110" s="5" t="str">
        <x:v>Eindeutig auf UI-Key auflösen</x:v>
      </x:c>
    </x:row>
    <x:row r="111" ht="36" customHeight="1">
      <x:c r="A111" s="5" t="str">
        <x:v>Investition und Finanzierung</x:v>
      </x:c>
      <x:c r="B111" s="5" t="str">
        <x:v>Sonderformen, Bonität &amp; Rating</x:v>
      </x:c>
      <x:c r="C111" s="5" t="str">
        <x:v>ui-hq-0019; ui-hq-0018</x:v>
      </x:c>
      <x:c r="D111" s="5" t="str">
        <x:v>dg-hq-0153; dg-hq-0149</x:v>
      </x:c>
      <x:c r="E111" s="5" t="n">
        <x:v>19</x:v>
      </x:c>
      <x:c r="F111" s="5" t="str">
        <x:v>in mehrere Oberthemen aufteilen</x:v>
      </x:c>
      <x:c r="G111" s="5" t="str">
        <x:v>Nicht eindeutig: Auswahl anbieten</x:v>
      </x:c>
    </x:row>
    <x:row r="112" ht="36" customHeight="1">
      <x:c r="A112" s="5" t="str">
        <x:v>Investition und Finanzierung</x:v>
      </x:c>
      <x:c r="B112" s="5" t="str">
        <x:v>Beteiligungs- &amp; Mezzanine-Finanzierung</x:v>
      </x:c>
      <x:c r="C112" s="5" t="str">
        <x:v>ui-hq-0019; ui-hq-0018</x:v>
      </x:c>
      <x:c r="D112" s="5" t="str">
        <x:v>dg-hq-0154; dg-hq-0158</x:v>
      </x:c>
      <x:c r="E112" s="5" t="n">
        <x:v>11</x:v>
      </x:c>
      <x:c r="F112" s="5" t="str">
        <x:v>in mehrere Oberthemen aufteilen</x:v>
      </x:c>
      <x:c r="G112" s="5" t="str">
        <x:v>Nicht eindeutig: Auswahl anbieten</x:v>
      </x:c>
    </x:row>
    <x:row r="113" ht="36" customHeight="1">
      <x:c r="A113" s="5" t="str">
        <x:v>Investition und Finanzierung</x:v>
      </x:c>
      <x:c r="B113" s="5" t="str">
        <x:v>Kurz- &amp; langfristige Kreditfinanzierung</x:v>
      </x:c>
      <x:c r="C113" s="5" t="str">
        <x:v>ui-hq-0019; ui-hq-0018</x:v>
      </x:c>
      <x:c r="D113" s="5" t="str">
        <x:v>dg-hq-0155; dg-hq-0159; dg-hq-0160; dg-hq-0161</x:v>
      </x:c>
      <x:c r="E113" s="5" t="n">
        <x:v>18</x:v>
      </x:c>
      <x:c r="F113" s="5" t="str">
        <x:v>in mehrere Oberthemen aufteilen</x:v>
      </x:c>
      <x:c r="G113" s="5" t="str">
        <x:v>Nicht eindeutig: Auswahl anbieten</x:v>
      </x:c>
    </x:row>
    <x:row r="114" ht="36" customHeight="1">
      <x:c r="A114" s="5" t="str">
        <x:v>Logistik</x:v>
      </x:c>
      <x:c r="B114" s="5" t="str">
        <x:v>Logistikgrundlagen, Wertschöpfungskette &amp; SCM</x:v>
      </x:c>
      <x:c r="C114" s="5" t="str">
        <x:v>ui-hq-0022</x:v>
      </x:c>
      <x:c r="D114" s="5" t="str">
        <x:v>dg-hq-0091</x:v>
      </x:c>
      <x:c r="E114" s="5" t="n">
        <x:v>41</x:v>
      </x:c>
      <x:c r="F114" s="5" t="str">
        <x:v>unter Oberthema intern behalten / zusammenführen</x:v>
      </x:c>
      <x:c r="G114" s="5" t="str">
        <x:v>Eindeutig auf UI-Key auflösen</x:v>
      </x:c>
    </x:row>
    <x:row r="115" ht="36" customHeight="1">
      <x:c r="A115" s="5" t="str">
        <x:v>Logistik</x:v>
      </x:c>
      <x:c r="B115" s="5" t="str">
        <x:v>Analysetechniken &amp; Beschaffungsstrategien</x:v>
      </x:c>
      <x:c r="C115" s="5" t="str">
        <x:v>ui-hq-0022</x:v>
      </x:c>
      <x:c r="D115" s="5" t="str">
        <x:v>dg-hq-0092</x:v>
      </x:c>
      <x:c r="E115" s="5" t="n">
        <x:v>30</x:v>
      </x:c>
      <x:c r="F115" s="5" t="str">
        <x:v>unter Oberthema intern behalten / zusammenführen</x:v>
      </x:c>
      <x:c r="G115" s="5" t="str">
        <x:v>Eindeutig auf UI-Key auflösen</x:v>
      </x:c>
    </x:row>
    <x:row r="116" ht="36" customHeight="1">
      <x:c r="A116" s="5" t="str">
        <x:v>Logistik</x:v>
      </x:c>
      <x:c r="B116" s="5" t="str">
        <x:v>Externe Transportsysteme, Verpackung &amp; Distribution</x:v>
      </x:c>
      <x:c r="C116" s="5" t="str">
        <x:v>ui-hq-0024</x:v>
      </x:c>
      <x:c r="D116" s="5" t="str">
        <x:v>dg-hq-0093; dg-hq-0105; dg-hq-0106; dg-hq-0113</x:v>
      </x:c>
      <x:c r="E116" s="5" t="n">
        <x:v>28</x:v>
      </x:c>
      <x:c r="F116" s="5" t="str">
        <x:v>unter Oberthema intern behalten / zusammenführen</x:v>
      </x:c>
      <x:c r="G116" s="5" t="str">
        <x:v>Eindeutig auf UI-Key auflösen</x:v>
      </x:c>
    </x:row>
    <x:row r="117" ht="36" customHeight="1">
      <x:c r="A117" s="5" t="str">
        <x:v>Logistik</x:v>
      </x:c>
      <x:c r="B117" s="5" t="str">
        <x:v>Einkaufsorganisation &amp; Beschaffungsprozess</x:v>
      </x:c>
      <x:c r="C117" s="5" t="str">
        <x:v>ui-hq-0022</x:v>
      </x:c>
      <x:c r="D117" s="5" t="str">
        <x:v>dg-hq-0094</x:v>
      </x:c>
      <x:c r="E117" s="5" t="n">
        <x:v>32</x:v>
      </x:c>
      <x:c r="F117" s="5" t="str">
        <x:v>unter Oberthema intern behalten / zusammenführen</x:v>
      </x:c>
      <x:c r="G117" s="5" t="str">
        <x:v>Eindeutig auf UI-Key auflösen</x:v>
      </x:c>
    </x:row>
    <x:row r="118" ht="36" customHeight="1">
      <x:c r="A118" s="5" t="str">
        <x:v>Logistik</x:v>
      </x:c>
      <x:c r="B118" s="5" t="str">
        <x:v>Sourcing &amp; Lieferantenmanagement</x:v>
      </x:c>
      <x:c r="C118" s="5" t="str">
        <x:v>ui-hq-0022; ui-hq-0025</x:v>
      </x:c>
      <x:c r="D118" s="5" t="str">
        <x:v>dg-hq-0095; dg-hq-0096</x:v>
      </x:c>
      <x:c r="E118" s="5" t="n">
        <x:v>35</x:v>
      </x:c>
      <x:c r="F118" s="5" t="str">
        <x:v>in mehrere Oberthemen aufteilen</x:v>
      </x:c>
      <x:c r="G118" s="5" t="str">
        <x:v>Nicht eindeutig: Auswahl anbieten</x:v>
      </x:c>
    </x:row>
    <x:row r="119" ht="36" customHeight="1">
      <x:c r="A119" s="5" t="str">
        <x:v>Logistik</x:v>
      </x:c>
      <x:c r="B119" s="5" t="str">
        <x:v>Bedarfsermittlung, Liefermengen &amp; Lieferzeitpunkte</x:v>
      </x:c>
      <x:c r="C119" s="5" t="str">
        <x:v>ui-hq-0022</x:v>
      </x:c>
      <x:c r="D119" s="5" t="str">
        <x:v>dg-hq-0097; dg-hq-0112</x:v>
      </x:c>
      <x:c r="E119" s="5" t="n">
        <x:v>53</x:v>
      </x:c>
      <x:c r="F119" s="5" t="str">
        <x:v>unter Oberthema intern behalten / zusammenführen</x:v>
      </x:c>
      <x:c r="G119" s="5" t="str">
        <x:v>Eindeutig auf UI-Key auflösen</x:v>
      </x:c>
    </x:row>
    <x:row r="120" ht="36" customHeight="1">
      <x:c r="A120" s="5" t="str">
        <x:v>Logistik</x:v>
      </x:c>
      <x:c r="B120" s="5" t="str">
        <x:v>Materialwirtschaft, Lagerung &amp; Kommissionierung</x:v>
      </x:c>
      <x:c r="C120" s="5" t="str">
        <x:v>ui-hq-0023</x:v>
      </x:c>
      <x:c r="D120" s="5" t="str">
        <x:v>dg-hq-0098; dg-hq-0099; dg-hq-0100</x:v>
      </x:c>
      <x:c r="E120" s="5" t="n">
        <x:v>40</x:v>
      </x:c>
      <x:c r="F120" s="5" t="str">
        <x:v>unter Oberthema intern behalten / zusammenführen</x:v>
      </x:c>
      <x:c r="G120" s="5" t="str">
        <x:v>Eindeutig auf UI-Key auflösen</x:v>
      </x:c>
    </x:row>
    <x:row r="121" ht="36" customHeight="1">
      <x:c r="A121" s="5" t="str">
        <x:v>Logistik</x:v>
      </x:c>
      <x:c r="B121" s="5" t="str">
        <x:v>Verträge, Lieferbedingungen &amp; Zollrecht</x:v>
      </x:c>
      <x:c r="C121" s="5" t="str">
        <x:v>ui-hq-0026</x:v>
      </x:c>
      <x:c r="D121" s="5" t="str">
        <x:v>dg-hq-0101; dg-hq-0110; dg-hq-0111</x:v>
      </x:c>
      <x:c r="E121" s="5" t="n">
        <x:v>24</x:v>
      </x:c>
      <x:c r="F121" s="5" t="str">
        <x:v>unter Oberthema intern behalten / zusammenführen</x:v>
      </x:c>
      <x:c r="G121" s="5" t="str">
        <x:v>Eindeutig auf UI-Key auflösen</x:v>
      </x:c>
    </x:row>
    <x:row r="122" ht="36" customHeight="1">
      <x:c r="A122" s="5" t="str">
        <x:v>Logistik</x:v>
      </x:c>
      <x:c r="B122" s="5" t="str">
        <x:v>Entsorgungslogistik &amp; Rationalisierung</x:v>
      </x:c>
      <x:c r="C122" s="5" t="str">
        <x:v>ui-hq-0024; ui-hq-0026; ui-hq-0025</x:v>
      </x:c>
      <x:c r="D122" s="5" t="str">
        <x:v>dg-hq-0102; dg-hq-0107; dg-hq-0105; dg-hq-0108; dg-hq-0096; dg-hq-0109</x:v>
      </x:c>
      <x:c r="E122" s="5" t="n">
        <x:v>18</x:v>
      </x:c>
      <x:c r="F122" s="5" t="str">
        <x:v>in mehrere Oberthemen aufteilen</x:v>
      </x:c>
      <x:c r="G122" s="5" t="str">
        <x:v>Nicht eindeutig: Auswahl anbieten</x:v>
      </x:c>
    </x:row>
    <x:row r="123" ht="36" customHeight="1">
      <x:c r="A123" s="5" t="str">
        <x:v>Logistik</x:v>
      </x:c>
      <x:c r="B123" s="5" t="str">
        <x:v>Fertigungsprinzipien &amp; interne Transportsysteme</x:v>
      </x:c>
      <x:c r="C123" s="5" t="str">
        <x:v>ui-hq-0024</x:v>
      </x:c>
      <x:c r="D123" s="5" t="str">
        <x:v>dg-hq-0103; dg-hq-0104</x:v>
      </x:c>
      <x:c r="E123" s="5" t="n">
        <x:v>16</x:v>
      </x:c>
      <x:c r="F123" s="5" t="str">
        <x:v>unter Oberthema intern behalten / zusammenführen</x:v>
      </x:c>
      <x:c r="G123" s="5" t="str">
        <x:v>Eindeutig auf UI-Key auflösen</x:v>
      </x:c>
    </x:row>
    <x:row r="124" ht="36" customHeight="1">
      <x:c r="A124" s="5" t="str">
        <x:v>Marketing</x:v>
      </x:c>
      <x:c r="B124" s="5" t="str">
        <x:v>Marketingmix nach Markt- &amp; Leistungsart</x:v>
      </x:c>
      <x:c r="C124" s="5" t="str">
        <x:v>ui-hq-0028</x:v>
      </x:c>
      <x:c r="D124" s="5" t="str">
        <x:v>dg-hq-0114</x:v>
      </x:c>
      <x:c r="E124" s="5" t="n">
        <x:v>5</x:v>
      </x:c>
      <x:c r="F124" s="5" t="str">
        <x:v>unter Oberthema intern behalten / zusammenführen</x:v>
      </x:c>
      <x:c r="G124" s="5" t="str">
        <x:v>Eindeutig auf UI-Key auflösen</x:v>
      </x:c>
    </x:row>
    <x:row r="125" ht="36" customHeight="1">
      <x:c r="A125" s="5" t="str">
        <x:v>Marketing</x:v>
      </x:c>
      <x:c r="B125" s="5" t="str">
        <x:v>Marketingplanung &amp; Marketingmix</x:v>
      </x:c>
      <x:c r="C125" s="5" t="str">
        <x:v>ui-hq-0027</x:v>
      </x:c>
      <x:c r="D125" s="5" t="str">
        <x:v>dg-hq-0115</x:v>
      </x:c>
      <x:c r="E125" s="5" t="n">
        <x:v>10</x:v>
      </x:c>
      <x:c r="F125" s="5" t="str">
        <x:v>unter Oberthema intern behalten / zusammenführen</x:v>
      </x:c>
      <x:c r="G125" s="5" t="str">
        <x:v>Eindeutig auf UI-Key auflösen</x:v>
      </x:c>
    </x:row>
    <x:row r="126" ht="36" customHeight="1">
      <x:c r="A126" s="5" t="str">
        <x:v>Marketing</x:v>
      </x:c>
      <x:c r="B126" s="5" t="str">
        <x:v>Marketinggrundlagen &amp; Marketingziele</x:v>
      </x:c>
      <x:c r="C126" s="5" t="str">
        <x:v>ui-hq-0027</x:v>
      </x:c>
      <x:c r="D126" s="5" t="str">
        <x:v>dg-hq-0116</x:v>
      </x:c>
      <x:c r="E126" s="5" t="n">
        <x:v>6</x:v>
      </x:c>
      <x:c r="F126" s="5" t="str">
        <x:v>unter Oberthema intern behalten / zusammenführen</x:v>
      </x:c>
      <x:c r="G126" s="5" t="str">
        <x:v>Eindeutig auf UI-Key auflösen</x:v>
      </x:c>
    </x:row>
    <x:row r="127" ht="36" customHeight="1">
      <x:c r="A127" s="5" t="str">
        <x:v>Marketing</x:v>
      </x:c>
      <x:c r="B127" s="5" t="str">
        <x:v>Marketingstrategien &amp; strategische Analyse</x:v>
      </x:c>
      <x:c r="C127" s="5" t="str">
        <x:v>ui-hq-0027</x:v>
      </x:c>
      <x:c r="D127" s="5" t="str">
        <x:v>dg-hq-0117; dg-hq-0120; dg-hq-0121; dg-hq-0122; dg-hq-0123</x:v>
      </x:c>
      <x:c r="E127" s="5" t="n">
        <x:v>15</x:v>
      </x:c>
      <x:c r="F127" s="5" t="str">
        <x:v>unter Oberthema intern behalten / zusammenführen</x:v>
      </x:c>
      <x:c r="G127" s="5" t="str">
        <x:v>Eindeutig auf UI-Key auflösen</x:v>
      </x:c>
    </x:row>
    <x:row r="128" ht="36" customHeight="1">
      <x:c r="A128" s="5" t="str">
        <x:v>Marketing</x:v>
      </x:c>
      <x:c r="B128" s="5" t="str">
        <x:v>Marktanalyse &amp; Marktforschung</x:v>
      </x:c>
      <x:c r="C128" s="5" t="str">
        <x:v>ui-hq-0027</x:v>
      </x:c>
      <x:c r="D128" s="5" t="str">
        <x:v>dg-hq-0118</x:v>
      </x:c>
      <x:c r="E128" s="5" t="n">
        <x:v>7</x:v>
      </x:c>
      <x:c r="F128" s="5" t="str">
        <x:v>unter Oberthema intern behalten / zusammenführen</x:v>
      </x:c>
      <x:c r="G128" s="5" t="str">
        <x:v>Eindeutig auf UI-Key auflösen</x:v>
      </x:c>
    </x:row>
    <x:row r="129" ht="36" customHeight="1">
      <x:c r="A129" s="5" t="str">
        <x:v>Marketing</x:v>
      </x:c>
      <x:c r="B129" s="5" t="str">
        <x:v>Produkt-, Sortiments- &amp; Servicepolitik</x:v>
      </x:c>
      <x:c r="C129" s="5" t="str">
        <x:v>ui-hq-0028</x:v>
      </x:c>
      <x:c r="D129" s="5" t="str">
        <x:v>dg-hq-0119</x:v>
      </x:c>
      <x:c r="E129" s="5" t="n">
        <x:v>20</x:v>
      </x:c>
      <x:c r="F129" s="5" t="str">
        <x:v>unter Oberthema intern behalten / zusammenführen</x:v>
      </x:c>
      <x:c r="G129" s="5" t="str">
        <x:v>Eindeutig auf UI-Key auflösen</x:v>
      </x:c>
    </x:row>
    <x:row r="130" ht="36" customHeight="1">
      <x:c r="A130" s="5" t="str">
        <x:v>Marketing</x:v>
      </x:c>
      <x:c r="B130" s="5" t="str">
        <x:v>Preis- &amp; Konditionenpolitik</x:v>
      </x:c>
      <x:c r="C130" s="5" t="str">
        <x:v>ui-hq-0028</x:v>
      </x:c>
      <x:c r="D130" s="5" t="str">
        <x:v>dg-hq-0124</x:v>
      </x:c>
      <x:c r="E130" s="5" t="n">
        <x:v>9</x:v>
      </x:c>
      <x:c r="F130" s="5" t="str">
        <x:v>unter Oberthema intern behalten / zusammenführen</x:v>
      </x:c>
      <x:c r="G130" s="5" t="str">
        <x:v>Eindeutig auf UI-Key auflösen</x:v>
      </x:c>
    </x:row>
    <x:row r="131" ht="36" customHeight="1">
      <x:c r="A131" s="5" t="str">
        <x:v>Marketing</x:v>
      </x:c>
      <x:c r="B131" s="5" t="str">
        <x:v>Kommunikationspolitik</x:v>
      </x:c>
      <x:c r="C131" s="5" t="str">
        <x:v>ui-hq-0028</x:v>
      </x:c>
      <x:c r="D131" s="5" t="str">
        <x:v>dg-hq-0125</x:v>
      </x:c>
      <x:c r="E131" s="5" t="n">
        <x:v>26</x:v>
      </x:c>
      <x:c r="F131" s="5" t="str">
        <x:v>unter Oberthema intern behalten / zusammenführen</x:v>
      </x:c>
      <x:c r="G131" s="5" t="str">
        <x:v>Eindeutig auf UI-Key auflösen</x:v>
      </x:c>
    </x:row>
    <x:row r="132" ht="36" customHeight="1">
      <x:c r="A132" s="5" t="str">
        <x:v>Marketing</x:v>
      </x:c>
      <x:c r="B132" s="5" t="str">
        <x:v>Distributionspolitik</x:v>
      </x:c>
      <x:c r="C132" s="5" t="str">
        <x:v>ui-hq-0028</x:v>
      </x:c>
      <x:c r="D132" s="5" t="str">
        <x:v>dg-hq-0126</x:v>
      </x:c>
      <x:c r="E132" s="5" t="n">
        <x:v>9</x:v>
      </x:c>
      <x:c r="F132" s="5" t="str">
        <x:v>unter Oberthema intern behalten / zusammenführen</x:v>
      </x:c>
      <x:c r="G132" s="5" t="str">
        <x:v>Eindeutig auf UI-Key auflösen</x:v>
      </x:c>
    </x:row>
    <x:row r="133" ht="36" customHeight="1">
      <x:c r="A133" s="5" t="str">
        <x:v>Vertrieb</x:v>
      </x:c>
      <x:c r="B133" s="5" t="str">
        <x:v>Vertriebsmanagement &amp; Kundenbeziehungen</x:v>
      </x:c>
      <x:c r="C133" s="5" t="str">
        <x:v>ui-hq-0029</x:v>
      </x:c>
      <x:c r="D133" s="5" t="str">
        <x:v>dg-hq-0127</x:v>
      </x:c>
      <x:c r="E133" s="5" t="n">
        <x:v>7</x:v>
      </x:c>
      <x:c r="F133" s="5" t="str">
        <x:v>unter Oberthema intern behalten / zusammenführen</x:v>
      </x:c>
      <x:c r="G133" s="5" t="str">
        <x:v>Eindeutig auf UI-Key auflösen</x:v>
      </x:c>
    </x:row>
    <x:row r="134" ht="36" customHeight="1">
      <x:c r="A134" s="5" t="str">
        <x:v>Vertrieb</x:v>
      </x:c>
      <x:c r="B134" s="5" t="str">
        <x:v>Vertriebsorganisation &amp; Key-Account-Management</x:v>
      </x:c>
      <x:c r="C134" s="5" t="str">
        <x:v>ui-hq-0029</x:v>
      </x:c>
      <x:c r="D134" s="5" t="str">
        <x:v>dg-hq-0127</x:v>
      </x:c>
      <x:c r="E134" s="5" t="n">
        <x:v>7</x:v>
      </x:c>
      <x:c r="F134" s="5" t="str">
        <x:v>unter Oberthema intern behalten / zusammenführen</x:v>
      </x:c>
      <x:c r="G134" s="5" t="str">
        <x:v>Eindeutig auf UI-Key auflösen</x:v>
      </x:c>
    </x:row>
    <x:row r="135" ht="36" customHeight="1">
      <x:c r="A135" s="5" t="str">
        <x:v>Vertrieb</x:v>
      </x:c>
      <x:c r="B135" s="5" t="str">
        <x:v>Vertriebscontrolling</x:v>
      </x:c>
      <x:c r="C135" s="5" t="str">
        <x:v>ui-hq-0029</x:v>
      </x:c>
      <x:c r="D135" s="5" t="str">
        <x:v>dg-hq-0128</x:v>
      </x:c>
      <x:c r="E135" s="5" t="n">
        <x:v>12</x:v>
      </x:c>
      <x:c r="F135" s="5" t="str">
        <x:v>unter Oberthema intern behalten / zusammenführen</x:v>
      </x:c>
      <x:c r="G135" s="5" t="str">
        <x:v>Eindeutig auf UI-Key auflösen</x:v>
      </x:c>
    </x:row>
    <x:row r="136" ht="36" customHeight="1">
      <x:c r="A136" s="5" t="str">
        <x:v>Vertrieb</x:v>
      </x:c>
      <x:c r="B136" s="5" t="str">
        <x:v>Vertriebswege, Absatzorgane &amp; E-Commerce</x:v>
      </x:c>
      <x:c r="C136" s="5" t="str">
        <x:v>ui-hq-0029</x:v>
      </x:c>
      <x:c r="D136" s="5" t="str">
        <x:v>dg-hq-0127</x:v>
      </x:c>
      <x:c r="E136" s="5" t="n">
        <x:v>12</x:v>
      </x:c>
      <x:c r="F136" s="5" t="str">
        <x:v>unter Oberthema intern behalten / zusammenführen</x:v>
      </x:c>
      <x:c r="G136" s="5" t="str">
        <x:v>Eindeutig auf UI-Key auflösen</x:v>
      </x:c>
    </x:row>
    <x:row r="137" ht="36" customHeight="1">
      <x:c r="A137" s="5" t="str">
        <x:v>Vertrieb</x:v>
      </x:c>
      <x:c r="B137" s="5" t="str">
        <x:v>Außenhandel &amp; Handelspolitik</x:v>
      </x:c>
      <x:c r="C137" s="5" t="str">
        <x:v>ui-hq-0030</x:v>
      </x:c>
      <x:c r="D137" s="5" t="str">
        <x:v>dg-hq-0129</x:v>
      </x:c>
      <x:c r="E137" s="5" t="n">
        <x:v>12</x:v>
      </x:c>
      <x:c r="F137" s="5" t="str">
        <x:v>unter Oberthema intern behalten / zusammenführen</x:v>
      </x:c>
      <x:c r="G137" s="5" t="str">
        <x:v>Eindeutig auf UI-Key auflösen</x:v>
      </x:c>
    </x:row>
    <x:row r="138" ht="36" customHeight="1">
      <x:c r="A138" s="5" t="str">
        <x:v>Vertrieb</x:v>
      </x:c>
      <x:c r="B138" s="5" t="str">
        <x:v>Internationale Kooperationen &amp; Markteintritt</x:v>
      </x:c>
      <x:c r="C138" s="5" t="str">
        <x:v>ui-hq-0030</x:v>
      </x:c>
      <x:c r="D138" s="5" t="str">
        <x:v>dg-hq-0130</x:v>
      </x:c>
      <x:c r="E138" s="5" t="n">
        <x:v>9</x:v>
      </x:c>
      <x:c r="F138" s="5" t="str">
        <x:v>unter Oberthema intern behalten / zusammenführen</x:v>
      </x:c>
      <x:c r="G138" s="5" t="str">
        <x:v>Eindeutig auf UI-Key auflösen</x:v>
      </x:c>
    </x:row>
    <x:row r="139" ht="36" customHeight="1">
      <x:c r="A139" s="5" t="str">
        <x:v>Vertrieb</x:v>
      </x:c>
      <x:c r="B139" s="5" t="str">
        <x:v>Interkulturelle Kommunikation</x:v>
      </x:c>
      <x:c r="C139" s="5" t="str">
        <x:v>ui-hq-0030</x:v>
      </x:c>
      <x:c r="D139" s="5" t="str">
        <x:v>dg-hq-0131</x:v>
      </x:c>
      <x:c r="E139" s="5" t="n">
        <x:v>6</x:v>
      </x:c>
      <x:c r="F139" s="5" t="str">
        <x:v>unter Oberthema intern behalten / zusammenführen</x:v>
      </x:c>
      <x:c r="G139" s="5" t="str">
        <x:v>Eindeutig auf UI-Key auflösen</x:v>
      </x:c>
    </x:row>
    <x:row r="140" ht="36" customHeight="1">
      <x:c r="A140" s="5" t="str">
        <x:v>Vertrieb</x:v>
      </x:c>
      <x:c r="B140" s="5" t="str">
        <x:v>Wettbewerbsrecht – UWG &amp; GWB</x:v>
      </x:c>
      <x:c r="C140" s="5" t="str">
        <x:v>ui-hq-0031</x:v>
      </x:c>
      <x:c r="D140" s="5" t="str">
        <x:v>dg-hq-0132</x:v>
      </x:c>
      <x:c r="E140" s="5" t="n">
        <x:v>7</x:v>
      </x:c>
      <x:c r="F140" s="5" t="str">
        <x:v>unter Oberthema intern behalten / zusammenführen</x:v>
      </x:c>
      <x:c r="G140" s="5" t="str">
        <x:v>Eindeutig auf UI-Key auflösen</x:v>
      </x:c>
    </x:row>
    <x:row r="141" ht="36" customHeight="1">
      <x:c r="A141" s="5" t="str">
        <x:v>Vertrieb</x:v>
      </x:c>
      <x:c r="B141" s="5" t="str">
        <x:v>Markenrecht</x:v>
      </x:c>
      <x:c r="C141" s="5" t="str">
        <x:v>ui-hq-0031</x:v>
      </x:c>
      <x:c r="D141" s="5" t="str">
        <x:v>dg-hq-0133</x:v>
      </x:c>
      <x:c r="E141" s="5" t="n">
        <x:v>6</x:v>
      </x:c>
      <x:c r="F141" s="5" t="str">
        <x:v>unter Oberthema intern behalten / zusammenführen</x:v>
      </x:c>
      <x:c r="G141" s="5" t="str">
        <x:v>Eindeutig auf UI-Key auflösen</x:v>
      </x:c>
    </x:row>
    <x:row r="142" ht="36" customHeight="1">
      <x:c r="A142" s="5" t="str">
        <x:v>Vertrieb</x:v>
      </x:c>
      <x:c r="B142" s="5" t="str">
        <x:v>Verbraucherschutz &amp; AGB</x:v>
      </x:c>
      <x:c r="C142" s="5" t="str">
        <x:v>ui-hq-0031</x:v>
      </x:c>
      <x:c r="D142" s="5" t="str">
        <x:v>dg-hq-0134; dg-hq-0135</x:v>
      </x:c>
      <x:c r="E142" s="5" t="n">
        <x:v>6</x:v>
      </x:c>
      <x:c r="F142" s="5" t="str">
        <x:v>unter Oberthema intern behalten / zusammenführen</x:v>
      </x:c>
      <x:c r="G142" s="5" t="str">
        <x:v>Eindeutig auf UI-Key auflösen</x:v>
      </x:c>
    </x:row>
    <x:row r="143" ht="36" customHeight="1">
      <x:c r="A143" s="5" t="str">
        <x:v>Führung und Zusammenarbeit</x:v>
      </x:c>
      <x:c r="B143" s="5" t="str">
        <x:v>Zielorientierte Führung &amp; Führungskonzepte</x:v>
      </x:c>
      <x:c r="C143" s="5" t="str">
        <x:v>ui-hq-0032</x:v>
      </x:c>
      <x:c r="D143" s="5" t="str">
        <x:v>dg-hq-0001</x:v>
      </x:c>
      <x:c r="E143" s="5" t="n">
        <x:v>22</x:v>
      </x:c>
      <x:c r="F143" s="5" t="str">
        <x:v>unter Oberthema intern behalten / zusammenführen</x:v>
      </x:c>
      <x:c r="G143" s="5" t="str">
        <x:v>Eindeutig auf UI-Key auflösen</x:v>
      </x:c>
    </x:row>
    <x:row r="144" ht="36" customHeight="1">
      <x:c r="A144" s="5" t="str">
        <x:v>Führung und Zusammenarbeit</x:v>
      </x:c>
      <x:c r="B144" s="5" t="str">
        <x:v>Mitarbeitergespräche &amp; Beurteilung</x:v>
      </x:c>
      <x:c r="C144" s="5" t="str">
        <x:v>ui-hq-0033</x:v>
      </x:c>
      <x:c r="D144" s="5" t="str">
        <x:v>dg-hq-0002; dg-hq-0003</x:v>
      </x:c>
      <x:c r="E144" s="5" t="n">
        <x:v>23</x:v>
      </x:c>
      <x:c r="F144" s="5" t="str">
        <x:v>unter Oberthema intern behalten / zusammenführen</x:v>
      </x:c>
      <x:c r="G144" s="5" t="str">
        <x:v>Eindeutig auf UI-Key auflösen</x:v>
      </x:c>
    </x:row>
    <x:row r="145" ht="36" customHeight="1">
      <x:c r="A145" s="5" t="str">
        <x:v>Führung und Zusammenarbeit</x:v>
      </x:c>
      <x:c r="B145" s="5" t="str">
        <x:v>Persönlichkeit, Sozialverhalten &amp; Vielfalt</x:v>
      </x:c>
      <x:c r="C145" s="5" t="str">
        <x:v>ui-hq-0032</x:v>
      </x:c>
      <x:c r="D145" s="5" t="str">
        <x:v>dg-hq-0004</x:v>
      </x:c>
      <x:c r="E145" s="5" t="n">
        <x:v>13</x:v>
      </x:c>
      <x:c r="F145" s="5" t="str">
        <x:v>unter Oberthema intern behalten / zusammenführen</x:v>
      </x:c>
      <x:c r="G145" s="5" t="str">
        <x:v>Eindeutig auf UI-Key auflösen</x:v>
      </x:c>
    </x:row>
    <x:row r="146" ht="36" customHeight="1">
      <x:c r="A146" s="5" t="str">
        <x:v>Führung und Zusammenarbeit</x:v>
      </x:c>
      <x:c r="B146" s="5" t="str">
        <x:v>Führungsstile, Führungsmittel &amp; Zusammenarbeit</x:v>
      </x:c>
      <x:c r="C146" s="5" t="str">
        <x:v>ui-hq-0032</x:v>
      </x:c>
      <x:c r="D146" s="5" t="str">
        <x:v>dg-hq-0001</x:v>
      </x:c>
      <x:c r="E146" s="5" t="n">
        <x:v>26</x:v>
      </x:c>
      <x:c r="F146" s="5" t="str">
        <x:v>unter Oberthema intern behalten / zusammenführen</x:v>
      </x:c>
      <x:c r="G146" s="5" t="str">
        <x:v>Eindeutig auf UI-Key auflösen</x:v>
      </x:c>
    </x:row>
    <x:row r="147" ht="36" customHeight="1">
      <x:c r="A147" s="5" t="str">
        <x:v>Führung und Zusammenarbeit</x:v>
      </x:c>
      <x:c r="B147" s="5" t="str">
        <x:v>Konfliktmanagement &amp; Veränderungswiderstände</x:v>
      </x:c>
      <x:c r="C147" s="5" t="str">
        <x:v>ui-hq-0034</x:v>
      </x:c>
      <x:c r="D147" s="5" t="str">
        <x:v>dg-hq-0005</x:v>
      </x:c>
      <x:c r="E147" s="5" t="n">
        <x:v>18</x:v>
      </x:c>
      <x:c r="F147" s="5" t="str">
        <x:v>unter Oberthema intern behalten / zusammenführen</x:v>
      </x:c>
      <x:c r="G147" s="5" t="str">
        <x:v>Eindeutig auf UI-Key auflösen</x:v>
      </x:c>
    </x:row>
    <x:row r="148" ht="36" customHeight="1">
      <x:c r="A148" s="5" t="str">
        <x:v>Führung und Zusammenarbeit</x:v>
      </x:c>
      <x:c r="B148" s="5" t="str">
        <x:v>Mitarbeiterförderung &amp; Personalentwicklung</x:v>
      </x:c>
      <x:c r="C148" s="5" t="str">
        <x:v>ui-hq-0035</x:v>
      </x:c>
      <x:c r="D148" s="5" t="str">
        <x:v>dg-hq-0006; dg-hq-0020</x:v>
      </x:c>
      <x:c r="E148" s="5" t="n">
        <x:v>10</x:v>
      </x:c>
      <x:c r="F148" s="5" t="str">
        <x:v>unter Oberthema intern behalten / zusammenführen</x:v>
      </x:c>
      <x:c r="G148" s="5" t="str">
        <x:v>Eindeutig auf UI-Key auflösen</x:v>
      </x:c>
    </x:row>
    <x:row r="149" ht="36" customHeight="1">
      <x:c r="A149" s="5" t="str">
        <x:v>Führung und Zusammenarbeit</x:v>
      </x:c>
      <x:c r="B149" s="5" t="str">
        <x:v>Berufsausbildung</x:v>
      </x:c>
      <x:c r="C149" s="5" t="str">
        <x:v>ui-hq-0036</x:v>
      </x:c>
      <x:c r="D149" s="5" t="str">
        <x:v>dg-hq-0007; dg-hq-0008; dg-hq-0009; dg-hq-0010; dg-hq-0011; dg-hq-0012; dg-hq-0013; dg-hq-0014; dg-hq-0015; dg-hq-0021</x:v>
      </x:c>
      <x:c r="E149" s="5" t="n">
        <x:v>28</x:v>
      </x:c>
      <x:c r="F149" s="5" t="str">
        <x:v>unter Oberthema intern behalten / zusammenführen</x:v>
      </x:c>
      <x:c r="G149" s="5" t="str">
        <x:v>Eindeutig auf UI-Key auflösen</x:v>
      </x:c>
    </x:row>
    <x:row r="150" ht="36" customHeight="1">
      <x:c r="A150" s="5" t="str">
        <x:v>Führung und Zusammenarbeit</x:v>
      </x:c>
      <x:c r="B150" s="5" t="str">
        <x:v>Gruppen, Teams &amp; Projektgruppen</x:v>
      </x:c>
      <x:c r="C150" s="5" t="str">
        <x:v>ui-hq-0037</x:v>
      </x:c>
      <x:c r="D150" s="5" t="str">
        <x:v>dg-hq-0016; dg-hq-0018</x:v>
      </x:c>
      <x:c r="E150" s="5" t="n">
        <x:v>13</x:v>
      </x:c>
      <x:c r="F150" s="5" t="str">
        <x:v>unter Oberthema intern behalten / zusammenführen</x:v>
      </x:c>
      <x:c r="G150" s="5" t="str">
        <x:v>Eindeutig auf UI-Key auflösen</x:v>
      </x:c>
    </x:row>
    <x:row r="151" ht="36" customHeight="1">
      <x:c r="A151" s="5" t="str">
        <x:v>Führung und Zusammenarbeit</x:v>
      </x:c>
      <x:c r="B151" s="5" t="str">
        <x:v>Moderation &amp; Kreativitätstechniken</x:v>
      </x:c>
      <x:c r="C151" s="5" t="str">
        <x:v>ui-hq-0037</x:v>
      </x:c>
      <x:c r="D151" s="5" t="str">
        <x:v>dg-hq-0017</x:v>
      </x:c>
      <x:c r="E151" s="5" t="n">
        <x:v>18</x:v>
      </x:c>
      <x:c r="F151" s="5" t="str">
        <x:v>unter Oberthema intern behalten / zusammenführen</x:v>
      </x:c>
      <x:c r="G151" s="5" t="str">
        <x:v>Eindeutig auf UI-Key auflösen</x:v>
      </x:c>
    </x:row>
    <x:row r="152" ht="36" customHeight="1">
      <x:c r="A152" s="5" t="str">
        <x:v>Führung und Zusammenarbeit</x:v>
      </x:c>
      <x:c r="B152" s="5" t="str">
        <x:v>Präsentationstechniken</x:v>
      </x:c>
      <x:c r="C152" s="5" t="str">
        <x:v>ui-hq-0038</x:v>
      </x:c>
      <x:c r="D152" s="5" t="str">
        <x:v>dg-hq-0019</x:v>
      </x:c>
      <x:c r="E152" s="5" t="n">
        <x:v>17</x:v>
      </x:c>
      <x:c r="F152" s="5" t="str">
        <x:v>unter Oberthema intern behalten / zusammenführen</x:v>
      </x:c>
      <x:c r="G152" s="5" t="str">
        <x:v>Eindeutig auf UI-Key auflösen</x:v>
      </x:c>
    </x:row>
    <x:row r="153" ht="36" customHeight="1">
      <x:c r="A153" s="5" t="str">
        <x:v>Führung und Zusammenarbeit</x:v>
      </x:c>
      <x:c r="B153" s="5" t="str">
        <x:v>Grundlagen der Führung</x:v>
      </x:c>
      <x:c r="C153" s="5" t="str">
        <x:v>ui-hq-0032</x:v>
      </x:c>
      <x:c r="D153" s="5" t="str">
        <x:v>dg-hq-0001</x:v>
      </x:c>
      <x:c r="E153" s="5" t="n">
        <x:v>2</x:v>
      </x:c>
      <x:c r="F153" s="5" t="str">
        <x:v>unter Oberthema intern behalten / zusammenführen</x:v>
      </x:c>
      <x:c r="G153" s="5" t="str">
        <x:v>Eindeutig auf UI-Key auflösen</x:v>
      </x:c>
    </x:row>
    <x:row r="154" ht="36" customHeight="1">
      <x:c r="A154" s="5" t="str">
        <x:v>Führung und Zusammenarbeit</x:v>
      </x:c>
      <x:c r="B154" s="5" t="str">
        <x:v>Führungstechniken</x:v>
      </x:c>
      <x:c r="C154" s="5" t="str">
        <x:v>ui-hq-0032</x:v>
      </x:c>
      <x:c r="D154" s="5" t="str">
        <x:v>dg-hq-0001</x:v>
      </x:c>
      <x:c r="E154" s="5" t="n">
        <x:v>1</x:v>
      </x:c>
      <x:c r="F154" s="5" t="str">
        <x:v>unter Oberthema intern behalten / zusammenführen</x:v>
      </x:c>
      <x:c r="G154" s="5" t="str">
        <x:v>Eindeutig auf UI-Key auflösen</x:v>
      </x:c>
    </x:row>
    <x:row r="155" ht="36" customHeight="1">
      <x:c r="A155" s="5" t="str">
        <x:v>Führung und Zusammenarbeit</x:v>
      </x:c>
      <x:c r="B155" s="5" t="str">
        <x:v>Führungsstile &amp; -konzepte</x:v>
      </x:c>
      <x:c r="C155" s="5" t="str">
        <x:v>ui-hq-0032</x:v>
      </x:c>
      <x:c r="D155" s="5" t="str">
        <x:v>dg-hq-0001</x:v>
      </x:c>
      <x:c r="E155" s="5" t="n">
        <x:v>1</x:v>
      </x:c>
      <x:c r="F155" s="5" t="str">
        <x:v>unter Oberthema intern behalten / zusammenführen</x:v>
      </x:c>
      <x:c r="G155" s="5" t="str">
        <x:v>Eindeutig auf UI-Key auflösen</x:v>
      </x:c>
    </x:row>
    <x:row r="156" ht="36" customHeight="1">
      <x:c r="A156" s="5" t="str">
        <x:v>Führung und Zusammenarbeit</x:v>
      </x:c>
      <x:c r="B156" s="5" t="str">
        <x:v>Motivation &amp; Menschenbilder</x:v>
      </x:c>
      <x:c r="C156" s="5" t="str">
        <x:v>ui-hq-0032</x:v>
      </x:c>
      <x:c r="D156" s="5" t="str">
        <x:v>dg-hq-0001</x:v>
      </x:c>
      <x:c r="E156" s="5" t="n">
        <x:v>1</x:v>
      </x:c>
      <x:c r="F156" s="5" t="str">
        <x:v>unter Oberthema intern behalten / zusammenführen</x:v>
      </x:c>
      <x:c r="G156" s="5" t="str">
        <x:v>Eindeutig auf UI-Key auflösen</x:v>
      </x:c>
    </x:row>
    <x:row r="157" ht="36" customHeight="1">
      <x:c r="A157" s="5" t="str">
        <x:v>Führung und Zusammenarbeit</x:v>
      </x:c>
      <x:c r="B157" s="5" t="str">
        <x:v>Kommunikation &amp; Gesprächsführung</x:v>
      </x:c>
      <x:c r="C157" s="5" t="str">
        <x:v>ui-hq-0032</x:v>
      </x:c>
      <x:c r="D157" s="5" t="str">
        <x:v>dg-hq-0022</x:v>
      </x:c>
      <x:c r="E157" s="5" t="n">
        <x:v>2</x:v>
      </x:c>
      <x:c r="F157" s="5" t="str">
        <x:v>unter Oberthema intern behalten / zusammenführen</x:v>
      </x:c>
      <x:c r="G157" s="5" t="str">
        <x:v>Eindeutig auf UI-Key auflösen</x:v>
      </x:c>
    </x:row>
    <x:row r="158" ht="36" customHeight="1">
      <x:c r="A158" s="5" t="str">
        <x:v>Führung und Zusammenarbeit</x:v>
      </x:c>
      <x:c r="B158" s="5" t="str">
        <x:v>Mitarbeitergespräche</x:v>
      </x:c>
      <x:c r="C158" s="5" t="str">
        <x:v>ui-hq-0033</x:v>
      </x:c>
      <x:c r="D158" s="5" t="str">
        <x:v>dg-hq-0002</x:v>
      </x:c>
      <x:c r="E158" s="5" t="n">
        <x:v>4</x:v>
      </x:c>
      <x:c r="F158" s="5" t="str">
        <x:v>unter Oberthema intern behalten / zusammenführen</x:v>
      </x:c>
      <x:c r="G158" s="5" t="str">
        <x:v>Eindeutig auf UI-Key auflösen</x:v>
      </x:c>
    </x:row>
    <x:row r="159" ht="36" customHeight="1">
      <x:c r="A159" s="5" t="str">
        <x:v>Führung und Zusammenarbeit</x:v>
      </x:c>
      <x:c r="B159" s="5" t="str">
        <x:v>Personalmarketing &amp; Personalauswahl</x:v>
      </x:c>
      <x:c r="C159" s="5" t="str">
        <x:v>ui-hq-0035</x:v>
      </x:c>
      <x:c r="D159" s="5" t="str">
        <x:v>dg-hq-0023; dg-hq-0020; dg-hq-0024</x:v>
      </x:c>
      <x:c r="E159" s="5" t="n">
        <x:v>4</x:v>
      </x:c>
      <x:c r="F159" s="5" t="str">
        <x:v>unter Oberthema intern behalten / zusammenführen</x:v>
      </x:c>
      <x:c r="G159" s="5" t="str">
        <x:v>Eindeutig auf UI-Key auflösen</x:v>
      </x:c>
    </x:row>
    <x:row r="160" ht="36" customHeight="1">
      <x:c r="A160" s="5" t="str">
        <x:v>Führung und Zusammenarbeit</x:v>
      </x:c>
      <x:c r="B160" s="5" t="str">
        <x:v>Personalentwicklung &amp; Bildungscontrolling</x:v>
      </x:c>
      <x:c r="C160" s="5" t="str">
        <x:v>ui-hq-0035</x:v>
      </x:c>
      <x:c r="D160" s="5" t="str">
        <x:v>dg-hq-0006</x:v>
      </x:c>
      <x:c r="E160" s="5" t="n">
        <x:v>2</x:v>
      </x:c>
      <x:c r="F160" s="5" t="str">
        <x:v>unter Oberthema intern behalten / zusammenführen</x:v>
      </x:c>
      <x:c r="G160" s="5" t="str">
        <x:v>Eindeutig auf UI-Key auflösen</x:v>
      </x:c>
    </x:row>
  </x:sheetData>
  <x:pageMargins left="0.7" right="0.7" top="0.75" bottom="0.75" header="0.3" footer="0.3"/>
  <x:tableParts count="1">
    <x:tablePart xmlns:r="http://schemas.openxmlformats.org/officeDocument/2006/relationships" r:id="Re2085f37926c4d8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32" hidden="0" customWidth="1"/>
    <x:col min="2" max="2" width="48" hidden="0" customWidth="1"/>
    <x:col min="3" max="3" width="50" hidden="0" customWidth="1"/>
    <x:col min="4" max="4" width="100" hidden="0" customWidth="1"/>
    <x:col min="5" max="5" width="80" hidden="0" customWidth="1"/>
    <x:col min="6" max="6" width="90" hidden="0" customWidth="1"/>
  </x:cols>
  <x:sheetData>
    <x:row r="2">
      <x:c r="A2" s="1" t="str">
        <x:v>Hinweise aus der ursprünglichen Soll-Ist-Analyse</x:v>
      </x:c>
    </x:row>
    <x:row r="4">
      <x:c r="A4" s="2" t="str">
        <x:v>Planung / Revisionsstand · 28.09.2026 · WIFA-TR-GESAMT-20260927-REV2-FREIGEGEBENE-GRENZFAELLE · keine produktive Änderung</x:v>
      </x:c>
    </x:row>
    <x:row r="6" ht="34" customHeight="1">
      <x:c r="A6" s="9" t="str">
        <x:v>Rahmenplanpunkt</x:v>
      </x:c>
      <x:c r="B6" s="9" t="str">
        <x:v>Trainer-IDs</x:v>
      </x:c>
      <x:c r="C6" s="9" t="str">
        <x:v>Befundart</x:v>
      </x:c>
      <x:c r="D6" s="9" t="str">
        <x:v>Hinweis</x:v>
      </x:c>
      <x:c r="E6" s="9" t="str">
        <x:v>Bisherige Empfehlung</x:v>
      </x:c>
      <x:c r="F6" s="9" t="str">
        <x:v>Behandlung im Plan</x:v>
      </x:c>
    </x:row>
    <x:row r="7" ht="64" customHeight="1">
      <x:c r="A7" s="5" t="str">
        <x:v>1.1.4.1</x:v>
      </x:c>
      <x:c r="B7" s="5" t="str">
        <x:v>VWL-0127</x:v>
      </x:c>
      <x:c r="C7" s="5" t="str">
        <x:v>möglicherweise falsch zugeordnet</x:v>
      </x:c>
      <x:c r="D7" s="5" t="str">
        <x:v>Auslandstochtergesellschaft vs. Zweigniederlassung ist in „Außenwirtschaft“ abgelegt; fachlich näher bei Rechtsform-/Unternehmensstruktur bzw. internationalem Marketing.</x:v>
      </x:c>
      <x:c r="E7" s="5" t="str">
        <x:v>Bei späterer Neuordnung fachlich prüfen; nicht automatisch verschieben.</x:v>
      </x:c>
      <x:c r="F7" s="5" t="str">
        <x:v>Nicht löschen oder duplizieren; aktuelle Entscheidung/Befundprüfung hat Vorrang. Pilotbefunde unverändert.</x:v>
      </x:c>
    </x:row>
    <x:row r="8" ht="64" customHeight="1">
      <x:c r="A8" s="5" t="str">
        <x:v>2.3.1.3 / 2.3.4.1 / 2.4.1.1</x:v>
      </x:c>
      <x:c r="B8" s="5" t="str">
        <x:v>BR-0003, BR-0035 u. a.</x:v>
      </x:c>
      <x:c r="C8" s="5" t="str">
        <x:v>teilweise abgedeckt / Mehrfachbezug</x:v>
      </x:c>
      <x:c r="D8" s="5" t="str">
        <x:v>KLR-Aufgaben, Kostenträgerzeitrechnung und Adressaten der Auswertung sind im Trainer nicht jeweils isoliert nachweisbar; Deckungsbeiträge berühren HQ 6.</x:v>
      </x:c>
      <x:c r="E8" s="5" t="str">
        <x:v>WQ Rechnungswesen beibehalten, HQ-6-Querbezug kenntlich machen.</x:v>
      </x:c>
      <x:c r="F8" s="5" t="str">
        <x:v>Nicht löschen oder duplizieren; aktuelle Entscheidung/Befundprüfung hat Vorrang. Pilotbefunde unverändert.</x:v>
      </x:c>
    </x:row>
    <x:row r="9" ht="64" customHeight="1">
      <x:c r="A9" s="5" t="str">
        <x:v>3.1.2.1 [2]</x:v>
      </x:c>
      <x:c r="B9" s="5" t="str">
        <x:v>R-0087</x:v>
      </x:c>
      <x:c r="C9" s="5" t="str">
        <x:v>teilweise abgedeckt</x:v>
      </x:c>
      <x:c r="D9" s="5" t="str">
        <x:v>Treu und Glauben erscheint nur mittelbar in einer Lösung; keine eigenständige Abdeckung nachweisbar.</x:v>
      </x:c>
      <x:c r="E9" s="5" t="str">
        <x:v>Recht &gt; Rechtsgrundlagen / Methoden.</x:v>
      </x:c>
      <x:c r="F9" s="5" t="str">
        <x:v>Nicht löschen oder duplizieren; aktuelle Entscheidung/Befundprüfung hat Vorrang. Pilotbefunde unverändert.</x:v>
      </x:c>
    </x:row>
    <x:row r="10" ht="64" customHeight="1">
      <x:c r="A10" s="5" t="str">
        <x:v>3.1.2.5 / 3.1.4.3 / 3.1.5.3</x:v>
      </x:c>
      <x:c r="B10" s="5" t="str">
        <x:v>R-0566, R-0576, R-0578</x:v>
      </x:c>
      <x:c r="C10" s="5" t="str">
        <x:v>möglicherweise falsch zugeordnet</x:v>
      </x:c>
      <x:c r="D10" s="5" t="str">
        <x:v>Leistungsstörung, Incoterms sowie Tarifvertrags-/Arbeitsschutzbezug weichen teils von der aktuellen Recht-Themenbezeichnung ab.</x:v>
      </x:c>
      <x:c r="E10" s="5" t="str">
        <x:v>Später anhand der einzelnen Frage fachlich feinsortieren.</x:v>
      </x:c>
      <x:c r="F10" s="5" t="str">
        <x:v>Nicht löschen oder duplizieren; aktuelle Entscheidung/Befundprüfung hat Vorrang. Pilotbefunde unverändert.</x:v>
      </x:c>
    </x:row>
    <x:row r="11" ht="64" customHeight="1">
      <x:c r="A11" s="5" t="str">
        <x:v>4.1.4.2 [2]</x:v>
      </x:c>
      <x:c r="B11" s="5" t="str">
        <x:v>—</x:v>
      </x:c>
      <x:c r="C11" s="5" t="str">
        <x:v>nicht abgedeckt</x:v>
      </x:c>
      <x:c r="D11" s="5" t="str">
        <x:v>Für Arbeitsablaufdiagramme ist keine eigene Trainer-Frage nachweisbar; Flussdiagramm und Netzplan sind vorhanden.</x:v>
      </x:c>
      <x:c r="E11" s="5" t="str">
        <x:v>Unternehmensführung &gt; Planungstechniken.</x:v>
      </x:c>
      <x:c r="F11" s="5" t="str">
        <x:v>Nicht löschen oder duplizieren; aktuelle Entscheidung/Befundprüfung hat Vorrang. Pilotbefunde unverändert.</x:v>
      </x:c>
    </x:row>
    <x:row r="12" ht="64" customHeight="1">
      <x:c r="A12" s="5" t="str">
        <x:v>5.1.4 / 5.2.1 / 5.2.3.3 [2] / 5.2.3.4 [4]</x:v>
      </x:c>
      <x:c r="B12" s="5" t="str">
        <x:v>BM-…</x:v>
      </x:c>
      <x:c r="C12" s="5" t="str">
        <x:v>teilweise abgedeckt</x:v>
      </x:c>
      <x:c r="D12" s="5" t="str">
        <x:v>Betriebsstatistik, Wirkungen der Planung auf OE/PE sowie einzelne Strategie-/Anforderungsbezüge sind nicht vollständig isoliert belegt.</x:v>
      </x:c>
      <x:c r="E12" s="5" t="str">
        <x:v>Betriebliches Management, mit gezielter Inhaltsprüfung.</x:v>
      </x:c>
      <x:c r="F12" s="5" t="str">
        <x:v>Nicht löschen oder duplizieren; aktuelle Entscheidung/Befundprüfung hat Vorrang. Pilotbefunde unverändert.</x:v>
      </x:c>
    </x:row>
    <x:row r="13" ht="64" customHeight="1">
      <x:c r="A13" s="5" t="str">
        <x:v>6.2.2.1 [3]</x:v>
      </x:c>
      <x:c r="B13" s="5" t="str">
        <x:v>—</x:v>
      </x:c>
      <x:c r="C13" s="5" t="str">
        <x:v>nicht abgedeckt</x:v>
      </x:c>
      <x:c r="D13" s="5" t="str">
        <x:v>Private Darlehen/Privatdarlehen sind weder im Trainer noch im gegengeprüften Investitions-/Finanzierungsskript explizit nachweisbar.</x:v>
      </x:c>
      <x:c r="E13" s="5" t="str">
        <x:v>Investition und Finanzierung &gt; Fremdfinanzierung.</x:v>
      </x:c>
      <x:c r="F13" s="5" t="str">
        <x:v>Nicht löschen oder duplizieren; aktuelle Entscheidung/Befundprüfung hat Vorrang. Pilotbefunde unverändert.</x:v>
      </x:c>
    </x:row>
    <x:row r="14" ht="64" customHeight="1">
      <x:c r="A14" s="5" t="str">
        <x:v>6.1 / 6.4</x:v>
      </x:c>
      <x:c r="B14" s="5" t="str">
        <x:v>IF-0003, IF-0110, IF-0031, IF-0119, IF-0032, IF-0097, IF-0091</x:v>
      </x:c>
      <x:c r="C14" s="5" t="str">
        <x:v>mögliche Dublette / Zuordnung prüfen</x:v>
      </x:c>
      <x:c r="D14" s="5" t="str">
        <x:v>Sehr ähnliche Investitionsrechen- und Make-or-Buy-Fragen; IF-0091 ist eher dem betrieblichen Rechnungswesen/Controlling zuzuordnen.</x:v>
      </x:c>
      <x:c r="E14" s="5" t="str">
        <x:v>Einzelfallprüfung; IDs unverändert lassen.</x:v>
      </x:c>
      <x:c r="F14" s="5" t="str">
        <x:v>Nicht löschen oder duplizieren; aktuelle Entscheidung/Befundprüfung hat Vorrang. Pilotbefunde unverändert.</x:v>
      </x:c>
    </x:row>
    <x:row r="15" ht="64" customHeight="1">
      <x:c r="A15" s="5" t="str">
        <x:v>7.5.2</x:v>
      </x:c>
      <x:c r="B15" s="5" t="str">
        <x:v>L-…</x:v>
      </x:c>
      <x:c r="C15" s="5" t="str">
        <x:v>teilweise abgedeckt</x:v>
      </x:c>
      <x:c r="D15" s="5" t="str">
        <x:v>Kern des Kaufvertragsrechts ist enthalten; besondere Vertragsformen sind nicht umfassend belegbar.</x:v>
      </x:c>
      <x:c r="E15" s="5" t="str">
        <x:v>Logistik &gt; Beschaffung / Recht.</x:v>
      </x:c>
      <x:c r="F15" s="5" t="str">
        <x:v>Nicht löschen oder duplizieren; aktuelle Entscheidung/Befundprüfung hat Vorrang. Pilotbefunde unverändert.</x:v>
      </x:c>
    </x:row>
    <x:row r="16" ht="64" customHeight="1">
      <x:c r="A16" s="5" t="str">
        <x:v>7.1.3.5 / 7.5.1.2; 7.1.2.1 [3] / 7.5.1.1; 7.3.6 / 7.5.4</x:v>
      </x:c>
      <x:c r="B16" s="5" t="str">
        <x:v>L-…</x:v>
      </x:c>
      <x:c r="C16" s="5" t="str">
        <x:v>in mehreren bestehenden Themen verteilt</x:v>
      </x:c>
      <x:c r="D16" s="5" t="str">
        <x:v>Abruf, Bestellung und Entsorgung werden in mehreren Logistik-Kontexten behandelt.</x:v>
      </x:c>
      <x:c r="E16" s="5" t="str">
        <x:v>Als Querverweise bündeln, nicht vorschnell deduplizieren.</x:v>
      </x:c>
      <x:c r="F16" s="5" t="str">
        <x:v>Nicht löschen oder duplizieren; aktuelle Entscheidung/Befundprüfung hat Vorrang. Pilotbefunde unverändert.</x:v>
      </x:c>
    </x:row>
    <x:row r="17" ht="64" customHeight="1">
      <x:c r="A17" s="5" t="str">
        <x:v>8.1.3.2 [4] / 8.5.3.1</x:v>
      </x:c>
      <x:c r="B17" s="5" t="str">
        <x:v>M-… / V-…</x:v>
      </x:c>
      <x:c r="C17" s="5" t="str">
        <x:v>teilweise abgedeckt</x:v>
      </x:c>
      <x:c r="D17" s="5" t="str">
        <x:v>Wettbewerbsanalyse ist nur eingebettet; Konsumgüter-Kaufsystem ist nicht auf der gewünschten Systemebene belegt.</x:v>
      </x:c>
      <x:c r="E17" s="5" t="str">
        <x:v>Marketing und Vertrieb &gt; Marktforschung bzw. Käuferverhalten.</x:v>
      </x:c>
      <x:c r="F17" s="5" t="str">
        <x:v>Nicht löschen oder duplizieren; aktuelle Entscheidung/Befundprüfung hat Vorrang. Pilotbefunde unverändert.</x:v>
      </x:c>
    </x:row>
    <x:row r="18" ht="64" customHeight="1">
      <x:c r="A18" s="5" t="str">
        <x:v>9.7 / 5 / 4</x:v>
      </x:c>
      <x:c r="B18" s="5" t="str">
        <x:v>PF-0194–PF-0197, PF-0202–PF-0203</x:v>
      </x:c>
      <x:c r="C18" s="5" t="str">
        <x:v>möglicherweise falsch zugeordnet</x:v>
      </x:c>
      <x:c r="D18" s="5" t="str">
        <x:v>Personalmarketing/-auswahl und Personalbedarfsermittlung liegen teils näher bei Betrieblichem Management bzw. Unternehmensführung.</x:v>
      </x:c>
      <x:c r="E18" s="5" t="str">
        <x:v>Später als fachübergreifende Inhalte prüfen.</x:v>
      </x:c>
      <x:c r="F18" s="5" t="str">
        <x:v>Nicht löschen oder duplizieren; aktuelle Entscheidung/Befundprüfung hat Vorrang. Pilotbefunde unverändert.</x:v>
      </x:c>
    </x:row>
  </x:sheetData>
  <x:pageMargins left="0.7" right="0.7" top="0.75" bottom="0.75" header="0.3" footer="0.3"/>
  <x:tableParts count="1">
    <x:tablePart xmlns:r="http://schemas.openxmlformats.org/officeDocument/2006/relationships" r:id="Rf617e920515d4107"/>
  </x:tableParts>
</x:worksheet>
</file>

<file path=xl/worksheets/sheet13.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7" hidden="0" customWidth="1"/>
    <x:col min="2" max="2" width="48" hidden="0" customWidth="1"/>
    <x:col min="3" max="3" width="16" hidden="0" customWidth="1"/>
    <x:col min="4" max="4" width="16" hidden="0" customWidth="1"/>
    <x:col min="5" max="5" width="15" hidden="0" customWidth="1"/>
    <x:col min="6" max="6" width="24" hidden="0" customWidth="1"/>
    <x:col min="7" max="7" width="12" hidden="0" customWidth="1"/>
  </x:cols>
  <x:sheetData>
    <x:row r="2">
      <x:c r="A2" s="1" t="str">
        <x:v>ID-Bilanz – jede Quell-ID genau einmal primär</x:v>
      </x:c>
    </x:row>
    <x:row r="4">
      <x:c r="A4" s="2" t="str">
        <x:v>Planung / Revisionsstand · 28.09.2026 · WIFA-TR-GESAMT-20260927-REV2-FREIGEGEBENE-GRENZFAELLE · keine produktive Änderung</x:v>
      </x:c>
    </x:row>
    <x:row r="6" ht="34" customHeight="1">
      <x:c r="A6" s="9" t="str">
        <x:v>Trainer-ID</x:v>
      </x:c>
      <x:c r="B6" s="9" t="str">
        <x:v>Quellfach</x:v>
      </x:c>
      <x:c r="C6" s="9" t="str">
        <x:v>Soll primär</x:v>
      </x:c>
      <x:c r="D6" s="9" t="str">
        <x:v>Ist primär</x:v>
      </x:c>
      <x:c r="E6" s="9" t="str">
        <x:v>Differenz</x:v>
      </x:c>
      <x:c r="F6" s="9" t="str">
        <x:v>Pilot unverändert</x:v>
      </x:c>
      <x:c r="G6" s="9" t="str">
        <x:v>Bereich</x:v>
      </x:c>
    </x:row>
    <x:row r="7" ht="36" customHeight="1">
      <x:c r="A7" s="5" t="str">
        <x:v>BWL-0001</x:v>
      </x:c>
      <x:c r="B7" s="5" t="str">
        <x:v>BWL</x:v>
      </x:c>
      <x:c r="C7" s="11" t="n">
        <x:v>1</x:v>
      </x:c>
      <x:c r="D7" s="11" t="n">
        <x:f>COUNTIF('Einzel-ID-Zuordnung'!$A$7:$A$2692,A7)</x:f>
        <x:v>1</x:v>
      </x:c>
      <x:c r="E7" s="11" t="n">
        <x:f>D7-C7</x:f>
        <x:v>0</x:v>
      </x:c>
      <x:c r="F7" s="5" t="str">
        <x:v>nicht Pilot</x:v>
      </x:c>
      <x:c r="G7" s="5" t="str">
        <x:v>WQ</x:v>
      </x:c>
    </x:row>
    <x:row r="8" ht="36" customHeight="1">
      <x:c r="A8" s="5" t="str">
        <x:v>BWL-0002</x:v>
      </x:c>
      <x:c r="B8" s="5" t="str">
        <x:v>BWL</x:v>
      </x:c>
      <x:c r="C8" s="11" t="n">
        <x:v>1</x:v>
      </x:c>
      <x:c r="D8" s="11" t="n">
        <x:f>COUNTIF('Einzel-ID-Zuordnung'!$A$7:$A$2692,A8)</x:f>
        <x:v>1</x:v>
      </x:c>
      <x:c r="E8" s="11" t="n">
        <x:f>D8-C8</x:f>
        <x:v>0</x:v>
      </x:c>
      <x:c r="F8" s="5" t="str">
        <x:v>nicht Pilot</x:v>
      </x:c>
      <x:c r="G8" s="5" t="str">
        <x:v>WQ</x:v>
      </x:c>
    </x:row>
    <x:row r="9" ht="36" customHeight="1">
      <x:c r="A9" s="5" t="str">
        <x:v>BWL-0003</x:v>
      </x:c>
      <x:c r="B9" s="5" t="str">
        <x:v>BWL</x:v>
      </x:c>
      <x:c r="C9" s="11" t="n">
        <x:v>1</x:v>
      </x:c>
      <x:c r="D9" s="11" t="n">
        <x:f>COUNTIF('Einzel-ID-Zuordnung'!$A$7:$A$2692,A9)</x:f>
        <x:v>1</x:v>
      </x:c>
      <x:c r="E9" s="11" t="n">
        <x:f>D9-C9</x:f>
        <x:v>0</x:v>
      </x:c>
      <x:c r="F9" s="5" t="str">
        <x:v>nicht Pilot</x:v>
      </x:c>
      <x:c r="G9" s="5" t="str">
        <x:v>WQ</x:v>
      </x:c>
    </x:row>
    <x:row r="10" ht="36" customHeight="1">
      <x:c r="A10" s="5" t="str">
        <x:v>BWL-0004</x:v>
      </x:c>
      <x:c r="B10" s="5" t="str">
        <x:v>BWL</x:v>
      </x:c>
      <x:c r="C10" s="11" t="n">
        <x:v>1</x:v>
      </x:c>
      <x:c r="D10" s="11" t="n">
        <x:f>COUNTIF('Einzel-ID-Zuordnung'!$A$7:$A$2692,A10)</x:f>
        <x:v>1</x:v>
      </x:c>
      <x:c r="E10" s="11" t="n">
        <x:f>D10-C10</x:f>
        <x:v>0</x:v>
      </x:c>
      <x:c r="F10" s="5" t="str">
        <x:v>nicht Pilot</x:v>
      </x:c>
      <x:c r="G10" s="5" t="str">
        <x:v>WQ</x:v>
      </x:c>
    </x:row>
    <x:row r="11" ht="36" customHeight="1">
      <x:c r="A11" s="5" t="str">
        <x:v>BWL-0005</x:v>
      </x:c>
      <x:c r="B11" s="5" t="str">
        <x:v>BWL</x:v>
      </x:c>
      <x:c r="C11" s="11" t="n">
        <x:v>1</x:v>
      </x:c>
      <x:c r="D11" s="11" t="n">
        <x:f>COUNTIF('Einzel-ID-Zuordnung'!$A$7:$A$2692,A11)</x:f>
        <x:v>1</x:v>
      </x:c>
      <x:c r="E11" s="11" t="n">
        <x:f>D11-C11</x:f>
        <x:v>0</x:v>
      </x:c>
      <x:c r="F11" s="5" t="str">
        <x:v>nicht Pilot</x:v>
      </x:c>
      <x:c r="G11" s="5" t="str">
        <x:v>WQ</x:v>
      </x:c>
    </x:row>
    <x:row r="12" ht="36" customHeight="1">
      <x:c r="A12" s="5" t="str">
        <x:v>BWL-0006</x:v>
      </x:c>
      <x:c r="B12" s="5" t="str">
        <x:v>BWL</x:v>
      </x:c>
      <x:c r="C12" s="11" t="n">
        <x:v>1</x:v>
      </x:c>
      <x:c r="D12" s="11" t="n">
        <x:f>COUNTIF('Einzel-ID-Zuordnung'!$A$7:$A$2692,A12)</x:f>
        <x:v>1</x:v>
      </x:c>
      <x:c r="E12" s="11" t="n">
        <x:f>D12-C12</x:f>
        <x:v>0</x:v>
      </x:c>
      <x:c r="F12" s="5" t="str">
        <x:v>nicht Pilot</x:v>
      </x:c>
      <x:c r="G12" s="5" t="str">
        <x:v>WQ</x:v>
      </x:c>
    </x:row>
    <x:row r="13" ht="36" customHeight="1">
      <x:c r="A13" s="5" t="str">
        <x:v>BWL-0007</x:v>
      </x:c>
      <x:c r="B13" s="5" t="str">
        <x:v>BWL</x:v>
      </x:c>
      <x:c r="C13" s="11" t="n">
        <x:v>1</x:v>
      </x:c>
      <x:c r="D13" s="11" t="n">
        <x:f>COUNTIF('Einzel-ID-Zuordnung'!$A$7:$A$2692,A13)</x:f>
        <x:v>1</x:v>
      </x:c>
      <x:c r="E13" s="11" t="n">
        <x:f>D13-C13</x:f>
        <x:v>0</x:v>
      </x:c>
      <x:c r="F13" s="5" t="str">
        <x:v>nicht Pilot</x:v>
      </x:c>
      <x:c r="G13" s="5" t="str">
        <x:v>WQ</x:v>
      </x:c>
    </x:row>
    <x:row r="14" ht="36" customHeight="1">
      <x:c r="A14" s="5" t="str">
        <x:v>BWL-0008</x:v>
      </x:c>
      <x:c r="B14" s="5" t="str">
        <x:v>BWL</x:v>
      </x:c>
      <x:c r="C14" s="11" t="n">
        <x:v>1</x:v>
      </x:c>
      <x:c r="D14" s="11" t="n">
        <x:f>COUNTIF('Einzel-ID-Zuordnung'!$A$7:$A$2692,A14)</x:f>
        <x:v>1</x:v>
      </x:c>
      <x:c r="E14" s="11" t="n">
        <x:f>D14-C14</x:f>
        <x:v>0</x:v>
      </x:c>
      <x:c r="F14" s="5" t="str">
        <x:v>nicht Pilot</x:v>
      </x:c>
      <x:c r="G14" s="5" t="str">
        <x:v>WQ</x:v>
      </x:c>
    </x:row>
    <x:row r="15" ht="36" customHeight="1">
      <x:c r="A15" s="5" t="str">
        <x:v>BWL-0009</x:v>
      </x:c>
      <x:c r="B15" s="5" t="str">
        <x:v>BWL</x:v>
      </x:c>
      <x:c r="C15" s="11" t="n">
        <x:v>1</x:v>
      </x:c>
      <x:c r="D15" s="11" t="n">
        <x:f>COUNTIF('Einzel-ID-Zuordnung'!$A$7:$A$2692,A15)</x:f>
        <x:v>1</x:v>
      </x:c>
      <x:c r="E15" s="11" t="n">
        <x:f>D15-C15</x:f>
        <x:v>0</x:v>
      </x:c>
      <x:c r="F15" s="5" t="str">
        <x:v>nicht Pilot</x:v>
      </x:c>
      <x:c r="G15" s="5" t="str">
        <x:v>WQ</x:v>
      </x:c>
    </x:row>
    <x:row r="16" ht="36" customHeight="1">
      <x:c r="A16" s="5" t="str">
        <x:v>BWL-0010</x:v>
      </x:c>
      <x:c r="B16" s="5" t="str">
        <x:v>BWL</x:v>
      </x:c>
      <x:c r="C16" s="11" t="n">
        <x:v>1</x:v>
      </x:c>
      <x:c r="D16" s="11" t="n">
        <x:f>COUNTIF('Einzel-ID-Zuordnung'!$A$7:$A$2692,A16)</x:f>
        <x:v>1</x:v>
      </x:c>
      <x:c r="E16" s="11" t="n">
        <x:f>D16-C16</x:f>
        <x:v>0</x:v>
      </x:c>
      <x:c r="F16" s="5" t="str">
        <x:v>nicht Pilot</x:v>
      </x:c>
      <x:c r="G16" s="5" t="str">
        <x:v>WQ</x:v>
      </x:c>
    </x:row>
    <x:row r="17" ht="36" customHeight="1">
      <x:c r="A17" s="5" t="str">
        <x:v>BWL-0011</x:v>
      </x:c>
      <x:c r="B17" s="5" t="str">
        <x:v>BWL</x:v>
      </x:c>
      <x:c r="C17" s="11" t="n">
        <x:v>1</x:v>
      </x:c>
      <x:c r="D17" s="11" t="n">
        <x:f>COUNTIF('Einzel-ID-Zuordnung'!$A$7:$A$2692,A17)</x:f>
        <x:v>1</x:v>
      </x:c>
      <x:c r="E17" s="11" t="n">
        <x:f>D17-C17</x:f>
        <x:v>0</x:v>
      </x:c>
      <x:c r="F17" s="5" t="str">
        <x:v>nicht Pilot</x:v>
      </x:c>
      <x:c r="G17" s="5" t="str">
        <x:v>WQ</x:v>
      </x:c>
    </x:row>
    <x:row r="18" ht="36" customHeight="1">
      <x:c r="A18" s="5" t="str">
        <x:v>BWL-0012</x:v>
      </x:c>
      <x:c r="B18" s="5" t="str">
        <x:v>BWL</x:v>
      </x:c>
      <x:c r="C18" s="11" t="n">
        <x:v>1</x:v>
      </x:c>
      <x:c r="D18" s="11" t="n">
        <x:f>COUNTIF('Einzel-ID-Zuordnung'!$A$7:$A$2692,A18)</x:f>
        <x:v>1</x:v>
      </x:c>
      <x:c r="E18" s="11" t="n">
        <x:f>D18-C18</x:f>
        <x:v>0</x:v>
      </x:c>
      <x:c r="F18" s="5" t="str">
        <x:v>nicht Pilot</x:v>
      </x:c>
      <x:c r="G18" s="5" t="str">
        <x:v>WQ</x:v>
      </x:c>
    </x:row>
    <x:row r="19" ht="36" customHeight="1">
      <x:c r="A19" s="5" t="str">
        <x:v>BWL-0013</x:v>
      </x:c>
      <x:c r="B19" s="5" t="str">
        <x:v>BWL</x:v>
      </x:c>
      <x:c r="C19" s="11" t="n">
        <x:v>1</x:v>
      </x:c>
      <x:c r="D19" s="11" t="n">
        <x:f>COUNTIF('Einzel-ID-Zuordnung'!$A$7:$A$2692,A19)</x:f>
        <x:v>1</x:v>
      </x:c>
      <x:c r="E19" s="11" t="n">
        <x:f>D19-C19</x:f>
        <x:v>0</x:v>
      </x:c>
      <x:c r="F19" s="5" t="str">
        <x:v>nicht Pilot</x:v>
      </x:c>
      <x:c r="G19" s="5" t="str">
        <x:v>WQ</x:v>
      </x:c>
    </x:row>
    <x:row r="20" ht="36" customHeight="1">
      <x:c r="A20" s="5" t="str">
        <x:v>BWL-0014</x:v>
      </x:c>
      <x:c r="B20" s="5" t="str">
        <x:v>BWL</x:v>
      </x:c>
      <x:c r="C20" s="11" t="n">
        <x:v>1</x:v>
      </x:c>
      <x:c r="D20" s="11" t="n">
        <x:f>COUNTIF('Einzel-ID-Zuordnung'!$A$7:$A$2692,A20)</x:f>
        <x:v>1</x:v>
      </x:c>
      <x:c r="E20" s="11" t="n">
        <x:f>D20-C20</x:f>
        <x:v>0</x:v>
      </x:c>
      <x:c r="F20" s="5" t="str">
        <x:v>nicht Pilot</x:v>
      </x:c>
      <x:c r="G20" s="5" t="str">
        <x:v>WQ</x:v>
      </x:c>
    </x:row>
    <x:row r="21" ht="36" customHeight="1">
      <x:c r="A21" s="5" t="str">
        <x:v>BWL-0015</x:v>
      </x:c>
      <x:c r="B21" s="5" t="str">
        <x:v>BWL</x:v>
      </x:c>
      <x:c r="C21" s="11" t="n">
        <x:v>1</x:v>
      </x:c>
      <x:c r="D21" s="11" t="n">
        <x:f>COUNTIF('Einzel-ID-Zuordnung'!$A$7:$A$2692,A21)</x:f>
        <x:v>1</x:v>
      </x:c>
      <x:c r="E21" s="11" t="n">
        <x:f>D21-C21</x:f>
        <x:v>0</x:v>
      </x:c>
      <x:c r="F21" s="5" t="str">
        <x:v>nicht Pilot</x:v>
      </x:c>
      <x:c r="G21" s="5" t="str">
        <x:v>WQ</x:v>
      </x:c>
    </x:row>
    <x:row r="22" ht="36" customHeight="1">
      <x:c r="A22" s="5" t="str">
        <x:v>BWL-0016</x:v>
      </x:c>
      <x:c r="B22" s="5" t="str">
        <x:v>BWL</x:v>
      </x:c>
      <x:c r="C22" s="11" t="n">
        <x:v>1</x:v>
      </x:c>
      <x:c r="D22" s="11" t="n">
        <x:f>COUNTIF('Einzel-ID-Zuordnung'!$A$7:$A$2692,A22)</x:f>
        <x:v>1</x:v>
      </x:c>
      <x:c r="E22" s="11" t="n">
        <x:f>D22-C22</x:f>
        <x:v>0</x:v>
      </x:c>
      <x:c r="F22" s="5" t="str">
        <x:v>nicht Pilot</x:v>
      </x:c>
      <x:c r="G22" s="5" t="str">
        <x:v>WQ</x:v>
      </x:c>
    </x:row>
    <x:row r="23" ht="36" customHeight="1">
      <x:c r="A23" s="5" t="str">
        <x:v>BWL-0017</x:v>
      </x:c>
      <x:c r="B23" s="5" t="str">
        <x:v>BWL</x:v>
      </x:c>
      <x:c r="C23" s="11" t="n">
        <x:v>1</x:v>
      </x:c>
      <x:c r="D23" s="11" t="n">
        <x:f>COUNTIF('Einzel-ID-Zuordnung'!$A$7:$A$2692,A23)</x:f>
        <x:v>1</x:v>
      </x:c>
      <x:c r="E23" s="11" t="n">
        <x:f>D23-C23</x:f>
        <x:v>0</x:v>
      </x:c>
      <x:c r="F23" s="5" t="str">
        <x:v>nicht Pilot</x:v>
      </x:c>
      <x:c r="G23" s="5" t="str">
        <x:v>WQ</x:v>
      </x:c>
    </x:row>
    <x:row r="24" ht="36" customHeight="1">
      <x:c r="A24" s="5" t="str">
        <x:v>BWL-0018</x:v>
      </x:c>
      <x:c r="B24" s="5" t="str">
        <x:v>BWL</x:v>
      </x:c>
      <x:c r="C24" s="11" t="n">
        <x:v>1</x:v>
      </x:c>
      <x:c r="D24" s="11" t="n">
        <x:f>COUNTIF('Einzel-ID-Zuordnung'!$A$7:$A$2692,A24)</x:f>
        <x:v>1</x:v>
      </x:c>
      <x:c r="E24" s="11" t="n">
        <x:f>D24-C24</x:f>
        <x:v>0</x:v>
      </x:c>
      <x:c r="F24" s="5" t="str">
        <x:v>nicht Pilot</x:v>
      </x:c>
      <x:c r="G24" s="5" t="str">
        <x:v>WQ</x:v>
      </x:c>
    </x:row>
    <x:row r="25" ht="36" customHeight="1">
      <x:c r="A25" s="5" t="str">
        <x:v>BWL-0019</x:v>
      </x:c>
      <x:c r="B25" s="5" t="str">
        <x:v>BWL</x:v>
      </x:c>
      <x:c r="C25" s="11" t="n">
        <x:v>1</x:v>
      </x:c>
      <x:c r="D25" s="11" t="n">
        <x:f>COUNTIF('Einzel-ID-Zuordnung'!$A$7:$A$2692,A25)</x:f>
        <x:v>1</x:v>
      </x:c>
      <x:c r="E25" s="11" t="n">
        <x:f>D25-C25</x:f>
        <x:v>0</x:v>
      </x:c>
      <x:c r="F25" s="5" t="str">
        <x:v>nicht Pilot</x:v>
      </x:c>
      <x:c r="G25" s="5" t="str">
        <x:v>WQ</x:v>
      </x:c>
    </x:row>
    <x:row r="26" ht="36" customHeight="1">
      <x:c r="A26" s="5" t="str">
        <x:v>BWL-0020</x:v>
      </x:c>
      <x:c r="B26" s="5" t="str">
        <x:v>BWL</x:v>
      </x:c>
      <x:c r="C26" s="11" t="n">
        <x:v>1</x:v>
      </x:c>
      <x:c r="D26" s="11" t="n">
        <x:f>COUNTIF('Einzel-ID-Zuordnung'!$A$7:$A$2692,A26)</x:f>
        <x:v>1</x:v>
      </x:c>
      <x:c r="E26" s="11" t="n">
        <x:f>D26-C26</x:f>
        <x:v>0</x:v>
      </x:c>
      <x:c r="F26" s="5" t="str">
        <x:v>nicht Pilot</x:v>
      </x:c>
      <x:c r="G26" s="5" t="str">
        <x:v>WQ</x:v>
      </x:c>
    </x:row>
    <x:row r="27" ht="36" customHeight="1">
      <x:c r="A27" s="5" t="str">
        <x:v>BWL-0021</x:v>
      </x:c>
      <x:c r="B27" s="5" t="str">
        <x:v>BWL</x:v>
      </x:c>
      <x:c r="C27" s="11" t="n">
        <x:v>1</x:v>
      </x:c>
      <x:c r="D27" s="11" t="n">
        <x:f>COUNTIF('Einzel-ID-Zuordnung'!$A$7:$A$2692,A27)</x:f>
        <x:v>1</x:v>
      </x:c>
      <x:c r="E27" s="11" t="n">
        <x:f>D27-C27</x:f>
        <x:v>0</x:v>
      </x:c>
      <x:c r="F27" s="5" t="str">
        <x:v>nicht Pilot</x:v>
      </x:c>
      <x:c r="G27" s="5" t="str">
        <x:v>WQ</x:v>
      </x:c>
    </x:row>
    <x:row r="28" ht="36" customHeight="1">
      <x:c r="A28" s="5" t="str">
        <x:v>BWL-0022</x:v>
      </x:c>
      <x:c r="B28" s="5" t="str">
        <x:v>BWL</x:v>
      </x:c>
      <x:c r="C28" s="11" t="n">
        <x:v>1</x:v>
      </x:c>
      <x:c r="D28" s="11" t="n">
        <x:f>COUNTIF('Einzel-ID-Zuordnung'!$A$7:$A$2692,A28)</x:f>
        <x:v>1</x:v>
      </x:c>
      <x:c r="E28" s="11" t="n">
        <x:f>D28-C28</x:f>
        <x:v>0</x:v>
      </x:c>
      <x:c r="F28" s="5" t="str">
        <x:v>nicht Pilot</x:v>
      </x:c>
      <x:c r="G28" s="5" t="str">
        <x:v>WQ</x:v>
      </x:c>
    </x:row>
    <x:row r="29" ht="36" customHeight="1">
      <x:c r="A29" s="5" t="str">
        <x:v>BWL-0023</x:v>
      </x:c>
      <x:c r="B29" s="5" t="str">
        <x:v>BWL</x:v>
      </x:c>
      <x:c r="C29" s="11" t="n">
        <x:v>1</x:v>
      </x:c>
      <x:c r="D29" s="11" t="n">
        <x:f>COUNTIF('Einzel-ID-Zuordnung'!$A$7:$A$2692,A29)</x:f>
        <x:v>1</x:v>
      </x:c>
      <x:c r="E29" s="11" t="n">
        <x:f>D29-C29</x:f>
        <x:v>0</x:v>
      </x:c>
      <x:c r="F29" s="5" t="str">
        <x:v>nicht Pilot</x:v>
      </x:c>
      <x:c r="G29" s="5" t="str">
        <x:v>WQ</x:v>
      </x:c>
    </x:row>
    <x:row r="30" ht="36" customHeight="1">
      <x:c r="A30" s="5" t="str">
        <x:v>BWL-0024</x:v>
      </x:c>
      <x:c r="B30" s="5" t="str">
        <x:v>BWL</x:v>
      </x:c>
      <x:c r="C30" s="11" t="n">
        <x:v>1</x:v>
      </x:c>
      <x:c r="D30" s="11" t="n">
        <x:f>COUNTIF('Einzel-ID-Zuordnung'!$A$7:$A$2692,A30)</x:f>
        <x:v>1</x:v>
      </x:c>
      <x:c r="E30" s="11" t="n">
        <x:f>D30-C30</x:f>
        <x:v>0</x:v>
      </x:c>
      <x:c r="F30" s="5" t="str">
        <x:v>nicht Pilot</x:v>
      </x:c>
      <x:c r="G30" s="5" t="str">
        <x:v>WQ</x:v>
      </x:c>
    </x:row>
    <x:row r="31" ht="36" customHeight="1">
      <x:c r="A31" s="5" t="str">
        <x:v>BWL-0025</x:v>
      </x:c>
      <x:c r="B31" s="5" t="str">
        <x:v>BWL</x:v>
      </x:c>
      <x:c r="C31" s="11" t="n">
        <x:v>1</x:v>
      </x:c>
      <x:c r="D31" s="11" t="n">
        <x:f>COUNTIF('Einzel-ID-Zuordnung'!$A$7:$A$2692,A31)</x:f>
        <x:v>1</x:v>
      </x:c>
      <x:c r="E31" s="11" t="n">
        <x:f>D31-C31</x:f>
        <x:v>0</x:v>
      </x:c>
      <x:c r="F31" s="5" t="str">
        <x:v>nicht Pilot</x:v>
      </x:c>
      <x:c r="G31" s="5" t="str">
        <x:v>WQ</x:v>
      </x:c>
    </x:row>
    <x:row r="32" ht="36" customHeight="1">
      <x:c r="A32" s="5" t="str">
        <x:v>BWL-0026</x:v>
      </x:c>
      <x:c r="B32" s="5" t="str">
        <x:v>BWL</x:v>
      </x:c>
      <x:c r="C32" s="11" t="n">
        <x:v>1</x:v>
      </x:c>
      <x:c r="D32" s="11" t="n">
        <x:f>COUNTIF('Einzel-ID-Zuordnung'!$A$7:$A$2692,A32)</x:f>
        <x:v>1</x:v>
      </x:c>
      <x:c r="E32" s="11" t="n">
        <x:f>D32-C32</x:f>
        <x:v>0</x:v>
      </x:c>
      <x:c r="F32" s="5" t="str">
        <x:v>nicht Pilot</x:v>
      </x:c>
      <x:c r="G32" s="5" t="str">
        <x:v>WQ</x:v>
      </x:c>
    </x:row>
    <x:row r="33" ht="36" customHeight="1">
      <x:c r="A33" s="5" t="str">
        <x:v>BWL-0027</x:v>
      </x:c>
      <x:c r="B33" s="5" t="str">
        <x:v>BWL</x:v>
      </x:c>
      <x:c r="C33" s="11" t="n">
        <x:v>1</x:v>
      </x:c>
      <x:c r="D33" s="11" t="n">
        <x:f>COUNTIF('Einzel-ID-Zuordnung'!$A$7:$A$2692,A33)</x:f>
        <x:v>1</x:v>
      </x:c>
      <x:c r="E33" s="11" t="n">
        <x:f>D33-C33</x:f>
        <x:v>0</x:v>
      </x:c>
      <x:c r="F33" s="5" t="str">
        <x:v>nicht Pilot</x:v>
      </x:c>
      <x:c r="G33" s="5" t="str">
        <x:v>WQ</x:v>
      </x:c>
    </x:row>
    <x:row r="34" ht="36" customHeight="1">
      <x:c r="A34" s="5" t="str">
        <x:v>BWL-0028</x:v>
      </x:c>
      <x:c r="B34" s="5" t="str">
        <x:v>BWL</x:v>
      </x:c>
      <x:c r="C34" s="11" t="n">
        <x:v>1</x:v>
      </x:c>
      <x:c r="D34" s="11" t="n">
        <x:f>COUNTIF('Einzel-ID-Zuordnung'!$A$7:$A$2692,A34)</x:f>
        <x:v>1</x:v>
      </x:c>
      <x:c r="E34" s="11" t="n">
        <x:f>D34-C34</x:f>
        <x:v>0</x:v>
      </x:c>
      <x:c r="F34" s="5" t="str">
        <x:v>nicht Pilot</x:v>
      </x:c>
      <x:c r="G34" s="5" t="str">
        <x:v>WQ</x:v>
      </x:c>
    </x:row>
    <x:row r="35" ht="36" customHeight="1">
      <x:c r="A35" s="5" t="str">
        <x:v>BWL-0029</x:v>
      </x:c>
      <x:c r="B35" s="5" t="str">
        <x:v>BWL</x:v>
      </x:c>
      <x:c r="C35" s="11" t="n">
        <x:v>1</x:v>
      </x:c>
      <x:c r="D35" s="11" t="n">
        <x:f>COUNTIF('Einzel-ID-Zuordnung'!$A$7:$A$2692,A35)</x:f>
        <x:v>1</x:v>
      </x:c>
      <x:c r="E35" s="11" t="n">
        <x:f>D35-C35</x:f>
        <x:v>0</x:v>
      </x:c>
      <x:c r="F35" s="5" t="str">
        <x:v>nicht Pilot</x:v>
      </x:c>
      <x:c r="G35" s="5" t="str">
        <x:v>WQ</x:v>
      </x:c>
    </x:row>
    <x:row r="36" ht="36" customHeight="1">
      <x:c r="A36" s="5" t="str">
        <x:v>BWL-0030</x:v>
      </x:c>
      <x:c r="B36" s="5" t="str">
        <x:v>BWL</x:v>
      </x:c>
      <x:c r="C36" s="11" t="n">
        <x:v>1</x:v>
      </x:c>
      <x:c r="D36" s="11" t="n">
        <x:f>COUNTIF('Einzel-ID-Zuordnung'!$A$7:$A$2692,A36)</x:f>
        <x:v>1</x:v>
      </x:c>
      <x:c r="E36" s="11" t="n">
        <x:f>D36-C36</x:f>
        <x:v>0</x:v>
      </x:c>
      <x:c r="F36" s="5" t="str">
        <x:v>nicht Pilot</x:v>
      </x:c>
      <x:c r="G36" s="5" t="str">
        <x:v>WQ</x:v>
      </x:c>
    </x:row>
    <x:row r="37" ht="36" customHeight="1">
      <x:c r="A37" s="5" t="str">
        <x:v>BWL-0031</x:v>
      </x:c>
      <x:c r="B37" s="5" t="str">
        <x:v>BWL</x:v>
      </x:c>
      <x:c r="C37" s="11" t="n">
        <x:v>1</x:v>
      </x:c>
      <x:c r="D37" s="11" t="n">
        <x:f>COUNTIF('Einzel-ID-Zuordnung'!$A$7:$A$2692,A37)</x:f>
        <x:v>1</x:v>
      </x:c>
      <x:c r="E37" s="11" t="n">
        <x:f>D37-C37</x:f>
        <x:v>0</x:v>
      </x:c>
      <x:c r="F37" s="5" t="str">
        <x:v>nicht Pilot</x:v>
      </x:c>
      <x:c r="G37" s="5" t="str">
        <x:v>WQ</x:v>
      </x:c>
    </x:row>
    <x:row r="38" ht="36" customHeight="1">
      <x:c r="A38" s="5" t="str">
        <x:v>BWL-0032</x:v>
      </x:c>
      <x:c r="B38" s="5" t="str">
        <x:v>BWL</x:v>
      </x:c>
      <x:c r="C38" s="11" t="n">
        <x:v>1</x:v>
      </x:c>
      <x:c r="D38" s="11" t="n">
        <x:f>COUNTIF('Einzel-ID-Zuordnung'!$A$7:$A$2692,A38)</x:f>
        <x:v>1</x:v>
      </x:c>
      <x:c r="E38" s="11" t="n">
        <x:f>D38-C38</x:f>
        <x:v>0</x:v>
      </x:c>
      <x:c r="F38" s="5" t="str">
        <x:v>nicht Pilot</x:v>
      </x:c>
      <x:c r="G38" s="5" t="str">
        <x:v>WQ</x:v>
      </x:c>
    </x:row>
    <x:row r="39" ht="36" customHeight="1">
      <x:c r="A39" s="5" t="str">
        <x:v>BWL-0033</x:v>
      </x:c>
      <x:c r="B39" s="5" t="str">
        <x:v>BWL</x:v>
      </x:c>
      <x:c r="C39" s="11" t="n">
        <x:v>1</x:v>
      </x:c>
      <x:c r="D39" s="11" t="n">
        <x:f>COUNTIF('Einzel-ID-Zuordnung'!$A$7:$A$2692,A39)</x:f>
        <x:v>1</x:v>
      </x:c>
      <x:c r="E39" s="11" t="n">
        <x:f>D39-C39</x:f>
        <x:v>0</x:v>
      </x:c>
      <x:c r="F39" s="5" t="str">
        <x:v>nicht Pilot</x:v>
      </x:c>
      <x:c r="G39" s="5" t="str">
        <x:v>WQ</x:v>
      </x:c>
    </x:row>
    <x:row r="40" ht="36" customHeight="1">
      <x:c r="A40" s="5" t="str">
        <x:v>BWL-0034</x:v>
      </x:c>
      <x:c r="B40" s="5" t="str">
        <x:v>BWL</x:v>
      </x:c>
      <x:c r="C40" s="11" t="n">
        <x:v>1</x:v>
      </x:c>
      <x:c r="D40" s="11" t="n">
        <x:f>COUNTIF('Einzel-ID-Zuordnung'!$A$7:$A$2692,A40)</x:f>
        <x:v>1</x:v>
      </x:c>
      <x:c r="E40" s="11" t="n">
        <x:f>D40-C40</x:f>
        <x:v>0</x:v>
      </x:c>
      <x:c r="F40" s="5" t="str">
        <x:v>nicht Pilot</x:v>
      </x:c>
      <x:c r="G40" s="5" t="str">
        <x:v>WQ</x:v>
      </x:c>
    </x:row>
    <x:row r="41" ht="36" customHeight="1">
      <x:c r="A41" s="5" t="str">
        <x:v>BWL-0035</x:v>
      </x:c>
      <x:c r="B41" s="5" t="str">
        <x:v>BWL</x:v>
      </x:c>
      <x:c r="C41" s="11" t="n">
        <x:v>1</x:v>
      </x:c>
      <x:c r="D41" s="11" t="n">
        <x:f>COUNTIF('Einzel-ID-Zuordnung'!$A$7:$A$2692,A41)</x:f>
        <x:v>1</x:v>
      </x:c>
      <x:c r="E41" s="11" t="n">
        <x:f>D41-C41</x:f>
        <x:v>0</x:v>
      </x:c>
      <x:c r="F41" s="5" t="str">
        <x:v>nicht Pilot</x:v>
      </x:c>
      <x:c r="G41" s="5" t="str">
        <x:v>WQ</x:v>
      </x:c>
    </x:row>
    <x:row r="42" ht="36" customHeight="1">
      <x:c r="A42" s="5" t="str">
        <x:v>BWL-0036</x:v>
      </x:c>
      <x:c r="B42" s="5" t="str">
        <x:v>BWL</x:v>
      </x:c>
      <x:c r="C42" s="11" t="n">
        <x:v>1</x:v>
      </x:c>
      <x:c r="D42" s="11" t="n">
        <x:f>COUNTIF('Einzel-ID-Zuordnung'!$A$7:$A$2692,A42)</x:f>
        <x:v>1</x:v>
      </x:c>
      <x:c r="E42" s="11" t="n">
        <x:f>D42-C42</x:f>
        <x:v>0</x:v>
      </x:c>
      <x:c r="F42" s="5" t="str">
        <x:v>nicht Pilot</x:v>
      </x:c>
      <x:c r="G42" s="5" t="str">
        <x:v>WQ</x:v>
      </x:c>
    </x:row>
    <x:row r="43" ht="36" customHeight="1">
      <x:c r="A43" s="5" t="str">
        <x:v>BWL-0037</x:v>
      </x:c>
      <x:c r="B43" s="5" t="str">
        <x:v>BWL</x:v>
      </x:c>
      <x:c r="C43" s="11" t="n">
        <x:v>1</x:v>
      </x:c>
      <x:c r="D43" s="11" t="n">
        <x:f>COUNTIF('Einzel-ID-Zuordnung'!$A$7:$A$2692,A43)</x:f>
        <x:v>1</x:v>
      </x:c>
      <x:c r="E43" s="11" t="n">
        <x:f>D43-C43</x:f>
        <x:v>0</x:v>
      </x:c>
      <x:c r="F43" s="5" t="str">
        <x:v>nicht Pilot</x:v>
      </x:c>
      <x:c r="G43" s="5" t="str">
        <x:v>WQ</x:v>
      </x:c>
    </x:row>
    <x:row r="44" ht="36" customHeight="1">
      <x:c r="A44" s="5" t="str">
        <x:v>BWL-0038</x:v>
      </x:c>
      <x:c r="B44" s="5" t="str">
        <x:v>BWL</x:v>
      </x:c>
      <x:c r="C44" s="11" t="n">
        <x:v>1</x:v>
      </x:c>
      <x:c r="D44" s="11" t="n">
        <x:f>COUNTIF('Einzel-ID-Zuordnung'!$A$7:$A$2692,A44)</x:f>
        <x:v>1</x:v>
      </x:c>
      <x:c r="E44" s="11" t="n">
        <x:f>D44-C44</x:f>
        <x:v>0</x:v>
      </x:c>
      <x:c r="F44" s="5" t="str">
        <x:v>nicht Pilot</x:v>
      </x:c>
      <x:c r="G44" s="5" t="str">
        <x:v>WQ</x:v>
      </x:c>
    </x:row>
    <x:row r="45" ht="36" customHeight="1">
      <x:c r="A45" s="5" t="str">
        <x:v>BWL-0039</x:v>
      </x:c>
      <x:c r="B45" s="5" t="str">
        <x:v>BWL</x:v>
      </x:c>
      <x:c r="C45" s="11" t="n">
        <x:v>1</x:v>
      </x:c>
      <x:c r="D45" s="11" t="n">
        <x:f>COUNTIF('Einzel-ID-Zuordnung'!$A$7:$A$2692,A45)</x:f>
        <x:v>1</x:v>
      </x:c>
      <x:c r="E45" s="11" t="n">
        <x:f>D45-C45</x:f>
        <x:v>0</x:v>
      </x:c>
      <x:c r="F45" s="5" t="str">
        <x:v>nicht Pilot</x:v>
      </x:c>
      <x:c r="G45" s="5" t="str">
        <x:v>WQ</x:v>
      </x:c>
    </x:row>
    <x:row r="46" ht="36" customHeight="1">
      <x:c r="A46" s="5" t="str">
        <x:v>BWL-0040</x:v>
      </x:c>
      <x:c r="B46" s="5" t="str">
        <x:v>BWL</x:v>
      </x:c>
      <x:c r="C46" s="11" t="n">
        <x:v>1</x:v>
      </x:c>
      <x:c r="D46" s="11" t="n">
        <x:f>COUNTIF('Einzel-ID-Zuordnung'!$A$7:$A$2692,A46)</x:f>
        <x:v>1</x:v>
      </x:c>
      <x:c r="E46" s="11" t="n">
        <x:f>D46-C46</x:f>
        <x:v>0</x:v>
      </x:c>
      <x:c r="F46" s="5" t="str">
        <x:v>nicht Pilot</x:v>
      </x:c>
      <x:c r="G46" s="5" t="str">
        <x:v>WQ</x:v>
      </x:c>
    </x:row>
    <x:row r="47" ht="36" customHeight="1">
      <x:c r="A47" s="5" t="str">
        <x:v>BWL-0041</x:v>
      </x:c>
      <x:c r="B47" s="5" t="str">
        <x:v>BWL</x:v>
      </x:c>
      <x:c r="C47" s="11" t="n">
        <x:v>1</x:v>
      </x:c>
      <x:c r="D47" s="11" t="n">
        <x:f>COUNTIF('Einzel-ID-Zuordnung'!$A$7:$A$2692,A47)</x:f>
        <x:v>1</x:v>
      </x:c>
      <x:c r="E47" s="11" t="n">
        <x:f>D47-C47</x:f>
        <x:v>0</x:v>
      </x:c>
      <x:c r="F47" s="5" t="str">
        <x:v>nicht Pilot</x:v>
      </x:c>
      <x:c r="G47" s="5" t="str">
        <x:v>WQ</x:v>
      </x:c>
    </x:row>
    <x:row r="48" ht="36" customHeight="1">
      <x:c r="A48" s="5" t="str">
        <x:v>BWL-0042</x:v>
      </x:c>
      <x:c r="B48" s="5" t="str">
        <x:v>BWL</x:v>
      </x:c>
      <x:c r="C48" s="11" t="n">
        <x:v>1</x:v>
      </x:c>
      <x:c r="D48" s="11" t="n">
        <x:f>COUNTIF('Einzel-ID-Zuordnung'!$A$7:$A$2692,A48)</x:f>
        <x:v>1</x:v>
      </x:c>
      <x:c r="E48" s="11" t="n">
        <x:f>D48-C48</x:f>
        <x:v>0</x:v>
      </x:c>
      <x:c r="F48" s="5" t="str">
        <x:v>nicht Pilot</x:v>
      </x:c>
      <x:c r="G48" s="5" t="str">
        <x:v>WQ</x:v>
      </x:c>
    </x:row>
    <x:row r="49" ht="36" customHeight="1">
      <x:c r="A49" s="5" t="str">
        <x:v>BWL-0043</x:v>
      </x:c>
      <x:c r="B49" s="5" t="str">
        <x:v>BWL</x:v>
      </x:c>
      <x:c r="C49" s="11" t="n">
        <x:v>1</x:v>
      </x:c>
      <x:c r="D49" s="11" t="n">
        <x:f>COUNTIF('Einzel-ID-Zuordnung'!$A$7:$A$2692,A49)</x:f>
        <x:v>1</x:v>
      </x:c>
      <x:c r="E49" s="11" t="n">
        <x:f>D49-C49</x:f>
        <x:v>0</x:v>
      </x:c>
      <x:c r="F49" s="5" t="str">
        <x:v>nicht Pilot</x:v>
      </x:c>
      <x:c r="G49" s="5" t="str">
        <x:v>WQ</x:v>
      </x:c>
    </x:row>
    <x:row r="50" ht="36" customHeight="1">
      <x:c r="A50" s="5" t="str">
        <x:v>BWL-0044</x:v>
      </x:c>
      <x:c r="B50" s="5" t="str">
        <x:v>BWL</x:v>
      </x:c>
      <x:c r="C50" s="11" t="n">
        <x:v>1</x:v>
      </x:c>
      <x:c r="D50" s="11" t="n">
        <x:f>COUNTIF('Einzel-ID-Zuordnung'!$A$7:$A$2692,A50)</x:f>
        <x:v>1</x:v>
      </x:c>
      <x:c r="E50" s="11" t="n">
        <x:f>D50-C50</x:f>
        <x:v>0</x:v>
      </x:c>
      <x:c r="F50" s="5" t="str">
        <x:v>nicht Pilot</x:v>
      </x:c>
      <x:c r="G50" s="5" t="str">
        <x:v>WQ</x:v>
      </x:c>
    </x:row>
    <x:row r="51" ht="36" customHeight="1">
      <x:c r="A51" s="5" t="str">
        <x:v>BWL-0045</x:v>
      </x:c>
      <x:c r="B51" s="5" t="str">
        <x:v>BWL</x:v>
      </x:c>
      <x:c r="C51" s="11" t="n">
        <x:v>1</x:v>
      </x:c>
      <x:c r="D51" s="11" t="n">
        <x:f>COUNTIF('Einzel-ID-Zuordnung'!$A$7:$A$2692,A51)</x:f>
        <x:v>1</x:v>
      </x:c>
      <x:c r="E51" s="11" t="n">
        <x:f>D51-C51</x:f>
        <x:v>0</x:v>
      </x:c>
      <x:c r="F51" s="5" t="str">
        <x:v>nicht Pilot</x:v>
      </x:c>
      <x:c r="G51" s="5" t="str">
        <x:v>WQ</x:v>
      </x:c>
    </x:row>
    <x:row r="52" ht="36" customHeight="1">
      <x:c r="A52" s="5" t="str">
        <x:v>BWL-0046</x:v>
      </x:c>
      <x:c r="B52" s="5" t="str">
        <x:v>BWL</x:v>
      </x:c>
      <x:c r="C52" s="11" t="n">
        <x:v>1</x:v>
      </x:c>
      <x:c r="D52" s="11" t="n">
        <x:f>COUNTIF('Einzel-ID-Zuordnung'!$A$7:$A$2692,A52)</x:f>
        <x:v>1</x:v>
      </x:c>
      <x:c r="E52" s="11" t="n">
        <x:f>D52-C52</x:f>
        <x:v>0</x:v>
      </x:c>
      <x:c r="F52" s="5" t="str">
        <x:v>nicht Pilot</x:v>
      </x:c>
      <x:c r="G52" s="5" t="str">
        <x:v>WQ</x:v>
      </x:c>
    </x:row>
    <x:row r="53" ht="36" customHeight="1">
      <x:c r="A53" s="5" t="str">
        <x:v>BWL-0047</x:v>
      </x:c>
      <x:c r="B53" s="5" t="str">
        <x:v>BWL</x:v>
      </x:c>
      <x:c r="C53" s="11" t="n">
        <x:v>1</x:v>
      </x:c>
      <x:c r="D53" s="11" t="n">
        <x:f>COUNTIF('Einzel-ID-Zuordnung'!$A$7:$A$2692,A53)</x:f>
        <x:v>1</x:v>
      </x:c>
      <x:c r="E53" s="11" t="n">
        <x:f>D53-C53</x:f>
        <x:v>0</x:v>
      </x:c>
      <x:c r="F53" s="5" t="str">
        <x:v>nicht Pilot</x:v>
      </x:c>
      <x:c r="G53" s="5" t="str">
        <x:v>WQ</x:v>
      </x:c>
    </x:row>
    <x:row r="54" ht="36" customHeight="1">
      <x:c r="A54" s="5" t="str">
        <x:v>BWL-0048</x:v>
      </x:c>
      <x:c r="B54" s="5" t="str">
        <x:v>BWL</x:v>
      </x:c>
      <x:c r="C54" s="11" t="n">
        <x:v>1</x:v>
      </x:c>
      <x:c r="D54" s="11" t="n">
        <x:f>COUNTIF('Einzel-ID-Zuordnung'!$A$7:$A$2692,A54)</x:f>
        <x:v>1</x:v>
      </x:c>
      <x:c r="E54" s="11" t="n">
        <x:f>D54-C54</x:f>
        <x:v>0</x:v>
      </x:c>
      <x:c r="F54" s="5" t="str">
        <x:v>nicht Pilot</x:v>
      </x:c>
      <x:c r="G54" s="5" t="str">
        <x:v>WQ</x:v>
      </x:c>
    </x:row>
    <x:row r="55" ht="36" customHeight="1">
      <x:c r="A55" s="5" t="str">
        <x:v>BWL-0049</x:v>
      </x:c>
      <x:c r="B55" s="5" t="str">
        <x:v>BWL</x:v>
      </x:c>
      <x:c r="C55" s="11" t="n">
        <x:v>1</x:v>
      </x:c>
      <x:c r="D55" s="11" t="n">
        <x:f>COUNTIF('Einzel-ID-Zuordnung'!$A$7:$A$2692,A55)</x:f>
        <x:v>1</x:v>
      </x:c>
      <x:c r="E55" s="11" t="n">
        <x:f>D55-C55</x:f>
        <x:v>0</x:v>
      </x:c>
      <x:c r="F55" s="5" t="str">
        <x:v>nicht Pilot</x:v>
      </x:c>
      <x:c r="G55" s="5" t="str">
        <x:v>WQ</x:v>
      </x:c>
    </x:row>
    <x:row r="56" ht="36" customHeight="1">
      <x:c r="A56" s="5" t="str">
        <x:v>BWL-0050</x:v>
      </x:c>
      <x:c r="B56" s="5" t="str">
        <x:v>BWL</x:v>
      </x:c>
      <x:c r="C56" s="11" t="n">
        <x:v>1</x:v>
      </x:c>
      <x:c r="D56" s="11" t="n">
        <x:f>COUNTIF('Einzel-ID-Zuordnung'!$A$7:$A$2692,A56)</x:f>
        <x:v>1</x:v>
      </x:c>
      <x:c r="E56" s="11" t="n">
        <x:f>D56-C56</x:f>
        <x:v>0</x:v>
      </x:c>
      <x:c r="F56" s="5" t="str">
        <x:v>nicht Pilot</x:v>
      </x:c>
      <x:c r="G56" s="5" t="str">
        <x:v>WQ</x:v>
      </x:c>
    </x:row>
    <x:row r="57" ht="36" customHeight="1">
      <x:c r="A57" s="5" t="str">
        <x:v>BWL-0051</x:v>
      </x:c>
      <x:c r="B57" s="5" t="str">
        <x:v>BWL</x:v>
      </x:c>
      <x:c r="C57" s="11" t="n">
        <x:v>1</x:v>
      </x:c>
      <x:c r="D57" s="11" t="n">
        <x:f>COUNTIF('Einzel-ID-Zuordnung'!$A$7:$A$2692,A57)</x:f>
        <x:v>1</x:v>
      </x:c>
      <x:c r="E57" s="11" t="n">
        <x:f>D57-C57</x:f>
        <x:v>0</x:v>
      </x:c>
      <x:c r="F57" s="5" t="str">
        <x:v>nicht Pilot</x:v>
      </x:c>
      <x:c r="G57" s="5" t="str">
        <x:v>WQ</x:v>
      </x:c>
    </x:row>
    <x:row r="58" ht="36" customHeight="1">
      <x:c r="A58" s="5" t="str">
        <x:v>BWL-0052</x:v>
      </x:c>
      <x:c r="B58" s="5" t="str">
        <x:v>BWL</x:v>
      </x:c>
      <x:c r="C58" s="11" t="n">
        <x:v>1</x:v>
      </x:c>
      <x:c r="D58" s="11" t="n">
        <x:f>COUNTIF('Einzel-ID-Zuordnung'!$A$7:$A$2692,A58)</x:f>
        <x:v>1</x:v>
      </x:c>
      <x:c r="E58" s="11" t="n">
        <x:f>D58-C58</x:f>
        <x:v>0</x:v>
      </x:c>
      <x:c r="F58" s="5" t="str">
        <x:v>nicht Pilot</x:v>
      </x:c>
      <x:c r="G58" s="5" t="str">
        <x:v>WQ</x:v>
      </x:c>
    </x:row>
    <x:row r="59" ht="36" customHeight="1">
      <x:c r="A59" s="5" t="str">
        <x:v>BWL-0053</x:v>
      </x:c>
      <x:c r="B59" s="5" t="str">
        <x:v>BWL</x:v>
      </x:c>
      <x:c r="C59" s="11" t="n">
        <x:v>1</x:v>
      </x:c>
      <x:c r="D59" s="11" t="n">
        <x:f>COUNTIF('Einzel-ID-Zuordnung'!$A$7:$A$2692,A59)</x:f>
        <x:v>1</x:v>
      </x:c>
      <x:c r="E59" s="11" t="n">
        <x:f>D59-C59</x:f>
        <x:v>0</x:v>
      </x:c>
      <x:c r="F59" s="5" t="str">
        <x:v>nicht Pilot</x:v>
      </x:c>
      <x:c r="G59" s="5" t="str">
        <x:v>WQ</x:v>
      </x:c>
    </x:row>
    <x:row r="60" ht="36" customHeight="1">
      <x:c r="A60" s="5" t="str">
        <x:v>BWL-0054</x:v>
      </x:c>
      <x:c r="B60" s="5" t="str">
        <x:v>BWL</x:v>
      </x:c>
      <x:c r="C60" s="11" t="n">
        <x:v>1</x:v>
      </x:c>
      <x:c r="D60" s="11" t="n">
        <x:f>COUNTIF('Einzel-ID-Zuordnung'!$A$7:$A$2692,A60)</x:f>
        <x:v>1</x:v>
      </x:c>
      <x:c r="E60" s="11" t="n">
        <x:f>D60-C60</x:f>
        <x:v>0</x:v>
      </x:c>
      <x:c r="F60" s="5" t="str">
        <x:v>nicht Pilot</x:v>
      </x:c>
      <x:c r="G60" s="5" t="str">
        <x:v>WQ</x:v>
      </x:c>
    </x:row>
    <x:row r="61" ht="36" customHeight="1">
      <x:c r="A61" s="5" t="str">
        <x:v>BWL-0055</x:v>
      </x:c>
      <x:c r="B61" s="5" t="str">
        <x:v>BWL</x:v>
      </x:c>
      <x:c r="C61" s="11" t="n">
        <x:v>1</x:v>
      </x:c>
      <x:c r="D61" s="11" t="n">
        <x:f>COUNTIF('Einzel-ID-Zuordnung'!$A$7:$A$2692,A61)</x:f>
        <x:v>1</x:v>
      </x:c>
      <x:c r="E61" s="11" t="n">
        <x:f>D61-C61</x:f>
        <x:v>0</x:v>
      </x:c>
      <x:c r="F61" s="5" t="str">
        <x:v>nicht Pilot</x:v>
      </x:c>
      <x:c r="G61" s="5" t="str">
        <x:v>WQ</x:v>
      </x:c>
    </x:row>
    <x:row r="62" ht="36" customHeight="1">
      <x:c r="A62" s="5" t="str">
        <x:v>BWL-0056</x:v>
      </x:c>
      <x:c r="B62" s="5" t="str">
        <x:v>BWL</x:v>
      </x:c>
      <x:c r="C62" s="11" t="n">
        <x:v>1</x:v>
      </x:c>
      <x:c r="D62" s="11" t="n">
        <x:f>COUNTIF('Einzel-ID-Zuordnung'!$A$7:$A$2692,A62)</x:f>
        <x:v>1</x:v>
      </x:c>
      <x:c r="E62" s="11" t="n">
        <x:f>D62-C62</x:f>
        <x:v>0</x:v>
      </x:c>
      <x:c r="F62" s="5" t="str">
        <x:v>nicht Pilot</x:v>
      </x:c>
      <x:c r="G62" s="5" t="str">
        <x:v>WQ</x:v>
      </x:c>
    </x:row>
    <x:row r="63" ht="36" customHeight="1">
      <x:c r="A63" s="5" t="str">
        <x:v>BWL-0057</x:v>
      </x:c>
      <x:c r="B63" s="5" t="str">
        <x:v>BWL</x:v>
      </x:c>
      <x:c r="C63" s="11" t="n">
        <x:v>1</x:v>
      </x:c>
      <x:c r="D63" s="11" t="n">
        <x:f>COUNTIF('Einzel-ID-Zuordnung'!$A$7:$A$2692,A63)</x:f>
        <x:v>1</x:v>
      </x:c>
      <x:c r="E63" s="11" t="n">
        <x:f>D63-C63</x:f>
        <x:v>0</x:v>
      </x:c>
      <x:c r="F63" s="5" t="str">
        <x:v>nicht Pilot</x:v>
      </x:c>
      <x:c r="G63" s="5" t="str">
        <x:v>WQ</x:v>
      </x:c>
    </x:row>
    <x:row r="64" ht="36" customHeight="1">
      <x:c r="A64" s="5" t="str">
        <x:v>BWL-0058</x:v>
      </x:c>
      <x:c r="B64" s="5" t="str">
        <x:v>BWL</x:v>
      </x:c>
      <x:c r="C64" s="11" t="n">
        <x:v>1</x:v>
      </x:c>
      <x:c r="D64" s="11" t="n">
        <x:f>COUNTIF('Einzel-ID-Zuordnung'!$A$7:$A$2692,A64)</x:f>
        <x:v>1</x:v>
      </x:c>
      <x:c r="E64" s="11" t="n">
        <x:f>D64-C64</x:f>
        <x:v>0</x:v>
      </x:c>
      <x:c r="F64" s="5" t="str">
        <x:v>nicht Pilot</x:v>
      </x:c>
      <x:c r="G64" s="5" t="str">
        <x:v>WQ</x:v>
      </x:c>
    </x:row>
    <x:row r="65" ht="36" customHeight="1">
      <x:c r="A65" s="5" t="str">
        <x:v>BWL-0059</x:v>
      </x:c>
      <x:c r="B65" s="5" t="str">
        <x:v>BWL</x:v>
      </x:c>
      <x:c r="C65" s="11" t="n">
        <x:v>1</x:v>
      </x:c>
      <x:c r="D65" s="11" t="n">
        <x:f>COUNTIF('Einzel-ID-Zuordnung'!$A$7:$A$2692,A65)</x:f>
        <x:v>1</x:v>
      </x:c>
      <x:c r="E65" s="11" t="n">
        <x:f>D65-C65</x:f>
        <x:v>0</x:v>
      </x:c>
      <x:c r="F65" s="5" t="str">
        <x:v>nicht Pilot</x:v>
      </x:c>
      <x:c r="G65" s="5" t="str">
        <x:v>WQ</x:v>
      </x:c>
    </x:row>
    <x:row r="66" ht="36" customHeight="1">
      <x:c r="A66" s="5" t="str">
        <x:v>BWL-0060</x:v>
      </x:c>
      <x:c r="B66" s="5" t="str">
        <x:v>BWL</x:v>
      </x:c>
      <x:c r="C66" s="11" t="n">
        <x:v>1</x:v>
      </x:c>
      <x:c r="D66" s="11" t="n">
        <x:f>COUNTIF('Einzel-ID-Zuordnung'!$A$7:$A$2692,A66)</x:f>
        <x:v>1</x:v>
      </x:c>
      <x:c r="E66" s="11" t="n">
        <x:f>D66-C66</x:f>
        <x:v>0</x:v>
      </x:c>
      <x:c r="F66" s="5" t="str">
        <x:v>nicht Pilot</x:v>
      </x:c>
      <x:c r="G66" s="5" t="str">
        <x:v>WQ</x:v>
      </x:c>
    </x:row>
    <x:row r="67" ht="36" customHeight="1">
      <x:c r="A67" s="5" t="str">
        <x:v>BWL-0061</x:v>
      </x:c>
      <x:c r="B67" s="5" t="str">
        <x:v>BWL</x:v>
      </x:c>
      <x:c r="C67" s="11" t="n">
        <x:v>1</x:v>
      </x:c>
      <x:c r="D67" s="11" t="n">
        <x:f>COUNTIF('Einzel-ID-Zuordnung'!$A$7:$A$2692,A67)</x:f>
        <x:v>1</x:v>
      </x:c>
      <x:c r="E67" s="11" t="n">
        <x:f>D67-C67</x:f>
        <x:v>0</x:v>
      </x:c>
      <x:c r="F67" s="5" t="str">
        <x:v>nicht Pilot</x:v>
      </x:c>
      <x:c r="G67" s="5" t="str">
        <x:v>WQ</x:v>
      </x:c>
    </x:row>
    <x:row r="68" ht="36" customHeight="1">
      <x:c r="A68" s="5" t="str">
        <x:v>BWL-0062</x:v>
      </x:c>
      <x:c r="B68" s="5" t="str">
        <x:v>BWL</x:v>
      </x:c>
      <x:c r="C68" s="11" t="n">
        <x:v>1</x:v>
      </x:c>
      <x:c r="D68" s="11" t="n">
        <x:f>COUNTIF('Einzel-ID-Zuordnung'!$A$7:$A$2692,A68)</x:f>
        <x:v>1</x:v>
      </x:c>
      <x:c r="E68" s="11" t="n">
        <x:f>D68-C68</x:f>
        <x:v>0</x:v>
      </x:c>
      <x:c r="F68" s="5" t="str">
        <x:v>nicht Pilot</x:v>
      </x:c>
      <x:c r="G68" s="5" t="str">
        <x:v>WQ</x:v>
      </x:c>
    </x:row>
    <x:row r="69" ht="36" customHeight="1">
      <x:c r="A69" s="5" t="str">
        <x:v>BWL-0063</x:v>
      </x:c>
      <x:c r="B69" s="5" t="str">
        <x:v>BWL</x:v>
      </x:c>
      <x:c r="C69" s="11" t="n">
        <x:v>1</x:v>
      </x:c>
      <x:c r="D69" s="11" t="n">
        <x:f>COUNTIF('Einzel-ID-Zuordnung'!$A$7:$A$2692,A69)</x:f>
        <x:v>1</x:v>
      </x:c>
      <x:c r="E69" s="11" t="n">
        <x:f>D69-C69</x:f>
        <x:v>0</x:v>
      </x:c>
      <x:c r="F69" s="5" t="str">
        <x:v>nicht Pilot</x:v>
      </x:c>
      <x:c r="G69" s="5" t="str">
        <x:v>WQ</x:v>
      </x:c>
    </x:row>
    <x:row r="70" ht="36" customHeight="1">
      <x:c r="A70" s="5" t="str">
        <x:v>BWL-0064</x:v>
      </x:c>
      <x:c r="B70" s="5" t="str">
        <x:v>BWL</x:v>
      </x:c>
      <x:c r="C70" s="11" t="n">
        <x:v>1</x:v>
      </x:c>
      <x:c r="D70" s="11" t="n">
        <x:f>COUNTIF('Einzel-ID-Zuordnung'!$A$7:$A$2692,A70)</x:f>
        <x:v>1</x:v>
      </x:c>
      <x:c r="E70" s="11" t="n">
        <x:f>D70-C70</x:f>
        <x:v>0</x:v>
      </x:c>
      <x:c r="F70" s="5" t="str">
        <x:v>nicht Pilot</x:v>
      </x:c>
      <x:c r="G70" s="5" t="str">
        <x:v>WQ</x:v>
      </x:c>
    </x:row>
    <x:row r="71" ht="36" customHeight="1">
      <x:c r="A71" s="5" t="str">
        <x:v>BWL-0065</x:v>
      </x:c>
      <x:c r="B71" s="5" t="str">
        <x:v>BWL</x:v>
      </x:c>
      <x:c r="C71" s="11" t="n">
        <x:v>1</x:v>
      </x:c>
      <x:c r="D71" s="11" t="n">
        <x:f>COUNTIF('Einzel-ID-Zuordnung'!$A$7:$A$2692,A71)</x:f>
        <x:v>1</x:v>
      </x:c>
      <x:c r="E71" s="11" t="n">
        <x:f>D71-C71</x:f>
        <x:v>0</x:v>
      </x:c>
      <x:c r="F71" s="5" t="str">
        <x:v>nicht Pilot</x:v>
      </x:c>
      <x:c r="G71" s="5" t="str">
        <x:v>WQ</x:v>
      </x:c>
    </x:row>
    <x:row r="72" ht="36" customHeight="1">
      <x:c r="A72" s="5" t="str">
        <x:v>BWL-0066</x:v>
      </x:c>
      <x:c r="B72" s="5" t="str">
        <x:v>BWL</x:v>
      </x:c>
      <x:c r="C72" s="11" t="n">
        <x:v>1</x:v>
      </x:c>
      <x:c r="D72" s="11" t="n">
        <x:f>COUNTIF('Einzel-ID-Zuordnung'!$A$7:$A$2692,A72)</x:f>
        <x:v>1</x:v>
      </x:c>
      <x:c r="E72" s="11" t="n">
        <x:f>D72-C72</x:f>
        <x:v>0</x:v>
      </x:c>
      <x:c r="F72" s="5" t="str">
        <x:v>nicht Pilot</x:v>
      </x:c>
      <x:c r="G72" s="5" t="str">
        <x:v>WQ</x:v>
      </x:c>
    </x:row>
    <x:row r="73" ht="36" customHeight="1">
      <x:c r="A73" s="5" t="str">
        <x:v>BWL-0067</x:v>
      </x:c>
      <x:c r="B73" s="5" t="str">
        <x:v>BWL</x:v>
      </x:c>
      <x:c r="C73" s="11" t="n">
        <x:v>1</x:v>
      </x:c>
      <x:c r="D73" s="11" t="n">
        <x:f>COUNTIF('Einzel-ID-Zuordnung'!$A$7:$A$2692,A73)</x:f>
        <x:v>1</x:v>
      </x:c>
      <x:c r="E73" s="11" t="n">
        <x:f>D73-C73</x:f>
        <x:v>0</x:v>
      </x:c>
      <x:c r="F73" s="5" t="str">
        <x:v>nicht Pilot</x:v>
      </x:c>
      <x:c r="G73" s="5" t="str">
        <x:v>WQ</x:v>
      </x:c>
    </x:row>
    <x:row r="74" ht="36" customHeight="1">
      <x:c r="A74" s="5" t="str">
        <x:v>BWL-0068</x:v>
      </x:c>
      <x:c r="B74" s="5" t="str">
        <x:v>BWL</x:v>
      </x:c>
      <x:c r="C74" s="11" t="n">
        <x:v>1</x:v>
      </x:c>
      <x:c r="D74" s="11" t="n">
        <x:f>COUNTIF('Einzel-ID-Zuordnung'!$A$7:$A$2692,A74)</x:f>
        <x:v>1</x:v>
      </x:c>
      <x:c r="E74" s="11" t="n">
        <x:f>D74-C74</x:f>
        <x:v>0</x:v>
      </x:c>
      <x:c r="F74" s="5" t="str">
        <x:v>nicht Pilot</x:v>
      </x:c>
      <x:c r="G74" s="5" t="str">
        <x:v>WQ</x:v>
      </x:c>
    </x:row>
    <x:row r="75" ht="36" customHeight="1">
      <x:c r="A75" s="5" t="str">
        <x:v>BWL-0069</x:v>
      </x:c>
      <x:c r="B75" s="5" t="str">
        <x:v>BWL</x:v>
      </x:c>
      <x:c r="C75" s="11" t="n">
        <x:v>1</x:v>
      </x:c>
      <x:c r="D75" s="11" t="n">
        <x:f>COUNTIF('Einzel-ID-Zuordnung'!$A$7:$A$2692,A75)</x:f>
        <x:v>1</x:v>
      </x:c>
      <x:c r="E75" s="11" t="n">
        <x:f>D75-C75</x:f>
        <x:v>0</x:v>
      </x:c>
      <x:c r="F75" s="5" t="str">
        <x:v>nicht Pilot</x:v>
      </x:c>
      <x:c r="G75" s="5" t="str">
        <x:v>WQ</x:v>
      </x:c>
    </x:row>
    <x:row r="76" ht="36" customHeight="1">
      <x:c r="A76" s="5" t="str">
        <x:v>BWL-0070</x:v>
      </x:c>
      <x:c r="B76" s="5" t="str">
        <x:v>BWL</x:v>
      </x:c>
      <x:c r="C76" s="11" t="n">
        <x:v>1</x:v>
      </x:c>
      <x:c r="D76" s="11" t="n">
        <x:f>COUNTIF('Einzel-ID-Zuordnung'!$A$7:$A$2692,A76)</x:f>
        <x:v>1</x:v>
      </x:c>
      <x:c r="E76" s="11" t="n">
        <x:f>D76-C76</x:f>
        <x:v>0</x:v>
      </x:c>
      <x:c r="F76" s="5" t="str">
        <x:v>nicht Pilot</x:v>
      </x:c>
      <x:c r="G76" s="5" t="str">
        <x:v>WQ</x:v>
      </x:c>
    </x:row>
    <x:row r="77" ht="36" customHeight="1">
      <x:c r="A77" s="5" t="str">
        <x:v>BWL-0071</x:v>
      </x:c>
      <x:c r="B77" s="5" t="str">
        <x:v>BWL</x:v>
      </x:c>
      <x:c r="C77" s="11" t="n">
        <x:v>1</x:v>
      </x:c>
      <x:c r="D77" s="11" t="n">
        <x:f>COUNTIF('Einzel-ID-Zuordnung'!$A$7:$A$2692,A77)</x:f>
        <x:v>1</x:v>
      </x:c>
      <x:c r="E77" s="11" t="n">
        <x:f>D77-C77</x:f>
        <x:v>0</x:v>
      </x:c>
      <x:c r="F77" s="5" t="str">
        <x:v>nicht Pilot</x:v>
      </x:c>
      <x:c r="G77" s="5" t="str">
        <x:v>WQ</x:v>
      </x:c>
    </x:row>
    <x:row r="78" ht="36" customHeight="1">
      <x:c r="A78" s="5" t="str">
        <x:v>BWL-0072</x:v>
      </x:c>
      <x:c r="B78" s="5" t="str">
        <x:v>BWL</x:v>
      </x:c>
      <x:c r="C78" s="11" t="n">
        <x:v>1</x:v>
      </x:c>
      <x:c r="D78" s="11" t="n">
        <x:f>COUNTIF('Einzel-ID-Zuordnung'!$A$7:$A$2692,A78)</x:f>
        <x:v>1</x:v>
      </x:c>
      <x:c r="E78" s="11" t="n">
        <x:f>D78-C78</x:f>
        <x:v>0</x:v>
      </x:c>
      <x:c r="F78" s="5" t="str">
        <x:v>nicht Pilot</x:v>
      </x:c>
      <x:c r="G78" s="5" t="str">
        <x:v>WQ</x:v>
      </x:c>
    </x:row>
    <x:row r="79" ht="36" customHeight="1">
      <x:c r="A79" s="5" t="str">
        <x:v>BWL-0073</x:v>
      </x:c>
      <x:c r="B79" s="5" t="str">
        <x:v>BWL</x:v>
      </x:c>
      <x:c r="C79" s="11" t="n">
        <x:v>1</x:v>
      </x:c>
      <x:c r="D79" s="11" t="n">
        <x:f>COUNTIF('Einzel-ID-Zuordnung'!$A$7:$A$2692,A79)</x:f>
        <x:v>1</x:v>
      </x:c>
      <x:c r="E79" s="11" t="n">
        <x:f>D79-C79</x:f>
        <x:v>0</x:v>
      </x:c>
      <x:c r="F79" s="5" t="str">
        <x:v>nicht Pilot</x:v>
      </x:c>
      <x:c r="G79" s="5" t="str">
        <x:v>WQ</x:v>
      </x:c>
    </x:row>
    <x:row r="80" ht="36" customHeight="1">
      <x:c r="A80" s="5" t="str">
        <x:v>BWL-0074</x:v>
      </x:c>
      <x:c r="B80" s="5" t="str">
        <x:v>BWL</x:v>
      </x:c>
      <x:c r="C80" s="11" t="n">
        <x:v>1</x:v>
      </x:c>
      <x:c r="D80" s="11" t="n">
        <x:f>COUNTIF('Einzel-ID-Zuordnung'!$A$7:$A$2692,A80)</x:f>
        <x:v>1</x:v>
      </x:c>
      <x:c r="E80" s="11" t="n">
        <x:f>D80-C80</x:f>
        <x:v>0</x:v>
      </x:c>
      <x:c r="F80" s="5" t="str">
        <x:v>nicht Pilot</x:v>
      </x:c>
      <x:c r="G80" s="5" t="str">
        <x:v>WQ</x:v>
      </x:c>
    </x:row>
    <x:row r="81" ht="36" customHeight="1">
      <x:c r="A81" s="5" t="str">
        <x:v>BWL-0075</x:v>
      </x:c>
      <x:c r="B81" s="5" t="str">
        <x:v>BWL</x:v>
      </x:c>
      <x:c r="C81" s="11" t="n">
        <x:v>1</x:v>
      </x:c>
      <x:c r="D81" s="11" t="n">
        <x:f>COUNTIF('Einzel-ID-Zuordnung'!$A$7:$A$2692,A81)</x:f>
        <x:v>1</x:v>
      </x:c>
      <x:c r="E81" s="11" t="n">
        <x:f>D81-C81</x:f>
        <x:v>0</x:v>
      </x:c>
      <x:c r="F81" s="5" t="str">
        <x:v>nicht Pilot</x:v>
      </x:c>
      <x:c r="G81" s="5" t="str">
        <x:v>WQ</x:v>
      </x:c>
    </x:row>
    <x:row r="82" ht="36" customHeight="1">
      <x:c r="A82" s="5" t="str">
        <x:v>BWL-0076</x:v>
      </x:c>
      <x:c r="B82" s="5" t="str">
        <x:v>BWL</x:v>
      </x:c>
      <x:c r="C82" s="11" t="n">
        <x:v>1</x:v>
      </x:c>
      <x:c r="D82" s="11" t="n">
        <x:f>COUNTIF('Einzel-ID-Zuordnung'!$A$7:$A$2692,A82)</x:f>
        <x:v>1</x:v>
      </x:c>
      <x:c r="E82" s="11" t="n">
        <x:f>D82-C82</x:f>
        <x:v>0</x:v>
      </x:c>
      <x:c r="F82" s="5" t="str">
        <x:v>nicht Pilot</x:v>
      </x:c>
      <x:c r="G82" s="5" t="str">
        <x:v>WQ</x:v>
      </x:c>
    </x:row>
    <x:row r="83" ht="36" customHeight="1">
      <x:c r="A83" s="5" t="str">
        <x:v>BWL-0077</x:v>
      </x:c>
      <x:c r="B83" s="5" t="str">
        <x:v>BWL</x:v>
      </x:c>
      <x:c r="C83" s="11" t="n">
        <x:v>1</x:v>
      </x:c>
      <x:c r="D83" s="11" t="n">
        <x:f>COUNTIF('Einzel-ID-Zuordnung'!$A$7:$A$2692,A83)</x:f>
        <x:v>1</x:v>
      </x:c>
      <x:c r="E83" s="11" t="n">
        <x:f>D83-C83</x:f>
        <x:v>0</x:v>
      </x:c>
      <x:c r="F83" s="5" t="str">
        <x:v>nicht Pilot</x:v>
      </x:c>
      <x:c r="G83" s="5" t="str">
        <x:v>WQ</x:v>
      </x:c>
    </x:row>
    <x:row r="84" ht="36" customHeight="1">
      <x:c r="A84" s="5" t="str">
        <x:v>BWL-0078</x:v>
      </x:c>
      <x:c r="B84" s="5" t="str">
        <x:v>BWL</x:v>
      </x:c>
      <x:c r="C84" s="11" t="n">
        <x:v>1</x:v>
      </x:c>
      <x:c r="D84" s="11" t="n">
        <x:f>COUNTIF('Einzel-ID-Zuordnung'!$A$7:$A$2692,A84)</x:f>
        <x:v>1</x:v>
      </x:c>
      <x:c r="E84" s="11" t="n">
        <x:f>D84-C84</x:f>
        <x:v>0</x:v>
      </x:c>
      <x:c r="F84" s="5" t="str">
        <x:v>nicht Pilot</x:v>
      </x:c>
      <x:c r="G84" s="5" t="str">
        <x:v>WQ</x:v>
      </x:c>
    </x:row>
    <x:row r="85" ht="36" customHeight="1">
      <x:c r="A85" s="5" t="str">
        <x:v>BWL-0079</x:v>
      </x:c>
      <x:c r="B85" s="5" t="str">
        <x:v>BWL</x:v>
      </x:c>
      <x:c r="C85" s="11" t="n">
        <x:v>1</x:v>
      </x:c>
      <x:c r="D85" s="11" t="n">
        <x:f>COUNTIF('Einzel-ID-Zuordnung'!$A$7:$A$2692,A85)</x:f>
        <x:v>1</x:v>
      </x:c>
      <x:c r="E85" s="11" t="n">
        <x:f>D85-C85</x:f>
        <x:v>0</x:v>
      </x:c>
      <x:c r="F85" s="5" t="str">
        <x:v>nicht Pilot</x:v>
      </x:c>
      <x:c r="G85" s="5" t="str">
        <x:v>WQ</x:v>
      </x:c>
    </x:row>
    <x:row r="86" ht="36" customHeight="1">
      <x:c r="A86" s="5" t="str">
        <x:v>BWL-0080</x:v>
      </x:c>
      <x:c r="B86" s="5" t="str">
        <x:v>BWL</x:v>
      </x:c>
      <x:c r="C86" s="11" t="n">
        <x:v>1</x:v>
      </x:c>
      <x:c r="D86" s="11" t="n">
        <x:f>COUNTIF('Einzel-ID-Zuordnung'!$A$7:$A$2692,A86)</x:f>
        <x:v>1</x:v>
      </x:c>
      <x:c r="E86" s="11" t="n">
        <x:f>D86-C86</x:f>
        <x:v>0</x:v>
      </x:c>
      <x:c r="F86" s="5" t="str">
        <x:v>nicht Pilot</x:v>
      </x:c>
      <x:c r="G86" s="5" t="str">
        <x:v>WQ</x:v>
      </x:c>
    </x:row>
    <x:row r="87" ht="36" customHeight="1">
      <x:c r="A87" s="5" t="str">
        <x:v>BWL-0081</x:v>
      </x:c>
      <x:c r="B87" s="5" t="str">
        <x:v>BWL</x:v>
      </x:c>
      <x:c r="C87" s="11" t="n">
        <x:v>1</x:v>
      </x:c>
      <x:c r="D87" s="11" t="n">
        <x:f>COUNTIF('Einzel-ID-Zuordnung'!$A$7:$A$2692,A87)</x:f>
        <x:v>1</x:v>
      </x:c>
      <x:c r="E87" s="11" t="n">
        <x:f>D87-C87</x:f>
        <x:v>0</x:v>
      </x:c>
      <x:c r="F87" s="5" t="str">
        <x:v>nicht Pilot</x:v>
      </x:c>
      <x:c r="G87" s="5" t="str">
        <x:v>WQ</x:v>
      </x:c>
    </x:row>
    <x:row r="88" ht="36" customHeight="1">
      <x:c r="A88" s="5" t="str">
        <x:v>BWL-0082</x:v>
      </x:c>
      <x:c r="B88" s="5" t="str">
        <x:v>BWL</x:v>
      </x:c>
      <x:c r="C88" s="11" t="n">
        <x:v>1</x:v>
      </x:c>
      <x:c r="D88" s="11" t="n">
        <x:f>COUNTIF('Einzel-ID-Zuordnung'!$A$7:$A$2692,A88)</x:f>
        <x:v>1</x:v>
      </x:c>
      <x:c r="E88" s="11" t="n">
        <x:f>D88-C88</x:f>
        <x:v>0</x:v>
      </x:c>
      <x:c r="F88" s="5" t="str">
        <x:v>nicht Pilot</x:v>
      </x:c>
      <x:c r="G88" s="5" t="str">
        <x:v>WQ</x:v>
      </x:c>
    </x:row>
    <x:row r="89" ht="36" customHeight="1">
      <x:c r="A89" s="5" t="str">
        <x:v>BWL-0083</x:v>
      </x:c>
      <x:c r="B89" s="5" t="str">
        <x:v>BWL</x:v>
      </x:c>
      <x:c r="C89" s="11" t="n">
        <x:v>1</x:v>
      </x:c>
      <x:c r="D89" s="11" t="n">
        <x:f>COUNTIF('Einzel-ID-Zuordnung'!$A$7:$A$2692,A89)</x:f>
        <x:v>1</x:v>
      </x:c>
      <x:c r="E89" s="11" t="n">
        <x:f>D89-C89</x:f>
        <x:v>0</x:v>
      </x:c>
      <x:c r="F89" s="5" t="str">
        <x:v>nicht Pilot</x:v>
      </x:c>
      <x:c r="G89" s="5" t="str">
        <x:v>WQ</x:v>
      </x:c>
    </x:row>
    <x:row r="90" ht="36" customHeight="1">
      <x:c r="A90" s="5" t="str">
        <x:v>BWL-0084</x:v>
      </x:c>
      <x:c r="B90" s="5" t="str">
        <x:v>BWL</x:v>
      </x:c>
      <x:c r="C90" s="11" t="n">
        <x:v>1</x:v>
      </x:c>
      <x:c r="D90" s="11" t="n">
        <x:f>COUNTIF('Einzel-ID-Zuordnung'!$A$7:$A$2692,A90)</x:f>
        <x:v>1</x:v>
      </x:c>
      <x:c r="E90" s="11" t="n">
        <x:f>D90-C90</x:f>
        <x:v>0</x:v>
      </x:c>
      <x:c r="F90" s="5" t="str">
        <x:v>nicht Pilot</x:v>
      </x:c>
      <x:c r="G90" s="5" t="str">
        <x:v>WQ</x:v>
      </x:c>
    </x:row>
    <x:row r="91" ht="36" customHeight="1">
      <x:c r="A91" s="5" t="str">
        <x:v>BWL-0085</x:v>
      </x:c>
      <x:c r="B91" s="5" t="str">
        <x:v>BWL</x:v>
      </x:c>
      <x:c r="C91" s="11" t="n">
        <x:v>1</x:v>
      </x:c>
      <x:c r="D91" s="11" t="n">
        <x:f>COUNTIF('Einzel-ID-Zuordnung'!$A$7:$A$2692,A91)</x:f>
        <x:v>1</x:v>
      </x:c>
      <x:c r="E91" s="11" t="n">
        <x:f>D91-C91</x:f>
        <x:v>0</x:v>
      </x:c>
      <x:c r="F91" s="5" t="str">
        <x:v>nicht Pilot</x:v>
      </x:c>
      <x:c r="G91" s="5" t="str">
        <x:v>WQ</x:v>
      </x:c>
    </x:row>
    <x:row r="92" ht="36" customHeight="1">
      <x:c r="A92" s="5" t="str">
        <x:v>BWL-0086</x:v>
      </x:c>
      <x:c r="B92" s="5" t="str">
        <x:v>BWL</x:v>
      </x:c>
      <x:c r="C92" s="11" t="n">
        <x:v>1</x:v>
      </x:c>
      <x:c r="D92" s="11" t="n">
        <x:f>COUNTIF('Einzel-ID-Zuordnung'!$A$7:$A$2692,A92)</x:f>
        <x:v>1</x:v>
      </x:c>
      <x:c r="E92" s="11" t="n">
        <x:f>D92-C92</x:f>
        <x:v>0</x:v>
      </x:c>
      <x:c r="F92" s="5" t="str">
        <x:v>nicht Pilot</x:v>
      </x:c>
      <x:c r="G92" s="5" t="str">
        <x:v>WQ</x:v>
      </x:c>
    </x:row>
    <x:row r="93" ht="36" customHeight="1">
      <x:c r="A93" s="5" t="str">
        <x:v>BWL-0087</x:v>
      </x:c>
      <x:c r="B93" s="5" t="str">
        <x:v>BWL</x:v>
      </x:c>
      <x:c r="C93" s="11" t="n">
        <x:v>1</x:v>
      </x:c>
      <x:c r="D93" s="11" t="n">
        <x:f>COUNTIF('Einzel-ID-Zuordnung'!$A$7:$A$2692,A93)</x:f>
        <x:v>1</x:v>
      </x:c>
      <x:c r="E93" s="11" t="n">
        <x:f>D93-C93</x:f>
        <x:v>0</x:v>
      </x:c>
      <x:c r="F93" s="5" t="str">
        <x:v>nicht Pilot</x:v>
      </x:c>
      <x:c r="G93" s="5" t="str">
        <x:v>WQ</x:v>
      </x:c>
    </x:row>
    <x:row r="94" ht="36" customHeight="1">
      <x:c r="A94" s="5" t="str">
        <x:v>BWL-0088</x:v>
      </x:c>
      <x:c r="B94" s="5" t="str">
        <x:v>BWL</x:v>
      </x:c>
      <x:c r="C94" s="11" t="n">
        <x:v>1</x:v>
      </x:c>
      <x:c r="D94" s="11" t="n">
        <x:f>COUNTIF('Einzel-ID-Zuordnung'!$A$7:$A$2692,A94)</x:f>
        <x:v>1</x:v>
      </x:c>
      <x:c r="E94" s="11" t="n">
        <x:f>D94-C94</x:f>
        <x:v>0</x:v>
      </x:c>
      <x:c r="F94" s="5" t="str">
        <x:v>nicht Pilot</x:v>
      </x:c>
      <x:c r="G94" s="5" t="str">
        <x:v>WQ</x:v>
      </x:c>
    </x:row>
    <x:row r="95" ht="36" customHeight="1">
      <x:c r="A95" s="5" t="str">
        <x:v>BWL-0089</x:v>
      </x:c>
      <x:c r="B95" s="5" t="str">
        <x:v>BWL</x:v>
      </x:c>
      <x:c r="C95" s="11" t="n">
        <x:v>1</x:v>
      </x:c>
      <x:c r="D95" s="11" t="n">
        <x:f>COUNTIF('Einzel-ID-Zuordnung'!$A$7:$A$2692,A95)</x:f>
        <x:v>1</x:v>
      </x:c>
      <x:c r="E95" s="11" t="n">
        <x:f>D95-C95</x:f>
        <x:v>0</x:v>
      </x:c>
      <x:c r="F95" s="5" t="str">
        <x:v>nicht Pilot</x:v>
      </x:c>
      <x:c r="G95" s="5" t="str">
        <x:v>WQ</x:v>
      </x:c>
    </x:row>
    <x:row r="96" ht="36" customHeight="1">
      <x:c r="A96" s="5" t="str">
        <x:v>BWL-0090</x:v>
      </x:c>
      <x:c r="B96" s="5" t="str">
        <x:v>BWL</x:v>
      </x:c>
      <x:c r="C96" s="11" t="n">
        <x:v>1</x:v>
      </x:c>
      <x:c r="D96" s="11" t="n">
        <x:f>COUNTIF('Einzel-ID-Zuordnung'!$A$7:$A$2692,A96)</x:f>
        <x:v>1</x:v>
      </x:c>
      <x:c r="E96" s="11" t="n">
        <x:f>D96-C96</x:f>
        <x:v>0</x:v>
      </x:c>
      <x:c r="F96" s="5" t="str">
        <x:v>nicht Pilot</x:v>
      </x:c>
      <x:c r="G96" s="5" t="str">
        <x:v>WQ</x:v>
      </x:c>
    </x:row>
    <x:row r="97" ht="36" customHeight="1">
      <x:c r="A97" s="5" t="str">
        <x:v>BWL-0091</x:v>
      </x:c>
      <x:c r="B97" s="5" t="str">
        <x:v>BWL</x:v>
      </x:c>
      <x:c r="C97" s="11" t="n">
        <x:v>1</x:v>
      </x:c>
      <x:c r="D97" s="11" t="n">
        <x:f>COUNTIF('Einzel-ID-Zuordnung'!$A$7:$A$2692,A97)</x:f>
        <x:v>1</x:v>
      </x:c>
      <x:c r="E97" s="11" t="n">
        <x:f>D97-C97</x:f>
        <x:v>0</x:v>
      </x:c>
      <x:c r="F97" s="5" t="str">
        <x:v>nicht Pilot</x:v>
      </x:c>
      <x:c r="G97" s="5" t="str">
        <x:v>WQ</x:v>
      </x:c>
    </x:row>
    <x:row r="98" ht="36" customHeight="1">
      <x:c r="A98" s="5" t="str">
        <x:v>BWL-0092</x:v>
      </x:c>
      <x:c r="B98" s="5" t="str">
        <x:v>BWL</x:v>
      </x:c>
      <x:c r="C98" s="11" t="n">
        <x:v>1</x:v>
      </x:c>
      <x:c r="D98" s="11" t="n">
        <x:f>COUNTIF('Einzel-ID-Zuordnung'!$A$7:$A$2692,A98)</x:f>
        <x:v>1</x:v>
      </x:c>
      <x:c r="E98" s="11" t="n">
        <x:f>D98-C98</x:f>
        <x:v>0</x:v>
      </x:c>
      <x:c r="F98" s="5" t="str">
        <x:v>nicht Pilot</x:v>
      </x:c>
      <x:c r="G98" s="5" t="str">
        <x:v>WQ</x:v>
      </x:c>
    </x:row>
    <x:row r="99" ht="36" customHeight="1">
      <x:c r="A99" s="5" t="str">
        <x:v>BWL-0093</x:v>
      </x:c>
      <x:c r="B99" s="5" t="str">
        <x:v>BWL</x:v>
      </x:c>
      <x:c r="C99" s="11" t="n">
        <x:v>1</x:v>
      </x:c>
      <x:c r="D99" s="11" t="n">
        <x:f>COUNTIF('Einzel-ID-Zuordnung'!$A$7:$A$2692,A99)</x:f>
        <x:v>1</x:v>
      </x:c>
      <x:c r="E99" s="11" t="n">
        <x:f>D99-C99</x:f>
        <x:v>0</x:v>
      </x:c>
      <x:c r="F99" s="5" t="str">
        <x:v>nicht Pilot</x:v>
      </x:c>
      <x:c r="G99" s="5" t="str">
        <x:v>WQ</x:v>
      </x:c>
    </x:row>
    <x:row r="100" ht="36" customHeight="1">
      <x:c r="A100" s="5" t="str">
        <x:v>BWL-0094</x:v>
      </x:c>
      <x:c r="B100" s="5" t="str">
        <x:v>BWL</x:v>
      </x:c>
      <x:c r="C100" s="11" t="n">
        <x:v>1</x:v>
      </x:c>
      <x:c r="D100" s="11" t="n">
        <x:f>COUNTIF('Einzel-ID-Zuordnung'!$A$7:$A$2692,A100)</x:f>
        <x:v>1</x:v>
      </x:c>
      <x:c r="E100" s="11" t="n">
        <x:f>D100-C100</x:f>
        <x:v>0</x:v>
      </x:c>
      <x:c r="F100" s="5" t="str">
        <x:v>nicht Pilot</x:v>
      </x:c>
      <x:c r="G100" s="5" t="str">
        <x:v>WQ</x:v>
      </x:c>
    </x:row>
    <x:row r="101" ht="36" customHeight="1">
      <x:c r="A101" s="5" t="str">
        <x:v>BWL-0095</x:v>
      </x:c>
      <x:c r="B101" s="5" t="str">
        <x:v>BWL</x:v>
      </x:c>
      <x:c r="C101" s="11" t="n">
        <x:v>1</x:v>
      </x:c>
      <x:c r="D101" s="11" t="n">
        <x:f>COUNTIF('Einzel-ID-Zuordnung'!$A$7:$A$2692,A101)</x:f>
        <x:v>1</x:v>
      </x:c>
      <x:c r="E101" s="11" t="n">
        <x:f>D101-C101</x:f>
        <x:v>0</x:v>
      </x:c>
      <x:c r="F101" s="5" t="str">
        <x:v>nicht Pilot</x:v>
      </x:c>
      <x:c r="G101" s="5" t="str">
        <x:v>WQ</x:v>
      </x:c>
    </x:row>
    <x:row r="102" ht="36" customHeight="1">
      <x:c r="A102" s="5" t="str">
        <x:v>BWL-0096</x:v>
      </x:c>
      <x:c r="B102" s="5" t="str">
        <x:v>BWL</x:v>
      </x:c>
      <x:c r="C102" s="11" t="n">
        <x:v>1</x:v>
      </x:c>
      <x:c r="D102" s="11" t="n">
        <x:f>COUNTIF('Einzel-ID-Zuordnung'!$A$7:$A$2692,A102)</x:f>
        <x:v>1</x:v>
      </x:c>
      <x:c r="E102" s="11" t="n">
        <x:f>D102-C102</x:f>
        <x:v>0</x:v>
      </x:c>
      <x:c r="F102" s="5" t="str">
        <x:v>nicht Pilot</x:v>
      </x:c>
      <x:c r="G102" s="5" t="str">
        <x:v>WQ</x:v>
      </x:c>
    </x:row>
    <x:row r="103" ht="36" customHeight="1">
      <x:c r="A103" s="5" t="str">
        <x:v>BWL-0097</x:v>
      </x:c>
      <x:c r="B103" s="5" t="str">
        <x:v>BWL</x:v>
      </x:c>
      <x:c r="C103" s="11" t="n">
        <x:v>1</x:v>
      </x:c>
      <x:c r="D103" s="11" t="n">
        <x:f>COUNTIF('Einzel-ID-Zuordnung'!$A$7:$A$2692,A103)</x:f>
        <x:v>1</x:v>
      </x:c>
      <x:c r="E103" s="11" t="n">
        <x:f>D103-C103</x:f>
        <x:v>0</x:v>
      </x:c>
      <x:c r="F103" s="5" t="str">
        <x:v>nicht Pilot</x:v>
      </x:c>
      <x:c r="G103" s="5" t="str">
        <x:v>WQ</x:v>
      </x:c>
    </x:row>
    <x:row r="104" ht="36" customHeight="1">
      <x:c r="A104" s="5" t="str">
        <x:v>BWL-0098</x:v>
      </x:c>
      <x:c r="B104" s="5" t="str">
        <x:v>BWL</x:v>
      </x:c>
      <x:c r="C104" s="11" t="n">
        <x:v>1</x:v>
      </x:c>
      <x:c r="D104" s="11" t="n">
        <x:f>COUNTIF('Einzel-ID-Zuordnung'!$A$7:$A$2692,A104)</x:f>
        <x:v>1</x:v>
      </x:c>
      <x:c r="E104" s="11" t="n">
        <x:f>D104-C104</x:f>
        <x:v>0</x:v>
      </x:c>
      <x:c r="F104" s="5" t="str">
        <x:v>nicht Pilot</x:v>
      </x:c>
      <x:c r="G104" s="5" t="str">
        <x:v>WQ</x:v>
      </x:c>
    </x:row>
    <x:row r="105" ht="36" customHeight="1">
      <x:c r="A105" s="5" t="str">
        <x:v>BWL-0099</x:v>
      </x:c>
      <x:c r="B105" s="5" t="str">
        <x:v>BWL</x:v>
      </x:c>
      <x:c r="C105" s="11" t="n">
        <x:v>1</x:v>
      </x:c>
      <x:c r="D105" s="11" t="n">
        <x:f>COUNTIF('Einzel-ID-Zuordnung'!$A$7:$A$2692,A105)</x:f>
        <x:v>1</x:v>
      </x:c>
      <x:c r="E105" s="11" t="n">
        <x:f>D105-C105</x:f>
        <x:v>0</x:v>
      </x:c>
      <x:c r="F105" s="5" t="str">
        <x:v>nicht Pilot</x:v>
      </x:c>
      <x:c r="G105" s="5" t="str">
        <x:v>WQ</x:v>
      </x:c>
    </x:row>
    <x:row r="106" ht="36" customHeight="1">
      <x:c r="A106" s="5" t="str">
        <x:v>BWL-0100</x:v>
      </x:c>
      <x:c r="B106" s="5" t="str">
        <x:v>BWL</x:v>
      </x:c>
      <x:c r="C106" s="11" t="n">
        <x:v>1</x:v>
      </x:c>
      <x:c r="D106" s="11" t="n">
        <x:f>COUNTIF('Einzel-ID-Zuordnung'!$A$7:$A$2692,A106)</x:f>
        <x:v>1</x:v>
      </x:c>
      <x:c r="E106" s="11" t="n">
        <x:f>D106-C106</x:f>
        <x:v>0</x:v>
      </x:c>
      <x:c r="F106" s="5" t="str">
        <x:v>nicht Pilot</x:v>
      </x:c>
      <x:c r="G106" s="5" t="str">
        <x:v>WQ</x:v>
      </x:c>
    </x:row>
    <x:row r="107" ht="36" customHeight="1">
      <x:c r="A107" s="5" t="str">
        <x:v>BWL-0101</x:v>
      </x:c>
      <x:c r="B107" s="5" t="str">
        <x:v>BWL</x:v>
      </x:c>
      <x:c r="C107" s="11" t="n">
        <x:v>1</x:v>
      </x:c>
      <x:c r="D107" s="11" t="n">
        <x:f>COUNTIF('Einzel-ID-Zuordnung'!$A$7:$A$2692,A107)</x:f>
        <x:v>1</x:v>
      </x:c>
      <x:c r="E107" s="11" t="n">
        <x:f>D107-C107</x:f>
        <x:v>0</x:v>
      </x:c>
      <x:c r="F107" s="5" t="str">
        <x:v>nicht Pilot</x:v>
      </x:c>
      <x:c r="G107" s="5" t="str">
        <x:v>WQ</x:v>
      </x:c>
    </x:row>
    <x:row r="108" ht="36" customHeight="1">
      <x:c r="A108" s="5" t="str">
        <x:v>BWL-0102</x:v>
      </x:c>
      <x:c r="B108" s="5" t="str">
        <x:v>BWL</x:v>
      </x:c>
      <x:c r="C108" s="11" t="n">
        <x:v>1</x:v>
      </x:c>
      <x:c r="D108" s="11" t="n">
        <x:f>COUNTIF('Einzel-ID-Zuordnung'!$A$7:$A$2692,A108)</x:f>
        <x:v>1</x:v>
      </x:c>
      <x:c r="E108" s="11" t="n">
        <x:f>D108-C108</x:f>
        <x:v>0</x:v>
      </x:c>
      <x:c r="F108" s="5" t="str">
        <x:v>nicht Pilot</x:v>
      </x:c>
      <x:c r="G108" s="5" t="str">
        <x:v>WQ</x:v>
      </x:c>
    </x:row>
    <x:row r="109" ht="36" customHeight="1">
      <x:c r="A109" s="5" t="str">
        <x:v>BWL-0103</x:v>
      </x:c>
      <x:c r="B109" s="5" t="str">
        <x:v>BWL</x:v>
      </x:c>
      <x:c r="C109" s="11" t="n">
        <x:v>1</x:v>
      </x:c>
      <x:c r="D109" s="11" t="n">
        <x:f>COUNTIF('Einzel-ID-Zuordnung'!$A$7:$A$2692,A109)</x:f>
        <x:v>1</x:v>
      </x:c>
      <x:c r="E109" s="11" t="n">
        <x:f>D109-C109</x:f>
        <x:v>0</x:v>
      </x:c>
      <x:c r="F109" s="5" t="str">
        <x:v>nicht Pilot</x:v>
      </x:c>
      <x:c r="G109" s="5" t="str">
        <x:v>WQ</x:v>
      </x:c>
    </x:row>
    <x:row r="110" ht="36" customHeight="1">
      <x:c r="A110" s="5" t="str">
        <x:v>BWL-0104</x:v>
      </x:c>
      <x:c r="B110" s="5" t="str">
        <x:v>BWL</x:v>
      </x:c>
      <x:c r="C110" s="11" t="n">
        <x:v>1</x:v>
      </x:c>
      <x:c r="D110" s="11" t="n">
        <x:f>COUNTIF('Einzel-ID-Zuordnung'!$A$7:$A$2692,A110)</x:f>
        <x:v>1</x:v>
      </x:c>
      <x:c r="E110" s="11" t="n">
        <x:f>D110-C110</x:f>
        <x:v>0</x:v>
      </x:c>
      <x:c r="F110" s="5" t="str">
        <x:v>nicht Pilot</x:v>
      </x:c>
      <x:c r="G110" s="5" t="str">
        <x:v>WQ</x:v>
      </x:c>
    </x:row>
    <x:row r="111" ht="36" customHeight="1">
      <x:c r="A111" s="5" t="str">
        <x:v>BWL-0105</x:v>
      </x:c>
      <x:c r="B111" s="5" t="str">
        <x:v>BWL</x:v>
      </x:c>
      <x:c r="C111" s="11" t="n">
        <x:v>1</x:v>
      </x:c>
      <x:c r="D111" s="11" t="n">
        <x:f>COUNTIF('Einzel-ID-Zuordnung'!$A$7:$A$2692,A111)</x:f>
        <x:v>1</x:v>
      </x:c>
      <x:c r="E111" s="11" t="n">
        <x:f>D111-C111</x:f>
        <x:v>0</x:v>
      </x:c>
      <x:c r="F111" s="5" t="str">
        <x:v>nicht Pilot</x:v>
      </x:c>
      <x:c r="G111" s="5" t="str">
        <x:v>WQ</x:v>
      </x:c>
    </x:row>
    <x:row r="112" ht="36" customHeight="1">
      <x:c r="A112" s="5" t="str">
        <x:v>BWL-0106</x:v>
      </x:c>
      <x:c r="B112" s="5" t="str">
        <x:v>BWL</x:v>
      </x:c>
      <x:c r="C112" s="11" t="n">
        <x:v>1</x:v>
      </x:c>
      <x:c r="D112" s="11" t="n">
        <x:f>COUNTIF('Einzel-ID-Zuordnung'!$A$7:$A$2692,A112)</x:f>
        <x:v>1</x:v>
      </x:c>
      <x:c r="E112" s="11" t="n">
        <x:f>D112-C112</x:f>
        <x:v>0</x:v>
      </x:c>
      <x:c r="F112" s="5" t="str">
        <x:v>nicht Pilot</x:v>
      </x:c>
      <x:c r="G112" s="5" t="str">
        <x:v>WQ</x:v>
      </x:c>
    </x:row>
    <x:row r="113" ht="36" customHeight="1">
      <x:c r="A113" s="5" t="str">
        <x:v>BWL-0107</x:v>
      </x:c>
      <x:c r="B113" s="5" t="str">
        <x:v>BWL</x:v>
      </x:c>
      <x:c r="C113" s="11" t="n">
        <x:v>1</x:v>
      </x:c>
      <x:c r="D113" s="11" t="n">
        <x:f>COUNTIF('Einzel-ID-Zuordnung'!$A$7:$A$2692,A113)</x:f>
        <x:v>1</x:v>
      </x:c>
      <x:c r="E113" s="11" t="n">
        <x:f>D113-C113</x:f>
        <x:v>0</x:v>
      </x:c>
      <x:c r="F113" s="5" t="str">
        <x:v>nicht Pilot</x:v>
      </x:c>
      <x:c r="G113" s="5" t="str">
        <x:v>WQ</x:v>
      </x:c>
    </x:row>
    <x:row r="114" ht="36" customHeight="1">
      <x:c r="A114" s="5" t="str">
        <x:v>BWL-0108</x:v>
      </x:c>
      <x:c r="B114" s="5" t="str">
        <x:v>BWL</x:v>
      </x:c>
      <x:c r="C114" s="11" t="n">
        <x:v>1</x:v>
      </x:c>
      <x:c r="D114" s="11" t="n">
        <x:f>COUNTIF('Einzel-ID-Zuordnung'!$A$7:$A$2692,A114)</x:f>
        <x:v>1</x:v>
      </x:c>
      <x:c r="E114" s="11" t="n">
        <x:f>D114-C114</x:f>
        <x:v>0</x:v>
      </x:c>
      <x:c r="F114" s="5" t="str">
        <x:v>nicht Pilot</x:v>
      </x:c>
      <x:c r="G114" s="5" t="str">
        <x:v>WQ</x:v>
      </x:c>
    </x:row>
    <x:row r="115" ht="36" customHeight="1">
      <x:c r="A115" s="5" t="str">
        <x:v>BWL-0109</x:v>
      </x:c>
      <x:c r="B115" s="5" t="str">
        <x:v>BWL</x:v>
      </x:c>
      <x:c r="C115" s="11" t="n">
        <x:v>1</x:v>
      </x:c>
      <x:c r="D115" s="11" t="n">
        <x:f>COUNTIF('Einzel-ID-Zuordnung'!$A$7:$A$2692,A115)</x:f>
        <x:v>1</x:v>
      </x:c>
      <x:c r="E115" s="11" t="n">
        <x:f>D115-C115</x:f>
        <x:v>0</x:v>
      </x:c>
      <x:c r="F115" s="5" t="str">
        <x:v>nicht Pilot</x:v>
      </x:c>
      <x:c r="G115" s="5" t="str">
        <x:v>WQ</x:v>
      </x:c>
    </x:row>
    <x:row r="116" ht="36" customHeight="1">
      <x:c r="A116" s="5" t="str">
        <x:v>BWL-0110</x:v>
      </x:c>
      <x:c r="B116" s="5" t="str">
        <x:v>BWL</x:v>
      </x:c>
      <x:c r="C116" s="11" t="n">
        <x:v>1</x:v>
      </x:c>
      <x:c r="D116" s="11" t="n">
        <x:f>COUNTIF('Einzel-ID-Zuordnung'!$A$7:$A$2692,A116)</x:f>
        <x:v>1</x:v>
      </x:c>
      <x:c r="E116" s="11" t="n">
        <x:f>D116-C116</x:f>
        <x:v>0</x:v>
      </x:c>
      <x:c r="F116" s="5" t="str">
        <x:v>nicht Pilot</x:v>
      </x:c>
      <x:c r="G116" s="5" t="str">
        <x:v>WQ</x:v>
      </x:c>
    </x:row>
    <x:row r="117" ht="36" customHeight="1">
      <x:c r="A117" s="5" t="str">
        <x:v>BWL-0111</x:v>
      </x:c>
      <x:c r="B117" s="5" t="str">
        <x:v>BWL</x:v>
      </x:c>
      <x:c r="C117" s="11" t="n">
        <x:v>1</x:v>
      </x:c>
      <x:c r="D117" s="11" t="n">
        <x:f>COUNTIF('Einzel-ID-Zuordnung'!$A$7:$A$2692,A117)</x:f>
        <x:v>1</x:v>
      </x:c>
      <x:c r="E117" s="11" t="n">
        <x:f>D117-C117</x:f>
        <x:v>0</x:v>
      </x:c>
      <x:c r="F117" s="5" t="str">
        <x:v>nicht Pilot</x:v>
      </x:c>
      <x:c r="G117" s="5" t="str">
        <x:v>WQ</x:v>
      </x:c>
    </x:row>
    <x:row r="118" ht="36" customHeight="1">
      <x:c r="A118" s="5" t="str">
        <x:v>BWL-0112</x:v>
      </x:c>
      <x:c r="B118" s="5" t="str">
        <x:v>BWL</x:v>
      </x:c>
      <x:c r="C118" s="11" t="n">
        <x:v>1</x:v>
      </x:c>
      <x:c r="D118" s="11" t="n">
        <x:f>COUNTIF('Einzel-ID-Zuordnung'!$A$7:$A$2692,A118)</x:f>
        <x:v>1</x:v>
      </x:c>
      <x:c r="E118" s="11" t="n">
        <x:f>D118-C118</x:f>
        <x:v>0</x:v>
      </x:c>
      <x:c r="F118" s="5" t="str">
        <x:v>nicht Pilot</x:v>
      </x:c>
      <x:c r="G118" s="5" t="str">
        <x:v>WQ</x:v>
      </x:c>
    </x:row>
    <x:row r="119" ht="36" customHeight="1">
      <x:c r="A119" s="5" t="str">
        <x:v>BWL-0113</x:v>
      </x:c>
      <x:c r="B119" s="5" t="str">
        <x:v>BWL</x:v>
      </x:c>
      <x:c r="C119" s="11" t="n">
        <x:v>1</x:v>
      </x:c>
      <x:c r="D119" s="11" t="n">
        <x:f>COUNTIF('Einzel-ID-Zuordnung'!$A$7:$A$2692,A119)</x:f>
        <x:v>1</x:v>
      </x:c>
      <x:c r="E119" s="11" t="n">
        <x:f>D119-C119</x:f>
        <x:v>0</x:v>
      </x:c>
      <x:c r="F119" s="5" t="str">
        <x:v>nicht Pilot</x:v>
      </x:c>
      <x:c r="G119" s="5" t="str">
        <x:v>WQ</x:v>
      </x:c>
    </x:row>
    <x:row r="120" ht="36" customHeight="1">
      <x:c r="A120" s="5" t="str">
        <x:v>BWL-0114</x:v>
      </x:c>
      <x:c r="B120" s="5" t="str">
        <x:v>BWL</x:v>
      </x:c>
      <x:c r="C120" s="11" t="n">
        <x:v>1</x:v>
      </x:c>
      <x:c r="D120" s="11" t="n">
        <x:f>COUNTIF('Einzel-ID-Zuordnung'!$A$7:$A$2692,A120)</x:f>
        <x:v>1</x:v>
      </x:c>
      <x:c r="E120" s="11" t="n">
        <x:f>D120-C120</x:f>
        <x:v>0</x:v>
      </x:c>
      <x:c r="F120" s="5" t="str">
        <x:v>nicht Pilot</x:v>
      </x:c>
      <x:c r="G120" s="5" t="str">
        <x:v>WQ</x:v>
      </x:c>
    </x:row>
    <x:row r="121" ht="36" customHeight="1">
      <x:c r="A121" s="5" t="str">
        <x:v>BWL-0115</x:v>
      </x:c>
      <x:c r="B121" s="5" t="str">
        <x:v>BWL</x:v>
      </x:c>
      <x:c r="C121" s="11" t="n">
        <x:v>1</x:v>
      </x:c>
      <x:c r="D121" s="11" t="n">
        <x:f>COUNTIF('Einzel-ID-Zuordnung'!$A$7:$A$2692,A121)</x:f>
        <x:v>1</x:v>
      </x:c>
      <x:c r="E121" s="11" t="n">
        <x:f>D121-C121</x:f>
        <x:v>0</x:v>
      </x:c>
      <x:c r="F121" s="5" t="str">
        <x:v>nicht Pilot</x:v>
      </x:c>
      <x:c r="G121" s="5" t="str">
        <x:v>WQ</x:v>
      </x:c>
    </x:row>
    <x:row r="122" ht="36" customHeight="1">
      <x:c r="A122" s="5" t="str">
        <x:v>BWL-0116</x:v>
      </x:c>
      <x:c r="B122" s="5" t="str">
        <x:v>BWL</x:v>
      </x:c>
      <x:c r="C122" s="11" t="n">
        <x:v>1</x:v>
      </x:c>
      <x:c r="D122" s="11" t="n">
        <x:f>COUNTIF('Einzel-ID-Zuordnung'!$A$7:$A$2692,A122)</x:f>
        <x:v>1</x:v>
      </x:c>
      <x:c r="E122" s="11" t="n">
        <x:f>D122-C122</x:f>
        <x:v>0</x:v>
      </x:c>
      <x:c r="F122" s="5" t="str">
        <x:v>nicht Pilot</x:v>
      </x:c>
      <x:c r="G122" s="5" t="str">
        <x:v>WQ</x:v>
      </x:c>
    </x:row>
    <x:row r="123" ht="36" customHeight="1">
      <x:c r="A123" s="5" t="str">
        <x:v>BWL-0117</x:v>
      </x:c>
      <x:c r="B123" s="5" t="str">
        <x:v>BWL</x:v>
      </x:c>
      <x:c r="C123" s="11" t="n">
        <x:v>1</x:v>
      </x:c>
      <x:c r="D123" s="11" t="n">
        <x:f>COUNTIF('Einzel-ID-Zuordnung'!$A$7:$A$2692,A123)</x:f>
        <x:v>1</x:v>
      </x:c>
      <x:c r="E123" s="11" t="n">
        <x:f>D123-C123</x:f>
        <x:v>0</x:v>
      </x:c>
      <x:c r="F123" s="5" t="str">
        <x:v>nicht Pilot</x:v>
      </x:c>
      <x:c r="G123" s="5" t="str">
        <x:v>WQ</x:v>
      </x:c>
    </x:row>
    <x:row r="124" ht="36" customHeight="1">
      <x:c r="A124" s="5" t="str">
        <x:v>BWL-0118</x:v>
      </x:c>
      <x:c r="B124" s="5" t="str">
        <x:v>BWL</x:v>
      </x:c>
      <x:c r="C124" s="11" t="n">
        <x:v>1</x:v>
      </x:c>
      <x:c r="D124" s="11" t="n">
        <x:f>COUNTIF('Einzel-ID-Zuordnung'!$A$7:$A$2692,A124)</x:f>
        <x:v>1</x:v>
      </x:c>
      <x:c r="E124" s="11" t="n">
        <x:f>D124-C124</x:f>
        <x:v>0</x:v>
      </x:c>
      <x:c r="F124" s="5" t="str">
        <x:v>nicht Pilot</x:v>
      </x:c>
      <x:c r="G124" s="5" t="str">
        <x:v>WQ</x:v>
      </x:c>
    </x:row>
    <x:row r="125" ht="36" customHeight="1">
      <x:c r="A125" s="5" t="str">
        <x:v>BWL-0119</x:v>
      </x:c>
      <x:c r="B125" s="5" t="str">
        <x:v>BWL</x:v>
      </x:c>
      <x:c r="C125" s="11" t="n">
        <x:v>1</x:v>
      </x:c>
      <x:c r="D125" s="11" t="n">
        <x:f>COUNTIF('Einzel-ID-Zuordnung'!$A$7:$A$2692,A125)</x:f>
        <x:v>1</x:v>
      </x:c>
      <x:c r="E125" s="11" t="n">
        <x:f>D125-C125</x:f>
        <x:v>0</x:v>
      </x:c>
      <x:c r="F125" s="5" t="str">
        <x:v>nicht Pilot</x:v>
      </x:c>
      <x:c r="G125" s="5" t="str">
        <x:v>WQ</x:v>
      </x:c>
    </x:row>
    <x:row r="126" ht="36" customHeight="1">
      <x:c r="A126" s="5" t="str">
        <x:v>BWL-0120</x:v>
      </x:c>
      <x:c r="B126" s="5" t="str">
        <x:v>BWL</x:v>
      </x:c>
      <x:c r="C126" s="11" t="n">
        <x:v>1</x:v>
      </x:c>
      <x:c r="D126" s="11" t="n">
        <x:f>COUNTIF('Einzel-ID-Zuordnung'!$A$7:$A$2692,A126)</x:f>
        <x:v>1</x:v>
      </x:c>
      <x:c r="E126" s="11" t="n">
        <x:f>D126-C126</x:f>
        <x:v>0</x:v>
      </x:c>
      <x:c r="F126" s="5" t="str">
        <x:v>nicht Pilot</x:v>
      </x:c>
      <x:c r="G126" s="5" t="str">
        <x:v>WQ</x:v>
      </x:c>
    </x:row>
    <x:row r="127" ht="36" customHeight="1">
      <x:c r="A127" s="5" t="str">
        <x:v>BWL-0121</x:v>
      </x:c>
      <x:c r="B127" s="5" t="str">
        <x:v>BWL</x:v>
      </x:c>
      <x:c r="C127" s="11" t="n">
        <x:v>1</x:v>
      </x:c>
      <x:c r="D127" s="11" t="n">
        <x:f>COUNTIF('Einzel-ID-Zuordnung'!$A$7:$A$2692,A127)</x:f>
        <x:v>1</x:v>
      </x:c>
      <x:c r="E127" s="11" t="n">
        <x:f>D127-C127</x:f>
        <x:v>0</x:v>
      </x:c>
      <x:c r="F127" s="5" t="str">
        <x:v>nicht Pilot</x:v>
      </x:c>
      <x:c r="G127" s="5" t="str">
        <x:v>WQ</x:v>
      </x:c>
    </x:row>
    <x:row r="128" ht="36" customHeight="1">
      <x:c r="A128" s="5" t="str">
        <x:v>BWL-0122</x:v>
      </x:c>
      <x:c r="B128" s="5" t="str">
        <x:v>BWL</x:v>
      </x:c>
      <x:c r="C128" s="11" t="n">
        <x:v>1</x:v>
      </x:c>
      <x:c r="D128" s="11" t="n">
        <x:f>COUNTIF('Einzel-ID-Zuordnung'!$A$7:$A$2692,A128)</x:f>
        <x:v>1</x:v>
      </x:c>
      <x:c r="E128" s="11" t="n">
        <x:f>D128-C128</x:f>
        <x:v>0</x:v>
      </x:c>
      <x:c r="F128" s="5" t="str">
        <x:v>nicht Pilot</x:v>
      </x:c>
      <x:c r="G128" s="5" t="str">
        <x:v>WQ</x:v>
      </x:c>
    </x:row>
    <x:row r="129" ht="36" customHeight="1">
      <x:c r="A129" s="5" t="str">
        <x:v>BWL-0123</x:v>
      </x:c>
      <x:c r="B129" s="5" t="str">
        <x:v>BWL</x:v>
      </x:c>
      <x:c r="C129" s="11" t="n">
        <x:v>1</x:v>
      </x:c>
      <x:c r="D129" s="11" t="n">
        <x:f>COUNTIF('Einzel-ID-Zuordnung'!$A$7:$A$2692,A129)</x:f>
        <x:v>1</x:v>
      </x:c>
      <x:c r="E129" s="11" t="n">
        <x:f>D129-C129</x:f>
        <x:v>0</x:v>
      </x:c>
      <x:c r="F129" s="5" t="str">
        <x:v>nicht Pilot</x:v>
      </x:c>
      <x:c r="G129" s="5" t="str">
        <x:v>WQ</x:v>
      </x:c>
    </x:row>
    <x:row r="130" ht="36" customHeight="1">
      <x:c r="A130" s="5" t="str">
        <x:v>BWL-0124</x:v>
      </x:c>
      <x:c r="B130" s="5" t="str">
        <x:v>BWL</x:v>
      </x:c>
      <x:c r="C130" s="11" t="n">
        <x:v>1</x:v>
      </x:c>
      <x:c r="D130" s="11" t="n">
        <x:f>COUNTIF('Einzel-ID-Zuordnung'!$A$7:$A$2692,A130)</x:f>
        <x:v>1</x:v>
      </x:c>
      <x:c r="E130" s="11" t="n">
        <x:f>D130-C130</x:f>
        <x:v>0</x:v>
      </x:c>
      <x:c r="F130" s="5" t="str">
        <x:v>nicht Pilot</x:v>
      </x:c>
      <x:c r="G130" s="5" t="str">
        <x:v>WQ</x:v>
      </x:c>
    </x:row>
    <x:row r="131" ht="36" customHeight="1">
      <x:c r="A131" s="5" t="str">
        <x:v>BWL-0125</x:v>
      </x:c>
      <x:c r="B131" s="5" t="str">
        <x:v>BWL</x:v>
      </x:c>
      <x:c r="C131" s="11" t="n">
        <x:v>1</x:v>
      </x:c>
      <x:c r="D131" s="11" t="n">
        <x:f>COUNTIF('Einzel-ID-Zuordnung'!$A$7:$A$2692,A131)</x:f>
        <x:v>1</x:v>
      </x:c>
      <x:c r="E131" s="11" t="n">
        <x:f>D131-C131</x:f>
        <x:v>0</x:v>
      </x:c>
      <x:c r="F131" s="5" t="str">
        <x:v>nicht Pilot</x:v>
      </x:c>
      <x:c r="G131" s="5" t="str">
        <x:v>WQ</x:v>
      </x:c>
    </x:row>
    <x:row r="132" ht="36" customHeight="1">
      <x:c r="A132" s="5" t="str">
        <x:v>BWL-0126</x:v>
      </x:c>
      <x:c r="B132" s="5" t="str">
        <x:v>BWL</x:v>
      </x:c>
      <x:c r="C132" s="11" t="n">
        <x:v>1</x:v>
      </x:c>
      <x:c r="D132" s="11" t="n">
        <x:f>COUNTIF('Einzel-ID-Zuordnung'!$A$7:$A$2692,A132)</x:f>
        <x:v>1</x:v>
      </x:c>
      <x:c r="E132" s="11" t="n">
        <x:f>D132-C132</x:f>
        <x:v>0</x:v>
      </x:c>
      <x:c r="F132" s="5" t="str">
        <x:v>nicht Pilot</x:v>
      </x:c>
      <x:c r="G132" s="5" t="str">
        <x:v>WQ</x:v>
      </x:c>
    </x:row>
    <x:row r="133" ht="36" customHeight="1">
      <x:c r="A133" s="5" t="str">
        <x:v>VWL-0001</x:v>
      </x:c>
      <x:c r="B133" s="5" t="str">
        <x:v>VWL</x:v>
      </x:c>
      <x:c r="C133" s="11" t="n">
        <x:v>1</x:v>
      </x:c>
      <x:c r="D133" s="11" t="n">
        <x:f>COUNTIF('Einzel-ID-Zuordnung'!$A$7:$A$2692,A133)</x:f>
        <x:v>1</x:v>
      </x:c>
      <x:c r="E133" s="11" t="n">
        <x:f>D133-C133</x:f>
        <x:v>0</x:v>
      </x:c>
      <x:c r="F133" s="5" t="str">
        <x:v>nicht Pilot</x:v>
      </x:c>
      <x:c r="G133" s="5" t="str">
        <x:v>WQ</x:v>
      </x:c>
    </x:row>
    <x:row r="134" ht="36" customHeight="1">
      <x:c r="A134" s="5" t="str">
        <x:v>VWL-0002</x:v>
      </x:c>
      <x:c r="B134" s="5" t="str">
        <x:v>VWL</x:v>
      </x:c>
      <x:c r="C134" s="11" t="n">
        <x:v>1</x:v>
      </x:c>
      <x:c r="D134" s="11" t="n">
        <x:f>COUNTIF('Einzel-ID-Zuordnung'!$A$7:$A$2692,A134)</x:f>
        <x:v>1</x:v>
      </x:c>
      <x:c r="E134" s="11" t="n">
        <x:f>D134-C134</x:f>
        <x:v>0</x:v>
      </x:c>
      <x:c r="F134" s="5" t="str">
        <x:v>nicht Pilot</x:v>
      </x:c>
      <x:c r="G134" s="5" t="str">
        <x:v>WQ</x:v>
      </x:c>
    </x:row>
    <x:row r="135" ht="36" customHeight="1">
      <x:c r="A135" s="5" t="str">
        <x:v>VWL-0003</x:v>
      </x:c>
      <x:c r="B135" s="5" t="str">
        <x:v>VWL</x:v>
      </x:c>
      <x:c r="C135" s="11" t="n">
        <x:v>1</x:v>
      </x:c>
      <x:c r="D135" s="11" t="n">
        <x:f>COUNTIF('Einzel-ID-Zuordnung'!$A$7:$A$2692,A135)</x:f>
        <x:v>1</x:v>
      </x:c>
      <x:c r="E135" s="11" t="n">
        <x:f>D135-C135</x:f>
        <x:v>0</x:v>
      </x:c>
      <x:c r="F135" s="5" t="str">
        <x:v>nicht Pilot</x:v>
      </x:c>
      <x:c r="G135" s="5" t="str">
        <x:v>WQ</x:v>
      </x:c>
    </x:row>
    <x:row r="136" ht="36" customHeight="1">
      <x:c r="A136" s="5" t="str">
        <x:v>VWL-0004</x:v>
      </x:c>
      <x:c r="B136" s="5" t="str">
        <x:v>VWL</x:v>
      </x:c>
      <x:c r="C136" s="11" t="n">
        <x:v>1</x:v>
      </x:c>
      <x:c r="D136" s="11" t="n">
        <x:f>COUNTIF('Einzel-ID-Zuordnung'!$A$7:$A$2692,A136)</x:f>
        <x:v>1</x:v>
      </x:c>
      <x:c r="E136" s="11" t="n">
        <x:f>D136-C136</x:f>
        <x:v>0</x:v>
      </x:c>
      <x:c r="F136" s="5" t="str">
        <x:v>nicht Pilot</x:v>
      </x:c>
      <x:c r="G136" s="5" t="str">
        <x:v>WQ</x:v>
      </x:c>
    </x:row>
    <x:row r="137" ht="36" customHeight="1">
      <x:c r="A137" s="5" t="str">
        <x:v>VWL-0005</x:v>
      </x:c>
      <x:c r="B137" s="5" t="str">
        <x:v>VWL</x:v>
      </x:c>
      <x:c r="C137" s="11" t="n">
        <x:v>1</x:v>
      </x:c>
      <x:c r="D137" s="11" t="n">
        <x:f>COUNTIF('Einzel-ID-Zuordnung'!$A$7:$A$2692,A137)</x:f>
        <x:v>1</x:v>
      </x:c>
      <x:c r="E137" s="11" t="n">
        <x:f>D137-C137</x:f>
        <x:v>0</x:v>
      </x:c>
      <x:c r="F137" s="5" t="str">
        <x:v>nicht Pilot</x:v>
      </x:c>
      <x:c r="G137" s="5" t="str">
        <x:v>WQ</x:v>
      </x:c>
    </x:row>
    <x:row r="138" ht="36" customHeight="1">
      <x:c r="A138" s="5" t="str">
        <x:v>VWL-0006</x:v>
      </x:c>
      <x:c r="B138" s="5" t="str">
        <x:v>VWL</x:v>
      </x:c>
      <x:c r="C138" s="11" t="n">
        <x:v>1</x:v>
      </x:c>
      <x:c r="D138" s="11" t="n">
        <x:f>COUNTIF('Einzel-ID-Zuordnung'!$A$7:$A$2692,A138)</x:f>
        <x:v>1</x:v>
      </x:c>
      <x:c r="E138" s="11" t="n">
        <x:f>D138-C138</x:f>
        <x:v>0</x:v>
      </x:c>
      <x:c r="F138" s="5" t="str">
        <x:v>nicht Pilot</x:v>
      </x:c>
      <x:c r="G138" s="5" t="str">
        <x:v>WQ</x:v>
      </x:c>
    </x:row>
    <x:row r="139" ht="36" customHeight="1">
      <x:c r="A139" s="5" t="str">
        <x:v>VWL-0007</x:v>
      </x:c>
      <x:c r="B139" s="5" t="str">
        <x:v>VWL</x:v>
      </x:c>
      <x:c r="C139" s="11" t="n">
        <x:v>1</x:v>
      </x:c>
      <x:c r="D139" s="11" t="n">
        <x:f>COUNTIF('Einzel-ID-Zuordnung'!$A$7:$A$2692,A139)</x:f>
        <x:v>1</x:v>
      </x:c>
      <x:c r="E139" s="11" t="n">
        <x:f>D139-C139</x:f>
        <x:v>0</x:v>
      </x:c>
      <x:c r="F139" s="5" t="str">
        <x:v>nicht Pilot</x:v>
      </x:c>
      <x:c r="G139" s="5" t="str">
        <x:v>WQ</x:v>
      </x:c>
    </x:row>
    <x:row r="140" ht="36" customHeight="1">
      <x:c r="A140" s="5" t="str">
        <x:v>VWL-0008</x:v>
      </x:c>
      <x:c r="B140" s="5" t="str">
        <x:v>VWL</x:v>
      </x:c>
      <x:c r="C140" s="11" t="n">
        <x:v>1</x:v>
      </x:c>
      <x:c r="D140" s="11" t="n">
        <x:f>COUNTIF('Einzel-ID-Zuordnung'!$A$7:$A$2692,A140)</x:f>
        <x:v>1</x:v>
      </x:c>
      <x:c r="E140" s="11" t="n">
        <x:f>D140-C140</x:f>
        <x:v>0</x:v>
      </x:c>
      <x:c r="F140" s="5" t="str">
        <x:v>nicht Pilot</x:v>
      </x:c>
      <x:c r="G140" s="5" t="str">
        <x:v>WQ</x:v>
      </x:c>
    </x:row>
    <x:row r="141" ht="36" customHeight="1">
      <x:c r="A141" s="5" t="str">
        <x:v>VWL-0009</x:v>
      </x:c>
      <x:c r="B141" s="5" t="str">
        <x:v>VWL</x:v>
      </x:c>
      <x:c r="C141" s="11" t="n">
        <x:v>1</x:v>
      </x:c>
      <x:c r="D141" s="11" t="n">
        <x:f>COUNTIF('Einzel-ID-Zuordnung'!$A$7:$A$2692,A141)</x:f>
        <x:v>1</x:v>
      </x:c>
      <x:c r="E141" s="11" t="n">
        <x:f>D141-C141</x:f>
        <x:v>0</x:v>
      </x:c>
      <x:c r="F141" s="5" t="str">
        <x:v>nicht Pilot</x:v>
      </x:c>
      <x:c r="G141" s="5" t="str">
        <x:v>WQ</x:v>
      </x:c>
    </x:row>
    <x:row r="142" ht="36" customHeight="1">
      <x:c r="A142" s="5" t="str">
        <x:v>VWL-0010</x:v>
      </x:c>
      <x:c r="B142" s="5" t="str">
        <x:v>VWL</x:v>
      </x:c>
      <x:c r="C142" s="11" t="n">
        <x:v>1</x:v>
      </x:c>
      <x:c r="D142" s="11" t="n">
        <x:f>COUNTIF('Einzel-ID-Zuordnung'!$A$7:$A$2692,A142)</x:f>
        <x:v>1</x:v>
      </x:c>
      <x:c r="E142" s="11" t="n">
        <x:f>D142-C142</x:f>
        <x:v>0</x:v>
      </x:c>
      <x:c r="F142" s="5" t="str">
        <x:v>nicht Pilot</x:v>
      </x:c>
      <x:c r="G142" s="5" t="str">
        <x:v>WQ</x:v>
      </x:c>
    </x:row>
    <x:row r="143" ht="36" customHeight="1">
      <x:c r="A143" s="5" t="str">
        <x:v>VWL-0011</x:v>
      </x:c>
      <x:c r="B143" s="5" t="str">
        <x:v>VWL</x:v>
      </x:c>
      <x:c r="C143" s="11" t="n">
        <x:v>1</x:v>
      </x:c>
      <x:c r="D143" s="11" t="n">
        <x:f>COUNTIF('Einzel-ID-Zuordnung'!$A$7:$A$2692,A143)</x:f>
        <x:v>1</x:v>
      </x:c>
      <x:c r="E143" s="11" t="n">
        <x:f>D143-C143</x:f>
        <x:v>0</x:v>
      </x:c>
      <x:c r="F143" s="5" t="str">
        <x:v>nicht Pilot</x:v>
      </x:c>
      <x:c r="G143" s="5" t="str">
        <x:v>WQ</x:v>
      </x:c>
    </x:row>
    <x:row r="144" ht="36" customHeight="1">
      <x:c r="A144" s="5" t="str">
        <x:v>VWL-0012</x:v>
      </x:c>
      <x:c r="B144" s="5" t="str">
        <x:v>VWL</x:v>
      </x:c>
      <x:c r="C144" s="11" t="n">
        <x:v>1</x:v>
      </x:c>
      <x:c r="D144" s="11" t="n">
        <x:f>COUNTIF('Einzel-ID-Zuordnung'!$A$7:$A$2692,A144)</x:f>
        <x:v>1</x:v>
      </x:c>
      <x:c r="E144" s="11" t="n">
        <x:f>D144-C144</x:f>
        <x:v>0</x:v>
      </x:c>
      <x:c r="F144" s="5" t="str">
        <x:v>nicht Pilot</x:v>
      </x:c>
      <x:c r="G144" s="5" t="str">
        <x:v>WQ</x:v>
      </x:c>
    </x:row>
    <x:row r="145" ht="36" customHeight="1">
      <x:c r="A145" s="5" t="str">
        <x:v>VWL-0013</x:v>
      </x:c>
      <x:c r="B145" s="5" t="str">
        <x:v>VWL</x:v>
      </x:c>
      <x:c r="C145" s="11" t="n">
        <x:v>1</x:v>
      </x:c>
      <x:c r="D145" s="11" t="n">
        <x:f>COUNTIF('Einzel-ID-Zuordnung'!$A$7:$A$2692,A145)</x:f>
        <x:v>1</x:v>
      </x:c>
      <x:c r="E145" s="11" t="n">
        <x:f>D145-C145</x:f>
        <x:v>0</x:v>
      </x:c>
      <x:c r="F145" s="5" t="str">
        <x:v>nicht Pilot</x:v>
      </x:c>
      <x:c r="G145" s="5" t="str">
        <x:v>WQ</x:v>
      </x:c>
    </x:row>
    <x:row r="146" ht="36" customHeight="1">
      <x:c r="A146" s="5" t="str">
        <x:v>VWL-0014</x:v>
      </x:c>
      <x:c r="B146" s="5" t="str">
        <x:v>VWL</x:v>
      </x:c>
      <x:c r="C146" s="11" t="n">
        <x:v>1</x:v>
      </x:c>
      <x:c r="D146" s="11" t="n">
        <x:f>COUNTIF('Einzel-ID-Zuordnung'!$A$7:$A$2692,A146)</x:f>
        <x:v>1</x:v>
      </x:c>
      <x:c r="E146" s="11" t="n">
        <x:f>D146-C146</x:f>
        <x:v>0</x:v>
      </x:c>
      <x:c r="F146" s="5" t="str">
        <x:v>nicht Pilot</x:v>
      </x:c>
      <x:c r="G146" s="5" t="str">
        <x:v>WQ</x:v>
      </x:c>
    </x:row>
    <x:row r="147" ht="36" customHeight="1">
      <x:c r="A147" s="5" t="str">
        <x:v>VWL-0015</x:v>
      </x:c>
      <x:c r="B147" s="5" t="str">
        <x:v>VWL</x:v>
      </x:c>
      <x:c r="C147" s="11" t="n">
        <x:v>1</x:v>
      </x:c>
      <x:c r="D147" s="11" t="n">
        <x:f>COUNTIF('Einzel-ID-Zuordnung'!$A$7:$A$2692,A147)</x:f>
        <x:v>1</x:v>
      </x:c>
      <x:c r="E147" s="11" t="n">
        <x:f>D147-C147</x:f>
        <x:v>0</x:v>
      </x:c>
      <x:c r="F147" s="5" t="str">
        <x:v>nicht Pilot</x:v>
      </x:c>
      <x:c r="G147" s="5" t="str">
        <x:v>WQ</x:v>
      </x:c>
    </x:row>
    <x:row r="148" ht="36" customHeight="1">
      <x:c r="A148" s="5" t="str">
        <x:v>VWL-0016</x:v>
      </x:c>
      <x:c r="B148" s="5" t="str">
        <x:v>VWL</x:v>
      </x:c>
      <x:c r="C148" s="11" t="n">
        <x:v>1</x:v>
      </x:c>
      <x:c r="D148" s="11" t="n">
        <x:f>COUNTIF('Einzel-ID-Zuordnung'!$A$7:$A$2692,A148)</x:f>
        <x:v>1</x:v>
      </x:c>
      <x:c r="E148" s="11" t="n">
        <x:f>D148-C148</x:f>
        <x:v>0</x:v>
      </x:c>
      <x:c r="F148" s="5" t="str">
        <x:v>nicht Pilot</x:v>
      </x:c>
      <x:c r="G148" s="5" t="str">
        <x:v>WQ</x:v>
      </x:c>
    </x:row>
    <x:row r="149" ht="36" customHeight="1">
      <x:c r="A149" s="5" t="str">
        <x:v>VWL-0017</x:v>
      </x:c>
      <x:c r="B149" s="5" t="str">
        <x:v>VWL</x:v>
      </x:c>
      <x:c r="C149" s="11" t="n">
        <x:v>1</x:v>
      </x:c>
      <x:c r="D149" s="11" t="n">
        <x:f>COUNTIF('Einzel-ID-Zuordnung'!$A$7:$A$2692,A149)</x:f>
        <x:v>1</x:v>
      </x:c>
      <x:c r="E149" s="11" t="n">
        <x:f>D149-C149</x:f>
        <x:v>0</x:v>
      </x:c>
      <x:c r="F149" s="5" t="str">
        <x:v>nicht Pilot</x:v>
      </x:c>
      <x:c r="G149" s="5" t="str">
        <x:v>WQ</x:v>
      </x:c>
    </x:row>
    <x:row r="150" ht="36" customHeight="1">
      <x:c r="A150" s="5" t="str">
        <x:v>VWL-0018</x:v>
      </x:c>
      <x:c r="B150" s="5" t="str">
        <x:v>VWL</x:v>
      </x:c>
      <x:c r="C150" s="11" t="n">
        <x:v>1</x:v>
      </x:c>
      <x:c r="D150" s="11" t="n">
        <x:f>COUNTIF('Einzel-ID-Zuordnung'!$A$7:$A$2692,A150)</x:f>
        <x:v>1</x:v>
      </x:c>
      <x:c r="E150" s="11" t="n">
        <x:f>D150-C150</x:f>
        <x:v>0</x:v>
      </x:c>
      <x:c r="F150" s="5" t="str">
        <x:v>nicht Pilot</x:v>
      </x:c>
      <x:c r="G150" s="5" t="str">
        <x:v>WQ</x:v>
      </x:c>
    </x:row>
    <x:row r="151" ht="36" customHeight="1">
      <x:c r="A151" s="5" t="str">
        <x:v>VWL-0019</x:v>
      </x:c>
      <x:c r="B151" s="5" t="str">
        <x:v>VWL</x:v>
      </x:c>
      <x:c r="C151" s="11" t="n">
        <x:v>1</x:v>
      </x:c>
      <x:c r="D151" s="11" t="n">
        <x:f>COUNTIF('Einzel-ID-Zuordnung'!$A$7:$A$2692,A151)</x:f>
        <x:v>1</x:v>
      </x:c>
      <x:c r="E151" s="11" t="n">
        <x:f>D151-C151</x:f>
        <x:v>0</x:v>
      </x:c>
      <x:c r="F151" s="5" t="str">
        <x:v>nicht Pilot</x:v>
      </x:c>
      <x:c r="G151" s="5" t="str">
        <x:v>WQ</x:v>
      </x:c>
    </x:row>
    <x:row r="152" ht="36" customHeight="1">
      <x:c r="A152" s="5" t="str">
        <x:v>VWL-0020</x:v>
      </x:c>
      <x:c r="B152" s="5" t="str">
        <x:v>VWL</x:v>
      </x:c>
      <x:c r="C152" s="11" t="n">
        <x:v>1</x:v>
      </x:c>
      <x:c r="D152" s="11" t="n">
        <x:f>COUNTIF('Einzel-ID-Zuordnung'!$A$7:$A$2692,A152)</x:f>
        <x:v>1</x:v>
      </x:c>
      <x:c r="E152" s="11" t="n">
        <x:f>D152-C152</x:f>
        <x:v>0</x:v>
      </x:c>
      <x:c r="F152" s="5" t="str">
        <x:v>nicht Pilot</x:v>
      </x:c>
      <x:c r="G152" s="5" t="str">
        <x:v>WQ</x:v>
      </x:c>
    </x:row>
    <x:row r="153" ht="36" customHeight="1">
      <x:c r="A153" s="5" t="str">
        <x:v>VWL-0021</x:v>
      </x:c>
      <x:c r="B153" s="5" t="str">
        <x:v>VWL</x:v>
      </x:c>
      <x:c r="C153" s="11" t="n">
        <x:v>1</x:v>
      </x:c>
      <x:c r="D153" s="11" t="n">
        <x:f>COUNTIF('Einzel-ID-Zuordnung'!$A$7:$A$2692,A153)</x:f>
        <x:v>1</x:v>
      </x:c>
      <x:c r="E153" s="11" t="n">
        <x:f>D153-C153</x:f>
        <x:v>0</x:v>
      </x:c>
      <x:c r="F153" s="5" t="str">
        <x:v>nicht Pilot</x:v>
      </x:c>
      <x:c r="G153" s="5" t="str">
        <x:v>WQ</x:v>
      </x:c>
    </x:row>
    <x:row r="154" ht="36" customHeight="1">
      <x:c r="A154" s="5" t="str">
        <x:v>VWL-0022</x:v>
      </x:c>
      <x:c r="B154" s="5" t="str">
        <x:v>VWL</x:v>
      </x:c>
      <x:c r="C154" s="11" t="n">
        <x:v>1</x:v>
      </x:c>
      <x:c r="D154" s="11" t="n">
        <x:f>COUNTIF('Einzel-ID-Zuordnung'!$A$7:$A$2692,A154)</x:f>
        <x:v>1</x:v>
      </x:c>
      <x:c r="E154" s="11" t="n">
        <x:f>D154-C154</x:f>
        <x:v>0</x:v>
      </x:c>
      <x:c r="F154" s="5" t="str">
        <x:v>nicht Pilot</x:v>
      </x:c>
      <x:c r="G154" s="5" t="str">
        <x:v>WQ</x:v>
      </x:c>
    </x:row>
    <x:row r="155" ht="36" customHeight="1">
      <x:c r="A155" s="5" t="str">
        <x:v>VWL-0023</x:v>
      </x:c>
      <x:c r="B155" s="5" t="str">
        <x:v>VWL</x:v>
      </x:c>
      <x:c r="C155" s="11" t="n">
        <x:v>1</x:v>
      </x:c>
      <x:c r="D155" s="11" t="n">
        <x:f>COUNTIF('Einzel-ID-Zuordnung'!$A$7:$A$2692,A155)</x:f>
        <x:v>1</x:v>
      </x:c>
      <x:c r="E155" s="11" t="n">
        <x:f>D155-C155</x:f>
        <x:v>0</x:v>
      </x:c>
      <x:c r="F155" s="5" t="str">
        <x:v>nicht Pilot</x:v>
      </x:c>
      <x:c r="G155" s="5" t="str">
        <x:v>WQ</x:v>
      </x:c>
    </x:row>
    <x:row r="156" ht="36" customHeight="1">
      <x:c r="A156" s="5" t="str">
        <x:v>VWL-0024</x:v>
      </x:c>
      <x:c r="B156" s="5" t="str">
        <x:v>VWL</x:v>
      </x:c>
      <x:c r="C156" s="11" t="n">
        <x:v>1</x:v>
      </x:c>
      <x:c r="D156" s="11" t="n">
        <x:f>COUNTIF('Einzel-ID-Zuordnung'!$A$7:$A$2692,A156)</x:f>
        <x:v>1</x:v>
      </x:c>
      <x:c r="E156" s="11" t="n">
        <x:f>D156-C156</x:f>
        <x:v>0</x:v>
      </x:c>
      <x:c r="F156" s="5" t="str">
        <x:v>nicht Pilot</x:v>
      </x:c>
      <x:c r="G156" s="5" t="str">
        <x:v>WQ</x:v>
      </x:c>
    </x:row>
    <x:row r="157" ht="36" customHeight="1">
      <x:c r="A157" s="5" t="str">
        <x:v>VWL-0025</x:v>
      </x:c>
      <x:c r="B157" s="5" t="str">
        <x:v>VWL</x:v>
      </x:c>
      <x:c r="C157" s="11" t="n">
        <x:v>1</x:v>
      </x:c>
      <x:c r="D157" s="11" t="n">
        <x:f>COUNTIF('Einzel-ID-Zuordnung'!$A$7:$A$2692,A157)</x:f>
        <x:v>1</x:v>
      </x:c>
      <x:c r="E157" s="11" t="n">
        <x:f>D157-C157</x:f>
        <x:v>0</x:v>
      </x:c>
      <x:c r="F157" s="5" t="str">
        <x:v>nicht Pilot</x:v>
      </x:c>
      <x:c r="G157" s="5" t="str">
        <x:v>WQ</x:v>
      </x:c>
    </x:row>
    <x:row r="158" ht="36" customHeight="1">
      <x:c r="A158" s="5" t="str">
        <x:v>VWL-0026</x:v>
      </x:c>
      <x:c r="B158" s="5" t="str">
        <x:v>VWL</x:v>
      </x:c>
      <x:c r="C158" s="11" t="n">
        <x:v>1</x:v>
      </x:c>
      <x:c r="D158" s="11" t="n">
        <x:f>COUNTIF('Einzel-ID-Zuordnung'!$A$7:$A$2692,A158)</x:f>
        <x:v>1</x:v>
      </x:c>
      <x:c r="E158" s="11" t="n">
        <x:f>D158-C158</x:f>
        <x:v>0</x:v>
      </x:c>
      <x:c r="F158" s="5" t="str">
        <x:v>nicht Pilot</x:v>
      </x:c>
      <x:c r="G158" s="5" t="str">
        <x:v>WQ</x:v>
      </x:c>
    </x:row>
    <x:row r="159" ht="36" customHeight="1">
      <x:c r="A159" s="5" t="str">
        <x:v>VWL-0027</x:v>
      </x:c>
      <x:c r="B159" s="5" t="str">
        <x:v>VWL</x:v>
      </x:c>
      <x:c r="C159" s="11" t="n">
        <x:v>1</x:v>
      </x:c>
      <x:c r="D159" s="11" t="n">
        <x:f>COUNTIF('Einzel-ID-Zuordnung'!$A$7:$A$2692,A159)</x:f>
        <x:v>1</x:v>
      </x:c>
      <x:c r="E159" s="11" t="n">
        <x:f>D159-C159</x:f>
        <x:v>0</x:v>
      </x:c>
      <x:c r="F159" s="5" t="str">
        <x:v>nicht Pilot</x:v>
      </x:c>
      <x:c r="G159" s="5" t="str">
        <x:v>WQ</x:v>
      </x:c>
    </x:row>
    <x:row r="160" ht="36" customHeight="1">
      <x:c r="A160" s="5" t="str">
        <x:v>VWL-0028</x:v>
      </x:c>
      <x:c r="B160" s="5" t="str">
        <x:v>VWL</x:v>
      </x:c>
      <x:c r="C160" s="11" t="n">
        <x:v>1</x:v>
      </x:c>
      <x:c r="D160" s="11" t="n">
        <x:f>COUNTIF('Einzel-ID-Zuordnung'!$A$7:$A$2692,A160)</x:f>
        <x:v>1</x:v>
      </x:c>
      <x:c r="E160" s="11" t="n">
        <x:f>D160-C160</x:f>
        <x:v>0</x:v>
      </x:c>
      <x:c r="F160" s="5" t="str">
        <x:v>nicht Pilot</x:v>
      </x:c>
      <x:c r="G160" s="5" t="str">
        <x:v>WQ</x:v>
      </x:c>
    </x:row>
    <x:row r="161" ht="36" customHeight="1">
      <x:c r="A161" s="5" t="str">
        <x:v>VWL-0029</x:v>
      </x:c>
      <x:c r="B161" s="5" t="str">
        <x:v>VWL</x:v>
      </x:c>
      <x:c r="C161" s="11" t="n">
        <x:v>1</x:v>
      </x:c>
      <x:c r="D161" s="11" t="n">
        <x:f>COUNTIF('Einzel-ID-Zuordnung'!$A$7:$A$2692,A161)</x:f>
        <x:v>1</x:v>
      </x:c>
      <x:c r="E161" s="11" t="n">
        <x:f>D161-C161</x:f>
        <x:v>0</x:v>
      </x:c>
      <x:c r="F161" s="5" t="str">
        <x:v>nicht Pilot</x:v>
      </x:c>
      <x:c r="G161" s="5" t="str">
        <x:v>WQ</x:v>
      </x:c>
    </x:row>
    <x:row r="162" ht="36" customHeight="1">
      <x:c r="A162" s="5" t="str">
        <x:v>VWL-0030</x:v>
      </x:c>
      <x:c r="B162" s="5" t="str">
        <x:v>VWL</x:v>
      </x:c>
      <x:c r="C162" s="11" t="n">
        <x:v>1</x:v>
      </x:c>
      <x:c r="D162" s="11" t="n">
        <x:f>COUNTIF('Einzel-ID-Zuordnung'!$A$7:$A$2692,A162)</x:f>
        <x:v>1</x:v>
      </x:c>
      <x:c r="E162" s="11" t="n">
        <x:f>D162-C162</x:f>
        <x:v>0</x:v>
      </x:c>
      <x:c r="F162" s="5" t="str">
        <x:v>nicht Pilot</x:v>
      </x:c>
      <x:c r="G162" s="5" t="str">
        <x:v>WQ</x:v>
      </x:c>
    </x:row>
    <x:row r="163" ht="36" customHeight="1">
      <x:c r="A163" s="5" t="str">
        <x:v>VWL-0031</x:v>
      </x:c>
      <x:c r="B163" s="5" t="str">
        <x:v>VWL</x:v>
      </x:c>
      <x:c r="C163" s="11" t="n">
        <x:v>1</x:v>
      </x:c>
      <x:c r="D163" s="11" t="n">
        <x:f>COUNTIF('Einzel-ID-Zuordnung'!$A$7:$A$2692,A163)</x:f>
        <x:v>1</x:v>
      </x:c>
      <x:c r="E163" s="11" t="n">
        <x:f>D163-C163</x:f>
        <x:v>0</x:v>
      </x:c>
      <x:c r="F163" s="5" t="str">
        <x:v>nicht Pilot</x:v>
      </x:c>
      <x:c r="G163" s="5" t="str">
        <x:v>WQ</x:v>
      </x:c>
    </x:row>
    <x:row r="164" ht="36" customHeight="1">
      <x:c r="A164" s="5" t="str">
        <x:v>VWL-0032</x:v>
      </x:c>
      <x:c r="B164" s="5" t="str">
        <x:v>VWL</x:v>
      </x:c>
      <x:c r="C164" s="11" t="n">
        <x:v>1</x:v>
      </x:c>
      <x:c r="D164" s="11" t="n">
        <x:f>COUNTIF('Einzel-ID-Zuordnung'!$A$7:$A$2692,A164)</x:f>
        <x:v>1</x:v>
      </x:c>
      <x:c r="E164" s="11" t="n">
        <x:f>D164-C164</x:f>
        <x:v>0</x:v>
      </x:c>
      <x:c r="F164" s="5" t="str">
        <x:v>nicht Pilot</x:v>
      </x:c>
      <x:c r="G164" s="5" t="str">
        <x:v>WQ</x:v>
      </x:c>
    </x:row>
    <x:row r="165" ht="36" customHeight="1">
      <x:c r="A165" s="5" t="str">
        <x:v>VWL-0033</x:v>
      </x:c>
      <x:c r="B165" s="5" t="str">
        <x:v>VWL</x:v>
      </x:c>
      <x:c r="C165" s="11" t="n">
        <x:v>1</x:v>
      </x:c>
      <x:c r="D165" s="11" t="n">
        <x:f>COUNTIF('Einzel-ID-Zuordnung'!$A$7:$A$2692,A165)</x:f>
        <x:v>1</x:v>
      </x:c>
      <x:c r="E165" s="11" t="n">
        <x:f>D165-C165</x:f>
        <x:v>0</x:v>
      </x:c>
      <x:c r="F165" s="5" t="str">
        <x:v>nicht Pilot</x:v>
      </x:c>
      <x:c r="G165" s="5" t="str">
        <x:v>WQ</x:v>
      </x:c>
    </x:row>
    <x:row r="166" ht="36" customHeight="1">
      <x:c r="A166" s="5" t="str">
        <x:v>VWL-0034</x:v>
      </x:c>
      <x:c r="B166" s="5" t="str">
        <x:v>VWL</x:v>
      </x:c>
      <x:c r="C166" s="11" t="n">
        <x:v>1</x:v>
      </x:c>
      <x:c r="D166" s="11" t="n">
        <x:f>COUNTIF('Einzel-ID-Zuordnung'!$A$7:$A$2692,A166)</x:f>
        <x:v>1</x:v>
      </x:c>
      <x:c r="E166" s="11" t="n">
        <x:f>D166-C166</x:f>
        <x:v>0</x:v>
      </x:c>
      <x:c r="F166" s="5" t="str">
        <x:v>nicht Pilot</x:v>
      </x:c>
      <x:c r="G166" s="5" t="str">
        <x:v>WQ</x:v>
      </x:c>
    </x:row>
    <x:row r="167" ht="36" customHeight="1">
      <x:c r="A167" s="5" t="str">
        <x:v>VWL-0035</x:v>
      </x:c>
      <x:c r="B167" s="5" t="str">
        <x:v>VWL</x:v>
      </x:c>
      <x:c r="C167" s="11" t="n">
        <x:v>1</x:v>
      </x:c>
      <x:c r="D167" s="11" t="n">
        <x:f>COUNTIF('Einzel-ID-Zuordnung'!$A$7:$A$2692,A167)</x:f>
        <x:v>1</x:v>
      </x:c>
      <x:c r="E167" s="11" t="n">
        <x:f>D167-C167</x:f>
        <x:v>0</x:v>
      </x:c>
      <x:c r="F167" s="5" t="str">
        <x:v>nicht Pilot</x:v>
      </x:c>
      <x:c r="G167" s="5" t="str">
        <x:v>WQ</x:v>
      </x:c>
    </x:row>
    <x:row r="168" ht="36" customHeight="1">
      <x:c r="A168" s="5" t="str">
        <x:v>VWL-0036</x:v>
      </x:c>
      <x:c r="B168" s="5" t="str">
        <x:v>VWL</x:v>
      </x:c>
      <x:c r="C168" s="11" t="n">
        <x:v>1</x:v>
      </x:c>
      <x:c r="D168" s="11" t="n">
        <x:f>COUNTIF('Einzel-ID-Zuordnung'!$A$7:$A$2692,A168)</x:f>
        <x:v>1</x:v>
      </x:c>
      <x:c r="E168" s="11" t="n">
        <x:f>D168-C168</x:f>
        <x:v>0</x:v>
      </x:c>
      <x:c r="F168" s="5" t="str">
        <x:v>nicht Pilot</x:v>
      </x:c>
      <x:c r="G168" s="5" t="str">
        <x:v>WQ</x:v>
      </x:c>
    </x:row>
    <x:row r="169" ht="36" customHeight="1">
      <x:c r="A169" s="5" t="str">
        <x:v>VWL-0037</x:v>
      </x:c>
      <x:c r="B169" s="5" t="str">
        <x:v>VWL</x:v>
      </x:c>
      <x:c r="C169" s="11" t="n">
        <x:v>1</x:v>
      </x:c>
      <x:c r="D169" s="11" t="n">
        <x:f>COUNTIF('Einzel-ID-Zuordnung'!$A$7:$A$2692,A169)</x:f>
        <x:v>1</x:v>
      </x:c>
      <x:c r="E169" s="11" t="n">
        <x:f>D169-C169</x:f>
        <x:v>0</x:v>
      </x:c>
      <x:c r="F169" s="5" t="str">
        <x:v>nicht Pilot</x:v>
      </x:c>
      <x:c r="G169" s="5" t="str">
        <x:v>WQ</x:v>
      </x:c>
    </x:row>
    <x:row r="170" ht="36" customHeight="1">
      <x:c r="A170" s="5" t="str">
        <x:v>VWL-0038</x:v>
      </x:c>
      <x:c r="B170" s="5" t="str">
        <x:v>VWL</x:v>
      </x:c>
      <x:c r="C170" s="11" t="n">
        <x:v>1</x:v>
      </x:c>
      <x:c r="D170" s="11" t="n">
        <x:f>COUNTIF('Einzel-ID-Zuordnung'!$A$7:$A$2692,A170)</x:f>
        <x:v>1</x:v>
      </x:c>
      <x:c r="E170" s="11" t="n">
        <x:f>D170-C170</x:f>
        <x:v>0</x:v>
      </x:c>
      <x:c r="F170" s="5" t="str">
        <x:v>nicht Pilot</x:v>
      </x:c>
      <x:c r="G170" s="5" t="str">
        <x:v>WQ</x:v>
      </x:c>
    </x:row>
    <x:row r="171" ht="36" customHeight="1">
      <x:c r="A171" s="5" t="str">
        <x:v>VWL-0039</x:v>
      </x:c>
      <x:c r="B171" s="5" t="str">
        <x:v>VWL</x:v>
      </x:c>
      <x:c r="C171" s="11" t="n">
        <x:v>1</x:v>
      </x:c>
      <x:c r="D171" s="11" t="n">
        <x:f>COUNTIF('Einzel-ID-Zuordnung'!$A$7:$A$2692,A171)</x:f>
        <x:v>1</x:v>
      </x:c>
      <x:c r="E171" s="11" t="n">
        <x:f>D171-C171</x:f>
        <x:v>0</x:v>
      </x:c>
      <x:c r="F171" s="5" t="str">
        <x:v>nicht Pilot</x:v>
      </x:c>
      <x:c r="G171" s="5" t="str">
        <x:v>WQ</x:v>
      </x:c>
    </x:row>
    <x:row r="172" ht="36" customHeight="1">
      <x:c r="A172" s="5" t="str">
        <x:v>VWL-0040</x:v>
      </x:c>
      <x:c r="B172" s="5" t="str">
        <x:v>VWL</x:v>
      </x:c>
      <x:c r="C172" s="11" t="n">
        <x:v>1</x:v>
      </x:c>
      <x:c r="D172" s="11" t="n">
        <x:f>COUNTIF('Einzel-ID-Zuordnung'!$A$7:$A$2692,A172)</x:f>
        <x:v>1</x:v>
      </x:c>
      <x:c r="E172" s="11" t="n">
        <x:f>D172-C172</x:f>
        <x:v>0</x:v>
      </x:c>
      <x:c r="F172" s="5" t="str">
        <x:v>nicht Pilot</x:v>
      </x:c>
      <x:c r="G172" s="5" t="str">
        <x:v>WQ</x:v>
      </x:c>
    </x:row>
    <x:row r="173" ht="36" customHeight="1">
      <x:c r="A173" s="5" t="str">
        <x:v>VWL-0041</x:v>
      </x:c>
      <x:c r="B173" s="5" t="str">
        <x:v>VWL</x:v>
      </x:c>
      <x:c r="C173" s="11" t="n">
        <x:v>1</x:v>
      </x:c>
      <x:c r="D173" s="11" t="n">
        <x:f>COUNTIF('Einzel-ID-Zuordnung'!$A$7:$A$2692,A173)</x:f>
        <x:v>1</x:v>
      </x:c>
      <x:c r="E173" s="11" t="n">
        <x:f>D173-C173</x:f>
        <x:v>0</x:v>
      </x:c>
      <x:c r="F173" s="5" t="str">
        <x:v>nicht Pilot</x:v>
      </x:c>
      <x:c r="G173" s="5" t="str">
        <x:v>WQ</x:v>
      </x:c>
    </x:row>
    <x:row r="174" ht="36" customHeight="1">
      <x:c r="A174" s="5" t="str">
        <x:v>VWL-0042</x:v>
      </x:c>
      <x:c r="B174" s="5" t="str">
        <x:v>VWL</x:v>
      </x:c>
      <x:c r="C174" s="11" t="n">
        <x:v>1</x:v>
      </x:c>
      <x:c r="D174" s="11" t="n">
        <x:f>COUNTIF('Einzel-ID-Zuordnung'!$A$7:$A$2692,A174)</x:f>
        <x:v>1</x:v>
      </x:c>
      <x:c r="E174" s="11" t="n">
        <x:f>D174-C174</x:f>
        <x:v>0</x:v>
      </x:c>
      <x:c r="F174" s="5" t="str">
        <x:v>nicht Pilot</x:v>
      </x:c>
      <x:c r="G174" s="5" t="str">
        <x:v>WQ</x:v>
      </x:c>
    </x:row>
    <x:row r="175" ht="36" customHeight="1">
      <x:c r="A175" s="5" t="str">
        <x:v>VWL-0043</x:v>
      </x:c>
      <x:c r="B175" s="5" t="str">
        <x:v>VWL</x:v>
      </x:c>
      <x:c r="C175" s="11" t="n">
        <x:v>1</x:v>
      </x:c>
      <x:c r="D175" s="11" t="n">
        <x:f>COUNTIF('Einzel-ID-Zuordnung'!$A$7:$A$2692,A175)</x:f>
        <x:v>1</x:v>
      </x:c>
      <x:c r="E175" s="11" t="n">
        <x:f>D175-C175</x:f>
        <x:v>0</x:v>
      </x:c>
      <x:c r="F175" s="5" t="str">
        <x:v>nicht Pilot</x:v>
      </x:c>
      <x:c r="G175" s="5" t="str">
        <x:v>WQ</x:v>
      </x:c>
    </x:row>
    <x:row r="176" ht="36" customHeight="1">
      <x:c r="A176" s="5" t="str">
        <x:v>VWL-0044</x:v>
      </x:c>
      <x:c r="B176" s="5" t="str">
        <x:v>VWL</x:v>
      </x:c>
      <x:c r="C176" s="11" t="n">
        <x:v>1</x:v>
      </x:c>
      <x:c r="D176" s="11" t="n">
        <x:f>COUNTIF('Einzel-ID-Zuordnung'!$A$7:$A$2692,A176)</x:f>
        <x:v>1</x:v>
      </x:c>
      <x:c r="E176" s="11" t="n">
        <x:f>D176-C176</x:f>
        <x:v>0</x:v>
      </x:c>
      <x:c r="F176" s="5" t="str">
        <x:v>nicht Pilot</x:v>
      </x:c>
      <x:c r="G176" s="5" t="str">
        <x:v>WQ</x:v>
      </x:c>
    </x:row>
    <x:row r="177" ht="36" customHeight="1">
      <x:c r="A177" s="5" t="str">
        <x:v>VWL-0045</x:v>
      </x:c>
      <x:c r="B177" s="5" t="str">
        <x:v>VWL</x:v>
      </x:c>
      <x:c r="C177" s="11" t="n">
        <x:v>1</x:v>
      </x:c>
      <x:c r="D177" s="11" t="n">
        <x:f>COUNTIF('Einzel-ID-Zuordnung'!$A$7:$A$2692,A177)</x:f>
        <x:v>1</x:v>
      </x:c>
      <x:c r="E177" s="11" t="n">
        <x:f>D177-C177</x:f>
        <x:v>0</x:v>
      </x:c>
      <x:c r="F177" s="5" t="str">
        <x:v>nicht Pilot</x:v>
      </x:c>
      <x:c r="G177" s="5" t="str">
        <x:v>WQ</x:v>
      </x:c>
    </x:row>
    <x:row r="178" ht="36" customHeight="1">
      <x:c r="A178" s="5" t="str">
        <x:v>VWL-0046</x:v>
      </x:c>
      <x:c r="B178" s="5" t="str">
        <x:v>VWL</x:v>
      </x:c>
      <x:c r="C178" s="11" t="n">
        <x:v>1</x:v>
      </x:c>
      <x:c r="D178" s="11" t="n">
        <x:f>COUNTIF('Einzel-ID-Zuordnung'!$A$7:$A$2692,A178)</x:f>
        <x:v>1</x:v>
      </x:c>
      <x:c r="E178" s="11" t="n">
        <x:f>D178-C178</x:f>
        <x:v>0</x:v>
      </x:c>
      <x:c r="F178" s="5" t="str">
        <x:v>nicht Pilot</x:v>
      </x:c>
      <x:c r="G178" s="5" t="str">
        <x:v>WQ</x:v>
      </x:c>
    </x:row>
    <x:row r="179" ht="36" customHeight="1">
      <x:c r="A179" s="5" t="str">
        <x:v>VWL-0047</x:v>
      </x:c>
      <x:c r="B179" s="5" t="str">
        <x:v>VWL</x:v>
      </x:c>
      <x:c r="C179" s="11" t="n">
        <x:v>1</x:v>
      </x:c>
      <x:c r="D179" s="11" t="n">
        <x:f>COUNTIF('Einzel-ID-Zuordnung'!$A$7:$A$2692,A179)</x:f>
        <x:v>1</x:v>
      </x:c>
      <x:c r="E179" s="11" t="n">
        <x:f>D179-C179</x:f>
        <x:v>0</x:v>
      </x:c>
      <x:c r="F179" s="5" t="str">
        <x:v>nicht Pilot</x:v>
      </x:c>
      <x:c r="G179" s="5" t="str">
        <x:v>WQ</x:v>
      </x:c>
    </x:row>
    <x:row r="180" ht="36" customHeight="1">
      <x:c r="A180" s="5" t="str">
        <x:v>VWL-0048</x:v>
      </x:c>
      <x:c r="B180" s="5" t="str">
        <x:v>VWL</x:v>
      </x:c>
      <x:c r="C180" s="11" t="n">
        <x:v>1</x:v>
      </x:c>
      <x:c r="D180" s="11" t="n">
        <x:f>COUNTIF('Einzel-ID-Zuordnung'!$A$7:$A$2692,A180)</x:f>
        <x:v>1</x:v>
      </x:c>
      <x:c r="E180" s="11" t="n">
        <x:f>D180-C180</x:f>
        <x:v>0</x:v>
      </x:c>
      <x:c r="F180" s="5" t="str">
        <x:v>nicht Pilot</x:v>
      </x:c>
      <x:c r="G180" s="5" t="str">
        <x:v>WQ</x:v>
      </x:c>
    </x:row>
    <x:row r="181" ht="36" customHeight="1">
      <x:c r="A181" s="5" t="str">
        <x:v>VWL-0049</x:v>
      </x:c>
      <x:c r="B181" s="5" t="str">
        <x:v>VWL</x:v>
      </x:c>
      <x:c r="C181" s="11" t="n">
        <x:v>1</x:v>
      </x:c>
      <x:c r="D181" s="11" t="n">
        <x:f>COUNTIF('Einzel-ID-Zuordnung'!$A$7:$A$2692,A181)</x:f>
        <x:v>1</x:v>
      </x:c>
      <x:c r="E181" s="11" t="n">
        <x:f>D181-C181</x:f>
        <x:v>0</x:v>
      </x:c>
      <x:c r="F181" s="5" t="str">
        <x:v>nicht Pilot</x:v>
      </x:c>
      <x:c r="G181" s="5" t="str">
        <x:v>WQ</x:v>
      </x:c>
    </x:row>
    <x:row r="182" ht="36" customHeight="1">
      <x:c r="A182" s="5" t="str">
        <x:v>VWL-0050</x:v>
      </x:c>
      <x:c r="B182" s="5" t="str">
        <x:v>VWL</x:v>
      </x:c>
      <x:c r="C182" s="11" t="n">
        <x:v>1</x:v>
      </x:c>
      <x:c r="D182" s="11" t="n">
        <x:f>COUNTIF('Einzel-ID-Zuordnung'!$A$7:$A$2692,A182)</x:f>
        <x:v>1</x:v>
      </x:c>
      <x:c r="E182" s="11" t="n">
        <x:f>D182-C182</x:f>
        <x:v>0</x:v>
      </x:c>
      <x:c r="F182" s="5" t="str">
        <x:v>nicht Pilot</x:v>
      </x:c>
      <x:c r="G182" s="5" t="str">
        <x:v>WQ</x:v>
      </x:c>
    </x:row>
    <x:row r="183" ht="36" customHeight="1">
      <x:c r="A183" s="5" t="str">
        <x:v>VWL-0051</x:v>
      </x:c>
      <x:c r="B183" s="5" t="str">
        <x:v>VWL</x:v>
      </x:c>
      <x:c r="C183" s="11" t="n">
        <x:v>1</x:v>
      </x:c>
      <x:c r="D183" s="11" t="n">
        <x:f>COUNTIF('Einzel-ID-Zuordnung'!$A$7:$A$2692,A183)</x:f>
        <x:v>1</x:v>
      </x:c>
      <x:c r="E183" s="11" t="n">
        <x:f>D183-C183</x:f>
        <x:v>0</x:v>
      </x:c>
      <x:c r="F183" s="5" t="str">
        <x:v>nicht Pilot</x:v>
      </x:c>
      <x:c r="G183" s="5" t="str">
        <x:v>WQ</x:v>
      </x:c>
    </x:row>
    <x:row r="184" ht="36" customHeight="1">
      <x:c r="A184" s="5" t="str">
        <x:v>VWL-0052</x:v>
      </x:c>
      <x:c r="B184" s="5" t="str">
        <x:v>VWL</x:v>
      </x:c>
      <x:c r="C184" s="11" t="n">
        <x:v>1</x:v>
      </x:c>
      <x:c r="D184" s="11" t="n">
        <x:f>COUNTIF('Einzel-ID-Zuordnung'!$A$7:$A$2692,A184)</x:f>
        <x:v>1</x:v>
      </x:c>
      <x:c r="E184" s="11" t="n">
        <x:f>D184-C184</x:f>
        <x:v>0</x:v>
      </x:c>
      <x:c r="F184" s="5" t="str">
        <x:v>nicht Pilot</x:v>
      </x:c>
      <x:c r="G184" s="5" t="str">
        <x:v>WQ</x:v>
      </x:c>
    </x:row>
    <x:row r="185" ht="36" customHeight="1">
      <x:c r="A185" s="5" t="str">
        <x:v>VWL-0053</x:v>
      </x:c>
      <x:c r="B185" s="5" t="str">
        <x:v>VWL</x:v>
      </x:c>
      <x:c r="C185" s="11" t="n">
        <x:v>1</x:v>
      </x:c>
      <x:c r="D185" s="11" t="n">
        <x:f>COUNTIF('Einzel-ID-Zuordnung'!$A$7:$A$2692,A185)</x:f>
        <x:v>1</x:v>
      </x:c>
      <x:c r="E185" s="11" t="n">
        <x:f>D185-C185</x:f>
        <x:v>0</x:v>
      </x:c>
      <x:c r="F185" s="5" t="str">
        <x:v>nicht Pilot</x:v>
      </x:c>
      <x:c r="G185" s="5" t="str">
        <x:v>WQ</x:v>
      </x:c>
    </x:row>
    <x:row r="186" ht="36" customHeight="1">
      <x:c r="A186" s="5" t="str">
        <x:v>VWL-0054</x:v>
      </x:c>
      <x:c r="B186" s="5" t="str">
        <x:v>VWL</x:v>
      </x:c>
      <x:c r="C186" s="11" t="n">
        <x:v>1</x:v>
      </x:c>
      <x:c r="D186" s="11" t="n">
        <x:f>COUNTIF('Einzel-ID-Zuordnung'!$A$7:$A$2692,A186)</x:f>
        <x:v>1</x:v>
      </x:c>
      <x:c r="E186" s="11" t="n">
        <x:f>D186-C186</x:f>
        <x:v>0</x:v>
      </x:c>
      <x:c r="F186" s="5" t="str">
        <x:v>nicht Pilot</x:v>
      </x:c>
      <x:c r="G186" s="5" t="str">
        <x:v>WQ</x:v>
      </x:c>
    </x:row>
    <x:row r="187" ht="36" customHeight="1">
      <x:c r="A187" s="5" t="str">
        <x:v>VWL-0055</x:v>
      </x:c>
      <x:c r="B187" s="5" t="str">
        <x:v>VWL</x:v>
      </x:c>
      <x:c r="C187" s="11" t="n">
        <x:v>1</x:v>
      </x:c>
      <x:c r="D187" s="11" t="n">
        <x:f>COUNTIF('Einzel-ID-Zuordnung'!$A$7:$A$2692,A187)</x:f>
        <x:v>1</x:v>
      </x:c>
      <x:c r="E187" s="11" t="n">
        <x:f>D187-C187</x:f>
        <x:v>0</x:v>
      </x:c>
      <x:c r="F187" s="5" t="str">
        <x:v>nicht Pilot</x:v>
      </x:c>
      <x:c r="G187" s="5" t="str">
        <x:v>WQ</x:v>
      </x:c>
    </x:row>
    <x:row r="188" ht="36" customHeight="1">
      <x:c r="A188" s="5" t="str">
        <x:v>VWL-0056</x:v>
      </x:c>
      <x:c r="B188" s="5" t="str">
        <x:v>VWL</x:v>
      </x:c>
      <x:c r="C188" s="11" t="n">
        <x:v>1</x:v>
      </x:c>
      <x:c r="D188" s="11" t="n">
        <x:f>COUNTIF('Einzel-ID-Zuordnung'!$A$7:$A$2692,A188)</x:f>
        <x:v>1</x:v>
      </x:c>
      <x:c r="E188" s="11" t="n">
        <x:f>D188-C188</x:f>
        <x:v>0</x:v>
      </x:c>
      <x:c r="F188" s="5" t="str">
        <x:v>nicht Pilot</x:v>
      </x:c>
      <x:c r="G188" s="5" t="str">
        <x:v>WQ</x:v>
      </x:c>
    </x:row>
    <x:row r="189" ht="36" customHeight="1">
      <x:c r="A189" s="5" t="str">
        <x:v>VWL-0057</x:v>
      </x:c>
      <x:c r="B189" s="5" t="str">
        <x:v>VWL</x:v>
      </x:c>
      <x:c r="C189" s="11" t="n">
        <x:v>1</x:v>
      </x:c>
      <x:c r="D189" s="11" t="n">
        <x:f>COUNTIF('Einzel-ID-Zuordnung'!$A$7:$A$2692,A189)</x:f>
        <x:v>1</x:v>
      </x:c>
      <x:c r="E189" s="11" t="n">
        <x:f>D189-C189</x:f>
        <x:v>0</x:v>
      </x:c>
      <x:c r="F189" s="5" t="str">
        <x:v>nicht Pilot</x:v>
      </x:c>
      <x:c r="G189" s="5" t="str">
        <x:v>WQ</x:v>
      </x:c>
    </x:row>
    <x:row r="190" ht="36" customHeight="1">
      <x:c r="A190" s="5" t="str">
        <x:v>VWL-0058</x:v>
      </x:c>
      <x:c r="B190" s="5" t="str">
        <x:v>VWL</x:v>
      </x:c>
      <x:c r="C190" s="11" t="n">
        <x:v>1</x:v>
      </x:c>
      <x:c r="D190" s="11" t="n">
        <x:f>COUNTIF('Einzel-ID-Zuordnung'!$A$7:$A$2692,A190)</x:f>
        <x:v>1</x:v>
      </x:c>
      <x:c r="E190" s="11" t="n">
        <x:f>D190-C190</x:f>
        <x:v>0</x:v>
      </x:c>
      <x:c r="F190" s="5" t="str">
        <x:v>nicht Pilot</x:v>
      </x:c>
      <x:c r="G190" s="5" t="str">
        <x:v>WQ</x:v>
      </x:c>
    </x:row>
    <x:row r="191" ht="36" customHeight="1">
      <x:c r="A191" s="5" t="str">
        <x:v>VWL-0059</x:v>
      </x:c>
      <x:c r="B191" s="5" t="str">
        <x:v>VWL</x:v>
      </x:c>
      <x:c r="C191" s="11" t="n">
        <x:v>1</x:v>
      </x:c>
      <x:c r="D191" s="11" t="n">
        <x:f>COUNTIF('Einzel-ID-Zuordnung'!$A$7:$A$2692,A191)</x:f>
        <x:v>1</x:v>
      </x:c>
      <x:c r="E191" s="11" t="n">
        <x:f>D191-C191</x:f>
        <x:v>0</x:v>
      </x:c>
      <x:c r="F191" s="5" t="str">
        <x:v>nicht Pilot</x:v>
      </x:c>
      <x:c r="G191" s="5" t="str">
        <x:v>WQ</x:v>
      </x:c>
    </x:row>
    <x:row r="192" ht="36" customHeight="1">
      <x:c r="A192" s="5" t="str">
        <x:v>VWL-0060</x:v>
      </x:c>
      <x:c r="B192" s="5" t="str">
        <x:v>VWL</x:v>
      </x:c>
      <x:c r="C192" s="11" t="n">
        <x:v>1</x:v>
      </x:c>
      <x:c r="D192" s="11" t="n">
        <x:f>COUNTIF('Einzel-ID-Zuordnung'!$A$7:$A$2692,A192)</x:f>
        <x:v>1</x:v>
      </x:c>
      <x:c r="E192" s="11" t="n">
        <x:f>D192-C192</x:f>
        <x:v>0</x:v>
      </x:c>
      <x:c r="F192" s="5" t="str">
        <x:v>nicht Pilot</x:v>
      </x:c>
      <x:c r="G192" s="5" t="str">
        <x:v>WQ</x:v>
      </x:c>
    </x:row>
    <x:row r="193" ht="36" customHeight="1">
      <x:c r="A193" s="5" t="str">
        <x:v>VWL-0061</x:v>
      </x:c>
      <x:c r="B193" s="5" t="str">
        <x:v>VWL</x:v>
      </x:c>
      <x:c r="C193" s="11" t="n">
        <x:v>1</x:v>
      </x:c>
      <x:c r="D193" s="11" t="n">
        <x:f>COUNTIF('Einzel-ID-Zuordnung'!$A$7:$A$2692,A193)</x:f>
        <x:v>1</x:v>
      </x:c>
      <x:c r="E193" s="11" t="n">
        <x:f>D193-C193</x:f>
        <x:v>0</x:v>
      </x:c>
      <x:c r="F193" s="5" t="str">
        <x:v>nicht Pilot</x:v>
      </x:c>
      <x:c r="G193" s="5" t="str">
        <x:v>WQ</x:v>
      </x:c>
    </x:row>
    <x:row r="194" ht="36" customHeight="1">
      <x:c r="A194" s="5" t="str">
        <x:v>VWL-0062</x:v>
      </x:c>
      <x:c r="B194" s="5" t="str">
        <x:v>VWL</x:v>
      </x:c>
      <x:c r="C194" s="11" t="n">
        <x:v>1</x:v>
      </x:c>
      <x:c r="D194" s="11" t="n">
        <x:f>COUNTIF('Einzel-ID-Zuordnung'!$A$7:$A$2692,A194)</x:f>
        <x:v>1</x:v>
      </x:c>
      <x:c r="E194" s="11" t="n">
        <x:f>D194-C194</x:f>
        <x:v>0</x:v>
      </x:c>
      <x:c r="F194" s="5" t="str">
        <x:v>nicht Pilot</x:v>
      </x:c>
      <x:c r="G194" s="5" t="str">
        <x:v>WQ</x:v>
      </x:c>
    </x:row>
    <x:row r="195" ht="36" customHeight="1">
      <x:c r="A195" s="5" t="str">
        <x:v>VWL-0063</x:v>
      </x:c>
      <x:c r="B195" s="5" t="str">
        <x:v>VWL</x:v>
      </x:c>
      <x:c r="C195" s="11" t="n">
        <x:v>1</x:v>
      </x:c>
      <x:c r="D195" s="11" t="n">
        <x:f>COUNTIF('Einzel-ID-Zuordnung'!$A$7:$A$2692,A195)</x:f>
        <x:v>1</x:v>
      </x:c>
      <x:c r="E195" s="11" t="n">
        <x:f>D195-C195</x:f>
        <x:v>0</x:v>
      </x:c>
      <x:c r="F195" s="5" t="str">
        <x:v>nicht Pilot</x:v>
      </x:c>
      <x:c r="G195" s="5" t="str">
        <x:v>WQ</x:v>
      </x:c>
    </x:row>
    <x:row r="196" ht="36" customHeight="1">
      <x:c r="A196" s="5" t="str">
        <x:v>VWL-0064</x:v>
      </x:c>
      <x:c r="B196" s="5" t="str">
        <x:v>VWL</x:v>
      </x:c>
      <x:c r="C196" s="11" t="n">
        <x:v>1</x:v>
      </x:c>
      <x:c r="D196" s="11" t="n">
        <x:f>COUNTIF('Einzel-ID-Zuordnung'!$A$7:$A$2692,A196)</x:f>
        <x:v>1</x:v>
      </x:c>
      <x:c r="E196" s="11" t="n">
        <x:f>D196-C196</x:f>
        <x:v>0</x:v>
      </x:c>
      <x:c r="F196" s="5" t="str">
        <x:v>nicht Pilot</x:v>
      </x:c>
      <x:c r="G196" s="5" t="str">
        <x:v>WQ</x:v>
      </x:c>
    </x:row>
    <x:row r="197" ht="36" customHeight="1">
      <x:c r="A197" s="5" t="str">
        <x:v>VWL-0065</x:v>
      </x:c>
      <x:c r="B197" s="5" t="str">
        <x:v>VWL</x:v>
      </x:c>
      <x:c r="C197" s="11" t="n">
        <x:v>1</x:v>
      </x:c>
      <x:c r="D197" s="11" t="n">
        <x:f>COUNTIF('Einzel-ID-Zuordnung'!$A$7:$A$2692,A197)</x:f>
        <x:v>1</x:v>
      </x:c>
      <x:c r="E197" s="11" t="n">
        <x:f>D197-C197</x:f>
        <x:v>0</x:v>
      </x:c>
      <x:c r="F197" s="5" t="str">
        <x:v>nicht Pilot</x:v>
      </x:c>
      <x:c r="G197" s="5" t="str">
        <x:v>WQ</x:v>
      </x:c>
    </x:row>
    <x:row r="198" ht="36" customHeight="1">
      <x:c r="A198" s="5" t="str">
        <x:v>VWL-0066</x:v>
      </x:c>
      <x:c r="B198" s="5" t="str">
        <x:v>VWL</x:v>
      </x:c>
      <x:c r="C198" s="11" t="n">
        <x:v>1</x:v>
      </x:c>
      <x:c r="D198" s="11" t="n">
        <x:f>COUNTIF('Einzel-ID-Zuordnung'!$A$7:$A$2692,A198)</x:f>
        <x:v>1</x:v>
      </x:c>
      <x:c r="E198" s="11" t="n">
        <x:f>D198-C198</x:f>
        <x:v>0</x:v>
      </x:c>
      <x:c r="F198" s="5" t="str">
        <x:v>nicht Pilot</x:v>
      </x:c>
      <x:c r="G198" s="5" t="str">
        <x:v>WQ</x:v>
      </x:c>
    </x:row>
    <x:row r="199" ht="36" customHeight="1">
      <x:c r="A199" s="5" t="str">
        <x:v>VWL-0067</x:v>
      </x:c>
      <x:c r="B199" s="5" t="str">
        <x:v>VWL</x:v>
      </x:c>
      <x:c r="C199" s="11" t="n">
        <x:v>1</x:v>
      </x:c>
      <x:c r="D199" s="11" t="n">
        <x:f>COUNTIF('Einzel-ID-Zuordnung'!$A$7:$A$2692,A199)</x:f>
        <x:v>1</x:v>
      </x:c>
      <x:c r="E199" s="11" t="n">
        <x:f>D199-C199</x:f>
        <x:v>0</x:v>
      </x:c>
      <x:c r="F199" s="5" t="str">
        <x:v>nicht Pilot</x:v>
      </x:c>
      <x:c r="G199" s="5" t="str">
        <x:v>WQ</x:v>
      </x:c>
    </x:row>
    <x:row r="200" ht="36" customHeight="1">
      <x:c r="A200" s="5" t="str">
        <x:v>VWL-0068</x:v>
      </x:c>
      <x:c r="B200" s="5" t="str">
        <x:v>VWL</x:v>
      </x:c>
      <x:c r="C200" s="11" t="n">
        <x:v>1</x:v>
      </x:c>
      <x:c r="D200" s="11" t="n">
        <x:f>COUNTIF('Einzel-ID-Zuordnung'!$A$7:$A$2692,A200)</x:f>
        <x:v>1</x:v>
      </x:c>
      <x:c r="E200" s="11" t="n">
        <x:f>D200-C200</x:f>
        <x:v>0</x:v>
      </x:c>
      <x:c r="F200" s="5" t="str">
        <x:v>nicht Pilot</x:v>
      </x:c>
      <x:c r="G200" s="5" t="str">
        <x:v>WQ</x:v>
      </x:c>
    </x:row>
    <x:row r="201" ht="36" customHeight="1">
      <x:c r="A201" s="5" t="str">
        <x:v>VWL-0069</x:v>
      </x:c>
      <x:c r="B201" s="5" t="str">
        <x:v>VWL</x:v>
      </x:c>
      <x:c r="C201" s="11" t="n">
        <x:v>1</x:v>
      </x:c>
      <x:c r="D201" s="11" t="n">
        <x:f>COUNTIF('Einzel-ID-Zuordnung'!$A$7:$A$2692,A201)</x:f>
        <x:v>1</x:v>
      </x:c>
      <x:c r="E201" s="11" t="n">
        <x:f>D201-C201</x:f>
        <x:v>0</x:v>
      </x:c>
      <x:c r="F201" s="5" t="str">
        <x:v>nicht Pilot</x:v>
      </x:c>
      <x:c r="G201" s="5" t="str">
        <x:v>WQ</x:v>
      </x:c>
    </x:row>
    <x:row r="202" ht="36" customHeight="1">
      <x:c r="A202" s="5" t="str">
        <x:v>VWL-0070</x:v>
      </x:c>
      <x:c r="B202" s="5" t="str">
        <x:v>VWL</x:v>
      </x:c>
      <x:c r="C202" s="11" t="n">
        <x:v>1</x:v>
      </x:c>
      <x:c r="D202" s="11" t="n">
        <x:f>COUNTIF('Einzel-ID-Zuordnung'!$A$7:$A$2692,A202)</x:f>
        <x:v>1</x:v>
      </x:c>
      <x:c r="E202" s="11" t="n">
        <x:f>D202-C202</x:f>
        <x:v>0</x:v>
      </x:c>
      <x:c r="F202" s="5" t="str">
        <x:v>nicht Pilot</x:v>
      </x:c>
      <x:c r="G202" s="5" t="str">
        <x:v>WQ</x:v>
      </x:c>
    </x:row>
    <x:row r="203" ht="36" customHeight="1">
      <x:c r="A203" s="5" t="str">
        <x:v>VWL-0071</x:v>
      </x:c>
      <x:c r="B203" s="5" t="str">
        <x:v>VWL</x:v>
      </x:c>
      <x:c r="C203" s="11" t="n">
        <x:v>1</x:v>
      </x:c>
      <x:c r="D203" s="11" t="n">
        <x:f>COUNTIF('Einzel-ID-Zuordnung'!$A$7:$A$2692,A203)</x:f>
        <x:v>1</x:v>
      </x:c>
      <x:c r="E203" s="11" t="n">
        <x:f>D203-C203</x:f>
        <x:v>0</x:v>
      </x:c>
      <x:c r="F203" s="5" t="str">
        <x:v>nicht Pilot</x:v>
      </x:c>
      <x:c r="G203" s="5" t="str">
        <x:v>WQ</x:v>
      </x:c>
    </x:row>
    <x:row r="204" ht="36" customHeight="1">
      <x:c r="A204" s="5" t="str">
        <x:v>VWL-0072</x:v>
      </x:c>
      <x:c r="B204" s="5" t="str">
        <x:v>VWL</x:v>
      </x:c>
      <x:c r="C204" s="11" t="n">
        <x:v>1</x:v>
      </x:c>
      <x:c r="D204" s="11" t="n">
        <x:f>COUNTIF('Einzel-ID-Zuordnung'!$A$7:$A$2692,A204)</x:f>
        <x:v>1</x:v>
      </x:c>
      <x:c r="E204" s="11" t="n">
        <x:f>D204-C204</x:f>
        <x:v>0</x:v>
      </x:c>
      <x:c r="F204" s="5" t="str">
        <x:v>nicht Pilot</x:v>
      </x:c>
      <x:c r="G204" s="5" t="str">
        <x:v>WQ</x:v>
      </x:c>
    </x:row>
    <x:row r="205" ht="36" customHeight="1">
      <x:c r="A205" s="5" t="str">
        <x:v>VWL-0073</x:v>
      </x:c>
      <x:c r="B205" s="5" t="str">
        <x:v>VWL</x:v>
      </x:c>
      <x:c r="C205" s="11" t="n">
        <x:v>1</x:v>
      </x:c>
      <x:c r="D205" s="11" t="n">
        <x:f>COUNTIF('Einzel-ID-Zuordnung'!$A$7:$A$2692,A205)</x:f>
        <x:v>1</x:v>
      </x:c>
      <x:c r="E205" s="11" t="n">
        <x:f>D205-C205</x:f>
        <x:v>0</x:v>
      </x:c>
      <x:c r="F205" s="5" t="str">
        <x:v>nicht Pilot</x:v>
      </x:c>
      <x:c r="G205" s="5" t="str">
        <x:v>WQ</x:v>
      </x:c>
    </x:row>
    <x:row r="206" ht="36" customHeight="1">
      <x:c r="A206" s="5" t="str">
        <x:v>VWL-0074</x:v>
      </x:c>
      <x:c r="B206" s="5" t="str">
        <x:v>VWL</x:v>
      </x:c>
      <x:c r="C206" s="11" t="n">
        <x:v>1</x:v>
      </x:c>
      <x:c r="D206" s="11" t="n">
        <x:f>COUNTIF('Einzel-ID-Zuordnung'!$A$7:$A$2692,A206)</x:f>
        <x:v>1</x:v>
      </x:c>
      <x:c r="E206" s="11" t="n">
        <x:f>D206-C206</x:f>
        <x:v>0</x:v>
      </x:c>
      <x:c r="F206" s="5" t="str">
        <x:v>nicht Pilot</x:v>
      </x:c>
      <x:c r="G206" s="5" t="str">
        <x:v>WQ</x:v>
      </x:c>
    </x:row>
    <x:row r="207" ht="36" customHeight="1">
      <x:c r="A207" s="5" t="str">
        <x:v>VWL-0075</x:v>
      </x:c>
      <x:c r="B207" s="5" t="str">
        <x:v>VWL</x:v>
      </x:c>
      <x:c r="C207" s="11" t="n">
        <x:v>1</x:v>
      </x:c>
      <x:c r="D207" s="11" t="n">
        <x:f>COUNTIF('Einzel-ID-Zuordnung'!$A$7:$A$2692,A207)</x:f>
        <x:v>1</x:v>
      </x:c>
      <x:c r="E207" s="11" t="n">
        <x:f>D207-C207</x:f>
        <x:v>0</x:v>
      </x:c>
      <x:c r="F207" s="5" t="str">
        <x:v>nicht Pilot</x:v>
      </x:c>
      <x:c r="G207" s="5" t="str">
        <x:v>WQ</x:v>
      </x:c>
    </x:row>
    <x:row r="208" ht="36" customHeight="1">
      <x:c r="A208" s="5" t="str">
        <x:v>VWL-0076</x:v>
      </x:c>
      <x:c r="B208" s="5" t="str">
        <x:v>VWL</x:v>
      </x:c>
      <x:c r="C208" s="11" t="n">
        <x:v>1</x:v>
      </x:c>
      <x:c r="D208" s="11" t="n">
        <x:f>COUNTIF('Einzel-ID-Zuordnung'!$A$7:$A$2692,A208)</x:f>
        <x:v>1</x:v>
      </x:c>
      <x:c r="E208" s="11" t="n">
        <x:f>D208-C208</x:f>
        <x:v>0</x:v>
      </x:c>
      <x:c r="F208" s="5" t="str">
        <x:v>nicht Pilot</x:v>
      </x:c>
      <x:c r="G208" s="5" t="str">
        <x:v>WQ</x:v>
      </x:c>
    </x:row>
    <x:row r="209" ht="36" customHeight="1">
      <x:c r="A209" s="5" t="str">
        <x:v>VWL-0077</x:v>
      </x:c>
      <x:c r="B209" s="5" t="str">
        <x:v>VWL</x:v>
      </x:c>
      <x:c r="C209" s="11" t="n">
        <x:v>1</x:v>
      </x:c>
      <x:c r="D209" s="11" t="n">
        <x:f>COUNTIF('Einzel-ID-Zuordnung'!$A$7:$A$2692,A209)</x:f>
        <x:v>1</x:v>
      </x:c>
      <x:c r="E209" s="11" t="n">
        <x:f>D209-C209</x:f>
        <x:v>0</x:v>
      </x:c>
      <x:c r="F209" s="5" t="str">
        <x:v>nicht Pilot</x:v>
      </x:c>
      <x:c r="G209" s="5" t="str">
        <x:v>WQ</x:v>
      </x:c>
    </x:row>
    <x:row r="210" ht="36" customHeight="1">
      <x:c r="A210" s="5" t="str">
        <x:v>VWL-0078</x:v>
      </x:c>
      <x:c r="B210" s="5" t="str">
        <x:v>VWL</x:v>
      </x:c>
      <x:c r="C210" s="11" t="n">
        <x:v>1</x:v>
      </x:c>
      <x:c r="D210" s="11" t="n">
        <x:f>COUNTIF('Einzel-ID-Zuordnung'!$A$7:$A$2692,A210)</x:f>
        <x:v>1</x:v>
      </x:c>
      <x:c r="E210" s="11" t="n">
        <x:f>D210-C210</x:f>
        <x:v>0</x:v>
      </x:c>
      <x:c r="F210" s="5" t="str">
        <x:v>nicht Pilot</x:v>
      </x:c>
      <x:c r="G210" s="5" t="str">
        <x:v>WQ</x:v>
      </x:c>
    </x:row>
    <x:row r="211" ht="36" customHeight="1">
      <x:c r="A211" s="5" t="str">
        <x:v>VWL-0079</x:v>
      </x:c>
      <x:c r="B211" s="5" t="str">
        <x:v>VWL</x:v>
      </x:c>
      <x:c r="C211" s="11" t="n">
        <x:v>1</x:v>
      </x:c>
      <x:c r="D211" s="11" t="n">
        <x:f>COUNTIF('Einzel-ID-Zuordnung'!$A$7:$A$2692,A211)</x:f>
        <x:v>1</x:v>
      </x:c>
      <x:c r="E211" s="11" t="n">
        <x:f>D211-C211</x:f>
        <x:v>0</x:v>
      </x:c>
      <x:c r="F211" s="5" t="str">
        <x:v>nicht Pilot</x:v>
      </x:c>
      <x:c r="G211" s="5" t="str">
        <x:v>WQ</x:v>
      </x:c>
    </x:row>
    <x:row r="212" ht="36" customHeight="1">
      <x:c r="A212" s="5" t="str">
        <x:v>VWL-0080</x:v>
      </x:c>
      <x:c r="B212" s="5" t="str">
        <x:v>VWL</x:v>
      </x:c>
      <x:c r="C212" s="11" t="n">
        <x:v>1</x:v>
      </x:c>
      <x:c r="D212" s="11" t="n">
        <x:f>COUNTIF('Einzel-ID-Zuordnung'!$A$7:$A$2692,A212)</x:f>
        <x:v>1</x:v>
      </x:c>
      <x:c r="E212" s="11" t="n">
        <x:f>D212-C212</x:f>
        <x:v>0</x:v>
      </x:c>
      <x:c r="F212" s="5" t="str">
        <x:v>nicht Pilot</x:v>
      </x:c>
      <x:c r="G212" s="5" t="str">
        <x:v>WQ</x:v>
      </x:c>
    </x:row>
    <x:row r="213" ht="36" customHeight="1">
      <x:c r="A213" s="5" t="str">
        <x:v>VWL-0081</x:v>
      </x:c>
      <x:c r="B213" s="5" t="str">
        <x:v>VWL</x:v>
      </x:c>
      <x:c r="C213" s="11" t="n">
        <x:v>1</x:v>
      </x:c>
      <x:c r="D213" s="11" t="n">
        <x:f>COUNTIF('Einzel-ID-Zuordnung'!$A$7:$A$2692,A213)</x:f>
        <x:v>1</x:v>
      </x:c>
      <x:c r="E213" s="11" t="n">
        <x:f>D213-C213</x:f>
        <x:v>0</x:v>
      </x:c>
      <x:c r="F213" s="5" t="str">
        <x:v>nicht Pilot</x:v>
      </x:c>
      <x:c r="G213" s="5" t="str">
        <x:v>WQ</x:v>
      </x:c>
    </x:row>
    <x:row r="214" ht="36" customHeight="1">
      <x:c r="A214" s="5" t="str">
        <x:v>VWL-0082</x:v>
      </x:c>
      <x:c r="B214" s="5" t="str">
        <x:v>VWL</x:v>
      </x:c>
      <x:c r="C214" s="11" t="n">
        <x:v>1</x:v>
      </x:c>
      <x:c r="D214" s="11" t="n">
        <x:f>COUNTIF('Einzel-ID-Zuordnung'!$A$7:$A$2692,A214)</x:f>
        <x:v>1</x:v>
      </x:c>
      <x:c r="E214" s="11" t="n">
        <x:f>D214-C214</x:f>
        <x:v>0</x:v>
      </x:c>
      <x:c r="F214" s="5" t="str">
        <x:v>nicht Pilot</x:v>
      </x:c>
      <x:c r="G214" s="5" t="str">
        <x:v>WQ</x:v>
      </x:c>
    </x:row>
    <x:row r="215" ht="36" customHeight="1">
      <x:c r="A215" s="5" t="str">
        <x:v>VWL-0083</x:v>
      </x:c>
      <x:c r="B215" s="5" t="str">
        <x:v>VWL</x:v>
      </x:c>
      <x:c r="C215" s="11" t="n">
        <x:v>1</x:v>
      </x:c>
      <x:c r="D215" s="11" t="n">
        <x:f>COUNTIF('Einzel-ID-Zuordnung'!$A$7:$A$2692,A215)</x:f>
        <x:v>1</x:v>
      </x:c>
      <x:c r="E215" s="11" t="n">
        <x:f>D215-C215</x:f>
        <x:v>0</x:v>
      </x:c>
      <x:c r="F215" s="5" t="str">
        <x:v>nicht Pilot</x:v>
      </x:c>
      <x:c r="G215" s="5" t="str">
        <x:v>WQ</x:v>
      </x:c>
    </x:row>
    <x:row r="216" ht="36" customHeight="1">
      <x:c r="A216" s="5" t="str">
        <x:v>VWL-0084</x:v>
      </x:c>
      <x:c r="B216" s="5" t="str">
        <x:v>VWL</x:v>
      </x:c>
      <x:c r="C216" s="11" t="n">
        <x:v>1</x:v>
      </x:c>
      <x:c r="D216" s="11" t="n">
        <x:f>COUNTIF('Einzel-ID-Zuordnung'!$A$7:$A$2692,A216)</x:f>
        <x:v>1</x:v>
      </x:c>
      <x:c r="E216" s="11" t="n">
        <x:f>D216-C216</x:f>
        <x:v>0</x:v>
      </x:c>
      <x:c r="F216" s="5" t="str">
        <x:v>nicht Pilot</x:v>
      </x:c>
      <x:c r="G216" s="5" t="str">
        <x:v>WQ</x:v>
      </x:c>
    </x:row>
    <x:row r="217" ht="36" customHeight="1">
      <x:c r="A217" s="5" t="str">
        <x:v>VWL-0085</x:v>
      </x:c>
      <x:c r="B217" s="5" t="str">
        <x:v>VWL</x:v>
      </x:c>
      <x:c r="C217" s="11" t="n">
        <x:v>1</x:v>
      </x:c>
      <x:c r="D217" s="11" t="n">
        <x:f>COUNTIF('Einzel-ID-Zuordnung'!$A$7:$A$2692,A217)</x:f>
        <x:v>1</x:v>
      </x:c>
      <x:c r="E217" s="11" t="n">
        <x:f>D217-C217</x:f>
        <x:v>0</x:v>
      </x:c>
      <x:c r="F217" s="5" t="str">
        <x:v>nicht Pilot</x:v>
      </x:c>
      <x:c r="G217" s="5" t="str">
        <x:v>WQ</x:v>
      </x:c>
    </x:row>
    <x:row r="218" ht="36" customHeight="1">
      <x:c r="A218" s="5" t="str">
        <x:v>VWL-0086</x:v>
      </x:c>
      <x:c r="B218" s="5" t="str">
        <x:v>VWL</x:v>
      </x:c>
      <x:c r="C218" s="11" t="n">
        <x:v>1</x:v>
      </x:c>
      <x:c r="D218" s="11" t="n">
        <x:f>COUNTIF('Einzel-ID-Zuordnung'!$A$7:$A$2692,A218)</x:f>
        <x:v>1</x:v>
      </x:c>
      <x:c r="E218" s="11" t="n">
        <x:f>D218-C218</x:f>
        <x:v>0</x:v>
      </x:c>
      <x:c r="F218" s="5" t="str">
        <x:v>nicht Pilot</x:v>
      </x:c>
      <x:c r="G218" s="5" t="str">
        <x:v>WQ</x:v>
      </x:c>
    </x:row>
    <x:row r="219" ht="36" customHeight="1">
      <x:c r="A219" s="5" t="str">
        <x:v>VWL-0087</x:v>
      </x:c>
      <x:c r="B219" s="5" t="str">
        <x:v>VWL</x:v>
      </x:c>
      <x:c r="C219" s="11" t="n">
        <x:v>1</x:v>
      </x:c>
      <x:c r="D219" s="11" t="n">
        <x:f>COUNTIF('Einzel-ID-Zuordnung'!$A$7:$A$2692,A219)</x:f>
        <x:v>1</x:v>
      </x:c>
      <x:c r="E219" s="11" t="n">
        <x:f>D219-C219</x:f>
        <x:v>0</x:v>
      </x:c>
      <x:c r="F219" s="5" t="str">
        <x:v>nicht Pilot</x:v>
      </x:c>
      <x:c r="G219" s="5" t="str">
        <x:v>WQ</x:v>
      </x:c>
    </x:row>
    <x:row r="220" ht="36" customHeight="1">
      <x:c r="A220" s="5" t="str">
        <x:v>VWL-0088</x:v>
      </x:c>
      <x:c r="B220" s="5" t="str">
        <x:v>VWL</x:v>
      </x:c>
      <x:c r="C220" s="11" t="n">
        <x:v>1</x:v>
      </x:c>
      <x:c r="D220" s="11" t="n">
        <x:f>COUNTIF('Einzel-ID-Zuordnung'!$A$7:$A$2692,A220)</x:f>
        <x:v>1</x:v>
      </x:c>
      <x:c r="E220" s="11" t="n">
        <x:f>D220-C220</x:f>
        <x:v>0</x:v>
      </x:c>
      <x:c r="F220" s="5" t="str">
        <x:v>nicht Pilot</x:v>
      </x:c>
      <x:c r="G220" s="5" t="str">
        <x:v>WQ</x:v>
      </x:c>
    </x:row>
    <x:row r="221" ht="36" customHeight="1">
      <x:c r="A221" s="5" t="str">
        <x:v>VWL-0089</x:v>
      </x:c>
      <x:c r="B221" s="5" t="str">
        <x:v>VWL</x:v>
      </x:c>
      <x:c r="C221" s="11" t="n">
        <x:v>1</x:v>
      </x:c>
      <x:c r="D221" s="11" t="n">
        <x:f>COUNTIF('Einzel-ID-Zuordnung'!$A$7:$A$2692,A221)</x:f>
        <x:v>1</x:v>
      </x:c>
      <x:c r="E221" s="11" t="n">
        <x:f>D221-C221</x:f>
        <x:v>0</x:v>
      </x:c>
      <x:c r="F221" s="5" t="str">
        <x:v>nicht Pilot</x:v>
      </x:c>
      <x:c r="G221" s="5" t="str">
        <x:v>WQ</x:v>
      </x:c>
    </x:row>
    <x:row r="222" ht="36" customHeight="1">
      <x:c r="A222" s="5" t="str">
        <x:v>VWL-0090</x:v>
      </x:c>
      <x:c r="B222" s="5" t="str">
        <x:v>VWL</x:v>
      </x:c>
      <x:c r="C222" s="11" t="n">
        <x:v>1</x:v>
      </x:c>
      <x:c r="D222" s="11" t="n">
        <x:f>COUNTIF('Einzel-ID-Zuordnung'!$A$7:$A$2692,A222)</x:f>
        <x:v>1</x:v>
      </x:c>
      <x:c r="E222" s="11" t="n">
        <x:f>D222-C222</x:f>
        <x:v>0</x:v>
      </x:c>
      <x:c r="F222" s="5" t="str">
        <x:v>nicht Pilot</x:v>
      </x:c>
      <x:c r="G222" s="5" t="str">
        <x:v>WQ</x:v>
      </x:c>
    </x:row>
    <x:row r="223" ht="36" customHeight="1">
      <x:c r="A223" s="5" t="str">
        <x:v>VWL-0091</x:v>
      </x:c>
      <x:c r="B223" s="5" t="str">
        <x:v>VWL</x:v>
      </x:c>
      <x:c r="C223" s="11" t="n">
        <x:v>1</x:v>
      </x:c>
      <x:c r="D223" s="11" t="n">
        <x:f>COUNTIF('Einzel-ID-Zuordnung'!$A$7:$A$2692,A223)</x:f>
        <x:v>1</x:v>
      </x:c>
      <x:c r="E223" s="11" t="n">
        <x:f>D223-C223</x:f>
        <x:v>0</x:v>
      </x:c>
      <x:c r="F223" s="5" t="str">
        <x:v>nicht Pilot</x:v>
      </x:c>
      <x:c r="G223" s="5" t="str">
        <x:v>WQ</x:v>
      </x:c>
    </x:row>
    <x:row r="224" ht="36" customHeight="1">
      <x:c r="A224" s="5" t="str">
        <x:v>VWL-0092</x:v>
      </x:c>
      <x:c r="B224" s="5" t="str">
        <x:v>VWL</x:v>
      </x:c>
      <x:c r="C224" s="11" t="n">
        <x:v>1</x:v>
      </x:c>
      <x:c r="D224" s="11" t="n">
        <x:f>COUNTIF('Einzel-ID-Zuordnung'!$A$7:$A$2692,A224)</x:f>
        <x:v>1</x:v>
      </x:c>
      <x:c r="E224" s="11" t="n">
        <x:f>D224-C224</x:f>
        <x:v>0</x:v>
      </x:c>
      <x:c r="F224" s="5" t="str">
        <x:v>nicht Pilot</x:v>
      </x:c>
      <x:c r="G224" s="5" t="str">
        <x:v>WQ</x:v>
      </x:c>
    </x:row>
    <x:row r="225" ht="36" customHeight="1">
      <x:c r="A225" s="5" t="str">
        <x:v>VWL-0093</x:v>
      </x:c>
      <x:c r="B225" s="5" t="str">
        <x:v>VWL</x:v>
      </x:c>
      <x:c r="C225" s="11" t="n">
        <x:v>1</x:v>
      </x:c>
      <x:c r="D225" s="11" t="n">
        <x:f>COUNTIF('Einzel-ID-Zuordnung'!$A$7:$A$2692,A225)</x:f>
        <x:v>1</x:v>
      </x:c>
      <x:c r="E225" s="11" t="n">
        <x:f>D225-C225</x:f>
        <x:v>0</x:v>
      </x:c>
      <x:c r="F225" s="5" t="str">
        <x:v>nicht Pilot</x:v>
      </x:c>
      <x:c r="G225" s="5" t="str">
        <x:v>WQ</x:v>
      </x:c>
    </x:row>
    <x:row r="226" ht="36" customHeight="1">
      <x:c r="A226" s="5" t="str">
        <x:v>VWL-0094</x:v>
      </x:c>
      <x:c r="B226" s="5" t="str">
        <x:v>VWL</x:v>
      </x:c>
      <x:c r="C226" s="11" t="n">
        <x:v>1</x:v>
      </x:c>
      <x:c r="D226" s="11" t="n">
        <x:f>COUNTIF('Einzel-ID-Zuordnung'!$A$7:$A$2692,A226)</x:f>
        <x:v>1</x:v>
      </x:c>
      <x:c r="E226" s="11" t="n">
        <x:f>D226-C226</x:f>
        <x:v>0</x:v>
      </x:c>
      <x:c r="F226" s="5" t="str">
        <x:v>nicht Pilot</x:v>
      </x:c>
      <x:c r="G226" s="5" t="str">
        <x:v>WQ</x:v>
      </x:c>
    </x:row>
    <x:row r="227" ht="36" customHeight="1">
      <x:c r="A227" s="5" t="str">
        <x:v>VWL-0095</x:v>
      </x:c>
      <x:c r="B227" s="5" t="str">
        <x:v>VWL</x:v>
      </x:c>
      <x:c r="C227" s="11" t="n">
        <x:v>1</x:v>
      </x:c>
      <x:c r="D227" s="11" t="n">
        <x:f>COUNTIF('Einzel-ID-Zuordnung'!$A$7:$A$2692,A227)</x:f>
        <x:v>1</x:v>
      </x:c>
      <x:c r="E227" s="11" t="n">
        <x:f>D227-C227</x:f>
        <x:v>0</x:v>
      </x:c>
      <x:c r="F227" s="5" t="str">
        <x:v>nicht Pilot</x:v>
      </x:c>
      <x:c r="G227" s="5" t="str">
        <x:v>WQ</x:v>
      </x:c>
    </x:row>
    <x:row r="228" ht="36" customHeight="1">
      <x:c r="A228" s="5" t="str">
        <x:v>VWL-0096</x:v>
      </x:c>
      <x:c r="B228" s="5" t="str">
        <x:v>VWL</x:v>
      </x:c>
      <x:c r="C228" s="11" t="n">
        <x:v>1</x:v>
      </x:c>
      <x:c r="D228" s="11" t="n">
        <x:f>COUNTIF('Einzel-ID-Zuordnung'!$A$7:$A$2692,A228)</x:f>
        <x:v>1</x:v>
      </x:c>
      <x:c r="E228" s="11" t="n">
        <x:f>D228-C228</x:f>
        <x:v>0</x:v>
      </x:c>
      <x:c r="F228" s="5" t="str">
        <x:v>nicht Pilot</x:v>
      </x:c>
      <x:c r="G228" s="5" t="str">
        <x:v>WQ</x:v>
      </x:c>
    </x:row>
    <x:row r="229" ht="36" customHeight="1">
      <x:c r="A229" s="5" t="str">
        <x:v>VWL-0097</x:v>
      </x:c>
      <x:c r="B229" s="5" t="str">
        <x:v>VWL</x:v>
      </x:c>
      <x:c r="C229" s="11" t="n">
        <x:v>1</x:v>
      </x:c>
      <x:c r="D229" s="11" t="n">
        <x:f>COUNTIF('Einzel-ID-Zuordnung'!$A$7:$A$2692,A229)</x:f>
        <x:v>1</x:v>
      </x:c>
      <x:c r="E229" s="11" t="n">
        <x:f>D229-C229</x:f>
        <x:v>0</x:v>
      </x:c>
      <x:c r="F229" s="5" t="str">
        <x:v>nicht Pilot</x:v>
      </x:c>
      <x:c r="G229" s="5" t="str">
        <x:v>WQ</x:v>
      </x:c>
    </x:row>
    <x:row r="230" ht="36" customHeight="1">
      <x:c r="A230" s="5" t="str">
        <x:v>VWL-0098</x:v>
      </x:c>
      <x:c r="B230" s="5" t="str">
        <x:v>VWL</x:v>
      </x:c>
      <x:c r="C230" s="11" t="n">
        <x:v>1</x:v>
      </x:c>
      <x:c r="D230" s="11" t="n">
        <x:f>COUNTIF('Einzel-ID-Zuordnung'!$A$7:$A$2692,A230)</x:f>
        <x:v>1</x:v>
      </x:c>
      <x:c r="E230" s="11" t="n">
        <x:f>D230-C230</x:f>
        <x:v>0</x:v>
      </x:c>
      <x:c r="F230" s="5" t="str">
        <x:v>nicht Pilot</x:v>
      </x:c>
      <x:c r="G230" s="5" t="str">
        <x:v>WQ</x:v>
      </x:c>
    </x:row>
    <x:row r="231" ht="36" customHeight="1">
      <x:c r="A231" s="5" t="str">
        <x:v>VWL-0099</x:v>
      </x:c>
      <x:c r="B231" s="5" t="str">
        <x:v>VWL</x:v>
      </x:c>
      <x:c r="C231" s="11" t="n">
        <x:v>1</x:v>
      </x:c>
      <x:c r="D231" s="11" t="n">
        <x:f>COUNTIF('Einzel-ID-Zuordnung'!$A$7:$A$2692,A231)</x:f>
        <x:v>1</x:v>
      </x:c>
      <x:c r="E231" s="11" t="n">
        <x:f>D231-C231</x:f>
        <x:v>0</x:v>
      </x:c>
      <x:c r="F231" s="5" t="str">
        <x:v>nicht Pilot</x:v>
      </x:c>
      <x:c r="G231" s="5" t="str">
        <x:v>WQ</x:v>
      </x:c>
    </x:row>
    <x:row r="232" ht="36" customHeight="1">
      <x:c r="A232" s="5" t="str">
        <x:v>VWL-0100</x:v>
      </x:c>
      <x:c r="B232" s="5" t="str">
        <x:v>VWL</x:v>
      </x:c>
      <x:c r="C232" s="11" t="n">
        <x:v>1</x:v>
      </x:c>
      <x:c r="D232" s="11" t="n">
        <x:f>COUNTIF('Einzel-ID-Zuordnung'!$A$7:$A$2692,A232)</x:f>
        <x:v>1</x:v>
      </x:c>
      <x:c r="E232" s="11" t="n">
        <x:f>D232-C232</x:f>
        <x:v>0</x:v>
      </x:c>
      <x:c r="F232" s="5" t="str">
        <x:v>nicht Pilot</x:v>
      </x:c>
      <x:c r="G232" s="5" t="str">
        <x:v>WQ</x:v>
      </x:c>
    </x:row>
    <x:row r="233" ht="36" customHeight="1">
      <x:c r="A233" s="5" t="str">
        <x:v>VWL-0101</x:v>
      </x:c>
      <x:c r="B233" s="5" t="str">
        <x:v>VWL</x:v>
      </x:c>
      <x:c r="C233" s="11" t="n">
        <x:v>1</x:v>
      </x:c>
      <x:c r="D233" s="11" t="n">
        <x:f>COUNTIF('Einzel-ID-Zuordnung'!$A$7:$A$2692,A233)</x:f>
        <x:v>1</x:v>
      </x:c>
      <x:c r="E233" s="11" t="n">
        <x:f>D233-C233</x:f>
        <x:v>0</x:v>
      </x:c>
      <x:c r="F233" s="5" t="str">
        <x:v>nicht Pilot</x:v>
      </x:c>
      <x:c r="G233" s="5" t="str">
        <x:v>WQ</x:v>
      </x:c>
    </x:row>
    <x:row r="234" ht="36" customHeight="1">
      <x:c r="A234" s="5" t="str">
        <x:v>VWL-0102</x:v>
      </x:c>
      <x:c r="B234" s="5" t="str">
        <x:v>VWL</x:v>
      </x:c>
      <x:c r="C234" s="11" t="n">
        <x:v>1</x:v>
      </x:c>
      <x:c r="D234" s="11" t="n">
        <x:f>COUNTIF('Einzel-ID-Zuordnung'!$A$7:$A$2692,A234)</x:f>
        <x:v>1</x:v>
      </x:c>
      <x:c r="E234" s="11" t="n">
        <x:f>D234-C234</x:f>
        <x:v>0</x:v>
      </x:c>
      <x:c r="F234" s="5" t="str">
        <x:v>nicht Pilot</x:v>
      </x:c>
      <x:c r="G234" s="5" t="str">
        <x:v>WQ</x:v>
      </x:c>
    </x:row>
    <x:row r="235" ht="36" customHeight="1">
      <x:c r="A235" s="5" t="str">
        <x:v>VWL-0103</x:v>
      </x:c>
      <x:c r="B235" s="5" t="str">
        <x:v>VWL</x:v>
      </x:c>
      <x:c r="C235" s="11" t="n">
        <x:v>1</x:v>
      </x:c>
      <x:c r="D235" s="11" t="n">
        <x:f>COUNTIF('Einzel-ID-Zuordnung'!$A$7:$A$2692,A235)</x:f>
        <x:v>1</x:v>
      </x:c>
      <x:c r="E235" s="11" t="n">
        <x:f>D235-C235</x:f>
        <x:v>0</x:v>
      </x:c>
      <x:c r="F235" s="5" t="str">
        <x:v>nicht Pilot</x:v>
      </x:c>
      <x:c r="G235" s="5" t="str">
        <x:v>WQ</x:v>
      </x:c>
    </x:row>
    <x:row r="236" ht="36" customHeight="1">
      <x:c r="A236" s="5" t="str">
        <x:v>VWL-0104</x:v>
      </x:c>
      <x:c r="B236" s="5" t="str">
        <x:v>VWL</x:v>
      </x:c>
      <x:c r="C236" s="11" t="n">
        <x:v>1</x:v>
      </x:c>
      <x:c r="D236" s="11" t="n">
        <x:f>COUNTIF('Einzel-ID-Zuordnung'!$A$7:$A$2692,A236)</x:f>
        <x:v>1</x:v>
      </x:c>
      <x:c r="E236" s="11" t="n">
        <x:f>D236-C236</x:f>
        <x:v>0</x:v>
      </x:c>
      <x:c r="F236" s="5" t="str">
        <x:v>nicht Pilot</x:v>
      </x:c>
      <x:c r="G236" s="5" t="str">
        <x:v>WQ</x:v>
      </x:c>
    </x:row>
    <x:row r="237" ht="36" customHeight="1">
      <x:c r="A237" s="5" t="str">
        <x:v>VWL-0105</x:v>
      </x:c>
      <x:c r="B237" s="5" t="str">
        <x:v>VWL</x:v>
      </x:c>
      <x:c r="C237" s="11" t="n">
        <x:v>1</x:v>
      </x:c>
      <x:c r="D237" s="11" t="n">
        <x:f>COUNTIF('Einzel-ID-Zuordnung'!$A$7:$A$2692,A237)</x:f>
        <x:v>1</x:v>
      </x:c>
      <x:c r="E237" s="11" t="n">
        <x:f>D237-C237</x:f>
        <x:v>0</x:v>
      </x:c>
      <x:c r="F237" s="5" t="str">
        <x:v>nicht Pilot</x:v>
      </x:c>
      <x:c r="G237" s="5" t="str">
        <x:v>WQ</x:v>
      </x:c>
    </x:row>
    <x:row r="238" ht="36" customHeight="1">
      <x:c r="A238" s="5" t="str">
        <x:v>VWL-0106</x:v>
      </x:c>
      <x:c r="B238" s="5" t="str">
        <x:v>VWL</x:v>
      </x:c>
      <x:c r="C238" s="11" t="n">
        <x:v>1</x:v>
      </x:c>
      <x:c r="D238" s="11" t="n">
        <x:f>COUNTIF('Einzel-ID-Zuordnung'!$A$7:$A$2692,A238)</x:f>
        <x:v>1</x:v>
      </x:c>
      <x:c r="E238" s="11" t="n">
        <x:f>D238-C238</x:f>
        <x:v>0</x:v>
      </x:c>
      <x:c r="F238" s="5" t="str">
        <x:v>nicht Pilot</x:v>
      </x:c>
      <x:c r="G238" s="5" t="str">
        <x:v>WQ</x:v>
      </x:c>
    </x:row>
    <x:row r="239" ht="36" customHeight="1">
      <x:c r="A239" s="5" t="str">
        <x:v>VWL-0107</x:v>
      </x:c>
      <x:c r="B239" s="5" t="str">
        <x:v>VWL</x:v>
      </x:c>
      <x:c r="C239" s="11" t="n">
        <x:v>1</x:v>
      </x:c>
      <x:c r="D239" s="11" t="n">
        <x:f>COUNTIF('Einzel-ID-Zuordnung'!$A$7:$A$2692,A239)</x:f>
        <x:v>1</x:v>
      </x:c>
      <x:c r="E239" s="11" t="n">
        <x:f>D239-C239</x:f>
        <x:v>0</x:v>
      </x:c>
      <x:c r="F239" s="5" t="str">
        <x:v>nicht Pilot</x:v>
      </x:c>
      <x:c r="G239" s="5" t="str">
        <x:v>WQ</x:v>
      </x:c>
    </x:row>
    <x:row r="240" ht="36" customHeight="1">
      <x:c r="A240" s="5" t="str">
        <x:v>VWL-0108</x:v>
      </x:c>
      <x:c r="B240" s="5" t="str">
        <x:v>VWL</x:v>
      </x:c>
      <x:c r="C240" s="11" t="n">
        <x:v>1</x:v>
      </x:c>
      <x:c r="D240" s="11" t="n">
        <x:f>COUNTIF('Einzel-ID-Zuordnung'!$A$7:$A$2692,A240)</x:f>
        <x:v>1</x:v>
      </x:c>
      <x:c r="E240" s="11" t="n">
        <x:f>D240-C240</x:f>
        <x:v>0</x:v>
      </x:c>
      <x:c r="F240" s="5" t="str">
        <x:v>nicht Pilot</x:v>
      </x:c>
      <x:c r="G240" s="5" t="str">
        <x:v>WQ</x:v>
      </x:c>
    </x:row>
    <x:row r="241" ht="36" customHeight="1">
      <x:c r="A241" s="5" t="str">
        <x:v>VWL-0109</x:v>
      </x:c>
      <x:c r="B241" s="5" t="str">
        <x:v>VWL</x:v>
      </x:c>
      <x:c r="C241" s="11" t="n">
        <x:v>1</x:v>
      </x:c>
      <x:c r="D241" s="11" t="n">
        <x:f>COUNTIF('Einzel-ID-Zuordnung'!$A$7:$A$2692,A241)</x:f>
        <x:v>1</x:v>
      </x:c>
      <x:c r="E241" s="11" t="n">
        <x:f>D241-C241</x:f>
        <x:v>0</x:v>
      </x:c>
      <x:c r="F241" s="5" t="str">
        <x:v>nicht Pilot</x:v>
      </x:c>
      <x:c r="G241" s="5" t="str">
        <x:v>WQ</x:v>
      </x:c>
    </x:row>
    <x:row r="242" ht="36" customHeight="1">
      <x:c r="A242" s="5" t="str">
        <x:v>VWL-0110</x:v>
      </x:c>
      <x:c r="B242" s="5" t="str">
        <x:v>VWL</x:v>
      </x:c>
      <x:c r="C242" s="11" t="n">
        <x:v>1</x:v>
      </x:c>
      <x:c r="D242" s="11" t="n">
        <x:f>COUNTIF('Einzel-ID-Zuordnung'!$A$7:$A$2692,A242)</x:f>
        <x:v>1</x:v>
      </x:c>
      <x:c r="E242" s="11" t="n">
        <x:f>D242-C242</x:f>
        <x:v>0</x:v>
      </x:c>
      <x:c r="F242" s="5" t="str">
        <x:v>nicht Pilot</x:v>
      </x:c>
      <x:c r="G242" s="5" t="str">
        <x:v>WQ</x:v>
      </x:c>
    </x:row>
    <x:row r="243" ht="36" customHeight="1">
      <x:c r="A243" s="5" t="str">
        <x:v>VWL-0111</x:v>
      </x:c>
      <x:c r="B243" s="5" t="str">
        <x:v>VWL</x:v>
      </x:c>
      <x:c r="C243" s="11" t="n">
        <x:v>1</x:v>
      </x:c>
      <x:c r="D243" s="11" t="n">
        <x:f>COUNTIF('Einzel-ID-Zuordnung'!$A$7:$A$2692,A243)</x:f>
        <x:v>1</x:v>
      </x:c>
      <x:c r="E243" s="11" t="n">
        <x:f>D243-C243</x:f>
        <x:v>0</x:v>
      </x:c>
      <x:c r="F243" s="5" t="str">
        <x:v>nicht Pilot</x:v>
      </x:c>
      <x:c r="G243" s="5" t="str">
        <x:v>WQ</x:v>
      </x:c>
    </x:row>
    <x:row r="244" ht="36" customHeight="1">
      <x:c r="A244" s="5" t="str">
        <x:v>VWL-0112</x:v>
      </x:c>
      <x:c r="B244" s="5" t="str">
        <x:v>VWL</x:v>
      </x:c>
      <x:c r="C244" s="11" t="n">
        <x:v>1</x:v>
      </x:c>
      <x:c r="D244" s="11" t="n">
        <x:f>COUNTIF('Einzel-ID-Zuordnung'!$A$7:$A$2692,A244)</x:f>
        <x:v>1</x:v>
      </x:c>
      <x:c r="E244" s="11" t="n">
        <x:f>D244-C244</x:f>
        <x:v>0</x:v>
      </x:c>
      <x:c r="F244" s="5" t="str">
        <x:v>nicht Pilot</x:v>
      </x:c>
      <x:c r="G244" s="5" t="str">
        <x:v>WQ</x:v>
      </x:c>
    </x:row>
    <x:row r="245" ht="36" customHeight="1">
      <x:c r="A245" s="5" t="str">
        <x:v>VWL-0113</x:v>
      </x:c>
      <x:c r="B245" s="5" t="str">
        <x:v>VWL</x:v>
      </x:c>
      <x:c r="C245" s="11" t="n">
        <x:v>1</x:v>
      </x:c>
      <x:c r="D245" s="11" t="n">
        <x:f>COUNTIF('Einzel-ID-Zuordnung'!$A$7:$A$2692,A245)</x:f>
        <x:v>1</x:v>
      </x:c>
      <x:c r="E245" s="11" t="n">
        <x:f>D245-C245</x:f>
        <x:v>0</x:v>
      </x:c>
      <x:c r="F245" s="5" t="str">
        <x:v>nicht Pilot</x:v>
      </x:c>
      <x:c r="G245" s="5" t="str">
        <x:v>WQ</x:v>
      </x:c>
    </x:row>
    <x:row r="246" ht="36" customHeight="1">
      <x:c r="A246" s="5" t="str">
        <x:v>VWL-0114</x:v>
      </x:c>
      <x:c r="B246" s="5" t="str">
        <x:v>VWL</x:v>
      </x:c>
      <x:c r="C246" s="11" t="n">
        <x:v>1</x:v>
      </x:c>
      <x:c r="D246" s="11" t="n">
        <x:f>COUNTIF('Einzel-ID-Zuordnung'!$A$7:$A$2692,A246)</x:f>
        <x:v>1</x:v>
      </x:c>
      <x:c r="E246" s="11" t="n">
        <x:f>D246-C246</x:f>
        <x:v>0</x:v>
      </x:c>
      <x:c r="F246" s="5" t="str">
        <x:v>nicht Pilot</x:v>
      </x:c>
      <x:c r="G246" s="5" t="str">
        <x:v>WQ</x:v>
      </x:c>
    </x:row>
    <x:row r="247" ht="36" customHeight="1">
      <x:c r="A247" s="5" t="str">
        <x:v>VWL-0115</x:v>
      </x:c>
      <x:c r="B247" s="5" t="str">
        <x:v>VWL</x:v>
      </x:c>
      <x:c r="C247" s="11" t="n">
        <x:v>1</x:v>
      </x:c>
      <x:c r="D247" s="11" t="n">
        <x:f>COUNTIF('Einzel-ID-Zuordnung'!$A$7:$A$2692,A247)</x:f>
        <x:v>1</x:v>
      </x:c>
      <x:c r="E247" s="11" t="n">
        <x:f>D247-C247</x:f>
        <x:v>0</x:v>
      </x:c>
      <x:c r="F247" s="5" t="str">
        <x:v>nicht Pilot</x:v>
      </x:c>
      <x:c r="G247" s="5" t="str">
        <x:v>WQ</x:v>
      </x:c>
    </x:row>
    <x:row r="248" ht="36" customHeight="1">
      <x:c r="A248" s="5" t="str">
        <x:v>VWL-0116</x:v>
      </x:c>
      <x:c r="B248" s="5" t="str">
        <x:v>VWL</x:v>
      </x:c>
      <x:c r="C248" s="11" t="n">
        <x:v>1</x:v>
      </x:c>
      <x:c r="D248" s="11" t="n">
        <x:f>COUNTIF('Einzel-ID-Zuordnung'!$A$7:$A$2692,A248)</x:f>
        <x:v>1</x:v>
      </x:c>
      <x:c r="E248" s="11" t="n">
        <x:f>D248-C248</x:f>
        <x:v>0</x:v>
      </x:c>
      <x:c r="F248" s="5" t="str">
        <x:v>nicht Pilot</x:v>
      </x:c>
      <x:c r="G248" s="5" t="str">
        <x:v>WQ</x:v>
      </x:c>
    </x:row>
    <x:row r="249" ht="36" customHeight="1">
      <x:c r="A249" s="5" t="str">
        <x:v>VWL-0117</x:v>
      </x:c>
      <x:c r="B249" s="5" t="str">
        <x:v>VWL</x:v>
      </x:c>
      <x:c r="C249" s="11" t="n">
        <x:v>1</x:v>
      </x:c>
      <x:c r="D249" s="11" t="n">
        <x:f>COUNTIF('Einzel-ID-Zuordnung'!$A$7:$A$2692,A249)</x:f>
        <x:v>1</x:v>
      </x:c>
      <x:c r="E249" s="11" t="n">
        <x:f>D249-C249</x:f>
        <x:v>0</x:v>
      </x:c>
      <x:c r="F249" s="5" t="str">
        <x:v>nicht Pilot</x:v>
      </x:c>
      <x:c r="G249" s="5" t="str">
        <x:v>WQ</x:v>
      </x:c>
    </x:row>
    <x:row r="250" ht="36" customHeight="1">
      <x:c r="A250" s="5" t="str">
        <x:v>VWL-0118</x:v>
      </x:c>
      <x:c r="B250" s="5" t="str">
        <x:v>VWL</x:v>
      </x:c>
      <x:c r="C250" s="11" t="n">
        <x:v>1</x:v>
      </x:c>
      <x:c r="D250" s="11" t="n">
        <x:f>COUNTIF('Einzel-ID-Zuordnung'!$A$7:$A$2692,A250)</x:f>
        <x:v>1</x:v>
      </x:c>
      <x:c r="E250" s="11" t="n">
        <x:f>D250-C250</x:f>
        <x:v>0</x:v>
      </x:c>
      <x:c r="F250" s="5" t="str">
        <x:v>nicht Pilot</x:v>
      </x:c>
      <x:c r="G250" s="5" t="str">
        <x:v>WQ</x:v>
      </x:c>
    </x:row>
    <x:row r="251" ht="36" customHeight="1">
      <x:c r="A251" s="5" t="str">
        <x:v>VWL-0119</x:v>
      </x:c>
      <x:c r="B251" s="5" t="str">
        <x:v>VWL</x:v>
      </x:c>
      <x:c r="C251" s="11" t="n">
        <x:v>1</x:v>
      </x:c>
      <x:c r="D251" s="11" t="n">
        <x:f>COUNTIF('Einzel-ID-Zuordnung'!$A$7:$A$2692,A251)</x:f>
        <x:v>1</x:v>
      </x:c>
      <x:c r="E251" s="11" t="n">
        <x:f>D251-C251</x:f>
        <x:v>0</x:v>
      </x:c>
      <x:c r="F251" s="5" t="str">
        <x:v>nicht Pilot</x:v>
      </x:c>
      <x:c r="G251" s="5" t="str">
        <x:v>WQ</x:v>
      </x:c>
    </x:row>
    <x:row r="252" ht="36" customHeight="1">
      <x:c r="A252" s="5" t="str">
        <x:v>VWL-0120</x:v>
      </x:c>
      <x:c r="B252" s="5" t="str">
        <x:v>VWL</x:v>
      </x:c>
      <x:c r="C252" s="11" t="n">
        <x:v>1</x:v>
      </x:c>
      <x:c r="D252" s="11" t="n">
        <x:f>COUNTIF('Einzel-ID-Zuordnung'!$A$7:$A$2692,A252)</x:f>
        <x:v>1</x:v>
      </x:c>
      <x:c r="E252" s="11" t="n">
        <x:f>D252-C252</x:f>
        <x:v>0</x:v>
      </x:c>
      <x:c r="F252" s="5" t="str">
        <x:v>nicht Pilot</x:v>
      </x:c>
      <x:c r="G252" s="5" t="str">
        <x:v>WQ</x:v>
      </x:c>
    </x:row>
    <x:row r="253" ht="36" customHeight="1">
      <x:c r="A253" s="5" t="str">
        <x:v>VWL-0121</x:v>
      </x:c>
      <x:c r="B253" s="5" t="str">
        <x:v>VWL</x:v>
      </x:c>
      <x:c r="C253" s="11" t="n">
        <x:v>1</x:v>
      </x:c>
      <x:c r="D253" s="11" t="n">
        <x:f>COUNTIF('Einzel-ID-Zuordnung'!$A$7:$A$2692,A253)</x:f>
        <x:v>1</x:v>
      </x:c>
      <x:c r="E253" s="11" t="n">
        <x:f>D253-C253</x:f>
        <x:v>0</x:v>
      </x:c>
      <x:c r="F253" s="5" t="str">
        <x:v>nicht Pilot</x:v>
      </x:c>
      <x:c r="G253" s="5" t="str">
        <x:v>WQ</x:v>
      </x:c>
    </x:row>
    <x:row r="254" ht="36" customHeight="1">
      <x:c r="A254" s="5" t="str">
        <x:v>VWL-0122</x:v>
      </x:c>
      <x:c r="B254" s="5" t="str">
        <x:v>VWL</x:v>
      </x:c>
      <x:c r="C254" s="11" t="n">
        <x:v>1</x:v>
      </x:c>
      <x:c r="D254" s="11" t="n">
        <x:f>COUNTIF('Einzel-ID-Zuordnung'!$A$7:$A$2692,A254)</x:f>
        <x:v>1</x:v>
      </x:c>
      <x:c r="E254" s="11" t="n">
        <x:f>D254-C254</x:f>
        <x:v>0</x:v>
      </x:c>
      <x:c r="F254" s="5" t="str">
        <x:v>nicht Pilot</x:v>
      </x:c>
      <x:c r="G254" s="5" t="str">
        <x:v>WQ</x:v>
      </x:c>
    </x:row>
    <x:row r="255" ht="36" customHeight="1">
      <x:c r="A255" s="5" t="str">
        <x:v>VWL-0123</x:v>
      </x:c>
      <x:c r="B255" s="5" t="str">
        <x:v>VWL</x:v>
      </x:c>
      <x:c r="C255" s="11" t="n">
        <x:v>1</x:v>
      </x:c>
      <x:c r="D255" s="11" t="n">
        <x:f>COUNTIF('Einzel-ID-Zuordnung'!$A$7:$A$2692,A255)</x:f>
        <x:v>1</x:v>
      </x:c>
      <x:c r="E255" s="11" t="n">
        <x:f>D255-C255</x:f>
        <x:v>0</x:v>
      </x:c>
      <x:c r="F255" s="5" t="str">
        <x:v>nicht Pilot</x:v>
      </x:c>
      <x:c r="G255" s="5" t="str">
        <x:v>WQ</x:v>
      </x:c>
    </x:row>
    <x:row r="256" ht="36" customHeight="1">
      <x:c r="A256" s="5" t="str">
        <x:v>VWL-0124</x:v>
      </x:c>
      <x:c r="B256" s="5" t="str">
        <x:v>VWL</x:v>
      </x:c>
      <x:c r="C256" s="11" t="n">
        <x:v>1</x:v>
      </x:c>
      <x:c r="D256" s="11" t="n">
        <x:f>COUNTIF('Einzel-ID-Zuordnung'!$A$7:$A$2692,A256)</x:f>
        <x:v>1</x:v>
      </x:c>
      <x:c r="E256" s="11" t="n">
        <x:f>D256-C256</x:f>
        <x:v>0</x:v>
      </x:c>
      <x:c r="F256" s="5" t="str">
        <x:v>nicht Pilot</x:v>
      </x:c>
      <x:c r="G256" s="5" t="str">
        <x:v>WQ</x:v>
      </x:c>
    </x:row>
    <x:row r="257" ht="36" customHeight="1">
      <x:c r="A257" s="5" t="str">
        <x:v>VWL-0125</x:v>
      </x:c>
      <x:c r="B257" s="5" t="str">
        <x:v>VWL</x:v>
      </x:c>
      <x:c r="C257" s="11" t="n">
        <x:v>1</x:v>
      </x:c>
      <x:c r="D257" s="11" t="n">
        <x:f>COUNTIF('Einzel-ID-Zuordnung'!$A$7:$A$2692,A257)</x:f>
        <x:v>1</x:v>
      </x:c>
      <x:c r="E257" s="11" t="n">
        <x:f>D257-C257</x:f>
        <x:v>0</x:v>
      </x:c>
      <x:c r="F257" s="5" t="str">
        <x:v>nicht Pilot</x:v>
      </x:c>
      <x:c r="G257" s="5" t="str">
        <x:v>WQ</x:v>
      </x:c>
    </x:row>
    <x:row r="258" ht="36" customHeight="1">
      <x:c r="A258" s="5" t="str">
        <x:v>VWL-0126</x:v>
      </x:c>
      <x:c r="B258" s="5" t="str">
        <x:v>VWL</x:v>
      </x:c>
      <x:c r="C258" s="11" t="n">
        <x:v>1</x:v>
      </x:c>
      <x:c r="D258" s="11" t="n">
        <x:f>COUNTIF('Einzel-ID-Zuordnung'!$A$7:$A$2692,A258)</x:f>
        <x:v>1</x:v>
      </x:c>
      <x:c r="E258" s="11" t="n">
        <x:f>D258-C258</x:f>
        <x:v>0</x:v>
      </x:c>
      <x:c r="F258" s="5" t="str">
        <x:v>nicht Pilot</x:v>
      </x:c>
      <x:c r="G258" s="5" t="str">
        <x:v>WQ</x:v>
      </x:c>
    </x:row>
    <x:row r="259" ht="36" customHeight="1">
      <x:c r="A259" s="5" t="str">
        <x:v>VWL-0127</x:v>
      </x:c>
      <x:c r="B259" s="5" t="str">
        <x:v>VWL</x:v>
      </x:c>
      <x:c r="C259" s="11" t="n">
        <x:v>1</x:v>
      </x:c>
      <x:c r="D259" s="11" t="n">
        <x:f>COUNTIF('Einzel-ID-Zuordnung'!$A$7:$A$2692,A259)</x:f>
        <x:v>1</x:v>
      </x:c>
      <x:c r="E259" s="11" t="n">
        <x:f>D259-C259</x:f>
        <x:v>0</x:v>
      </x:c>
      <x:c r="F259" s="5" t="str">
        <x:v>nicht Pilot</x:v>
      </x:c>
      <x:c r="G259" s="5" t="str">
        <x:v>WQ</x:v>
      </x:c>
    </x:row>
    <x:row r="260" ht="36" customHeight="1">
      <x:c r="A260" s="5" t="str">
        <x:v>VWL-0128</x:v>
      </x:c>
      <x:c r="B260" s="5" t="str">
        <x:v>VWL</x:v>
      </x:c>
      <x:c r="C260" s="11" t="n">
        <x:v>1</x:v>
      </x:c>
      <x:c r="D260" s="11" t="n">
        <x:f>COUNTIF('Einzel-ID-Zuordnung'!$A$7:$A$2692,A260)</x:f>
        <x:v>1</x:v>
      </x:c>
      <x:c r="E260" s="11" t="n">
        <x:f>D260-C260</x:f>
        <x:v>0</x:v>
      </x:c>
      <x:c r="F260" s="5" t="str">
        <x:v>nicht Pilot</x:v>
      </x:c>
      <x:c r="G260" s="5" t="str">
        <x:v>WQ</x:v>
      </x:c>
    </x:row>
    <x:row r="261" ht="36" customHeight="1">
      <x:c r="A261" s="5" t="str">
        <x:v>VWL-0129</x:v>
      </x:c>
      <x:c r="B261" s="5" t="str">
        <x:v>VWL</x:v>
      </x:c>
      <x:c r="C261" s="11" t="n">
        <x:v>1</x:v>
      </x:c>
      <x:c r="D261" s="11" t="n">
        <x:f>COUNTIF('Einzel-ID-Zuordnung'!$A$7:$A$2692,A261)</x:f>
        <x:v>1</x:v>
      </x:c>
      <x:c r="E261" s="11" t="n">
        <x:f>D261-C261</x:f>
        <x:v>0</x:v>
      </x:c>
      <x:c r="F261" s="5" t="str">
        <x:v>nicht Pilot</x:v>
      </x:c>
      <x:c r="G261" s="5" t="str">
        <x:v>WQ</x:v>
      </x:c>
    </x:row>
    <x:row r="262" ht="36" customHeight="1">
      <x:c r="A262" s="5" t="str">
        <x:v>VWL-0130</x:v>
      </x:c>
      <x:c r="B262" s="5" t="str">
        <x:v>VWL</x:v>
      </x:c>
      <x:c r="C262" s="11" t="n">
        <x:v>1</x:v>
      </x:c>
      <x:c r="D262" s="11" t="n">
        <x:f>COUNTIF('Einzel-ID-Zuordnung'!$A$7:$A$2692,A262)</x:f>
        <x:v>1</x:v>
      </x:c>
      <x:c r="E262" s="11" t="n">
        <x:f>D262-C262</x:f>
        <x:v>0</x:v>
      </x:c>
      <x:c r="F262" s="5" t="str">
        <x:v>nicht Pilot</x:v>
      </x:c>
      <x:c r="G262" s="5" t="str">
        <x:v>WQ</x:v>
      </x:c>
    </x:row>
    <x:row r="263" ht="36" customHeight="1">
      <x:c r="A263" s="5" t="str">
        <x:v>VWL-0131</x:v>
      </x:c>
      <x:c r="B263" s="5" t="str">
        <x:v>VWL</x:v>
      </x:c>
      <x:c r="C263" s="11" t="n">
        <x:v>1</x:v>
      </x:c>
      <x:c r="D263" s="11" t="n">
        <x:f>COUNTIF('Einzel-ID-Zuordnung'!$A$7:$A$2692,A263)</x:f>
        <x:v>1</x:v>
      </x:c>
      <x:c r="E263" s="11" t="n">
        <x:f>D263-C263</x:f>
        <x:v>0</x:v>
      </x:c>
      <x:c r="F263" s="5" t="str">
        <x:v>nicht Pilot</x:v>
      </x:c>
      <x:c r="G263" s="5" t="str">
        <x:v>WQ</x:v>
      </x:c>
    </x:row>
    <x:row r="264" ht="36" customHeight="1">
      <x:c r="A264" s="5" t="str">
        <x:v>VWL-0132</x:v>
      </x:c>
      <x:c r="B264" s="5" t="str">
        <x:v>VWL</x:v>
      </x:c>
      <x:c r="C264" s="11" t="n">
        <x:v>1</x:v>
      </x:c>
      <x:c r="D264" s="11" t="n">
        <x:f>COUNTIF('Einzel-ID-Zuordnung'!$A$7:$A$2692,A264)</x:f>
        <x:v>1</x:v>
      </x:c>
      <x:c r="E264" s="11" t="n">
        <x:f>D264-C264</x:f>
        <x:v>0</x:v>
      </x:c>
      <x:c r="F264" s="5" t="str">
        <x:v>nicht Pilot</x:v>
      </x:c>
      <x:c r="G264" s="5" t="str">
        <x:v>WQ</x:v>
      </x:c>
    </x:row>
    <x:row r="265" ht="36" customHeight="1">
      <x:c r="A265" s="5" t="str">
        <x:v>VWL-0133</x:v>
      </x:c>
      <x:c r="B265" s="5" t="str">
        <x:v>VWL</x:v>
      </x:c>
      <x:c r="C265" s="11" t="n">
        <x:v>1</x:v>
      </x:c>
      <x:c r="D265" s="11" t="n">
        <x:f>COUNTIF('Einzel-ID-Zuordnung'!$A$7:$A$2692,A265)</x:f>
        <x:v>1</x:v>
      </x:c>
      <x:c r="E265" s="11" t="n">
        <x:f>D265-C265</x:f>
        <x:v>0</x:v>
      </x:c>
      <x:c r="F265" s="5" t="str">
        <x:v>nicht Pilot</x:v>
      </x:c>
      <x:c r="G265" s="5" t="str">
        <x:v>WQ</x:v>
      </x:c>
    </x:row>
    <x:row r="266" ht="36" customHeight="1">
      <x:c r="A266" s="5" t="str">
        <x:v>VWL-0134</x:v>
      </x:c>
      <x:c r="B266" s="5" t="str">
        <x:v>VWL</x:v>
      </x:c>
      <x:c r="C266" s="11" t="n">
        <x:v>1</x:v>
      </x:c>
      <x:c r="D266" s="11" t="n">
        <x:f>COUNTIF('Einzel-ID-Zuordnung'!$A$7:$A$2692,A266)</x:f>
        <x:v>1</x:v>
      </x:c>
      <x:c r="E266" s="11" t="n">
        <x:f>D266-C266</x:f>
        <x:v>0</x:v>
      </x:c>
      <x:c r="F266" s="5" t="str">
        <x:v>nicht Pilot</x:v>
      </x:c>
      <x:c r="G266" s="5" t="str">
        <x:v>WQ</x:v>
      </x:c>
    </x:row>
    <x:row r="267" ht="36" customHeight="1">
      <x:c r="A267" s="5" t="str">
        <x:v>VWL-0135</x:v>
      </x:c>
      <x:c r="B267" s="5" t="str">
        <x:v>VWL</x:v>
      </x:c>
      <x:c r="C267" s="11" t="n">
        <x:v>1</x:v>
      </x:c>
      <x:c r="D267" s="11" t="n">
        <x:f>COUNTIF('Einzel-ID-Zuordnung'!$A$7:$A$2692,A267)</x:f>
        <x:v>1</x:v>
      </x:c>
      <x:c r="E267" s="11" t="n">
        <x:f>D267-C267</x:f>
        <x:v>0</x:v>
      </x:c>
      <x:c r="F267" s="5" t="str">
        <x:v>nicht Pilot</x:v>
      </x:c>
      <x:c r="G267" s="5" t="str">
        <x:v>WQ</x:v>
      </x:c>
    </x:row>
    <x:row r="268" ht="36" customHeight="1">
      <x:c r="A268" s="5" t="str">
        <x:v>VWL-0136</x:v>
      </x:c>
      <x:c r="B268" s="5" t="str">
        <x:v>VWL</x:v>
      </x:c>
      <x:c r="C268" s="11" t="n">
        <x:v>1</x:v>
      </x:c>
      <x:c r="D268" s="11" t="n">
        <x:f>COUNTIF('Einzel-ID-Zuordnung'!$A$7:$A$2692,A268)</x:f>
        <x:v>1</x:v>
      </x:c>
      <x:c r="E268" s="11" t="n">
        <x:f>D268-C268</x:f>
        <x:v>0</x:v>
      </x:c>
      <x:c r="F268" s="5" t="str">
        <x:v>nicht Pilot</x:v>
      </x:c>
      <x:c r="G268" s="5" t="str">
        <x:v>WQ</x:v>
      </x:c>
    </x:row>
    <x:row r="269" ht="36" customHeight="1">
      <x:c r="A269" s="5" t="str">
        <x:v>VWL-0137</x:v>
      </x:c>
      <x:c r="B269" s="5" t="str">
        <x:v>VWL</x:v>
      </x:c>
      <x:c r="C269" s="11" t="n">
        <x:v>1</x:v>
      </x:c>
      <x:c r="D269" s="11" t="n">
        <x:f>COUNTIF('Einzel-ID-Zuordnung'!$A$7:$A$2692,A269)</x:f>
        <x:v>1</x:v>
      </x:c>
      <x:c r="E269" s="11" t="n">
        <x:f>D269-C269</x:f>
        <x:v>0</x:v>
      </x:c>
      <x:c r="F269" s="5" t="str">
        <x:v>nicht Pilot</x:v>
      </x:c>
      <x:c r="G269" s="5" t="str">
        <x:v>WQ</x:v>
      </x:c>
    </x:row>
    <x:row r="270" ht="36" customHeight="1">
      <x:c r="A270" s="5" t="str">
        <x:v>VWL-0138</x:v>
      </x:c>
      <x:c r="B270" s="5" t="str">
        <x:v>VWL</x:v>
      </x:c>
      <x:c r="C270" s="11" t="n">
        <x:v>1</x:v>
      </x:c>
      <x:c r="D270" s="11" t="n">
        <x:f>COUNTIF('Einzel-ID-Zuordnung'!$A$7:$A$2692,A270)</x:f>
        <x:v>1</x:v>
      </x:c>
      <x:c r="E270" s="11" t="n">
        <x:f>D270-C270</x:f>
        <x:v>0</x:v>
      </x:c>
      <x:c r="F270" s="5" t="str">
        <x:v>nicht Pilot</x:v>
      </x:c>
      <x:c r="G270" s="5" t="str">
        <x:v>WQ</x:v>
      </x:c>
    </x:row>
    <x:row r="271" ht="36" customHeight="1">
      <x:c r="A271" s="5" t="str">
        <x:v>VWL-0139</x:v>
      </x:c>
      <x:c r="B271" s="5" t="str">
        <x:v>VWL</x:v>
      </x:c>
      <x:c r="C271" s="11" t="n">
        <x:v>1</x:v>
      </x:c>
      <x:c r="D271" s="11" t="n">
        <x:f>COUNTIF('Einzel-ID-Zuordnung'!$A$7:$A$2692,A271)</x:f>
        <x:v>1</x:v>
      </x:c>
      <x:c r="E271" s="11" t="n">
        <x:f>D271-C271</x:f>
        <x:v>0</x:v>
      </x:c>
      <x:c r="F271" s="5" t="str">
        <x:v>nicht Pilot</x:v>
      </x:c>
      <x:c r="G271" s="5" t="str">
        <x:v>WQ</x:v>
      </x:c>
    </x:row>
    <x:row r="272" ht="36" customHeight="1">
      <x:c r="A272" s="5" t="str">
        <x:v>VWL-0140</x:v>
      </x:c>
      <x:c r="B272" s="5" t="str">
        <x:v>VWL</x:v>
      </x:c>
      <x:c r="C272" s="11" t="n">
        <x:v>1</x:v>
      </x:c>
      <x:c r="D272" s="11" t="n">
        <x:f>COUNTIF('Einzel-ID-Zuordnung'!$A$7:$A$2692,A272)</x:f>
        <x:v>1</x:v>
      </x:c>
      <x:c r="E272" s="11" t="n">
        <x:f>D272-C272</x:f>
        <x:v>0</x:v>
      </x:c>
      <x:c r="F272" s="5" t="str">
        <x:v>nicht Pilot</x:v>
      </x:c>
      <x:c r="G272" s="5" t="str">
        <x:v>WQ</x:v>
      </x:c>
    </x:row>
    <x:row r="273" ht="36" customHeight="1">
      <x:c r="A273" s="5" t="str">
        <x:v>VWL-0141</x:v>
      </x:c>
      <x:c r="B273" s="5" t="str">
        <x:v>VWL</x:v>
      </x:c>
      <x:c r="C273" s="11" t="n">
        <x:v>1</x:v>
      </x:c>
      <x:c r="D273" s="11" t="n">
        <x:f>COUNTIF('Einzel-ID-Zuordnung'!$A$7:$A$2692,A273)</x:f>
        <x:v>1</x:v>
      </x:c>
      <x:c r="E273" s="11" t="n">
        <x:f>D273-C273</x:f>
        <x:v>0</x:v>
      </x:c>
      <x:c r="F273" s="5" t="str">
        <x:v>nicht Pilot</x:v>
      </x:c>
      <x:c r="G273" s="5" t="str">
        <x:v>WQ</x:v>
      </x:c>
    </x:row>
    <x:row r="274" ht="36" customHeight="1">
      <x:c r="A274" s="5" t="str">
        <x:v>VWL-0142</x:v>
      </x:c>
      <x:c r="B274" s="5" t="str">
        <x:v>VWL</x:v>
      </x:c>
      <x:c r="C274" s="11" t="n">
        <x:v>1</x:v>
      </x:c>
      <x:c r="D274" s="11" t="n">
        <x:f>COUNTIF('Einzel-ID-Zuordnung'!$A$7:$A$2692,A274)</x:f>
        <x:v>1</x:v>
      </x:c>
      <x:c r="E274" s="11" t="n">
        <x:f>D274-C274</x:f>
        <x:v>0</x:v>
      </x:c>
      <x:c r="F274" s="5" t="str">
        <x:v>nicht Pilot</x:v>
      </x:c>
      <x:c r="G274" s="5" t="str">
        <x:v>WQ</x:v>
      </x:c>
    </x:row>
    <x:row r="275" ht="36" customHeight="1">
      <x:c r="A275" s="5" t="str">
        <x:v>VWL-0143</x:v>
      </x:c>
      <x:c r="B275" s="5" t="str">
        <x:v>VWL</x:v>
      </x:c>
      <x:c r="C275" s="11" t="n">
        <x:v>1</x:v>
      </x:c>
      <x:c r="D275" s="11" t="n">
        <x:f>COUNTIF('Einzel-ID-Zuordnung'!$A$7:$A$2692,A275)</x:f>
        <x:v>1</x:v>
      </x:c>
      <x:c r="E275" s="11" t="n">
        <x:f>D275-C275</x:f>
        <x:v>0</x:v>
      </x:c>
      <x:c r="F275" s="5" t="str">
        <x:v>nicht Pilot</x:v>
      </x:c>
      <x:c r="G275" s="5" t="str">
        <x:v>WQ</x:v>
      </x:c>
    </x:row>
    <x:row r="276" ht="36" customHeight="1">
      <x:c r="A276" s="5" t="str">
        <x:v>VWL-0144</x:v>
      </x:c>
      <x:c r="B276" s="5" t="str">
        <x:v>VWL</x:v>
      </x:c>
      <x:c r="C276" s="11" t="n">
        <x:v>1</x:v>
      </x:c>
      <x:c r="D276" s="11" t="n">
        <x:f>COUNTIF('Einzel-ID-Zuordnung'!$A$7:$A$2692,A276)</x:f>
        <x:v>1</x:v>
      </x:c>
      <x:c r="E276" s="11" t="n">
        <x:f>D276-C276</x:f>
        <x:v>0</x:v>
      </x:c>
      <x:c r="F276" s="5" t="str">
        <x:v>nicht Pilot</x:v>
      </x:c>
      <x:c r="G276" s="5" t="str">
        <x:v>WQ</x:v>
      </x:c>
    </x:row>
    <x:row r="277" ht="36" customHeight="1">
      <x:c r="A277" s="5" t="str">
        <x:v>VWL-0145</x:v>
      </x:c>
      <x:c r="B277" s="5" t="str">
        <x:v>VWL</x:v>
      </x:c>
      <x:c r="C277" s="11" t="n">
        <x:v>1</x:v>
      </x:c>
      <x:c r="D277" s="11" t="n">
        <x:f>COUNTIF('Einzel-ID-Zuordnung'!$A$7:$A$2692,A277)</x:f>
        <x:v>1</x:v>
      </x:c>
      <x:c r="E277" s="11" t="n">
        <x:f>D277-C277</x:f>
        <x:v>0</x:v>
      </x:c>
      <x:c r="F277" s="5" t="str">
        <x:v>nicht Pilot</x:v>
      </x:c>
      <x:c r="G277" s="5" t="str">
        <x:v>WQ</x:v>
      </x:c>
    </x:row>
    <x:row r="278" ht="36" customHeight="1">
      <x:c r="A278" s="5" t="str">
        <x:v>VWL-0146</x:v>
      </x:c>
      <x:c r="B278" s="5" t="str">
        <x:v>VWL</x:v>
      </x:c>
      <x:c r="C278" s="11" t="n">
        <x:v>1</x:v>
      </x:c>
      <x:c r="D278" s="11" t="n">
        <x:f>COUNTIF('Einzel-ID-Zuordnung'!$A$7:$A$2692,A278)</x:f>
        <x:v>1</x:v>
      </x:c>
      <x:c r="E278" s="11" t="n">
        <x:f>D278-C278</x:f>
        <x:v>0</x:v>
      </x:c>
      <x:c r="F278" s="5" t="str">
        <x:v>nicht Pilot</x:v>
      </x:c>
      <x:c r="G278" s="5" t="str">
        <x:v>WQ</x:v>
      </x:c>
    </x:row>
    <x:row r="279" ht="36" customHeight="1">
      <x:c r="A279" s="5" t="str">
        <x:v>VWL-0147</x:v>
      </x:c>
      <x:c r="B279" s="5" t="str">
        <x:v>VWL</x:v>
      </x:c>
      <x:c r="C279" s="11" t="n">
        <x:v>1</x:v>
      </x:c>
      <x:c r="D279" s="11" t="n">
        <x:f>COUNTIF('Einzel-ID-Zuordnung'!$A$7:$A$2692,A279)</x:f>
        <x:v>1</x:v>
      </x:c>
      <x:c r="E279" s="11" t="n">
        <x:f>D279-C279</x:f>
        <x:v>0</x:v>
      </x:c>
      <x:c r="F279" s="5" t="str">
        <x:v>nicht Pilot</x:v>
      </x:c>
      <x:c r="G279" s="5" t="str">
        <x:v>WQ</x:v>
      </x:c>
    </x:row>
    <x:row r="280" ht="36" customHeight="1">
      <x:c r="A280" s="5" t="str">
        <x:v>VWL-0148</x:v>
      </x:c>
      <x:c r="B280" s="5" t="str">
        <x:v>VWL</x:v>
      </x:c>
      <x:c r="C280" s="11" t="n">
        <x:v>1</x:v>
      </x:c>
      <x:c r="D280" s="11" t="n">
        <x:f>COUNTIF('Einzel-ID-Zuordnung'!$A$7:$A$2692,A280)</x:f>
        <x:v>1</x:v>
      </x:c>
      <x:c r="E280" s="11" t="n">
        <x:f>D280-C280</x:f>
        <x:v>0</x:v>
      </x:c>
      <x:c r="F280" s="5" t="str">
        <x:v>nicht Pilot</x:v>
      </x:c>
      <x:c r="G280" s="5" t="str">
        <x:v>WQ</x:v>
      </x:c>
    </x:row>
    <x:row r="281" ht="36" customHeight="1">
      <x:c r="A281" s="5" t="str">
        <x:v>VWL-0149</x:v>
      </x:c>
      <x:c r="B281" s="5" t="str">
        <x:v>VWL</x:v>
      </x:c>
      <x:c r="C281" s="11" t="n">
        <x:v>1</x:v>
      </x:c>
      <x:c r="D281" s="11" t="n">
        <x:f>COUNTIF('Einzel-ID-Zuordnung'!$A$7:$A$2692,A281)</x:f>
        <x:v>1</x:v>
      </x:c>
      <x:c r="E281" s="11" t="n">
        <x:f>D281-C281</x:f>
        <x:v>0</x:v>
      </x:c>
      <x:c r="F281" s="5" t="str">
        <x:v>nicht Pilot</x:v>
      </x:c>
      <x:c r="G281" s="5" t="str">
        <x:v>WQ</x:v>
      </x:c>
    </x:row>
    <x:row r="282" ht="36" customHeight="1">
      <x:c r="A282" s="5" t="str">
        <x:v>VWL-0150</x:v>
      </x:c>
      <x:c r="B282" s="5" t="str">
        <x:v>VWL</x:v>
      </x:c>
      <x:c r="C282" s="11" t="n">
        <x:v>1</x:v>
      </x:c>
      <x:c r="D282" s="11" t="n">
        <x:f>COUNTIF('Einzel-ID-Zuordnung'!$A$7:$A$2692,A282)</x:f>
        <x:v>1</x:v>
      </x:c>
      <x:c r="E282" s="11" t="n">
        <x:f>D282-C282</x:f>
        <x:v>0</x:v>
      </x:c>
      <x:c r="F282" s="5" t="str">
        <x:v>nicht Pilot</x:v>
      </x:c>
      <x:c r="G282" s="5" t="str">
        <x:v>WQ</x:v>
      </x:c>
    </x:row>
    <x:row r="283" ht="36" customHeight="1">
      <x:c r="A283" s="5" t="str">
        <x:v>VWL-0151</x:v>
      </x:c>
      <x:c r="B283" s="5" t="str">
        <x:v>VWL</x:v>
      </x:c>
      <x:c r="C283" s="11" t="n">
        <x:v>1</x:v>
      </x:c>
      <x:c r="D283" s="11" t="n">
        <x:f>COUNTIF('Einzel-ID-Zuordnung'!$A$7:$A$2692,A283)</x:f>
        <x:v>1</x:v>
      </x:c>
      <x:c r="E283" s="11" t="n">
        <x:f>D283-C283</x:f>
        <x:v>0</x:v>
      </x:c>
      <x:c r="F283" s="5" t="str">
        <x:v>nicht Pilot</x:v>
      </x:c>
      <x:c r="G283" s="5" t="str">
        <x:v>WQ</x:v>
      </x:c>
    </x:row>
    <x:row r="284" ht="36" customHeight="1">
      <x:c r="A284" s="5" t="str">
        <x:v>VWL-0152</x:v>
      </x:c>
      <x:c r="B284" s="5" t="str">
        <x:v>VWL</x:v>
      </x:c>
      <x:c r="C284" s="11" t="n">
        <x:v>1</x:v>
      </x:c>
      <x:c r="D284" s="11" t="n">
        <x:f>COUNTIF('Einzel-ID-Zuordnung'!$A$7:$A$2692,A284)</x:f>
        <x:v>1</x:v>
      </x:c>
      <x:c r="E284" s="11" t="n">
        <x:f>D284-C284</x:f>
        <x:v>0</x:v>
      </x:c>
      <x:c r="F284" s="5" t="str">
        <x:v>nicht Pilot</x:v>
      </x:c>
      <x:c r="G284" s="5" t="str">
        <x:v>WQ</x:v>
      </x:c>
    </x:row>
    <x:row r="285" ht="36" customHeight="1">
      <x:c r="A285" s="5" t="str">
        <x:v>VWL-0153</x:v>
      </x:c>
      <x:c r="B285" s="5" t="str">
        <x:v>VWL</x:v>
      </x:c>
      <x:c r="C285" s="11" t="n">
        <x:v>1</x:v>
      </x:c>
      <x:c r="D285" s="11" t="n">
        <x:f>COUNTIF('Einzel-ID-Zuordnung'!$A$7:$A$2692,A285)</x:f>
        <x:v>1</x:v>
      </x:c>
      <x:c r="E285" s="11" t="n">
        <x:f>D285-C285</x:f>
        <x:v>0</x:v>
      </x:c>
      <x:c r="F285" s="5" t="str">
        <x:v>nicht Pilot</x:v>
      </x:c>
      <x:c r="G285" s="5" t="str">
        <x:v>WQ</x:v>
      </x:c>
    </x:row>
    <x:row r="286" ht="36" customHeight="1">
      <x:c r="A286" s="5" t="str">
        <x:v>VWL-0154</x:v>
      </x:c>
      <x:c r="B286" s="5" t="str">
        <x:v>VWL</x:v>
      </x:c>
      <x:c r="C286" s="11" t="n">
        <x:v>1</x:v>
      </x:c>
      <x:c r="D286" s="11" t="n">
        <x:f>COUNTIF('Einzel-ID-Zuordnung'!$A$7:$A$2692,A286)</x:f>
        <x:v>1</x:v>
      </x:c>
      <x:c r="E286" s="11" t="n">
        <x:f>D286-C286</x:f>
        <x:v>0</x:v>
      </x:c>
      <x:c r="F286" s="5" t="str">
        <x:v>nicht Pilot</x:v>
      </x:c>
      <x:c r="G286" s="5" t="str">
        <x:v>WQ</x:v>
      </x:c>
    </x:row>
    <x:row r="287" ht="36" customHeight="1">
      <x:c r="A287" s="5" t="str">
        <x:v>VWL-0155</x:v>
      </x:c>
      <x:c r="B287" s="5" t="str">
        <x:v>VWL</x:v>
      </x:c>
      <x:c r="C287" s="11" t="n">
        <x:v>1</x:v>
      </x:c>
      <x:c r="D287" s="11" t="n">
        <x:f>COUNTIF('Einzel-ID-Zuordnung'!$A$7:$A$2692,A287)</x:f>
        <x:v>1</x:v>
      </x:c>
      <x:c r="E287" s="11" t="n">
        <x:f>D287-C287</x:f>
        <x:v>0</x:v>
      </x:c>
      <x:c r="F287" s="5" t="str">
        <x:v>nicht Pilot</x:v>
      </x:c>
      <x:c r="G287" s="5" t="str">
        <x:v>WQ</x:v>
      </x:c>
    </x:row>
    <x:row r="288" ht="36" customHeight="1">
      <x:c r="A288" s="5" t="str">
        <x:v>VWL-0156</x:v>
      </x:c>
      <x:c r="B288" s="5" t="str">
        <x:v>VWL</x:v>
      </x:c>
      <x:c r="C288" s="11" t="n">
        <x:v>1</x:v>
      </x:c>
      <x:c r="D288" s="11" t="n">
        <x:f>COUNTIF('Einzel-ID-Zuordnung'!$A$7:$A$2692,A288)</x:f>
        <x:v>1</x:v>
      </x:c>
      <x:c r="E288" s="11" t="n">
        <x:f>D288-C288</x:f>
        <x:v>0</x:v>
      </x:c>
      <x:c r="F288" s="5" t="str">
        <x:v>nicht Pilot</x:v>
      </x:c>
      <x:c r="G288" s="5" t="str">
        <x:v>WQ</x:v>
      </x:c>
    </x:row>
    <x:row r="289" ht="36" customHeight="1">
      <x:c r="A289" s="5" t="str">
        <x:v>VWL-0157</x:v>
      </x:c>
      <x:c r="B289" s="5" t="str">
        <x:v>VWL</x:v>
      </x:c>
      <x:c r="C289" s="11" t="n">
        <x:v>1</x:v>
      </x:c>
      <x:c r="D289" s="11" t="n">
        <x:f>COUNTIF('Einzel-ID-Zuordnung'!$A$7:$A$2692,A289)</x:f>
        <x:v>1</x:v>
      </x:c>
      <x:c r="E289" s="11" t="n">
        <x:f>D289-C289</x:f>
        <x:v>0</x:v>
      </x:c>
      <x:c r="F289" s="5" t="str">
        <x:v>nicht Pilot</x:v>
      </x:c>
      <x:c r="G289" s="5" t="str">
        <x:v>WQ</x:v>
      </x:c>
    </x:row>
    <x:row r="290" ht="36" customHeight="1">
      <x:c r="A290" s="5" t="str">
        <x:v>BR-0001</x:v>
      </x:c>
      <x:c r="B290" s="5" t="str">
        <x:v>Rechnungswesen</x:v>
      </x:c>
      <x:c r="C290" s="11" t="n">
        <x:v>1</x:v>
      </x:c>
      <x:c r="D290" s="11" t="n">
        <x:f>COUNTIF('Einzel-ID-Zuordnung'!$A$7:$A$2692,A290)</x:f>
        <x:v>1</x:v>
      </x:c>
      <x:c r="E290" s="11" t="n">
        <x:f>D290-C290</x:f>
        <x:v>0</x:v>
      </x:c>
      <x:c r="F290" s="5" t="str">
        <x:v>nicht Pilot</x:v>
      </x:c>
      <x:c r="G290" s="5" t="str">
        <x:v>WQ</x:v>
      </x:c>
    </x:row>
    <x:row r="291" ht="36" customHeight="1">
      <x:c r="A291" s="5" t="str">
        <x:v>BR-0002</x:v>
      </x:c>
      <x:c r="B291" s="5" t="str">
        <x:v>Rechnungswesen</x:v>
      </x:c>
      <x:c r="C291" s="11" t="n">
        <x:v>1</x:v>
      </x:c>
      <x:c r="D291" s="11" t="n">
        <x:f>COUNTIF('Einzel-ID-Zuordnung'!$A$7:$A$2692,A291)</x:f>
        <x:v>1</x:v>
      </x:c>
      <x:c r="E291" s="11" t="n">
        <x:f>D291-C291</x:f>
        <x:v>0</x:v>
      </x:c>
      <x:c r="F291" s="5" t="str">
        <x:v>nicht Pilot</x:v>
      </x:c>
      <x:c r="G291" s="5" t="str">
        <x:v>WQ</x:v>
      </x:c>
    </x:row>
    <x:row r="292" ht="36" customHeight="1">
      <x:c r="A292" s="5" t="str">
        <x:v>BR-0003</x:v>
      </x:c>
      <x:c r="B292" s="5" t="str">
        <x:v>Rechnungswesen</x:v>
      </x:c>
      <x:c r="C292" s="11" t="n">
        <x:v>1</x:v>
      </x:c>
      <x:c r="D292" s="11" t="n">
        <x:f>COUNTIF('Einzel-ID-Zuordnung'!$A$7:$A$2692,A292)</x:f>
        <x:v>1</x:v>
      </x:c>
      <x:c r="E292" s="11" t="n">
        <x:f>D292-C292</x:f>
        <x:v>0</x:v>
      </x:c>
      <x:c r="F292" s="5" t="str">
        <x:v>nicht Pilot</x:v>
      </x:c>
      <x:c r="G292" s="5" t="str">
        <x:v>WQ</x:v>
      </x:c>
    </x:row>
    <x:row r="293" ht="36" customHeight="1">
      <x:c r="A293" s="5" t="str">
        <x:v>BR-0004</x:v>
      </x:c>
      <x:c r="B293" s="5" t="str">
        <x:v>Rechnungswesen</x:v>
      </x:c>
      <x:c r="C293" s="11" t="n">
        <x:v>1</x:v>
      </x:c>
      <x:c r="D293" s="11" t="n">
        <x:f>COUNTIF('Einzel-ID-Zuordnung'!$A$7:$A$2692,A293)</x:f>
        <x:v>1</x:v>
      </x:c>
      <x:c r="E293" s="11" t="n">
        <x:f>D293-C293</x:f>
        <x:v>0</x:v>
      </x:c>
      <x:c r="F293" s="5" t="str">
        <x:v>nicht Pilot</x:v>
      </x:c>
      <x:c r="G293" s="5" t="str">
        <x:v>WQ</x:v>
      </x:c>
    </x:row>
    <x:row r="294" ht="36" customHeight="1">
      <x:c r="A294" s="5" t="str">
        <x:v>BR-0005</x:v>
      </x:c>
      <x:c r="B294" s="5" t="str">
        <x:v>Rechnungswesen</x:v>
      </x:c>
      <x:c r="C294" s="11" t="n">
        <x:v>1</x:v>
      </x:c>
      <x:c r="D294" s="11" t="n">
        <x:f>COUNTIF('Einzel-ID-Zuordnung'!$A$7:$A$2692,A294)</x:f>
        <x:v>1</x:v>
      </x:c>
      <x:c r="E294" s="11" t="n">
        <x:f>D294-C294</x:f>
        <x:v>0</x:v>
      </x:c>
      <x:c r="F294" s="5" t="str">
        <x:v>nicht Pilot</x:v>
      </x:c>
      <x:c r="G294" s="5" t="str">
        <x:v>WQ</x:v>
      </x:c>
    </x:row>
    <x:row r="295" ht="36" customHeight="1">
      <x:c r="A295" s="5" t="str">
        <x:v>BR-0006</x:v>
      </x:c>
      <x:c r="B295" s="5" t="str">
        <x:v>Rechnungswesen</x:v>
      </x:c>
      <x:c r="C295" s="11" t="n">
        <x:v>1</x:v>
      </x:c>
      <x:c r="D295" s="11" t="n">
        <x:f>COUNTIF('Einzel-ID-Zuordnung'!$A$7:$A$2692,A295)</x:f>
        <x:v>1</x:v>
      </x:c>
      <x:c r="E295" s="11" t="n">
        <x:f>D295-C295</x:f>
        <x:v>0</x:v>
      </x:c>
      <x:c r="F295" s="5" t="str">
        <x:v>nicht Pilot</x:v>
      </x:c>
      <x:c r="G295" s="5" t="str">
        <x:v>WQ</x:v>
      </x:c>
    </x:row>
    <x:row r="296" ht="36" customHeight="1">
      <x:c r="A296" s="5" t="str">
        <x:v>BR-0007</x:v>
      </x:c>
      <x:c r="B296" s="5" t="str">
        <x:v>Rechnungswesen</x:v>
      </x:c>
      <x:c r="C296" s="11" t="n">
        <x:v>1</x:v>
      </x:c>
      <x:c r="D296" s="11" t="n">
        <x:f>COUNTIF('Einzel-ID-Zuordnung'!$A$7:$A$2692,A296)</x:f>
        <x:v>1</x:v>
      </x:c>
      <x:c r="E296" s="11" t="n">
        <x:f>D296-C296</x:f>
        <x:v>0</x:v>
      </x:c>
      <x:c r="F296" s="5" t="str">
        <x:v>nicht Pilot</x:v>
      </x:c>
      <x:c r="G296" s="5" t="str">
        <x:v>WQ</x:v>
      </x:c>
    </x:row>
    <x:row r="297" ht="36" customHeight="1">
      <x:c r="A297" s="5" t="str">
        <x:v>BR-0008</x:v>
      </x:c>
      <x:c r="B297" s="5" t="str">
        <x:v>Rechnungswesen</x:v>
      </x:c>
      <x:c r="C297" s="11" t="n">
        <x:v>1</x:v>
      </x:c>
      <x:c r="D297" s="11" t="n">
        <x:f>COUNTIF('Einzel-ID-Zuordnung'!$A$7:$A$2692,A297)</x:f>
        <x:v>1</x:v>
      </x:c>
      <x:c r="E297" s="11" t="n">
        <x:f>D297-C297</x:f>
        <x:v>0</x:v>
      </x:c>
      <x:c r="F297" s="5" t="str">
        <x:v>nicht Pilot</x:v>
      </x:c>
      <x:c r="G297" s="5" t="str">
        <x:v>WQ</x:v>
      </x:c>
    </x:row>
    <x:row r="298" ht="36" customHeight="1">
      <x:c r="A298" s="5" t="str">
        <x:v>BR-0009</x:v>
      </x:c>
      <x:c r="B298" s="5" t="str">
        <x:v>Rechnungswesen</x:v>
      </x:c>
      <x:c r="C298" s="11" t="n">
        <x:v>1</x:v>
      </x:c>
      <x:c r="D298" s="11" t="n">
        <x:f>COUNTIF('Einzel-ID-Zuordnung'!$A$7:$A$2692,A298)</x:f>
        <x:v>1</x:v>
      </x:c>
      <x:c r="E298" s="11" t="n">
        <x:f>D298-C298</x:f>
        <x:v>0</x:v>
      </x:c>
      <x:c r="F298" s="5" t="str">
        <x:v>nicht Pilot</x:v>
      </x:c>
      <x:c r="G298" s="5" t="str">
        <x:v>WQ</x:v>
      </x:c>
    </x:row>
    <x:row r="299" ht="36" customHeight="1">
      <x:c r="A299" s="5" t="str">
        <x:v>BR-0010</x:v>
      </x:c>
      <x:c r="B299" s="5" t="str">
        <x:v>Rechnungswesen</x:v>
      </x:c>
      <x:c r="C299" s="11" t="n">
        <x:v>1</x:v>
      </x:c>
      <x:c r="D299" s="11" t="n">
        <x:f>COUNTIF('Einzel-ID-Zuordnung'!$A$7:$A$2692,A299)</x:f>
        <x:v>1</x:v>
      </x:c>
      <x:c r="E299" s="11" t="n">
        <x:f>D299-C299</x:f>
        <x:v>0</x:v>
      </x:c>
      <x:c r="F299" s="5" t="str">
        <x:v>nicht Pilot</x:v>
      </x:c>
      <x:c r="G299" s="5" t="str">
        <x:v>WQ</x:v>
      </x:c>
    </x:row>
    <x:row r="300" ht="36" customHeight="1">
      <x:c r="A300" s="5" t="str">
        <x:v>BR-0011</x:v>
      </x:c>
      <x:c r="B300" s="5" t="str">
        <x:v>Rechnungswesen</x:v>
      </x:c>
      <x:c r="C300" s="11" t="n">
        <x:v>1</x:v>
      </x:c>
      <x:c r="D300" s="11" t="n">
        <x:f>COUNTIF('Einzel-ID-Zuordnung'!$A$7:$A$2692,A300)</x:f>
        <x:v>1</x:v>
      </x:c>
      <x:c r="E300" s="11" t="n">
        <x:f>D300-C300</x:f>
        <x:v>0</x:v>
      </x:c>
      <x:c r="F300" s="5" t="str">
        <x:v>nicht Pilot</x:v>
      </x:c>
      <x:c r="G300" s="5" t="str">
        <x:v>WQ</x:v>
      </x:c>
    </x:row>
    <x:row r="301" ht="36" customHeight="1">
      <x:c r="A301" s="5" t="str">
        <x:v>BR-0012</x:v>
      </x:c>
      <x:c r="B301" s="5" t="str">
        <x:v>Rechnungswesen</x:v>
      </x:c>
      <x:c r="C301" s="11" t="n">
        <x:v>1</x:v>
      </x:c>
      <x:c r="D301" s="11" t="n">
        <x:f>COUNTIF('Einzel-ID-Zuordnung'!$A$7:$A$2692,A301)</x:f>
        <x:v>1</x:v>
      </x:c>
      <x:c r="E301" s="11" t="n">
        <x:f>D301-C301</x:f>
        <x:v>0</x:v>
      </x:c>
      <x:c r="F301" s="5" t="str">
        <x:v>nicht Pilot</x:v>
      </x:c>
      <x:c r="G301" s="5" t="str">
        <x:v>WQ</x:v>
      </x:c>
    </x:row>
    <x:row r="302" ht="36" customHeight="1">
      <x:c r="A302" s="5" t="str">
        <x:v>BR-0013</x:v>
      </x:c>
      <x:c r="B302" s="5" t="str">
        <x:v>Rechnungswesen</x:v>
      </x:c>
      <x:c r="C302" s="11" t="n">
        <x:v>1</x:v>
      </x:c>
      <x:c r="D302" s="11" t="n">
        <x:f>COUNTIF('Einzel-ID-Zuordnung'!$A$7:$A$2692,A302)</x:f>
        <x:v>1</x:v>
      </x:c>
      <x:c r="E302" s="11" t="n">
        <x:f>D302-C302</x:f>
        <x:v>0</x:v>
      </x:c>
      <x:c r="F302" s="5" t="str">
        <x:v>nicht Pilot</x:v>
      </x:c>
      <x:c r="G302" s="5" t="str">
        <x:v>WQ</x:v>
      </x:c>
    </x:row>
    <x:row r="303" ht="36" customHeight="1">
      <x:c r="A303" s="5" t="str">
        <x:v>BR-0014</x:v>
      </x:c>
      <x:c r="B303" s="5" t="str">
        <x:v>Rechnungswesen</x:v>
      </x:c>
      <x:c r="C303" s="11" t="n">
        <x:v>1</x:v>
      </x:c>
      <x:c r="D303" s="11" t="n">
        <x:f>COUNTIF('Einzel-ID-Zuordnung'!$A$7:$A$2692,A303)</x:f>
        <x:v>1</x:v>
      </x:c>
      <x:c r="E303" s="11" t="n">
        <x:f>D303-C303</x:f>
        <x:v>0</x:v>
      </x:c>
      <x:c r="F303" s="5" t="str">
        <x:v>nicht Pilot</x:v>
      </x:c>
      <x:c r="G303" s="5" t="str">
        <x:v>WQ</x:v>
      </x:c>
    </x:row>
    <x:row r="304" ht="36" customHeight="1">
      <x:c r="A304" s="5" t="str">
        <x:v>BR-0015</x:v>
      </x:c>
      <x:c r="B304" s="5" t="str">
        <x:v>Rechnungswesen</x:v>
      </x:c>
      <x:c r="C304" s="11" t="n">
        <x:v>1</x:v>
      </x:c>
      <x:c r="D304" s="11" t="n">
        <x:f>COUNTIF('Einzel-ID-Zuordnung'!$A$7:$A$2692,A304)</x:f>
        <x:v>1</x:v>
      </x:c>
      <x:c r="E304" s="11" t="n">
        <x:f>D304-C304</x:f>
        <x:v>0</x:v>
      </x:c>
      <x:c r="F304" s="5" t="str">
        <x:v>nicht Pilot</x:v>
      </x:c>
      <x:c r="G304" s="5" t="str">
        <x:v>WQ</x:v>
      </x:c>
    </x:row>
    <x:row r="305" ht="36" customHeight="1">
      <x:c r="A305" s="5" t="str">
        <x:v>BR-0016</x:v>
      </x:c>
      <x:c r="B305" s="5" t="str">
        <x:v>Rechnungswesen</x:v>
      </x:c>
      <x:c r="C305" s="11" t="n">
        <x:v>1</x:v>
      </x:c>
      <x:c r="D305" s="11" t="n">
        <x:f>COUNTIF('Einzel-ID-Zuordnung'!$A$7:$A$2692,A305)</x:f>
        <x:v>1</x:v>
      </x:c>
      <x:c r="E305" s="11" t="n">
        <x:f>D305-C305</x:f>
        <x:v>0</x:v>
      </x:c>
      <x:c r="F305" s="5" t="str">
        <x:v>nicht Pilot</x:v>
      </x:c>
      <x:c r="G305" s="5" t="str">
        <x:v>WQ</x:v>
      </x:c>
    </x:row>
    <x:row r="306" ht="36" customHeight="1">
      <x:c r="A306" s="5" t="str">
        <x:v>BR-0017</x:v>
      </x:c>
      <x:c r="B306" s="5" t="str">
        <x:v>Rechnungswesen</x:v>
      </x:c>
      <x:c r="C306" s="11" t="n">
        <x:v>1</x:v>
      </x:c>
      <x:c r="D306" s="11" t="n">
        <x:f>COUNTIF('Einzel-ID-Zuordnung'!$A$7:$A$2692,A306)</x:f>
        <x:v>1</x:v>
      </x:c>
      <x:c r="E306" s="11" t="n">
        <x:f>D306-C306</x:f>
        <x:v>0</x:v>
      </x:c>
      <x:c r="F306" s="5" t="str">
        <x:v>nicht Pilot</x:v>
      </x:c>
      <x:c r="G306" s="5" t="str">
        <x:v>WQ</x:v>
      </x:c>
    </x:row>
    <x:row r="307" ht="36" customHeight="1">
      <x:c r="A307" s="5" t="str">
        <x:v>BR-0018</x:v>
      </x:c>
      <x:c r="B307" s="5" t="str">
        <x:v>Rechnungswesen</x:v>
      </x:c>
      <x:c r="C307" s="11" t="n">
        <x:v>1</x:v>
      </x:c>
      <x:c r="D307" s="11" t="n">
        <x:f>COUNTIF('Einzel-ID-Zuordnung'!$A$7:$A$2692,A307)</x:f>
        <x:v>1</x:v>
      </x:c>
      <x:c r="E307" s="11" t="n">
        <x:f>D307-C307</x:f>
        <x:v>0</x:v>
      </x:c>
      <x:c r="F307" s="5" t="str">
        <x:v>nicht Pilot</x:v>
      </x:c>
      <x:c r="G307" s="5" t="str">
        <x:v>WQ</x:v>
      </x:c>
    </x:row>
    <x:row r="308" ht="36" customHeight="1">
      <x:c r="A308" s="5" t="str">
        <x:v>BR-0019</x:v>
      </x:c>
      <x:c r="B308" s="5" t="str">
        <x:v>Rechnungswesen</x:v>
      </x:c>
      <x:c r="C308" s="11" t="n">
        <x:v>1</x:v>
      </x:c>
      <x:c r="D308" s="11" t="n">
        <x:f>COUNTIF('Einzel-ID-Zuordnung'!$A$7:$A$2692,A308)</x:f>
        <x:v>1</x:v>
      </x:c>
      <x:c r="E308" s="11" t="n">
        <x:f>D308-C308</x:f>
        <x:v>0</x:v>
      </x:c>
      <x:c r="F308" s="5" t="str">
        <x:v>nicht Pilot</x:v>
      </x:c>
      <x:c r="G308" s="5" t="str">
        <x:v>WQ</x:v>
      </x:c>
    </x:row>
    <x:row r="309" ht="36" customHeight="1">
      <x:c r="A309" s="5" t="str">
        <x:v>BR-0020</x:v>
      </x:c>
      <x:c r="B309" s="5" t="str">
        <x:v>Rechnungswesen</x:v>
      </x:c>
      <x:c r="C309" s="11" t="n">
        <x:v>1</x:v>
      </x:c>
      <x:c r="D309" s="11" t="n">
        <x:f>COUNTIF('Einzel-ID-Zuordnung'!$A$7:$A$2692,A309)</x:f>
        <x:v>1</x:v>
      </x:c>
      <x:c r="E309" s="11" t="n">
        <x:f>D309-C309</x:f>
        <x:v>0</x:v>
      </x:c>
      <x:c r="F309" s="5" t="str">
        <x:v>nicht Pilot</x:v>
      </x:c>
      <x:c r="G309" s="5" t="str">
        <x:v>WQ</x:v>
      </x:c>
    </x:row>
    <x:row r="310" ht="36" customHeight="1">
      <x:c r="A310" s="5" t="str">
        <x:v>BR-0021</x:v>
      </x:c>
      <x:c r="B310" s="5" t="str">
        <x:v>Rechnungswesen</x:v>
      </x:c>
      <x:c r="C310" s="11" t="n">
        <x:v>1</x:v>
      </x:c>
      <x:c r="D310" s="11" t="n">
        <x:f>COUNTIF('Einzel-ID-Zuordnung'!$A$7:$A$2692,A310)</x:f>
        <x:v>1</x:v>
      </x:c>
      <x:c r="E310" s="11" t="n">
        <x:f>D310-C310</x:f>
        <x:v>0</x:v>
      </x:c>
      <x:c r="F310" s="5" t="str">
        <x:v>nicht Pilot</x:v>
      </x:c>
      <x:c r="G310" s="5" t="str">
        <x:v>WQ</x:v>
      </x:c>
    </x:row>
    <x:row r="311" ht="36" customHeight="1">
      <x:c r="A311" s="5" t="str">
        <x:v>BR-0022</x:v>
      </x:c>
      <x:c r="B311" s="5" t="str">
        <x:v>Rechnungswesen</x:v>
      </x:c>
      <x:c r="C311" s="11" t="n">
        <x:v>1</x:v>
      </x:c>
      <x:c r="D311" s="11" t="n">
        <x:f>COUNTIF('Einzel-ID-Zuordnung'!$A$7:$A$2692,A311)</x:f>
        <x:v>1</x:v>
      </x:c>
      <x:c r="E311" s="11" t="n">
        <x:f>D311-C311</x:f>
        <x:v>0</x:v>
      </x:c>
      <x:c r="F311" s="5" t="str">
        <x:v>nicht Pilot</x:v>
      </x:c>
      <x:c r="G311" s="5" t="str">
        <x:v>WQ</x:v>
      </x:c>
    </x:row>
    <x:row r="312" ht="36" customHeight="1">
      <x:c r="A312" s="5" t="str">
        <x:v>BR-0023</x:v>
      </x:c>
      <x:c r="B312" s="5" t="str">
        <x:v>Rechnungswesen</x:v>
      </x:c>
      <x:c r="C312" s="11" t="n">
        <x:v>1</x:v>
      </x:c>
      <x:c r="D312" s="11" t="n">
        <x:f>COUNTIF('Einzel-ID-Zuordnung'!$A$7:$A$2692,A312)</x:f>
        <x:v>1</x:v>
      </x:c>
      <x:c r="E312" s="11" t="n">
        <x:f>D312-C312</x:f>
        <x:v>0</x:v>
      </x:c>
      <x:c r="F312" s="5" t="str">
        <x:v>nicht Pilot</x:v>
      </x:c>
      <x:c r="G312" s="5" t="str">
        <x:v>WQ</x:v>
      </x:c>
    </x:row>
    <x:row r="313" ht="36" customHeight="1">
      <x:c r="A313" s="5" t="str">
        <x:v>BR-0024</x:v>
      </x:c>
      <x:c r="B313" s="5" t="str">
        <x:v>Rechnungswesen</x:v>
      </x:c>
      <x:c r="C313" s="11" t="n">
        <x:v>1</x:v>
      </x:c>
      <x:c r="D313" s="11" t="n">
        <x:f>COUNTIF('Einzel-ID-Zuordnung'!$A$7:$A$2692,A313)</x:f>
        <x:v>1</x:v>
      </x:c>
      <x:c r="E313" s="11" t="n">
        <x:f>D313-C313</x:f>
        <x:v>0</x:v>
      </x:c>
      <x:c r="F313" s="5" t="str">
        <x:v>nicht Pilot</x:v>
      </x:c>
      <x:c r="G313" s="5" t="str">
        <x:v>WQ</x:v>
      </x:c>
    </x:row>
    <x:row r="314" ht="36" customHeight="1">
      <x:c r="A314" s="5" t="str">
        <x:v>BR-0025</x:v>
      </x:c>
      <x:c r="B314" s="5" t="str">
        <x:v>Rechnungswesen</x:v>
      </x:c>
      <x:c r="C314" s="11" t="n">
        <x:v>1</x:v>
      </x:c>
      <x:c r="D314" s="11" t="n">
        <x:f>COUNTIF('Einzel-ID-Zuordnung'!$A$7:$A$2692,A314)</x:f>
        <x:v>1</x:v>
      </x:c>
      <x:c r="E314" s="11" t="n">
        <x:f>D314-C314</x:f>
        <x:v>0</x:v>
      </x:c>
      <x:c r="F314" s="5" t="str">
        <x:v>nicht Pilot</x:v>
      </x:c>
      <x:c r="G314" s="5" t="str">
        <x:v>WQ</x:v>
      </x:c>
    </x:row>
    <x:row r="315" ht="36" customHeight="1">
      <x:c r="A315" s="5" t="str">
        <x:v>BR-0026</x:v>
      </x:c>
      <x:c r="B315" s="5" t="str">
        <x:v>Rechnungswesen</x:v>
      </x:c>
      <x:c r="C315" s="11" t="n">
        <x:v>1</x:v>
      </x:c>
      <x:c r="D315" s="11" t="n">
        <x:f>COUNTIF('Einzel-ID-Zuordnung'!$A$7:$A$2692,A315)</x:f>
        <x:v>1</x:v>
      </x:c>
      <x:c r="E315" s="11" t="n">
        <x:f>D315-C315</x:f>
        <x:v>0</x:v>
      </x:c>
      <x:c r="F315" s="5" t="str">
        <x:v>nicht Pilot</x:v>
      </x:c>
      <x:c r="G315" s="5" t="str">
        <x:v>WQ</x:v>
      </x:c>
    </x:row>
    <x:row r="316" ht="36" customHeight="1">
      <x:c r="A316" s="5" t="str">
        <x:v>BR-0027</x:v>
      </x:c>
      <x:c r="B316" s="5" t="str">
        <x:v>Rechnungswesen</x:v>
      </x:c>
      <x:c r="C316" s="11" t="n">
        <x:v>1</x:v>
      </x:c>
      <x:c r="D316" s="11" t="n">
        <x:f>COUNTIF('Einzel-ID-Zuordnung'!$A$7:$A$2692,A316)</x:f>
        <x:v>1</x:v>
      </x:c>
      <x:c r="E316" s="11" t="n">
        <x:f>D316-C316</x:f>
        <x:v>0</x:v>
      </x:c>
      <x:c r="F316" s="5" t="str">
        <x:v>nicht Pilot</x:v>
      </x:c>
      <x:c r="G316" s="5" t="str">
        <x:v>WQ</x:v>
      </x:c>
    </x:row>
    <x:row r="317" ht="36" customHeight="1">
      <x:c r="A317" s="5" t="str">
        <x:v>BR-0028</x:v>
      </x:c>
      <x:c r="B317" s="5" t="str">
        <x:v>Rechnungswesen</x:v>
      </x:c>
      <x:c r="C317" s="11" t="n">
        <x:v>1</x:v>
      </x:c>
      <x:c r="D317" s="11" t="n">
        <x:f>COUNTIF('Einzel-ID-Zuordnung'!$A$7:$A$2692,A317)</x:f>
        <x:v>1</x:v>
      </x:c>
      <x:c r="E317" s="11" t="n">
        <x:f>D317-C317</x:f>
        <x:v>0</x:v>
      </x:c>
      <x:c r="F317" s="5" t="str">
        <x:v>nicht Pilot</x:v>
      </x:c>
      <x:c r="G317" s="5" t="str">
        <x:v>WQ</x:v>
      </x:c>
    </x:row>
    <x:row r="318" ht="36" customHeight="1">
      <x:c r="A318" s="5" t="str">
        <x:v>BR-0029</x:v>
      </x:c>
      <x:c r="B318" s="5" t="str">
        <x:v>Rechnungswesen</x:v>
      </x:c>
      <x:c r="C318" s="11" t="n">
        <x:v>1</x:v>
      </x:c>
      <x:c r="D318" s="11" t="n">
        <x:f>COUNTIF('Einzel-ID-Zuordnung'!$A$7:$A$2692,A318)</x:f>
        <x:v>1</x:v>
      </x:c>
      <x:c r="E318" s="11" t="n">
        <x:f>D318-C318</x:f>
        <x:v>0</x:v>
      </x:c>
      <x:c r="F318" s="5" t="str">
        <x:v>nicht Pilot</x:v>
      </x:c>
      <x:c r="G318" s="5" t="str">
        <x:v>WQ</x:v>
      </x:c>
    </x:row>
    <x:row r="319" ht="36" customHeight="1">
      <x:c r="A319" s="5" t="str">
        <x:v>BR-0030</x:v>
      </x:c>
      <x:c r="B319" s="5" t="str">
        <x:v>Rechnungswesen</x:v>
      </x:c>
      <x:c r="C319" s="11" t="n">
        <x:v>1</x:v>
      </x:c>
      <x:c r="D319" s="11" t="n">
        <x:f>COUNTIF('Einzel-ID-Zuordnung'!$A$7:$A$2692,A319)</x:f>
        <x:v>1</x:v>
      </x:c>
      <x:c r="E319" s="11" t="n">
        <x:f>D319-C319</x:f>
        <x:v>0</x:v>
      </x:c>
      <x:c r="F319" s="5" t="str">
        <x:v>nicht Pilot</x:v>
      </x:c>
      <x:c r="G319" s="5" t="str">
        <x:v>WQ</x:v>
      </x:c>
    </x:row>
    <x:row r="320" ht="36" customHeight="1">
      <x:c r="A320" s="5" t="str">
        <x:v>BR-0031</x:v>
      </x:c>
      <x:c r="B320" s="5" t="str">
        <x:v>Rechnungswesen</x:v>
      </x:c>
      <x:c r="C320" s="11" t="n">
        <x:v>1</x:v>
      </x:c>
      <x:c r="D320" s="11" t="n">
        <x:f>COUNTIF('Einzel-ID-Zuordnung'!$A$7:$A$2692,A320)</x:f>
        <x:v>1</x:v>
      </x:c>
      <x:c r="E320" s="11" t="n">
        <x:f>D320-C320</x:f>
        <x:v>0</x:v>
      </x:c>
      <x:c r="F320" s="5" t="str">
        <x:v>nicht Pilot</x:v>
      </x:c>
      <x:c r="G320" s="5" t="str">
        <x:v>WQ</x:v>
      </x:c>
    </x:row>
    <x:row r="321" ht="36" customHeight="1">
      <x:c r="A321" s="5" t="str">
        <x:v>BR-0032</x:v>
      </x:c>
      <x:c r="B321" s="5" t="str">
        <x:v>Rechnungswesen</x:v>
      </x:c>
      <x:c r="C321" s="11" t="n">
        <x:v>1</x:v>
      </x:c>
      <x:c r="D321" s="11" t="n">
        <x:f>COUNTIF('Einzel-ID-Zuordnung'!$A$7:$A$2692,A321)</x:f>
        <x:v>1</x:v>
      </x:c>
      <x:c r="E321" s="11" t="n">
        <x:f>D321-C321</x:f>
        <x:v>0</x:v>
      </x:c>
      <x:c r="F321" s="5" t="str">
        <x:v>nicht Pilot</x:v>
      </x:c>
      <x:c r="G321" s="5" t="str">
        <x:v>WQ</x:v>
      </x:c>
    </x:row>
    <x:row r="322" ht="36" customHeight="1">
      <x:c r="A322" s="5" t="str">
        <x:v>BR-0033</x:v>
      </x:c>
      <x:c r="B322" s="5" t="str">
        <x:v>Rechnungswesen</x:v>
      </x:c>
      <x:c r="C322" s="11" t="n">
        <x:v>1</x:v>
      </x:c>
      <x:c r="D322" s="11" t="n">
        <x:f>COUNTIF('Einzel-ID-Zuordnung'!$A$7:$A$2692,A322)</x:f>
        <x:v>1</x:v>
      </x:c>
      <x:c r="E322" s="11" t="n">
        <x:f>D322-C322</x:f>
        <x:v>0</x:v>
      </x:c>
      <x:c r="F322" s="5" t="str">
        <x:v>nicht Pilot</x:v>
      </x:c>
      <x:c r="G322" s="5" t="str">
        <x:v>WQ</x:v>
      </x:c>
    </x:row>
    <x:row r="323" ht="36" customHeight="1">
      <x:c r="A323" s="5" t="str">
        <x:v>BR-0034</x:v>
      </x:c>
      <x:c r="B323" s="5" t="str">
        <x:v>Rechnungswesen</x:v>
      </x:c>
      <x:c r="C323" s="11" t="n">
        <x:v>1</x:v>
      </x:c>
      <x:c r="D323" s="11" t="n">
        <x:f>COUNTIF('Einzel-ID-Zuordnung'!$A$7:$A$2692,A323)</x:f>
        <x:v>1</x:v>
      </x:c>
      <x:c r="E323" s="11" t="n">
        <x:f>D323-C323</x:f>
        <x:v>0</x:v>
      </x:c>
      <x:c r="F323" s="5" t="str">
        <x:v>nicht Pilot</x:v>
      </x:c>
      <x:c r="G323" s="5" t="str">
        <x:v>WQ</x:v>
      </x:c>
    </x:row>
    <x:row r="324" ht="36" customHeight="1">
      <x:c r="A324" s="5" t="str">
        <x:v>BR-0035</x:v>
      </x:c>
      <x:c r="B324" s="5" t="str">
        <x:v>Rechnungswesen</x:v>
      </x:c>
      <x:c r="C324" s="11" t="n">
        <x:v>1</x:v>
      </x:c>
      <x:c r="D324" s="11" t="n">
        <x:f>COUNTIF('Einzel-ID-Zuordnung'!$A$7:$A$2692,A324)</x:f>
        <x:v>1</x:v>
      </x:c>
      <x:c r="E324" s="11" t="n">
        <x:f>D324-C324</x:f>
        <x:v>0</x:v>
      </x:c>
      <x:c r="F324" s="5" t="str">
        <x:v>nicht Pilot</x:v>
      </x:c>
      <x:c r="G324" s="5" t="str">
        <x:v>WQ</x:v>
      </x:c>
    </x:row>
    <x:row r="325" ht="36" customHeight="1">
      <x:c r="A325" s="5" t="str">
        <x:v>BR-0036</x:v>
      </x:c>
      <x:c r="B325" s="5" t="str">
        <x:v>Rechnungswesen</x:v>
      </x:c>
      <x:c r="C325" s="11" t="n">
        <x:v>1</x:v>
      </x:c>
      <x:c r="D325" s="11" t="n">
        <x:f>COUNTIF('Einzel-ID-Zuordnung'!$A$7:$A$2692,A325)</x:f>
        <x:v>1</x:v>
      </x:c>
      <x:c r="E325" s="11" t="n">
        <x:f>D325-C325</x:f>
        <x:v>0</x:v>
      </x:c>
      <x:c r="F325" s="5" t="str">
        <x:v>nicht Pilot</x:v>
      </x:c>
      <x:c r="G325" s="5" t="str">
        <x:v>WQ</x:v>
      </x:c>
    </x:row>
    <x:row r="326" ht="36" customHeight="1">
      <x:c r="A326" s="5" t="str">
        <x:v>BR-0037</x:v>
      </x:c>
      <x:c r="B326" s="5" t="str">
        <x:v>Rechnungswesen</x:v>
      </x:c>
      <x:c r="C326" s="11" t="n">
        <x:v>1</x:v>
      </x:c>
      <x:c r="D326" s="11" t="n">
        <x:f>COUNTIF('Einzel-ID-Zuordnung'!$A$7:$A$2692,A326)</x:f>
        <x:v>1</x:v>
      </x:c>
      <x:c r="E326" s="11" t="n">
        <x:f>D326-C326</x:f>
        <x:v>0</x:v>
      </x:c>
      <x:c r="F326" s="5" t="str">
        <x:v>nicht Pilot</x:v>
      </x:c>
      <x:c r="G326" s="5" t="str">
        <x:v>WQ</x:v>
      </x:c>
    </x:row>
    <x:row r="327" ht="36" customHeight="1">
      <x:c r="A327" s="5" t="str">
        <x:v>BR-0038</x:v>
      </x:c>
      <x:c r="B327" s="5" t="str">
        <x:v>Rechnungswesen</x:v>
      </x:c>
      <x:c r="C327" s="11" t="n">
        <x:v>1</x:v>
      </x:c>
      <x:c r="D327" s="11" t="n">
        <x:f>COUNTIF('Einzel-ID-Zuordnung'!$A$7:$A$2692,A327)</x:f>
        <x:v>1</x:v>
      </x:c>
      <x:c r="E327" s="11" t="n">
        <x:f>D327-C327</x:f>
        <x:v>0</x:v>
      </x:c>
      <x:c r="F327" s="5" t="str">
        <x:v>nicht Pilot</x:v>
      </x:c>
      <x:c r="G327" s="5" t="str">
        <x:v>WQ</x:v>
      </x:c>
    </x:row>
    <x:row r="328" ht="36" customHeight="1">
      <x:c r="A328" s="5" t="str">
        <x:v>BR-0039</x:v>
      </x:c>
      <x:c r="B328" s="5" t="str">
        <x:v>Rechnungswesen</x:v>
      </x:c>
      <x:c r="C328" s="11" t="n">
        <x:v>1</x:v>
      </x:c>
      <x:c r="D328" s="11" t="n">
        <x:f>COUNTIF('Einzel-ID-Zuordnung'!$A$7:$A$2692,A328)</x:f>
        <x:v>1</x:v>
      </x:c>
      <x:c r="E328" s="11" t="n">
        <x:f>D328-C328</x:f>
        <x:v>0</x:v>
      </x:c>
      <x:c r="F328" s="5" t="str">
        <x:v>nicht Pilot</x:v>
      </x:c>
      <x:c r="G328" s="5" t="str">
        <x:v>WQ</x:v>
      </x:c>
    </x:row>
    <x:row r="329" ht="36" customHeight="1">
      <x:c r="A329" s="5" t="str">
        <x:v>BR-0040</x:v>
      </x:c>
      <x:c r="B329" s="5" t="str">
        <x:v>Rechnungswesen</x:v>
      </x:c>
      <x:c r="C329" s="11" t="n">
        <x:v>1</x:v>
      </x:c>
      <x:c r="D329" s="11" t="n">
        <x:f>COUNTIF('Einzel-ID-Zuordnung'!$A$7:$A$2692,A329)</x:f>
        <x:v>1</x:v>
      </x:c>
      <x:c r="E329" s="11" t="n">
        <x:f>D329-C329</x:f>
        <x:v>0</x:v>
      </x:c>
      <x:c r="F329" s="5" t="str">
        <x:v>nicht Pilot</x:v>
      </x:c>
      <x:c r="G329" s="5" t="str">
        <x:v>WQ</x:v>
      </x:c>
    </x:row>
    <x:row r="330" ht="36" customHeight="1">
      <x:c r="A330" s="5" t="str">
        <x:v>BR-0041</x:v>
      </x:c>
      <x:c r="B330" s="5" t="str">
        <x:v>Rechnungswesen</x:v>
      </x:c>
      <x:c r="C330" s="11" t="n">
        <x:v>1</x:v>
      </x:c>
      <x:c r="D330" s="11" t="n">
        <x:f>COUNTIF('Einzel-ID-Zuordnung'!$A$7:$A$2692,A330)</x:f>
        <x:v>1</x:v>
      </x:c>
      <x:c r="E330" s="11" t="n">
        <x:f>D330-C330</x:f>
        <x:v>0</x:v>
      </x:c>
      <x:c r="F330" s="5" t="str">
        <x:v>nicht Pilot</x:v>
      </x:c>
      <x:c r="G330" s="5" t="str">
        <x:v>WQ</x:v>
      </x:c>
    </x:row>
    <x:row r="331" ht="36" customHeight="1">
      <x:c r="A331" s="5" t="str">
        <x:v>BR-0042</x:v>
      </x:c>
      <x:c r="B331" s="5" t="str">
        <x:v>Rechnungswesen</x:v>
      </x:c>
      <x:c r="C331" s="11" t="n">
        <x:v>1</x:v>
      </x:c>
      <x:c r="D331" s="11" t="n">
        <x:f>COUNTIF('Einzel-ID-Zuordnung'!$A$7:$A$2692,A331)</x:f>
        <x:v>1</x:v>
      </x:c>
      <x:c r="E331" s="11" t="n">
        <x:f>D331-C331</x:f>
        <x:v>0</x:v>
      </x:c>
      <x:c r="F331" s="5" t="str">
        <x:v>nicht Pilot</x:v>
      </x:c>
      <x:c r="G331" s="5" t="str">
        <x:v>WQ</x:v>
      </x:c>
    </x:row>
    <x:row r="332" ht="36" customHeight="1">
      <x:c r="A332" s="5" t="str">
        <x:v>BR-0043</x:v>
      </x:c>
      <x:c r="B332" s="5" t="str">
        <x:v>Rechnungswesen</x:v>
      </x:c>
      <x:c r="C332" s="11" t="n">
        <x:v>1</x:v>
      </x:c>
      <x:c r="D332" s="11" t="n">
        <x:f>COUNTIF('Einzel-ID-Zuordnung'!$A$7:$A$2692,A332)</x:f>
        <x:v>1</x:v>
      </x:c>
      <x:c r="E332" s="11" t="n">
        <x:f>D332-C332</x:f>
        <x:v>0</x:v>
      </x:c>
      <x:c r="F332" s="5" t="str">
        <x:v>nicht Pilot</x:v>
      </x:c>
      <x:c r="G332" s="5" t="str">
        <x:v>WQ</x:v>
      </x:c>
    </x:row>
    <x:row r="333" ht="36" customHeight="1">
      <x:c r="A333" s="5" t="str">
        <x:v>BR-0044</x:v>
      </x:c>
      <x:c r="B333" s="5" t="str">
        <x:v>Rechnungswesen</x:v>
      </x:c>
      <x:c r="C333" s="11" t="n">
        <x:v>1</x:v>
      </x:c>
      <x:c r="D333" s="11" t="n">
        <x:f>COUNTIF('Einzel-ID-Zuordnung'!$A$7:$A$2692,A333)</x:f>
        <x:v>1</x:v>
      </x:c>
      <x:c r="E333" s="11" t="n">
        <x:f>D333-C333</x:f>
        <x:v>0</x:v>
      </x:c>
      <x:c r="F333" s="5" t="str">
        <x:v>nicht Pilot</x:v>
      </x:c>
      <x:c r="G333" s="5" t="str">
        <x:v>WQ</x:v>
      </x:c>
    </x:row>
    <x:row r="334" ht="36" customHeight="1">
      <x:c r="A334" s="5" t="str">
        <x:v>BR-0045</x:v>
      </x:c>
      <x:c r="B334" s="5" t="str">
        <x:v>Rechnungswesen</x:v>
      </x:c>
      <x:c r="C334" s="11" t="n">
        <x:v>1</x:v>
      </x:c>
      <x:c r="D334" s="11" t="n">
        <x:f>COUNTIF('Einzel-ID-Zuordnung'!$A$7:$A$2692,A334)</x:f>
        <x:v>1</x:v>
      </x:c>
      <x:c r="E334" s="11" t="n">
        <x:f>D334-C334</x:f>
        <x:v>0</x:v>
      </x:c>
      <x:c r="F334" s="5" t="str">
        <x:v>nicht Pilot</x:v>
      </x:c>
      <x:c r="G334" s="5" t="str">
        <x:v>WQ</x:v>
      </x:c>
    </x:row>
    <x:row r="335" ht="36" customHeight="1">
      <x:c r="A335" s="5" t="str">
        <x:v>BR-0046</x:v>
      </x:c>
      <x:c r="B335" s="5" t="str">
        <x:v>Rechnungswesen</x:v>
      </x:c>
      <x:c r="C335" s="11" t="n">
        <x:v>1</x:v>
      </x:c>
      <x:c r="D335" s="11" t="n">
        <x:f>COUNTIF('Einzel-ID-Zuordnung'!$A$7:$A$2692,A335)</x:f>
        <x:v>1</x:v>
      </x:c>
      <x:c r="E335" s="11" t="n">
        <x:f>D335-C335</x:f>
        <x:v>0</x:v>
      </x:c>
      <x:c r="F335" s="5" t="str">
        <x:v>nicht Pilot</x:v>
      </x:c>
      <x:c r="G335" s="5" t="str">
        <x:v>WQ</x:v>
      </x:c>
    </x:row>
    <x:row r="336" ht="36" customHeight="1">
      <x:c r="A336" s="5" t="str">
        <x:v>BR-0047</x:v>
      </x:c>
      <x:c r="B336" s="5" t="str">
        <x:v>Rechnungswesen</x:v>
      </x:c>
      <x:c r="C336" s="11" t="n">
        <x:v>1</x:v>
      </x:c>
      <x:c r="D336" s="11" t="n">
        <x:f>COUNTIF('Einzel-ID-Zuordnung'!$A$7:$A$2692,A336)</x:f>
        <x:v>1</x:v>
      </x:c>
      <x:c r="E336" s="11" t="n">
        <x:f>D336-C336</x:f>
        <x:v>0</x:v>
      </x:c>
      <x:c r="F336" s="5" t="str">
        <x:v>nicht Pilot</x:v>
      </x:c>
      <x:c r="G336" s="5" t="str">
        <x:v>WQ</x:v>
      </x:c>
    </x:row>
    <x:row r="337" ht="36" customHeight="1">
      <x:c r="A337" s="5" t="str">
        <x:v>BR-0048</x:v>
      </x:c>
      <x:c r="B337" s="5" t="str">
        <x:v>Rechnungswesen</x:v>
      </x:c>
      <x:c r="C337" s="11" t="n">
        <x:v>1</x:v>
      </x:c>
      <x:c r="D337" s="11" t="n">
        <x:f>COUNTIF('Einzel-ID-Zuordnung'!$A$7:$A$2692,A337)</x:f>
        <x:v>1</x:v>
      </x:c>
      <x:c r="E337" s="11" t="n">
        <x:f>D337-C337</x:f>
        <x:v>0</x:v>
      </x:c>
      <x:c r="F337" s="5" t="str">
        <x:v>nicht Pilot</x:v>
      </x:c>
      <x:c r="G337" s="5" t="str">
        <x:v>WQ</x:v>
      </x:c>
    </x:row>
    <x:row r="338" ht="36" customHeight="1">
      <x:c r="A338" s="5" t="str">
        <x:v>BR-0049</x:v>
      </x:c>
      <x:c r="B338" s="5" t="str">
        <x:v>Rechnungswesen</x:v>
      </x:c>
      <x:c r="C338" s="11" t="n">
        <x:v>1</x:v>
      </x:c>
      <x:c r="D338" s="11" t="n">
        <x:f>COUNTIF('Einzel-ID-Zuordnung'!$A$7:$A$2692,A338)</x:f>
        <x:v>1</x:v>
      </x:c>
      <x:c r="E338" s="11" t="n">
        <x:f>D338-C338</x:f>
        <x:v>0</x:v>
      </x:c>
      <x:c r="F338" s="5" t="str">
        <x:v>nicht Pilot</x:v>
      </x:c>
      <x:c r="G338" s="5" t="str">
        <x:v>WQ</x:v>
      </x:c>
    </x:row>
    <x:row r="339" ht="36" customHeight="1">
      <x:c r="A339" s="5" t="str">
        <x:v>BR-0050</x:v>
      </x:c>
      <x:c r="B339" s="5" t="str">
        <x:v>Rechnungswesen</x:v>
      </x:c>
      <x:c r="C339" s="11" t="n">
        <x:v>1</x:v>
      </x:c>
      <x:c r="D339" s="11" t="n">
        <x:f>COUNTIF('Einzel-ID-Zuordnung'!$A$7:$A$2692,A339)</x:f>
        <x:v>1</x:v>
      </x:c>
      <x:c r="E339" s="11" t="n">
        <x:f>D339-C339</x:f>
        <x:v>0</x:v>
      </x:c>
      <x:c r="F339" s="5" t="str">
        <x:v>nicht Pilot</x:v>
      </x:c>
      <x:c r="G339" s="5" t="str">
        <x:v>WQ</x:v>
      </x:c>
    </x:row>
    <x:row r="340" ht="36" customHeight="1">
      <x:c r="A340" s="5" t="str">
        <x:v>BR-0051</x:v>
      </x:c>
      <x:c r="B340" s="5" t="str">
        <x:v>Rechnungswesen</x:v>
      </x:c>
      <x:c r="C340" s="11" t="n">
        <x:v>1</x:v>
      </x:c>
      <x:c r="D340" s="11" t="n">
        <x:f>COUNTIF('Einzel-ID-Zuordnung'!$A$7:$A$2692,A340)</x:f>
        <x:v>1</x:v>
      </x:c>
      <x:c r="E340" s="11" t="n">
        <x:f>D340-C340</x:f>
        <x:v>0</x:v>
      </x:c>
      <x:c r="F340" s="5" t="str">
        <x:v>nicht Pilot</x:v>
      </x:c>
      <x:c r="G340" s="5" t="str">
        <x:v>WQ</x:v>
      </x:c>
    </x:row>
    <x:row r="341" ht="36" customHeight="1">
      <x:c r="A341" s="5" t="str">
        <x:v>BR-0052</x:v>
      </x:c>
      <x:c r="B341" s="5" t="str">
        <x:v>Rechnungswesen</x:v>
      </x:c>
      <x:c r="C341" s="11" t="n">
        <x:v>1</x:v>
      </x:c>
      <x:c r="D341" s="11" t="n">
        <x:f>COUNTIF('Einzel-ID-Zuordnung'!$A$7:$A$2692,A341)</x:f>
        <x:v>1</x:v>
      </x:c>
      <x:c r="E341" s="11" t="n">
        <x:f>D341-C341</x:f>
        <x:v>0</x:v>
      </x:c>
      <x:c r="F341" s="5" t="str">
        <x:v>nicht Pilot</x:v>
      </x:c>
      <x:c r="G341" s="5" t="str">
        <x:v>WQ</x:v>
      </x:c>
    </x:row>
    <x:row r="342" ht="36" customHeight="1">
      <x:c r="A342" s="5" t="str">
        <x:v>BR-0053</x:v>
      </x:c>
      <x:c r="B342" s="5" t="str">
        <x:v>Rechnungswesen</x:v>
      </x:c>
      <x:c r="C342" s="11" t="n">
        <x:v>1</x:v>
      </x:c>
      <x:c r="D342" s="11" t="n">
        <x:f>COUNTIF('Einzel-ID-Zuordnung'!$A$7:$A$2692,A342)</x:f>
        <x:v>1</x:v>
      </x:c>
      <x:c r="E342" s="11" t="n">
        <x:f>D342-C342</x:f>
        <x:v>0</x:v>
      </x:c>
      <x:c r="F342" s="5" t="str">
        <x:v>nicht Pilot</x:v>
      </x:c>
      <x:c r="G342" s="5" t="str">
        <x:v>WQ</x:v>
      </x:c>
    </x:row>
    <x:row r="343" ht="36" customHeight="1">
      <x:c r="A343" s="5" t="str">
        <x:v>BR-0054</x:v>
      </x:c>
      <x:c r="B343" s="5" t="str">
        <x:v>Rechnungswesen</x:v>
      </x:c>
      <x:c r="C343" s="11" t="n">
        <x:v>1</x:v>
      </x:c>
      <x:c r="D343" s="11" t="n">
        <x:f>COUNTIF('Einzel-ID-Zuordnung'!$A$7:$A$2692,A343)</x:f>
        <x:v>1</x:v>
      </x:c>
      <x:c r="E343" s="11" t="n">
        <x:f>D343-C343</x:f>
        <x:v>0</x:v>
      </x:c>
      <x:c r="F343" s="5" t="str">
        <x:v>nicht Pilot</x:v>
      </x:c>
      <x:c r="G343" s="5" t="str">
        <x:v>WQ</x:v>
      </x:c>
    </x:row>
    <x:row r="344" ht="36" customHeight="1">
      <x:c r="A344" s="5" t="str">
        <x:v>BR-0055</x:v>
      </x:c>
      <x:c r="B344" s="5" t="str">
        <x:v>Rechnungswesen</x:v>
      </x:c>
      <x:c r="C344" s="11" t="n">
        <x:v>1</x:v>
      </x:c>
      <x:c r="D344" s="11" t="n">
        <x:f>COUNTIF('Einzel-ID-Zuordnung'!$A$7:$A$2692,A344)</x:f>
        <x:v>1</x:v>
      </x:c>
      <x:c r="E344" s="11" t="n">
        <x:f>D344-C344</x:f>
        <x:v>0</x:v>
      </x:c>
      <x:c r="F344" s="5" t="str">
        <x:v>nicht Pilot</x:v>
      </x:c>
      <x:c r="G344" s="5" t="str">
        <x:v>WQ</x:v>
      </x:c>
    </x:row>
    <x:row r="345" ht="36" customHeight="1">
      <x:c r="A345" s="5" t="str">
        <x:v>BR-0056</x:v>
      </x:c>
      <x:c r="B345" s="5" t="str">
        <x:v>Rechnungswesen</x:v>
      </x:c>
      <x:c r="C345" s="11" t="n">
        <x:v>1</x:v>
      </x:c>
      <x:c r="D345" s="11" t="n">
        <x:f>COUNTIF('Einzel-ID-Zuordnung'!$A$7:$A$2692,A345)</x:f>
        <x:v>1</x:v>
      </x:c>
      <x:c r="E345" s="11" t="n">
        <x:f>D345-C345</x:f>
        <x:v>0</x:v>
      </x:c>
      <x:c r="F345" s="5" t="str">
        <x:v>nicht Pilot</x:v>
      </x:c>
      <x:c r="G345" s="5" t="str">
        <x:v>WQ</x:v>
      </x:c>
    </x:row>
    <x:row r="346" ht="36" customHeight="1">
      <x:c r="A346" s="5" t="str">
        <x:v>BR-0057</x:v>
      </x:c>
      <x:c r="B346" s="5" t="str">
        <x:v>Rechnungswesen</x:v>
      </x:c>
      <x:c r="C346" s="11" t="n">
        <x:v>1</x:v>
      </x:c>
      <x:c r="D346" s="11" t="n">
        <x:f>COUNTIF('Einzel-ID-Zuordnung'!$A$7:$A$2692,A346)</x:f>
        <x:v>1</x:v>
      </x:c>
      <x:c r="E346" s="11" t="n">
        <x:f>D346-C346</x:f>
        <x:v>0</x:v>
      </x:c>
      <x:c r="F346" s="5" t="str">
        <x:v>nicht Pilot</x:v>
      </x:c>
      <x:c r="G346" s="5" t="str">
        <x:v>WQ</x:v>
      </x:c>
    </x:row>
    <x:row r="347" ht="36" customHeight="1">
      <x:c r="A347" s="5" t="str">
        <x:v>BR-0058</x:v>
      </x:c>
      <x:c r="B347" s="5" t="str">
        <x:v>Rechnungswesen</x:v>
      </x:c>
      <x:c r="C347" s="11" t="n">
        <x:v>1</x:v>
      </x:c>
      <x:c r="D347" s="11" t="n">
        <x:f>COUNTIF('Einzel-ID-Zuordnung'!$A$7:$A$2692,A347)</x:f>
        <x:v>1</x:v>
      </x:c>
      <x:c r="E347" s="11" t="n">
        <x:f>D347-C347</x:f>
        <x:v>0</x:v>
      </x:c>
      <x:c r="F347" s="5" t="str">
        <x:v>nicht Pilot</x:v>
      </x:c>
      <x:c r="G347" s="5" t="str">
        <x:v>WQ</x:v>
      </x:c>
    </x:row>
    <x:row r="348" ht="36" customHeight="1">
      <x:c r="A348" s="5" t="str">
        <x:v>BR-0059</x:v>
      </x:c>
      <x:c r="B348" s="5" t="str">
        <x:v>Rechnungswesen</x:v>
      </x:c>
      <x:c r="C348" s="11" t="n">
        <x:v>1</x:v>
      </x:c>
      <x:c r="D348" s="11" t="n">
        <x:f>COUNTIF('Einzel-ID-Zuordnung'!$A$7:$A$2692,A348)</x:f>
        <x:v>1</x:v>
      </x:c>
      <x:c r="E348" s="11" t="n">
        <x:f>D348-C348</x:f>
        <x:v>0</x:v>
      </x:c>
      <x:c r="F348" s="5" t="str">
        <x:v>nicht Pilot</x:v>
      </x:c>
      <x:c r="G348" s="5" t="str">
        <x:v>WQ</x:v>
      </x:c>
    </x:row>
    <x:row r="349" ht="36" customHeight="1">
      <x:c r="A349" s="5" t="str">
        <x:v>BR-0060</x:v>
      </x:c>
      <x:c r="B349" s="5" t="str">
        <x:v>Rechnungswesen</x:v>
      </x:c>
      <x:c r="C349" s="11" t="n">
        <x:v>1</x:v>
      </x:c>
      <x:c r="D349" s="11" t="n">
        <x:f>COUNTIF('Einzel-ID-Zuordnung'!$A$7:$A$2692,A349)</x:f>
        <x:v>1</x:v>
      </x:c>
      <x:c r="E349" s="11" t="n">
        <x:f>D349-C349</x:f>
        <x:v>0</x:v>
      </x:c>
      <x:c r="F349" s="5" t="str">
        <x:v>nicht Pilot</x:v>
      </x:c>
      <x:c r="G349" s="5" t="str">
        <x:v>WQ</x:v>
      </x:c>
    </x:row>
    <x:row r="350" ht="36" customHeight="1">
      <x:c r="A350" s="5" t="str">
        <x:v>BR-0061</x:v>
      </x:c>
      <x:c r="B350" s="5" t="str">
        <x:v>Rechnungswesen</x:v>
      </x:c>
      <x:c r="C350" s="11" t="n">
        <x:v>1</x:v>
      </x:c>
      <x:c r="D350" s="11" t="n">
        <x:f>COUNTIF('Einzel-ID-Zuordnung'!$A$7:$A$2692,A350)</x:f>
        <x:v>1</x:v>
      </x:c>
      <x:c r="E350" s="11" t="n">
        <x:f>D350-C350</x:f>
        <x:v>0</x:v>
      </x:c>
      <x:c r="F350" s="5" t="str">
        <x:v>nicht Pilot</x:v>
      </x:c>
      <x:c r="G350" s="5" t="str">
        <x:v>WQ</x:v>
      </x:c>
    </x:row>
    <x:row r="351" ht="36" customHeight="1">
      <x:c r="A351" s="5" t="str">
        <x:v>BR-0062</x:v>
      </x:c>
      <x:c r="B351" s="5" t="str">
        <x:v>Rechnungswesen</x:v>
      </x:c>
      <x:c r="C351" s="11" t="n">
        <x:v>1</x:v>
      </x:c>
      <x:c r="D351" s="11" t="n">
        <x:f>COUNTIF('Einzel-ID-Zuordnung'!$A$7:$A$2692,A351)</x:f>
        <x:v>1</x:v>
      </x:c>
      <x:c r="E351" s="11" t="n">
        <x:f>D351-C351</x:f>
        <x:v>0</x:v>
      </x:c>
      <x:c r="F351" s="5" t="str">
        <x:v>nicht Pilot</x:v>
      </x:c>
      <x:c r="G351" s="5" t="str">
        <x:v>WQ</x:v>
      </x:c>
    </x:row>
    <x:row r="352" ht="36" customHeight="1">
      <x:c r="A352" s="5" t="str">
        <x:v>BR-0063</x:v>
      </x:c>
      <x:c r="B352" s="5" t="str">
        <x:v>Rechnungswesen</x:v>
      </x:c>
      <x:c r="C352" s="11" t="n">
        <x:v>1</x:v>
      </x:c>
      <x:c r="D352" s="11" t="n">
        <x:f>COUNTIF('Einzel-ID-Zuordnung'!$A$7:$A$2692,A352)</x:f>
        <x:v>1</x:v>
      </x:c>
      <x:c r="E352" s="11" t="n">
        <x:f>D352-C352</x:f>
        <x:v>0</x:v>
      </x:c>
      <x:c r="F352" s="5" t="str">
        <x:v>nicht Pilot</x:v>
      </x:c>
      <x:c r="G352" s="5" t="str">
        <x:v>WQ</x:v>
      </x:c>
    </x:row>
    <x:row r="353" ht="36" customHeight="1">
      <x:c r="A353" s="5" t="str">
        <x:v>BR-0064</x:v>
      </x:c>
      <x:c r="B353" s="5" t="str">
        <x:v>Rechnungswesen</x:v>
      </x:c>
      <x:c r="C353" s="11" t="n">
        <x:v>1</x:v>
      </x:c>
      <x:c r="D353" s="11" t="n">
        <x:f>COUNTIF('Einzel-ID-Zuordnung'!$A$7:$A$2692,A353)</x:f>
        <x:v>1</x:v>
      </x:c>
      <x:c r="E353" s="11" t="n">
        <x:f>D353-C353</x:f>
        <x:v>0</x:v>
      </x:c>
      <x:c r="F353" s="5" t="str">
        <x:v>nicht Pilot</x:v>
      </x:c>
      <x:c r="G353" s="5" t="str">
        <x:v>WQ</x:v>
      </x:c>
    </x:row>
    <x:row r="354" ht="36" customHeight="1">
      <x:c r="A354" s="5" t="str">
        <x:v>BR-0065</x:v>
      </x:c>
      <x:c r="B354" s="5" t="str">
        <x:v>Rechnungswesen</x:v>
      </x:c>
      <x:c r="C354" s="11" t="n">
        <x:v>1</x:v>
      </x:c>
      <x:c r="D354" s="11" t="n">
        <x:f>COUNTIF('Einzel-ID-Zuordnung'!$A$7:$A$2692,A354)</x:f>
        <x:v>1</x:v>
      </x:c>
      <x:c r="E354" s="11" t="n">
        <x:f>D354-C354</x:f>
        <x:v>0</x:v>
      </x:c>
      <x:c r="F354" s="5" t="str">
        <x:v>nicht Pilot</x:v>
      </x:c>
      <x:c r="G354" s="5" t="str">
        <x:v>WQ</x:v>
      </x:c>
    </x:row>
    <x:row r="355" ht="36" customHeight="1">
      <x:c r="A355" s="5" t="str">
        <x:v>BR-0066</x:v>
      </x:c>
      <x:c r="B355" s="5" t="str">
        <x:v>Rechnungswesen</x:v>
      </x:c>
      <x:c r="C355" s="11" t="n">
        <x:v>1</x:v>
      </x:c>
      <x:c r="D355" s="11" t="n">
        <x:f>COUNTIF('Einzel-ID-Zuordnung'!$A$7:$A$2692,A355)</x:f>
        <x:v>1</x:v>
      </x:c>
      <x:c r="E355" s="11" t="n">
        <x:f>D355-C355</x:f>
        <x:v>0</x:v>
      </x:c>
      <x:c r="F355" s="5" t="str">
        <x:v>nicht Pilot</x:v>
      </x:c>
      <x:c r="G355" s="5" t="str">
        <x:v>WQ</x:v>
      </x:c>
    </x:row>
    <x:row r="356" ht="36" customHeight="1">
      <x:c r="A356" s="5" t="str">
        <x:v>BR-0067</x:v>
      </x:c>
      <x:c r="B356" s="5" t="str">
        <x:v>Rechnungswesen</x:v>
      </x:c>
      <x:c r="C356" s="11" t="n">
        <x:v>1</x:v>
      </x:c>
      <x:c r="D356" s="11" t="n">
        <x:f>COUNTIF('Einzel-ID-Zuordnung'!$A$7:$A$2692,A356)</x:f>
        <x:v>1</x:v>
      </x:c>
      <x:c r="E356" s="11" t="n">
        <x:f>D356-C356</x:f>
        <x:v>0</x:v>
      </x:c>
      <x:c r="F356" s="5" t="str">
        <x:v>nicht Pilot</x:v>
      </x:c>
      <x:c r="G356" s="5" t="str">
        <x:v>WQ</x:v>
      </x:c>
    </x:row>
    <x:row r="357" ht="36" customHeight="1">
      <x:c r="A357" s="5" t="str">
        <x:v>BR-0068</x:v>
      </x:c>
      <x:c r="B357" s="5" t="str">
        <x:v>Rechnungswesen</x:v>
      </x:c>
      <x:c r="C357" s="11" t="n">
        <x:v>1</x:v>
      </x:c>
      <x:c r="D357" s="11" t="n">
        <x:f>COUNTIF('Einzel-ID-Zuordnung'!$A$7:$A$2692,A357)</x:f>
        <x:v>1</x:v>
      </x:c>
      <x:c r="E357" s="11" t="n">
        <x:f>D357-C357</x:f>
        <x:v>0</x:v>
      </x:c>
      <x:c r="F357" s="5" t="str">
        <x:v>nicht Pilot</x:v>
      </x:c>
      <x:c r="G357" s="5" t="str">
        <x:v>WQ</x:v>
      </x:c>
    </x:row>
    <x:row r="358" ht="36" customHeight="1">
      <x:c r="A358" s="5" t="str">
        <x:v>BR-0069</x:v>
      </x:c>
      <x:c r="B358" s="5" t="str">
        <x:v>Rechnungswesen</x:v>
      </x:c>
      <x:c r="C358" s="11" t="n">
        <x:v>1</x:v>
      </x:c>
      <x:c r="D358" s="11" t="n">
        <x:f>COUNTIF('Einzel-ID-Zuordnung'!$A$7:$A$2692,A358)</x:f>
        <x:v>1</x:v>
      </x:c>
      <x:c r="E358" s="11" t="n">
        <x:f>D358-C358</x:f>
        <x:v>0</x:v>
      </x:c>
      <x:c r="F358" s="5" t="str">
        <x:v>nicht Pilot</x:v>
      </x:c>
      <x:c r="G358" s="5" t="str">
        <x:v>WQ</x:v>
      </x:c>
    </x:row>
    <x:row r="359" ht="36" customHeight="1">
      <x:c r="A359" s="5" t="str">
        <x:v>BR-0070</x:v>
      </x:c>
      <x:c r="B359" s="5" t="str">
        <x:v>Rechnungswesen</x:v>
      </x:c>
      <x:c r="C359" s="11" t="n">
        <x:v>1</x:v>
      </x:c>
      <x:c r="D359" s="11" t="n">
        <x:f>COUNTIF('Einzel-ID-Zuordnung'!$A$7:$A$2692,A359)</x:f>
        <x:v>1</x:v>
      </x:c>
      <x:c r="E359" s="11" t="n">
        <x:f>D359-C359</x:f>
        <x:v>0</x:v>
      </x:c>
      <x:c r="F359" s="5" t="str">
        <x:v>nicht Pilot</x:v>
      </x:c>
      <x:c r="G359" s="5" t="str">
        <x:v>WQ</x:v>
      </x:c>
    </x:row>
    <x:row r="360" ht="36" customHeight="1">
      <x:c r="A360" s="5" t="str">
        <x:v>BR-0071</x:v>
      </x:c>
      <x:c r="B360" s="5" t="str">
        <x:v>Rechnungswesen</x:v>
      </x:c>
      <x:c r="C360" s="11" t="n">
        <x:v>1</x:v>
      </x:c>
      <x:c r="D360" s="11" t="n">
        <x:f>COUNTIF('Einzel-ID-Zuordnung'!$A$7:$A$2692,A360)</x:f>
        <x:v>1</x:v>
      </x:c>
      <x:c r="E360" s="11" t="n">
        <x:f>D360-C360</x:f>
        <x:v>0</x:v>
      </x:c>
      <x:c r="F360" s="5" t="str">
        <x:v>nicht Pilot</x:v>
      </x:c>
      <x:c r="G360" s="5" t="str">
        <x:v>WQ</x:v>
      </x:c>
    </x:row>
    <x:row r="361" ht="36" customHeight="1">
      <x:c r="A361" s="5" t="str">
        <x:v>BR-0072</x:v>
      </x:c>
      <x:c r="B361" s="5" t="str">
        <x:v>Rechnungswesen</x:v>
      </x:c>
      <x:c r="C361" s="11" t="n">
        <x:v>1</x:v>
      </x:c>
      <x:c r="D361" s="11" t="n">
        <x:f>COUNTIF('Einzel-ID-Zuordnung'!$A$7:$A$2692,A361)</x:f>
        <x:v>1</x:v>
      </x:c>
      <x:c r="E361" s="11" t="n">
        <x:f>D361-C361</x:f>
        <x:v>0</x:v>
      </x:c>
      <x:c r="F361" s="5" t="str">
        <x:v>nicht Pilot</x:v>
      </x:c>
      <x:c r="G361" s="5" t="str">
        <x:v>WQ</x:v>
      </x:c>
    </x:row>
    <x:row r="362" ht="36" customHeight="1">
      <x:c r="A362" s="5" t="str">
        <x:v>BR-0073</x:v>
      </x:c>
      <x:c r="B362" s="5" t="str">
        <x:v>Rechnungswesen</x:v>
      </x:c>
      <x:c r="C362" s="11" t="n">
        <x:v>1</x:v>
      </x:c>
      <x:c r="D362" s="11" t="n">
        <x:f>COUNTIF('Einzel-ID-Zuordnung'!$A$7:$A$2692,A362)</x:f>
        <x:v>1</x:v>
      </x:c>
      <x:c r="E362" s="11" t="n">
        <x:f>D362-C362</x:f>
        <x:v>0</x:v>
      </x:c>
      <x:c r="F362" s="5" t="str">
        <x:v>nicht Pilot</x:v>
      </x:c>
      <x:c r="G362" s="5" t="str">
        <x:v>WQ</x:v>
      </x:c>
    </x:row>
    <x:row r="363" ht="36" customHeight="1">
      <x:c r="A363" s="5" t="str">
        <x:v>BR-0074</x:v>
      </x:c>
      <x:c r="B363" s="5" t="str">
        <x:v>Rechnungswesen</x:v>
      </x:c>
      <x:c r="C363" s="11" t="n">
        <x:v>1</x:v>
      </x:c>
      <x:c r="D363" s="11" t="n">
        <x:f>COUNTIF('Einzel-ID-Zuordnung'!$A$7:$A$2692,A363)</x:f>
        <x:v>1</x:v>
      </x:c>
      <x:c r="E363" s="11" t="n">
        <x:f>D363-C363</x:f>
        <x:v>0</x:v>
      </x:c>
      <x:c r="F363" s="5" t="str">
        <x:v>nicht Pilot</x:v>
      </x:c>
      <x:c r="G363" s="5" t="str">
        <x:v>WQ</x:v>
      </x:c>
    </x:row>
    <x:row r="364" ht="36" customHeight="1">
      <x:c r="A364" s="5" t="str">
        <x:v>BR-0075</x:v>
      </x:c>
      <x:c r="B364" s="5" t="str">
        <x:v>Rechnungswesen</x:v>
      </x:c>
      <x:c r="C364" s="11" t="n">
        <x:v>1</x:v>
      </x:c>
      <x:c r="D364" s="11" t="n">
        <x:f>COUNTIF('Einzel-ID-Zuordnung'!$A$7:$A$2692,A364)</x:f>
        <x:v>1</x:v>
      </x:c>
      <x:c r="E364" s="11" t="n">
        <x:f>D364-C364</x:f>
        <x:v>0</x:v>
      </x:c>
      <x:c r="F364" s="5" t="str">
        <x:v>nicht Pilot</x:v>
      </x:c>
      <x:c r="G364" s="5" t="str">
        <x:v>WQ</x:v>
      </x:c>
    </x:row>
    <x:row r="365" ht="36" customHeight="1">
      <x:c r="A365" s="5" t="str">
        <x:v>BR-0076</x:v>
      </x:c>
      <x:c r="B365" s="5" t="str">
        <x:v>Rechnungswesen</x:v>
      </x:c>
      <x:c r="C365" s="11" t="n">
        <x:v>1</x:v>
      </x:c>
      <x:c r="D365" s="11" t="n">
        <x:f>COUNTIF('Einzel-ID-Zuordnung'!$A$7:$A$2692,A365)</x:f>
        <x:v>1</x:v>
      </x:c>
      <x:c r="E365" s="11" t="n">
        <x:f>D365-C365</x:f>
        <x:v>0</x:v>
      </x:c>
      <x:c r="F365" s="5" t="str">
        <x:v>nicht Pilot</x:v>
      </x:c>
      <x:c r="G365" s="5" t="str">
        <x:v>WQ</x:v>
      </x:c>
    </x:row>
    <x:row r="366" ht="36" customHeight="1">
      <x:c r="A366" s="5" t="str">
        <x:v>BR-0077</x:v>
      </x:c>
      <x:c r="B366" s="5" t="str">
        <x:v>Rechnungswesen</x:v>
      </x:c>
      <x:c r="C366" s="11" t="n">
        <x:v>1</x:v>
      </x:c>
      <x:c r="D366" s="11" t="n">
        <x:f>COUNTIF('Einzel-ID-Zuordnung'!$A$7:$A$2692,A366)</x:f>
        <x:v>1</x:v>
      </x:c>
      <x:c r="E366" s="11" t="n">
        <x:f>D366-C366</x:f>
        <x:v>0</x:v>
      </x:c>
      <x:c r="F366" s="5" t="str">
        <x:v>nicht Pilot</x:v>
      </x:c>
      <x:c r="G366" s="5" t="str">
        <x:v>WQ</x:v>
      </x:c>
    </x:row>
    <x:row r="367" ht="36" customHeight="1">
      <x:c r="A367" s="5" t="str">
        <x:v>BR-0078</x:v>
      </x:c>
      <x:c r="B367" s="5" t="str">
        <x:v>Rechnungswesen</x:v>
      </x:c>
      <x:c r="C367" s="11" t="n">
        <x:v>1</x:v>
      </x:c>
      <x:c r="D367" s="11" t="n">
        <x:f>COUNTIF('Einzel-ID-Zuordnung'!$A$7:$A$2692,A367)</x:f>
        <x:v>1</x:v>
      </x:c>
      <x:c r="E367" s="11" t="n">
        <x:f>D367-C367</x:f>
        <x:v>0</x:v>
      </x:c>
      <x:c r="F367" s="5" t="str">
        <x:v>nicht Pilot</x:v>
      </x:c>
      <x:c r="G367" s="5" t="str">
        <x:v>WQ</x:v>
      </x:c>
    </x:row>
    <x:row r="368" ht="36" customHeight="1">
      <x:c r="A368" s="5" t="str">
        <x:v>BR-0079</x:v>
      </x:c>
      <x:c r="B368" s="5" t="str">
        <x:v>Rechnungswesen</x:v>
      </x:c>
      <x:c r="C368" s="11" t="n">
        <x:v>1</x:v>
      </x:c>
      <x:c r="D368" s="11" t="n">
        <x:f>COUNTIF('Einzel-ID-Zuordnung'!$A$7:$A$2692,A368)</x:f>
        <x:v>1</x:v>
      </x:c>
      <x:c r="E368" s="11" t="n">
        <x:f>D368-C368</x:f>
        <x:v>0</x:v>
      </x:c>
      <x:c r="F368" s="5" t="str">
        <x:v>nicht Pilot</x:v>
      </x:c>
      <x:c r="G368" s="5" t="str">
        <x:v>WQ</x:v>
      </x:c>
    </x:row>
    <x:row r="369" ht="36" customHeight="1">
      <x:c r="A369" s="5" t="str">
        <x:v>BR-0080</x:v>
      </x:c>
      <x:c r="B369" s="5" t="str">
        <x:v>Rechnungswesen</x:v>
      </x:c>
      <x:c r="C369" s="11" t="n">
        <x:v>1</x:v>
      </x:c>
      <x:c r="D369" s="11" t="n">
        <x:f>COUNTIF('Einzel-ID-Zuordnung'!$A$7:$A$2692,A369)</x:f>
        <x:v>1</x:v>
      </x:c>
      <x:c r="E369" s="11" t="n">
        <x:f>D369-C369</x:f>
        <x:v>0</x:v>
      </x:c>
      <x:c r="F369" s="5" t="str">
        <x:v>nicht Pilot</x:v>
      </x:c>
      <x:c r="G369" s="5" t="str">
        <x:v>WQ</x:v>
      </x:c>
    </x:row>
    <x:row r="370" ht="36" customHeight="1">
      <x:c r="A370" s="5" t="str">
        <x:v>BR-0081</x:v>
      </x:c>
      <x:c r="B370" s="5" t="str">
        <x:v>Rechnungswesen</x:v>
      </x:c>
      <x:c r="C370" s="11" t="n">
        <x:v>1</x:v>
      </x:c>
      <x:c r="D370" s="11" t="n">
        <x:f>COUNTIF('Einzel-ID-Zuordnung'!$A$7:$A$2692,A370)</x:f>
        <x:v>1</x:v>
      </x:c>
      <x:c r="E370" s="11" t="n">
        <x:f>D370-C370</x:f>
        <x:v>0</x:v>
      </x:c>
      <x:c r="F370" s="5" t="str">
        <x:v>nicht Pilot</x:v>
      </x:c>
      <x:c r="G370" s="5" t="str">
        <x:v>WQ</x:v>
      </x:c>
    </x:row>
    <x:row r="371" ht="36" customHeight="1">
      <x:c r="A371" s="5" t="str">
        <x:v>BR-0082</x:v>
      </x:c>
      <x:c r="B371" s="5" t="str">
        <x:v>Rechnungswesen</x:v>
      </x:c>
      <x:c r="C371" s="11" t="n">
        <x:v>1</x:v>
      </x:c>
      <x:c r="D371" s="11" t="n">
        <x:f>COUNTIF('Einzel-ID-Zuordnung'!$A$7:$A$2692,A371)</x:f>
        <x:v>1</x:v>
      </x:c>
      <x:c r="E371" s="11" t="n">
        <x:f>D371-C371</x:f>
        <x:v>0</x:v>
      </x:c>
      <x:c r="F371" s="5" t="str">
        <x:v>nicht Pilot</x:v>
      </x:c>
      <x:c r="G371" s="5" t="str">
        <x:v>WQ</x:v>
      </x:c>
    </x:row>
    <x:row r="372" ht="36" customHeight="1">
      <x:c r="A372" s="5" t="str">
        <x:v>BR-0083</x:v>
      </x:c>
      <x:c r="B372" s="5" t="str">
        <x:v>Rechnungswesen</x:v>
      </x:c>
      <x:c r="C372" s="11" t="n">
        <x:v>1</x:v>
      </x:c>
      <x:c r="D372" s="11" t="n">
        <x:f>COUNTIF('Einzel-ID-Zuordnung'!$A$7:$A$2692,A372)</x:f>
        <x:v>1</x:v>
      </x:c>
      <x:c r="E372" s="11" t="n">
        <x:f>D372-C372</x:f>
        <x:v>0</x:v>
      </x:c>
      <x:c r="F372" s="5" t="str">
        <x:v>nicht Pilot</x:v>
      </x:c>
      <x:c r="G372" s="5" t="str">
        <x:v>WQ</x:v>
      </x:c>
    </x:row>
    <x:row r="373" ht="36" customHeight="1">
      <x:c r="A373" s="5" t="str">
        <x:v>BR-0084</x:v>
      </x:c>
      <x:c r="B373" s="5" t="str">
        <x:v>Rechnungswesen</x:v>
      </x:c>
      <x:c r="C373" s="11" t="n">
        <x:v>1</x:v>
      </x:c>
      <x:c r="D373" s="11" t="n">
        <x:f>COUNTIF('Einzel-ID-Zuordnung'!$A$7:$A$2692,A373)</x:f>
        <x:v>1</x:v>
      </x:c>
      <x:c r="E373" s="11" t="n">
        <x:f>D373-C373</x:f>
        <x:v>0</x:v>
      </x:c>
      <x:c r="F373" s="5" t="str">
        <x:v>nicht Pilot</x:v>
      </x:c>
      <x:c r="G373" s="5" t="str">
        <x:v>WQ</x:v>
      </x:c>
    </x:row>
    <x:row r="374" ht="36" customHeight="1">
      <x:c r="A374" s="5" t="str">
        <x:v>BR-0085</x:v>
      </x:c>
      <x:c r="B374" s="5" t="str">
        <x:v>Rechnungswesen</x:v>
      </x:c>
      <x:c r="C374" s="11" t="n">
        <x:v>1</x:v>
      </x:c>
      <x:c r="D374" s="11" t="n">
        <x:f>COUNTIF('Einzel-ID-Zuordnung'!$A$7:$A$2692,A374)</x:f>
        <x:v>1</x:v>
      </x:c>
      <x:c r="E374" s="11" t="n">
        <x:f>D374-C374</x:f>
        <x:v>0</x:v>
      </x:c>
      <x:c r="F374" s="5" t="str">
        <x:v>nicht Pilot</x:v>
      </x:c>
      <x:c r="G374" s="5" t="str">
        <x:v>WQ</x:v>
      </x:c>
    </x:row>
    <x:row r="375" ht="36" customHeight="1">
      <x:c r="A375" s="5" t="str">
        <x:v>BR-0086</x:v>
      </x:c>
      <x:c r="B375" s="5" t="str">
        <x:v>Rechnungswesen</x:v>
      </x:c>
      <x:c r="C375" s="11" t="n">
        <x:v>1</x:v>
      </x:c>
      <x:c r="D375" s="11" t="n">
        <x:f>COUNTIF('Einzel-ID-Zuordnung'!$A$7:$A$2692,A375)</x:f>
        <x:v>1</x:v>
      </x:c>
      <x:c r="E375" s="11" t="n">
        <x:f>D375-C375</x:f>
        <x:v>0</x:v>
      </x:c>
      <x:c r="F375" s="5" t="str">
        <x:v>nicht Pilot</x:v>
      </x:c>
      <x:c r="G375" s="5" t="str">
        <x:v>WQ</x:v>
      </x:c>
    </x:row>
    <x:row r="376" ht="36" customHeight="1">
      <x:c r="A376" s="5" t="str">
        <x:v>BR-0087</x:v>
      </x:c>
      <x:c r="B376" s="5" t="str">
        <x:v>Rechnungswesen</x:v>
      </x:c>
      <x:c r="C376" s="11" t="n">
        <x:v>1</x:v>
      </x:c>
      <x:c r="D376" s="11" t="n">
        <x:f>COUNTIF('Einzel-ID-Zuordnung'!$A$7:$A$2692,A376)</x:f>
        <x:v>1</x:v>
      </x:c>
      <x:c r="E376" s="11" t="n">
        <x:f>D376-C376</x:f>
        <x:v>0</x:v>
      </x:c>
      <x:c r="F376" s="5" t="str">
        <x:v>nicht Pilot</x:v>
      </x:c>
      <x:c r="G376" s="5" t="str">
        <x:v>WQ</x:v>
      </x:c>
    </x:row>
    <x:row r="377" ht="36" customHeight="1">
      <x:c r="A377" s="5" t="str">
        <x:v>BR-0088</x:v>
      </x:c>
      <x:c r="B377" s="5" t="str">
        <x:v>Rechnungswesen</x:v>
      </x:c>
      <x:c r="C377" s="11" t="n">
        <x:v>1</x:v>
      </x:c>
      <x:c r="D377" s="11" t="n">
        <x:f>COUNTIF('Einzel-ID-Zuordnung'!$A$7:$A$2692,A377)</x:f>
        <x:v>1</x:v>
      </x:c>
      <x:c r="E377" s="11" t="n">
        <x:f>D377-C377</x:f>
        <x:v>0</x:v>
      </x:c>
      <x:c r="F377" s="5" t="str">
        <x:v>nicht Pilot</x:v>
      </x:c>
      <x:c r="G377" s="5" t="str">
        <x:v>WQ</x:v>
      </x:c>
    </x:row>
    <x:row r="378" ht="36" customHeight="1">
      <x:c r="A378" s="5" t="str">
        <x:v>BR-0089</x:v>
      </x:c>
      <x:c r="B378" s="5" t="str">
        <x:v>Rechnungswesen</x:v>
      </x:c>
      <x:c r="C378" s="11" t="n">
        <x:v>1</x:v>
      </x:c>
      <x:c r="D378" s="11" t="n">
        <x:f>COUNTIF('Einzel-ID-Zuordnung'!$A$7:$A$2692,A378)</x:f>
        <x:v>1</x:v>
      </x:c>
      <x:c r="E378" s="11" t="n">
        <x:f>D378-C378</x:f>
        <x:v>0</x:v>
      </x:c>
      <x:c r="F378" s="5" t="str">
        <x:v>nicht Pilot</x:v>
      </x:c>
      <x:c r="G378" s="5" t="str">
        <x:v>WQ</x:v>
      </x:c>
    </x:row>
    <x:row r="379" ht="36" customHeight="1">
      <x:c r="A379" s="5" t="str">
        <x:v>BR-0090</x:v>
      </x:c>
      <x:c r="B379" s="5" t="str">
        <x:v>Rechnungswesen</x:v>
      </x:c>
      <x:c r="C379" s="11" t="n">
        <x:v>1</x:v>
      </x:c>
      <x:c r="D379" s="11" t="n">
        <x:f>COUNTIF('Einzel-ID-Zuordnung'!$A$7:$A$2692,A379)</x:f>
        <x:v>1</x:v>
      </x:c>
      <x:c r="E379" s="11" t="n">
        <x:f>D379-C379</x:f>
        <x:v>0</x:v>
      </x:c>
      <x:c r="F379" s="5" t="str">
        <x:v>nicht Pilot</x:v>
      </x:c>
      <x:c r="G379" s="5" t="str">
        <x:v>WQ</x:v>
      </x:c>
    </x:row>
    <x:row r="380" ht="36" customHeight="1">
      <x:c r="A380" s="5" t="str">
        <x:v>BR-0091</x:v>
      </x:c>
      <x:c r="B380" s="5" t="str">
        <x:v>Rechnungswesen</x:v>
      </x:c>
      <x:c r="C380" s="11" t="n">
        <x:v>1</x:v>
      </x:c>
      <x:c r="D380" s="11" t="n">
        <x:f>COUNTIF('Einzel-ID-Zuordnung'!$A$7:$A$2692,A380)</x:f>
        <x:v>1</x:v>
      </x:c>
      <x:c r="E380" s="11" t="n">
        <x:f>D380-C380</x:f>
        <x:v>0</x:v>
      </x:c>
      <x:c r="F380" s="5" t="str">
        <x:v>nicht Pilot</x:v>
      </x:c>
      <x:c r="G380" s="5" t="str">
        <x:v>WQ</x:v>
      </x:c>
    </x:row>
    <x:row r="381" ht="36" customHeight="1">
      <x:c r="A381" s="5" t="str">
        <x:v>BR-0092</x:v>
      </x:c>
      <x:c r="B381" s="5" t="str">
        <x:v>Rechnungswesen</x:v>
      </x:c>
      <x:c r="C381" s="11" t="n">
        <x:v>1</x:v>
      </x:c>
      <x:c r="D381" s="11" t="n">
        <x:f>COUNTIF('Einzel-ID-Zuordnung'!$A$7:$A$2692,A381)</x:f>
        <x:v>1</x:v>
      </x:c>
      <x:c r="E381" s="11" t="n">
        <x:f>D381-C381</x:f>
        <x:v>0</x:v>
      </x:c>
      <x:c r="F381" s="5" t="str">
        <x:v>nicht Pilot</x:v>
      </x:c>
      <x:c r="G381" s="5" t="str">
        <x:v>WQ</x:v>
      </x:c>
    </x:row>
    <x:row r="382" ht="36" customHeight="1">
      <x:c r="A382" s="5" t="str">
        <x:v>BR-0093</x:v>
      </x:c>
      <x:c r="B382" s="5" t="str">
        <x:v>Rechnungswesen</x:v>
      </x:c>
      <x:c r="C382" s="11" t="n">
        <x:v>1</x:v>
      </x:c>
      <x:c r="D382" s="11" t="n">
        <x:f>COUNTIF('Einzel-ID-Zuordnung'!$A$7:$A$2692,A382)</x:f>
        <x:v>1</x:v>
      </x:c>
      <x:c r="E382" s="11" t="n">
        <x:f>D382-C382</x:f>
        <x:v>0</x:v>
      </x:c>
      <x:c r="F382" s="5" t="str">
        <x:v>nicht Pilot</x:v>
      </x:c>
      <x:c r="G382" s="5" t="str">
        <x:v>WQ</x:v>
      </x:c>
    </x:row>
    <x:row r="383" ht="36" customHeight="1">
      <x:c r="A383" s="5" t="str">
        <x:v>BR-0094</x:v>
      </x:c>
      <x:c r="B383" s="5" t="str">
        <x:v>Rechnungswesen</x:v>
      </x:c>
      <x:c r="C383" s="11" t="n">
        <x:v>1</x:v>
      </x:c>
      <x:c r="D383" s="11" t="n">
        <x:f>COUNTIF('Einzel-ID-Zuordnung'!$A$7:$A$2692,A383)</x:f>
        <x:v>1</x:v>
      </x:c>
      <x:c r="E383" s="11" t="n">
        <x:f>D383-C383</x:f>
        <x:v>0</x:v>
      </x:c>
      <x:c r="F383" s="5" t="str">
        <x:v>nicht Pilot</x:v>
      </x:c>
      <x:c r="G383" s="5" t="str">
        <x:v>WQ</x:v>
      </x:c>
    </x:row>
    <x:row r="384" ht="36" customHeight="1">
      <x:c r="A384" s="5" t="str">
        <x:v>BR-0095</x:v>
      </x:c>
      <x:c r="B384" s="5" t="str">
        <x:v>Rechnungswesen</x:v>
      </x:c>
      <x:c r="C384" s="11" t="n">
        <x:v>1</x:v>
      </x:c>
      <x:c r="D384" s="11" t="n">
        <x:f>COUNTIF('Einzel-ID-Zuordnung'!$A$7:$A$2692,A384)</x:f>
        <x:v>1</x:v>
      </x:c>
      <x:c r="E384" s="11" t="n">
        <x:f>D384-C384</x:f>
        <x:v>0</x:v>
      </x:c>
      <x:c r="F384" s="5" t="str">
        <x:v>nicht Pilot</x:v>
      </x:c>
      <x:c r="G384" s="5" t="str">
        <x:v>WQ</x:v>
      </x:c>
    </x:row>
    <x:row r="385" ht="36" customHeight="1">
      <x:c r="A385" s="5" t="str">
        <x:v>BR-0096</x:v>
      </x:c>
      <x:c r="B385" s="5" t="str">
        <x:v>Rechnungswesen</x:v>
      </x:c>
      <x:c r="C385" s="11" t="n">
        <x:v>1</x:v>
      </x:c>
      <x:c r="D385" s="11" t="n">
        <x:f>COUNTIF('Einzel-ID-Zuordnung'!$A$7:$A$2692,A385)</x:f>
        <x:v>1</x:v>
      </x:c>
      <x:c r="E385" s="11" t="n">
        <x:f>D385-C385</x:f>
        <x:v>0</x:v>
      </x:c>
      <x:c r="F385" s="5" t="str">
        <x:v>nicht Pilot</x:v>
      </x:c>
      <x:c r="G385" s="5" t="str">
        <x:v>WQ</x:v>
      </x:c>
    </x:row>
    <x:row r="386" ht="36" customHeight="1">
      <x:c r="A386" s="5" t="str">
        <x:v>BR-0097</x:v>
      </x:c>
      <x:c r="B386" s="5" t="str">
        <x:v>Rechnungswesen</x:v>
      </x:c>
      <x:c r="C386" s="11" t="n">
        <x:v>1</x:v>
      </x:c>
      <x:c r="D386" s="11" t="n">
        <x:f>COUNTIF('Einzel-ID-Zuordnung'!$A$7:$A$2692,A386)</x:f>
        <x:v>1</x:v>
      </x:c>
      <x:c r="E386" s="11" t="n">
        <x:f>D386-C386</x:f>
        <x:v>0</x:v>
      </x:c>
      <x:c r="F386" s="5" t="str">
        <x:v>nicht Pilot</x:v>
      </x:c>
      <x:c r="G386" s="5" t="str">
        <x:v>WQ</x:v>
      </x:c>
    </x:row>
    <x:row r="387" ht="36" customHeight="1">
      <x:c r="A387" s="5" t="str">
        <x:v>BR-0098</x:v>
      </x:c>
      <x:c r="B387" s="5" t="str">
        <x:v>Rechnungswesen</x:v>
      </x:c>
      <x:c r="C387" s="11" t="n">
        <x:v>1</x:v>
      </x:c>
      <x:c r="D387" s="11" t="n">
        <x:f>COUNTIF('Einzel-ID-Zuordnung'!$A$7:$A$2692,A387)</x:f>
        <x:v>1</x:v>
      </x:c>
      <x:c r="E387" s="11" t="n">
        <x:f>D387-C387</x:f>
        <x:v>0</x:v>
      </x:c>
      <x:c r="F387" s="5" t="str">
        <x:v>nicht Pilot</x:v>
      </x:c>
      <x:c r="G387" s="5" t="str">
        <x:v>WQ</x:v>
      </x:c>
    </x:row>
    <x:row r="388" ht="36" customHeight="1">
      <x:c r="A388" s="5" t="str">
        <x:v>BR-0099</x:v>
      </x:c>
      <x:c r="B388" s="5" t="str">
        <x:v>Rechnungswesen</x:v>
      </x:c>
      <x:c r="C388" s="11" t="n">
        <x:v>1</x:v>
      </x:c>
      <x:c r="D388" s="11" t="n">
        <x:f>COUNTIF('Einzel-ID-Zuordnung'!$A$7:$A$2692,A388)</x:f>
        <x:v>1</x:v>
      </x:c>
      <x:c r="E388" s="11" t="n">
        <x:f>D388-C388</x:f>
        <x:v>0</x:v>
      </x:c>
      <x:c r="F388" s="5" t="str">
        <x:v>nicht Pilot</x:v>
      </x:c>
      <x:c r="G388" s="5" t="str">
        <x:v>WQ</x:v>
      </x:c>
    </x:row>
    <x:row r="389" ht="36" customHeight="1">
      <x:c r="A389" s="5" t="str">
        <x:v>BR-0100</x:v>
      </x:c>
      <x:c r="B389" s="5" t="str">
        <x:v>Rechnungswesen</x:v>
      </x:c>
      <x:c r="C389" s="11" t="n">
        <x:v>1</x:v>
      </x:c>
      <x:c r="D389" s="11" t="n">
        <x:f>COUNTIF('Einzel-ID-Zuordnung'!$A$7:$A$2692,A389)</x:f>
        <x:v>1</x:v>
      </x:c>
      <x:c r="E389" s="11" t="n">
        <x:f>D389-C389</x:f>
        <x:v>0</x:v>
      </x:c>
      <x:c r="F389" s="5" t="str">
        <x:v>nicht Pilot</x:v>
      </x:c>
      <x:c r="G389" s="5" t="str">
        <x:v>WQ</x:v>
      </x:c>
    </x:row>
    <x:row r="390" ht="36" customHeight="1">
      <x:c r="A390" s="5" t="str">
        <x:v>BR-0101</x:v>
      </x:c>
      <x:c r="B390" s="5" t="str">
        <x:v>Rechnungswesen</x:v>
      </x:c>
      <x:c r="C390" s="11" t="n">
        <x:v>1</x:v>
      </x:c>
      <x:c r="D390" s="11" t="n">
        <x:f>COUNTIF('Einzel-ID-Zuordnung'!$A$7:$A$2692,A390)</x:f>
        <x:v>1</x:v>
      </x:c>
      <x:c r="E390" s="11" t="n">
        <x:f>D390-C390</x:f>
        <x:v>0</x:v>
      </x:c>
      <x:c r="F390" s="5" t="str">
        <x:v>nicht Pilot</x:v>
      </x:c>
      <x:c r="G390" s="5" t="str">
        <x:v>WQ</x:v>
      </x:c>
    </x:row>
    <x:row r="391" ht="36" customHeight="1">
      <x:c r="A391" s="5" t="str">
        <x:v>BR-0102</x:v>
      </x:c>
      <x:c r="B391" s="5" t="str">
        <x:v>Rechnungswesen</x:v>
      </x:c>
      <x:c r="C391" s="11" t="n">
        <x:v>1</x:v>
      </x:c>
      <x:c r="D391" s="11" t="n">
        <x:f>COUNTIF('Einzel-ID-Zuordnung'!$A$7:$A$2692,A391)</x:f>
        <x:v>1</x:v>
      </x:c>
      <x:c r="E391" s="11" t="n">
        <x:f>D391-C391</x:f>
        <x:v>0</x:v>
      </x:c>
      <x:c r="F391" s="5" t="str">
        <x:v>nicht Pilot</x:v>
      </x:c>
      <x:c r="G391" s="5" t="str">
        <x:v>WQ</x:v>
      </x:c>
    </x:row>
    <x:row r="392" ht="36" customHeight="1">
      <x:c r="A392" s="5" t="str">
        <x:v>BR-0103</x:v>
      </x:c>
      <x:c r="B392" s="5" t="str">
        <x:v>Rechnungswesen</x:v>
      </x:c>
      <x:c r="C392" s="11" t="n">
        <x:v>1</x:v>
      </x:c>
      <x:c r="D392" s="11" t="n">
        <x:f>COUNTIF('Einzel-ID-Zuordnung'!$A$7:$A$2692,A392)</x:f>
        <x:v>1</x:v>
      </x:c>
      <x:c r="E392" s="11" t="n">
        <x:f>D392-C392</x:f>
        <x:v>0</x:v>
      </x:c>
      <x:c r="F392" s="5" t="str">
        <x:v>nicht Pilot</x:v>
      </x:c>
      <x:c r="G392" s="5" t="str">
        <x:v>WQ</x:v>
      </x:c>
    </x:row>
    <x:row r="393" ht="36" customHeight="1">
      <x:c r="A393" s="5" t="str">
        <x:v>BR-0104</x:v>
      </x:c>
      <x:c r="B393" s="5" t="str">
        <x:v>Rechnungswesen</x:v>
      </x:c>
      <x:c r="C393" s="11" t="n">
        <x:v>1</x:v>
      </x:c>
      <x:c r="D393" s="11" t="n">
        <x:f>COUNTIF('Einzel-ID-Zuordnung'!$A$7:$A$2692,A393)</x:f>
        <x:v>1</x:v>
      </x:c>
      <x:c r="E393" s="11" t="n">
        <x:f>D393-C393</x:f>
        <x:v>0</x:v>
      </x:c>
      <x:c r="F393" s="5" t="str">
        <x:v>nicht Pilot</x:v>
      </x:c>
      <x:c r="G393" s="5" t="str">
        <x:v>WQ</x:v>
      </x:c>
    </x:row>
    <x:row r="394" ht="36" customHeight="1">
      <x:c r="A394" s="5" t="str">
        <x:v>BR-0105</x:v>
      </x:c>
      <x:c r="B394" s="5" t="str">
        <x:v>Rechnungswesen</x:v>
      </x:c>
      <x:c r="C394" s="11" t="n">
        <x:v>1</x:v>
      </x:c>
      <x:c r="D394" s="11" t="n">
        <x:f>COUNTIF('Einzel-ID-Zuordnung'!$A$7:$A$2692,A394)</x:f>
        <x:v>1</x:v>
      </x:c>
      <x:c r="E394" s="11" t="n">
        <x:f>D394-C394</x:f>
        <x:v>0</x:v>
      </x:c>
      <x:c r="F394" s="5" t="str">
        <x:v>nicht Pilot</x:v>
      </x:c>
      <x:c r="G394" s="5" t="str">
        <x:v>WQ</x:v>
      </x:c>
    </x:row>
    <x:row r="395" ht="36" customHeight="1">
      <x:c r="A395" s="5" t="str">
        <x:v>BR-0106</x:v>
      </x:c>
      <x:c r="B395" s="5" t="str">
        <x:v>Rechnungswesen</x:v>
      </x:c>
      <x:c r="C395" s="11" t="n">
        <x:v>1</x:v>
      </x:c>
      <x:c r="D395" s="11" t="n">
        <x:f>COUNTIF('Einzel-ID-Zuordnung'!$A$7:$A$2692,A395)</x:f>
        <x:v>1</x:v>
      </x:c>
      <x:c r="E395" s="11" t="n">
        <x:f>D395-C395</x:f>
        <x:v>0</x:v>
      </x:c>
      <x:c r="F395" s="5" t="str">
        <x:v>nicht Pilot</x:v>
      </x:c>
      <x:c r="G395" s="5" t="str">
        <x:v>WQ</x:v>
      </x:c>
    </x:row>
    <x:row r="396" ht="36" customHeight="1">
      <x:c r="A396" s="5" t="str">
        <x:v>BR-0107</x:v>
      </x:c>
      <x:c r="B396" s="5" t="str">
        <x:v>Rechnungswesen</x:v>
      </x:c>
      <x:c r="C396" s="11" t="n">
        <x:v>1</x:v>
      </x:c>
      <x:c r="D396" s="11" t="n">
        <x:f>COUNTIF('Einzel-ID-Zuordnung'!$A$7:$A$2692,A396)</x:f>
        <x:v>1</x:v>
      </x:c>
      <x:c r="E396" s="11" t="n">
        <x:f>D396-C396</x:f>
        <x:v>0</x:v>
      </x:c>
      <x:c r="F396" s="5" t="str">
        <x:v>nicht Pilot</x:v>
      </x:c>
      <x:c r="G396" s="5" t="str">
        <x:v>WQ</x:v>
      </x:c>
    </x:row>
    <x:row r="397" ht="36" customHeight="1">
      <x:c r="A397" s="5" t="str">
        <x:v>BR-0108</x:v>
      </x:c>
      <x:c r="B397" s="5" t="str">
        <x:v>Rechnungswesen</x:v>
      </x:c>
      <x:c r="C397" s="11" t="n">
        <x:v>1</x:v>
      </x:c>
      <x:c r="D397" s="11" t="n">
        <x:f>COUNTIF('Einzel-ID-Zuordnung'!$A$7:$A$2692,A397)</x:f>
        <x:v>1</x:v>
      </x:c>
      <x:c r="E397" s="11" t="n">
        <x:f>D397-C397</x:f>
        <x:v>0</x:v>
      </x:c>
      <x:c r="F397" s="5" t="str">
        <x:v>nicht Pilot</x:v>
      </x:c>
      <x:c r="G397" s="5" t="str">
        <x:v>WQ</x:v>
      </x:c>
    </x:row>
    <x:row r="398" ht="36" customHeight="1">
      <x:c r="A398" s="5" t="str">
        <x:v>BR-0109</x:v>
      </x:c>
      <x:c r="B398" s="5" t="str">
        <x:v>Rechnungswesen</x:v>
      </x:c>
      <x:c r="C398" s="11" t="n">
        <x:v>1</x:v>
      </x:c>
      <x:c r="D398" s="11" t="n">
        <x:f>COUNTIF('Einzel-ID-Zuordnung'!$A$7:$A$2692,A398)</x:f>
        <x:v>1</x:v>
      </x:c>
      <x:c r="E398" s="11" t="n">
        <x:f>D398-C398</x:f>
        <x:v>0</x:v>
      </x:c>
      <x:c r="F398" s="5" t="str">
        <x:v>nicht Pilot</x:v>
      </x:c>
      <x:c r="G398" s="5" t="str">
        <x:v>WQ</x:v>
      </x:c>
    </x:row>
    <x:row r="399" ht="36" customHeight="1">
      <x:c r="A399" s="5" t="str">
        <x:v>BR-0110</x:v>
      </x:c>
      <x:c r="B399" s="5" t="str">
        <x:v>Rechnungswesen</x:v>
      </x:c>
      <x:c r="C399" s="11" t="n">
        <x:v>1</x:v>
      </x:c>
      <x:c r="D399" s="11" t="n">
        <x:f>COUNTIF('Einzel-ID-Zuordnung'!$A$7:$A$2692,A399)</x:f>
        <x:v>1</x:v>
      </x:c>
      <x:c r="E399" s="11" t="n">
        <x:f>D399-C399</x:f>
        <x:v>0</x:v>
      </x:c>
      <x:c r="F399" s="5" t="str">
        <x:v>nicht Pilot</x:v>
      </x:c>
      <x:c r="G399" s="5" t="str">
        <x:v>WQ</x:v>
      </x:c>
    </x:row>
    <x:row r="400" ht="36" customHeight="1">
      <x:c r="A400" s="5" t="str">
        <x:v>BR-0111</x:v>
      </x:c>
      <x:c r="B400" s="5" t="str">
        <x:v>Rechnungswesen</x:v>
      </x:c>
      <x:c r="C400" s="11" t="n">
        <x:v>1</x:v>
      </x:c>
      <x:c r="D400" s="11" t="n">
        <x:f>COUNTIF('Einzel-ID-Zuordnung'!$A$7:$A$2692,A400)</x:f>
        <x:v>1</x:v>
      </x:c>
      <x:c r="E400" s="11" t="n">
        <x:f>D400-C400</x:f>
        <x:v>0</x:v>
      </x:c>
      <x:c r="F400" s="5" t="str">
        <x:v>nicht Pilot</x:v>
      </x:c>
      <x:c r="G400" s="5" t="str">
        <x:v>WQ</x:v>
      </x:c>
    </x:row>
    <x:row r="401" ht="36" customHeight="1">
      <x:c r="A401" s="5" t="str">
        <x:v>BR-0112</x:v>
      </x:c>
      <x:c r="B401" s="5" t="str">
        <x:v>Rechnungswesen</x:v>
      </x:c>
      <x:c r="C401" s="11" t="n">
        <x:v>1</x:v>
      </x:c>
      <x:c r="D401" s="11" t="n">
        <x:f>COUNTIF('Einzel-ID-Zuordnung'!$A$7:$A$2692,A401)</x:f>
        <x:v>1</x:v>
      </x:c>
      <x:c r="E401" s="11" t="n">
        <x:f>D401-C401</x:f>
        <x:v>0</x:v>
      </x:c>
      <x:c r="F401" s="5" t="str">
        <x:v>nicht Pilot</x:v>
      </x:c>
      <x:c r="G401" s="5" t="str">
        <x:v>WQ</x:v>
      </x:c>
    </x:row>
    <x:row r="402" ht="36" customHeight="1">
      <x:c r="A402" s="5" t="str">
        <x:v>BR-0113</x:v>
      </x:c>
      <x:c r="B402" s="5" t="str">
        <x:v>Rechnungswesen</x:v>
      </x:c>
      <x:c r="C402" s="11" t="n">
        <x:v>1</x:v>
      </x:c>
      <x:c r="D402" s="11" t="n">
        <x:f>COUNTIF('Einzel-ID-Zuordnung'!$A$7:$A$2692,A402)</x:f>
        <x:v>1</x:v>
      </x:c>
      <x:c r="E402" s="11" t="n">
        <x:f>D402-C402</x:f>
        <x:v>0</x:v>
      </x:c>
      <x:c r="F402" s="5" t="str">
        <x:v>nicht Pilot</x:v>
      </x:c>
      <x:c r="G402" s="5" t="str">
        <x:v>WQ</x:v>
      </x:c>
    </x:row>
    <x:row r="403" ht="36" customHeight="1">
      <x:c r="A403" s="5" t="str">
        <x:v>BR-0114</x:v>
      </x:c>
      <x:c r="B403" s="5" t="str">
        <x:v>Rechnungswesen</x:v>
      </x:c>
      <x:c r="C403" s="11" t="n">
        <x:v>1</x:v>
      </x:c>
      <x:c r="D403" s="11" t="n">
        <x:f>COUNTIF('Einzel-ID-Zuordnung'!$A$7:$A$2692,A403)</x:f>
        <x:v>1</x:v>
      </x:c>
      <x:c r="E403" s="11" t="n">
        <x:f>D403-C403</x:f>
        <x:v>0</x:v>
      </x:c>
      <x:c r="F403" s="5" t="str">
        <x:v>nicht Pilot</x:v>
      </x:c>
      <x:c r="G403" s="5" t="str">
        <x:v>WQ</x:v>
      </x:c>
    </x:row>
    <x:row r="404" ht="36" customHeight="1">
      <x:c r="A404" s="5" t="str">
        <x:v>BR-0115</x:v>
      </x:c>
      <x:c r="B404" s="5" t="str">
        <x:v>Rechnungswesen</x:v>
      </x:c>
      <x:c r="C404" s="11" t="n">
        <x:v>1</x:v>
      </x:c>
      <x:c r="D404" s="11" t="n">
        <x:f>COUNTIF('Einzel-ID-Zuordnung'!$A$7:$A$2692,A404)</x:f>
        <x:v>1</x:v>
      </x:c>
      <x:c r="E404" s="11" t="n">
        <x:f>D404-C404</x:f>
        <x:v>0</x:v>
      </x:c>
      <x:c r="F404" s="5" t="str">
        <x:v>nicht Pilot</x:v>
      </x:c>
      <x:c r="G404" s="5" t="str">
        <x:v>WQ</x:v>
      </x:c>
    </x:row>
    <x:row r="405" ht="36" customHeight="1">
      <x:c r="A405" s="5" t="str">
        <x:v>BR-0116</x:v>
      </x:c>
      <x:c r="B405" s="5" t="str">
        <x:v>Rechnungswesen</x:v>
      </x:c>
      <x:c r="C405" s="11" t="n">
        <x:v>1</x:v>
      </x:c>
      <x:c r="D405" s="11" t="n">
        <x:f>COUNTIF('Einzel-ID-Zuordnung'!$A$7:$A$2692,A405)</x:f>
        <x:v>1</x:v>
      </x:c>
      <x:c r="E405" s="11" t="n">
        <x:f>D405-C405</x:f>
        <x:v>0</x:v>
      </x:c>
      <x:c r="F405" s="5" t="str">
        <x:v>nicht Pilot</x:v>
      </x:c>
      <x:c r="G405" s="5" t="str">
        <x:v>WQ</x:v>
      </x:c>
    </x:row>
    <x:row r="406" ht="36" customHeight="1">
      <x:c r="A406" s="5" t="str">
        <x:v>BR-0117</x:v>
      </x:c>
      <x:c r="B406" s="5" t="str">
        <x:v>Rechnungswesen</x:v>
      </x:c>
      <x:c r="C406" s="11" t="n">
        <x:v>1</x:v>
      </x:c>
      <x:c r="D406" s="11" t="n">
        <x:f>COUNTIF('Einzel-ID-Zuordnung'!$A$7:$A$2692,A406)</x:f>
        <x:v>1</x:v>
      </x:c>
      <x:c r="E406" s="11" t="n">
        <x:f>D406-C406</x:f>
        <x:v>0</x:v>
      </x:c>
      <x:c r="F406" s="5" t="str">
        <x:v>nicht Pilot</x:v>
      </x:c>
      <x:c r="G406" s="5" t="str">
        <x:v>WQ</x:v>
      </x:c>
    </x:row>
    <x:row r="407" ht="36" customHeight="1">
      <x:c r="A407" s="5" t="str">
        <x:v>BR-0118</x:v>
      </x:c>
      <x:c r="B407" s="5" t="str">
        <x:v>Rechnungswesen</x:v>
      </x:c>
      <x:c r="C407" s="11" t="n">
        <x:v>1</x:v>
      </x:c>
      <x:c r="D407" s="11" t="n">
        <x:f>COUNTIF('Einzel-ID-Zuordnung'!$A$7:$A$2692,A407)</x:f>
        <x:v>1</x:v>
      </x:c>
      <x:c r="E407" s="11" t="n">
        <x:f>D407-C407</x:f>
        <x:v>0</x:v>
      </x:c>
      <x:c r="F407" s="5" t="str">
        <x:v>nicht Pilot</x:v>
      </x:c>
      <x:c r="G407" s="5" t="str">
        <x:v>WQ</x:v>
      </x:c>
    </x:row>
    <x:row r="408" ht="36" customHeight="1">
      <x:c r="A408" s="5" t="str">
        <x:v>BR-0119</x:v>
      </x:c>
      <x:c r="B408" s="5" t="str">
        <x:v>Rechnungswesen</x:v>
      </x:c>
      <x:c r="C408" s="11" t="n">
        <x:v>1</x:v>
      </x:c>
      <x:c r="D408" s="11" t="n">
        <x:f>COUNTIF('Einzel-ID-Zuordnung'!$A$7:$A$2692,A408)</x:f>
        <x:v>1</x:v>
      </x:c>
      <x:c r="E408" s="11" t="n">
        <x:f>D408-C408</x:f>
        <x:v>0</x:v>
      </x:c>
      <x:c r="F408" s="5" t="str">
        <x:v>nicht Pilot</x:v>
      </x:c>
      <x:c r="G408" s="5" t="str">
        <x:v>WQ</x:v>
      </x:c>
    </x:row>
    <x:row r="409" ht="36" customHeight="1">
      <x:c r="A409" s="5" t="str">
        <x:v>BR-0120</x:v>
      </x:c>
      <x:c r="B409" s="5" t="str">
        <x:v>Rechnungswesen</x:v>
      </x:c>
      <x:c r="C409" s="11" t="n">
        <x:v>1</x:v>
      </x:c>
      <x:c r="D409" s="11" t="n">
        <x:f>COUNTIF('Einzel-ID-Zuordnung'!$A$7:$A$2692,A409)</x:f>
        <x:v>1</x:v>
      </x:c>
      <x:c r="E409" s="11" t="n">
        <x:f>D409-C409</x:f>
        <x:v>0</x:v>
      </x:c>
      <x:c r="F409" s="5" t="str">
        <x:v>nicht Pilot</x:v>
      </x:c>
      <x:c r="G409" s="5" t="str">
        <x:v>WQ</x:v>
      </x:c>
    </x:row>
    <x:row r="410" ht="36" customHeight="1">
      <x:c r="A410" s="5" t="str">
        <x:v>BR-0121</x:v>
      </x:c>
      <x:c r="B410" s="5" t="str">
        <x:v>Rechnungswesen</x:v>
      </x:c>
      <x:c r="C410" s="11" t="n">
        <x:v>1</x:v>
      </x:c>
      <x:c r="D410" s="11" t="n">
        <x:f>COUNTIF('Einzel-ID-Zuordnung'!$A$7:$A$2692,A410)</x:f>
        <x:v>1</x:v>
      </x:c>
      <x:c r="E410" s="11" t="n">
        <x:f>D410-C410</x:f>
        <x:v>0</x:v>
      </x:c>
      <x:c r="F410" s="5" t="str">
        <x:v>nicht Pilot</x:v>
      </x:c>
      <x:c r="G410" s="5" t="str">
        <x:v>WQ</x:v>
      </x:c>
    </x:row>
    <x:row r="411" ht="36" customHeight="1">
      <x:c r="A411" s="5" t="str">
        <x:v>BR-0122</x:v>
      </x:c>
      <x:c r="B411" s="5" t="str">
        <x:v>Rechnungswesen</x:v>
      </x:c>
      <x:c r="C411" s="11" t="n">
        <x:v>1</x:v>
      </x:c>
      <x:c r="D411" s="11" t="n">
        <x:f>COUNTIF('Einzel-ID-Zuordnung'!$A$7:$A$2692,A411)</x:f>
        <x:v>1</x:v>
      </x:c>
      <x:c r="E411" s="11" t="n">
        <x:f>D411-C411</x:f>
        <x:v>0</x:v>
      </x:c>
      <x:c r="F411" s="5" t="str">
        <x:v>nicht Pilot</x:v>
      </x:c>
      <x:c r="G411" s="5" t="str">
        <x:v>WQ</x:v>
      </x:c>
    </x:row>
    <x:row r="412" ht="36" customHeight="1">
      <x:c r="A412" s="5" t="str">
        <x:v>R-0001</x:v>
      </x:c>
      <x:c r="B412" s="5" t="str">
        <x:v>Recht</x:v>
      </x:c>
      <x:c r="C412" s="11" t="n">
        <x:v>1</x:v>
      </x:c>
      <x:c r="D412" s="11" t="n">
        <x:f>COUNTIF('Einzel-ID-Zuordnung'!$A$7:$A$2692,A412)</x:f>
        <x:v>1</x:v>
      </x:c>
      <x:c r="E412" s="11" t="n">
        <x:f>D412-C412</x:f>
        <x:v>0</x:v>
      </x:c>
      <x:c r="F412" s="5" t="str">
        <x:v>ja</x:v>
      </x:c>
      <x:c r="G412" s="5" t="str">
        <x:v>WQ</x:v>
      </x:c>
    </x:row>
    <x:row r="413" ht="36" customHeight="1">
      <x:c r="A413" s="5" t="str">
        <x:v>R-0002</x:v>
      </x:c>
      <x:c r="B413" s="5" t="str">
        <x:v>Recht</x:v>
      </x:c>
      <x:c r="C413" s="11" t="n">
        <x:v>1</x:v>
      </x:c>
      <x:c r="D413" s="11" t="n">
        <x:f>COUNTIF('Einzel-ID-Zuordnung'!$A$7:$A$2692,A413)</x:f>
        <x:v>1</x:v>
      </x:c>
      <x:c r="E413" s="11" t="n">
        <x:f>D413-C413</x:f>
        <x:v>0</x:v>
      </x:c>
      <x:c r="F413" s="5" t="str">
        <x:v>ja</x:v>
      </x:c>
      <x:c r="G413" s="5" t="str">
        <x:v>WQ</x:v>
      </x:c>
    </x:row>
    <x:row r="414" ht="36" customHeight="1">
      <x:c r="A414" s="5" t="str">
        <x:v>R-0003</x:v>
      </x:c>
      <x:c r="B414" s="5" t="str">
        <x:v>Recht</x:v>
      </x:c>
      <x:c r="C414" s="11" t="n">
        <x:v>1</x:v>
      </x:c>
      <x:c r="D414" s="11" t="n">
        <x:f>COUNTIF('Einzel-ID-Zuordnung'!$A$7:$A$2692,A414)</x:f>
        <x:v>1</x:v>
      </x:c>
      <x:c r="E414" s="11" t="n">
        <x:f>D414-C414</x:f>
        <x:v>0</x:v>
      </x:c>
      <x:c r="F414" s="5" t="str">
        <x:v>ja</x:v>
      </x:c>
      <x:c r="G414" s="5" t="str">
        <x:v>WQ</x:v>
      </x:c>
    </x:row>
    <x:row r="415" ht="36" customHeight="1">
      <x:c r="A415" s="5" t="str">
        <x:v>R-0004</x:v>
      </x:c>
      <x:c r="B415" s="5" t="str">
        <x:v>Recht</x:v>
      </x:c>
      <x:c r="C415" s="11" t="n">
        <x:v>1</x:v>
      </x:c>
      <x:c r="D415" s="11" t="n">
        <x:f>COUNTIF('Einzel-ID-Zuordnung'!$A$7:$A$2692,A415)</x:f>
        <x:v>1</x:v>
      </x:c>
      <x:c r="E415" s="11" t="n">
        <x:f>D415-C415</x:f>
        <x:v>0</x:v>
      </x:c>
      <x:c r="F415" s="5" t="str">
        <x:v>ja</x:v>
      </x:c>
      <x:c r="G415" s="5" t="str">
        <x:v>WQ</x:v>
      </x:c>
    </x:row>
    <x:row r="416" ht="36" customHeight="1">
      <x:c r="A416" s="5" t="str">
        <x:v>R-0005</x:v>
      </x:c>
      <x:c r="B416" s="5" t="str">
        <x:v>Recht</x:v>
      </x:c>
      <x:c r="C416" s="11" t="n">
        <x:v>1</x:v>
      </x:c>
      <x:c r="D416" s="11" t="n">
        <x:f>COUNTIF('Einzel-ID-Zuordnung'!$A$7:$A$2692,A416)</x:f>
        <x:v>1</x:v>
      </x:c>
      <x:c r="E416" s="11" t="n">
        <x:f>D416-C416</x:f>
        <x:v>0</x:v>
      </x:c>
      <x:c r="F416" s="5" t="str">
        <x:v>ja</x:v>
      </x:c>
      <x:c r="G416" s="5" t="str">
        <x:v>WQ</x:v>
      </x:c>
    </x:row>
    <x:row r="417" ht="36" customHeight="1">
      <x:c r="A417" s="5" t="str">
        <x:v>R-0006</x:v>
      </x:c>
      <x:c r="B417" s="5" t="str">
        <x:v>Recht</x:v>
      </x:c>
      <x:c r="C417" s="11" t="n">
        <x:v>1</x:v>
      </x:c>
      <x:c r="D417" s="11" t="n">
        <x:f>COUNTIF('Einzel-ID-Zuordnung'!$A$7:$A$2692,A417)</x:f>
        <x:v>1</x:v>
      </x:c>
      <x:c r="E417" s="11" t="n">
        <x:f>D417-C417</x:f>
        <x:v>0</x:v>
      </x:c>
      <x:c r="F417" s="5" t="str">
        <x:v>ja</x:v>
      </x:c>
      <x:c r="G417" s="5" t="str">
        <x:v>WQ</x:v>
      </x:c>
    </x:row>
    <x:row r="418" ht="36" customHeight="1">
      <x:c r="A418" s="5" t="str">
        <x:v>R-0007</x:v>
      </x:c>
      <x:c r="B418" s="5" t="str">
        <x:v>Recht</x:v>
      </x:c>
      <x:c r="C418" s="11" t="n">
        <x:v>1</x:v>
      </x:c>
      <x:c r="D418" s="11" t="n">
        <x:f>COUNTIF('Einzel-ID-Zuordnung'!$A$7:$A$2692,A418)</x:f>
        <x:v>1</x:v>
      </x:c>
      <x:c r="E418" s="11" t="n">
        <x:f>D418-C418</x:f>
        <x:v>0</x:v>
      </x:c>
      <x:c r="F418" s="5" t="str">
        <x:v>ja</x:v>
      </x:c>
      <x:c r="G418" s="5" t="str">
        <x:v>WQ</x:v>
      </x:c>
    </x:row>
    <x:row r="419" ht="36" customHeight="1">
      <x:c r="A419" s="5" t="str">
        <x:v>R-0008</x:v>
      </x:c>
      <x:c r="B419" s="5" t="str">
        <x:v>Recht</x:v>
      </x:c>
      <x:c r="C419" s="11" t="n">
        <x:v>1</x:v>
      </x:c>
      <x:c r="D419" s="11" t="n">
        <x:f>COUNTIF('Einzel-ID-Zuordnung'!$A$7:$A$2692,A419)</x:f>
        <x:v>1</x:v>
      </x:c>
      <x:c r="E419" s="11" t="n">
        <x:f>D419-C419</x:f>
        <x:v>0</x:v>
      </x:c>
      <x:c r="F419" s="5" t="str">
        <x:v>ja</x:v>
      </x:c>
      <x:c r="G419" s="5" t="str">
        <x:v>WQ</x:v>
      </x:c>
    </x:row>
    <x:row r="420" ht="36" customHeight="1">
      <x:c r="A420" s="5" t="str">
        <x:v>R-0009</x:v>
      </x:c>
      <x:c r="B420" s="5" t="str">
        <x:v>Recht</x:v>
      </x:c>
      <x:c r="C420" s="11" t="n">
        <x:v>1</x:v>
      </x:c>
      <x:c r="D420" s="11" t="n">
        <x:f>COUNTIF('Einzel-ID-Zuordnung'!$A$7:$A$2692,A420)</x:f>
        <x:v>1</x:v>
      </x:c>
      <x:c r="E420" s="11" t="n">
        <x:f>D420-C420</x:f>
        <x:v>0</x:v>
      </x:c>
      <x:c r="F420" s="5" t="str">
        <x:v>ja</x:v>
      </x:c>
      <x:c r="G420" s="5" t="str">
        <x:v>WQ</x:v>
      </x:c>
    </x:row>
    <x:row r="421" ht="36" customHeight="1">
      <x:c r="A421" s="5" t="str">
        <x:v>R-0010</x:v>
      </x:c>
      <x:c r="B421" s="5" t="str">
        <x:v>Recht</x:v>
      </x:c>
      <x:c r="C421" s="11" t="n">
        <x:v>1</x:v>
      </x:c>
      <x:c r="D421" s="11" t="n">
        <x:f>COUNTIF('Einzel-ID-Zuordnung'!$A$7:$A$2692,A421)</x:f>
        <x:v>1</x:v>
      </x:c>
      <x:c r="E421" s="11" t="n">
        <x:f>D421-C421</x:f>
        <x:v>0</x:v>
      </x:c>
      <x:c r="F421" s="5" t="str">
        <x:v>ja</x:v>
      </x:c>
      <x:c r="G421" s="5" t="str">
        <x:v>WQ</x:v>
      </x:c>
    </x:row>
    <x:row r="422" ht="36" customHeight="1">
      <x:c r="A422" s="5" t="str">
        <x:v>R-0011</x:v>
      </x:c>
      <x:c r="B422" s="5" t="str">
        <x:v>Recht</x:v>
      </x:c>
      <x:c r="C422" s="11" t="n">
        <x:v>1</x:v>
      </x:c>
      <x:c r="D422" s="11" t="n">
        <x:f>COUNTIF('Einzel-ID-Zuordnung'!$A$7:$A$2692,A422)</x:f>
        <x:v>1</x:v>
      </x:c>
      <x:c r="E422" s="11" t="n">
        <x:f>D422-C422</x:f>
        <x:v>0</x:v>
      </x:c>
      <x:c r="F422" s="5" t="str">
        <x:v>ja</x:v>
      </x:c>
      <x:c r="G422" s="5" t="str">
        <x:v>WQ</x:v>
      </x:c>
    </x:row>
    <x:row r="423" ht="36" customHeight="1">
      <x:c r="A423" s="5" t="str">
        <x:v>R-0012</x:v>
      </x:c>
      <x:c r="B423" s="5" t="str">
        <x:v>Recht</x:v>
      </x:c>
      <x:c r="C423" s="11" t="n">
        <x:v>1</x:v>
      </x:c>
      <x:c r="D423" s="11" t="n">
        <x:f>COUNTIF('Einzel-ID-Zuordnung'!$A$7:$A$2692,A423)</x:f>
        <x:v>1</x:v>
      </x:c>
      <x:c r="E423" s="11" t="n">
        <x:f>D423-C423</x:f>
        <x:v>0</x:v>
      </x:c>
      <x:c r="F423" s="5" t="str">
        <x:v>ja</x:v>
      </x:c>
      <x:c r="G423" s="5" t="str">
        <x:v>WQ</x:v>
      </x:c>
    </x:row>
    <x:row r="424" ht="36" customHeight="1">
      <x:c r="A424" s="5" t="str">
        <x:v>R-0013</x:v>
      </x:c>
      <x:c r="B424" s="5" t="str">
        <x:v>Recht</x:v>
      </x:c>
      <x:c r="C424" s="11" t="n">
        <x:v>1</x:v>
      </x:c>
      <x:c r="D424" s="11" t="n">
        <x:f>COUNTIF('Einzel-ID-Zuordnung'!$A$7:$A$2692,A424)</x:f>
        <x:v>1</x:v>
      </x:c>
      <x:c r="E424" s="11" t="n">
        <x:f>D424-C424</x:f>
        <x:v>0</x:v>
      </x:c>
      <x:c r="F424" s="5" t="str">
        <x:v>ja</x:v>
      </x:c>
      <x:c r="G424" s="5" t="str">
        <x:v>WQ</x:v>
      </x:c>
    </x:row>
    <x:row r="425" ht="36" customHeight="1">
      <x:c r="A425" s="5" t="str">
        <x:v>R-0014</x:v>
      </x:c>
      <x:c r="B425" s="5" t="str">
        <x:v>Recht</x:v>
      </x:c>
      <x:c r="C425" s="11" t="n">
        <x:v>1</x:v>
      </x:c>
      <x:c r="D425" s="11" t="n">
        <x:f>COUNTIF('Einzel-ID-Zuordnung'!$A$7:$A$2692,A425)</x:f>
        <x:v>1</x:v>
      </x:c>
      <x:c r="E425" s="11" t="n">
        <x:f>D425-C425</x:f>
        <x:v>0</x:v>
      </x:c>
      <x:c r="F425" s="5" t="str">
        <x:v>ja</x:v>
      </x:c>
      <x:c r="G425" s="5" t="str">
        <x:v>WQ</x:v>
      </x:c>
    </x:row>
    <x:row r="426" ht="36" customHeight="1">
      <x:c r="A426" s="5" t="str">
        <x:v>R-0015</x:v>
      </x:c>
      <x:c r="B426" s="5" t="str">
        <x:v>Recht</x:v>
      </x:c>
      <x:c r="C426" s="11" t="n">
        <x:v>1</x:v>
      </x:c>
      <x:c r="D426" s="11" t="n">
        <x:f>COUNTIF('Einzel-ID-Zuordnung'!$A$7:$A$2692,A426)</x:f>
        <x:v>1</x:v>
      </x:c>
      <x:c r="E426" s="11" t="n">
        <x:f>D426-C426</x:f>
        <x:v>0</x:v>
      </x:c>
      <x:c r="F426" s="5" t="str">
        <x:v>ja</x:v>
      </x:c>
      <x:c r="G426" s="5" t="str">
        <x:v>WQ</x:v>
      </x:c>
    </x:row>
    <x:row r="427" ht="36" customHeight="1">
      <x:c r="A427" s="5" t="str">
        <x:v>R-0016</x:v>
      </x:c>
      <x:c r="B427" s="5" t="str">
        <x:v>Recht</x:v>
      </x:c>
      <x:c r="C427" s="11" t="n">
        <x:v>1</x:v>
      </x:c>
      <x:c r="D427" s="11" t="n">
        <x:f>COUNTIF('Einzel-ID-Zuordnung'!$A$7:$A$2692,A427)</x:f>
        <x:v>1</x:v>
      </x:c>
      <x:c r="E427" s="11" t="n">
        <x:f>D427-C427</x:f>
        <x:v>0</x:v>
      </x:c>
      <x:c r="F427" s="5" t="str">
        <x:v>ja</x:v>
      </x:c>
      <x:c r="G427" s="5" t="str">
        <x:v>WQ</x:v>
      </x:c>
    </x:row>
    <x:row r="428" ht="36" customHeight="1">
      <x:c r="A428" s="5" t="str">
        <x:v>R-0017</x:v>
      </x:c>
      <x:c r="B428" s="5" t="str">
        <x:v>Recht</x:v>
      </x:c>
      <x:c r="C428" s="11" t="n">
        <x:v>1</x:v>
      </x:c>
      <x:c r="D428" s="11" t="n">
        <x:f>COUNTIF('Einzel-ID-Zuordnung'!$A$7:$A$2692,A428)</x:f>
        <x:v>1</x:v>
      </x:c>
      <x:c r="E428" s="11" t="n">
        <x:f>D428-C428</x:f>
        <x:v>0</x:v>
      </x:c>
      <x:c r="F428" s="5" t="str">
        <x:v>ja</x:v>
      </x:c>
      <x:c r="G428" s="5" t="str">
        <x:v>WQ</x:v>
      </x:c>
    </x:row>
    <x:row r="429" ht="36" customHeight="1">
      <x:c r="A429" s="5" t="str">
        <x:v>R-0018</x:v>
      </x:c>
      <x:c r="B429" s="5" t="str">
        <x:v>Recht</x:v>
      </x:c>
      <x:c r="C429" s="11" t="n">
        <x:v>1</x:v>
      </x:c>
      <x:c r="D429" s="11" t="n">
        <x:f>COUNTIF('Einzel-ID-Zuordnung'!$A$7:$A$2692,A429)</x:f>
        <x:v>1</x:v>
      </x:c>
      <x:c r="E429" s="11" t="n">
        <x:f>D429-C429</x:f>
        <x:v>0</x:v>
      </x:c>
      <x:c r="F429" s="5" t="str">
        <x:v>ja</x:v>
      </x:c>
      <x:c r="G429" s="5" t="str">
        <x:v>WQ</x:v>
      </x:c>
    </x:row>
    <x:row r="430" ht="36" customHeight="1">
      <x:c r="A430" s="5" t="str">
        <x:v>R-0019</x:v>
      </x:c>
      <x:c r="B430" s="5" t="str">
        <x:v>Recht</x:v>
      </x:c>
      <x:c r="C430" s="11" t="n">
        <x:v>1</x:v>
      </x:c>
      <x:c r="D430" s="11" t="n">
        <x:f>COUNTIF('Einzel-ID-Zuordnung'!$A$7:$A$2692,A430)</x:f>
        <x:v>1</x:v>
      </x:c>
      <x:c r="E430" s="11" t="n">
        <x:f>D430-C430</x:f>
        <x:v>0</x:v>
      </x:c>
      <x:c r="F430" s="5" t="str">
        <x:v>ja</x:v>
      </x:c>
      <x:c r="G430" s="5" t="str">
        <x:v>WQ</x:v>
      </x:c>
    </x:row>
    <x:row r="431" ht="36" customHeight="1">
      <x:c r="A431" s="5" t="str">
        <x:v>R-0020</x:v>
      </x:c>
      <x:c r="B431" s="5" t="str">
        <x:v>Recht</x:v>
      </x:c>
      <x:c r="C431" s="11" t="n">
        <x:v>1</x:v>
      </x:c>
      <x:c r="D431" s="11" t="n">
        <x:f>COUNTIF('Einzel-ID-Zuordnung'!$A$7:$A$2692,A431)</x:f>
        <x:v>1</x:v>
      </x:c>
      <x:c r="E431" s="11" t="n">
        <x:f>D431-C431</x:f>
        <x:v>0</x:v>
      </x:c>
      <x:c r="F431" s="5" t="str">
        <x:v>ja</x:v>
      </x:c>
      <x:c r="G431" s="5" t="str">
        <x:v>WQ</x:v>
      </x:c>
    </x:row>
    <x:row r="432" ht="36" customHeight="1">
      <x:c r="A432" s="5" t="str">
        <x:v>R-0021</x:v>
      </x:c>
      <x:c r="B432" s="5" t="str">
        <x:v>Recht</x:v>
      </x:c>
      <x:c r="C432" s="11" t="n">
        <x:v>1</x:v>
      </x:c>
      <x:c r="D432" s="11" t="n">
        <x:f>COUNTIF('Einzel-ID-Zuordnung'!$A$7:$A$2692,A432)</x:f>
        <x:v>1</x:v>
      </x:c>
      <x:c r="E432" s="11" t="n">
        <x:f>D432-C432</x:f>
        <x:v>0</x:v>
      </x:c>
      <x:c r="F432" s="5" t="str">
        <x:v>ja</x:v>
      </x:c>
      <x:c r="G432" s="5" t="str">
        <x:v>WQ</x:v>
      </x:c>
    </x:row>
    <x:row r="433" ht="36" customHeight="1">
      <x:c r="A433" s="5" t="str">
        <x:v>R-0022</x:v>
      </x:c>
      <x:c r="B433" s="5" t="str">
        <x:v>Recht</x:v>
      </x:c>
      <x:c r="C433" s="11" t="n">
        <x:v>1</x:v>
      </x:c>
      <x:c r="D433" s="11" t="n">
        <x:f>COUNTIF('Einzel-ID-Zuordnung'!$A$7:$A$2692,A433)</x:f>
        <x:v>1</x:v>
      </x:c>
      <x:c r="E433" s="11" t="n">
        <x:f>D433-C433</x:f>
        <x:v>0</x:v>
      </x:c>
      <x:c r="F433" s="5" t="str">
        <x:v>ja</x:v>
      </x:c>
      <x:c r="G433" s="5" t="str">
        <x:v>WQ</x:v>
      </x:c>
    </x:row>
    <x:row r="434" ht="36" customHeight="1">
      <x:c r="A434" s="5" t="str">
        <x:v>R-0023</x:v>
      </x:c>
      <x:c r="B434" s="5" t="str">
        <x:v>Recht</x:v>
      </x:c>
      <x:c r="C434" s="11" t="n">
        <x:v>1</x:v>
      </x:c>
      <x:c r="D434" s="11" t="n">
        <x:f>COUNTIF('Einzel-ID-Zuordnung'!$A$7:$A$2692,A434)</x:f>
        <x:v>1</x:v>
      </x:c>
      <x:c r="E434" s="11" t="n">
        <x:f>D434-C434</x:f>
        <x:v>0</x:v>
      </x:c>
      <x:c r="F434" s="5" t="str">
        <x:v>ja</x:v>
      </x:c>
      <x:c r="G434" s="5" t="str">
        <x:v>WQ</x:v>
      </x:c>
    </x:row>
    <x:row r="435" ht="36" customHeight="1">
      <x:c r="A435" s="5" t="str">
        <x:v>R-0024</x:v>
      </x:c>
      <x:c r="B435" s="5" t="str">
        <x:v>Recht</x:v>
      </x:c>
      <x:c r="C435" s="11" t="n">
        <x:v>1</x:v>
      </x:c>
      <x:c r="D435" s="11" t="n">
        <x:f>COUNTIF('Einzel-ID-Zuordnung'!$A$7:$A$2692,A435)</x:f>
        <x:v>1</x:v>
      </x:c>
      <x:c r="E435" s="11" t="n">
        <x:f>D435-C435</x:f>
        <x:v>0</x:v>
      </x:c>
      <x:c r="F435" s="5" t="str">
        <x:v>ja</x:v>
      </x:c>
      <x:c r="G435" s="5" t="str">
        <x:v>WQ</x:v>
      </x:c>
    </x:row>
    <x:row r="436" ht="36" customHeight="1">
      <x:c r="A436" s="5" t="str">
        <x:v>R-0025</x:v>
      </x:c>
      <x:c r="B436" s="5" t="str">
        <x:v>Recht</x:v>
      </x:c>
      <x:c r="C436" s="11" t="n">
        <x:v>1</x:v>
      </x:c>
      <x:c r="D436" s="11" t="n">
        <x:f>COUNTIF('Einzel-ID-Zuordnung'!$A$7:$A$2692,A436)</x:f>
        <x:v>1</x:v>
      </x:c>
      <x:c r="E436" s="11" t="n">
        <x:f>D436-C436</x:f>
        <x:v>0</x:v>
      </x:c>
      <x:c r="F436" s="5" t="str">
        <x:v>ja</x:v>
      </x:c>
      <x:c r="G436" s="5" t="str">
        <x:v>WQ</x:v>
      </x:c>
    </x:row>
    <x:row r="437" ht="36" customHeight="1">
      <x:c r="A437" s="5" t="str">
        <x:v>R-0026</x:v>
      </x:c>
      <x:c r="B437" s="5" t="str">
        <x:v>Recht</x:v>
      </x:c>
      <x:c r="C437" s="11" t="n">
        <x:v>1</x:v>
      </x:c>
      <x:c r="D437" s="11" t="n">
        <x:f>COUNTIF('Einzel-ID-Zuordnung'!$A$7:$A$2692,A437)</x:f>
        <x:v>1</x:v>
      </x:c>
      <x:c r="E437" s="11" t="n">
        <x:f>D437-C437</x:f>
        <x:v>0</x:v>
      </x:c>
      <x:c r="F437" s="5" t="str">
        <x:v>ja</x:v>
      </x:c>
      <x:c r="G437" s="5" t="str">
        <x:v>WQ</x:v>
      </x:c>
    </x:row>
    <x:row r="438" ht="36" customHeight="1">
      <x:c r="A438" s="5" t="str">
        <x:v>R-0027</x:v>
      </x:c>
      <x:c r="B438" s="5" t="str">
        <x:v>Recht</x:v>
      </x:c>
      <x:c r="C438" s="11" t="n">
        <x:v>1</x:v>
      </x:c>
      <x:c r="D438" s="11" t="n">
        <x:f>COUNTIF('Einzel-ID-Zuordnung'!$A$7:$A$2692,A438)</x:f>
        <x:v>1</x:v>
      </x:c>
      <x:c r="E438" s="11" t="n">
        <x:f>D438-C438</x:f>
        <x:v>0</x:v>
      </x:c>
      <x:c r="F438" s="5" t="str">
        <x:v>ja</x:v>
      </x:c>
      <x:c r="G438" s="5" t="str">
        <x:v>WQ</x:v>
      </x:c>
    </x:row>
    <x:row r="439" ht="36" customHeight="1">
      <x:c r="A439" s="5" t="str">
        <x:v>R-0028</x:v>
      </x:c>
      <x:c r="B439" s="5" t="str">
        <x:v>Recht</x:v>
      </x:c>
      <x:c r="C439" s="11" t="n">
        <x:v>1</x:v>
      </x:c>
      <x:c r="D439" s="11" t="n">
        <x:f>COUNTIF('Einzel-ID-Zuordnung'!$A$7:$A$2692,A439)</x:f>
        <x:v>1</x:v>
      </x:c>
      <x:c r="E439" s="11" t="n">
        <x:f>D439-C439</x:f>
        <x:v>0</x:v>
      </x:c>
      <x:c r="F439" s="5" t="str">
        <x:v>ja</x:v>
      </x:c>
      <x:c r="G439" s="5" t="str">
        <x:v>WQ</x:v>
      </x:c>
    </x:row>
    <x:row r="440" ht="36" customHeight="1">
      <x:c r="A440" s="5" t="str">
        <x:v>R-0029</x:v>
      </x:c>
      <x:c r="B440" s="5" t="str">
        <x:v>Recht</x:v>
      </x:c>
      <x:c r="C440" s="11" t="n">
        <x:v>1</x:v>
      </x:c>
      <x:c r="D440" s="11" t="n">
        <x:f>COUNTIF('Einzel-ID-Zuordnung'!$A$7:$A$2692,A440)</x:f>
        <x:v>1</x:v>
      </x:c>
      <x:c r="E440" s="11" t="n">
        <x:f>D440-C440</x:f>
        <x:v>0</x:v>
      </x:c>
      <x:c r="F440" s="5" t="str">
        <x:v>ja</x:v>
      </x:c>
      <x:c r="G440" s="5" t="str">
        <x:v>WQ</x:v>
      </x:c>
    </x:row>
    <x:row r="441" ht="36" customHeight="1">
      <x:c r="A441" s="5" t="str">
        <x:v>R-0030</x:v>
      </x:c>
      <x:c r="B441" s="5" t="str">
        <x:v>Recht</x:v>
      </x:c>
      <x:c r="C441" s="11" t="n">
        <x:v>1</x:v>
      </x:c>
      <x:c r="D441" s="11" t="n">
        <x:f>COUNTIF('Einzel-ID-Zuordnung'!$A$7:$A$2692,A441)</x:f>
        <x:v>1</x:v>
      </x:c>
      <x:c r="E441" s="11" t="n">
        <x:f>D441-C441</x:f>
        <x:v>0</x:v>
      </x:c>
      <x:c r="F441" s="5" t="str">
        <x:v>ja</x:v>
      </x:c>
      <x:c r="G441" s="5" t="str">
        <x:v>WQ</x:v>
      </x:c>
    </x:row>
    <x:row r="442" ht="36" customHeight="1">
      <x:c r="A442" s="5" t="str">
        <x:v>R-0031</x:v>
      </x:c>
      <x:c r="B442" s="5" t="str">
        <x:v>Recht</x:v>
      </x:c>
      <x:c r="C442" s="11" t="n">
        <x:v>1</x:v>
      </x:c>
      <x:c r="D442" s="11" t="n">
        <x:f>COUNTIF('Einzel-ID-Zuordnung'!$A$7:$A$2692,A442)</x:f>
        <x:v>1</x:v>
      </x:c>
      <x:c r="E442" s="11" t="n">
        <x:f>D442-C442</x:f>
        <x:v>0</x:v>
      </x:c>
      <x:c r="F442" s="5" t="str">
        <x:v>ja</x:v>
      </x:c>
      <x:c r="G442" s="5" t="str">
        <x:v>WQ</x:v>
      </x:c>
    </x:row>
    <x:row r="443" ht="36" customHeight="1">
      <x:c r="A443" s="5" t="str">
        <x:v>R-0032</x:v>
      </x:c>
      <x:c r="B443" s="5" t="str">
        <x:v>Recht</x:v>
      </x:c>
      <x:c r="C443" s="11" t="n">
        <x:v>1</x:v>
      </x:c>
      <x:c r="D443" s="11" t="n">
        <x:f>COUNTIF('Einzel-ID-Zuordnung'!$A$7:$A$2692,A443)</x:f>
        <x:v>1</x:v>
      </x:c>
      <x:c r="E443" s="11" t="n">
        <x:f>D443-C443</x:f>
        <x:v>0</x:v>
      </x:c>
      <x:c r="F443" s="5" t="str">
        <x:v>ja</x:v>
      </x:c>
      <x:c r="G443" s="5" t="str">
        <x:v>WQ</x:v>
      </x:c>
    </x:row>
    <x:row r="444" ht="36" customHeight="1">
      <x:c r="A444" s="5" t="str">
        <x:v>R-0033</x:v>
      </x:c>
      <x:c r="B444" s="5" t="str">
        <x:v>Recht</x:v>
      </x:c>
      <x:c r="C444" s="11" t="n">
        <x:v>1</x:v>
      </x:c>
      <x:c r="D444" s="11" t="n">
        <x:f>COUNTIF('Einzel-ID-Zuordnung'!$A$7:$A$2692,A444)</x:f>
        <x:v>1</x:v>
      </x:c>
      <x:c r="E444" s="11" t="n">
        <x:f>D444-C444</x:f>
        <x:v>0</x:v>
      </x:c>
      <x:c r="F444" s="5" t="str">
        <x:v>ja</x:v>
      </x:c>
      <x:c r="G444" s="5" t="str">
        <x:v>WQ</x:v>
      </x:c>
    </x:row>
    <x:row r="445" ht="36" customHeight="1">
      <x:c r="A445" s="5" t="str">
        <x:v>R-0034</x:v>
      </x:c>
      <x:c r="B445" s="5" t="str">
        <x:v>Recht</x:v>
      </x:c>
      <x:c r="C445" s="11" t="n">
        <x:v>1</x:v>
      </x:c>
      <x:c r="D445" s="11" t="n">
        <x:f>COUNTIF('Einzel-ID-Zuordnung'!$A$7:$A$2692,A445)</x:f>
        <x:v>1</x:v>
      </x:c>
      <x:c r="E445" s="11" t="n">
        <x:f>D445-C445</x:f>
        <x:v>0</x:v>
      </x:c>
      <x:c r="F445" s="5" t="str">
        <x:v>ja</x:v>
      </x:c>
      <x:c r="G445" s="5" t="str">
        <x:v>WQ</x:v>
      </x:c>
    </x:row>
    <x:row r="446" ht="36" customHeight="1">
      <x:c r="A446" s="5" t="str">
        <x:v>R-0035</x:v>
      </x:c>
      <x:c r="B446" s="5" t="str">
        <x:v>Recht</x:v>
      </x:c>
      <x:c r="C446" s="11" t="n">
        <x:v>1</x:v>
      </x:c>
      <x:c r="D446" s="11" t="n">
        <x:f>COUNTIF('Einzel-ID-Zuordnung'!$A$7:$A$2692,A446)</x:f>
        <x:v>1</x:v>
      </x:c>
      <x:c r="E446" s="11" t="n">
        <x:f>D446-C446</x:f>
        <x:v>0</x:v>
      </x:c>
      <x:c r="F446" s="5" t="str">
        <x:v>ja</x:v>
      </x:c>
      <x:c r="G446" s="5" t="str">
        <x:v>WQ</x:v>
      </x:c>
    </x:row>
    <x:row r="447" ht="36" customHeight="1">
      <x:c r="A447" s="5" t="str">
        <x:v>R-0036</x:v>
      </x:c>
      <x:c r="B447" s="5" t="str">
        <x:v>Recht</x:v>
      </x:c>
      <x:c r="C447" s="11" t="n">
        <x:v>1</x:v>
      </x:c>
      <x:c r="D447" s="11" t="n">
        <x:f>COUNTIF('Einzel-ID-Zuordnung'!$A$7:$A$2692,A447)</x:f>
        <x:v>1</x:v>
      </x:c>
      <x:c r="E447" s="11" t="n">
        <x:f>D447-C447</x:f>
        <x:v>0</x:v>
      </x:c>
      <x:c r="F447" s="5" t="str">
        <x:v>ja</x:v>
      </x:c>
      <x:c r="G447" s="5" t="str">
        <x:v>WQ</x:v>
      </x:c>
    </x:row>
    <x:row r="448" ht="36" customHeight="1">
      <x:c r="A448" s="5" t="str">
        <x:v>R-0037</x:v>
      </x:c>
      <x:c r="B448" s="5" t="str">
        <x:v>Recht</x:v>
      </x:c>
      <x:c r="C448" s="11" t="n">
        <x:v>1</x:v>
      </x:c>
      <x:c r="D448" s="11" t="n">
        <x:f>COUNTIF('Einzel-ID-Zuordnung'!$A$7:$A$2692,A448)</x:f>
        <x:v>1</x:v>
      </x:c>
      <x:c r="E448" s="11" t="n">
        <x:f>D448-C448</x:f>
        <x:v>0</x:v>
      </x:c>
      <x:c r="F448" s="5" t="str">
        <x:v>ja</x:v>
      </x:c>
      <x:c r="G448" s="5" t="str">
        <x:v>WQ</x:v>
      </x:c>
    </x:row>
    <x:row r="449" ht="36" customHeight="1">
      <x:c r="A449" s="5" t="str">
        <x:v>R-0038</x:v>
      </x:c>
      <x:c r="B449" s="5" t="str">
        <x:v>Recht</x:v>
      </x:c>
      <x:c r="C449" s="11" t="n">
        <x:v>1</x:v>
      </x:c>
      <x:c r="D449" s="11" t="n">
        <x:f>COUNTIF('Einzel-ID-Zuordnung'!$A$7:$A$2692,A449)</x:f>
        <x:v>1</x:v>
      </x:c>
      <x:c r="E449" s="11" t="n">
        <x:f>D449-C449</x:f>
        <x:v>0</x:v>
      </x:c>
      <x:c r="F449" s="5" t="str">
        <x:v>ja</x:v>
      </x:c>
      <x:c r="G449" s="5" t="str">
        <x:v>WQ</x:v>
      </x:c>
    </x:row>
    <x:row r="450" ht="36" customHeight="1">
      <x:c r="A450" s="5" t="str">
        <x:v>R-0039</x:v>
      </x:c>
      <x:c r="B450" s="5" t="str">
        <x:v>Recht</x:v>
      </x:c>
      <x:c r="C450" s="11" t="n">
        <x:v>1</x:v>
      </x:c>
      <x:c r="D450" s="11" t="n">
        <x:f>COUNTIF('Einzel-ID-Zuordnung'!$A$7:$A$2692,A450)</x:f>
        <x:v>1</x:v>
      </x:c>
      <x:c r="E450" s="11" t="n">
        <x:f>D450-C450</x:f>
        <x:v>0</x:v>
      </x:c>
      <x:c r="F450" s="5" t="str">
        <x:v>ja</x:v>
      </x:c>
      <x:c r="G450" s="5" t="str">
        <x:v>WQ</x:v>
      </x:c>
    </x:row>
    <x:row r="451" ht="36" customHeight="1">
      <x:c r="A451" s="5" t="str">
        <x:v>R-0040</x:v>
      </x:c>
      <x:c r="B451" s="5" t="str">
        <x:v>Recht</x:v>
      </x:c>
      <x:c r="C451" s="11" t="n">
        <x:v>1</x:v>
      </x:c>
      <x:c r="D451" s="11" t="n">
        <x:f>COUNTIF('Einzel-ID-Zuordnung'!$A$7:$A$2692,A451)</x:f>
        <x:v>1</x:v>
      </x:c>
      <x:c r="E451" s="11" t="n">
        <x:f>D451-C451</x:f>
        <x:v>0</x:v>
      </x:c>
      <x:c r="F451" s="5" t="str">
        <x:v>ja</x:v>
      </x:c>
      <x:c r="G451" s="5" t="str">
        <x:v>WQ</x:v>
      </x:c>
    </x:row>
    <x:row r="452" ht="36" customHeight="1">
      <x:c r="A452" s="5" t="str">
        <x:v>R-0041</x:v>
      </x:c>
      <x:c r="B452" s="5" t="str">
        <x:v>Recht</x:v>
      </x:c>
      <x:c r="C452" s="11" t="n">
        <x:v>1</x:v>
      </x:c>
      <x:c r="D452" s="11" t="n">
        <x:f>COUNTIF('Einzel-ID-Zuordnung'!$A$7:$A$2692,A452)</x:f>
        <x:v>1</x:v>
      </x:c>
      <x:c r="E452" s="11" t="n">
        <x:f>D452-C452</x:f>
        <x:v>0</x:v>
      </x:c>
      <x:c r="F452" s="5" t="str">
        <x:v>ja</x:v>
      </x:c>
      <x:c r="G452" s="5" t="str">
        <x:v>WQ</x:v>
      </x:c>
    </x:row>
    <x:row r="453" ht="36" customHeight="1">
      <x:c r="A453" s="5" t="str">
        <x:v>R-0042</x:v>
      </x:c>
      <x:c r="B453" s="5" t="str">
        <x:v>Recht</x:v>
      </x:c>
      <x:c r="C453" s="11" t="n">
        <x:v>1</x:v>
      </x:c>
      <x:c r="D453" s="11" t="n">
        <x:f>COUNTIF('Einzel-ID-Zuordnung'!$A$7:$A$2692,A453)</x:f>
        <x:v>1</x:v>
      </x:c>
      <x:c r="E453" s="11" t="n">
        <x:f>D453-C453</x:f>
        <x:v>0</x:v>
      </x:c>
      <x:c r="F453" s="5" t="str">
        <x:v>ja</x:v>
      </x:c>
      <x:c r="G453" s="5" t="str">
        <x:v>WQ</x:v>
      </x:c>
    </x:row>
    <x:row r="454" ht="36" customHeight="1">
      <x:c r="A454" s="5" t="str">
        <x:v>R-0050</x:v>
      </x:c>
      <x:c r="B454" s="5" t="str">
        <x:v>Recht</x:v>
      </x:c>
      <x:c r="C454" s="11" t="n">
        <x:v>1</x:v>
      </x:c>
      <x:c r="D454" s="11" t="n">
        <x:f>COUNTIF('Einzel-ID-Zuordnung'!$A$7:$A$2692,A454)</x:f>
        <x:v>1</x:v>
      </x:c>
      <x:c r="E454" s="11" t="n">
        <x:f>D454-C454</x:f>
        <x:v>0</x:v>
      </x:c>
      <x:c r="F454" s="5" t="str">
        <x:v>ja</x:v>
      </x:c>
      <x:c r="G454" s="5" t="str">
        <x:v>WQ</x:v>
      </x:c>
    </x:row>
    <x:row r="455" ht="36" customHeight="1">
      <x:c r="A455" s="5" t="str">
        <x:v>R-0051</x:v>
      </x:c>
      <x:c r="B455" s="5" t="str">
        <x:v>Recht</x:v>
      </x:c>
      <x:c r="C455" s="11" t="n">
        <x:v>1</x:v>
      </x:c>
      <x:c r="D455" s="11" t="n">
        <x:f>COUNTIF('Einzel-ID-Zuordnung'!$A$7:$A$2692,A455)</x:f>
        <x:v>1</x:v>
      </x:c>
      <x:c r="E455" s="11" t="n">
        <x:f>D455-C455</x:f>
        <x:v>0</x:v>
      </x:c>
      <x:c r="F455" s="5" t="str">
        <x:v>ja</x:v>
      </x:c>
      <x:c r="G455" s="5" t="str">
        <x:v>WQ</x:v>
      </x:c>
    </x:row>
    <x:row r="456" ht="36" customHeight="1">
      <x:c r="A456" s="5" t="str">
        <x:v>R-0052</x:v>
      </x:c>
      <x:c r="B456" s="5" t="str">
        <x:v>Recht</x:v>
      </x:c>
      <x:c r="C456" s="11" t="n">
        <x:v>1</x:v>
      </x:c>
      <x:c r="D456" s="11" t="n">
        <x:f>COUNTIF('Einzel-ID-Zuordnung'!$A$7:$A$2692,A456)</x:f>
        <x:v>1</x:v>
      </x:c>
      <x:c r="E456" s="11" t="n">
        <x:f>D456-C456</x:f>
        <x:v>0</x:v>
      </x:c>
      <x:c r="F456" s="5" t="str">
        <x:v>ja</x:v>
      </x:c>
      <x:c r="G456" s="5" t="str">
        <x:v>WQ</x:v>
      </x:c>
    </x:row>
    <x:row r="457" ht="36" customHeight="1">
      <x:c r="A457" s="5" t="str">
        <x:v>R-0053</x:v>
      </x:c>
      <x:c r="B457" s="5" t="str">
        <x:v>Recht</x:v>
      </x:c>
      <x:c r="C457" s="11" t="n">
        <x:v>1</x:v>
      </x:c>
      <x:c r="D457" s="11" t="n">
        <x:f>COUNTIF('Einzel-ID-Zuordnung'!$A$7:$A$2692,A457)</x:f>
        <x:v>1</x:v>
      </x:c>
      <x:c r="E457" s="11" t="n">
        <x:f>D457-C457</x:f>
        <x:v>0</x:v>
      </x:c>
      <x:c r="F457" s="5" t="str">
        <x:v>ja</x:v>
      </x:c>
      <x:c r="G457" s="5" t="str">
        <x:v>WQ</x:v>
      </x:c>
    </x:row>
    <x:row r="458" ht="36" customHeight="1">
      <x:c r="A458" s="5" t="str">
        <x:v>R-0054</x:v>
      </x:c>
      <x:c r="B458" s="5" t="str">
        <x:v>Recht</x:v>
      </x:c>
      <x:c r="C458" s="11" t="n">
        <x:v>1</x:v>
      </x:c>
      <x:c r="D458" s="11" t="n">
        <x:f>COUNTIF('Einzel-ID-Zuordnung'!$A$7:$A$2692,A458)</x:f>
        <x:v>1</x:v>
      </x:c>
      <x:c r="E458" s="11" t="n">
        <x:f>D458-C458</x:f>
        <x:v>0</x:v>
      </x:c>
      <x:c r="F458" s="5" t="str">
        <x:v>ja</x:v>
      </x:c>
      <x:c r="G458" s="5" t="str">
        <x:v>WQ</x:v>
      </x:c>
    </x:row>
    <x:row r="459" ht="36" customHeight="1">
      <x:c r="A459" s="5" t="str">
        <x:v>R-0055</x:v>
      </x:c>
      <x:c r="B459" s="5" t="str">
        <x:v>Recht</x:v>
      </x:c>
      <x:c r="C459" s="11" t="n">
        <x:v>1</x:v>
      </x:c>
      <x:c r="D459" s="11" t="n">
        <x:f>COUNTIF('Einzel-ID-Zuordnung'!$A$7:$A$2692,A459)</x:f>
        <x:v>1</x:v>
      </x:c>
      <x:c r="E459" s="11" t="n">
        <x:f>D459-C459</x:f>
        <x:v>0</x:v>
      </x:c>
      <x:c r="F459" s="5" t="str">
        <x:v>ja</x:v>
      </x:c>
      <x:c r="G459" s="5" t="str">
        <x:v>WQ</x:v>
      </x:c>
    </x:row>
    <x:row r="460" ht="36" customHeight="1">
      <x:c r="A460" s="5" t="str">
        <x:v>R-0056</x:v>
      </x:c>
      <x:c r="B460" s="5" t="str">
        <x:v>Recht</x:v>
      </x:c>
      <x:c r="C460" s="11" t="n">
        <x:v>1</x:v>
      </x:c>
      <x:c r="D460" s="11" t="n">
        <x:f>COUNTIF('Einzel-ID-Zuordnung'!$A$7:$A$2692,A460)</x:f>
        <x:v>1</x:v>
      </x:c>
      <x:c r="E460" s="11" t="n">
        <x:f>D460-C460</x:f>
        <x:v>0</x:v>
      </x:c>
      <x:c r="F460" s="5" t="str">
        <x:v>ja</x:v>
      </x:c>
      <x:c r="G460" s="5" t="str">
        <x:v>WQ</x:v>
      </x:c>
    </x:row>
    <x:row r="461" ht="36" customHeight="1">
      <x:c r="A461" s="5" t="str">
        <x:v>R-0057</x:v>
      </x:c>
      <x:c r="B461" s="5" t="str">
        <x:v>Recht</x:v>
      </x:c>
      <x:c r="C461" s="11" t="n">
        <x:v>1</x:v>
      </x:c>
      <x:c r="D461" s="11" t="n">
        <x:f>COUNTIF('Einzel-ID-Zuordnung'!$A$7:$A$2692,A461)</x:f>
        <x:v>1</x:v>
      </x:c>
      <x:c r="E461" s="11" t="n">
        <x:f>D461-C461</x:f>
        <x:v>0</x:v>
      </x:c>
      <x:c r="F461" s="5" t="str">
        <x:v>ja</x:v>
      </x:c>
      <x:c r="G461" s="5" t="str">
        <x:v>WQ</x:v>
      </x:c>
    </x:row>
    <x:row r="462" ht="36" customHeight="1">
      <x:c r="A462" s="5" t="str">
        <x:v>R-0058</x:v>
      </x:c>
      <x:c r="B462" s="5" t="str">
        <x:v>Recht</x:v>
      </x:c>
      <x:c r="C462" s="11" t="n">
        <x:v>1</x:v>
      </x:c>
      <x:c r="D462" s="11" t="n">
        <x:f>COUNTIF('Einzel-ID-Zuordnung'!$A$7:$A$2692,A462)</x:f>
        <x:v>1</x:v>
      </x:c>
      <x:c r="E462" s="11" t="n">
        <x:f>D462-C462</x:f>
        <x:v>0</x:v>
      </x:c>
      <x:c r="F462" s="5" t="str">
        <x:v>ja</x:v>
      </x:c>
      <x:c r="G462" s="5" t="str">
        <x:v>WQ</x:v>
      </x:c>
    </x:row>
    <x:row r="463" ht="36" customHeight="1">
      <x:c r="A463" s="5" t="str">
        <x:v>R-0059</x:v>
      </x:c>
      <x:c r="B463" s="5" t="str">
        <x:v>Recht</x:v>
      </x:c>
      <x:c r="C463" s="11" t="n">
        <x:v>1</x:v>
      </x:c>
      <x:c r="D463" s="11" t="n">
        <x:f>COUNTIF('Einzel-ID-Zuordnung'!$A$7:$A$2692,A463)</x:f>
        <x:v>1</x:v>
      </x:c>
      <x:c r="E463" s="11" t="n">
        <x:f>D463-C463</x:f>
        <x:v>0</x:v>
      </x:c>
      <x:c r="F463" s="5" t="str">
        <x:v>ja</x:v>
      </x:c>
      <x:c r="G463" s="5" t="str">
        <x:v>WQ</x:v>
      </x:c>
    </x:row>
    <x:row r="464" ht="36" customHeight="1">
      <x:c r="A464" s="5" t="str">
        <x:v>R-0060</x:v>
      </x:c>
      <x:c r="B464" s="5" t="str">
        <x:v>Recht</x:v>
      </x:c>
      <x:c r="C464" s="11" t="n">
        <x:v>1</x:v>
      </x:c>
      <x:c r="D464" s="11" t="n">
        <x:f>COUNTIF('Einzel-ID-Zuordnung'!$A$7:$A$2692,A464)</x:f>
        <x:v>1</x:v>
      </x:c>
      <x:c r="E464" s="11" t="n">
        <x:f>D464-C464</x:f>
        <x:v>0</x:v>
      </x:c>
      <x:c r="F464" s="5" t="str">
        <x:v>ja</x:v>
      </x:c>
      <x:c r="G464" s="5" t="str">
        <x:v>WQ</x:v>
      </x:c>
    </x:row>
    <x:row r="465" ht="36" customHeight="1">
      <x:c r="A465" s="5" t="str">
        <x:v>R-0061</x:v>
      </x:c>
      <x:c r="B465" s="5" t="str">
        <x:v>Recht</x:v>
      </x:c>
      <x:c r="C465" s="11" t="n">
        <x:v>1</x:v>
      </x:c>
      <x:c r="D465" s="11" t="n">
        <x:f>COUNTIF('Einzel-ID-Zuordnung'!$A$7:$A$2692,A465)</x:f>
        <x:v>1</x:v>
      </x:c>
      <x:c r="E465" s="11" t="n">
        <x:f>D465-C465</x:f>
        <x:v>0</x:v>
      </x:c>
      <x:c r="F465" s="5" t="str">
        <x:v>ja</x:v>
      </x:c>
      <x:c r="G465" s="5" t="str">
        <x:v>WQ</x:v>
      </x:c>
    </x:row>
    <x:row r="466" ht="36" customHeight="1">
      <x:c r="A466" s="5" t="str">
        <x:v>R-0062</x:v>
      </x:c>
      <x:c r="B466" s="5" t="str">
        <x:v>Recht</x:v>
      </x:c>
      <x:c r="C466" s="11" t="n">
        <x:v>1</x:v>
      </x:c>
      <x:c r="D466" s="11" t="n">
        <x:f>COUNTIF('Einzel-ID-Zuordnung'!$A$7:$A$2692,A466)</x:f>
        <x:v>1</x:v>
      </x:c>
      <x:c r="E466" s="11" t="n">
        <x:f>D466-C466</x:f>
        <x:v>0</x:v>
      </x:c>
      <x:c r="F466" s="5" t="str">
        <x:v>ja</x:v>
      </x:c>
      <x:c r="G466" s="5" t="str">
        <x:v>WQ</x:v>
      </x:c>
    </x:row>
    <x:row r="467" ht="36" customHeight="1">
      <x:c r="A467" s="5" t="str">
        <x:v>R-0063</x:v>
      </x:c>
      <x:c r="B467" s="5" t="str">
        <x:v>Recht</x:v>
      </x:c>
      <x:c r="C467" s="11" t="n">
        <x:v>1</x:v>
      </x:c>
      <x:c r="D467" s="11" t="n">
        <x:f>COUNTIF('Einzel-ID-Zuordnung'!$A$7:$A$2692,A467)</x:f>
        <x:v>1</x:v>
      </x:c>
      <x:c r="E467" s="11" t="n">
        <x:f>D467-C467</x:f>
        <x:v>0</x:v>
      </x:c>
      <x:c r="F467" s="5" t="str">
        <x:v>ja</x:v>
      </x:c>
      <x:c r="G467" s="5" t="str">
        <x:v>WQ</x:v>
      </x:c>
    </x:row>
    <x:row r="468" ht="36" customHeight="1">
      <x:c r="A468" s="5" t="str">
        <x:v>R-0064</x:v>
      </x:c>
      <x:c r="B468" s="5" t="str">
        <x:v>Recht</x:v>
      </x:c>
      <x:c r="C468" s="11" t="n">
        <x:v>1</x:v>
      </x:c>
      <x:c r="D468" s="11" t="n">
        <x:f>COUNTIF('Einzel-ID-Zuordnung'!$A$7:$A$2692,A468)</x:f>
        <x:v>1</x:v>
      </x:c>
      <x:c r="E468" s="11" t="n">
        <x:f>D468-C468</x:f>
        <x:v>0</x:v>
      </x:c>
      <x:c r="F468" s="5" t="str">
        <x:v>ja</x:v>
      </x:c>
      <x:c r="G468" s="5" t="str">
        <x:v>WQ</x:v>
      </x:c>
    </x:row>
    <x:row r="469" ht="36" customHeight="1">
      <x:c r="A469" s="5" t="str">
        <x:v>R-0065</x:v>
      </x:c>
      <x:c r="B469" s="5" t="str">
        <x:v>Recht</x:v>
      </x:c>
      <x:c r="C469" s="11" t="n">
        <x:v>1</x:v>
      </x:c>
      <x:c r="D469" s="11" t="n">
        <x:f>COUNTIF('Einzel-ID-Zuordnung'!$A$7:$A$2692,A469)</x:f>
        <x:v>1</x:v>
      </x:c>
      <x:c r="E469" s="11" t="n">
        <x:f>D469-C469</x:f>
        <x:v>0</x:v>
      </x:c>
      <x:c r="F469" s="5" t="str">
        <x:v>ja</x:v>
      </x:c>
      <x:c r="G469" s="5" t="str">
        <x:v>WQ</x:v>
      </x:c>
    </x:row>
    <x:row r="470" ht="36" customHeight="1">
      <x:c r="A470" s="5" t="str">
        <x:v>R-0066</x:v>
      </x:c>
      <x:c r="B470" s="5" t="str">
        <x:v>Recht</x:v>
      </x:c>
      <x:c r="C470" s="11" t="n">
        <x:v>1</x:v>
      </x:c>
      <x:c r="D470" s="11" t="n">
        <x:f>COUNTIF('Einzel-ID-Zuordnung'!$A$7:$A$2692,A470)</x:f>
        <x:v>1</x:v>
      </x:c>
      <x:c r="E470" s="11" t="n">
        <x:f>D470-C470</x:f>
        <x:v>0</x:v>
      </x:c>
      <x:c r="F470" s="5" t="str">
        <x:v>ja</x:v>
      </x:c>
      <x:c r="G470" s="5" t="str">
        <x:v>WQ</x:v>
      </x:c>
    </x:row>
    <x:row r="471" ht="36" customHeight="1">
      <x:c r="A471" s="5" t="str">
        <x:v>R-0067</x:v>
      </x:c>
      <x:c r="B471" s="5" t="str">
        <x:v>Recht</x:v>
      </x:c>
      <x:c r="C471" s="11" t="n">
        <x:v>1</x:v>
      </x:c>
      <x:c r="D471" s="11" t="n">
        <x:f>COUNTIF('Einzel-ID-Zuordnung'!$A$7:$A$2692,A471)</x:f>
        <x:v>1</x:v>
      </x:c>
      <x:c r="E471" s="11" t="n">
        <x:f>D471-C471</x:f>
        <x:v>0</x:v>
      </x:c>
      <x:c r="F471" s="5" t="str">
        <x:v>ja</x:v>
      </x:c>
      <x:c r="G471" s="5" t="str">
        <x:v>WQ</x:v>
      </x:c>
    </x:row>
    <x:row r="472" ht="36" customHeight="1">
      <x:c r="A472" s="5" t="str">
        <x:v>R-0068</x:v>
      </x:c>
      <x:c r="B472" s="5" t="str">
        <x:v>Recht</x:v>
      </x:c>
      <x:c r="C472" s="11" t="n">
        <x:v>1</x:v>
      </x:c>
      <x:c r="D472" s="11" t="n">
        <x:f>COUNTIF('Einzel-ID-Zuordnung'!$A$7:$A$2692,A472)</x:f>
        <x:v>1</x:v>
      </x:c>
      <x:c r="E472" s="11" t="n">
        <x:f>D472-C472</x:f>
        <x:v>0</x:v>
      </x:c>
      <x:c r="F472" s="5" t="str">
        <x:v>ja</x:v>
      </x:c>
      <x:c r="G472" s="5" t="str">
        <x:v>WQ</x:v>
      </x:c>
    </x:row>
    <x:row r="473" ht="36" customHeight="1">
      <x:c r="A473" s="5" t="str">
        <x:v>R-0069</x:v>
      </x:c>
      <x:c r="B473" s="5" t="str">
        <x:v>Recht</x:v>
      </x:c>
      <x:c r="C473" s="11" t="n">
        <x:v>1</x:v>
      </x:c>
      <x:c r="D473" s="11" t="n">
        <x:f>COUNTIF('Einzel-ID-Zuordnung'!$A$7:$A$2692,A473)</x:f>
        <x:v>1</x:v>
      </x:c>
      <x:c r="E473" s="11" t="n">
        <x:f>D473-C473</x:f>
        <x:v>0</x:v>
      </x:c>
      <x:c r="F473" s="5" t="str">
        <x:v>ja</x:v>
      </x:c>
      <x:c r="G473" s="5" t="str">
        <x:v>WQ</x:v>
      </x:c>
    </x:row>
    <x:row r="474" ht="36" customHeight="1">
      <x:c r="A474" s="5" t="str">
        <x:v>R-0070</x:v>
      </x:c>
      <x:c r="B474" s="5" t="str">
        <x:v>Recht</x:v>
      </x:c>
      <x:c r="C474" s="11" t="n">
        <x:v>1</x:v>
      </x:c>
      <x:c r="D474" s="11" t="n">
        <x:f>COUNTIF('Einzel-ID-Zuordnung'!$A$7:$A$2692,A474)</x:f>
        <x:v>1</x:v>
      </x:c>
      <x:c r="E474" s="11" t="n">
        <x:f>D474-C474</x:f>
        <x:v>0</x:v>
      </x:c>
      <x:c r="F474" s="5" t="str">
        <x:v>ja</x:v>
      </x:c>
      <x:c r="G474" s="5" t="str">
        <x:v>WQ</x:v>
      </x:c>
    </x:row>
    <x:row r="475" ht="36" customHeight="1">
      <x:c r="A475" s="5" t="str">
        <x:v>R-0071</x:v>
      </x:c>
      <x:c r="B475" s="5" t="str">
        <x:v>Recht</x:v>
      </x:c>
      <x:c r="C475" s="11" t="n">
        <x:v>1</x:v>
      </x:c>
      <x:c r="D475" s="11" t="n">
        <x:f>COUNTIF('Einzel-ID-Zuordnung'!$A$7:$A$2692,A475)</x:f>
        <x:v>1</x:v>
      </x:c>
      <x:c r="E475" s="11" t="n">
        <x:f>D475-C475</x:f>
        <x:v>0</x:v>
      </x:c>
      <x:c r="F475" s="5" t="str">
        <x:v>ja</x:v>
      </x:c>
      <x:c r="G475" s="5" t="str">
        <x:v>WQ</x:v>
      </x:c>
    </x:row>
    <x:row r="476" ht="36" customHeight="1">
      <x:c r="A476" s="5" t="str">
        <x:v>R-0072</x:v>
      </x:c>
      <x:c r="B476" s="5" t="str">
        <x:v>Recht</x:v>
      </x:c>
      <x:c r="C476" s="11" t="n">
        <x:v>1</x:v>
      </x:c>
      <x:c r="D476" s="11" t="n">
        <x:f>COUNTIF('Einzel-ID-Zuordnung'!$A$7:$A$2692,A476)</x:f>
        <x:v>1</x:v>
      </x:c>
      <x:c r="E476" s="11" t="n">
        <x:f>D476-C476</x:f>
        <x:v>0</x:v>
      </x:c>
      <x:c r="F476" s="5" t="str">
        <x:v>ja</x:v>
      </x:c>
      <x:c r="G476" s="5" t="str">
        <x:v>WQ</x:v>
      </x:c>
    </x:row>
    <x:row r="477" ht="36" customHeight="1">
      <x:c r="A477" s="5" t="str">
        <x:v>R-0073</x:v>
      </x:c>
      <x:c r="B477" s="5" t="str">
        <x:v>Recht</x:v>
      </x:c>
      <x:c r="C477" s="11" t="n">
        <x:v>1</x:v>
      </x:c>
      <x:c r="D477" s="11" t="n">
        <x:f>COUNTIF('Einzel-ID-Zuordnung'!$A$7:$A$2692,A477)</x:f>
        <x:v>1</x:v>
      </x:c>
      <x:c r="E477" s="11" t="n">
        <x:f>D477-C477</x:f>
        <x:v>0</x:v>
      </x:c>
      <x:c r="F477" s="5" t="str">
        <x:v>ja</x:v>
      </x:c>
      <x:c r="G477" s="5" t="str">
        <x:v>WQ</x:v>
      </x:c>
    </x:row>
    <x:row r="478" ht="36" customHeight="1">
      <x:c r="A478" s="5" t="str">
        <x:v>R-0074</x:v>
      </x:c>
      <x:c r="B478" s="5" t="str">
        <x:v>Recht</x:v>
      </x:c>
      <x:c r="C478" s="11" t="n">
        <x:v>1</x:v>
      </x:c>
      <x:c r="D478" s="11" t="n">
        <x:f>COUNTIF('Einzel-ID-Zuordnung'!$A$7:$A$2692,A478)</x:f>
        <x:v>1</x:v>
      </x:c>
      <x:c r="E478" s="11" t="n">
        <x:f>D478-C478</x:f>
        <x:v>0</x:v>
      </x:c>
      <x:c r="F478" s="5" t="str">
        <x:v>ja</x:v>
      </x:c>
      <x:c r="G478" s="5" t="str">
        <x:v>WQ</x:v>
      </x:c>
    </x:row>
    <x:row r="479" ht="36" customHeight="1">
      <x:c r="A479" s="5" t="str">
        <x:v>R-0075</x:v>
      </x:c>
      <x:c r="B479" s="5" t="str">
        <x:v>Recht</x:v>
      </x:c>
      <x:c r="C479" s="11" t="n">
        <x:v>1</x:v>
      </x:c>
      <x:c r="D479" s="11" t="n">
        <x:f>COUNTIF('Einzel-ID-Zuordnung'!$A$7:$A$2692,A479)</x:f>
        <x:v>1</x:v>
      </x:c>
      <x:c r="E479" s="11" t="n">
        <x:f>D479-C479</x:f>
        <x:v>0</x:v>
      </x:c>
      <x:c r="F479" s="5" t="str">
        <x:v>ja</x:v>
      </x:c>
      <x:c r="G479" s="5" t="str">
        <x:v>WQ</x:v>
      </x:c>
    </x:row>
    <x:row r="480" ht="36" customHeight="1">
      <x:c r="A480" s="5" t="str">
        <x:v>R-0076</x:v>
      </x:c>
      <x:c r="B480" s="5" t="str">
        <x:v>Recht</x:v>
      </x:c>
      <x:c r="C480" s="11" t="n">
        <x:v>1</x:v>
      </x:c>
      <x:c r="D480" s="11" t="n">
        <x:f>COUNTIF('Einzel-ID-Zuordnung'!$A$7:$A$2692,A480)</x:f>
        <x:v>1</x:v>
      </x:c>
      <x:c r="E480" s="11" t="n">
        <x:f>D480-C480</x:f>
        <x:v>0</x:v>
      </x:c>
      <x:c r="F480" s="5" t="str">
        <x:v>ja</x:v>
      </x:c>
      <x:c r="G480" s="5" t="str">
        <x:v>WQ</x:v>
      </x:c>
    </x:row>
    <x:row r="481" ht="36" customHeight="1">
      <x:c r="A481" s="5" t="str">
        <x:v>R-0077</x:v>
      </x:c>
      <x:c r="B481" s="5" t="str">
        <x:v>Recht</x:v>
      </x:c>
      <x:c r="C481" s="11" t="n">
        <x:v>1</x:v>
      </x:c>
      <x:c r="D481" s="11" t="n">
        <x:f>COUNTIF('Einzel-ID-Zuordnung'!$A$7:$A$2692,A481)</x:f>
        <x:v>1</x:v>
      </x:c>
      <x:c r="E481" s="11" t="n">
        <x:f>D481-C481</x:f>
        <x:v>0</x:v>
      </x:c>
      <x:c r="F481" s="5" t="str">
        <x:v>ja</x:v>
      </x:c>
      <x:c r="G481" s="5" t="str">
        <x:v>WQ</x:v>
      </x:c>
    </x:row>
    <x:row r="482" ht="36" customHeight="1">
      <x:c r="A482" s="5" t="str">
        <x:v>R-0078</x:v>
      </x:c>
      <x:c r="B482" s="5" t="str">
        <x:v>Recht</x:v>
      </x:c>
      <x:c r="C482" s="11" t="n">
        <x:v>1</x:v>
      </x:c>
      <x:c r="D482" s="11" t="n">
        <x:f>COUNTIF('Einzel-ID-Zuordnung'!$A$7:$A$2692,A482)</x:f>
        <x:v>1</x:v>
      </x:c>
      <x:c r="E482" s="11" t="n">
        <x:f>D482-C482</x:f>
        <x:v>0</x:v>
      </x:c>
      <x:c r="F482" s="5" t="str">
        <x:v>ja</x:v>
      </x:c>
      <x:c r="G482" s="5" t="str">
        <x:v>WQ</x:v>
      </x:c>
    </x:row>
    <x:row r="483" ht="36" customHeight="1">
      <x:c r="A483" s="5" t="str">
        <x:v>R-0079</x:v>
      </x:c>
      <x:c r="B483" s="5" t="str">
        <x:v>Recht</x:v>
      </x:c>
      <x:c r="C483" s="11" t="n">
        <x:v>1</x:v>
      </x:c>
      <x:c r="D483" s="11" t="n">
        <x:f>COUNTIF('Einzel-ID-Zuordnung'!$A$7:$A$2692,A483)</x:f>
        <x:v>1</x:v>
      </x:c>
      <x:c r="E483" s="11" t="n">
        <x:f>D483-C483</x:f>
        <x:v>0</x:v>
      </x:c>
      <x:c r="F483" s="5" t="str">
        <x:v>ja</x:v>
      </x:c>
      <x:c r="G483" s="5" t="str">
        <x:v>WQ</x:v>
      </x:c>
    </x:row>
    <x:row r="484" ht="36" customHeight="1">
      <x:c r="A484" s="5" t="str">
        <x:v>R-0080</x:v>
      </x:c>
      <x:c r="B484" s="5" t="str">
        <x:v>Recht</x:v>
      </x:c>
      <x:c r="C484" s="11" t="n">
        <x:v>1</x:v>
      </x:c>
      <x:c r="D484" s="11" t="n">
        <x:f>COUNTIF('Einzel-ID-Zuordnung'!$A$7:$A$2692,A484)</x:f>
        <x:v>1</x:v>
      </x:c>
      <x:c r="E484" s="11" t="n">
        <x:f>D484-C484</x:f>
        <x:v>0</x:v>
      </x:c>
      <x:c r="F484" s="5" t="str">
        <x:v>ja</x:v>
      </x:c>
      <x:c r="G484" s="5" t="str">
        <x:v>WQ</x:v>
      </x:c>
    </x:row>
    <x:row r="485" ht="36" customHeight="1">
      <x:c r="A485" s="5" t="str">
        <x:v>R-0081</x:v>
      </x:c>
      <x:c r="B485" s="5" t="str">
        <x:v>Recht</x:v>
      </x:c>
      <x:c r="C485" s="11" t="n">
        <x:v>1</x:v>
      </x:c>
      <x:c r="D485" s="11" t="n">
        <x:f>COUNTIF('Einzel-ID-Zuordnung'!$A$7:$A$2692,A485)</x:f>
        <x:v>1</x:v>
      </x:c>
      <x:c r="E485" s="11" t="n">
        <x:f>D485-C485</x:f>
        <x:v>0</x:v>
      </x:c>
      <x:c r="F485" s="5" t="str">
        <x:v>ja</x:v>
      </x:c>
      <x:c r="G485" s="5" t="str">
        <x:v>WQ</x:v>
      </x:c>
    </x:row>
    <x:row r="486" ht="36" customHeight="1">
      <x:c r="A486" s="5" t="str">
        <x:v>R-0082</x:v>
      </x:c>
      <x:c r="B486" s="5" t="str">
        <x:v>Recht</x:v>
      </x:c>
      <x:c r="C486" s="11" t="n">
        <x:v>1</x:v>
      </x:c>
      <x:c r="D486" s="11" t="n">
        <x:f>COUNTIF('Einzel-ID-Zuordnung'!$A$7:$A$2692,A486)</x:f>
        <x:v>1</x:v>
      </x:c>
      <x:c r="E486" s="11" t="n">
        <x:f>D486-C486</x:f>
        <x:v>0</x:v>
      </x:c>
      <x:c r="F486" s="5" t="str">
        <x:v>ja</x:v>
      </x:c>
      <x:c r="G486" s="5" t="str">
        <x:v>WQ</x:v>
      </x:c>
    </x:row>
    <x:row r="487" ht="36" customHeight="1">
      <x:c r="A487" s="5" t="str">
        <x:v>R-0083</x:v>
      </x:c>
      <x:c r="B487" s="5" t="str">
        <x:v>Recht</x:v>
      </x:c>
      <x:c r="C487" s="11" t="n">
        <x:v>1</x:v>
      </x:c>
      <x:c r="D487" s="11" t="n">
        <x:f>COUNTIF('Einzel-ID-Zuordnung'!$A$7:$A$2692,A487)</x:f>
        <x:v>1</x:v>
      </x:c>
      <x:c r="E487" s="11" t="n">
        <x:f>D487-C487</x:f>
        <x:v>0</x:v>
      </x:c>
      <x:c r="F487" s="5" t="str">
        <x:v>ja</x:v>
      </x:c>
      <x:c r="G487" s="5" t="str">
        <x:v>WQ</x:v>
      </x:c>
    </x:row>
    <x:row r="488" ht="36" customHeight="1">
      <x:c r="A488" s="5" t="str">
        <x:v>R-0084</x:v>
      </x:c>
      <x:c r="B488" s="5" t="str">
        <x:v>Recht</x:v>
      </x:c>
      <x:c r="C488" s="11" t="n">
        <x:v>1</x:v>
      </x:c>
      <x:c r="D488" s="11" t="n">
        <x:f>COUNTIF('Einzel-ID-Zuordnung'!$A$7:$A$2692,A488)</x:f>
        <x:v>1</x:v>
      </x:c>
      <x:c r="E488" s="11" t="n">
        <x:f>D488-C488</x:f>
        <x:v>0</x:v>
      </x:c>
      <x:c r="F488" s="5" t="str">
        <x:v>ja</x:v>
      </x:c>
      <x:c r="G488" s="5" t="str">
        <x:v>WQ</x:v>
      </x:c>
    </x:row>
    <x:row r="489" ht="36" customHeight="1">
      <x:c r="A489" s="5" t="str">
        <x:v>R-0085</x:v>
      </x:c>
      <x:c r="B489" s="5" t="str">
        <x:v>Recht</x:v>
      </x:c>
      <x:c r="C489" s="11" t="n">
        <x:v>1</x:v>
      </x:c>
      <x:c r="D489" s="11" t="n">
        <x:f>COUNTIF('Einzel-ID-Zuordnung'!$A$7:$A$2692,A489)</x:f>
        <x:v>1</x:v>
      </x:c>
      <x:c r="E489" s="11" t="n">
        <x:f>D489-C489</x:f>
        <x:v>0</x:v>
      </x:c>
      <x:c r="F489" s="5" t="str">
        <x:v>ja</x:v>
      </x:c>
      <x:c r="G489" s="5" t="str">
        <x:v>WQ</x:v>
      </x:c>
    </x:row>
    <x:row r="490" ht="36" customHeight="1">
      <x:c r="A490" s="5" t="str">
        <x:v>R-0086</x:v>
      </x:c>
      <x:c r="B490" s="5" t="str">
        <x:v>Recht</x:v>
      </x:c>
      <x:c r="C490" s="11" t="n">
        <x:v>1</x:v>
      </x:c>
      <x:c r="D490" s="11" t="n">
        <x:f>COUNTIF('Einzel-ID-Zuordnung'!$A$7:$A$2692,A490)</x:f>
        <x:v>1</x:v>
      </x:c>
      <x:c r="E490" s="11" t="n">
        <x:f>D490-C490</x:f>
        <x:v>0</x:v>
      </x:c>
      <x:c r="F490" s="5" t="str">
        <x:v>ja</x:v>
      </x:c>
      <x:c r="G490" s="5" t="str">
        <x:v>WQ</x:v>
      </x:c>
    </x:row>
    <x:row r="491" ht="36" customHeight="1">
      <x:c r="A491" s="5" t="str">
        <x:v>R-0087</x:v>
      </x:c>
      <x:c r="B491" s="5" t="str">
        <x:v>Recht</x:v>
      </x:c>
      <x:c r="C491" s="11" t="n">
        <x:v>1</x:v>
      </x:c>
      <x:c r="D491" s="11" t="n">
        <x:f>COUNTIF('Einzel-ID-Zuordnung'!$A$7:$A$2692,A491)</x:f>
        <x:v>1</x:v>
      </x:c>
      <x:c r="E491" s="11" t="n">
        <x:f>D491-C491</x:f>
        <x:v>0</x:v>
      </x:c>
      <x:c r="F491" s="5" t="str">
        <x:v>ja</x:v>
      </x:c>
      <x:c r="G491" s="5" t="str">
        <x:v>WQ</x:v>
      </x:c>
    </x:row>
    <x:row r="492" ht="36" customHeight="1">
      <x:c r="A492" s="5" t="str">
        <x:v>R-0088</x:v>
      </x:c>
      <x:c r="B492" s="5" t="str">
        <x:v>Recht</x:v>
      </x:c>
      <x:c r="C492" s="11" t="n">
        <x:v>1</x:v>
      </x:c>
      <x:c r="D492" s="11" t="n">
        <x:f>COUNTIF('Einzel-ID-Zuordnung'!$A$7:$A$2692,A492)</x:f>
        <x:v>1</x:v>
      </x:c>
      <x:c r="E492" s="11" t="n">
        <x:f>D492-C492</x:f>
        <x:v>0</x:v>
      </x:c>
      <x:c r="F492" s="5" t="str">
        <x:v>ja</x:v>
      </x:c>
      <x:c r="G492" s="5" t="str">
        <x:v>WQ</x:v>
      </x:c>
    </x:row>
    <x:row r="493" ht="36" customHeight="1">
      <x:c r="A493" s="5" t="str">
        <x:v>R-0089</x:v>
      </x:c>
      <x:c r="B493" s="5" t="str">
        <x:v>Recht</x:v>
      </x:c>
      <x:c r="C493" s="11" t="n">
        <x:v>1</x:v>
      </x:c>
      <x:c r="D493" s="11" t="n">
        <x:f>COUNTIF('Einzel-ID-Zuordnung'!$A$7:$A$2692,A493)</x:f>
        <x:v>1</x:v>
      </x:c>
      <x:c r="E493" s="11" t="n">
        <x:f>D493-C493</x:f>
        <x:v>0</x:v>
      </x:c>
      <x:c r="F493" s="5" t="str">
        <x:v>ja</x:v>
      </x:c>
      <x:c r="G493" s="5" t="str">
        <x:v>WQ</x:v>
      </x:c>
    </x:row>
    <x:row r="494" ht="36" customHeight="1">
      <x:c r="A494" s="5" t="str">
        <x:v>R-0090</x:v>
      </x:c>
      <x:c r="B494" s="5" t="str">
        <x:v>Recht</x:v>
      </x:c>
      <x:c r="C494" s="11" t="n">
        <x:v>1</x:v>
      </x:c>
      <x:c r="D494" s="11" t="n">
        <x:f>COUNTIF('Einzel-ID-Zuordnung'!$A$7:$A$2692,A494)</x:f>
        <x:v>1</x:v>
      </x:c>
      <x:c r="E494" s="11" t="n">
        <x:f>D494-C494</x:f>
        <x:v>0</x:v>
      </x:c>
      <x:c r="F494" s="5" t="str">
        <x:v>ja</x:v>
      </x:c>
      <x:c r="G494" s="5" t="str">
        <x:v>WQ</x:v>
      </x:c>
    </x:row>
    <x:row r="495" ht="36" customHeight="1">
      <x:c r="A495" s="5" t="str">
        <x:v>R-0091</x:v>
      </x:c>
      <x:c r="B495" s="5" t="str">
        <x:v>Recht</x:v>
      </x:c>
      <x:c r="C495" s="11" t="n">
        <x:v>1</x:v>
      </x:c>
      <x:c r="D495" s="11" t="n">
        <x:f>COUNTIF('Einzel-ID-Zuordnung'!$A$7:$A$2692,A495)</x:f>
        <x:v>1</x:v>
      </x:c>
      <x:c r="E495" s="11" t="n">
        <x:f>D495-C495</x:f>
        <x:v>0</x:v>
      </x:c>
      <x:c r="F495" s="5" t="str">
        <x:v>ja</x:v>
      </x:c>
      <x:c r="G495" s="5" t="str">
        <x:v>WQ</x:v>
      </x:c>
    </x:row>
    <x:row r="496" ht="36" customHeight="1">
      <x:c r="A496" s="5" t="str">
        <x:v>R-0092</x:v>
      </x:c>
      <x:c r="B496" s="5" t="str">
        <x:v>Recht</x:v>
      </x:c>
      <x:c r="C496" s="11" t="n">
        <x:v>1</x:v>
      </x:c>
      <x:c r="D496" s="11" t="n">
        <x:f>COUNTIF('Einzel-ID-Zuordnung'!$A$7:$A$2692,A496)</x:f>
        <x:v>1</x:v>
      </x:c>
      <x:c r="E496" s="11" t="n">
        <x:f>D496-C496</x:f>
        <x:v>0</x:v>
      </x:c>
      <x:c r="F496" s="5" t="str">
        <x:v>ja</x:v>
      </x:c>
      <x:c r="G496" s="5" t="str">
        <x:v>WQ</x:v>
      </x:c>
    </x:row>
    <x:row r="497" ht="36" customHeight="1">
      <x:c r="A497" s="5" t="str">
        <x:v>R-0093</x:v>
      </x:c>
      <x:c r="B497" s="5" t="str">
        <x:v>Recht</x:v>
      </x:c>
      <x:c r="C497" s="11" t="n">
        <x:v>1</x:v>
      </x:c>
      <x:c r="D497" s="11" t="n">
        <x:f>COUNTIF('Einzel-ID-Zuordnung'!$A$7:$A$2692,A497)</x:f>
        <x:v>1</x:v>
      </x:c>
      <x:c r="E497" s="11" t="n">
        <x:f>D497-C497</x:f>
        <x:v>0</x:v>
      </x:c>
      <x:c r="F497" s="5" t="str">
        <x:v>ja</x:v>
      </x:c>
      <x:c r="G497" s="5" t="str">
        <x:v>WQ</x:v>
      </x:c>
    </x:row>
    <x:row r="498" ht="36" customHeight="1">
      <x:c r="A498" s="5" t="str">
        <x:v>R-0094</x:v>
      </x:c>
      <x:c r="B498" s="5" t="str">
        <x:v>Recht</x:v>
      </x:c>
      <x:c r="C498" s="11" t="n">
        <x:v>1</x:v>
      </x:c>
      <x:c r="D498" s="11" t="n">
        <x:f>COUNTIF('Einzel-ID-Zuordnung'!$A$7:$A$2692,A498)</x:f>
        <x:v>1</x:v>
      </x:c>
      <x:c r="E498" s="11" t="n">
        <x:f>D498-C498</x:f>
        <x:v>0</x:v>
      </x:c>
      <x:c r="F498" s="5" t="str">
        <x:v>ja</x:v>
      </x:c>
      <x:c r="G498" s="5" t="str">
        <x:v>WQ</x:v>
      </x:c>
    </x:row>
    <x:row r="499" ht="36" customHeight="1">
      <x:c r="A499" s="5" t="str">
        <x:v>R-0095</x:v>
      </x:c>
      <x:c r="B499" s="5" t="str">
        <x:v>Recht</x:v>
      </x:c>
      <x:c r="C499" s="11" t="n">
        <x:v>1</x:v>
      </x:c>
      <x:c r="D499" s="11" t="n">
        <x:f>COUNTIF('Einzel-ID-Zuordnung'!$A$7:$A$2692,A499)</x:f>
        <x:v>1</x:v>
      </x:c>
      <x:c r="E499" s="11" t="n">
        <x:f>D499-C499</x:f>
        <x:v>0</x:v>
      </x:c>
      <x:c r="F499" s="5" t="str">
        <x:v>ja</x:v>
      </x:c>
      <x:c r="G499" s="5" t="str">
        <x:v>WQ</x:v>
      </x:c>
    </x:row>
    <x:row r="500" ht="36" customHeight="1">
      <x:c r="A500" s="5" t="str">
        <x:v>R-0096</x:v>
      </x:c>
      <x:c r="B500" s="5" t="str">
        <x:v>Recht</x:v>
      </x:c>
      <x:c r="C500" s="11" t="n">
        <x:v>1</x:v>
      </x:c>
      <x:c r="D500" s="11" t="n">
        <x:f>COUNTIF('Einzel-ID-Zuordnung'!$A$7:$A$2692,A500)</x:f>
        <x:v>1</x:v>
      </x:c>
      <x:c r="E500" s="11" t="n">
        <x:f>D500-C500</x:f>
        <x:v>0</x:v>
      </x:c>
      <x:c r="F500" s="5" t="str">
        <x:v>ja</x:v>
      </x:c>
      <x:c r="G500" s="5" t="str">
        <x:v>WQ</x:v>
      </x:c>
    </x:row>
    <x:row r="501" ht="36" customHeight="1">
      <x:c r="A501" s="5" t="str">
        <x:v>R-0097</x:v>
      </x:c>
      <x:c r="B501" s="5" t="str">
        <x:v>Recht</x:v>
      </x:c>
      <x:c r="C501" s="11" t="n">
        <x:v>1</x:v>
      </x:c>
      <x:c r="D501" s="11" t="n">
        <x:f>COUNTIF('Einzel-ID-Zuordnung'!$A$7:$A$2692,A501)</x:f>
        <x:v>1</x:v>
      </x:c>
      <x:c r="E501" s="11" t="n">
        <x:f>D501-C501</x:f>
        <x:v>0</x:v>
      </x:c>
      <x:c r="F501" s="5" t="str">
        <x:v>ja</x:v>
      </x:c>
      <x:c r="G501" s="5" t="str">
        <x:v>WQ</x:v>
      </x:c>
    </x:row>
    <x:row r="502" ht="36" customHeight="1">
      <x:c r="A502" s="5" t="str">
        <x:v>R-0098</x:v>
      </x:c>
      <x:c r="B502" s="5" t="str">
        <x:v>Recht</x:v>
      </x:c>
      <x:c r="C502" s="11" t="n">
        <x:v>1</x:v>
      </x:c>
      <x:c r="D502" s="11" t="n">
        <x:f>COUNTIF('Einzel-ID-Zuordnung'!$A$7:$A$2692,A502)</x:f>
        <x:v>1</x:v>
      </x:c>
      <x:c r="E502" s="11" t="n">
        <x:f>D502-C502</x:f>
        <x:v>0</x:v>
      </x:c>
      <x:c r="F502" s="5" t="str">
        <x:v>ja</x:v>
      </x:c>
      <x:c r="G502" s="5" t="str">
        <x:v>WQ</x:v>
      </x:c>
    </x:row>
    <x:row r="503" ht="36" customHeight="1">
      <x:c r="A503" s="5" t="str">
        <x:v>R-0099</x:v>
      </x:c>
      <x:c r="B503" s="5" t="str">
        <x:v>Recht</x:v>
      </x:c>
      <x:c r="C503" s="11" t="n">
        <x:v>1</x:v>
      </x:c>
      <x:c r="D503" s="11" t="n">
        <x:f>COUNTIF('Einzel-ID-Zuordnung'!$A$7:$A$2692,A503)</x:f>
        <x:v>1</x:v>
      </x:c>
      <x:c r="E503" s="11" t="n">
        <x:f>D503-C503</x:f>
        <x:v>0</x:v>
      </x:c>
      <x:c r="F503" s="5" t="str">
        <x:v>ja</x:v>
      </x:c>
      <x:c r="G503" s="5" t="str">
        <x:v>WQ</x:v>
      </x:c>
    </x:row>
    <x:row r="504" ht="36" customHeight="1">
      <x:c r="A504" s="5" t="str">
        <x:v>R-0100</x:v>
      </x:c>
      <x:c r="B504" s="5" t="str">
        <x:v>Recht</x:v>
      </x:c>
      <x:c r="C504" s="11" t="n">
        <x:v>1</x:v>
      </x:c>
      <x:c r="D504" s="11" t="n">
        <x:f>COUNTIF('Einzel-ID-Zuordnung'!$A$7:$A$2692,A504)</x:f>
        <x:v>1</x:v>
      </x:c>
      <x:c r="E504" s="11" t="n">
        <x:f>D504-C504</x:f>
        <x:v>0</x:v>
      </x:c>
      <x:c r="F504" s="5" t="str">
        <x:v>ja</x:v>
      </x:c>
      <x:c r="G504" s="5" t="str">
        <x:v>WQ</x:v>
      </x:c>
    </x:row>
    <x:row r="505" ht="36" customHeight="1">
      <x:c r="A505" s="5" t="str">
        <x:v>R-0101</x:v>
      </x:c>
      <x:c r="B505" s="5" t="str">
        <x:v>Recht</x:v>
      </x:c>
      <x:c r="C505" s="11" t="n">
        <x:v>1</x:v>
      </x:c>
      <x:c r="D505" s="11" t="n">
        <x:f>COUNTIF('Einzel-ID-Zuordnung'!$A$7:$A$2692,A505)</x:f>
        <x:v>1</x:v>
      </x:c>
      <x:c r="E505" s="11" t="n">
        <x:f>D505-C505</x:f>
        <x:v>0</x:v>
      </x:c>
      <x:c r="F505" s="5" t="str">
        <x:v>ja</x:v>
      </x:c>
      <x:c r="G505" s="5" t="str">
        <x:v>WQ</x:v>
      </x:c>
    </x:row>
    <x:row r="506" ht="36" customHeight="1">
      <x:c r="A506" s="5" t="str">
        <x:v>R-0102</x:v>
      </x:c>
      <x:c r="B506" s="5" t="str">
        <x:v>Recht</x:v>
      </x:c>
      <x:c r="C506" s="11" t="n">
        <x:v>1</x:v>
      </x:c>
      <x:c r="D506" s="11" t="n">
        <x:f>COUNTIF('Einzel-ID-Zuordnung'!$A$7:$A$2692,A506)</x:f>
        <x:v>1</x:v>
      </x:c>
      <x:c r="E506" s="11" t="n">
        <x:f>D506-C506</x:f>
        <x:v>0</x:v>
      </x:c>
      <x:c r="F506" s="5" t="str">
        <x:v>ja</x:v>
      </x:c>
      <x:c r="G506" s="5" t="str">
        <x:v>WQ</x:v>
      </x:c>
    </x:row>
    <x:row r="507" ht="36" customHeight="1">
      <x:c r="A507" s="5" t="str">
        <x:v>R-0103</x:v>
      </x:c>
      <x:c r="B507" s="5" t="str">
        <x:v>Recht</x:v>
      </x:c>
      <x:c r="C507" s="11" t="n">
        <x:v>1</x:v>
      </x:c>
      <x:c r="D507" s="11" t="n">
        <x:f>COUNTIF('Einzel-ID-Zuordnung'!$A$7:$A$2692,A507)</x:f>
        <x:v>1</x:v>
      </x:c>
      <x:c r="E507" s="11" t="n">
        <x:f>D507-C507</x:f>
        <x:v>0</x:v>
      </x:c>
      <x:c r="F507" s="5" t="str">
        <x:v>ja</x:v>
      </x:c>
      <x:c r="G507" s="5" t="str">
        <x:v>WQ</x:v>
      </x:c>
    </x:row>
    <x:row r="508" ht="36" customHeight="1">
      <x:c r="A508" s="5" t="str">
        <x:v>R-0104</x:v>
      </x:c>
      <x:c r="B508" s="5" t="str">
        <x:v>Recht</x:v>
      </x:c>
      <x:c r="C508" s="11" t="n">
        <x:v>1</x:v>
      </x:c>
      <x:c r="D508" s="11" t="n">
        <x:f>COUNTIF('Einzel-ID-Zuordnung'!$A$7:$A$2692,A508)</x:f>
        <x:v>1</x:v>
      </x:c>
      <x:c r="E508" s="11" t="n">
        <x:f>D508-C508</x:f>
        <x:v>0</x:v>
      </x:c>
      <x:c r="F508" s="5" t="str">
        <x:v>ja</x:v>
      </x:c>
      <x:c r="G508" s="5" t="str">
        <x:v>WQ</x:v>
      </x:c>
    </x:row>
    <x:row r="509" ht="36" customHeight="1">
      <x:c r="A509" s="5" t="str">
        <x:v>R-0105</x:v>
      </x:c>
      <x:c r="B509" s="5" t="str">
        <x:v>Recht</x:v>
      </x:c>
      <x:c r="C509" s="11" t="n">
        <x:v>1</x:v>
      </x:c>
      <x:c r="D509" s="11" t="n">
        <x:f>COUNTIF('Einzel-ID-Zuordnung'!$A$7:$A$2692,A509)</x:f>
        <x:v>1</x:v>
      </x:c>
      <x:c r="E509" s="11" t="n">
        <x:f>D509-C509</x:f>
        <x:v>0</x:v>
      </x:c>
      <x:c r="F509" s="5" t="str">
        <x:v>ja</x:v>
      </x:c>
      <x:c r="G509" s="5" t="str">
        <x:v>WQ</x:v>
      </x:c>
    </x:row>
    <x:row r="510" ht="36" customHeight="1">
      <x:c r="A510" s="5" t="str">
        <x:v>R-0106</x:v>
      </x:c>
      <x:c r="B510" s="5" t="str">
        <x:v>Recht</x:v>
      </x:c>
      <x:c r="C510" s="11" t="n">
        <x:v>1</x:v>
      </x:c>
      <x:c r="D510" s="11" t="n">
        <x:f>COUNTIF('Einzel-ID-Zuordnung'!$A$7:$A$2692,A510)</x:f>
        <x:v>1</x:v>
      </x:c>
      <x:c r="E510" s="11" t="n">
        <x:f>D510-C510</x:f>
        <x:v>0</x:v>
      </x:c>
      <x:c r="F510" s="5" t="str">
        <x:v>ja</x:v>
      </x:c>
      <x:c r="G510" s="5" t="str">
        <x:v>WQ</x:v>
      </x:c>
    </x:row>
    <x:row r="511" ht="36" customHeight="1">
      <x:c r="A511" s="5" t="str">
        <x:v>R-0107</x:v>
      </x:c>
      <x:c r="B511" s="5" t="str">
        <x:v>Recht</x:v>
      </x:c>
      <x:c r="C511" s="11" t="n">
        <x:v>1</x:v>
      </x:c>
      <x:c r="D511" s="11" t="n">
        <x:f>COUNTIF('Einzel-ID-Zuordnung'!$A$7:$A$2692,A511)</x:f>
        <x:v>1</x:v>
      </x:c>
      <x:c r="E511" s="11" t="n">
        <x:f>D511-C511</x:f>
        <x:v>0</x:v>
      </x:c>
      <x:c r="F511" s="5" t="str">
        <x:v>ja</x:v>
      </x:c>
      <x:c r="G511" s="5" t="str">
        <x:v>WQ</x:v>
      </x:c>
    </x:row>
    <x:row r="512" ht="36" customHeight="1">
      <x:c r="A512" s="5" t="str">
        <x:v>R-0108</x:v>
      </x:c>
      <x:c r="B512" s="5" t="str">
        <x:v>Recht</x:v>
      </x:c>
      <x:c r="C512" s="11" t="n">
        <x:v>1</x:v>
      </x:c>
      <x:c r="D512" s="11" t="n">
        <x:f>COUNTIF('Einzel-ID-Zuordnung'!$A$7:$A$2692,A512)</x:f>
        <x:v>1</x:v>
      </x:c>
      <x:c r="E512" s="11" t="n">
        <x:f>D512-C512</x:f>
        <x:v>0</x:v>
      </x:c>
      <x:c r="F512" s="5" t="str">
        <x:v>ja</x:v>
      </x:c>
      <x:c r="G512" s="5" t="str">
        <x:v>WQ</x:v>
      </x:c>
    </x:row>
    <x:row r="513" ht="36" customHeight="1">
      <x:c r="A513" s="5" t="str">
        <x:v>R-0109</x:v>
      </x:c>
      <x:c r="B513" s="5" t="str">
        <x:v>Recht</x:v>
      </x:c>
      <x:c r="C513" s="11" t="n">
        <x:v>1</x:v>
      </x:c>
      <x:c r="D513" s="11" t="n">
        <x:f>COUNTIF('Einzel-ID-Zuordnung'!$A$7:$A$2692,A513)</x:f>
        <x:v>1</x:v>
      </x:c>
      <x:c r="E513" s="11" t="n">
        <x:f>D513-C513</x:f>
        <x:v>0</x:v>
      </x:c>
      <x:c r="F513" s="5" t="str">
        <x:v>ja</x:v>
      </x:c>
      <x:c r="G513" s="5" t="str">
        <x:v>WQ</x:v>
      </x:c>
    </x:row>
    <x:row r="514" ht="36" customHeight="1">
      <x:c r="A514" s="5" t="str">
        <x:v>R-0110</x:v>
      </x:c>
      <x:c r="B514" s="5" t="str">
        <x:v>Recht</x:v>
      </x:c>
      <x:c r="C514" s="11" t="n">
        <x:v>1</x:v>
      </x:c>
      <x:c r="D514" s="11" t="n">
        <x:f>COUNTIF('Einzel-ID-Zuordnung'!$A$7:$A$2692,A514)</x:f>
        <x:v>1</x:v>
      </x:c>
      <x:c r="E514" s="11" t="n">
        <x:f>D514-C514</x:f>
        <x:v>0</x:v>
      </x:c>
      <x:c r="F514" s="5" t="str">
        <x:v>ja</x:v>
      </x:c>
      <x:c r="G514" s="5" t="str">
        <x:v>WQ</x:v>
      </x:c>
    </x:row>
    <x:row r="515" ht="36" customHeight="1">
      <x:c r="A515" s="5" t="str">
        <x:v>R-0111</x:v>
      </x:c>
      <x:c r="B515" s="5" t="str">
        <x:v>Recht</x:v>
      </x:c>
      <x:c r="C515" s="11" t="n">
        <x:v>1</x:v>
      </x:c>
      <x:c r="D515" s="11" t="n">
        <x:f>COUNTIF('Einzel-ID-Zuordnung'!$A$7:$A$2692,A515)</x:f>
        <x:v>1</x:v>
      </x:c>
      <x:c r="E515" s="11" t="n">
        <x:f>D515-C515</x:f>
        <x:v>0</x:v>
      </x:c>
      <x:c r="F515" s="5" t="str">
        <x:v>ja</x:v>
      </x:c>
      <x:c r="G515" s="5" t="str">
        <x:v>WQ</x:v>
      </x:c>
    </x:row>
    <x:row r="516" ht="36" customHeight="1">
      <x:c r="A516" s="5" t="str">
        <x:v>R-0112</x:v>
      </x:c>
      <x:c r="B516" s="5" t="str">
        <x:v>Recht</x:v>
      </x:c>
      <x:c r="C516" s="11" t="n">
        <x:v>1</x:v>
      </x:c>
      <x:c r="D516" s="11" t="n">
        <x:f>COUNTIF('Einzel-ID-Zuordnung'!$A$7:$A$2692,A516)</x:f>
        <x:v>1</x:v>
      </x:c>
      <x:c r="E516" s="11" t="n">
        <x:f>D516-C516</x:f>
        <x:v>0</x:v>
      </x:c>
      <x:c r="F516" s="5" t="str">
        <x:v>ja</x:v>
      </x:c>
      <x:c r="G516" s="5" t="str">
        <x:v>WQ</x:v>
      </x:c>
    </x:row>
    <x:row r="517" ht="36" customHeight="1">
      <x:c r="A517" s="5" t="str">
        <x:v>R-0113</x:v>
      </x:c>
      <x:c r="B517" s="5" t="str">
        <x:v>Recht</x:v>
      </x:c>
      <x:c r="C517" s="11" t="n">
        <x:v>1</x:v>
      </x:c>
      <x:c r="D517" s="11" t="n">
        <x:f>COUNTIF('Einzel-ID-Zuordnung'!$A$7:$A$2692,A517)</x:f>
        <x:v>1</x:v>
      </x:c>
      <x:c r="E517" s="11" t="n">
        <x:f>D517-C517</x:f>
        <x:v>0</x:v>
      </x:c>
      <x:c r="F517" s="5" t="str">
        <x:v>ja</x:v>
      </x:c>
      <x:c r="G517" s="5" t="str">
        <x:v>WQ</x:v>
      </x:c>
    </x:row>
    <x:row r="518" ht="36" customHeight="1">
      <x:c r="A518" s="5" t="str">
        <x:v>R-0114</x:v>
      </x:c>
      <x:c r="B518" s="5" t="str">
        <x:v>Recht</x:v>
      </x:c>
      <x:c r="C518" s="11" t="n">
        <x:v>1</x:v>
      </x:c>
      <x:c r="D518" s="11" t="n">
        <x:f>COUNTIF('Einzel-ID-Zuordnung'!$A$7:$A$2692,A518)</x:f>
        <x:v>1</x:v>
      </x:c>
      <x:c r="E518" s="11" t="n">
        <x:f>D518-C518</x:f>
        <x:v>0</x:v>
      </x:c>
      <x:c r="F518" s="5" t="str">
        <x:v>ja</x:v>
      </x:c>
      <x:c r="G518" s="5" t="str">
        <x:v>WQ</x:v>
      </x:c>
    </x:row>
    <x:row r="519" ht="36" customHeight="1">
      <x:c r="A519" s="5" t="str">
        <x:v>R-0115</x:v>
      </x:c>
      <x:c r="B519" s="5" t="str">
        <x:v>Recht</x:v>
      </x:c>
      <x:c r="C519" s="11" t="n">
        <x:v>1</x:v>
      </x:c>
      <x:c r="D519" s="11" t="n">
        <x:f>COUNTIF('Einzel-ID-Zuordnung'!$A$7:$A$2692,A519)</x:f>
        <x:v>1</x:v>
      </x:c>
      <x:c r="E519" s="11" t="n">
        <x:f>D519-C519</x:f>
        <x:v>0</x:v>
      </x:c>
      <x:c r="F519" s="5" t="str">
        <x:v>ja</x:v>
      </x:c>
      <x:c r="G519" s="5" t="str">
        <x:v>WQ</x:v>
      </x:c>
    </x:row>
    <x:row r="520" ht="36" customHeight="1">
      <x:c r="A520" s="5" t="str">
        <x:v>R-0116</x:v>
      </x:c>
      <x:c r="B520" s="5" t="str">
        <x:v>Recht</x:v>
      </x:c>
      <x:c r="C520" s="11" t="n">
        <x:v>1</x:v>
      </x:c>
      <x:c r="D520" s="11" t="n">
        <x:f>COUNTIF('Einzel-ID-Zuordnung'!$A$7:$A$2692,A520)</x:f>
        <x:v>1</x:v>
      </x:c>
      <x:c r="E520" s="11" t="n">
        <x:f>D520-C520</x:f>
        <x:v>0</x:v>
      </x:c>
      <x:c r="F520" s="5" t="str">
        <x:v>ja</x:v>
      </x:c>
      <x:c r="G520" s="5" t="str">
        <x:v>WQ</x:v>
      </x:c>
    </x:row>
    <x:row r="521" ht="36" customHeight="1">
      <x:c r="A521" s="5" t="str">
        <x:v>R-0117</x:v>
      </x:c>
      <x:c r="B521" s="5" t="str">
        <x:v>Recht</x:v>
      </x:c>
      <x:c r="C521" s="11" t="n">
        <x:v>1</x:v>
      </x:c>
      <x:c r="D521" s="11" t="n">
        <x:f>COUNTIF('Einzel-ID-Zuordnung'!$A$7:$A$2692,A521)</x:f>
        <x:v>1</x:v>
      </x:c>
      <x:c r="E521" s="11" t="n">
        <x:f>D521-C521</x:f>
        <x:v>0</x:v>
      </x:c>
      <x:c r="F521" s="5" t="str">
        <x:v>ja</x:v>
      </x:c>
      <x:c r="G521" s="5" t="str">
        <x:v>WQ</x:v>
      </x:c>
    </x:row>
    <x:row r="522" ht="36" customHeight="1">
      <x:c r="A522" s="5" t="str">
        <x:v>R-0118</x:v>
      </x:c>
      <x:c r="B522" s="5" t="str">
        <x:v>Recht</x:v>
      </x:c>
      <x:c r="C522" s="11" t="n">
        <x:v>1</x:v>
      </x:c>
      <x:c r="D522" s="11" t="n">
        <x:f>COUNTIF('Einzel-ID-Zuordnung'!$A$7:$A$2692,A522)</x:f>
        <x:v>1</x:v>
      </x:c>
      <x:c r="E522" s="11" t="n">
        <x:f>D522-C522</x:f>
        <x:v>0</x:v>
      </x:c>
      <x:c r="F522" s="5" t="str">
        <x:v>ja</x:v>
      </x:c>
      <x:c r="G522" s="5" t="str">
        <x:v>WQ</x:v>
      </x:c>
    </x:row>
    <x:row r="523" ht="36" customHeight="1">
      <x:c r="A523" s="5" t="str">
        <x:v>R-0119</x:v>
      </x:c>
      <x:c r="B523" s="5" t="str">
        <x:v>Recht</x:v>
      </x:c>
      <x:c r="C523" s="11" t="n">
        <x:v>1</x:v>
      </x:c>
      <x:c r="D523" s="11" t="n">
        <x:f>COUNTIF('Einzel-ID-Zuordnung'!$A$7:$A$2692,A523)</x:f>
        <x:v>1</x:v>
      </x:c>
      <x:c r="E523" s="11" t="n">
        <x:f>D523-C523</x:f>
        <x:v>0</x:v>
      </x:c>
      <x:c r="F523" s="5" t="str">
        <x:v>ja</x:v>
      </x:c>
      <x:c r="G523" s="5" t="str">
        <x:v>WQ</x:v>
      </x:c>
    </x:row>
    <x:row r="524" ht="36" customHeight="1">
      <x:c r="A524" s="5" t="str">
        <x:v>R-0120</x:v>
      </x:c>
      <x:c r="B524" s="5" t="str">
        <x:v>Recht</x:v>
      </x:c>
      <x:c r="C524" s="11" t="n">
        <x:v>1</x:v>
      </x:c>
      <x:c r="D524" s="11" t="n">
        <x:f>COUNTIF('Einzel-ID-Zuordnung'!$A$7:$A$2692,A524)</x:f>
        <x:v>1</x:v>
      </x:c>
      <x:c r="E524" s="11" t="n">
        <x:f>D524-C524</x:f>
        <x:v>0</x:v>
      </x:c>
      <x:c r="F524" s="5" t="str">
        <x:v>ja</x:v>
      </x:c>
      <x:c r="G524" s="5" t="str">
        <x:v>WQ</x:v>
      </x:c>
    </x:row>
    <x:row r="525" ht="36" customHeight="1">
      <x:c r="A525" s="5" t="str">
        <x:v>R-0121</x:v>
      </x:c>
      <x:c r="B525" s="5" t="str">
        <x:v>Recht</x:v>
      </x:c>
      <x:c r="C525" s="11" t="n">
        <x:v>1</x:v>
      </x:c>
      <x:c r="D525" s="11" t="n">
        <x:f>COUNTIF('Einzel-ID-Zuordnung'!$A$7:$A$2692,A525)</x:f>
        <x:v>1</x:v>
      </x:c>
      <x:c r="E525" s="11" t="n">
        <x:f>D525-C525</x:f>
        <x:v>0</x:v>
      </x:c>
      <x:c r="F525" s="5" t="str">
        <x:v>ja</x:v>
      </x:c>
      <x:c r="G525" s="5" t="str">
        <x:v>WQ</x:v>
      </x:c>
    </x:row>
    <x:row r="526" ht="36" customHeight="1">
      <x:c r="A526" s="5" t="str">
        <x:v>R-0122</x:v>
      </x:c>
      <x:c r="B526" s="5" t="str">
        <x:v>Recht</x:v>
      </x:c>
      <x:c r="C526" s="11" t="n">
        <x:v>1</x:v>
      </x:c>
      <x:c r="D526" s="11" t="n">
        <x:f>COUNTIF('Einzel-ID-Zuordnung'!$A$7:$A$2692,A526)</x:f>
        <x:v>1</x:v>
      </x:c>
      <x:c r="E526" s="11" t="n">
        <x:f>D526-C526</x:f>
        <x:v>0</x:v>
      </x:c>
      <x:c r="F526" s="5" t="str">
        <x:v>ja</x:v>
      </x:c>
      <x:c r="G526" s="5" t="str">
        <x:v>WQ</x:v>
      </x:c>
    </x:row>
    <x:row r="527" ht="36" customHeight="1">
      <x:c r="A527" s="5" t="str">
        <x:v>R-0123</x:v>
      </x:c>
      <x:c r="B527" s="5" t="str">
        <x:v>Recht</x:v>
      </x:c>
      <x:c r="C527" s="11" t="n">
        <x:v>1</x:v>
      </x:c>
      <x:c r="D527" s="11" t="n">
        <x:f>COUNTIF('Einzel-ID-Zuordnung'!$A$7:$A$2692,A527)</x:f>
        <x:v>1</x:v>
      </x:c>
      <x:c r="E527" s="11" t="n">
        <x:f>D527-C527</x:f>
        <x:v>0</x:v>
      </x:c>
      <x:c r="F527" s="5" t="str">
        <x:v>ja</x:v>
      </x:c>
      <x:c r="G527" s="5" t="str">
        <x:v>WQ</x:v>
      </x:c>
    </x:row>
    <x:row r="528" ht="36" customHeight="1">
      <x:c r="A528" s="5" t="str">
        <x:v>R-0124</x:v>
      </x:c>
      <x:c r="B528" s="5" t="str">
        <x:v>Recht</x:v>
      </x:c>
      <x:c r="C528" s="11" t="n">
        <x:v>1</x:v>
      </x:c>
      <x:c r="D528" s="11" t="n">
        <x:f>COUNTIF('Einzel-ID-Zuordnung'!$A$7:$A$2692,A528)</x:f>
        <x:v>1</x:v>
      </x:c>
      <x:c r="E528" s="11" t="n">
        <x:f>D528-C528</x:f>
        <x:v>0</x:v>
      </x:c>
      <x:c r="F528" s="5" t="str">
        <x:v>ja</x:v>
      </x:c>
      <x:c r="G528" s="5" t="str">
        <x:v>WQ</x:v>
      </x:c>
    </x:row>
    <x:row r="529" ht="36" customHeight="1">
      <x:c r="A529" s="5" t="str">
        <x:v>R-0125</x:v>
      </x:c>
      <x:c r="B529" s="5" t="str">
        <x:v>Recht</x:v>
      </x:c>
      <x:c r="C529" s="11" t="n">
        <x:v>1</x:v>
      </x:c>
      <x:c r="D529" s="11" t="n">
        <x:f>COUNTIF('Einzel-ID-Zuordnung'!$A$7:$A$2692,A529)</x:f>
        <x:v>1</x:v>
      </x:c>
      <x:c r="E529" s="11" t="n">
        <x:f>D529-C529</x:f>
        <x:v>0</x:v>
      </x:c>
      <x:c r="F529" s="5" t="str">
        <x:v>ja</x:v>
      </x:c>
      <x:c r="G529" s="5" t="str">
        <x:v>WQ</x:v>
      </x:c>
    </x:row>
    <x:row r="530" ht="36" customHeight="1">
      <x:c r="A530" s="5" t="str">
        <x:v>R-0126</x:v>
      </x:c>
      <x:c r="B530" s="5" t="str">
        <x:v>Recht</x:v>
      </x:c>
      <x:c r="C530" s="11" t="n">
        <x:v>1</x:v>
      </x:c>
      <x:c r="D530" s="11" t="n">
        <x:f>COUNTIF('Einzel-ID-Zuordnung'!$A$7:$A$2692,A530)</x:f>
        <x:v>1</x:v>
      </x:c>
      <x:c r="E530" s="11" t="n">
        <x:f>D530-C530</x:f>
        <x:v>0</x:v>
      </x:c>
      <x:c r="F530" s="5" t="str">
        <x:v>ja</x:v>
      </x:c>
      <x:c r="G530" s="5" t="str">
        <x:v>WQ</x:v>
      </x:c>
    </x:row>
    <x:row r="531" ht="36" customHeight="1">
      <x:c r="A531" s="5" t="str">
        <x:v>R-0127</x:v>
      </x:c>
      <x:c r="B531" s="5" t="str">
        <x:v>Recht</x:v>
      </x:c>
      <x:c r="C531" s="11" t="n">
        <x:v>1</x:v>
      </x:c>
      <x:c r="D531" s="11" t="n">
        <x:f>COUNTIF('Einzel-ID-Zuordnung'!$A$7:$A$2692,A531)</x:f>
        <x:v>1</x:v>
      </x:c>
      <x:c r="E531" s="11" t="n">
        <x:f>D531-C531</x:f>
        <x:v>0</x:v>
      </x:c>
      <x:c r="F531" s="5" t="str">
        <x:v>ja</x:v>
      </x:c>
      <x:c r="G531" s="5" t="str">
        <x:v>WQ</x:v>
      </x:c>
    </x:row>
    <x:row r="532" ht="36" customHeight="1">
      <x:c r="A532" s="5" t="str">
        <x:v>R-0128</x:v>
      </x:c>
      <x:c r="B532" s="5" t="str">
        <x:v>Recht</x:v>
      </x:c>
      <x:c r="C532" s="11" t="n">
        <x:v>1</x:v>
      </x:c>
      <x:c r="D532" s="11" t="n">
        <x:f>COUNTIF('Einzel-ID-Zuordnung'!$A$7:$A$2692,A532)</x:f>
        <x:v>1</x:v>
      </x:c>
      <x:c r="E532" s="11" t="n">
        <x:f>D532-C532</x:f>
        <x:v>0</x:v>
      </x:c>
      <x:c r="F532" s="5" t="str">
        <x:v>ja</x:v>
      </x:c>
      <x:c r="G532" s="5" t="str">
        <x:v>WQ</x:v>
      </x:c>
    </x:row>
    <x:row r="533" ht="36" customHeight="1">
      <x:c r="A533" s="5" t="str">
        <x:v>R-0129</x:v>
      </x:c>
      <x:c r="B533" s="5" t="str">
        <x:v>Recht</x:v>
      </x:c>
      <x:c r="C533" s="11" t="n">
        <x:v>1</x:v>
      </x:c>
      <x:c r="D533" s="11" t="n">
        <x:f>COUNTIF('Einzel-ID-Zuordnung'!$A$7:$A$2692,A533)</x:f>
        <x:v>1</x:v>
      </x:c>
      <x:c r="E533" s="11" t="n">
        <x:f>D533-C533</x:f>
        <x:v>0</x:v>
      </x:c>
      <x:c r="F533" s="5" t="str">
        <x:v>ja</x:v>
      </x:c>
      <x:c r="G533" s="5" t="str">
        <x:v>WQ</x:v>
      </x:c>
    </x:row>
    <x:row r="534" ht="36" customHeight="1">
      <x:c r="A534" s="5" t="str">
        <x:v>R-0130</x:v>
      </x:c>
      <x:c r="B534" s="5" t="str">
        <x:v>Recht</x:v>
      </x:c>
      <x:c r="C534" s="11" t="n">
        <x:v>1</x:v>
      </x:c>
      <x:c r="D534" s="11" t="n">
        <x:f>COUNTIF('Einzel-ID-Zuordnung'!$A$7:$A$2692,A534)</x:f>
        <x:v>1</x:v>
      </x:c>
      <x:c r="E534" s="11" t="n">
        <x:f>D534-C534</x:f>
        <x:v>0</x:v>
      </x:c>
      <x:c r="F534" s="5" t="str">
        <x:v>ja</x:v>
      </x:c>
      <x:c r="G534" s="5" t="str">
        <x:v>WQ</x:v>
      </x:c>
    </x:row>
    <x:row r="535" ht="36" customHeight="1">
      <x:c r="A535" s="5" t="str">
        <x:v>R-0131</x:v>
      </x:c>
      <x:c r="B535" s="5" t="str">
        <x:v>Recht</x:v>
      </x:c>
      <x:c r="C535" s="11" t="n">
        <x:v>1</x:v>
      </x:c>
      <x:c r="D535" s="11" t="n">
        <x:f>COUNTIF('Einzel-ID-Zuordnung'!$A$7:$A$2692,A535)</x:f>
        <x:v>1</x:v>
      </x:c>
      <x:c r="E535" s="11" t="n">
        <x:f>D535-C535</x:f>
        <x:v>0</x:v>
      </x:c>
      <x:c r="F535" s="5" t="str">
        <x:v>ja</x:v>
      </x:c>
      <x:c r="G535" s="5" t="str">
        <x:v>WQ</x:v>
      </x:c>
    </x:row>
    <x:row r="536" ht="36" customHeight="1">
      <x:c r="A536" s="5" t="str">
        <x:v>R-0132</x:v>
      </x:c>
      <x:c r="B536" s="5" t="str">
        <x:v>Recht</x:v>
      </x:c>
      <x:c r="C536" s="11" t="n">
        <x:v>1</x:v>
      </x:c>
      <x:c r="D536" s="11" t="n">
        <x:f>COUNTIF('Einzel-ID-Zuordnung'!$A$7:$A$2692,A536)</x:f>
        <x:v>1</x:v>
      </x:c>
      <x:c r="E536" s="11" t="n">
        <x:f>D536-C536</x:f>
        <x:v>0</x:v>
      </x:c>
      <x:c r="F536" s="5" t="str">
        <x:v>ja</x:v>
      </x:c>
      <x:c r="G536" s="5" t="str">
        <x:v>WQ</x:v>
      </x:c>
    </x:row>
    <x:row r="537" ht="36" customHeight="1">
      <x:c r="A537" s="5" t="str">
        <x:v>R-0133</x:v>
      </x:c>
      <x:c r="B537" s="5" t="str">
        <x:v>Recht</x:v>
      </x:c>
      <x:c r="C537" s="11" t="n">
        <x:v>1</x:v>
      </x:c>
      <x:c r="D537" s="11" t="n">
        <x:f>COUNTIF('Einzel-ID-Zuordnung'!$A$7:$A$2692,A537)</x:f>
        <x:v>1</x:v>
      </x:c>
      <x:c r="E537" s="11" t="n">
        <x:f>D537-C537</x:f>
        <x:v>0</x:v>
      </x:c>
      <x:c r="F537" s="5" t="str">
        <x:v>ja</x:v>
      </x:c>
      <x:c r="G537" s="5" t="str">
        <x:v>WQ</x:v>
      </x:c>
    </x:row>
    <x:row r="538" ht="36" customHeight="1">
      <x:c r="A538" s="5" t="str">
        <x:v>R-0134</x:v>
      </x:c>
      <x:c r="B538" s="5" t="str">
        <x:v>Recht</x:v>
      </x:c>
      <x:c r="C538" s="11" t="n">
        <x:v>1</x:v>
      </x:c>
      <x:c r="D538" s="11" t="n">
        <x:f>COUNTIF('Einzel-ID-Zuordnung'!$A$7:$A$2692,A538)</x:f>
        <x:v>1</x:v>
      </x:c>
      <x:c r="E538" s="11" t="n">
        <x:f>D538-C538</x:f>
        <x:v>0</x:v>
      </x:c>
      <x:c r="F538" s="5" t="str">
        <x:v>ja</x:v>
      </x:c>
      <x:c r="G538" s="5" t="str">
        <x:v>WQ</x:v>
      </x:c>
    </x:row>
    <x:row r="539" ht="36" customHeight="1">
      <x:c r="A539" s="5" t="str">
        <x:v>R-0135</x:v>
      </x:c>
      <x:c r="B539" s="5" t="str">
        <x:v>Recht</x:v>
      </x:c>
      <x:c r="C539" s="11" t="n">
        <x:v>1</x:v>
      </x:c>
      <x:c r="D539" s="11" t="n">
        <x:f>COUNTIF('Einzel-ID-Zuordnung'!$A$7:$A$2692,A539)</x:f>
        <x:v>1</x:v>
      </x:c>
      <x:c r="E539" s="11" t="n">
        <x:f>D539-C539</x:f>
        <x:v>0</x:v>
      </x:c>
      <x:c r="F539" s="5" t="str">
        <x:v>ja</x:v>
      </x:c>
      <x:c r="G539" s="5" t="str">
        <x:v>WQ</x:v>
      </x:c>
    </x:row>
    <x:row r="540" ht="36" customHeight="1">
      <x:c r="A540" s="5" t="str">
        <x:v>R-0136</x:v>
      </x:c>
      <x:c r="B540" s="5" t="str">
        <x:v>Recht</x:v>
      </x:c>
      <x:c r="C540" s="11" t="n">
        <x:v>1</x:v>
      </x:c>
      <x:c r="D540" s="11" t="n">
        <x:f>COUNTIF('Einzel-ID-Zuordnung'!$A$7:$A$2692,A540)</x:f>
        <x:v>1</x:v>
      </x:c>
      <x:c r="E540" s="11" t="n">
        <x:f>D540-C540</x:f>
        <x:v>0</x:v>
      </x:c>
      <x:c r="F540" s="5" t="str">
        <x:v>ja</x:v>
      </x:c>
      <x:c r="G540" s="5" t="str">
        <x:v>WQ</x:v>
      </x:c>
    </x:row>
    <x:row r="541" ht="36" customHeight="1">
      <x:c r="A541" s="5" t="str">
        <x:v>R-0137</x:v>
      </x:c>
      <x:c r="B541" s="5" t="str">
        <x:v>Recht</x:v>
      </x:c>
      <x:c r="C541" s="11" t="n">
        <x:v>1</x:v>
      </x:c>
      <x:c r="D541" s="11" t="n">
        <x:f>COUNTIF('Einzel-ID-Zuordnung'!$A$7:$A$2692,A541)</x:f>
        <x:v>1</x:v>
      </x:c>
      <x:c r="E541" s="11" t="n">
        <x:f>D541-C541</x:f>
        <x:v>0</x:v>
      </x:c>
      <x:c r="F541" s="5" t="str">
        <x:v>ja</x:v>
      </x:c>
      <x:c r="G541" s="5" t="str">
        <x:v>WQ</x:v>
      </x:c>
    </x:row>
    <x:row r="542" ht="36" customHeight="1">
      <x:c r="A542" s="5" t="str">
        <x:v>R-0138</x:v>
      </x:c>
      <x:c r="B542" s="5" t="str">
        <x:v>Recht</x:v>
      </x:c>
      <x:c r="C542" s="11" t="n">
        <x:v>1</x:v>
      </x:c>
      <x:c r="D542" s="11" t="n">
        <x:f>COUNTIF('Einzel-ID-Zuordnung'!$A$7:$A$2692,A542)</x:f>
        <x:v>1</x:v>
      </x:c>
      <x:c r="E542" s="11" t="n">
        <x:f>D542-C542</x:f>
        <x:v>0</x:v>
      </x:c>
      <x:c r="F542" s="5" t="str">
        <x:v>ja</x:v>
      </x:c>
      <x:c r="G542" s="5" t="str">
        <x:v>WQ</x:v>
      </x:c>
    </x:row>
    <x:row r="543" ht="36" customHeight="1">
      <x:c r="A543" s="5" t="str">
        <x:v>R-0139</x:v>
      </x:c>
      <x:c r="B543" s="5" t="str">
        <x:v>Recht</x:v>
      </x:c>
      <x:c r="C543" s="11" t="n">
        <x:v>1</x:v>
      </x:c>
      <x:c r="D543" s="11" t="n">
        <x:f>COUNTIF('Einzel-ID-Zuordnung'!$A$7:$A$2692,A543)</x:f>
        <x:v>1</x:v>
      </x:c>
      <x:c r="E543" s="11" t="n">
        <x:f>D543-C543</x:f>
        <x:v>0</x:v>
      </x:c>
      <x:c r="F543" s="5" t="str">
        <x:v>ja</x:v>
      </x:c>
      <x:c r="G543" s="5" t="str">
        <x:v>WQ</x:v>
      </x:c>
    </x:row>
    <x:row r="544" ht="36" customHeight="1">
      <x:c r="A544" s="5" t="str">
        <x:v>R-0140</x:v>
      </x:c>
      <x:c r="B544" s="5" t="str">
        <x:v>Recht</x:v>
      </x:c>
      <x:c r="C544" s="11" t="n">
        <x:v>1</x:v>
      </x:c>
      <x:c r="D544" s="11" t="n">
        <x:f>COUNTIF('Einzel-ID-Zuordnung'!$A$7:$A$2692,A544)</x:f>
        <x:v>1</x:v>
      </x:c>
      <x:c r="E544" s="11" t="n">
        <x:f>D544-C544</x:f>
        <x:v>0</x:v>
      </x:c>
      <x:c r="F544" s="5" t="str">
        <x:v>ja</x:v>
      </x:c>
      <x:c r="G544" s="5" t="str">
        <x:v>WQ</x:v>
      </x:c>
    </x:row>
    <x:row r="545" ht="36" customHeight="1">
      <x:c r="A545" s="5" t="str">
        <x:v>R-0141</x:v>
      </x:c>
      <x:c r="B545" s="5" t="str">
        <x:v>Recht</x:v>
      </x:c>
      <x:c r="C545" s="11" t="n">
        <x:v>1</x:v>
      </x:c>
      <x:c r="D545" s="11" t="n">
        <x:f>COUNTIF('Einzel-ID-Zuordnung'!$A$7:$A$2692,A545)</x:f>
        <x:v>1</x:v>
      </x:c>
      <x:c r="E545" s="11" t="n">
        <x:f>D545-C545</x:f>
        <x:v>0</x:v>
      </x:c>
      <x:c r="F545" s="5" t="str">
        <x:v>ja</x:v>
      </x:c>
      <x:c r="G545" s="5" t="str">
        <x:v>WQ</x:v>
      </x:c>
    </x:row>
    <x:row r="546" ht="36" customHeight="1">
      <x:c r="A546" s="5" t="str">
        <x:v>R-0142</x:v>
      </x:c>
      <x:c r="B546" s="5" t="str">
        <x:v>Recht</x:v>
      </x:c>
      <x:c r="C546" s="11" t="n">
        <x:v>1</x:v>
      </x:c>
      <x:c r="D546" s="11" t="n">
        <x:f>COUNTIF('Einzel-ID-Zuordnung'!$A$7:$A$2692,A546)</x:f>
        <x:v>1</x:v>
      </x:c>
      <x:c r="E546" s="11" t="n">
        <x:f>D546-C546</x:f>
        <x:v>0</x:v>
      </x:c>
      <x:c r="F546" s="5" t="str">
        <x:v>ja</x:v>
      </x:c>
      <x:c r="G546" s="5" t="str">
        <x:v>WQ</x:v>
      </x:c>
    </x:row>
    <x:row r="547" ht="36" customHeight="1">
      <x:c r="A547" s="5" t="str">
        <x:v>R-0143</x:v>
      </x:c>
      <x:c r="B547" s="5" t="str">
        <x:v>Recht</x:v>
      </x:c>
      <x:c r="C547" s="11" t="n">
        <x:v>1</x:v>
      </x:c>
      <x:c r="D547" s="11" t="n">
        <x:f>COUNTIF('Einzel-ID-Zuordnung'!$A$7:$A$2692,A547)</x:f>
        <x:v>1</x:v>
      </x:c>
      <x:c r="E547" s="11" t="n">
        <x:f>D547-C547</x:f>
        <x:v>0</x:v>
      </x:c>
      <x:c r="F547" s="5" t="str">
        <x:v>ja</x:v>
      </x:c>
      <x:c r="G547" s="5" t="str">
        <x:v>WQ</x:v>
      </x:c>
    </x:row>
    <x:row r="548" ht="36" customHeight="1">
      <x:c r="A548" s="5" t="str">
        <x:v>R-0144</x:v>
      </x:c>
      <x:c r="B548" s="5" t="str">
        <x:v>Recht</x:v>
      </x:c>
      <x:c r="C548" s="11" t="n">
        <x:v>1</x:v>
      </x:c>
      <x:c r="D548" s="11" t="n">
        <x:f>COUNTIF('Einzel-ID-Zuordnung'!$A$7:$A$2692,A548)</x:f>
        <x:v>1</x:v>
      </x:c>
      <x:c r="E548" s="11" t="n">
        <x:f>D548-C548</x:f>
        <x:v>0</x:v>
      </x:c>
      <x:c r="F548" s="5" t="str">
        <x:v>ja</x:v>
      </x:c>
      <x:c r="G548" s="5" t="str">
        <x:v>WQ</x:v>
      </x:c>
    </x:row>
    <x:row r="549" ht="36" customHeight="1">
      <x:c r="A549" s="5" t="str">
        <x:v>R-0145</x:v>
      </x:c>
      <x:c r="B549" s="5" t="str">
        <x:v>Recht</x:v>
      </x:c>
      <x:c r="C549" s="11" t="n">
        <x:v>1</x:v>
      </x:c>
      <x:c r="D549" s="11" t="n">
        <x:f>COUNTIF('Einzel-ID-Zuordnung'!$A$7:$A$2692,A549)</x:f>
        <x:v>1</x:v>
      </x:c>
      <x:c r="E549" s="11" t="n">
        <x:f>D549-C549</x:f>
        <x:v>0</x:v>
      </x:c>
      <x:c r="F549" s="5" t="str">
        <x:v>ja</x:v>
      </x:c>
      <x:c r="G549" s="5" t="str">
        <x:v>WQ</x:v>
      </x:c>
    </x:row>
    <x:row r="550" ht="36" customHeight="1">
      <x:c r="A550" s="5" t="str">
        <x:v>R-0146</x:v>
      </x:c>
      <x:c r="B550" s="5" t="str">
        <x:v>Recht</x:v>
      </x:c>
      <x:c r="C550" s="11" t="n">
        <x:v>1</x:v>
      </x:c>
      <x:c r="D550" s="11" t="n">
        <x:f>COUNTIF('Einzel-ID-Zuordnung'!$A$7:$A$2692,A550)</x:f>
        <x:v>1</x:v>
      </x:c>
      <x:c r="E550" s="11" t="n">
        <x:f>D550-C550</x:f>
        <x:v>0</x:v>
      </x:c>
      <x:c r="F550" s="5" t="str">
        <x:v>ja</x:v>
      </x:c>
      <x:c r="G550" s="5" t="str">
        <x:v>WQ</x:v>
      </x:c>
    </x:row>
    <x:row r="551" ht="36" customHeight="1">
      <x:c r="A551" s="5" t="str">
        <x:v>R-0147</x:v>
      </x:c>
      <x:c r="B551" s="5" t="str">
        <x:v>Recht</x:v>
      </x:c>
      <x:c r="C551" s="11" t="n">
        <x:v>1</x:v>
      </x:c>
      <x:c r="D551" s="11" t="n">
        <x:f>COUNTIF('Einzel-ID-Zuordnung'!$A$7:$A$2692,A551)</x:f>
        <x:v>1</x:v>
      </x:c>
      <x:c r="E551" s="11" t="n">
        <x:f>D551-C551</x:f>
        <x:v>0</x:v>
      </x:c>
      <x:c r="F551" s="5" t="str">
        <x:v>ja</x:v>
      </x:c>
      <x:c r="G551" s="5" t="str">
        <x:v>WQ</x:v>
      </x:c>
    </x:row>
    <x:row r="552" ht="36" customHeight="1">
      <x:c r="A552" s="5" t="str">
        <x:v>R-0148</x:v>
      </x:c>
      <x:c r="B552" s="5" t="str">
        <x:v>Recht</x:v>
      </x:c>
      <x:c r="C552" s="11" t="n">
        <x:v>1</x:v>
      </x:c>
      <x:c r="D552" s="11" t="n">
        <x:f>COUNTIF('Einzel-ID-Zuordnung'!$A$7:$A$2692,A552)</x:f>
        <x:v>1</x:v>
      </x:c>
      <x:c r="E552" s="11" t="n">
        <x:f>D552-C552</x:f>
        <x:v>0</x:v>
      </x:c>
      <x:c r="F552" s="5" t="str">
        <x:v>ja</x:v>
      </x:c>
      <x:c r="G552" s="5" t="str">
        <x:v>WQ</x:v>
      </x:c>
    </x:row>
    <x:row r="553" ht="36" customHeight="1">
      <x:c r="A553" s="5" t="str">
        <x:v>R-0149</x:v>
      </x:c>
      <x:c r="B553" s="5" t="str">
        <x:v>Recht</x:v>
      </x:c>
      <x:c r="C553" s="11" t="n">
        <x:v>1</x:v>
      </x:c>
      <x:c r="D553" s="11" t="n">
        <x:f>COUNTIF('Einzel-ID-Zuordnung'!$A$7:$A$2692,A553)</x:f>
        <x:v>1</x:v>
      </x:c>
      <x:c r="E553" s="11" t="n">
        <x:f>D553-C553</x:f>
        <x:v>0</x:v>
      </x:c>
      <x:c r="F553" s="5" t="str">
        <x:v>ja</x:v>
      </x:c>
      <x:c r="G553" s="5" t="str">
        <x:v>WQ</x:v>
      </x:c>
    </x:row>
    <x:row r="554" ht="36" customHeight="1">
      <x:c r="A554" s="5" t="str">
        <x:v>R-0150</x:v>
      </x:c>
      <x:c r="B554" s="5" t="str">
        <x:v>Recht</x:v>
      </x:c>
      <x:c r="C554" s="11" t="n">
        <x:v>1</x:v>
      </x:c>
      <x:c r="D554" s="11" t="n">
        <x:f>COUNTIF('Einzel-ID-Zuordnung'!$A$7:$A$2692,A554)</x:f>
        <x:v>1</x:v>
      </x:c>
      <x:c r="E554" s="11" t="n">
        <x:f>D554-C554</x:f>
        <x:v>0</x:v>
      </x:c>
      <x:c r="F554" s="5" t="str">
        <x:v>ja</x:v>
      </x:c>
      <x:c r="G554" s="5" t="str">
        <x:v>WQ</x:v>
      </x:c>
    </x:row>
    <x:row r="555" ht="36" customHeight="1">
      <x:c r="A555" s="5" t="str">
        <x:v>R-0151</x:v>
      </x:c>
      <x:c r="B555" s="5" t="str">
        <x:v>Recht</x:v>
      </x:c>
      <x:c r="C555" s="11" t="n">
        <x:v>1</x:v>
      </x:c>
      <x:c r="D555" s="11" t="n">
        <x:f>COUNTIF('Einzel-ID-Zuordnung'!$A$7:$A$2692,A555)</x:f>
        <x:v>1</x:v>
      </x:c>
      <x:c r="E555" s="11" t="n">
        <x:f>D555-C555</x:f>
        <x:v>0</x:v>
      </x:c>
      <x:c r="F555" s="5" t="str">
        <x:v>ja</x:v>
      </x:c>
      <x:c r="G555" s="5" t="str">
        <x:v>WQ</x:v>
      </x:c>
    </x:row>
    <x:row r="556" ht="36" customHeight="1">
      <x:c r="A556" s="5" t="str">
        <x:v>R-0152</x:v>
      </x:c>
      <x:c r="B556" s="5" t="str">
        <x:v>Recht</x:v>
      </x:c>
      <x:c r="C556" s="11" t="n">
        <x:v>1</x:v>
      </x:c>
      <x:c r="D556" s="11" t="n">
        <x:f>COUNTIF('Einzel-ID-Zuordnung'!$A$7:$A$2692,A556)</x:f>
        <x:v>1</x:v>
      </x:c>
      <x:c r="E556" s="11" t="n">
        <x:f>D556-C556</x:f>
        <x:v>0</x:v>
      </x:c>
      <x:c r="F556" s="5" t="str">
        <x:v>ja</x:v>
      </x:c>
      <x:c r="G556" s="5" t="str">
        <x:v>WQ</x:v>
      </x:c>
    </x:row>
    <x:row r="557" ht="36" customHeight="1">
      <x:c r="A557" s="5" t="str">
        <x:v>R-0153</x:v>
      </x:c>
      <x:c r="B557" s="5" t="str">
        <x:v>Recht</x:v>
      </x:c>
      <x:c r="C557" s="11" t="n">
        <x:v>1</x:v>
      </x:c>
      <x:c r="D557" s="11" t="n">
        <x:f>COUNTIF('Einzel-ID-Zuordnung'!$A$7:$A$2692,A557)</x:f>
        <x:v>1</x:v>
      </x:c>
      <x:c r="E557" s="11" t="n">
        <x:f>D557-C557</x:f>
        <x:v>0</x:v>
      </x:c>
      <x:c r="F557" s="5" t="str">
        <x:v>ja</x:v>
      </x:c>
      <x:c r="G557" s="5" t="str">
        <x:v>WQ</x:v>
      </x:c>
    </x:row>
    <x:row r="558" ht="36" customHeight="1">
      <x:c r="A558" s="5" t="str">
        <x:v>R-0154</x:v>
      </x:c>
      <x:c r="B558" s="5" t="str">
        <x:v>Recht</x:v>
      </x:c>
      <x:c r="C558" s="11" t="n">
        <x:v>1</x:v>
      </x:c>
      <x:c r="D558" s="11" t="n">
        <x:f>COUNTIF('Einzel-ID-Zuordnung'!$A$7:$A$2692,A558)</x:f>
        <x:v>1</x:v>
      </x:c>
      <x:c r="E558" s="11" t="n">
        <x:f>D558-C558</x:f>
        <x:v>0</x:v>
      </x:c>
      <x:c r="F558" s="5" t="str">
        <x:v>ja</x:v>
      </x:c>
      <x:c r="G558" s="5" t="str">
        <x:v>WQ</x:v>
      </x:c>
    </x:row>
    <x:row r="559" ht="36" customHeight="1">
      <x:c r="A559" s="5" t="str">
        <x:v>R-0155</x:v>
      </x:c>
      <x:c r="B559" s="5" t="str">
        <x:v>Recht</x:v>
      </x:c>
      <x:c r="C559" s="11" t="n">
        <x:v>1</x:v>
      </x:c>
      <x:c r="D559" s="11" t="n">
        <x:f>COUNTIF('Einzel-ID-Zuordnung'!$A$7:$A$2692,A559)</x:f>
        <x:v>1</x:v>
      </x:c>
      <x:c r="E559" s="11" t="n">
        <x:f>D559-C559</x:f>
        <x:v>0</x:v>
      </x:c>
      <x:c r="F559" s="5" t="str">
        <x:v>ja</x:v>
      </x:c>
      <x:c r="G559" s="5" t="str">
        <x:v>WQ</x:v>
      </x:c>
    </x:row>
    <x:row r="560" ht="36" customHeight="1">
      <x:c r="A560" s="5" t="str">
        <x:v>R-0156</x:v>
      </x:c>
      <x:c r="B560" s="5" t="str">
        <x:v>Recht</x:v>
      </x:c>
      <x:c r="C560" s="11" t="n">
        <x:v>1</x:v>
      </x:c>
      <x:c r="D560" s="11" t="n">
        <x:f>COUNTIF('Einzel-ID-Zuordnung'!$A$7:$A$2692,A560)</x:f>
        <x:v>1</x:v>
      </x:c>
      <x:c r="E560" s="11" t="n">
        <x:f>D560-C560</x:f>
        <x:v>0</x:v>
      </x:c>
      <x:c r="F560" s="5" t="str">
        <x:v>ja</x:v>
      </x:c>
      <x:c r="G560" s="5" t="str">
        <x:v>WQ</x:v>
      </x:c>
    </x:row>
    <x:row r="561" ht="36" customHeight="1">
      <x:c r="A561" s="5" t="str">
        <x:v>R-0157</x:v>
      </x:c>
      <x:c r="B561" s="5" t="str">
        <x:v>Recht</x:v>
      </x:c>
      <x:c r="C561" s="11" t="n">
        <x:v>1</x:v>
      </x:c>
      <x:c r="D561" s="11" t="n">
        <x:f>COUNTIF('Einzel-ID-Zuordnung'!$A$7:$A$2692,A561)</x:f>
        <x:v>1</x:v>
      </x:c>
      <x:c r="E561" s="11" t="n">
        <x:f>D561-C561</x:f>
        <x:v>0</x:v>
      </x:c>
      <x:c r="F561" s="5" t="str">
        <x:v>ja</x:v>
      </x:c>
      <x:c r="G561" s="5" t="str">
        <x:v>WQ</x:v>
      </x:c>
    </x:row>
    <x:row r="562" ht="36" customHeight="1">
      <x:c r="A562" s="5" t="str">
        <x:v>R-0158</x:v>
      </x:c>
      <x:c r="B562" s="5" t="str">
        <x:v>Recht</x:v>
      </x:c>
      <x:c r="C562" s="11" t="n">
        <x:v>1</x:v>
      </x:c>
      <x:c r="D562" s="11" t="n">
        <x:f>COUNTIF('Einzel-ID-Zuordnung'!$A$7:$A$2692,A562)</x:f>
        <x:v>1</x:v>
      </x:c>
      <x:c r="E562" s="11" t="n">
        <x:f>D562-C562</x:f>
        <x:v>0</x:v>
      </x:c>
      <x:c r="F562" s="5" t="str">
        <x:v>ja</x:v>
      </x:c>
      <x:c r="G562" s="5" t="str">
        <x:v>WQ</x:v>
      </x:c>
    </x:row>
    <x:row r="563" ht="36" customHeight="1">
      <x:c r="A563" s="5" t="str">
        <x:v>R-0159</x:v>
      </x:c>
      <x:c r="B563" s="5" t="str">
        <x:v>Recht</x:v>
      </x:c>
      <x:c r="C563" s="11" t="n">
        <x:v>1</x:v>
      </x:c>
      <x:c r="D563" s="11" t="n">
        <x:f>COUNTIF('Einzel-ID-Zuordnung'!$A$7:$A$2692,A563)</x:f>
        <x:v>1</x:v>
      </x:c>
      <x:c r="E563" s="11" t="n">
        <x:f>D563-C563</x:f>
        <x:v>0</x:v>
      </x:c>
      <x:c r="F563" s="5" t="str">
        <x:v>ja</x:v>
      </x:c>
      <x:c r="G563" s="5" t="str">
        <x:v>WQ</x:v>
      </x:c>
    </x:row>
    <x:row r="564" ht="36" customHeight="1">
      <x:c r="A564" s="5" t="str">
        <x:v>R-0160</x:v>
      </x:c>
      <x:c r="B564" s="5" t="str">
        <x:v>Recht</x:v>
      </x:c>
      <x:c r="C564" s="11" t="n">
        <x:v>1</x:v>
      </x:c>
      <x:c r="D564" s="11" t="n">
        <x:f>COUNTIF('Einzel-ID-Zuordnung'!$A$7:$A$2692,A564)</x:f>
        <x:v>1</x:v>
      </x:c>
      <x:c r="E564" s="11" t="n">
        <x:f>D564-C564</x:f>
        <x:v>0</x:v>
      </x:c>
      <x:c r="F564" s="5" t="str">
        <x:v>ja</x:v>
      </x:c>
      <x:c r="G564" s="5" t="str">
        <x:v>WQ</x:v>
      </x:c>
    </x:row>
    <x:row r="565" ht="36" customHeight="1">
      <x:c r="A565" s="5" t="str">
        <x:v>R-0161</x:v>
      </x:c>
      <x:c r="B565" s="5" t="str">
        <x:v>Recht</x:v>
      </x:c>
      <x:c r="C565" s="11" t="n">
        <x:v>1</x:v>
      </x:c>
      <x:c r="D565" s="11" t="n">
        <x:f>COUNTIF('Einzel-ID-Zuordnung'!$A$7:$A$2692,A565)</x:f>
        <x:v>1</x:v>
      </x:c>
      <x:c r="E565" s="11" t="n">
        <x:f>D565-C565</x:f>
        <x:v>0</x:v>
      </x:c>
      <x:c r="F565" s="5" t="str">
        <x:v>ja</x:v>
      </x:c>
      <x:c r="G565" s="5" t="str">
        <x:v>WQ</x:v>
      </x:c>
    </x:row>
    <x:row r="566" ht="36" customHeight="1">
      <x:c r="A566" s="5" t="str">
        <x:v>R-0162</x:v>
      </x:c>
      <x:c r="B566" s="5" t="str">
        <x:v>Recht</x:v>
      </x:c>
      <x:c r="C566" s="11" t="n">
        <x:v>1</x:v>
      </x:c>
      <x:c r="D566" s="11" t="n">
        <x:f>COUNTIF('Einzel-ID-Zuordnung'!$A$7:$A$2692,A566)</x:f>
        <x:v>1</x:v>
      </x:c>
      <x:c r="E566" s="11" t="n">
        <x:f>D566-C566</x:f>
        <x:v>0</x:v>
      </x:c>
      <x:c r="F566" s="5" t="str">
        <x:v>ja</x:v>
      </x:c>
      <x:c r="G566" s="5" t="str">
        <x:v>WQ</x:v>
      </x:c>
    </x:row>
    <x:row r="567" ht="36" customHeight="1">
      <x:c r="A567" s="5" t="str">
        <x:v>R-0163</x:v>
      </x:c>
      <x:c r="B567" s="5" t="str">
        <x:v>Recht</x:v>
      </x:c>
      <x:c r="C567" s="11" t="n">
        <x:v>1</x:v>
      </x:c>
      <x:c r="D567" s="11" t="n">
        <x:f>COUNTIF('Einzel-ID-Zuordnung'!$A$7:$A$2692,A567)</x:f>
        <x:v>1</x:v>
      </x:c>
      <x:c r="E567" s="11" t="n">
        <x:f>D567-C567</x:f>
        <x:v>0</x:v>
      </x:c>
      <x:c r="F567" s="5" t="str">
        <x:v>ja</x:v>
      </x:c>
      <x:c r="G567" s="5" t="str">
        <x:v>WQ</x:v>
      </x:c>
    </x:row>
    <x:row r="568" ht="36" customHeight="1">
      <x:c r="A568" s="5" t="str">
        <x:v>R-0164</x:v>
      </x:c>
      <x:c r="B568" s="5" t="str">
        <x:v>Recht</x:v>
      </x:c>
      <x:c r="C568" s="11" t="n">
        <x:v>1</x:v>
      </x:c>
      <x:c r="D568" s="11" t="n">
        <x:f>COUNTIF('Einzel-ID-Zuordnung'!$A$7:$A$2692,A568)</x:f>
        <x:v>1</x:v>
      </x:c>
      <x:c r="E568" s="11" t="n">
        <x:f>D568-C568</x:f>
        <x:v>0</x:v>
      </x:c>
      <x:c r="F568" s="5" t="str">
        <x:v>ja</x:v>
      </x:c>
      <x:c r="G568" s="5" t="str">
        <x:v>WQ</x:v>
      </x:c>
    </x:row>
    <x:row r="569" ht="36" customHeight="1">
      <x:c r="A569" s="5" t="str">
        <x:v>R-0165</x:v>
      </x:c>
      <x:c r="B569" s="5" t="str">
        <x:v>Recht</x:v>
      </x:c>
      <x:c r="C569" s="11" t="n">
        <x:v>1</x:v>
      </x:c>
      <x:c r="D569" s="11" t="n">
        <x:f>COUNTIF('Einzel-ID-Zuordnung'!$A$7:$A$2692,A569)</x:f>
        <x:v>1</x:v>
      </x:c>
      <x:c r="E569" s="11" t="n">
        <x:f>D569-C569</x:f>
        <x:v>0</x:v>
      </x:c>
      <x:c r="F569" s="5" t="str">
        <x:v>ja</x:v>
      </x:c>
      <x:c r="G569" s="5" t="str">
        <x:v>WQ</x:v>
      </x:c>
    </x:row>
    <x:row r="570" ht="36" customHeight="1">
      <x:c r="A570" s="5" t="str">
        <x:v>R-0166</x:v>
      </x:c>
      <x:c r="B570" s="5" t="str">
        <x:v>Recht</x:v>
      </x:c>
      <x:c r="C570" s="11" t="n">
        <x:v>1</x:v>
      </x:c>
      <x:c r="D570" s="11" t="n">
        <x:f>COUNTIF('Einzel-ID-Zuordnung'!$A$7:$A$2692,A570)</x:f>
        <x:v>1</x:v>
      </x:c>
      <x:c r="E570" s="11" t="n">
        <x:f>D570-C570</x:f>
        <x:v>0</x:v>
      </x:c>
      <x:c r="F570" s="5" t="str">
        <x:v>ja</x:v>
      </x:c>
      <x:c r="G570" s="5" t="str">
        <x:v>WQ</x:v>
      </x:c>
    </x:row>
    <x:row r="571" ht="36" customHeight="1">
      <x:c r="A571" s="5" t="str">
        <x:v>R-0167</x:v>
      </x:c>
      <x:c r="B571" s="5" t="str">
        <x:v>Recht</x:v>
      </x:c>
      <x:c r="C571" s="11" t="n">
        <x:v>1</x:v>
      </x:c>
      <x:c r="D571" s="11" t="n">
        <x:f>COUNTIF('Einzel-ID-Zuordnung'!$A$7:$A$2692,A571)</x:f>
        <x:v>1</x:v>
      </x:c>
      <x:c r="E571" s="11" t="n">
        <x:f>D571-C571</x:f>
        <x:v>0</x:v>
      </x:c>
      <x:c r="F571" s="5" t="str">
        <x:v>ja</x:v>
      </x:c>
      <x:c r="G571" s="5" t="str">
        <x:v>WQ</x:v>
      </x:c>
    </x:row>
    <x:row r="572" ht="36" customHeight="1">
      <x:c r="A572" s="5" t="str">
        <x:v>R-0168</x:v>
      </x:c>
      <x:c r="B572" s="5" t="str">
        <x:v>Recht</x:v>
      </x:c>
      <x:c r="C572" s="11" t="n">
        <x:v>1</x:v>
      </x:c>
      <x:c r="D572" s="11" t="n">
        <x:f>COUNTIF('Einzel-ID-Zuordnung'!$A$7:$A$2692,A572)</x:f>
        <x:v>1</x:v>
      </x:c>
      <x:c r="E572" s="11" t="n">
        <x:f>D572-C572</x:f>
        <x:v>0</x:v>
      </x:c>
      <x:c r="F572" s="5" t="str">
        <x:v>ja</x:v>
      </x:c>
      <x:c r="G572" s="5" t="str">
        <x:v>WQ</x:v>
      </x:c>
    </x:row>
    <x:row r="573" ht="36" customHeight="1">
      <x:c r="A573" s="5" t="str">
        <x:v>R-0169</x:v>
      </x:c>
      <x:c r="B573" s="5" t="str">
        <x:v>Recht</x:v>
      </x:c>
      <x:c r="C573" s="11" t="n">
        <x:v>1</x:v>
      </x:c>
      <x:c r="D573" s="11" t="n">
        <x:f>COUNTIF('Einzel-ID-Zuordnung'!$A$7:$A$2692,A573)</x:f>
        <x:v>1</x:v>
      </x:c>
      <x:c r="E573" s="11" t="n">
        <x:f>D573-C573</x:f>
        <x:v>0</x:v>
      </x:c>
      <x:c r="F573" s="5" t="str">
        <x:v>ja</x:v>
      </x:c>
      <x:c r="G573" s="5" t="str">
        <x:v>WQ</x:v>
      </x:c>
    </x:row>
    <x:row r="574" ht="36" customHeight="1">
      <x:c r="A574" s="5" t="str">
        <x:v>R-0170</x:v>
      </x:c>
      <x:c r="B574" s="5" t="str">
        <x:v>Recht</x:v>
      </x:c>
      <x:c r="C574" s="11" t="n">
        <x:v>1</x:v>
      </x:c>
      <x:c r="D574" s="11" t="n">
        <x:f>COUNTIF('Einzel-ID-Zuordnung'!$A$7:$A$2692,A574)</x:f>
        <x:v>1</x:v>
      </x:c>
      <x:c r="E574" s="11" t="n">
        <x:f>D574-C574</x:f>
        <x:v>0</x:v>
      </x:c>
      <x:c r="F574" s="5" t="str">
        <x:v>ja</x:v>
      </x:c>
      <x:c r="G574" s="5" t="str">
        <x:v>WQ</x:v>
      </x:c>
    </x:row>
    <x:row r="575" ht="36" customHeight="1">
      <x:c r="A575" s="5" t="str">
        <x:v>R-0171</x:v>
      </x:c>
      <x:c r="B575" s="5" t="str">
        <x:v>Recht</x:v>
      </x:c>
      <x:c r="C575" s="11" t="n">
        <x:v>1</x:v>
      </x:c>
      <x:c r="D575" s="11" t="n">
        <x:f>COUNTIF('Einzel-ID-Zuordnung'!$A$7:$A$2692,A575)</x:f>
        <x:v>1</x:v>
      </x:c>
      <x:c r="E575" s="11" t="n">
        <x:f>D575-C575</x:f>
        <x:v>0</x:v>
      </x:c>
      <x:c r="F575" s="5" t="str">
        <x:v>ja</x:v>
      </x:c>
      <x:c r="G575" s="5" t="str">
        <x:v>WQ</x:v>
      </x:c>
    </x:row>
    <x:row r="576" ht="36" customHeight="1">
      <x:c r="A576" s="5" t="str">
        <x:v>R-0172</x:v>
      </x:c>
      <x:c r="B576" s="5" t="str">
        <x:v>Recht</x:v>
      </x:c>
      <x:c r="C576" s="11" t="n">
        <x:v>1</x:v>
      </x:c>
      <x:c r="D576" s="11" t="n">
        <x:f>COUNTIF('Einzel-ID-Zuordnung'!$A$7:$A$2692,A576)</x:f>
        <x:v>1</x:v>
      </x:c>
      <x:c r="E576" s="11" t="n">
        <x:f>D576-C576</x:f>
        <x:v>0</x:v>
      </x:c>
      <x:c r="F576" s="5" t="str">
        <x:v>ja</x:v>
      </x:c>
      <x:c r="G576" s="5" t="str">
        <x:v>WQ</x:v>
      </x:c>
    </x:row>
    <x:row r="577" ht="36" customHeight="1">
      <x:c r="A577" s="5" t="str">
        <x:v>R-0173</x:v>
      </x:c>
      <x:c r="B577" s="5" t="str">
        <x:v>Recht</x:v>
      </x:c>
      <x:c r="C577" s="11" t="n">
        <x:v>1</x:v>
      </x:c>
      <x:c r="D577" s="11" t="n">
        <x:f>COUNTIF('Einzel-ID-Zuordnung'!$A$7:$A$2692,A577)</x:f>
        <x:v>1</x:v>
      </x:c>
      <x:c r="E577" s="11" t="n">
        <x:f>D577-C577</x:f>
        <x:v>0</x:v>
      </x:c>
      <x:c r="F577" s="5" t="str">
        <x:v>ja</x:v>
      </x:c>
      <x:c r="G577" s="5" t="str">
        <x:v>WQ</x:v>
      </x:c>
    </x:row>
    <x:row r="578" ht="36" customHeight="1">
      <x:c r="A578" s="5" t="str">
        <x:v>R-0174</x:v>
      </x:c>
      <x:c r="B578" s="5" t="str">
        <x:v>Recht</x:v>
      </x:c>
      <x:c r="C578" s="11" t="n">
        <x:v>1</x:v>
      </x:c>
      <x:c r="D578" s="11" t="n">
        <x:f>COUNTIF('Einzel-ID-Zuordnung'!$A$7:$A$2692,A578)</x:f>
        <x:v>1</x:v>
      </x:c>
      <x:c r="E578" s="11" t="n">
        <x:f>D578-C578</x:f>
        <x:v>0</x:v>
      </x:c>
      <x:c r="F578" s="5" t="str">
        <x:v>ja</x:v>
      </x:c>
      <x:c r="G578" s="5" t="str">
        <x:v>WQ</x:v>
      </x:c>
    </x:row>
    <x:row r="579" ht="36" customHeight="1">
      <x:c r="A579" s="5" t="str">
        <x:v>R-0175</x:v>
      </x:c>
      <x:c r="B579" s="5" t="str">
        <x:v>Recht</x:v>
      </x:c>
      <x:c r="C579" s="11" t="n">
        <x:v>1</x:v>
      </x:c>
      <x:c r="D579" s="11" t="n">
        <x:f>COUNTIF('Einzel-ID-Zuordnung'!$A$7:$A$2692,A579)</x:f>
        <x:v>1</x:v>
      </x:c>
      <x:c r="E579" s="11" t="n">
        <x:f>D579-C579</x:f>
        <x:v>0</x:v>
      </x:c>
      <x:c r="F579" s="5" t="str">
        <x:v>ja</x:v>
      </x:c>
      <x:c r="G579" s="5" t="str">
        <x:v>WQ</x:v>
      </x:c>
    </x:row>
    <x:row r="580" ht="36" customHeight="1">
      <x:c r="A580" s="5" t="str">
        <x:v>R-0176</x:v>
      </x:c>
      <x:c r="B580" s="5" t="str">
        <x:v>Recht</x:v>
      </x:c>
      <x:c r="C580" s="11" t="n">
        <x:v>1</x:v>
      </x:c>
      <x:c r="D580" s="11" t="n">
        <x:f>COUNTIF('Einzel-ID-Zuordnung'!$A$7:$A$2692,A580)</x:f>
        <x:v>1</x:v>
      </x:c>
      <x:c r="E580" s="11" t="n">
        <x:f>D580-C580</x:f>
        <x:v>0</x:v>
      </x:c>
      <x:c r="F580" s="5" t="str">
        <x:v>ja</x:v>
      </x:c>
      <x:c r="G580" s="5" t="str">
        <x:v>WQ</x:v>
      </x:c>
    </x:row>
    <x:row r="581" ht="36" customHeight="1">
      <x:c r="A581" s="5" t="str">
        <x:v>R-0177</x:v>
      </x:c>
      <x:c r="B581" s="5" t="str">
        <x:v>Recht</x:v>
      </x:c>
      <x:c r="C581" s="11" t="n">
        <x:v>1</x:v>
      </x:c>
      <x:c r="D581" s="11" t="n">
        <x:f>COUNTIF('Einzel-ID-Zuordnung'!$A$7:$A$2692,A581)</x:f>
        <x:v>1</x:v>
      </x:c>
      <x:c r="E581" s="11" t="n">
        <x:f>D581-C581</x:f>
        <x:v>0</x:v>
      </x:c>
      <x:c r="F581" s="5" t="str">
        <x:v>ja</x:v>
      </x:c>
      <x:c r="G581" s="5" t="str">
        <x:v>WQ</x:v>
      </x:c>
    </x:row>
    <x:row r="582" ht="36" customHeight="1">
      <x:c r="A582" s="5" t="str">
        <x:v>R-0178</x:v>
      </x:c>
      <x:c r="B582" s="5" t="str">
        <x:v>Recht</x:v>
      </x:c>
      <x:c r="C582" s="11" t="n">
        <x:v>1</x:v>
      </x:c>
      <x:c r="D582" s="11" t="n">
        <x:f>COUNTIF('Einzel-ID-Zuordnung'!$A$7:$A$2692,A582)</x:f>
        <x:v>1</x:v>
      </x:c>
      <x:c r="E582" s="11" t="n">
        <x:f>D582-C582</x:f>
        <x:v>0</x:v>
      </x:c>
      <x:c r="F582" s="5" t="str">
        <x:v>ja</x:v>
      </x:c>
      <x:c r="G582" s="5" t="str">
        <x:v>WQ</x:v>
      </x:c>
    </x:row>
    <x:row r="583" ht="36" customHeight="1">
      <x:c r="A583" s="5" t="str">
        <x:v>R-0179</x:v>
      </x:c>
      <x:c r="B583" s="5" t="str">
        <x:v>Recht</x:v>
      </x:c>
      <x:c r="C583" s="11" t="n">
        <x:v>1</x:v>
      </x:c>
      <x:c r="D583" s="11" t="n">
        <x:f>COUNTIF('Einzel-ID-Zuordnung'!$A$7:$A$2692,A583)</x:f>
        <x:v>1</x:v>
      </x:c>
      <x:c r="E583" s="11" t="n">
        <x:f>D583-C583</x:f>
        <x:v>0</x:v>
      </x:c>
      <x:c r="F583" s="5" t="str">
        <x:v>ja</x:v>
      </x:c>
      <x:c r="G583" s="5" t="str">
        <x:v>WQ</x:v>
      </x:c>
    </x:row>
    <x:row r="584" ht="36" customHeight="1">
      <x:c r="A584" s="5" t="str">
        <x:v>R-0180</x:v>
      </x:c>
      <x:c r="B584" s="5" t="str">
        <x:v>Recht</x:v>
      </x:c>
      <x:c r="C584" s="11" t="n">
        <x:v>1</x:v>
      </x:c>
      <x:c r="D584" s="11" t="n">
        <x:f>COUNTIF('Einzel-ID-Zuordnung'!$A$7:$A$2692,A584)</x:f>
        <x:v>1</x:v>
      </x:c>
      <x:c r="E584" s="11" t="n">
        <x:f>D584-C584</x:f>
        <x:v>0</x:v>
      </x:c>
      <x:c r="F584" s="5" t="str">
        <x:v>ja</x:v>
      </x:c>
      <x:c r="G584" s="5" t="str">
        <x:v>WQ</x:v>
      </x:c>
    </x:row>
    <x:row r="585" ht="36" customHeight="1">
      <x:c r="A585" s="5" t="str">
        <x:v>R-0181</x:v>
      </x:c>
      <x:c r="B585" s="5" t="str">
        <x:v>Recht</x:v>
      </x:c>
      <x:c r="C585" s="11" t="n">
        <x:v>1</x:v>
      </x:c>
      <x:c r="D585" s="11" t="n">
        <x:f>COUNTIF('Einzel-ID-Zuordnung'!$A$7:$A$2692,A585)</x:f>
        <x:v>1</x:v>
      </x:c>
      <x:c r="E585" s="11" t="n">
        <x:f>D585-C585</x:f>
        <x:v>0</x:v>
      </x:c>
      <x:c r="F585" s="5" t="str">
        <x:v>ja</x:v>
      </x:c>
      <x:c r="G585" s="5" t="str">
        <x:v>WQ</x:v>
      </x:c>
    </x:row>
    <x:row r="586" ht="36" customHeight="1">
      <x:c r="A586" s="5" t="str">
        <x:v>R-0182</x:v>
      </x:c>
      <x:c r="B586" s="5" t="str">
        <x:v>Recht</x:v>
      </x:c>
      <x:c r="C586" s="11" t="n">
        <x:v>1</x:v>
      </x:c>
      <x:c r="D586" s="11" t="n">
        <x:f>COUNTIF('Einzel-ID-Zuordnung'!$A$7:$A$2692,A586)</x:f>
        <x:v>1</x:v>
      </x:c>
      <x:c r="E586" s="11" t="n">
        <x:f>D586-C586</x:f>
        <x:v>0</x:v>
      </x:c>
      <x:c r="F586" s="5" t="str">
        <x:v>ja</x:v>
      </x:c>
      <x:c r="G586" s="5" t="str">
        <x:v>WQ</x:v>
      </x:c>
    </x:row>
    <x:row r="587" ht="36" customHeight="1">
      <x:c r="A587" s="5" t="str">
        <x:v>R-0183</x:v>
      </x:c>
      <x:c r="B587" s="5" t="str">
        <x:v>Recht</x:v>
      </x:c>
      <x:c r="C587" s="11" t="n">
        <x:v>1</x:v>
      </x:c>
      <x:c r="D587" s="11" t="n">
        <x:f>COUNTIF('Einzel-ID-Zuordnung'!$A$7:$A$2692,A587)</x:f>
        <x:v>1</x:v>
      </x:c>
      <x:c r="E587" s="11" t="n">
        <x:f>D587-C587</x:f>
        <x:v>0</x:v>
      </x:c>
      <x:c r="F587" s="5" t="str">
        <x:v>ja</x:v>
      </x:c>
      <x:c r="G587" s="5" t="str">
        <x:v>WQ</x:v>
      </x:c>
    </x:row>
    <x:row r="588" ht="36" customHeight="1">
      <x:c r="A588" s="5" t="str">
        <x:v>R-0184</x:v>
      </x:c>
      <x:c r="B588" s="5" t="str">
        <x:v>Recht</x:v>
      </x:c>
      <x:c r="C588" s="11" t="n">
        <x:v>1</x:v>
      </x:c>
      <x:c r="D588" s="11" t="n">
        <x:f>COUNTIF('Einzel-ID-Zuordnung'!$A$7:$A$2692,A588)</x:f>
        <x:v>1</x:v>
      </x:c>
      <x:c r="E588" s="11" t="n">
        <x:f>D588-C588</x:f>
        <x:v>0</x:v>
      </x:c>
      <x:c r="F588" s="5" t="str">
        <x:v>ja</x:v>
      </x:c>
      <x:c r="G588" s="5" t="str">
        <x:v>WQ</x:v>
      </x:c>
    </x:row>
    <x:row r="589" ht="36" customHeight="1">
      <x:c r="A589" s="5" t="str">
        <x:v>R-0185</x:v>
      </x:c>
      <x:c r="B589" s="5" t="str">
        <x:v>Recht</x:v>
      </x:c>
      <x:c r="C589" s="11" t="n">
        <x:v>1</x:v>
      </x:c>
      <x:c r="D589" s="11" t="n">
        <x:f>COUNTIF('Einzel-ID-Zuordnung'!$A$7:$A$2692,A589)</x:f>
        <x:v>1</x:v>
      </x:c>
      <x:c r="E589" s="11" t="n">
        <x:f>D589-C589</x:f>
        <x:v>0</x:v>
      </x:c>
      <x:c r="F589" s="5" t="str">
        <x:v>ja</x:v>
      </x:c>
      <x:c r="G589" s="5" t="str">
        <x:v>WQ</x:v>
      </x:c>
    </x:row>
    <x:row r="590" ht="36" customHeight="1">
      <x:c r="A590" s="5" t="str">
        <x:v>R-0186</x:v>
      </x:c>
      <x:c r="B590" s="5" t="str">
        <x:v>Recht</x:v>
      </x:c>
      <x:c r="C590" s="11" t="n">
        <x:v>1</x:v>
      </x:c>
      <x:c r="D590" s="11" t="n">
        <x:f>COUNTIF('Einzel-ID-Zuordnung'!$A$7:$A$2692,A590)</x:f>
        <x:v>1</x:v>
      </x:c>
      <x:c r="E590" s="11" t="n">
        <x:f>D590-C590</x:f>
        <x:v>0</x:v>
      </x:c>
      <x:c r="F590" s="5" t="str">
        <x:v>ja</x:v>
      </x:c>
      <x:c r="G590" s="5" t="str">
        <x:v>WQ</x:v>
      </x:c>
    </x:row>
    <x:row r="591" ht="36" customHeight="1">
      <x:c r="A591" s="5" t="str">
        <x:v>R-0187</x:v>
      </x:c>
      <x:c r="B591" s="5" t="str">
        <x:v>Recht</x:v>
      </x:c>
      <x:c r="C591" s="11" t="n">
        <x:v>1</x:v>
      </x:c>
      <x:c r="D591" s="11" t="n">
        <x:f>COUNTIF('Einzel-ID-Zuordnung'!$A$7:$A$2692,A591)</x:f>
        <x:v>1</x:v>
      </x:c>
      <x:c r="E591" s="11" t="n">
        <x:f>D591-C591</x:f>
        <x:v>0</x:v>
      </x:c>
      <x:c r="F591" s="5" t="str">
        <x:v>ja</x:v>
      </x:c>
      <x:c r="G591" s="5" t="str">
        <x:v>WQ</x:v>
      </x:c>
    </x:row>
    <x:row r="592" ht="36" customHeight="1">
      <x:c r="A592" s="5" t="str">
        <x:v>R-0188</x:v>
      </x:c>
      <x:c r="B592" s="5" t="str">
        <x:v>Recht</x:v>
      </x:c>
      <x:c r="C592" s="11" t="n">
        <x:v>1</x:v>
      </x:c>
      <x:c r="D592" s="11" t="n">
        <x:f>COUNTIF('Einzel-ID-Zuordnung'!$A$7:$A$2692,A592)</x:f>
        <x:v>1</x:v>
      </x:c>
      <x:c r="E592" s="11" t="n">
        <x:f>D592-C592</x:f>
        <x:v>0</x:v>
      </x:c>
      <x:c r="F592" s="5" t="str">
        <x:v>ja</x:v>
      </x:c>
      <x:c r="G592" s="5" t="str">
        <x:v>WQ</x:v>
      </x:c>
    </x:row>
    <x:row r="593" ht="36" customHeight="1">
      <x:c r="A593" s="5" t="str">
        <x:v>R-0189</x:v>
      </x:c>
      <x:c r="B593" s="5" t="str">
        <x:v>Recht</x:v>
      </x:c>
      <x:c r="C593" s="11" t="n">
        <x:v>1</x:v>
      </x:c>
      <x:c r="D593" s="11" t="n">
        <x:f>COUNTIF('Einzel-ID-Zuordnung'!$A$7:$A$2692,A593)</x:f>
        <x:v>1</x:v>
      </x:c>
      <x:c r="E593" s="11" t="n">
        <x:f>D593-C593</x:f>
        <x:v>0</x:v>
      </x:c>
      <x:c r="F593" s="5" t="str">
        <x:v>ja</x:v>
      </x:c>
      <x:c r="G593" s="5" t="str">
        <x:v>WQ</x:v>
      </x:c>
    </x:row>
    <x:row r="594" ht="36" customHeight="1">
      <x:c r="A594" s="5" t="str">
        <x:v>R-0190</x:v>
      </x:c>
      <x:c r="B594" s="5" t="str">
        <x:v>Recht</x:v>
      </x:c>
      <x:c r="C594" s="11" t="n">
        <x:v>1</x:v>
      </x:c>
      <x:c r="D594" s="11" t="n">
        <x:f>COUNTIF('Einzel-ID-Zuordnung'!$A$7:$A$2692,A594)</x:f>
        <x:v>1</x:v>
      </x:c>
      <x:c r="E594" s="11" t="n">
        <x:f>D594-C594</x:f>
        <x:v>0</x:v>
      </x:c>
      <x:c r="F594" s="5" t="str">
        <x:v>ja</x:v>
      </x:c>
      <x:c r="G594" s="5" t="str">
        <x:v>WQ</x:v>
      </x:c>
    </x:row>
    <x:row r="595" ht="36" customHeight="1">
      <x:c r="A595" s="5" t="str">
        <x:v>R-0191</x:v>
      </x:c>
      <x:c r="B595" s="5" t="str">
        <x:v>Recht</x:v>
      </x:c>
      <x:c r="C595" s="11" t="n">
        <x:v>1</x:v>
      </x:c>
      <x:c r="D595" s="11" t="n">
        <x:f>COUNTIF('Einzel-ID-Zuordnung'!$A$7:$A$2692,A595)</x:f>
        <x:v>1</x:v>
      </x:c>
      <x:c r="E595" s="11" t="n">
        <x:f>D595-C595</x:f>
        <x:v>0</x:v>
      </x:c>
      <x:c r="F595" s="5" t="str">
        <x:v>ja</x:v>
      </x:c>
      <x:c r="G595" s="5" t="str">
        <x:v>WQ</x:v>
      </x:c>
    </x:row>
    <x:row r="596" ht="36" customHeight="1">
      <x:c r="A596" s="5" t="str">
        <x:v>R-0192</x:v>
      </x:c>
      <x:c r="B596" s="5" t="str">
        <x:v>Recht</x:v>
      </x:c>
      <x:c r="C596" s="11" t="n">
        <x:v>1</x:v>
      </x:c>
      <x:c r="D596" s="11" t="n">
        <x:f>COUNTIF('Einzel-ID-Zuordnung'!$A$7:$A$2692,A596)</x:f>
        <x:v>1</x:v>
      </x:c>
      <x:c r="E596" s="11" t="n">
        <x:f>D596-C596</x:f>
        <x:v>0</x:v>
      </x:c>
      <x:c r="F596" s="5" t="str">
        <x:v>ja</x:v>
      </x:c>
      <x:c r="G596" s="5" t="str">
        <x:v>WQ</x:v>
      </x:c>
    </x:row>
    <x:row r="597" ht="36" customHeight="1">
      <x:c r="A597" s="5" t="str">
        <x:v>R-0193</x:v>
      </x:c>
      <x:c r="B597" s="5" t="str">
        <x:v>Recht</x:v>
      </x:c>
      <x:c r="C597" s="11" t="n">
        <x:v>1</x:v>
      </x:c>
      <x:c r="D597" s="11" t="n">
        <x:f>COUNTIF('Einzel-ID-Zuordnung'!$A$7:$A$2692,A597)</x:f>
        <x:v>1</x:v>
      </x:c>
      <x:c r="E597" s="11" t="n">
        <x:f>D597-C597</x:f>
        <x:v>0</x:v>
      </x:c>
      <x:c r="F597" s="5" t="str">
        <x:v>ja</x:v>
      </x:c>
      <x:c r="G597" s="5" t="str">
        <x:v>WQ</x:v>
      </x:c>
    </x:row>
    <x:row r="598" ht="36" customHeight="1">
      <x:c r="A598" s="5" t="str">
        <x:v>R-0194</x:v>
      </x:c>
      <x:c r="B598" s="5" t="str">
        <x:v>Recht</x:v>
      </x:c>
      <x:c r="C598" s="11" t="n">
        <x:v>1</x:v>
      </x:c>
      <x:c r="D598" s="11" t="n">
        <x:f>COUNTIF('Einzel-ID-Zuordnung'!$A$7:$A$2692,A598)</x:f>
        <x:v>1</x:v>
      </x:c>
      <x:c r="E598" s="11" t="n">
        <x:f>D598-C598</x:f>
        <x:v>0</x:v>
      </x:c>
      <x:c r="F598" s="5" t="str">
        <x:v>ja</x:v>
      </x:c>
      <x:c r="G598" s="5" t="str">
        <x:v>WQ</x:v>
      </x:c>
    </x:row>
    <x:row r="599" ht="36" customHeight="1">
      <x:c r="A599" s="5" t="str">
        <x:v>R-0195</x:v>
      </x:c>
      <x:c r="B599" s="5" t="str">
        <x:v>Recht</x:v>
      </x:c>
      <x:c r="C599" s="11" t="n">
        <x:v>1</x:v>
      </x:c>
      <x:c r="D599" s="11" t="n">
        <x:f>COUNTIF('Einzel-ID-Zuordnung'!$A$7:$A$2692,A599)</x:f>
        <x:v>1</x:v>
      </x:c>
      <x:c r="E599" s="11" t="n">
        <x:f>D599-C599</x:f>
        <x:v>0</x:v>
      </x:c>
      <x:c r="F599" s="5" t="str">
        <x:v>ja</x:v>
      </x:c>
      <x:c r="G599" s="5" t="str">
        <x:v>WQ</x:v>
      </x:c>
    </x:row>
    <x:row r="600" ht="36" customHeight="1">
      <x:c r="A600" s="5" t="str">
        <x:v>R-0196</x:v>
      </x:c>
      <x:c r="B600" s="5" t="str">
        <x:v>Recht</x:v>
      </x:c>
      <x:c r="C600" s="11" t="n">
        <x:v>1</x:v>
      </x:c>
      <x:c r="D600" s="11" t="n">
        <x:f>COUNTIF('Einzel-ID-Zuordnung'!$A$7:$A$2692,A600)</x:f>
        <x:v>1</x:v>
      </x:c>
      <x:c r="E600" s="11" t="n">
        <x:f>D600-C600</x:f>
        <x:v>0</x:v>
      </x:c>
      <x:c r="F600" s="5" t="str">
        <x:v>ja</x:v>
      </x:c>
      <x:c r="G600" s="5" t="str">
        <x:v>WQ</x:v>
      </x:c>
    </x:row>
    <x:row r="601" ht="36" customHeight="1">
      <x:c r="A601" s="5" t="str">
        <x:v>R-0197</x:v>
      </x:c>
      <x:c r="B601" s="5" t="str">
        <x:v>Recht</x:v>
      </x:c>
      <x:c r="C601" s="11" t="n">
        <x:v>1</x:v>
      </x:c>
      <x:c r="D601" s="11" t="n">
        <x:f>COUNTIF('Einzel-ID-Zuordnung'!$A$7:$A$2692,A601)</x:f>
        <x:v>1</x:v>
      </x:c>
      <x:c r="E601" s="11" t="n">
        <x:f>D601-C601</x:f>
        <x:v>0</x:v>
      </x:c>
      <x:c r="F601" s="5" t="str">
        <x:v>ja</x:v>
      </x:c>
      <x:c r="G601" s="5" t="str">
        <x:v>WQ</x:v>
      </x:c>
    </x:row>
    <x:row r="602" ht="36" customHeight="1">
      <x:c r="A602" s="5" t="str">
        <x:v>R-0198</x:v>
      </x:c>
      <x:c r="B602" s="5" t="str">
        <x:v>Recht</x:v>
      </x:c>
      <x:c r="C602" s="11" t="n">
        <x:v>1</x:v>
      </x:c>
      <x:c r="D602" s="11" t="n">
        <x:f>COUNTIF('Einzel-ID-Zuordnung'!$A$7:$A$2692,A602)</x:f>
        <x:v>1</x:v>
      </x:c>
      <x:c r="E602" s="11" t="n">
        <x:f>D602-C602</x:f>
        <x:v>0</x:v>
      </x:c>
      <x:c r="F602" s="5" t="str">
        <x:v>ja</x:v>
      </x:c>
      <x:c r="G602" s="5" t="str">
        <x:v>WQ</x:v>
      </x:c>
    </x:row>
    <x:row r="603" ht="36" customHeight="1">
      <x:c r="A603" s="5" t="str">
        <x:v>R-0199</x:v>
      </x:c>
      <x:c r="B603" s="5" t="str">
        <x:v>Recht</x:v>
      </x:c>
      <x:c r="C603" s="11" t="n">
        <x:v>1</x:v>
      </x:c>
      <x:c r="D603" s="11" t="n">
        <x:f>COUNTIF('Einzel-ID-Zuordnung'!$A$7:$A$2692,A603)</x:f>
        <x:v>1</x:v>
      </x:c>
      <x:c r="E603" s="11" t="n">
        <x:f>D603-C603</x:f>
        <x:v>0</x:v>
      </x:c>
      <x:c r="F603" s="5" t="str">
        <x:v>ja</x:v>
      </x:c>
      <x:c r="G603" s="5" t="str">
        <x:v>WQ</x:v>
      </x:c>
    </x:row>
    <x:row r="604" ht="36" customHeight="1">
      <x:c r="A604" s="5" t="str">
        <x:v>R-0200</x:v>
      </x:c>
      <x:c r="B604" s="5" t="str">
        <x:v>Recht</x:v>
      </x:c>
      <x:c r="C604" s="11" t="n">
        <x:v>1</x:v>
      </x:c>
      <x:c r="D604" s="11" t="n">
        <x:f>COUNTIF('Einzel-ID-Zuordnung'!$A$7:$A$2692,A604)</x:f>
        <x:v>1</x:v>
      </x:c>
      <x:c r="E604" s="11" t="n">
        <x:f>D604-C604</x:f>
        <x:v>0</x:v>
      </x:c>
      <x:c r="F604" s="5" t="str">
        <x:v>ja</x:v>
      </x:c>
      <x:c r="G604" s="5" t="str">
        <x:v>WQ</x:v>
      </x:c>
    </x:row>
    <x:row r="605" ht="36" customHeight="1">
      <x:c r="A605" s="5" t="str">
        <x:v>R-0201</x:v>
      </x:c>
      <x:c r="B605" s="5" t="str">
        <x:v>Recht</x:v>
      </x:c>
      <x:c r="C605" s="11" t="n">
        <x:v>1</x:v>
      </x:c>
      <x:c r="D605" s="11" t="n">
        <x:f>COUNTIF('Einzel-ID-Zuordnung'!$A$7:$A$2692,A605)</x:f>
        <x:v>1</x:v>
      </x:c>
      <x:c r="E605" s="11" t="n">
        <x:f>D605-C605</x:f>
        <x:v>0</x:v>
      </x:c>
      <x:c r="F605" s="5" t="str">
        <x:v>ja</x:v>
      </x:c>
      <x:c r="G605" s="5" t="str">
        <x:v>WQ</x:v>
      </x:c>
    </x:row>
    <x:row r="606" ht="36" customHeight="1">
      <x:c r="A606" s="5" t="str">
        <x:v>R-0202</x:v>
      </x:c>
      <x:c r="B606" s="5" t="str">
        <x:v>Recht</x:v>
      </x:c>
      <x:c r="C606" s="11" t="n">
        <x:v>1</x:v>
      </x:c>
      <x:c r="D606" s="11" t="n">
        <x:f>COUNTIF('Einzel-ID-Zuordnung'!$A$7:$A$2692,A606)</x:f>
        <x:v>1</x:v>
      </x:c>
      <x:c r="E606" s="11" t="n">
        <x:f>D606-C606</x:f>
        <x:v>0</x:v>
      </x:c>
      <x:c r="F606" s="5" t="str">
        <x:v>ja</x:v>
      </x:c>
      <x:c r="G606" s="5" t="str">
        <x:v>WQ</x:v>
      </x:c>
    </x:row>
    <x:row r="607" ht="36" customHeight="1">
      <x:c r="A607" s="5" t="str">
        <x:v>R-0203</x:v>
      </x:c>
      <x:c r="B607" s="5" t="str">
        <x:v>Recht</x:v>
      </x:c>
      <x:c r="C607" s="11" t="n">
        <x:v>1</x:v>
      </x:c>
      <x:c r="D607" s="11" t="n">
        <x:f>COUNTIF('Einzel-ID-Zuordnung'!$A$7:$A$2692,A607)</x:f>
        <x:v>1</x:v>
      </x:c>
      <x:c r="E607" s="11" t="n">
        <x:f>D607-C607</x:f>
        <x:v>0</x:v>
      </x:c>
      <x:c r="F607" s="5" t="str">
        <x:v>ja</x:v>
      </x:c>
      <x:c r="G607" s="5" t="str">
        <x:v>WQ</x:v>
      </x:c>
    </x:row>
    <x:row r="608" ht="36" customHeight="1">
      <x:c r="A608" s="5" t="str">
        <x:v>R-0204</x:v>
      </x:c>
      <x:c r="B608" s="5" t="str">
        <x:v>Recht</x:v>
      </x:c>
      <x:c r="C608" s="11" t="n">
        <x:v>1</x:v>
      </x:c>
      <x:c r="D608" s="11" t="n">
        <x:f>COUNTIF('Einzel-ID-Zuordnung'!$A$7:$A$2692,A608)</x:f>
        <x:v>1</x:v>
      </x:c>
      <x:c r="E608" s="11" t="n">
        <x:f>D608-C608</x:f>
        <x:v>0</x:v>
      </x:c>
      <x:c r="F608" s="5" t="str">
        <x:v>ja</x:v>
      </x:c>
      <x:c r="G608" s="5" t="str">
        <x:v>WQ</x:v>
      </x:c>
    </x:row>
    <x:row r="609" ht="36" customHeight="1">
      <x:c r="A609" s="5" t="str">
        <x:v>R-0205</x:v>
      </x:c>
      <x:c r="B609" s="5" t="str">
        <x:v>Recht</x:v>
      </x:c>
      <x:c r="C609" s="11" t="n">
        <x:v>1</x:v>
      </x:c>
      <x:c r="D609" s="11" t="n">
        <x:f>COUNTIF('Einzel-ID-Zuordnung'!$A$7:$A$2692,A609)</x:f>
        <x:v>1</x:v>
      </x:c>
      <x:c r="E609" s="11" t="n">
        <x:f>D609-C609</x:f>
        <x:v>0</x:v>
      </x:c>
      <x:c r="F609" s="5" t="str">
        <x:v>ja</x:v>
      </x:c>
      <x:c r="G609" s="5" t="str">
        <x:v>WQ</x:v>
      </x:c>
    </x:row>
    <x:row r="610" ht="36" customHeight="1">
      <x:c r="A610" s="5" t="str">
        <x:v>R-0206</x:v>
      </x:c>
      <x:c r="B610" s="5" t="str">
        <x:v>Recht</x:v>
      </x:c>
      <x:c r="C610" s="11" t="n">
        <x:v>1</x:v>
      </x:c>
      <x:c r="D610" s="11" t="n">
        <x:f>COUNTIF('Einzel-ID-Zuordnung'!$A$7:$A$2692,A610)</x:f>
        <x:v>1</x:v>
      </x:c>
      <x:c r="E610" s="11" t="n">
        <x:f>D610-C610</x:f>
        <x:v>0</x:v>
      </x:c>
      <x:c r="F610" s="5" t="str">
        <x:v>ja</x:v>
      </x:c>
      <x:c r="G610" s="5" t="str">
        <x:v>WQ</x:v>
      </x:c>
    </x:row>
    <x:row r="611" ht="36" customHeight="1">
      <x:c r="A611" s="5" t="str">
        <x:v>R-0207</x:v>
      </x:c>
      <x:c r="B611" s="5" t="str">
        <x:v>Recht</x:v>
      </x:c>
      <x:c r="C611" s="11" t="n">
        <x:v>1</x:v>
      </x:c>
      <x:c r="D611" s="11" t="n">
        <x:f>COUNTIF('Einzel-ID-Zuordnung'!$A$7:$A$2692,A611)</x:f>
        <x:v>1</x:v>
      </x:c>
      <x:c r="E611" s="11" t="n">
        <x:f>D611-C611</x:f>
        <x:v>0</x:v>
      </x:c>
      <x:c r="F611" s="5" t="str">
        <x:v>ja</x:v>
      </x:c>
      <x:c r="G611" s="5" t="str">
        <x:v>WQ</x:v>
      </x:c>
    </x:row>
    <x:row r="612" ht="36" customHeight="1">
      <x:c r="A612" s="5" t="str">
        <x:v>R-0208</x:v>
      </x:c>
      <x:c r="B612" s="5" t="str">
        <x:v>Recht</x:v>
      </x:c>
      <x:c r="C612" s="11" t="n">
        <x:v>1</x:v>
      </x:c>
      <x:c r="D612" s="11" t="n">
        <x:f>COUNTIF('Einzel-ID-Zuordnung'!$A$7:$A$2692,A612)</x:f>
        <x:v>1</x:v>
      </x:c>
      <x:c r="E612" s="11" t="n">
        <x:f>D612-C612</x:f>
        <x:v>0</x:v>
      </x:c>
      <x:c r="F612" s="5" t="str">
        <x:v>ja</x:v>
      </x:c>
      <x:c r="G612" s="5" t="str">
        <x:v>WQ</x:v>
      </x:c>
    </x:row>
    <x:row r="613" ht="36" customHeight="1">
      <x:c r="A613" s="5" t="str">
        <x:v>R-0209</x:v>
      </x:c>
      <x:c r="B613" s="5" t="str">
        <x:v>Recht</x:v>
      </x:c>
      <x:c r="C613" s="11" t="n">
        <x:v>1</x:v>
      </x:c>
      <x:c r="D613" s="11" t="n">
        <x:f>COUNTIF('Einzel-ID-Zuordnung'!$A$7:$A$2692,A613)</x:f>
        <x:v>1</x:v>
      </x:c>
      <x:c r="E613" s="11" t="n">
        <x:f>D613-C613</x:f>
        <x:v>0</x:v>
      </x:c>
      <x:c r="F613" s="5" t="str">
        <x:v>ja</x:v>
      </x:c>
      <x:c r="G613" s="5" t="str">
        <x:v>WQ</x:v>
      </x:c>
    </x:row>
    <x:row r="614" ht="36" customHeight="1">
      <x:c r="A614" s="5" t="str">
        <x:v>R-0210</x:v>
      </x:c>
      <x:c r="B614" s="5" t="str">
        <x:v>Recht</x:v>
      </x:c>
      <x:c r="C614" s="11" t="n">
        <x:v>1</x:v>
      </x:c>
      <x:c r="D614" s="11" t="n">
        <x:f>COUNTIF('Einzel-ID-Zuordnung'!$A$7:$A$2692,A614)</x:f>
        <x:v>1</x:v>
      </x:c>
      <x:c r="E614" s="11" t="n">
        <x:f>D614-C614</x:f>
        <x:v>0</x:v>
      </x:c>
      <x:c r="F614" s="5" t="str">
        <x:v>ja</x:v>
      </x:c>
      <x:c r="G614" s="5" t="str">
        <x:v>WQ</x:v>
      </x:c>
    </x:row>
    <x:row r="615" ht="36" customHeight="1">
      <x:c r="A615" s="5" t="str">
        <x:v>R-0211</x:v>
      </x:c>
      <x:c r="B615" s="5" t="str">
        <x:v>Recht</x:v>
      </x:c>
      <x:c r="C615" s="11" t="n">
        <x:v>1</x:v>
      </x:c>
      <x:c r="D615" s="11" t="n">
        <x:f>COUNTIF('Einzel-ID-Zuordnung'!$A$7:$A$2692,A615)</x:f>
        <x:v>1</x:v>
      </x:c>
      <x:c r="E615" s="11" t="n">
        <x:f>D615-C615</x:f>
        <x:v>0</x:v>
      </x:c>
      <x:c r="F615" s="5" t="str">
        <x:v>ja</x:v>
      </x:c>
      <x:c r="G615" s="5" t="str">
        <x:v>WQ</x:v>
      </x:c>
    </x:row>
    <x:row r="616" ht="36" customHeight="1">
      <x:c r="A616" s="5" t="str">
        <x:v>R-0212</x:v>
      </x:c>
      <x:c r="B616" s="5" t="str">
        <x:v>Recht</x:v>
      </x:c>
      <x:c r="C616" s="11" t="n">
        <x:v>1</x:v>
      </x:c>
      <x:c r="D616" s="11" t="n">
        <x:f>COUNTIF('Einzel-ID-Zuordnung'!$A$7:$A$2692,A616)</x:f>
        <x:v>1</x:v>
      </x:c>
      <x:c r="E616" s="11" t="n">
        <x:f>D616-C616</x:f>
        <x:v>0</x:v>
      </x:c>
      <x:c r="F616" s="5" t="str">
        <x:v>ja</x:v>
      </x:c>
      <x:c r="G616" s="5" t="str">
        <x:v>WQ</x:v>
      </x:c>
    </x:row>
    <x:row r="617" ht="36" customHeight="1">
      <x:c r="A617" s="5" t="str">
        <x:v>R-0213</x:v>
      </x:c>
      <x:c r="B617" s="5" t="str">
        <x:v>Recht</x:v>
      </x:c>
      <x:c r="C617" s="11" t="n">
        <x:v>1</x:v>
      </x:c>
      <x:c r="D617" s="11" t="n">
        <x:f>COUNTIF('Einzel-ID-Zuordnung'!$A$7:$A$2692,A617)</x:f>
        <x:v>1</x:v>
      </x:c>
      <x:c r="E617" s="11" t="n">
        <x:f>D617-C617</x:f>
        <x:v>0</x:v>
      </x:c>
      <x:c r="F617" s="5" t="str">
        <x:v>ja</x:v>
      </x:c>
      <x:c r="G617" s="5" t="str">
        <x:v>WQ</x:v>
      </x:c>
    </x:row>
    <x:row r="618" ht="36" customHeight="1">
      <x:c r="A618" s="5" t="str">
        <x:v>R-0214</x:v>
      </x:c>
      <x:c r="B618" s="5" t="str">
        <x:v>Recht</x:v>
      </x:c>
      <x:c r="C618" s="11" t="n">
        <x:v>1</x:v>
      </x:c>
      <x:c r="D618" s="11" t="n">
        <x:f>COUNTIF('Einzel-ID-Zuordnung'!$A$7:$A$2692,A618)</x:f>
        <x:v>1</x:v>
      </x:c>
      <x:c r="E618" s="11" t="n">
        <x:f>D618-C618</x:f>
        <x:v>0</x:v>
      </x:c>
      <x:c r="F618" s="5" t="str">
        <x:v>ja</x:v>
      </x:c>
      <x:c r="G618" s="5" t="str">
        <x:v>WQ</x:v>
      </x:c>
    </x:row>
    <x:row r="619" ht="36" customHeight="1">
      <x:c r="A619" s="5" t="str">
        <x:v>R-0215</x:v>
      </x:c>
      <x:c r="B619" s="5" t="str">
        <x:v>Recht</x:v>
      </x:c>
      <x:c r="C619" s="11" t="n">
        <x:v>1</x:v>
      </x:c>
      <x:c r="D619" s="11" t="n">
        <x:f>COUNTIF('Einzel-ID-Zuordnung'!$A$7:$A$2692,A619)</x:f>
        <x:v>1</x:v>
      </x:c>
      <x:c r="E619" s="11" t="n">
        <x:f>D619-C619</x:f>
        <x:v>0</x:v>
      </x:c>
      <x:c r="F619" s="5" t="str">
        <x:v>ja</x:v>
      </x:c>
      <x:c r="G619" s="5" t="str">
        <x:v>WQ</x:v>
      </x:c>
    </x:row>
    <x:row r="620" ht="36" customHeight="1">
      <x:c r="A620" s="5" t="str">
        <x:v>R-0216</x:v>
      </x:c>
      <x:c r="B620" s="5" t="str">
        <x:v>Recht</x:v>
      </x:c>
      <x:c r="C620" s="11" t="n">
        <x:v>1</x:v>
      </x:c>
      <x:c r="D620" s="11" t="n">
        <x:f>COUNTIF('Einzel-ID-Zuordnung'!$A$7:$A$2692,A620)</x:f>
        <x:v>1</x:v>
      </x:c>
      <x:c r="E620" s="11" t="n">
        <x:f>D620-C620</x:f>
        <x:v>0</x:v>
      </x:c>
      <x:c r="F620" s="5" t="str">
        <x:v>ja</x:v>
      </x:c>
      <x:c r="G620" s="5" t="str">
        <x:v>WQ</x:v>
      </x:c>
    </x:row>
    <x:row r="621" ht="36" customHeight="1">
      <x:c r="A621" s="5" t="str">
        <x:v>R-0217</x:v>
      </x:c>
      <x:c r="B621" s="5" t="str">
        <x:v>Recht</x:v>
      </x:c>
      <x:c r="C621" s="11" t="n">
        <x:v>1</x:v>
      </x:c>
      <x:c r="D621" s="11" t="n">
        <x:f>COUNTIF('Einzel-ID-Zuordnung'!$A$7:$A$2692,A621)</x:f>
        <x:v>1</x:v>
      </x:c>
      <x:c r="E621" s="11" t="n">
        <x:f>D621-C621</x:f>
        <x:v>0</x:v>
      </x:c>
      <x:c r="F621" s="5" t="str">
        <x:v>ja</x:v>
      </x:c>
      <x:c r="G621" s="5" t="str">
        <x:v>WQ</x:v>
      </x:c>
    </x:row>
    <x:row r="622" ht="36" customHeight="1">
      <x:c r="A622" s="5" t="str">
        <x:v>R-0218</x:v>
      </x:c>
      <x:c r="B622" s="5" t="str">
        <x:v>Recht</x:v>
      </x:c>
      <x:c r="C622" s="11" t="n">
        <x:v>1</x:v>
      </x:c>
      <x:c r="D622" s="11" t="n">
        <x:f>COUNTIF('Einzel-ID-Zuordnung'!$A$7:$A$2692,A622)</x:f>
        <x:v>1</x:v>
      </x:c>
      <x:c r="E622" s="11" t="n">
        <x:f>D622-C622</x:f>
        <x:v>0</x:v>
      </x:c>
      <x:c r="F622" s="5" t="str">
        <x:v>ja</x:v>
      </x:c>
      <x:c r="G622" s="5" t="str">
        <x:v>WQ</x:v>
      </x:c>
    </x:row>
    <x:row r="623" ht="36" customHeight="1">
      <x:c r="A623" s="5" t="str">
        <x:v>R-0219</x:v>
      </x:c>
      <x:c r="B623" s="5" t="str">
        <x:v>Recht</x:v>
      </x:c>
      <x:c r="C623" s="11" t="n">
        <x:v>1</x:v>
      </x:c>
      <x:c r="D623" s="11" t="n">
        <x:f>COUNTIF('Einzel-ID-Zuordnung'!$A$7:$A$2692,A623)</x:f>
        <x:v>1</x:v>
      </x:c>
      <x:c r="E623" s="11" t="n">
        <x:f>D623-C623</x:f>
        <x:v>0</x:v>
      </x:c>
      <x:c r="F623" s="5" t="str">
        <x:v>ja</x:v>
      </x:c>
      <x:c r="G623" s="5" t="str">
        <x:v>WQ</x:v>
      </x:c>
    </x:row>
    <x:row r="624" ht="36" customHeight="1">
      <x:c r="A624" s="5" t="str">
        <x:v>R-0220</x:v>
      </x:c>
      <x:c r="B624" s="5" t="str">
        <x:v>Recht</x:v>
      </x:c>
      <x:c r="C624" s="11" t="n">
        <x:v>1</x:v>
      </x:c>
      <x:c r="D624" s="11" t="n">
        <x:f>COUNTIF('Einzel-ID-Zuordnung'!$A$7:$A$2692,A624)</x:f>
        <x:v>1</x:v>
      </x:c>
      <x:c r="E624" s="11" t="n">
        <x:f>D624-C624</x:f>
        <x:v>0</x:v>
      </x:c>
      <x:c r="F624" s="5" t="str">
        <x:v>ja</x:v>
      </x:c>
      <x:c r="G624" s="5" t="str">
        <x:v>WQ</x:v>
      </x:c>
    </x:row>
    <x:row r="625" ht="36" customHeight="1">
      <x:c r="A625" s="5" t="str">
        <x:v>R-0221</x:v>
      </x:c>
      <x:c r="B625" s="5" t="str">
        <x:v>Recht</x:v>
      </x:c>
      <x:c r="C625" s="11" t="n">
        <x:v>1</x:v>
      </x:c>
      <x:c r="D625" s="11" t="n">
        <x:f>COUNTIF('Einzel-ID-Zuordnung'!$A$7:$A$2692,A625)</x:f>
        <x:v>1</x:v>
      </x:c>
      <x:c r="E625" s="11" t="n">
        <x:f>D625-C625</x:f>
        <x:v>0</x:v>
      </x:c>
      <x:c r="F625" s="5" t="str">
        <x:v>ja</x:v>
      </x:c>
      <x:c r="G625" s="5" t="str">
        <x:v>WQ</x:v>
      </x:c>
    </x:row>
    <x:row r="626" ht="36" customHeight="1">
      <x:c r="A626" s="5" t="str">
        <x:v>R-0222</x:v>
      </x:c>
      <x:c r="B626" s="5" t="str">
        <x:v>Recht</x:v>
      </x:c>
      <x:c r="C626" s="11" t="n">
        <x:v>1</x:v>
      </x:c>
      <x:c r="D626" s="11" t="n">
        <x:f>COUNTIF('Einzel-ID-Zuordnung'!$A$7:$A$2692,A626)</x:f>
        <x:v>1</x:v>
      </x:c>
      <x:c r="E626" s="11" t="n">
        <x:f>D626-C626</x:f>
        <x:v>0</x:v>
      </x:c>
      <x:c r="F626" s="5" t="str">
        <x:v>ja</x:v>
      </x:c>
      <x:c r="G626" s="5" t="str">
        <x:v>WQ</x:v>
      </x:c>
    </x:row>
    <x:row r="627" ht="36" customHeight="1">
      <x:c r="A627" s="5" t="str">
        <x:v>R-0223</x:v>
      </x:c>
      <x:c r="B627" s="5" t="str">
        <x:v>Recht</x:v>
      </x:c>
      <x:c r="C627" s="11" t="n">
        <x:v>1</x:v>
      </x:c>
      <x:c r="D627" s="11" t="n">
        <x:f>COUNTIF('Einzel-ID-Zuordnung'!$A$7:$A$2692,A627)</x:f>
        <x:v>1</x:v>
      </x:c>
      <x:c r="E627" s="11" t="n">
        <x:f>D627-C627</x:f>
        <x:v>0</x:v>
      </x:c>
      <x:c r="F627" s="5" t="str">
        <x:v>ja</x:v>
      </x:c>
      <x:c r="G627" s="5" t="str">
        <x:v>WQ</x:v>
      </x:c>
    </x:row>
    <x:row r="628" ht="36" customHeight="1">
      <x:c r="A628" s="5" t="str">
        <x:v>R-0224</x:v>
      </x:c>
      <x:c r="B628" s="5" t="str">
        <x:v>Recht</x:v>
      </x:c>
      <x:c r="C628" s="11" t="n">
        <x:v>1</x:v>
      </x:c>
      <x:c r="D628" s="11" t="n">
        <x:f>COUNTIF('Einzel-ID-Zuordnung'!$A$7:$A$2692,A628)</x:f>
        <x:v>1</x:v>
      </x:c>
      <x:c r="E628" s="11" t="n">
        <x:f>D628-C628</x:f>
        <x:v>0</x:v>
      </x:c>
      <x:c r="F628" s="5" t="str">
        <x:v>ja</x:v>
      </x:c>
      <x:c r="G628" s="5" t="str">
        <x:v>WQ</x:v>
      </x:c>
    </x:row>
    <x:row r="629" ht="36" customHeight="1">
      <x:c r="A629" s="5" t="str">
        <x:v>R-0225</x:v>
      </x:c>
      <x:c r="B629" s="5" t="str">
        <x:v>Recht</x:v>
      </x:c>
      <x:c r="C629" s="11" t="n">
        <x:v>1</x:v>
      </x:c>
      <x:c r="D629" s="11" t="n">
        <x:f>COUNTIF('Einzel-ID-Zuordnung'!$A$7:$A$2692,A629)</x:f>
        <x:v>1</x:v>
      </x:c>
      <x:c r="E629" s="11" t="n">
        <x:f>D629-C629</x:f>
        <x:v>0</x:v>
      </x:c>
      <x:c r="F629" s="5" t="str">
        <x:v>ja</x:v>
      </x:c>
      <x:c r="G629" s="5" t="str">
        <x:v>WQ</x:v>
      </x:c>
    </x:row>
    <x:row r="630" ht="36" customHeight="1">
      <x:c r="A630" s="5" t="str">
        <x:v>R-0226</x:v>
      </x:c>
      <x:c r="B630" s="5" t="str">
        <x:v>Recht</x:v>
      </x:c>
      <x:c r="C630" s="11" t="n">
        <x:v>1</x:v>
      </x:c>
      <x:c r="D630" s="11" t="n">
        <x:f>COUNTIF('Einzel-ID-Zuordnung'!$A$7:$A$2692,A630)</x:f>
        <x:v>1</x:v>
      </x:c>
      <x:c r="E630" s="11" t="n">
        <x:f>D630-C630</x:f>
        <x:v>0</x:v>
      </x:c>
      <x:c r="F630" s="5" t="str">
        <x:v>ja</x:v>
      </x:c>
      <x:c r="G630" s="5" t="str">
        <x:v>WQ</x:v>
      </x:c>
    </x:row>
    <x:row r="631" ht="36" customHeight="1">
      <x:c r="A631" s="5" t="str">
        <x:v>R-0227</x:v>
      </x:c>
      <x:c r="B631" s="5" t="str">
        <x:v>Recht</x:v>
      </x:c>
      <x:c r="C631" s="11" t="n">
        <x:v>1</x:v>
      </x:c>
      <x:c r="D631" s="11" t="n">
        <x:f>COUNTIF('Einzel-ID-Zuordnung'!$A$7:$A$2692,A631)</x:f>
        <x:v>1</x:v>
      </x:c>
      <x:c r="E631" s="11" t="n">
        <x:f>D631-C631</x:f>
        <x:v>0</x:v>
      </x:c>
      <x:c r="F631" s="5" t="str">
        <x:v>ja</x:v>
      </x:c>
      <x:c r="G631" s="5" t="str">
        <x:v>WQ</x:v>
      </x:c>
    </x:row>
    <x:row r="632" ht="36" customHeight="1">
      <x:c r="A632" s="5" t="str">
        <x:v>R-0228</x:v>
      </x:c>
      <x:c r="B632" s="5" t="str">
        <x:v>Recht</x:v>
      </x:c>
      <x:c r="C632" s="11" t="n">
        <x:v>1</x:v>
      </x:c>
      <x:c r="D632" s="11" t="n">
        <x:f>COUNTIF('Einzel-ID-Zuordnung'!$A$7:$A$2692,A632)</x:f>
        <x:v>1</x:v>
      </x:c>
      <x:c r="E632" s="11" t="n">
        <x:f>D632-C632</x:f>
        <x:v>0</x:v>
      </x:c>
      <x:c r="F632" s="5" t="str">
        <x:v>ja</x:v>
      </x:c>
      <x:c r="G632" s="5" t="str">
        <x:v>WQ</x:v>
      </x:c>
    </x:row>
    <x:row r="633" ht="36" customHeight="1">
      <x:c r="A633" s="5" t="str">
        <x:v>R-0229</x:v>
      </x:c>
      <x:c r="B633" s="5" t="str">
        <x:v>Recht</x:v>
      </x:c>
      <x:c r="C633" s="11" t="n">
        <x:v>1</x:v>
      </x:c>
      <x:c r="D633" s="11" t="n">
        <x:f>COUNTIF('Einzel-ID-Zuordnung'!$A$7:$A$2692,A633)</x:f>
        <x:v>1</x:v>
      </x:c>
      <x:c r="E633" s="11" t="n">
        <x:f>D633-C633</x:f>
        <x:v>0</x:v>
      </x:c>
      <x:c r="F633" s="5" t="str">
        <x:v>ja</x:v>
      </x:c>
      <x:c r="G633" s="5" t="str">
        <x:v>WQ</x:v>
      </x:c>
    </x:row>
    <x:row r="634" ht="36" customHeight="1">
      <x:c r="A634" s="5" t="str">
        <x:v>R-0230</x:v>
      </x:c>
      <x:c r="B634" s="5" t="str">
        <x:v>Recht</x:v>
      </x:c>
      <x:c r="C634" s="11" t="n">
        <x:v>1</x:v>
      </x:c>
      <x:c r="D634" s="11" t="n">
        <x:f>COUNTIF('Einzel-ID-Zuordnung'!$A$7:$A$2692,A634)</x:f>
        <x:v>1</x:v>
      </x:c>
      <x:c r="E634" s="11" t="n">
        <x:f>D634-C634</x:f>
        <x:v>0</x:v>
      </x:c>
      <x:c r="F634" s="5" t="str">
        <x:v>ja</x:v>
      </x:c>
      <x:c r="G634" s="5" t="str">
        <x:v>WQ</x:v>
      </x:c>
    </x:row>
    <x:row r="635" ht="36" customHeight="1">
      <x:c r="A635" s="5" t="str">
        <x:v>R-0231</x:v>
      </x:c>
      <x:c r="B635" s="5" t="str">
        <x:v>Recht</x:v>
      </x:c>
      <x:c r="C635" s="11" t="n">
        <x:v>1</x:v>
      </x:c>
      <x:c r="D635" s="11" t="n">
        <x:f>COUNTIF('Einzel-ID-Zuordnung'!$A$7:$A$2692,A635)</x:f>
        <x:v>1</x:v>
      </x:c>
      <x:c r="E635" s="11" t="n">
        <x:f>D635-C635</x:f>
        <x:v>0</x:v>
      </x:c>
      <x:c r="F635" s="5" t="str">
        <x:v>ja</x:v>
      </x:c>
      <x:c r="G635" s="5" t="str">
        <x:v>WQ</x:v>
      </x:c>
    </x:row>
    <x:row r="636" ht="36" customHeight="1">
      <x:c r="A636" s="5" t="str">
        <x:v>R-0232</x:v>
      </x:c>
      <x:c r="B636" s="5" t="str">
        <x:v>Recht</x:v>
      </x:c>
      <x:c r="C636" s="11" t="n">
        <x:v>1</x:v>
      </x:c>
      <x:c r="D636" s="11" t="n">
        <x:f>COUNTIF('Einzel-ID-Zuordnung'!$A$7:$A$2692,A636)</x:f>
        <x:v>1</x:v>
      </x:c>
      <x:c r="E636" s="11" t="n">
        <x:f>D636-C636</x:f>
        <x:v>0</x:v>
      </x:c>
      <x:c r="F636" s="5" t="str">
        <x:v>ja</x:v>
      </x:c>
      <x:c r="G636" s="5" t="str">
        <x:v>WQ</x:v>
      </x:c>
    </x:row>
    <x:row r="637" ht="36" customHeight="1">
      <x:c r="A637" s="5" t="str">
        <x:v>R-0233</x:v>
      </x:c>
      <x:c r="B637" s="5" t="str">
        <x:v>Recht</x:v>
      </x:c>
      <x:c r="C637" s="11" t="n">
        <x:v>1</x:v>
      </x:c>
      <x:c r="D637" s="11" t="n">
        <x:f>COUNTIF('Einzel-ID-Zuordnung'!$A$7:$A$2692,A637)</x:f>
        <x:v>1</x:v>
      </x:c>
      <x:c r="E637" s="11" t="n">
        <x:f>D637-C637</x:f>
        <x:v>0</x:v>
      </x:c>
      <x:c r="F637" s="5" t="str">
        <x:v>ja</x:v>
      </x:c>
      <x:c r="G637" s="5" t="str">
        <x:v>WQ</x:v>
      </x:c>
    </x:row>
    <x:row r="638" ht="36" customHeight="1">
      <x:c r="A638" s="5" t="str">
        <x:v>R-0234</x:v>
      </x:c>
      <x:c r="B638" s="5" t="str">
        <x:v>Recht</x:v>
      </x:c>
      <x:c r="C638" s="11" t="n">
        <x:v>1</x:v>
      </x:c>
      <x:c r="D638" s="11" t="n">
        <x:f>COUNTIF('Einzel-ID-Zuordnung'!$A$7:$A$2692,A638)</x:f>
        <x:v>1</x:v>
      </x:c>
      <x:c r="E638" s="11" t="n">
        <x:f>D638-C638</x:f>
        <x:v>0</x:v>
      </x:c>
      <x:c r="F638" s="5" t="str">
        <x:v>ja</x:v>
      </x:c>
      <x:c r="G638" s="5" t="str">
        <x:v>WQ</x:v>
      </x:c>
    </x:row>
    <x:row r="639" ht="36" customHeight="1">
      <x:c r="A639" s="5" t="str">
        <x:v>R-0235</x:v>
      </x:c>
      <x:c r="B639" s="5" t="str">
        <x:v>Recht</x:v>
      </x:c>
      <x:c r="C639" s="11" t="n">
        <x:v>1</x:v>
      </x:c>
      <x:c r="D639" s="11" t="n">
        <x:f>COUNTIF('Einzel-ID-Zuordnung'!$A$7:$A$2692,A639)</x:f>
        <x:v>1</x:v>
      </x:c>
      <x:c r="E639" s="11" t="n">
        <x:f>D639-C639</x:f>
        <x:v>0</x:v>
      </x:c>
      <x:c r="F639" s="5" t="str">
        <x:v>ja</x:v>
      </x:c>
      <x:c r="G639" s="5" t="str">
        <x:v>WQ</x:v>
      </x:c>
    </x:row>
    <x:row r="640" ht="36" customHeight="1">
      <x:c r="A640" s="5" t="str">
        <x:v>R-0236</x:v>
      </x:c>
      <x:c r="B640" s="5" t="str">
        <x:v>Recht</x:v>
      </x:c>
      <x:c r="C640" s="11" t="n">
        <x:v>1</x:v>
      </x:c>
      <x:c r="D640" s="11" t="n">
        <x:f>COUNTIF('Einzel-ID-Zuordnung'!$A$7:$A$2692,A640)</x:f>
        <x:v>1</x:v>
      </x:c>
      <x:c r="E640" s="11" t="n">
        <x:f>D640-C640</x:f>
        <x:v>0</x:v>
      </x:c>
      <x:c r="F640" s="5" t="str">
        <x:v>ja</x:v>
      </x:c>
      <x:c r="G640" s="5" t="str">
        <x:v>WQ</x:v>
      </x:c>
    </x:row>
    <x:row r="641" ht="36" customHeight="1">
      <x:c r="A641" s="5" t="str">
        <x:v>R-0237</x:v>
      </x:c>
      <x:c r="B641" s="5" t="str">
        <x:v>Recht</x:v>
      </x:c>
      <x:c r="C641" s="11" t="n">
        <x:v>1</x:v>
      </x:c>
      <x:c r="D641" s="11" t="n">
        <x:f>COUNTIF('Einzel-ID-Zuordnung'!$A$7:$A$2692,A641)</x:f>
        <x:v>1</x:v>
      </x:c>
      <x:c r="E641" s="11" t="n">
        <x:f>D641-C641</x:f>
        <x:v>0</x:v>
      </x:c>
      <x:c r="F641" s="5" t="str">
        <x:v>ja</x:v>
      </x:c>
      <x:c r="G641" s="5" t="str">
        <x:v>WQ</x:v>
      </x:c>
    </x:row>
    <x:row r="642" ht="36" customHeight="1">
      <x:c r="A642" s="5" t="str">
        <x:v>R-0238</x:v>
      </x:c>
      <x:c r="B642" s="5" t="str">
        <x:v>Recht</x:v>
      </x:c>
      <x:c r="C642" s="11" t="n">
        <x:v>1</x:v>
      </x:c>
      <x:c r="D642" s="11" t="n">
        <x:f>COUNTIF('Einzel-ID-Zuordnung'!$A$7:$A$2692,A642)</x:f>
        <x:v>1</x:v>
      </x:c>
      <x:c r="E642" s="11" t="n">
        <x:f>D642-C642</x:f>
        <x:v>0</x:v>
      </x:c>
      <x:c r="F642" s="5" t="str">
        <x:v>ja</x:v>
      </x:c>
      <x:c r="G642" s="5" t="str">
        <x:v>WQ</x:v>
      </x:c>
    </x:row>
    <x:row r="643" ht="36" customHeight="1">
      <x:c r="A643" s="5" t="str">
        <x:v>R-0239</x:v>
      </x:c>
      <x:c r="B643" s="5" t="str">
        <x:v>Recht</x:v>
      </x:c>
      <x:c r="C643" s="11" t="n">
        <x:v>1</x:v>
      </x:c>
      <x:c r="D643" s="11" t="n">
        <x:f>COUNTIF('Einzel-ID-Zuordnung'!$A$7:$A$2692,A643)</x:f>
        <x:v>1</x:v>
      </x:c>
      <x:c r="E643" s="11" t="n">
        <x:f>D643-C643</x:f>
        <x:v>0</x:v>
      </x:c>
      <x:c r="F643" s="5" t="str">
        <x:v>ja</x:v>
      </x:c>
      <x:c r="G643" s="5" t="str">
        <x:v>WQ</x:v>
      </x:c>
    </x:row>
    <x:row r="644" ht="36" customHeight="1">
      <x:c r="A644" s="5" t="str">
        <x:v>R-0240</x:v>
      </x:c>
      <x:c r="B644" s="5" t="str">
        <x:v>Recht</x:v>
      </x:c>
      <x:c r="C644" s="11" t="n">
        <x:v>1</x:v>
      </x:c>
      <x:c r="D644" s="11" t="n">
        <x:f>COUNTIF('Einzel-ID-Zuordnung'!$A$7:$A$2692,A644)</x:f>
        <x:v>1</x:v>
      </x:c>
      <x:c r="E644" s="11" t="n">
        <x:f>D644-C644</x:f>
        <x:v>0</x:v>
      </x:c>
      <x:c r="F644" s="5" t="str">
        <x:v>ja</x:v>
      </x:c>
      <x:c r="G644" s="5" t="str">
        <x:v>WQ</x:v>
      </x:c>
    </x:row>
    <x:row r="645" ht="36" customHeight="1">
      <x:c r="A645" s="5" t="str">
        <x:v>R-0241</x:v>
      </x:c>
      <x:c r="B645" s="5" t="str">
        <x:v>Recht</x:v>
      </x:c>
      <x:c r="C645" s="11" t="n">
        <x:v>1</x:v>
      </x:c>
      <x:c r="D645" s="11" t="n">
        <x:f>COUNTIF('Einzel-ID-Zuordnung'!$A$7:$A$2692,A645)</x:f>
        <x:v>1</x:v>
      </x:c>
      <x:c r="E645" s="11" t="n">
        <x:f>D645-C645</x:f>
        <x:v>0</x:v>
      </x:c>
      <x:c r="F645" s="5" t="str">
        <x:v>ja</x:v>
      </x:c>
      <x:c r="G645" s="5" t="str">
        <x:v>WQ</x:v>
      </x:c>
    </x:row>
    <x:row r="646" ht="36" customHeight="1">
      <x:c r="A646" s="5" t="str">
        <x:v>R-0242</x:v>
      </x:c>
      <x:c r="B646" s="5" t="str">
        <x:v>Recht</x:v>
      </x:c>
      <x:c r="C646" s="11" t="n">
        <x:v>1</x:v>
      </x:c>
      <x:c r="D646" s="11" t="n">
        <x:f>COUNTIF('Einzel-ID-Zuordnung'!$A$7:$A$2692,A646)</x:f>
        <x:v>1</x:v>
      </x:c>
      <x:c r="E646" s="11" t="n">
        <x:f>D646-C646</x:f>
        <x:v>0</x:v>
      </x:c>
      <x:c r="F646" s="5" t="str">
        <x:v>ja</x:v>
      </x:c>
      <x:c r="G646" s="5" t="str">
        <x:v>WQ</x:v>
      </x:c>
    </x:row>
    <x:row r="647" ht="36" customHeight="1">
      <x:c r="A647" s="5" t="str">
        <x:v>R-0243</x:v>
      </x:c>
      <x:c r="B647" s="5" t="str">
        <x:v>Recht</x:v>
      </x:c>
      <x:c r="C647" s="11" t="n">
        <x:v>1</x:v>
      </x:c>
      <x:c r="D647" s="11" t="n">
        <x:f>COUNTIF('Einzel-ID-Zuordnung'!$A$7:$A$2692,A647)</x:f>
        <x:v>1</x:v>
      </x:c>
      <x:c r="E647" s="11" t="n">
        <x:f>D647-C647</x:f>
        <x:v>0</x:v>
      </x:c>
      <x:c r="F647" s="5" t="str">
        <x:v>ja</x:v>
      </x:c>
      <x:c r="G647" s="5" t="str">
        <x:v>WQ</x:v>
      </x:c>
    </x:row>
    <x:row r="648" ht="36" customHeight="1">
      <x:c r="A648" s="5" t="str">
        <x:v>R-0244</x:v>
      </x:c>
      <x:c r="B648" s="5" t="str">
        <x:v>Recht</x:v>
      </x:c>
      <x:c r="C648" s="11" t="n">
        <x:v>1</x:v>
      </x:c>
      <x:c r="D648" s="11" t="n">
        <x:f>COUNTIF('Einzel-ID-Zuordnung'!$A$7:$A$2692,A648)</x:f>
        <x:v>1</x:v>
      </x:c>
      <x:c r="E648" s="11" t="n">
        <x:f>D648-C648</x:f>
        <x:v>0</x:v>
      </x:c>
      <x:c r="F648" s="5" t="str">
        <x:v>ja</x:v>
      </x:c>
      <x:c r="G648" s="5" t="str">
        <x:v>WQ</x:v>
      </x:c>
    </x:row>
    <x:row r="649" ht="36" customHeight="1">
      <x:c r="A649" s="5" t="str">
        <x:v>R-0245</x:v>
      </x:c>
      <x:c r="B649" s="5" t="str">
        <x:v>Recht</x:v>
      </x:c>
      <x:c r="C649" s="11" t="n">
        <x:v>1</x:v>
      </x:c>
      <x:c r="D649" s="11" t="n">
        <x:f>COUNTIF('Einzel-ID-Zuordnung'!$A$7:$A$2692,A649)</x:f>
        <x:v>1</x:v>
      </x:c>
      <x:c r="E649" s="11" t="n">
        <x:f>D649-C649</x:f>
        <x:v>0</x:v>
      </x:c>
      <x:c r="F649" s="5" t="str">
        <x:v>ja</x:v>
      </x:c>
      <x:c r="G649" s="5" t="str">
        <x:v>WQ</x:v>
      </x:c>
    </x:row>
    <x:row r="650" ht="36" customHeight="1">
      <x:c r="A650" s="5" t="str">
        <x:v>R-0246</x:v>
      </x:c>
      <x:c r="B650" s="5" t="str">
        <x:v>Recht</x:v>
      </x:c>
      <x:c r="C650" s="11" t="n">
        <x:v>1</x:v>
      </x:c>
      <x:c r="D650" s="11" t="n">
        <x:f>COUNTIF('Einzel-ID-Zuordnung'!$A$7:$A$2692,A650)</x:f>
        <x:v>1</x:v>
      </x:c>
      <x:c r="E650" s="11" t="n">
        <x:f>D650-C650</x:f>
        <x:v>0</x:v>
      </x:c>
      <x:c r="F650" s="5" t="str">
        <x:v>ja</x:v>
      </x:c>
      <x:c r="G650" s="5" t="str">
        <x:v>WQ</x:v>
      </x:c>
    </x:row>
    <x:row r="651" ht="36" customHeight="1">
      <x:c r="A651" s="5" t="str">
        <x:v>R-0247</x:v>
      </x:c>
      <x:c r="B651" s="5" t="str">
        <x:v>Recht</x:v>
      </x:c>
      <x:c r="C651" s="11" t="n">
        <x:v>1</x:v>
      </x:c>
      <x:c r="D651" s="11" t="n">
        <x:f>COUNTIF('Einzel-ID-Zuordnung'!$A$7:$A$2692,A651)</x:f>
        <x:v>1</x:v>
      </x:c>
      <x:c r="E651" s="11" t="n">
        <x:f>D651-C651</x:f>
        <x:v>0</x:v>
      </x:c>
      <x:c r="F651" s="5" t="str">
        <x:v>ja</x:v>
      </x:c>
      <x:c r="G651" s="5" t="str">
        <x:v>WQ</x:v>
      </x:c>
    </x:row>
    <x:row r="652" ht="36" customHeight="1">
      <x:c r="A652" s="5" t="str">
        <x:v>R-0248</x:v>
      </x:c>
      <x:c r="B652" s="5" t="str">
        <x:v>Recht</x:v>
      </x:c>
      <x:c r="C652" s="11" t="n">
        <x:v>1</x:v>
      </x:c>
      <x:c r="D652" s="11" t="n">
        <x:f>COUNTIF('Einzel-ID-Zuordnung'!$A$7:$A$2692,A652)</x:f>
        <x:v>1</x:v>
      </x:c>
      <x:c r="E652" s="11" t="n">
        <x:f>D652-C652</x:f>
        <x:v>0</x:v>
      </x:c>
      <x:c r="F652" s="5" t="str">
        <x:v>ja</x:v>
      </x:c>
      <x:c r="G652" s="5" t="str">
        <x:v>WQ</x:v>
      </x:c>
    </x:row>
    <x:row r="653" ht="36" customHeight="1">
      <x:c r="A653" s="5" t="str">
        <x:v>R-0249</x:v>
      </x:c>
      <x:c r="B653" s="5" t="str">
        <x:v>Recht</x:v>
      </x:c>
      <x:c r="C653" s="11" t="n">
        <x:v>1</x:v>
      </x:c>
      <x:c r="D653" s="11" t="n">
        <x:f>COUNTIF('Einzel-ID-Zuordnung'!$A$7:$A$2692,A653)</x:f>
        <x:v>1</x:v>
      </x:c>
      <x:c r="E653" s="11" t="n">
        <x:f>D653-C653</x:f>
        <x:v>0</x:v>
      </x:c>
      <x:c r="F653" s="5" t="str">
        <x:v>ja</x:v>
      </x:c>
      <x:c r="G653" s="5" t="str">
        <x:v>WQ</x:v>
      </x:c>
    </x:row>
    <x:row r="654" ht="36" customHeight="1">
      <x:c r="A654" s="5" t="str">
        <x:v>R-0250</x:v>
      </x:c>
      <x:c r="B654" s="5" t="str">
        <x:v>Recht</x:v>
      </x:c>
      <x:c r="C654" s="11" t="n">
        <x:v>1</x:v>
      </x:c>
      <x:c r="D654" s="11" t="n">
        <x:f>COUNTIF('Einzel-ID-Zuordnung'!$A$7:$A$2692,A654)</x:f>
        <x:v>1</x:v>
      </x:c>
      <x:c r="E654" s="11" t="n">
        <x:f>D654-C654</x:f>
        <x:v>0</x:v>
      </x:c>
      <x:c r="F654" s="5" t="str">
        <x:v>ja</x:v>
      </x:c>
      <x:c r="G654" s="5" t="str">
        <x:v>WQ</x:v>
      </x:c>
    </x:row>
    <x:row r="655" ht="36" customHeight="1">
      <x:c r="A655" s="5" t="str">
        <x:v>R-0251</x:v>
      </x:c>
      <x:c r="B655" s="5" t="str">
        <x:v>Recht</x:v>
      </x:c>
      <x:c r="C655" s="11" t="n">
        <x:v>1</x:v>
      </x:c>
      <x:c r="D655" s="11" t="n">
        <x:f>COUNTIF('Einzel-ID-Zuordnung'!$A$7:$A$2692,A655)</x:f>
        <x:v>1</x:v>
      </x:c>
      <x:c r="E655" s="11" t="n">
        <x:f>D655-C655</x:f>
        <x:v>0</x:v>
      </x:c>
      <x:c r="F655" s="5" t="str">
        <x:v>ja</x:v>
      </x:c>
      <x:c r="G655" s="5" t="str">
        <x:v>WQ</x:v>
      </x:c>
    </x:row>
    <x:row r="656" ht="36" customHeight="1">
      <x:c r="A656" s="5" t="str">
        <x:v>R-0252</x:v>
      </x:c>
      <x:c r="B656" s="5" t="str">
        <x:v>Recht</x:v>
      </x:c>
      <x:c r="C656" s="11" t="n">
        <x:v>1</x:v>
      </x:c>
      <x:c r="D656" s="11" t="n">
        <x:f>COUNTIF('Einzel-ID-Zuordnung'!$A$7:$A$2692,A656)</x:f>
        <x:v>1</x:v>
      </x:c>
      <x:c r="E656" s="11" t="n">
        <x:f>D656-C656</x:f>
        <x:v>0</x:v>
      </x:c>
      <x:c r="F656" s="5" t="str">
        <x:v>ja</x:v>
      </x:c>
      <x:c r="G656" s="5" t="str">
        <x:v>WQ</x:v>
      </x:c>
    </x:row>
    <x:row r="657" ht="36" customHeight="1">
      <x:c r="A657" s="5" t="str">
        <x:v>R-0253</x:v>
      </x:c>
      <x:c r="B657" s="5" t="str">
        <x:v>Recht</x:v>
      </x:c>
      <x:c r="C657" s="11" t="n">
        <x:v>1</x:v>
      </x:c>
      <x:c r="D657" s="11" t="n">
        <x:f>COUNTIF('Einzel-ID-Zuordnung'!$A$7:$A$2692,A657)</x:f>
        <x:v>1</x:v>
      </x:c>
      <x:c r="E657" s="11" t="n">
        <x:f>D657-C657</x:f>
        <x:v>0</x:v>
      </x:c>
      <x:c r="F657" s="5" t="str">
        <x:v>ja</x:v>
      </x:c>
      <x:c r="G657" s="5" t="str">
        <x:v>WQ</x:v>
      </x:c>
    </x:row>
    <x:row r="658" ht="36" customHeight="1">
      <x:c r="A658" s="5" t="str">
        <x:v>R-0254</x:v>
      </x:c>
      <x:c r="B658" s="5" t="str">
        <x:v>Recht</x:v>
      </x:c>
      <x:c r="C658" s="11" t="n">
        <x:v>1</x:v>
      </x:c>
      <x:c r="D658" s="11" t="n">
        <x:f>COUNTIF('Einzel-ID-Zuordnung'!$A$7:$A$2692,A658)</x:f>
        <x:v>1</x:v>
      </x:c>
      <x:c r="E658" s="11" t="n">
        <x:f>D658-C658</x:f>
        <x:v>0</x:v>
      </x:c>
      <x:c r="F658" s="5" t="str">
        <x:v>ja</x:v>
      </x:c>
      <x:c r="G658" s="5" t="str">
        <x:v>WQ</x:v>
      </x:c>
    </x:row>
    <x:row r="659" ht="36" customHeight="1">
      <x:c r="A659" s="5" t="str">
        <x:v>R-0255</x:v>
      </x:c>
      <x:c r="B659" s="5" t="str">
        <x:v>Recht</x:v>
      </x:c>
      <x:c r="C659" s="11" t="n">
        <x:v>1</x:v>
      </x:c>
      <x:c r="D659" s="11" t="n">
        <x:f>COUNTIF('Einzel-ID-Zuordnung'!$A$7:$A$2692,A659)</x:f>
        <x:v>1</x:v>
      </x:c>
      <x:c r="E659" s="11" t="n">
        <x:f>D659-C659</x:f>
        <x:v>0</x:v>
      </x:c>
      <x:c r="F659" s="5" t="str">
        <x:v>ja</x:v>
      </x:c>
      <x:c r="G659" s="5" t="str">
        <x:v>WQ</x:v>
      </x:c>
    </x:row>
    <x:row r="660" ht="36" customHeight="1">
      <x:c r="A660" s="5" t="str">
        <x:v>R-0256</x:v>
      </x:c>
      <x:c r="B660" s="5" t="str">
        <x:v>Recht</x:v>
      </x:c>
      <x:c r="C660" s="11" t="n">
        <x:v>1</x:v>
      </x:c>
      <x:c r="D660" s="11" t="n">
        <x:f>COUNTIF('Einzel-ID-Zuordnung'!$A$7:$A$2692,A660)</x:f>
        <x:v>1</x:v>
      </x:c>
      <x:c r="E660" s="11" t="n">
        <x:f>D660-C660</x:f>
        <x:v>0</x:v>
      </x:c>
      <x:c r="F660" s="5" t="str">
        <x:v>ja</x:v>
      </x:c>
      <x:c r="G660" s="5" t="str">
        <x:v>WQ</x:v>
      </x:c>
    </x:row>
    <x:row r="661" ht="36" customHeight="1">
      <x:c r="A661" s="5" t="str">
        <x:v>R-0257</x:v>
      </x:c>
      <x:c r="B661" s="5" t="str">
        <x:v>Recht</x:v>
      </x:c>
      <x:c r="C661" s="11" t="n">
        <x:v>1</x:v>
      </x:c>
      <x:c r="D661" s="11" t="n">
        <x:f>COUNTIF('Einzel-ID-Zuordnung'!$A$7:$A$2692,A661)</x:f>
        <x:v>1</x:v>
      </x:c>
      <x:c r="E661" s="11" t="n">
        <x:f>D661-C661</x:f>
        <x:v>0</x:v>
      </x:c>
      <x:c r="F661" s="5" t="str">
        <x:v>ja</x:v>
      </x:c>
      <x:c r="G661" s="5" t="str">
        <x:v>WQ</x:v>
      </x:c>
    </x:row>
    <x:row r="662" ht="36" customHeight="1">
      <x:c r="A662" s="5" t="str">
        <x:v>R-0258</x:v>
      </x:c>
      <x:c r="B662" s="5" t="str">
        <x:v>Recht</x:v>
      </x:c>
      <x:c r="C662" s="11" t="n">
        <x:v>1</x:v>
      </x:c>
      <x:c r="D662" s="11" t="n">
        <x:f>COUNTIF('Einzel-ID-Zuordnung'!$A$7:$A$2692,A662)</x:f>
        <x:v>1</x:v>
      </x:c>
      <x:c r="E662" s="11" t="n">
        <x:f>D662-C662</x:f>
        <x:v>0</x:v>
      </x:c>
      <x:c r="F662" s="5" t="str">
        <x:v>ja</x:v>
      </x:c>
      <x:c r="G662" s="5" t="str">
        <x:v>WQ</x:v>
      </x:c>
    </x:row>
    <x:row r="663" ht="36" customHeight="1">
      <x:c r="A663" s="5" t="str">
        <x:v>R-0259</x:v>
      </x:c>
      <x:c r="B663" s="5" t="str">
        <x:v>Recht</x:v>
      </x:c>
      <x:c r="C663" s="11" t="n">
        <x:v>1</x:v>
      </x:c>
      <x:c r="D663" s="11" t="n">
        <x:f>COUNTIF('Einzel-ID-Zuordnung'!$A$7:$A$2692,A663)</x:f>
        <x:v>1</x:v>
      </x:c>
      <x:c r="E663" s="11" t="n">
        <x:f>D663-C663</x:f>
        <x:v>0</x:v>
      </x:c>
      <x:c r="F663" s="5" t="str">
        <x:v>ja</x:v>
      </x:c>
      <x:c r="G663" s="5" t="str">
        <x:v>WQ</x:v>
      </x:c>
    </x:row>
    <x:row r="664" ht="36" customHeight="1">
      <x:c r="A664" s="5" t="str">
        <x:v>R-0260</x:v>
      </x:c>
      <x:c r="B664" s="5" t="str">
        <x:v>Recht</x:v>
      </x:c>
      <x:c r="C664" s="11" t="n">
        <x:v>1</x:v>
      </x:c>
      <x:c r="D664" s="11" t="n">
        <x:f>COUNTIF('Einzel-ID-Zuordnung'!$A$7:$A$2692,A664)</x:f>
        <x:v>1</x:v>
      </x:c>
      <x:c r="E664" s="11" t="n">
        <x:f>D664-C664</x:f>
        <x:v>0</x:v>
      </x:c>
      <x:c r="F664" s="5" t="str">
        <x:v>ja</x:v>
      </x:c>
      <x:c r="G664" s="5" t="str">
        <x:v>WQ</x:v>
      </x:c>
    </x:row>
    <x:row r="665" ht="36" customHeight="1">
      <x:c r="A665" s="5" t="str">
        <x:v>R-0261</x:v>
      </x:c>
      <x:c r="B665" s="5" t="str">
        <x:v>Recht</x:v>
      </x:c>
      <x:c r="C665" s="11" t="n">
        <x:v>1</x:v>
      </x:c>
      <x:c r="D665" s="11" t="n">
        <x:f>COUNTIF('Einzel-ID-Zuordnung'!$A$7:$A$2692,A665)</x:f>
        <x:v>1</x:v>
      </x:c>
      <x:c r="E665" s="11" t="n">
        <x:f>D665-C665</x:f>
        <x:v>0</x:v>
      </x:c>
      <x:c r="F665" s="5" t="str">
        <x:v>ja</x:v>
      </x:c>
      <x:c r="G665" s="5" t="str">
        <x:v>WQ</x:v>
      </x:c>
    </x:row>
    <x:row r="666" ht="36" customHeight="1">
      <x:c r="A666" s="5" t="str">
        <x:v>R-0262</x:v>
      </x:c>
      <x:c r="B666" s="5" t="str">
        <x:v>Recht</x:v>
      </x:c>
      <x:c r="C666" s="11" t="n">
        <x:v>1</x:v>
      </x:c>
      <x:c r="D666" s="11" t="n">
        <x:f>COUNTIF('Einzel-ID-Zuordnung'!$A$7:$A$2692,A666)</x:f>
        <x:v>1</x:v>
      </x:c>
      <x:c r="E666" s="11" t="n">
        <x:f>D666-C666</x:f>
        <x:v>0</x:v>
      </x:c>
      <x:c r="F666" s="5" t="str">
        <x:v>ja</x:v>
      </x:c>
      <x:c r="G666" s="5" t="str">
        <x:v>WQ</x:v>
      </x:c>
    </x:row>
    <x:row r="667" ht="36" customHeight="1">
      <x:c r="A667" s="5" t="str">
        <x:v>R-0263</x:v>
      </x:c>
      <x:c r="B667" s="5" t="str">
        <x:v>Recht</x:v>
      </x:c>
      <x:c r="C667" s="11" t="n">
        <x:v>1</x:v>
      </x:c>
      <x:c r="D667" s="11" t="n">
        <x:f>COUNTIF('Einzel-ID-Zuordnung'!$A$7:$A$2692,A667)</x:f>
        <x:v>1</x:v>
      </x:c>
      <x:c r="E667" s="11" t="n">
        <x:f>D667-C667</x:f>
        <x:v>0</x:v>
      </x:c>
      <x:c r="F667" s="5" t="str">
        <x:v>ja</x:v>
      </x:c>
      <x:c r="G667" s="5" t="str">
        <x:v>WQ</x:v>
      </x:c>
    </x:row>
    <x:row r="668" ht="36" customHeight="1">
      <x:c r="A668" s="5" t="str">
        <x:v>R-0264</x:v>
      </x:c>
      <x:c r="B668" s="5" t="str">
        <x:v>Recht</x:v>
      </x:c>
      <x:c r="C668" s="11" t="n">
        <x:v>1</x:v>
      </x:c>
      <x:c r="D668" s="11" t="n">
        <x:f>COUNTIF('Einzel-ID-Zuordnung'!$A$7:$A$2692,A668)</x:f>
        <x:v>1</x:v>
      </x:c>
      <x:c r="E668" s="11" t="n">
        <x:f>D668-C668</x:f>
        <x:v>0</x:v>
      </x:c>
      <x:c r="F668" s="5" t="str">
        <x:v>ja</x:v>
      </x:c>
      <x:c r="G668" s="5" t="str">
        <x:v>WQ</x:v>
      </x:c>
    </x:row>
    <x:row r="669" ht="36" customHeight="1">
      <x:c r="A669" s="5" t="str">
        <x:v>R-0265</x:v>
      </x:c>
      <x:c r="B669" s="5" t="str">
        <x:v>Recht</x:v>
      </x:c>
      <x:c r="C669" s="11" t="n">
        <x:v>1</x:v>
      </x:c>
      <x:c r="D669" s="11" t="n">
        <x:f>COUNTIF('Einzel-ID-Zuordnung'!$A$7:$A$2692,A669)</x:f>
        <x:v>1</x:v>
      </x:c>
      <x:c r="E669" s="11" t="n">
        <x:f>D669-C669</x:f>
        <x:v>0</x:v>
      </x:c>
      <x:c r="F669" s="5" t="str">
        <x:v>ja</x:v>
      </x:c>
      <x:c r="G669" s="5" t="str">
        <x:v>WQ</x:v>
      </x:c>
    </x:row>
    <x:row r="670" ht="36" customHeight="1">
      <x:c r="A670" s="5" t="str">
        <x:v>R-0266</x:v>
      </x:c>
      <x:c r="B670" s="5" t="str">
        <x:v>Recht</x:v>
      </x:c>
      <x:c r="C670" s="11" t="n">
        <x:v>1</x:v>
      </x:c>
      <x:c r="D670" s="11" t="n">
        <x:f>COUNTIF('Einzel-ID-Zuordnung'!$A$7:$A$2692,A670)</x:f>
        <x:v>1</x:v>
      </x:c>
      <x:c r="E670" s="11" t="n">
        <x:f>D670-C670</x:f>
        <x:v>0</x:v>
      </x:c>
      <x:c r="F670" s="5" t="str">
        <x:v>ja</x:v>
      </x:c>
      <x:c r="G670" s="5" t="str">
        <x:v>WQ</x:v>
      </x:c>
    </x:row>
    <x:row r="671" ht="36" customHeight="1">
      <x:c r="A671" s="5" t="str">
        <x:v>R-0267</x:v>
      </x:c>
      <x:c r="B671" s="5" t="str">
        <x:v>Recht</x:v>
      </x:c>
      <x:c r="C671" s="11" t="n">
        <x:v>1</x:v>
      </x:c>
      <x:c r="D671" s="11" t="n">
        <x:f>COUNTIF('Einzel-ID-Zuordnung'!$A$7:$A$2692,A671)</x:f>
        <x:v>1</x:v>
      </x:c>
      <x:c r="E671" s="11" t="n">
        <x:f>D671-C671</x:f>
        <x:v>0</x:v>
      </x:c>
      <x:c r="F671" s="5" t="str">
        <x:v>ja</x:v>
      </x:c>
      <x:c r="G671" s="5" t="str">
        <x:v>WQ</x:v>
      </x:c>
    </x:row>
    <x:row r="672" ht="36" customHeight="1">
      <x:c r="A672" s="5" t="str">
        <x:v>R-0268</x:v>
      </x:c>
      <x:c r="B672" s="5" t="str">
        <x:v>Recht</x:v>
      </x:c>
      <x:c r="C672" s="11" t="n">
        <x:v>1</x:v>
      </x:c>
      <x:c r="D672" s="11" t="n">
        <x:f>COUNTIF('Einzel-ID-Zuordnung'!$A$7:$A$2692,A672)</x:f>
        <x:v>1</x:v>
      </x:c>
      <x:c r="E672" s="11" t="n">
        <x:f>D672-C672</x:f>
        <x:v>0</x:v>
      </x:c>
      <x:c r="F672" s="5" t="str">
        <x:v>ja</x:v>
      </x:c>
      <x:c r="G672" s="5" t="str">
        <x:v>WQ</x:v>
      </x:c>
    </x:row>
    <x:row r="673" ht="36" customHeight="1">
      <x:c r="A673" s="5" t="str">
        <x:v>R-0269</x:v>
      </x:c>
      <x:c r="B673" s="5" t="str">
        <x:v>Recht</x:v>
      </x:c>
      <x:c r="C673" s="11" t="n">
        <x:v>1</x:v>
      </x:c>
      <x:c r="D673" s="11" t="n">
        <x:f>COUNTIF('Einzel-ID-Zuordnung'!$A$7:$A$2692,A673)</x:f>
        <x:v>1</x:v>
      </x:c>
      <x:c r="E673" s="11" t="n">
        <x:f>D673-C673</x:f>
        <x:v>0</x:v>
      </x:c>
      <x:c r="F673" s="5" t="str">
        <x:v>ja</x:v>
      </x:c>
      <x:c r="G673" s="5" t="str">
        <x:v>WQ</x:v>
      </x:c>
    </x:row>
    <x:row r="674" ht="36" customHeight="1">
      <x:c r="A674" s="5" t="str">
        <x:v>R-0270</x:v>
      </x:c>
      <x:c r="B674" s="5" t="str">
        <x:v>Recht</x:v>
      </x:c>
      <x:c r="C674" s="11" t="n">
        <x:v>1</x:v>
      </x:c>
      <x:c r="D674" s="11" t="n">
        <x:f>COUNTIF('Einzel-ID-Zuordnung'!$A$7:$A$2692,A674)</x:f>
        <x:v>1</x:v>
      </x:c>
      <x:c r="E674" s="11" t="n">
        <x:f>D674-C674</x:f>
        <x:v>0</x:v>
      </x:c>
      <x:c r="F674" s="5" t="str">
        <x:v>ja</x:v>
      </x:c>
      <x:c r="G674" s="5" t="str">
        <x:v>WQ</x:v>
      </x:c>
    </x:row>
    <x:row r="675" ht="36" customHeight="1">
      <x:c r="A675" s="5" t="str">
        <x:v>R-0271</x:v>
      </x:c>
      <x:c r="B675" s="5" t="str">
        <x:v>Recht</x:v>
      </x:c>
      <x:c r="C675" s="11" t="n">
        <x:v>1</x:v>
      </x:c>
      <x:c r="D675" s="11" t="n">
        <x:f>COUNTIF('Einzel-ID-Zuordnung'!$A$7:$A$2692,A675)</x:f>
        <x:v>1</x:v>
      </x:c>
      <x:c r="E675" s="11" t="n">
        <x:f>D675-C675</x:f>
        <x:v>0</x:v>
      </x:c>
      <x:c r="F675" s="5" t="str">
        <x:v>ja</x:v>
      </x:c>
      <x:c r="G675" s="5" t="str">
        <x:v>WQ</x:v>
      </x:c>
    </x:row>
    <x:row r="676" ht="36" customHeight="1">
      <x:c r="A676" s="5" t="str">
        <x:v>R-0272</x:v>
      </x:c>
      <x:c r="B676" s="5" t="str">
        <x:v>Recht</x:v>
      </x:c>
      <x:c r="C676" s="11" t="n">
        <x:v>1</x:v>
      </x:c>
      <x:c r="D676" s="11" t="n">
        <x:f>COUNTIF('Einzel-ID-Zuordnung'!$A$7:$A$2692,A676)</x:f>
        <x:v>1</x:v>
      </x:c>
      <x:c r="E676" s="11" t="n">
        <x:f>D676-C676</x:f>
        <x:v>0</x:v>
      </x:c>
      <x:c r="F676" s="5" t="str">
        <x:v>ja</x:v>
      </x:c>
      <x:c r="G676" s="5" t="str">
        <x:v>WQ</x:v>
      </x:c>
    </x:row>
    <x:row r="677" ht="36" customHeight="1">
      <x:c r="A677" s="5" t="str">
        <x:v>R-0273</x:v>
      </x:c>
      <x:c r="B677" s="5" t="str">
        <x:v>Recht</x:v>
      </x:c>
      <x:c r="C677" s="11" t="n">
        <x:v>1</x:v>
      </x:c>
      <x:c r="D677" s="11" t="n">
        <x:f>COUNTIF('Einzel-ID-Zuordnung'!$A$7:$A$2692,A677)</x:f>
        <x:v>1</x:v>
      </x:c>
      <x:c r="E677" s="11" t="n">
        <x:f>D677-C677</x:f>
        <x:v>0</x:v>
      </x:c>
      <x:c r="F677" s="5" t="str">
        <x:v>ja</x:v>
      </x:c>
      <x:c r="G677" s="5" t="str">
        <x:v>WQ</x:v>
      </x:c>
    </x:row>
    <x:row r="678" ht="36" customHeight="1">
      <x:c r="A678" s="5" t="str">
        <x:v>R-0274</x:v>
      </x:c>
      <x:c r="B678" s="5" t="str">
        <x:v>Recht</x:v>
      </x:c>
      <x:c r="C678" s="11" t="n">
        <x:v>1</x:v>
      </x:c>
      <x:c r="D678" s="11" t="n">
        <x:f>COUNTIF('Einzel-ID-Zuordnung'!$A$7:$A$2692,A678)</x:f>
        <x:v>1</x:v>
      </x:c>
      <x:c r="E678" s="11" t="n">
        <x:f>D678-C678</x:f>
        <x:v>0</x:v>
      </x:c>
      <x:c r="F678" s="5" t="str">
        <x:v>ja</x:v>
      </x:c>
      <x:c r="G678" s="5" t="str">
        <x:v>WQ</x:v>
      </x:c>
    </x:row>
    <x:row r="679" ht="36" customHeight="1">
      <x:c r="A679" s="5" t="str">
        <x:v>R-0275</x:v>
      </x:c>
      <x:c r="B679" s="5" t="str">
        <x:v>Recht</x:v>
      </x:c>
      <x:c r="C679" s="11" t="n">
        <x:v>1</x:v>
      </x:c>
      <x:c r="D679" s="11" t="n">
        <x:f>COUNTIF('Einzel-ID-Zuordnung'!$A$7:$A$2692,A679)</x:f>
        <x:v>1</x:v>
      </x:c>
      <x:c r="E679" s="11" t="n">
        <x:f>D679-C679</x:f>
        <x:v>0</x:v>
      </x:c>
      <x:c r="F679" s="5" t="str">
        <x:v>ja</x:v>
      </x:c>
      <x:c r="G679" s="5" t="str">
        <x:v>WQ</x:v>
      </x:c>
    </x:row>
    <x:row r="680" ht="36" customHeight="1">
      <x:c r="A680" s="5" t="str">
        <x:v>R-0276</x:v>
      </x:c>
      <x:c r="B680" s="5" t="str">
        <x:v>Recht</x:v>
      </x:c>
      <x:c r="C680" s="11" t="n">
        <x:v>1</x:v>
      </x:c>
      <x:c r="D680" s="11" t="n">
        <x:f>COUNTIF('Einzel-ID-Zuordnung'!$A$7:$A$2692,A680)</x:f>
        <x:v>1</x:v>
      </x:c>
      <x:c r="E680" s="11" t="n">
        <x:f>D680-C680</x:f>
        <x:v>0</x:v>
      </x:c>
      <x:c r="F680" s="5" t="str">
        <x:v>ja</x:v>
      </x:c>
      <x:c r="G680" s="5" t="str">
        <x:v>WQ</x:v>
      </x:c>
    </x:row>
    <x:row r="681" ht="36" customHeight="1">
      <x:c r="A681" s="5" t="str">
        <x:v>R-0277</x:v>
      </x:c>
      <x:c r="B681" s="5" t="str">
        <x:v>Recht</x:v>
      </x:c>
      <x:c r="C681" s="11" t="n">
        <x:v>1</x:v>
      </x:c>
      <x:c r="D681" s="11" t="n">
        <x:f>COUNTIF('Einzel-ID-Zuordnung'!$A$7:$A$2692,A681)</x:f>
        <x:v>1</x:v>
      </x:c>
      <x:c r="E681" s="11" t="n">
        <x:f>D681-C681</x:f>
        <x:v>0</x:v>
      </x:c>
      <x:c r="F681" s="5" t="str">
        <x:v>ja</x:v>
      </x:c>
      <x:c r="G681" s="5" t="str">
        <x:v>WQ</x:v>
      </x:c>
    </x:row>
    <x:row r="682" ht="36" customHeight="1">
      <x:c r="A682" s="5" t="str">
        <x:v>R-0278</x:v>
      </x:c>
      <x:c r="B682" s="5" t="str">
        <x:v>Recht</x:v>
      </x:c>
      <x:c r="C682" s="11" t="n">
        <x:v>1</x:v>
      </x:c>
      <x:c r="D682" s="11" t="n">
        <x:f>COUNTIF('Einzel-ID-Zuordnung'!$A$7:$A$2692,A682)</x:f>
        <x:v>1</x:v>
      </x:c>
      <x:c r="E682" s="11" t="n">
        <x:f>D682-C682</x:f>
        <x:v>0</x:v>
      </x:c>
      <x:c r="F682" s="5" t="str">
        <x:v>ja</x:v>
      </x:c>
      <x:c r="G682" s="5" t="str">
        <x:v>WQ</x:v>
      </x:c>
    </x:row>
    <x:row r="683" ht="36" customHeight="1">
      <x:c r="A683" s="5" t="str">
        <x:v>R-0279</x:v>
      </x:c>
      <x:c r="B683" s="5" t="str">
        <x:v>Recht</x:v>
      </x:c>
      <x:c r="C683" s="11" t="n">
        <x:v>1</x:v>
      </x:c>
      <x:c r="D683" s="11" t="n">
        <x:f>COUNTIF('Einzel-ID-Zuordnung'!$A$7:$A$2692,A683)</x:f>
        <x:v>1</x:v>
      </x:c>
      <x:c r="E683" s="11" t="n">
        <x:f>D683-C683</x:f>
        <x:v>0</x:v>
      </x:c>
      <x:c r="F683" s="5" t="str">
        <x:v>ja</x:v>
      </x:c>
      <x:c r="G683" s="5" t="str">
        <x:v>WQ</x:v>
      </x:c>
    </x:row>
    <x:row r="684" ht="36" customHeight="1">
      <x:c r="A684" s="5" t="str">
        <x:v>R-0280</x:v>
      </x:c>
      <x:c r="B684" s="5" t="str">
        <x:v>Recht</x:v>
      </x:c>
      <x:c r="C684" s="11" t="n">
        <x:v>1</x:v>
      </x:c>
      <x:c r="D684" s="11" t="n">
        <x:f>COUNTIF('Einzel-ID-Zuordnung'!$A$7:$A$2692,A684)</x:f>
        <x:v>1</x:v>
      </x:c>
      <x:c r="E684" s="11" t="n">
        <x:f>D684-C684</x:f>
        <x:v>0</x:v>
      </x:c>
      <x:c r="F684" s="5" t="str">
        <x:v>ja</x:v>
      </x:c>
      <x:c r="G684" s="5" t="str">
        <x:v>WQ</x:v>
      </x:c>
    </x:row>
    <x:row r="685" ht="36" customHeight="1">
      <x:c r="A685" s="5" t="str">
        <x:v>R-0281</x:v>
      </x:c>
      <x:c r="B685" s="5" t="str">
        <x:v>Recht</x:v>
      </x:c>
      <x:c r="C685" s="11" t="n">
        <x:v>1</x:v>
      </x:c>
      <x:c r="D685" s="11" t="n">
        <x:f>COUNTIF('Einzel-ID-Zuordnung'!$A$7:$A$2692,A685)</x:f>
        <x:v>1</x:v>
      </x:c>
      <x:c r="E685" s="11" t="n">
        <x:f>D685-C685</x:f>
        <x:v>0</x:v>
      </x:c>
      <x:c r="F685" s="5" t="str">
        <x:v>ja</x:v>
      </x:c>
      <x:c r="G685" s="5" t="str">
        <x:v>WQ</x:v>
      </x:c>
    </x:row>
    <x:row r="686" ht="36" customHeight="1">
      <x:c r="A686" s="5" t="str">
        <x:v>R-0282</x:v>
      </x:c>
      <x:c r="B686" s="5" t="str">
        <x:v>Recht</x:v>
      </x:c>
      <x:c r="C686" s="11" t="n">
        <x:v>1</x:v>
      </x:c>
      <x:c r="D686" s="11" t="n">
        <x:f>COUNTIF('Einzel-ID-Zuordnung'!$A$7:$A$2692,A686)</x:f>
        <x:v>1</x:v>
      </x:c>
      <x:c r="E686" s="11" t="n">
        <x:f>D686-C686</x:f>
        <x:v>0</x:v>
      </x:c>
      <x:c r="F686" s="5" t="str">
        <x:v>ja</x:v>
      </x:c>
      <x:c r="G686" s="5" t="str">
        <x:v>WQ</x:v>
      </x:c>
    </x:row>
    <x:row r="687" ht="36" customHeight="1">
      <x:c r="A687" s="5" t="str">
        <x:v>R-0283</x:v>
      </x:c>
      <x:c r="B687" s="5" t="str">
        <x:v>Recht</x:v>
      </x:c>
      <x:c r="C687" s="11" t="n">
        <x:v>1</x:v>
      </x:c>
      <x:c r="D687" s="11" t="n">
        <x:f>COUNTIF('Einzel-ID-Zuordnung'!$A$7:$A$2692,A687)</x:f>
        <x:v>1</x:v>
      </x:c>
      <x:c r="E687" s="11" t="n">
        <x:f>D687-C687</x:f>
        <x:v>0</x:v>
      </x:c>
      <x:c r="F687" s="5" t="str">
        <x:v>ja</x:v>
      </x:c>
      <x:c r="G687" s="5" t="str">
        <x:v>WQ</x:v>
      </x:c>
    </x:row>
    <x:row r="688" ht="36" customHeight="1">
      <x:c r="A688" s="5" t="str">
        <x:v>R-0284</x:v>
      </x:c>
      <x:c r="B688" s="5" t="str">
        <x:v>Recht</x:v>
      </x:c>
      <x:c r="C688" s="11" t="n">
        <x:v>1</x:v>
      </x:c>
      <x:c r="D688" s="11" t="n">
        <x:f>COUNTIF('Einzel-ID-Zuordnung'!$A$7:$A$2692,A688)</x:f>
        <x:v>1</x:v>
      </x:c>
      <x:c r="E688" s="11" t="n">
        <x:f>D688-C688</x:f>
        <x:v>0</x:v>
      </x:c>
      <x:c r="F688" s="5" t="str">
        <x:v>ja</x:v>
      </x:c>
      <x:c r="G688" s="5" t="str">
        <x:v>WQ</x:v>
      </x:c>
    </x:row>
    <x:row r="689" ht="36" customHeight="1">
      <x:c r="A689" s="5" t="str">
        <x:v>R-0285</x:v>
      </x:c>
      <x:c r="B689" s="5" t="str">
        <x:v>Recht</x:v>
      </x:c>
      <x:c r="C689" s="11" t="n">
        <x:v>1</x:v>
      </x:c>
      <x:c r="D689" s="11" t="n">
        <x:f>COUNTIF('Einzel-ID-Zuordnung'!$A$7:$A$2692,A689)</x:f>
        <x:v>1</x:v>
      </x:c>
      <x:c r="E689" s="11" t="n">
        <x:f>D689-C689</x:f>
        <x:v>0</x:v>
      </x:c>
      <x:c r="F689" s="5" t="str">
        <x:v>ja</x:v>
      </x:c>
      <x:c r="G689" s="5" t="str">
        <x:v>WQ</x:v>
      </x:c>
    </x:row>
    <x:row r="690" ht="36" customHeight="1">
      <x:c r="A690" s="5" t="str">
        <x:v>R-0286</x:v>
      </x:c>
      <x:c r="B690" s="5" t="str">
        <x:v>Recht</x:v>
      </x:c>
      <x:c r="C690" s="11" t="n">
        <x:v>1</x:v>
      </x:c>
      <x:c r="D690" s="11" t="n">
        <x:f>COUNTIF('Einzel-ID-Zuordnung'!$A$7:$A$2692,A690)</x:f>
        <x:v>1</x:v>
      </x:c>
      <x:c r="E690" s="11" t="n">
        <x:f>D690-C690</x:f>
        <x:v>0</x:v>
      </x:c>
      <x:c r="F690" s="5" t="str">
        <x:v>ja</x:v>
      </x:c>
      <x:c r="G690" s="5" t="str">
        <x:v>WQ</x:v>
      </x:c>
    </x:row>
    <x:row r="691" ht="36" customHeight="1">
      <x:c r="A691" s="5" t="str">
        <x:v>R-0287</x:v>
      </x:c>
      <x:c r="B691" s="5" t="str">
        <x:v>Recht</x:v>
      </x:c>
      <x:c r="C691" s="11" t="n">
        <x:v>1</x:v>
      </x:c>
      <x:c r="D691" s="11" t="n">
        <x:f>COUNTIF('Einzel-ID-Zuordnung'!$A$7:$A$2692,A691)</x:f>
        <x:v>1</x:v>
      </x:c>
      <x:c r="E691" s="11" t="n">
        <x:f>D691-C691</x:f>
        <x:v>0</x:v>
      </x:c>
      <x:c r="F691" s="5" t="str">
        <x:v>ja</x:v>
      </x:c>
      <x:c r="G691" s="5" t="str">
        <x:v>WQ</x:v>
      </x:c>
    </x:row>
    <x:row r="692" ht="36" customHeight="1">
      <x:c r="A692" s="5" t="str">
        <x:v>R-0288</x:v>
      </x:c>
      <x:c r="B692" s="5" t="str">
        <x:v>Recht</x:v>
      </x:c>
      <x:c r="C692" s="11" t="n">
        <x:v>1</x:v>
      </x:c>
      <x:c r="D692" s="11" t="n">
        <x:f>COUNTIF('Einzel-ID-Zuordnung'!$A$7:$A$2692,A692)</x:f>
        <x:v>1</x:v>
      </x:c>
      <x:c r="E692" s="11" t="n">
        <x:f>D692-C692</x:f>
        <x:v>0</x:v>
      </x:c>
      <x:c r="F692" s="5" t="str">
        <x:v>ja</x:v>
      </x:c>
      <x:c r="G692" s="5" t="str">
        <x:v>WQ</x:v>
      </x:c>
    </x:row>
    <x:row r="693" ht="36" customHeight="1">
      <x:c r="A693" s="5" t="str">
        <x:v>R-0289</x:v>
      </x:c>
      <x:c r="B693" s="5" t="str">
        <x:v>Recht</x:v>
      </x:c>
      <x:c r="C693" s="11" t="n">
        <x:v>1</x:v>
      </x:c>
      <x:c r="D693" s="11" t="n">
        <x:f>COUNTIF('Einzel-ID-Zuordnung'!$A$7:$A$2692,A693)</x:f>
        <x:v>1</x:v>
      </x:c>
      <x:c r="E693" s="11" t="n">
        <x:f>D693-C693</x:f>
        <x:v>0</x:v>
      </x:c>
      <x:c r="F693" s="5" t="str">
        <x:v>ja</x:v>
      </x:c>
      <x:c r="G693" s="5" t="str">
        <x:v>WQ</x:v>
      </x:c>
    </x:row>
    <x:row r="694" ht="36" customHeight="1">
      <x:c r="A694" s="5" t="str">
        <x:v>R-0290</x:v>
      </x:c>
      <x:c r="B694" s="5" t="str">
        <x:v>Recht</x:v>
      </x:c>
      <x:c r="C694" s="11" t="n">
        <x:v>1</x:v>
      </x:c>
      <x:c r="D694" s="11" t="n">
        <x:f>COUNTIF('Einzel-ID-Zuordnung'!$A$7:$A$2692,A694)</x:f>
        <x:v>1</x:v>
      </x:c>
      <x:c r="E694" s="11" t="n">
        <x:f>D694-C694</x:f>
        <x:v>0</x:v>
      </x:c>
      <x:c r="F694" s="5" t="str">
        <x:v>ja</x:v>
      </x:c>
      <x:c r="G694" s="5" t="str">
        <x:v>WQ</x:v>
      </x:c>
    </x:row>
    <x:row r="695" ht="36" customHeight="1">
      <x:c r="A695" s="5" t="str">
        <x:v>R-0291</x:v>
      </x:c>
      <x:c r="B695" s="5" t="str">
        <x:v>Recht</x:v>
      </x:c>
      <x:c r="C695" s="11" t="n">
        <x:v>1</x:v>
      </x:c>
      <x:c r="D695" s="11" t="n">
        <x:f>COUNTIF('Einzel-ID-Zuordnung'!$A$7:$A$2692,A695)</x:f>
        <x:v>1</x:v>
      </x:c>
      <x:c r="E695" s="11" t="n">
        <x:f>D695-C695</x:f>
        <x:v>0</x:v>
      </x:c>
      <x:c r="F695" s="5" t="str">
        <x:v>ja</x:v>
      </x:c>
      <x:c r="G695" s="5" t="str">
        <x:v>WQ</x:v>
      </x:c>
    </x:row>
    <x:row r="696" ht="36" customHeight="1">
      <x:c r="A696" s="5" t="str">
        <x:v>R-0292</x:v>
      </x:c>
      <x:c r="B696" s="5" t="str">
        <x:v>Recht</x:v>
      </x:c>
      <x:c r="C696" s="11" t="n">
        <x:v>1</x:v>
      </x:c>
      <x:c r="D696" s="11" t="n">
        <x:f>COUNTIF('Einzel-ID-Zuordnung'!$A$7:$A$2692,A696)</x:f>
        <x:v>1</x:v>
      </x:c>
      <x:c r="E696" s="11" t="n">
        <x:f>D696-C696</x:f>
        <x:v>0</x:v>
      </x:c>
      <x:c r="F696" s="5" t="str">
        <x:v>ja</x:v>
      </x:c>
      <x:c r="G696" s="5" t="str">
        <x:v>WQ</x:v>
      </x:c>
    </x:row>
    <x:row r="697" ht="36" customHeight="1">
      <x:c r="A697" s="5" t="str">
        <x:v>R-0293</x:v>
      </x:c>
      <x:c r="B697" s="5" t="str">
        <x:v>Recht</x:v>
      </x:c>
      <x:c r="C697" s="11" t="n">
        <x:v>1</x:v>
      </x:c>
      <x:c r="D697" s="11" t="n">
        <x:f>COUNTIF('Einzel-ID-Zuordnung'!$A$7:$A$2692,A697)</x:f>
        <x:v>1</x:v>
      </x:c>
      <x:c r="E697" s="11" t="n">
        <x:f>D697-C697</x:f>
        <x:v>0</x:v>
      </x:c>
      <x:c r="F697" s="5" t="str">
        <x:v>ja</x:v>
      </x:c>
      <x:c r="G697" s="5" t="str">
        <x:v>WQ</x:v>
      </x:c>
    </x:row>
    <x:row r="698" ht="36" customHeight="1">
      <x:c r="A698" s="5" t="str">
        <x:v>R-0294</x:v>
      </x:c>
      <x:c r="B698" s="5" t="str">
        <x:v>Recht</x:v>
      </x:c>
      <x:c r="C698" s="11" t="n">
        <x:v>1</x:v>
      </x:c>
      <x:c r="D698" s="11" t="n">
        <x:f>COUNTIF('Einzel-ID-Zuordnung'!$A$7:$A$2692,A698)</x:f>
        <x:v>1</x:v>
      </x:c>
      <x:c r="E698" s="11" t="n">
        <x:f>D698-C698</x:f>
        <x:v>0</x:v>
      </x:c>
      <x:c r="F698" s="5" t="str">
        <x:v>ja</x:v>
      </x:c>
      <x:c r="G698" s="5" t="str">
        <x:v>WQ</x:v>
      </x:c>
    </x:row>
    <x:row r="699" ht="36" customHeight="1">
      <x:c r="A699" s="5" t="str">
        <x:v>R-0295</x:v>
      </x:c>
      <x:c r="B699" s="5" t="str">
        <x:v>Recht</x:v>
      </x:c>
      <x:c r="C699" s="11" t="n">
        <x:v>1</x:v>
      </x:c>
      <x:c r="D699" s="11" t="n">
        <x:f>COUNTIF('Einzel-ID-Zuordnung'!$A$7:$A$2692,A699)</x:f>
        <x:v>1</x:v>
      </x:c>
      <x:c r="E699" s="11" t="n">
        <x:f>D699-C699</x:f>
        <x:v>0</x:v>
      </x:c>
      <x:c r="F699" s="5" t="str">
        <x:v>ja</x:v>
      </x:c>
      <x:c r="G699" s="5" t="str">
        <x:v>WQ</x:v>
      </x:c>
    </x:row>
    <x:row r="700" ht="36" customHeight="1">
      <x:c r="A700" s="5" t="str">
        <x:v>R-0296</x:v>
      </x:c>
      <x:c r="B700" s="5" t="str">
        <x:v>Recht</x:v>
      </x:c>
      <x:c r="C700" s="11" t="n">
        <x:v>1</x:v>
      </x:c>
      <x:c r="D700" s="11" t="n">
        <x:f>COUNTIF('Einzel-ID-Zuordnung'!$A$7:$A$2692,A700)</x:f>
        <x:v>1</x:v>
      </x:c>
      <x:c r="E700" s="11" t="n">
        <x:f>D700-C700</x:f>
        <x:v>0</x:v>
      </x:c>
      <x:c r="F700" s="5" t="str">
        <x:v>ja</x:v>
      </x:c>
      <x:c r="G700" s="5" t="str">
        <x:v>WQ</x:v>
      </x:c>
    </x:row>
    <x:row r="701" ht="36" customHeight="1">
      <x:c r="A701" s="5" t="str">
        <x:v>R-0297</x:v>
      </x:c>
      <x:c r="B701" s="5" t="str">
        <x:v>Recht</x:v>
      </x:c>
      <x:c r="C701" s="11" t="n">
        <x:v>1</x:v>
      </x:c>
      <x:c r="D701" s="11" t="n">
        <x:f>COUNTIF('Einzel-ID-Zuordnung'!$A$7:$A$2692,A701)</x:f>
        <x:v>1</x:v>
      </x:c>
      <x:c r="E701" s="11" t="n">
        <x:f>D701-C701</x:f>
        <x:v>0</x:v>
      </x:c>
      <x:c r="F701" s="5" t="str">
        <x:v>ja</x:v>
      </x:c>
      <x:c r="G701" s="5" t="str">
        <x:v>WQ</x:v>
      </x:c>
    </x:row>
    <x:row r="702" ht="36" customHeight="1">
      <x:c r="A702" s="5" t="str">
        <x:v>R-0298</x:v>
      </x:c>
      <x:c r="B702" s="5" t="str">
        <x:v>Recht</x:v>
      </x:c>
      <x:c r="C702" s="11" t="n">
        <x:v>1</x:v>
      </x:c>
      <x:c r="D702" s="11" t="n">
        <x:f>COUNTIF('Einzel-ID-Zuordnung'!$A$7:$A$2692,A702)</x:f>
        <x:v>1</x:v>
      </x:c>
      <x:c r="E702" s="11" t="n">
        <x:f>D702-C702</x:f>
        <x:v>0</x:v>
      </x:c>
      <x:c r="F702" s="5" t="str">
        <x:v>ja</x:v>
      </x:c>
      <x:c r="G702" s="5" t="str">
        <x:v>WQ</x:v>
      </x:c>
    </x:row>
    <x:row r="703" ht="36" customHeight="1">
      <x:c r="A703" s="5" t="str">
        <x:v>R-0299</x:v>
      </x:c>
      <x:c r="B703" s="5" t="str">
        <x:v>Recht</x:v>
      </x:c>
      <x:c r="C703" s="11" t="n">
        <x:v>1</x:v>
      </x:c>
      <x:c r="D703" s="11" t="n">
        <x:f>COUNTIF('Einzel-ID-Zuordnung'!$A$7:$A$2692,A703)</x:f>
        <x:v>1</x:v>
      </x:c>
      <x:c r="E703" s="11" t="n">
        <x:f>D703-C703</x:f>
        <x:v>0</x:v>
      </x:c>
      <x:c r="F703" s="5" t="str">
        <x:v>ja</x:v>
      </x:c>
      <x:c r="G703" s="5" t="str">
        <x:v>WQ</x:v>
      </x:c>
    </x:row>
    <x:row r="704" ht="36" customHeight="1">
      <x:c r="A704" s="5" t="str">
        <x:v>R-0300</x:v>
      </x:c>
      <x:c r="B704" s="5" t="str">
        <x:v>Recht</x:v>
      </x:c>
      <x:c r="C704" s="11" t="n">
        <x:v>1</x:v>
      </x:c>
      <x:c r="D704" s="11" t="n">
        <x:f>COUNTIF('Einzel-ID-Zuordnung'!$A$7:$A$2692,A704)</x:f>
        <x:v>1</x:v>
      </x:c>
      <x:c r="E704" s="11" t="n">
        <x:f>D704-C704</x:f>
        <x:v>0</x:v>
      </x:c>
      <x:c r="F704" s="5" t="str">
        <x:v>ja</x:v>
      </x:c>
      <x:c r="G704" s="5" t="str">
        <x:v>WQ</x:v>
      </x:c>
    </x:row>
    <x:row r="705" ht="36" customHeight="1">
      <x:c r="A705" s="5" t="str">
        <x:v>R-0301</x:v>
      </x:c>
      <x:c r="B705" s="5" t="str">
        <x:v>Recht</x:v>
      </x:c>
      <x:c r="C705" s="11" t="n">
        <x:v>1</x:v>
      </x:c>
      <x:c r="D705" s="11" t="n">
        <x:f>COUNTIF('Einzel-ID-Zuordnung'!$A$7:$A$2692,A705)</x:f>
        <x:v>1</x:v>
      </x:c>
      <x:c r="E705" s="11" t="n">
        <x:f>D705-C705</x:f>
        <x:v>0</x:v>
      </x:c>
      <x:c r="F705" s="5" t="str">
        <x:v>ja</x:v>
      </x:c>
      <x:c r="G705" s="5" t="str">
        <x:v>WQ</x:v>
      </x:c>
    </x:row>
    <x:row r="706" ht="36" customHeight="1">
      <x:c r="A706" s="5" t="str">
        <x:v>R-0302</x:v>
      </x:c>
      <x:c r="B706" s="5" t="str">
        <x:v>Recht</x:v>
      </x:c>
      <x:c r="C706" s="11" t="n">
        <x:v>1</x:v>
      </x:c>
      <x:c r="D706" s="11" t="n">
        <x:f>COUNTIF('Einzel-ID-Zuordnung'!$A$7:$A$2692,A706)</x:f>
        <x:v>1</x:v>
      </x:c>
      <x:c r="E706" s="11" t="n">
        <x:f>D706-C706</x:f>
        <x:v>0</x:v>
      </x:c>
      <x:c r="F706" s="5" t="str">
        <x:v>ja</x:v>
      </x:c>
      <x:c r="G706" s="5" t="str">
        <x:v>WQ</x:v>
      </x:c>
    </x:row>
    <x:row r="707" ht="36" customHeight="1">
      <x:c r="A707" s="5" t="str">
        <x:v>R-0303</x:v>
      </x:c>
      <x:c r="B707" s="5" t="str">
        <x:v>Recht</x:v>
      </x:c>
      <x:c r="C707" s="11" t="n">
        <x:v>1</x:v>
      </x:c>
      <x:c r="D707" s="11" t="n">
        <x:f>COUNTIF('Einzel-ID-Zuordnung'!$A$7:$A$2692,A707)</x:f>
        <x:v>1</x:v>
      </x:c>
      <x:c r="E707" s="11" t="n">
        <x:f>D707-C707</x:f>
        <x:v>0</x:v>
      </x:c>
      <x:c r="F707" s="5" t="str">
        <x:v>ja</x:v>
      </x:c>
      <x:c r="G707" s="5" t="str">
        <x:v>WQ</x:v>
      </x:c>
    </x:row>
    <x:row r="708" ht="36" customHeight="1">
      <x:c r="A708" s="5" t="str">
        <x:v>R-0304</x:v>
      </x:c>
      <x:c r="B708" s="5" t="str">
        <x:v>Recht</x:v>
      </x:c>
      <x:c r="C708" s="11" t="n">
        <x:v>1</x:v>
      </x:c>
      <x:c r="D708" s="11" t="n">
        <x:f>COUNTIF('Einzel-ID-Zuordnung'!$A$7:$A$2692,A708)</x:f>
        <x:v>1</x:v>
      </x:c>
      <x:c r="E708" s="11" t="n">
        <x:f>D708-C708</x:f>
        <x:v>0</x:v>
      </x:c>
      <x:c r="F708" s="5" t="str">
        <x:v>ja</x:v>
      </x:c>
      <x:c r="G708" s="5" t="str">
        <x:v>WQ</x:v>
      </x:c>
    </x:row>
    <x:row r="709" ht="36" customHeight="1">
      <x:c r="A709" s="5" t="str">
        <x:v>R-0305</x:v>
      </x:c>
      <x:c r="B709" s="5" t="str">
        <x:v>Recht</x:v>
      </x:c>
      <x:c r="C709" s="11" t="n">
        <x:v>1</x:v>
      </x:c>
      <x:c r="D709" s="11" t="n">
        <x:f>COUNTIF('Einzel-ID-Zuordnung'!$A$7:$A$2692,A709)</x:f>
        <x:v>1</x:v>
      </x:c>
      <x:c r="E709" s="11" t="n">
        <x:f>D709-C709</x:f>
        <x:v>0</x:v>
      </x:c>
      <x:c r="F709" s="5" t="str">
        <x:v>ja</x:v>
      </x:c>
      <x:c r="G709" s="5" t="str">
        <x:v>WQ</x:v>
      </x:c>
    </x:row>
    <x:row r="710" ht="36" customHeight="1">
      <x:c r="A710" s="5" t="str">
        <x:v>R-0306</x:v>
      </x:c>
      <x:c r="B710" s="5" t="str">
        <x:v>Recht</x:v>
      </x:c>
      <x:c r="C710" s="11" t="n">
        <x:v>1</x:v>
      </x:c>
      <x:c r="D710" s="11" t="n">
        <x:f>COUNTIF('Einzel-ID-Zuordnung'!$A$7:$A$2692,A710)</x:f>
        <x:v>1</x:v>
      </x:c>
      <x:c r="E710" s="11" t="n">
        <x:f>D710-C710</x:f>
        <x:v>0</x:v>
      </x:c>
      <x:c r="F710" s="5" t="str">
        <x:v>ja</x:v>
      </x:c>
      <x:c r="G710" s="5" t="str">
        <x:v>WQ</x:v>
      </x:c>
    </x:row>
    <x:row r="711" ht="36" customHeight="1">
      <x:c r="A711" s="5" t="str">
        <x:v>R-0307</x:v>
      </x:c>
      <x:c r="B711" s="5" t="str">
        <x:v>Recht</x:v>
      </x:c>
      <x:c r="C711" s="11" t="n">
        <x:v>1</x:v>
      </x:c>
      <x:c r="D711" s="11" t="n">
        <x:f>COUNTIF('Einzel-ID-Zuordnung'!$A$7:$A$2692,A711)</x:f>
        <x:v>1</x:v>
      </x:c>
      <x:c r="E711" s="11" t="n">
        <x:f>D711-C711</x:f>
        <x:v>0</x:v>
      </x:c>
      <x:c r="F711" s="5" t="str">
        <x:v>ja</x:v>
      </x:c>
      <x:c r="G711" s="5" t="str">
        <x:v>WQ</x:v>
      </x:c>
    </x:row>
    <x:row r="712" ht="36" customHeight="1">
      <x:c r="A712" s="5" t="str">
        <x:v>R-0308</x:v>
      </x:c>
      <x:c r="B712" s="5" t="str">
        <x:v>Recht</x:v>
      </x:c>
      <x:c r="C712" s="11" t="n">
        <x:v>1</x:v>
      </x:c>
      <x:c r="D712" s="11" t="n">
        <x:f>COUNTIF('Einzel-ID-Zuordnung'!$A$7:$A$2692,A712)</x:f>
        <x:v>1</x:v>
      </x:c>
      <x:c r="E712" s="11" t="n">
        <x:f>D712-C712</x:f>
        <x:v>0</x:v>
      </x:c>
      <x:c r="F712" s="5" t="str">
        <x:v>ja</x:v>
      </x:c>
      <x:c r="G712" s="5" t="str">
        <x:v>WQ</x:v>
      </x:c>
    </x:row>
    <x:row r="713" ht="36" customHeight="1">
      <x:c r="A713" s="5" t="str">
        <x:v>R-0309</x:v>
      </x:c>
      <x:c r="B713" s="5" t="str">
        <x:v>Recht</x:v>
      </x:c>
      <x:c r="C713" s="11" t="n">
        <x:v>1</x:v>
      </x:c>
      <x:c r="D713" s="11" t="n">
        <x:f>COUNTIF('Einzel-ID-Zuordnung'!$A$7:$A$2692,A713)</x:f>
        <x:v>1</x:v>
      </x:c>
      <x:c r="E713" s="11" t="n">
        <x:f>D713-C713</x:f>
        <x:v>0</x:v>
      </x:c>
      <x:c r="F713" s="5" t="str">
        <x:v>ja</x:v>
      </x:c>
      <x:c r="G713" s="5" t="str">
        <x:v>WQ</x:v>
      </x:c>
    </x:row>
    <x:row r="714" ht="36" customHeight="1">
      <x:c r="A714" s="5" t="str">
        <x:v>R-0310</x:v>
      </x:c>
      <x:c r="B714" s="5" t="str">
        <x:v>Recht</x:v>
      </x:c>
      <x:c r="C714" s="11" t="n">
        <x:v>1</x:v>
      </x:c>
      <x:c r="D714" s="11" t="n">
        <x:f>COUNTIF('Einzel-ID-Zuordnung'!$A$7:$A$2692,A714)</x:f>
        <x:v>1</x:v>
      </x:c>
      <x:c r="E714" s="11" t="n">
        <x:f>D714-C714</x:f>
        <x:v>0</x:v>
      </x:c>
      <x:c r="F714" s="5" t="str">
        <x:v>ja</x:v>
      </x:c>
      <x:c r="G714" s="5" t="str">
        <x:v>WQ</x:v>
      </x:c>
    </x:row>
    <x:row r="715" ht="36" customHeight="1">
      <x:c r="A715" s="5" t="str">
        <x:v>R-0311</x:v>
      </x:c>
      <x:c r="B715" s="5" t="str">
        <x:v>Recht</x:v>
      </x:c>
      <x:c r="C715" s="11" t="n">
        <x:v>1</x:v>
      </x:c>
      <x:c r="D715" s="11" t="n">
        <x:f>COUNTIF('Einzel-ID-Zuordnung'!$A$7:$A$2692,A715)</x:f>
        <x:v>1</x:v>
      </x:c>
      <x:c r="E715" s="11" t="n">
        <x:f>D715-C715</x:f>
        <x:v>0</x:v>
      </x:c>
      <x:c r="F715" s="5" t="str">
        <x:v>ja</x:v>
      </x:c>
      <x:c r="G715" s="5" t="str">
        <x:v>WQ</x:v>
      </x:c>
    </x:row>
    <x:row r="716" ht="36" customHeight="1">
      <x:c r="A716" s="5" t="str">
        <x:v>R-0312</x:v>
      </x:c>
      <x:c r="B716" s="5" t="str">
        <x:v>Recht</x:v>
      </x:c>
      <x:c r="C716" s="11" t="n">
        <x:v>1</x:v>
      </x:c>
      <x:c r="D716" s="11" t="n">
        <x:f>COUNTIF('Einzel-ID-Zuordnung'!$A$7:$A$2692,A716)</x:f>
        <x:v>1</x:v>
      </x:c>
      <x:c r="E716" s="11" t="n">
        <x:f>D716-C716</x:f>
        <x:v>0</x:v>
      </x:c>
      <x:c r="F716" s="5" t="str">
        <x:v>ja</x:v>
      </x:c>
      <x:c r="G716" s="5" t="str">
        <x:v>WQ</x:v>
      </x:c>
    </x:row>
    <x:row r="717" ht="36" customHeight="1">
      <x:c r="A717" s="5" t="str">
        <x:v>R-0313</x:v>
      </x:c>
      <x:c r="B717" s="5" t="str">
        <x:v>Recht</x:v>
      </x:c>
      <x:c r="C717" s="11" t="n">
        <x:v>1</x:v>
      </x:c>
      <x:c r="D717" s="11" t="n">
        <x:f>COUNTIF('Einzel-ID-Zuordnung'!$A$7:$A$2692,A717)</x:f>
        <x:v>1</x:v>
      </x:c>
      <x:c r="E717" s="11" t="n">
        <x:f>D717-C717</x:f>
        <x:v>0</x:v>
      </x:c>
      <x:c r="F717" s="5" t="str">
        <x:v>ja</x:v>
      </x:c>
      <x:c r="G717" s="5" t="str">
        <x:v>WQ</x:v>
      </x:c>
    </x:row>
    <x:row r="718" ht="36" customHeight="1">
      <x:c r="A718" s="5" t="str">
        <x:v>R-0314</x:v>
      </x:c>
      <x:c r="B718" s="5" t="str">
        <x:v>Recht</x:v>
      </x:c>
      <x:c r="C718" s="11" t="n">
        <x:v>1</x:v>
      </x:c>
      <x:c r="D718" s="11" t="n">
        <x:f>COUNTIF('Einzel-ID-Zuordnung'!$A$7:$A$2692,A718)</x:f>
        <x:v>1</x:v>
      </x:c>
      <x:c r="E718" s="11" t="n">
        <x:f>D718-C718</x:f>
        <x:v>0</x:v>
      </x:c>
      <x:c r="F718" s="5" t="str">
        <x:v>ja</x:v>
      </x:c>
      <x:c r="G718" s="5" t="str">
        <x:v>WQ</x:v>
      </x:c>
    </x:row>
    <x:row r="719" ht="36" customHeight="1">
      <x:c r="A719" s="5" t="str">
        <x:v>R-0315</x:v>
      </x:c>
      <x:c r="B719" s="5" t="str">
        <x:v>Recht</x:v>
      </x:c>
      <x:c r="C719" s="11" t="n">
        <x:v>1</x:v>
      </x:c>
      <x:c r="D719" s="11" t="n">
        <x:f>COUNTIF('Einzel-ID-Zuordnung'!$A$7:$A$2692,A719)</x:f>
        <x:v>1</x:v>
      </x:c>
      <x:c r="E719" s="11" t="n">
        <x:f>D719-C719</x:f>
        <x:v>0</x:v>
      </x:c>
      <x:c r="F719" s="5" t="str">
        <x:v>ja</x:v>
      </x:c>
      <x:c r="G719" s="5" t="str">
        <x:v>WQ</x:v>
      </x:c>
    </x:row>
    <x:row r="720" ht="36" customHeight="1">
      <x:c r="A720" s="5" t="str">
        <x:v>R-0316</x:v>
      </x:c>
      <x:c r="B720" s="5" t="str">
        <x:v>Recht</x:v>
      </x:c>
      <x:c r="C720" s="11" t="n">
        <x:v>1</x:v>
      </x:c>
      <x:c r="D720" s="11" t="n">
        <x:f>COUNTIF('Einzel-ID-Zuordnung'!$A$7:$A$2692,A720)</x:f>
        <x:v>1</x:v>
      </x:c>
      <x:c r="E720" s="11" t="n">
        <x:f>D720-C720</x:f>
        <x:v>0</x:v>
      </x:c>
      <x:c r="F720" s="5" t="str">
        <x:v>ja</x:v>
      </x:c>
      <x:c r="G720" s="5" t="str">
        <x:v>WQ</x:v>
      </x:c>
    </x:row>
    <x:row r="721" ht="36" customHeight="1">
      <x:c r="A721" s="5" t="str">
        <x:v>R-0317</x:v>
      </x:c>
      <x:c r="B721" s="5" t="str">
        <x:v>Recht</x:v>
      </x:c>
      <x:c r="C721" s="11" t="n">
        <x:v>1</x:v>
      </x:c>
      <x:c r="D721" s="11" t="n">
        <x:f>COUNTIF('Einzel-ID-Zuordnung'!$A$7:$A$2692,A721)</x:f>
        <x:v>1</x:v>
      </x:c>
      <x:c r="E721" s="11" t="n">
        <x:f>D721-C721</x:f>
        <x:v>0</x:v>
      </x:c>
      <x:c r="F721" s="5" t="str">
        <x:v>ja</x:v>
      </x:c>
      <x:c r="G721" s="5" t="str">
        <x:v>WQ</x:v>
      </x:c>
    </x:row>
    <x:row r="722" ht="36" customHeight="1">
      <x:c r="A722" s="5" t="str">
        <x:v>R-0318</x:v>
      </x:c>
      <x:c r="B722" s="5" t="str">
        <x:v>Recht</x:v>
      </x:c>
      <x:c r="C722" s="11" t="n">
        <x:v>1</x:v>
      </x:c>
      <x:c r="D722" s="11" t="n">
        <x:f>COUNTIF('Einzel-ID-Zuordnung'!$A$7:$A$2692,A722)</x:f>
        <x:v>1</x:v>
      </x:c>
      <x:c r="E722" s="11" t="n">
        <x:f>D722-C722</x:f>
        <x:v>0</x:v>
      </x:c>
      <x:c r="F722" s="5" t="str">
        <x:v>ja</x:v>
      </x:c>
      <x:c r="G722" s="5" t="str">
        <x:v>WQ</x:v>
      </x:c>
    </x:row>
    <x:row r="723" ht="36" customHeight="1">
      <x:c r="A723" s="5" t="str">
        <x:v>R-0319</x:v>
      </x:c>
      <x:c r="B723" s="5" t="str">
        <x:v>Recht</x:v>
      </x:c>
      <x:c r="C723" s="11" t="n">
        <x:v>1</x:v>
      </x:c>
      <x:c r="D723" s="11" t="n">
        <x:f>COUNTIF('Einzel-ID-Zuordnung'!$A$7:$A$2692,A723)</x:f>
        <x:v>1</x:v>
      </x:c>
      <x:c r="E723" s="11" t="n">
        <x:f>D723-C723</x:f>
        <x:v>0</x:v>
      </x:c>
      <x:c r="F723" s="5" t="str">
        <x:v>ja</x:v>
      </x:c>
      <x:c r="G723" s="5" t="str">
        <x:v>WQ</x:v>
      </x:c>
    </x:row>
    <x:row r="724" ht="36" customHeight="1">
      <x:c r="A724" s="5" t="str">
        <x:v>R-0320</x:v>
      </x:c>
      <x:c r="B724" s="5" t="str">
        <x:v>Recht</x:v>
      </x:c>
      <x:c r="C724" s="11" t="n">
        <x:v>1</x:v>
      </x:c>
      <x:c r="D724" s="11" t="n">
        <x:f>COUNTIF('Einzel-ID-Zuordnung'!$A$7:$A$2692,A724)</x:f>
        <x:v>1</x:v>
      </x:c>
      <x:c r="E724" s="11" t="n">
        <x:f>D724-C724</x:f>
        <x:v>0</x:v>
      </x:c>
      <x:c r="F724" s="5" t="str">
        <x:v>ja</x:v>
      </x:c>
      <x:c r="G724" s="5" t="str">
        <x:v>WQ</x:v>
      </x:c>
    </x:row>
    <x:row r="725" ht="36" customHeight="1">
      <x:c r="A725" s="5" t="str">
        <x:v>R-0321</x:v>
      </x:c>
      <x:c r="B725" s="5" t="str">
        <x:v>Recht</x:v>
      </x:c>
      <x:c r="C725" s="11" t="n">
        <x:v>1</x:v>
      </x:c>
      <x:c r="D725" s="11" t="n">
        <x:f>COUNTIF('Einzel-ID-Zuordnung'!$A$7:$A$2692,A725)</x:f>
        <x:v>1</x:v>
      </x:c>
      <x:c r="E725" s="11" t="n">
        <x:f>D725-C725</x:f>
        <x:v>0</x:v>
      </x:c>
      <x:c r="F725" s="5" t="str">
        <x:v>ja</x:v>
      </x:c>
      <x:c r="G725" s="5" t="str">
        <x:v>WQ</x:v>
      </x:c>
    </x:row>
    <x:row r="726" ht="36" customHeight="1">
      <x:c r="A726" s="5" t="str">
        <x:v>R-0322</x:v>
      </x:c>
      <x:c r="B726" s="5" t="str">
        <x:v>Recht</x:v>
      </x:c>
      <x:c r="C726" s="11" t="n">
        <x:v>1</x:v>
      </x:c>
      <x:c r="D726" s="11" t="n">
        <x:f>COUNTIF('Einzel-ID-Zuordnung'!$A$7:$A$2692,A726)</x:f>
        <x:v>1</x:v>
      </x:c>
      <x:c r="E726" s="11" t="n">
        <x:f>D726-C726</x:f>
        <x:v>0</x:v>
      </x:c>
      <x:c r="F726" s="5" t="str">
        <x:v>ja</x:v>
      </x:c>
      <x:c r="G726" s="5" t="str">
        <x:v>WQ</x:v>
      </x:c>
    </x:row>
    <x:row r="727" ht="36" customHeight="1">
      <x:c r="A727" s="5" t="str">
        <x:v>R-0323</x:v>
      </x:c>
      <x:c r="B727" s="5" t="str">
        <x:v>Recht</x:v>
      </x:c>
      <x:c r="C727" s="11" t="n">
        <x:v>1</x:v>
      </x:c>
      <x:c r="D727" s="11" t="n">
        <x:f>COUNTIF('Einzel-ID-Zuordnung'!$A$7:$A$2692,A727)</x:f>
        <x:v>1</x:v>
      </x:c>
      <x:c r="E727" s="11" t="n">
        <x:f>D727-C727</x:f>
        <x:v>0</x:v>
      </x:c>
      <x:c r="F727" s="5" t="str">
        <x:v>ja</x:v>
      </x:c>
      <x:c r="G727" s="5" t="str">
        <x:v>WQ</x:v>
      </x:c>
    </x:row>
    <x:row r="728" ht="36" customHeight="1">
      <x:c r="A728" s="5" t="str">
        <x:v>R-0324</x:v>
      </x:c>
      <x:c r="B728" s="5" t="str">
        <x:v>Recht</x:v>
      </x:c>
      <x:c r="C728" s="11" t="n">
        <x:v>1</x:v>
      </x:c>
      <x:c r="D728" s="11" t="n">
        <x:f>COUNTIF('Einzel-ID-Zuordnung'!$A$7:$A$2692,A728)</x:f>
        <x:v>1</x:v>
      </x:c>
      <x:c r="E728" s="11" t="n">
        <x:f>D728-C728</x:f>
        <x:v>0</x:v>
      </x:c>
      <x:c r="F728" s="5" t="str">
        <x:v>ja</x:v>
      </x:c>
      <x:c r="G728" s="5" t="str">
        <x:v>WQ</x:v>
      </x:c>
    </x:row>
    <x:row r="729" ht="36" customHeight="1">
      <x:c r="A729" s="5" t="str">
        <x:v>R-0325</x:v>
      </x:c>
      <x:c r="B729" s="5" t="str">
        <x:v>Recht</x:v>
      </x:c>
      <x:c r="C729" s="11" t="n">
        <x:v>1</x:v>
      </x:c>
      <x:c r="D729" s="11" t="n">
        <x:f>COUNTIF('Einzel-ID-Zuordnung'!$A$7:$A$2692,A729)</x:f>
        <x:v>1</x:v>
      </x:c>
      <x:c r="E729" s="11" t="n">
        <x:f>D729-C729</x:f>
        <x:v>0</x:v>
      </x:c>
      <x:c r="F729" s="5" t="str">
        <x:v>ja</x:v>
      </x:c>
      <x:c r="G729" s="5" t="str">
        <x:v>WQ</x:v>
      </x:c>
    </x:row>
    <x:row r="730" ht="36" customHeight="1">
      <x:c r="A730" s="5" t="str">
        <x:v>R-0326</x:v>
      </x:c>
      <x:c r="B730" s="5" t="str">
        <x:v>Recht</x:v>
      </x:c>
      <x:c r="C730" s="11" t="n">
        <x:v>1</x:v>
      </x:c>
      <x:c r="D730" s="11" t="n">
        <x:f>COUNTIF('Einzel-ID-Zuordnung'!$A$7:$A$2692,A730)</x:f>
        <x:v>1</x:v>
      </x:c>
      <x:c r="E730" s="11" t="n">
        <x:f>D730-C730</x:f>
        <x:v>0</x:v>
      </x:c>
      <x:c r="F730" s="5" t="str">
        <x:v>ja</x:v>
      </x:c>
      <x:c r="G730" s="5" t="str">
        <x:v>WQ</x:v>
      </x:c>
    </x:row>
    <x:row r="731" ht="36" customHeight="1">
      <x:c r="A731" s="5" t="str">
        <x:v>R-0327</x:v>
      </x:c>
      <x:c r="B731" s="5" t="str">
        <x:v>Recht</x:v>
      </x:c>
      <x:c r="C731" s="11" t="n">
        <x:v>1</x:v>
      </x:c>
      <x:c r="D731" s="11" t="n">
        <x:f>COUNTIF('Einzel-ID-Zuordnung'!$A$7:$A$2692,A731)</x:f>
        <x:v>1</x:v>
      </x:c>
      <x:c r="E731" s="11" t="n">
        <x:f>D731-C731</x:f>
        <x:v>0</x:v>
      </x:c>
      <x:c r="F731" s="5" t="str">
        <x:v>ja</x:v>
      </x:c>
      <x:c r="G731" s="5" t="str">
        <x:v>WQ</x:v>
      </x:c>
    </x:row>
    <x:row r="732" ht="36" customHeight="1">
      <x:c r="A732" s="5" t="str">
        <x:v>R-0328</x:v>
      </x:c>
      <x:c r="B732" s="5" t="str">
        <x:v>Recht</x:v>
      </x:c>
      <x:c r="C732" s="11" t="n">
        <x:v>1</x:v>
      </x:c>
      <x:c r="D732" s="11" t="n">
        <x:f>COUNTIF('Einzel-ID-Zuordnung'!$A$7:$A$2692,A732)</x:f>
        <x:v>1</x:v>
      </x:c>
      <x:c r="E732" s="11" t="n">
        <x:f>D732-C732</x:f>
        <x:v>0</x:v>
      </x:c>
      <x:c r="F732" s="5" t="str">
        <x:v>ja</x:v>
      </x:c>
      <x:c r="G732" s="5" t="str">
        <x:v>WQ</x:v>
      </x:c>
    </x:row>
    <x:row r="733" ht="36" customHeight="1">
      <x:c r="A733" s="5" t="str">
        <x:v>R-0329</x:v>
      </x:c>
      <x:c r="B733" s="5" t="str">
        <x:v>Recht</x:v>
      </x:c>
      <x:c r="C733" s="11" t="n">
        <x:v>1</x:v>
      </x:c>
      <x:c r="D733" s="11" t="n">
        <x:f>COUNTIF('Einzel-ID-Zuordnung'!$A$7:$A$2692,A733)</x:f>
        <x:v>1</x:v>
      </x:c>
      <x:c r="E733" s="11" t="n">
        <x:f>D733-C733</x:f>
        <x:v>0</x:v>
      </x:c>
      <x:c r="F733" s="5" t="str">
        <x:v>ja</x:v>
      </x:c>
      <x:c r="G733" s="5" t="str">
        <x:v>WQ</x:v>
      </x:c>
    </x:row>
    <x:row r="734" ht="36" customHeight="1">
      <x:c r="A734" s="5" t="str">
        <x:v>R-0330</x:v>
      </x:c>
      <x:c r="B734" s="5" t="str">
        <x:v>Recht</x:v>
      </x:c>
      <x:c r="C734" s="11" t="n">
        <x:v>1</x:v>
      </x:c>
      <x:c r="D734" s="11" t="n">
        <x:f>COUNTIF('Einzel-ID-Zuordnung'!$A$7:$A$2692,A734)</x:f>
        <x:v>1</x:v>
      </x:c>
      <x:c r="E734" s="11" t="n">
        <x:f>D734-C734</x:f>
        <x:v>0</x:v>
      </x:c>
      <x:c r="F734" s="5" t="str">
        <x:v>ja</x:v>
      </x:c>
      <x:c r="G734" s="5" t="str">
        <x:v>WQ</x:v>
      </x:c>
    </x:row>
    <x:row r="735" ht="36" customHeight="1">
      <x:c r="A735" s="5" t="str">
        <x:v>R-0331</x:v>
      </x:c>
      <x:c r="B735" s="5" t="str">
        <x:v>Recht</x:v>
      </x:c>
      <x:c r="C735" s="11" t="n">
        <x:v>1</x:v>
      </x:c>
      <x:c r="D735" s="11" t="n">
        <x:f>COUNTIF('Einzel-ID-Zuordnung'!$A$7:$A$2692,A735)</x:f>
        <x:v>1</x:v>
      </x:c>
      <x:c r="E735" s="11" t="n">
        <x:f>D735-C735</x:f>
        <x:v>0</x:v>
      </x:c>
      <x:c r="F735" s="5" t="str">
        <x:v>ja</x:v>
      </x:c>
      <x:c r="G735" s="5" t="str">
        <x:v>WQ</x:v>
      </x:c>
    </x:row>
    <x:row r="736" ht="36" customHeight="1">
      <x:c r="A736" s="5" t="str">
        <x:v>R-0332</x:v>
      </x:c>
      <x:c r="B736" s="5" t="str">
        <x:v>Recht</x:v>
      </x:c>
      <x:c r="C736" s="11" t="n">
        <x:v>1</x:v>
      </x:c>
      <x:c r="D736" s="11" t="n">
        <x:f>COUNTIF('Einzel-ID-Zuordnung'!$A$7:$A$2692,A736)</x:f>
        <x:v>1</x:v>
      </x:c>
      <x:c r="E736" s="11" t="n">
        <x:f>D736-C736</x:f>
        <x:v>0</x:v>
      </x:c>
      <x:c r="F736" s="5" t="str">
        <x:v>ja</x:v>
      </x:c>
      <x:c r="G736" s="5" t="str">
        <x:v>WQ</x:v>
      </x:c>
    </x:row>
    <x:row r="737" ht="36" customHeight="1">
      <x:c r="A737" s="5" t="str">
        <x:v>R-0333</x:v>
      </x:c>
      <x:c r="B737" s="5" t="str">
        <x:v>Recht</x:v>
      </x:c>
      <x:c r="C737" s="11" t="n">
        <x:v>1</x:v>
      </x:c>
      <x:c r="D737" s="11" t="n">
        <x:f>COUNTIF('Einzel-ID-Zuordnung'!$A$7:$A$2692,A737)</x:f>
        <x:v>1</x:v>
      </x:c>
      <x:c r="E737" s="11" t="n">
        <x:f>D737-C737</x:f>
        <x:v>0</x:v>
      </x:c>
      <x:c r="F737" s="5" t="str">
        <x:v>ja</x:v>
      </x:c>
      <x:c r="G737" s="5" t="str">
        <x:v>WQ</x:v>
      </x:c>
    </x:row>
    <x:row r="738" ht="36" customHeight="1">
      <x:c r="A738" s="5" t="str">
        <x:v>R-0334</x:v>
      </x:c>
      <x:c r="B738" s="5" t="str">
        <x:v>Recht</x:v>
      </x:c>
      <x:c r="C738" s="11" t="n">
        <x:v>1</x:v>
      </x:c>
      <x:c r="D738" s="11" t="n">
        <x:f>COUNTIF('Einzel-ID-Zuordnung'!$A$7:$A$2692,A738)</x:f>
        <x:v>1</x:v>
      </x:c>
      <x:c r="E738" s="11" t="n">
        <x:f>D738-C738</x:f>
        <x:v>0</x:v>
      </x:c>
      <x:c r="F738" s="5" t="str">
        <x:v>ja</x:v>
      </x:c>
      <x:c r="G738" s="5" t="str">
        <x:v>WQ</x:v>
      </x:c>
    </x:row>
    <x:row r="739" ht="36" customHeight="1">
      <x:c r="A739" s="5" t="str">
        <x:v>R-0335</x:v>
      </x:c>
      <x:c r="B739" s="5" t="str">
        <x:v>Recht</x:v>
      </x:c>
      <x:c r="C739" s="11" t="n">
        <x:v>1</x:v>
      </x:c>
      <x:c r="D739" s="11" t="n">
        <x:f>COUNTIF('Einzel-ID-Zuordnung'!$A$7:$A$2692,A739)</x:f>
        <x:v>1</x:v>
      </x:c>
      <x:c r="E739" s="11" t="n">
        <x:f>D739-C739</x:f>
        <x:v>0</x:v>
      </x:c>
      <x:c r="F739" s="5" t="str">
        <x:v>ja</x:v>
      </x:c>
      <x:c r="G739" s="5" t="str">
        <x:v>WQ</x:v>
      </x:c>
    </x:row>
    <x:row r="740" ht="36" customHeight="1">
      <x:c r="A740" s="5" t="str">
        <x:v>R-0336</x:v>
      </x:c>
      <x:c r="B740" s="5" t="str">
        <x:v>Recht</x:v>
      </x:c>
      <x:c r="C740" s="11" t="n">
        <x:v>1</x:v>
      </x:c>
      <x:c r="D740" s="11" t="n">
        <x:f>COUNTIF('Einzel-ID-Zuordnung'!$A$7:$A$2692,A740)</x:f>
        <x:v>1</x:v>
      </x:c>
      <x:c r="E740" s="11" t="n">
        <x:f>D740-C740</x:f>
        <x:v>0</x:v>
      </x:c>
      <x:c r="F740" s="5" t="str">
        <x:v>ja</x:v>
      </x:c>
      <x:c r="G740" s="5" t="str">
        <x:v>WQ</x:v>
      </x:c>
    </x:row>
    <x:row r="741" ht="36" customHeight="1">
      <x:c r="A741" s="5" t="str">
        <x:v>R-0337</x:v>
      </x:c>
      <x:c r="B741" s="5" t="str">
        <x:v>Recht</x:v>
      </x:c>
      <x:c r="C741" s="11" t="n">
        <x:v>1</x:v>
      </x:c>
      <x:c r="D741" s="11" t="n">
        <x:f>COUNTIF('Einzel-ID-Zuordnung'!$A$7:$A$2692,A741)</x:f>
        <x:v>1</x:v>
      </x:c>
      <x:c r="E741" s="11" t="n">
        <x:f>D741-C741</x:f>
        <x:v>0</x:v>
      </x:c>
      <x:c r="F741" s="5" t="str">
        <x:v>ja</x:v>
      </x:c>
      <x:c r="G741" s="5" t="str">
        <x:v>WQ</x:v>
      </x:c>
    </x:row>
    <x:row r="742" ht="36" customHeight="1">
      <x:c r="A742" s="5" t="str">
        <x:v>R-0338</x:v>
      </x:c>
      <x:c r="B742" s="5" t="str">
        <x:v>Recht</x:v>
      </x:c>
      <x:c r="C742" s="11" t="n">
        <x:v>1</x:v>
      </x:c>
      <x:c r="D742" s="11" t="n">
        <x:f>COUNTIF('Einzel-ID-Zuordnung'!$A$7:$A$2692,A742)</x:f>
        <x:v>1</x:v>
      </x:c>
      <x:c r="E742" s="11" t="n">
        <x:f>D742-C742</x:f>
        <x:v>0</x:v>
      </x:c>
      <x:c r="F742" s="5" t="str">
        <x:v>ja</x:v>
      </x:c>
      <x:c r="G742" s="5" t="str">
        <x:v>WQ</x:v>
      </x:c>
    </x:row>
    <x:row r="743" ht="36" customHeight="1">
      <x:c r="A743" s="5" t="str">
        <x:v>R-0339</x:v>
      </x:c>
      <x:c r="B743" s="5" t="str">
        <x:v>Recht</x:v>
      </x:c>
      <x:c r="C743" s="11" t="n">
        <x:v>1</x:v>
      </x:c>
      <x:c r="D743" s="11" t="n">
        <x:f>COUNTIF('Einzel-ID-Zuordnung'!$A$7:$A$2692,A743)</x:f>
        <x:v>1</x:v>
      </x:c>
      <x:c r="E743" s="11" t="n">
        <x:f>D743-C743</x:f>
        <x:v>0</x:v>
      </x:c>
      <x:c r="F743" s="5" t="str">
        <x:v>ja</x:v>
      </x:c>
      <x:c r="G743" s="5" t="str">
        <x:v>WQ</x:v>
      </x:c>
    </x:row>
    <x:row r="744" ht="36" customHeight="1">
      <x:c r="A744" s="5" t="str">
        <x:v>R-0340</x:v>
      </x:c>
      <x:c r="B744" s="5" t="str">
        <x:v>Recht</x:v>
      </x:c>
      <x:c r="C744" s="11" t="n">
        <x:v>1</x:v>
      </x:c>
      <x:c r="D744" s="11" t="n">
        <x:f>COUNTIF('Einzel-ID-Zuordnung'!$A$7:$A$2692,A744)</x:f>
        <x:v>1</x:v>
      </x:c>
      <x:c r="E744" s="11" t="n">
        <x:f>D744-C744</x:f>
        <x:v>0</x:v>
      </x:c>
      <x:c r="F744" s="5" t="str">
        <x:v>ja</x:v>
      </x:c>
      <x:c r="G744" s="5" t="str">
        <x:v>WQ</x:v>
      </x:c>
    </x:row>
    <x:row r="745" ht="36" customHeight="1">
      <x:c r="A745" s="5" t="str">
        <x:v>R-0341</x:v>
      </x:c>
      <x:c r="B745" s="5" t="str">
        <x:v>Recht</x:v>
      </x:c>
      <x:c r="C745" s="11" t="n">
        <x:v>1</x:v>
      </x:c>
      <x:c r="D745" s="11" t="n">
        <x:f>COUNTIF('Einzel-ID-Zuordnung'!$A$7:$A$2692,A745)</x:f>
        <x:v>1</x:v>
      </x:c>
      <x:c r="E745" s="11" t="n">
        <x:f>D745-C745</x:f>
        <x:v>0</x:v>
      </x:c>
      <x:c r="F745" s="5" t="str">
        <x:v>ja</x:v>
      </x:c>
      <x:c r="G745" s="5" t="str">
        <x:v>WQ</x:v>
      </x:c>
    </x:row>
    <x:row r="746" ht="36" customHeight="1">
      <x:c r="A746" s="5" t="str">
        <x:v>R-0342</x:v>
      </x:c>
      <x:c r="B746" s="5" t="str">
        <x:v>Recht</x:v>
      </x:c>
      <x:c r="C746" s="11" t="n">
        <x:v>1</x:v>
      </x:c>
      <x:c r="D746" s="11" t="n">
        <x:f>COUNTIF('Einzel-ID-Zuordnung'!$A$7:$A$2692,A746)</x:f>
        <x:v>1</x:v>
      </x:c>
      <x:c r="E746" s="11" t="n">
        <x:f>D746-C746</x:f>
        <x:v>0</x:v>
      </x:c>
      <x:c r="F746" s="5" t="str">
        <x:v>ja</x:v>
      </x:c>
      <x:c r="G746" s="5" t="str">
        <x:v>WQ</x:v>
      </x:c>
    </x:row>
    <x:row r="747" ht="36" customHeight="1">
      <x:c r="A747" s="5" t="str">
        <x:v>R-0343</x:v>
      </x:c>
      <x:c r="B747" s="5" t="str">
        <x:v>Recht</x:v>
      </x:c>
      <x:c r="C747" s="11" t="n">
        <x:v>1</x:v>
      </x:c>
      <x:c r="D747" s="11" t="n">
        <x:f>COUNTIF('Einzel-ID-Zuordnung'!$A$7:$A$2692,A747)</x:f>
        <x:v>1</x:v>
      </x:c>
      <x:c r="E747" s="11" t="n">
        <x:f>D747-C747</x:f>
        <x:v>0</x:v>
      </x:c>
      <x:c r="F747" s="5" t="str">
        <x:v>ja</x:v>
      </x:c>
      <x:c r="G747" s="5" t="str">
        <x:v>WQ</x:v>
      </x:c>
    </x:row>
    <x:row r="748" ht="36" customHeight="1">
      <x:c r="A748" s="5" t="str">
        <x:v>R-0344</x:v>
      </x:c>
      <x:c r="B748" s="5" t="str">
        <x:v>Recht</x:v>
      </x:c>
      <x:c r="C748" s="11" t="n">
        <x:v>1</x:v>
      </x:c>
      <x:c r="D748" s="11" t="n">
        <x:f>COUNTIF('Einzel-ID-Zuordnung'!$A$7:$A$2692,A748)</x:f>
        <x:v>1</x:v>
      </x:c>
      <x:c r="E748" s="11" t="n">
        <x:f>D748-C748</x:f>
        <x:v>0</x:v>
      </x:c>
      <x:c r="F748" s="5" t="str">
        <x:v>ja</x:v>
      </x:c>
      <x:c r="G748" s="5" t="str">
        <x:v>WQ</x:v>
      </x:c>
    </x:row>
    <x:row r="749" ht="36" customHeight="1">
      <x:c r="A749" s="5" t="str">
        <x:v>R-0345</x:v>
      </x:c>
      <x:c r="B749" s="5" t="str">
        <x:v>Recht</x:v>
      </x:c>
      <x:c r="C749" s="11" t="n">
        <x:v>1</x:v>
      </x:c>
      <x:c r="D749" s="11" t="n">
        <x:f>COUNTIF('Einzel-ID-Zuordnung'!$A$7:$A$2692,A749)</x:f>
        <x:v>1</x:v>
      </x:c>
      <x:c r="E749" s="11" t="n">
        <x:f>D749-C749</x:f>
        <x:v>0</x:v>
      </x:c>
      <x:c r="F749" s="5" t="str">
        <x:v>ja</x:v>
      </x:c>
      <x:c r="G749" s="5" t="str">
        <x:v>WQ</x:v>
      </x:c>
    </x:row>
    <x:row r="750" ht="36" customHeight="1">
      <x:c r="A750" s="5" t="str">
        <x:v>R-0346</x:v>
      </x:c>
      <x:c r="B750" s="5" t="str">
        <x:v>Recht</x:v>
      </x:c>
      <x:c r="C750" s="11" t="n">
        <x:v>1</x:v>
      </x:c>
      <x:c r="D750" s="11" t="n">
        <x:f>COUNTIF('Einzel-ID-Zuordnung'!$A$7:$A$2692,A750)</x:f>
        <x:v>1</x:v>
      </x:c>
      <x:c r="E750" s="11" t="n">
        <x:f>D750-C750</x:f>
        <x:v>0</x:v>
      </x:c>
      <x:c r="F750" s="5" t="str">
        <x:v>ja</x:v>
      </x:c>
      <x:c r="G750" s="5" t="str">
        <x:v>WQ</x:v>
      </x:c>
    </x:row>
    <x:row r="751" ht="36" customHeight="1">
      <x:c r="A751" s="5" t="str">
        <x:v>R-0347</x:v>
      </x:c>
      <x:c r="B751" s="5" t="str">
        <x:v>Recht</x:v>
      </x:c>
      <x:c r="C751" s="11" t="n">
        <x:v>1</x:v>
      </x:c>
      <x:c r="D751" s="11" t="n">
        <x:f>COUNTIF('Einzel-ID-Zuordnung'!$A$7:$A$2692,A751)</x:f>
        <x:v>1</x:v>
      </x:c>
      <x:c r="E751" s="11" t="n">
        <x:f>D751-C751</x:f>
        <x:v>0</x:v>
      </x:c>
      <x:c r="F751" s="5" t="str">
        <x:v>ja</x:v>
      </x:c>
      <x:c r="G751" s="5" t="str">
        <x:v>WQ</x:v>
      </x:c>
    </x:row>
    <x:row r="752" ht="36" customHeight="1">
      <x:c r="A752" s="5" t="str">
        <x:v>R-0348</x:v>
      </x:c>
      <x:c r="B752" s="5" t="str">
        <x:v>Recht</x:v>
      </x:c>
      <x:c r="C752" s="11" t="n">
        <x:v>1</x:v>
      </x:c>
      <x:c r="D752" s="11" t="n">
        <x:f>COUNTIF('Einzel-ID-Zuordnung'!$A$7:$A$2692,A752)</x:f>
        <x:v>1</x:v>
      </x:c>
      <x:c r="E752" s="11" t="n">
        <x:f>D752-C752</x:f>
        <x:v>0</x:v>
      </x:c>
      <x:c r="F752" s="5" t="str">
        <x:v>ja</x:v>
      </x:c>
      <x:c r="G752" s="5" t="str">
        <x:v>WQ</x:v>
      </x:c>
    </x:row>
    <x:row r="753" ht="36" customHeight="1">
      <x:c r="A753" s="5" t="str">
        <x:v>R-0349</x:v>
      </x:c>
      <x:c r="B753" s="5" t="str">
        <x:v>Recht</x:v>
      </x:c>
      <x:c r="C753" s="11" t="n">
        <x:v>1</x:v>
      </x:c>
      <x:c r="D753" s="11" t="n">
        <x:f>COUNTIF('Einzel-ID-Zuordnung'!$A$7:$A$2692,A753)</x:f>
        <x:v>1</x:v>
      </x:c>
      <x:c r="E753" s="11" t="n">
        <x:f>D753-C753</x:f>
        <x:v>0</x:v>
      </x:c>
      <x:c r="F753" s="5" t="str">
        <x:v>ja</x:v>
      </x:c>
      <x:c r="G753" s="5" t="str">
        <x:v>WQ</x:v>
      </x:c>
    </x:row>
    <x:row r="754" ht="36" customHeight="1">
      <x:c r="A754" s="5" t="str">
        <x:v>R-0350</x:v>
      </x:c>
      <x:c r="B754" s="5" t="str">
        <x:v>Recht</x:v>
      </x:c>
      <x:c r="C754" s="11" t="n">
        <x:v>1</x:v>
      </x:c>
      <x:c r="D754" s="11" t="n">
        <x:f>COUNTIF('Einzel-ID-Zuordnung'!$A$7:$A$2692,A754)</x:f>
        <x:v>1</x:v>
      </x:c>
      <x:c r="E754" s="11" t="n">
        <x:f>D754-C754</x:f>
        <x:v>0</x:v>
      </x:c>
      <x:c r="F754" s="5" t="str">
        <x:v>ja</x:v>
      </x:c>
      <x:c r="G754" s="5" t="str">
        <x:v>WQ</x:v>
      </x:c>
    </x:row>
    <x:row r="755" ht="36" customHeight="1">
      <x:c r="A755" s="5" t="str">
        <x:v>R-0351</x:v>
      </x:c>
      <x:c r="B755" s="5" t="str">
        <x:v>Recht</x:v>
      </x:c>
      <x:c r="C755" s="11" t="n">
        <x:v>1</x:v>
      </x:c>
      <x:c r="D755" s="11" t="n">
        <x:f>COUNTIF('Einzel-ID-Zuordnung'!$A$7:$A$2692,A755)</x:f>
        <x:v>1</x:v>
      </x:c>
      <x:c r="E755" s="11" t="n">
        <x:f>D755-C755</x:f>
        <x:v>0</x:v>
      </x:c>
      <x:c r="F755" s="5" t="str">
        <x:v>ja</x:v>
      </x:c>
      <x:c r="G755" s="5" t="str">
        <x:v>WQ</x:v>
      </x:c>
    </x:row>
    <x:row r="756" ht="36" customHeight="1">
      <x:c r="A756" s="5" t="str">
        <x:v>R-0352</x:v>
      </x:c>
      <x:c r="B756" s="5" t="str">
        <x:v>Recht</x:v>
      </x:c>
      <x:c r="C756" s="11" t="n">
        <x:v>1</x:v>
      </x:c>
      <x:c r="D756" s="11" t="n">
        <x:f>COUNTIF('Einzel-ID-Zuordnung'!$A$7:$A$2692,A756)</x:f>
        <x:v>1</x:v>
      </x:c>
      <x:c r="E756" s="11" t="n">
        <x:f>D756-C756</x:f>
        <x:v>0</x:v>
      </x:c>
      <x:c r="F756" s="5" t="str">
        <x:v>ja</x:v>
      </x:c>
      <x:c r="G756" s="5" t="str">
        <x:v>WQ</x:v>
      </x:c>
    </x:row>
    <x:row r="757" ht="36" customHeight="1">
      <x:c r="A757" s="5" t="str">
        <x:v>R-0353</x:v>
      </x:c>
      <x:c r="B757" s="5" t="str">
        <x:v>Recht</x:v>
      </x:c>
      <x:c r="C757" s="11" t="n">
        <x:v>1</x:v>
      </x:c>
      <x:c r="D757" s="11" t="n">
        <x:f>COUNTIF('Einzel-ID-Zuordnung'!$A$7:$A$2692,A757)</x:f>
        <x:v>1</x:v>
      </x:c>
      <x:c r="E757" s="11" t="n">
        <x:f>D757-C757</x:f>
        <x:v>0</x:v>
      </x:c>
      <x:c r="F757" s="5" t="str">
        <x:v>ja</x:v>
      </x:c>
      <x:c r="G757" s="5" t="str">
        <x:v>WQ</x:v>
      </x:c>
    </x:row>
    <x:row r="758" ht="36" customHeight="1">
      <x:c r="A758" s="5" t="str">
        <x:v>R-0354</x:v>
      </x:c>
      <x:c r="B758" s="5" t="str">
        <x:v>Recht</x:v>
      </x:c>
      <x:c r="C758" s="11" t="n">
        <x:v>1</x:v>
      </x:c>
      <x:c r="D758" s="11" t="n">
        <x:f>COUNTIF('Einzel-ID-Zuordnung'!$A$7:$A$2692,A758)</x:f>
        <x:v>1</x:v>
      </x:c>
      <x:c r="E758" s="11" t="n">
        <x:f>D758-C758</x:f>
        <x:v>0</x:v>
      </x:c>
      <x:c r="F758" s="5" t="str">
        <x:v>ja</x:v>
      </x:c>
      <x:c r="G758" s="5" t="str">
        <x:v>WQ</x:v>
      </x:c>
    </x:row>
    <x:row r="759" ht="36" customHeight="1">
      <x:c r="A759" s="5" t="str">
        <x:v>R-0355</x:v>
      </x:c>
      <x:c r="B759" s="5" t="str">
        <x:v>Recht</x:v>
      </x:c>
      <x:c r="C759" s="11" t="n">
        <x:v>1</x:v>
      </x:c>
      <x:c r="D759" s="11" t="n">
        <x:f>COUNTIF('Einzel-ID-Zuordnung'!$A$7:$A$2692,A759)</x:f>
        <x:v>1</x:v>
      </x:c>
      <x:c r="E759" s="11" t="n">
        <x:f>D759-C759</x:f>
        <x:v>0</x:v>
      </x:c>
      <x:c r="F759" s="5" t="str">
        <x:v>ja</x:v>
      </x:c>
      <x:c r="G759" s="5" t="str">
        <x:v>WQ</x:v>
      </x:c>
    </x:row>
    <x:row r="760" ht="36" customHeight="1">
      <x:c r="A760" s="5" t="str">
        <x:v>R-0356</x:v>
      </x:c>
      <x:c r="B760" s="5" t="str">
        <x:v>Recht</x:v>
      </x:c>
      <x:c r="C760" s="11" t="n">
        <x:v>1</x:v>
      </x:c>
      <x:c r="D760" s="11" t="n">
        <x:f>COUNTIF('Einzel-ID-Zuordnung'!$A$7:$A$2692,A760)</x:f>
        <x:v>1</x:v>
      </x:c>
      <x:c r="E760" s="11" t="n">
        <x:f>D760-C760</x:f>
        <x:v>0</x:v>
      </x:c>
      <x:c r="F760" s="5" t="str">
        <x:v>ja</x:v>
      </x:c>
      <x:c r="G760" s="5" t="str">
        <x:v>WQ</x:v>
      </x:c>
    </x:row>
    <x:row r="761" ht="36" customHeight="1">
      <x:c r="A761" s="5" t="str">
        <x:v>R-0357</x:v>
      </x:c>
      <x:c r="B761" s="5" t="str">
        <x:v>Recht</x:v>
      </x:c>
      <x:c r="C761" s="11" t="n">
        <x:v>1</x:v>
      </x:c>
      <x:c r="D761" s="11" t="n">
        <x:f>COUNTIF('Einzel-ID-Zuordnung'!$A$7:$A$2692,A761)</x:f>
        <x:v>1</x:v>
      </x:c>
      <x:c r="E761" s="11" t="n">
        <x:f>D761-C761</x:f>
        <x:v>0</x:v>
      </x:c>
      <x:c r="F761" s="5" t="str">
        <x:v>ja</x:v>
      </x:c>
      <x:c r="G761" s="5" t="str">
        <x:v>WQ</x:v>
      </x:c>
    </x:row>
    <x:row r="762" ht="36" customHeight="1">
      <x:c r="A762" s="5" t="str">
        <x:v>R-0358</x:v>
      </x:c>
      <x:c r="B762" s="5" t="str">
        <x:v>Recht</x:v>
      </x:c>
      <x:c r="C762" s="11" t="n">
        <x:v>1</x:v>
      </x:c>
      <x:c r="D762" s="11" t="n">
        <x:f>COUNTIF('Einzel-ID-Zuordnung'!$A$7:$A$2692,A762)</x:f>
        <x:v>1</x:v>
      </x:c>
      <x:c r="E762" s="11" t="n">
        <x:f>D762-C762</x:f>
        <x:v>0</x:v>
      </x:c>
      <x:c r="F762" s="5" t="str">
        <x:v>ja</x:v>
      </x:c>
      <x:c r="G762" s="5" t="str">
        <x:v>WQ</x:v>
      </x:c>
    </x:row>
    <x:row r="763" ht="36" customHeight="1">
      <x:c r="A763" s="5" t="str">
        <x:v>R-0359</x:v>
      </x:c>
      <x:c r="B763" s="5" t="str">
        <x:v>Recht</x:v>
      </x:c>
      <x:c r="C763" s="11" t="n">
        <x:v>1</x:v>
      </x:c>
      <x:c r="D763" s="11" t="n">
        <x:f>COUNTIF('Einzel-ID-Zuordnung'!$A$7:$A$2692,A763)</x:f>
        <x:v>1</x:v>
      </x:c>
      <x:c r="E763" s="11" t="n">
        <x:f>D763-C763</x:f>
        <x:v>0</x:v>
      </x:c>
      <x:c r="F763" s="5" t="str">
        <x:v>ja</x:v>
      </x:c>
      <x:c r="G763" s="5" t="str">
        <x:v>WQ</x:v>
      </x:c>
    </x:row>
    <x:row r="764" ht="36" customHeight="1">
      <x:c r="A764" s="5" t="str">
        <x:v>R-0360</x:v>
      </x:c>
      <x:c r="B764" s="5" t="str">
        <x:v>Recht</x:v>
      </x:c>
      <x:c r="C764" s="11" t="n">
        <x:v>1</x:v>
      </x:c>
      <x:c r="D764" s="11" t="n">
        <x:f>COUNTIF('Einzel-ID-Zuordnung'!$A$7:$A$2692,A764)</x:f>
        <x:v>1</x:v>
      </x:c>
      <x:c r="E764" s="11" t="n">
        <x:f>D764-C764</x:f>
        <x:v>0</x:v>
      </x:c>
      <x:c r="F764" s="5" t="str">
        <x:v>ja</x:v>
      </x:c>
      <x:c r="G764" s="5" t="str">
        <x:v>WQ</x:v>
      </x:c>
    </x:row>
    <x:row r="765" ht="36" customHeight="1">
      <x:c r="A765" s="5" t="str">
        <x:v>R-0361</x:v>
      </x:c>
      <x:c r="B765" s="5" t="str">
        <x:v>Recht</x:v>
      </x:c>
      <x:c r="C765" s="11" t="n">
        <x:v>1</x:v>
      </x:c>
      <x:c r="D765" s="11" t="n">
        <x:f>COUNTIF('Einzel-ID-Zuordnung'!$A$7:$A$2692,A765)</x:f>
        <x:v>1</x:v>
      </x:c>
      <x:c r="E765" s="11" t="n">
        <x:f>D765-C765</x:f>
        <x:v>0</x:v>
      </x:c>
      <x:c r="F765" s="5" t="str">
        <x:v>ja</x:v>
      </x:c>
      <x:c r="G765" s="5" t="str">
        <x:v>WQ</x:v>
      </x:c>
    </x:row>
    <x:row r="766" ht="36" customHeight="1">
      <x:c r="A766" s="5" t="str">
        <x:v>R-0362</x:v>
      </x:c>
      <x:c r="B766" s="5" t="str">
        <x:v>Recht</x:v>
      </x:c>
      <x:c r="C766" s="11" t="n">
        <x:v>1</x:v>
      </x:c>
      <x:c r="D766" s="11" t="n">
        <x:f>COUNTIF('Einzel-ID-Zuordnung'!$A$7:$A$2692,A766)</x:f>
        <x:v>1</x:v>
      </x:c>
      <x:c r="E766" s="11" t="n">
        <x:f>D766-C766</x:f>
        <x:v>0</x:v>
      </x:c>
      <x:c r="F766" s="5" t="str">
        <x:v>ja</x:v>
      </x:c>
      <x:c r="G766" s="5" t="str">
        <x:v>WQ</x:v>
      </x:c>
    </x:row>
    <x:row r="767" ht="36" customHeight="1">
      <x:c r="A767" s="5" t="str">
        <x:v>R-0363</x:v>
      </x:c>
      <x:c r="B767" s="5" t="str">
        <x:v>Recht</x:v>
      </x:c>
      <x:c r="C767" s="11" t="n">
        <x:v>1</x:v>
      </x:c>
      <x:c r="D767" s="11" t="n">
        <x:f>COUNTIF('Einzel-ID-Zuordnung'!$A$7:$A$2692,A767)</x:f>
        <x:v>1</x:v>
      </x:c>
      <x:c r="E767" s="11" t="n">
        <x:f>D767-C767</x:f>
        <x:v>0</x:v>
      </x:c>
      <x:c r="F767" s="5" t="str">
        <x:v>ja</x:v>
      </x:c>
      <x:c r="G767" s="5" t="str">
        <x:v>WQ</x:v>
      </x:c>
    </x:row>
    <x:row r="768" ht="36" customHeight="1">
      <x:c r="A768" s="5" t="str">
        <x:v>R-0364</x:v>
      </x:c>
      <x:c r="B768" s="5" t="str">
        <x:v>Recht</x:v>
      </x:c>
      <x:c r="C768" s="11" t="n">
        <x:v>1</x:v>
      </x:c>
      <x:c r="D768" s="11" t="n">
        <x:f>COUNTIF('Einzel-ID-Zuordnung'!$A$7:$A$2692,A768)</x:f>
        <x:v>1</x:v>
      </x:c>
      <x:c r="E768" s="11" t="n">
        <x:f>D768-C768</x:f>
        <x:v>0</x:v>
      </x:c>
      <x:c r="F768" s="5" t="str">
        <x:v>ja</x:v>
      </x:c>
      <x:c r="G768" s="5" t="str">
        <x:v>WQ</x:v>
      </x:c>
    </x:row>
    <x:row r="769" ht="36" customHeight="1">
      <x:c r="A769" s="5" t="str">
        <x:v>R-0365</x:v>
      </x:c>
      <x:c r="B769" s="5" t="str">
        <x:v>Recht</x:v>
      </x:c>
      <x:c r="C769" s="11" t="n">
        <x:v>1</x:v>
      </x:c>
      <x:c r="D769" s="11" t="n">
        <x:f>COUNTIF('Einzel-ID-Zuordnung'!$A$7:$A$2692,A769)</x:f>
        <x:v>1</x:v>
      </x:c>
      <x:c r="E769" s="11" t="n">
        <x:f>D769-C769</x:f>
        <x:v>0</x:v>
      </x:c>
      <x:c r="F769" s="5" t="str">
        <x:v>ja</x:v>
      </x:c>
      <x:c r="G769" s="5" t="str">
        <x:v>WQ</x:v>
      </x:c>
    </x:row>
    <x:row r="770" ht="36" customHeight="1">
      <x:c r="A770" s="5" t="str">
        <x:v>R-0366</x:v>
      </x:c>
      <x:c r="B770" s="5" t="str">
        <x:v>Recht</x:v>
      </x:c>
      <x:c r="C770" s="11" t="n">
        <x:v>1</x:v>
      </x:c>
      <x:c r="D770" s="11" t="n">
        <x:f>COUNTIF('Einzel-ID-Zuordnung'!$A$7:$A$2692,A770)</x:f>
        <x:v>1</x:v>
      </x:c>
      <x:c r="E770" s="11" t="n">
        <x:f>D770-C770</x:f>
        <x:v>0</x:v>
      </x:c>
      <x:c r="F770" s="5" t="str">
        <x:v>ja</x:v>
      </x:c>
      <x:c r="G770" s="5" t="str">
        <x:v>WQ</x:v>
      </x:c>
    </x:row>
    <x:row r="771" ht="36" customHeight="1">
      <x:c r="A771" s="5" t="str">
        <x:v>R-0367</x:v>
      </x:c>
      <x:c r="B771" s="5" t="str">
        <x:v>Recht</x:v>
      </x:c>
      <x:c r="C771" s="11" t="n">
        <x:v>1</x:v>
      </x:c>
      <x:c r="D771" s="11" t="n">
        <x:f>COUNTIF('Einzel-ID-Zuordnung'!$A$7:$A$2692,A771)</x:f>
        <x:v>1</x:v>
      </x:c>
      <x:c r="E771" s="11" t="n">
        <x:f>D771-C771</x:f>
        <x:v>0</x:v>
      </x:c>
      <x:c r="F771" s="5" t="str">
        <x:v>ja</x:v>
      </x:c>
      <x:c r="G771" s="5" t="str">
        <x:v>WQ</x:v>
      </x:c>
    </x:row>
    <x:row r="772" ht="36" customHeight="1">
      <x:c r="A772" s="5" t="str">
        <x:v>R-0368</x:v>
      </x:c>
      <x:c r="B772" s="5" t="str">
        <x:v>Recht</x:v>
      </x:c>
      <x:c r="C772" s="11" t="n">
        <x:v>1</x:v>
      </x:c>
      <x:c r="D772" s="11" t="n">
        <x:f>COUNTIF('Einzel-ID-Zuordnung'!$A$7:$A$2692,A772)</x:f>
        <x:v>1</x:v>
      </x:c>
      <x:c r="E772" s="11" t="n">
        <x:f>D772-C772</x:f>
        <x:v>0</x:v>
      </x:c>
      <x:c r="F772" s="5" t="str">
        <x:v>ja</x:v>
      </x:c>
      <x:c r="G772" s="5" t="str">
        <x:v>WQ</x:v>
      </x:c>
    </x:row>
    <x:row r="773" ht="36" customHeight="1">
      <x:c r="A773" s="5" t="str">
        <x:v>R-0369</x:v>
      </x:c>
      <x:c r="B773" s="5" t="str">
        <x:v>Recht</x:v>
      </x:c>
      <x:c r="C773" s="11" t="n">
        <x:v>1</x:v>
      </x:c>
      <x:c r="D773" s="11" t="n">
        <x:f>COUNTIF('Einzel-ID-Zuordnung'!$A$7:$A$2692,A773)</x:f>
        <x:v>1</x:v>
      </x:c>
      <x:c r="E773" s="11" t="n">
        <x:f>D773-C773</x:f>
        <x:v>0</x:v>
      </x:c>
      <x:c r="F773" s="5" t="str">
        <x:v>ja</x:v>
      </x:c>
      <x:c r="G773" s="5" t="str">
        <x:v>WQ</x:v>
      </x:c>
    </x:row>
    <x:row r="774" ht="36" customHeight="1">
      <x:c r="A774" s="5" t="str">
        <x:v>R-0370</x:v>
      </x:c>
      <x:c r="B774" s="5" t="str">
        <x:v>Recht</x:v>
      </x:c>
      <x:c r="C774" s="11" t="n">
        <x:v>1</x:v>
      </x:c>
      <x:c r="D774" s="11" t="n">
        <x:f>COUNTIF('Einzel-ID-Zuordnung'!$A$7:$A$2692,A774)</x:f>
        <x:v>1</x:v>
      </x:c>
      <x:c r="E774" s="11" t="n">
        <x:f>D774-C774</x:f>
        <x:v>0</x:v>
      </x:c>
      <x:c r="F774" s="5" t="str">
        <x:v>ja</x:v>
      </x:c>
      <x:c r="G774" s="5" t="str">
        <x:v>WQ</x:v>
      </x:c>
    </x:row>
    <x:row r="775" ht="36" customHeight="1">
      <x:c r="A775" s="5" t="str">
        <x:v>R-0371</x:v>
      </x:c>
      <x:c r="B775" s="5" t="str">
        <x:v>Recht</x:v>
      </x:c>
      <x:c r="C775" s="11" t="n">
        <x:v>1</x:v>
      </x:c>
      <x:c r="D775" s="11" t="n">
        <x:f>COUNTIF('Einzel-ID-Zuordnung'!$A$7:$A$2692,A775)</x:f>
        <x:v>1</x:v>
      </x:c>
      <x:c r="E775" s="11" t="n">
        <x:f>D775-C775</x:f>
        <x:v>0</x:v>
      </x:c>
      <x:c r="F775" s="5" t="str">
        <x:v>ja</x:v>
      </x:c>
      <x:c r="G775" s="5" t="str">
        <x:v>WQ</x:v>
      </x:c>
    </x:row>
    <x:row r="776" ht="36" customHeight="1">
      <x:c r="A776" s="5" t="str">
        <x:v>R-0372</x:v>
      </x:c>
      <x:c r="B776" s="5" t="str">
        <x:v>Recht</x:v>
      </x:c>
      <x:c r="C776" s="11" t="n">
        <x:v>1</x:v>
      </x:c>
      <x:c r="D776" s="11" t="n">
        <x:f>COUNTIF('Einzel-ID-Zuordnung'!$A$7:$A$2692,A776)</x:f>
        <x:v>1</x:v>
      </x:c>
      <x:c r="E776" s="11" t="n">
        <x:f>D776-C776</x:f>
        <x:v>0</x:v>
      </x:c>
      <x:c r="F776" s="5" t="str">
        <x:v>ja</x:v>
      </x:c>
      <x:c r="G776" s="5" t="str">
        <x:v>WQ</x:v>
      </x:c>
    </x:row>
    <x:row r="777" ht="36" customHeight="1">
      <x:c r="A777" s="5" t="str">
        <x:v>R-0373</x:v>
      </x:c>
      <x:c r="B777" s="5" t="str">
        <x:v>Recht</x:v>
      </x:c>
      <x:c r="C777" s="11" t="n">
        <x:v>1</x:v>
      </x:c>
      <x:c r="D777" s="11" t="n">
        <x:f>COUNTIF('Einzel-ID-Zuordnung'!$A$7:$A$2692,A777)</x:f>
        <x:v>1</x:v>
      </x:c>
      <x:c r="E777" s="11" t="n">
        <x:f>D777-C777</x:f>
        <x:v>0</x:v>
      </x:c>
      <x:c r="F777" s="5" t="str">
        <x:v>ja</x:v>
      </x:c>
      <x:c r="G777" s="5" t="str">
        <x:v>WQ</x:v>
      </x:c>
    </x:row>
    <x:row r="778" ht="36" customHeight="1">
      <x:c r="A778" s="5" t="str">
        <x:v>R-0374</x:v>
      </x:c>
      <x:c r="B778" s="5" t="str">
        <x:v>Recht</x:v>
      </x:c>
      <x:c r="C778" s="11" t="n">
        <x:v>1</x:v>
      </x:c>
      <x:c r="D778" s="11" t="n">
        <x:f>COUNTIF('Einzel-ID-Zuordnung'!$A$7:$A$2692,A778)</x:f>
        <x:v>1</x:v>
      </x:c>
      <x:c r="E778" s="11" t="n">
        <x:f>D778-C778</x:f>
        <x:v>0</x:v>
      </x:c>
      <x:c r="F778" s="5" t="str">
        <x:v>ja</x:v>
      </x:c>
      <x:c r="G778" s="5" t="str">
        <x:v>WQ</x:v>
      </x:c>
    </x:row>
    <x:row r="779" ht="36" customHeight="1">
      <x:c r="A779" s="5" t="str">
        <x:v>R-0375</x:v>
      </x:c>
      <x:c r="B779" s="5" t="str">
        <x:v>Recht</x:v>
      </x:c>
      <x:c r="C779" s="11" t="n">
        <x:v>1</x:v>
      </x:c>
      <x:c r="D779" s="11" t="n">
        <x:f>COUNTIF('Einzel-ID-Zuordnung'!$A$7:$A$2692,A779)</x:f>
        <x:v>1</x:v>
      </x:c>
      <x:c r="E779" s="11" t="n">
        <x:f>D779-C779</x:f>
        <x:v>0</x:v>
      </x:c>
      <x:c r="F779" s="5" t="str">
        <x:v>ja</x:v>
      </x:c>
      <x:c r="G779" s="5" t="str">
        <x:v>WQ</x:v>
      </x:c>
    </x:row>
    <x:row r="780" ht="36" customHeight="1">
      <x:c r="A780" s="5" t="str">
        <x:v>R-0376</x:v>
      </x:c>
      <x:c r="B780" s="5" t="str">
        <x:v>Recht</x:v>
      </x:c>
      <x:c r="C780" s="11" t="n">
        <x:v>1</x:v>
      </x:c>
      <x:c r="D780" s="11" t="n">
        <x:f>COUNTIF('Einzel-ID-Zuordnung'!$A$7:$A$2692,A780)</x:f>
        <x:v>1</x:v>
      </x:c>
      <x:c r="E780" s="11" t="n">
        <x:f>D780-C780</x:f>
        <x:v>0</x:v>
      </x:c>
      <x:c r="F780" s="5" t="str">
        <x:v>ja</x:v>
      </x:c>
      <x:c r="G780" s="5" t="str">
        <x:v>WQ</x:v>
      </x:c>
    </x:row>
    <x:row r="781" ht="36" customHeight="1">
      <x:c r="A781" s="5" t="str">
        <x:v>R-0377</x:v>
      </x:c>
      <x:c r="B781" s="5" t="str">
        <x:v>Recht</x:v>
      </x:c>
      <x:c r="C781" s="11" t="n">
        <x:v>1</x:v>
      </x:c>
      <x:c r="D781" s="11" t="n">
        <x:f>COUNTIF('Einzel-ID-Zuordnung'!$A$7:$A$2692,A781)</x:f>
        <x:v>1</x:v>
      </x:c>
      <x:c r="E781" s="11" t="n">
        <x:f>D781-C781</x:f>
        <x:v>0</x:v>
      </x:c>
      <x:c r="F781" s="5" t="str">
        <x:v>ja</x:v>
      </x:c>
      <x:c r="G781" s="5" t="str">
        <x:v>WQ</x:v>
      </x:c>
    </x:row>
    <x:row r="782" ht="36" customHeight="1">
      <x:c r="A782" s="5" t="str">
        <x:v>R-0378</x:v>
      </x:c>
      <x:c r="B782" s="5" t="str">
        <x:v>Recht</x:v>
      </x:c>
      <x:c r="C782" s="11" t="n">
        <x:v>1</x:v>
      </x:c>
      <x:c r="D782" s="11" t="n">
        <x:f>COUNTIF('Einzel-ID-Zuordnung'!$A$7:$A$2692,A782)</x:f>
        <x:v>1</x:v>
      </x:c>
      <x:c r="E782" s="11" t="n">
        <x:f>D782-C782</x:f>
        <x:v>0</x:v>
      </x:c>
      <x:c r="F782" s="5" t="str">
        <x:v>ja</x:v>
      </x:c>
      <x:c r="G782" s="5" t="str">
        <x:v>WQ</x:v>
      </x:c>
    </x:row>
    <x:row r="783" ht="36" customHeight="1">
      <x:c r="A783" s="5" t="str">
        <x:v>R-0379</x:v>
      </x:c>
      <x:c r="B783" s="5" t="str">
        <x:v>Recht</x:v>
      </x:c>
      <x:c r="C783" s="11" t="n">
        <x:v>1</x:v>
      </x:c>
      <x:c r="D783" s="11" t="n">
        <x:f>COUNTIF('Einzel-ID-Zuordnung'!$A$7:$A$2692,A783)</x:f>
        <x:v>1</x:v>
      </x:c>
      <x:c r="E783" s="11" t="n">
        <x:f>D783-C783</x:f>
        <x:v>0</x:v>
      </x:c>
      <x:c r="F783" s="5" t="str">
        <x:v>ja</x:v>
      </x:c>
      <x:c r="G783" s="5" t="str">
        <x:v>WQ</x:v>
      </x:c>
    </x:row>
    <x:row r="784" ht="36" customHeight="1">
      <x:c r="A784" s="5" t="str">
        <x:v>R-0380</x:v>
      </x:c>
      <x:c r="B784" s="5" t="str">
        <x:v>Recht</x:v>
      </x:c>
      <x:c r="C784" s="11" t="n">
        <x:v>1</x:v>
      </x:c>
      <x:c r="D784" s="11" t="n">
        <x:f>COUNTIF('Einzel-ID-Zuordnung'!$A$7:$A$2692,A784)</x:f>
        <x:v>1</x:v>
      </x:c>
      <x:c r="E784" s="11" t="n">
        <x:f>D784-C784</x:f>
        <x:v>0</x:v>
      </x:c>
      <x:c r="F784" s="5" t="str">
        <x:v>ja</x:v>
      </x:c>
      <x:c r="G784" s="5" t="str">
        <x:v>WQ</x:v>
      </x:c>
    </x:row>
    <x:row r="785" ht="36" customHeight="1">
      <x:c r="A785" s="5" t="str">
        <x:v>R-0381</x:v>
      </x:c>
      <x:c r="B785" s="5" t="str">
        <x:v>Recht</x:v>
      </x:c>
      <x:c r="C785" s="11" t="n">
        <x:v>1</x:v>
      </x:c>
      <x:c r="D785" s="11" t="n">
        <x:f>COUNTIF('Einzel-ID-Zuordnung'!$A$7:$A$2692,A785)</x:f>
        <x:v>1</x:v>
      </x:c>
      <x:c r="E785" s="11" t="n">
        <x:f>D785-C785</x:f>
        <x:v>0</x:v>
      </x:c>
      <x:c r="F785" s="5" t="str">
        <x:v>ja</x:v>
      </x:c>
      <x:c r="G785" s="5" t="str">
        <x:v>WQ</x:v>
      </x:c>
    </x:row>
    <x:row r="786" ht="36" customHeight="1">
      <x:c r="A786" s="5" t="str">
        <x:v>R-0382</x:v>
      </x:c>
      <x:c r="B786" s="5" t="str">
        <x:v>Recht</x:v>
      </x:c>
      <x:c r="C786" s="11" t="n">
        <x:v>1</x:v>
      </x:c>
      <x:c r="D786" s="11" t="n">
        <x:f>COUNTIF('Einzel-ID-Zuordnung'!$A$7:$A$2692,A786)</x:f>
        <x:v>1</x:v>
      </x:c>
      <x:c r="E786" s="11" t="n">
        <x:f>D786-C786</x:f>
        <x:v>0</x:v>
      </x:c>
      <x:c r="F786" s="5" t="str">
        <x:v>ja</x:v>
      </x:c>
      <x:c r="G786" s="5" t="str">
        <x:v>WQ</x:v>
      </x:c>
    </x:row>
    <x:row r="787" ht="36" customHeight="1">
      <x:c r="A787" s="5" t="str">
        <x:v>R-0383</x:v>
      </x:c>
      <x:c r="B787" s="5" t="str">
        <x:v>Recht</x:v>
      </x:c>
      <x:c r="C787" s="11" t="n">
        <x:v>1</x:v>
      </x:c>
      <x:c r="D787" s="11" t="n">
        <x:f>COUNTIF('Einzel-ID-Zuordnung'!$A$7:$A$2692,A787)</x:f>
        <x:v>1</x:v>
      </x:c>
      <x:c r="E787" s="11" t="n">
        <x:f>D787-C787</x:f>
        <x:v>0</x:v>
      </x:c>
      <x:c r="F787" s="5" t="str">
        <x:v>ja</x:v>
      </x:c>
      <x:c r="G787" s="5" t="str">
        <x:v>WQ</x:v>
      </x:c>
    </x:row>
    <x:row r="788" ht="36" customHeight="1">
      <x:c r="A788" s="5" t="str">
        <x:v>R-0384</x:v>
      </x:c>
      <x:c r="B788" s="5" t="str">
        <x:v>Recht</x:v>
      </x:c>
      <x:c r="C788" s="11" t="n">
        <x:v>1</x:v>
      </x:c>
      <x:c r="D788" s="11" t="n">
        <x:f>COUNTIF('Einzel-ID-Zuordnung'!$A$7:$A$2692,A788)</x:f>
        <x:v>1</x:v>
      </x:c>
      <x:c r="E788" s="11" t="n">
        <x:f>D788-C788</x:f>
        <x:v>0</x:v>
      </x:c>
      <x:c r="F788" s="5" t="str">
        <x:v>ja</x:v>
      </x:c>
      <x:c r="G788" s="5" t="str">
        <x:v>WQ</x:v>
      </x:c>
    </x:row>
    <x:row r="789" ht="36" customHeight="1">
      <x:c r="A789" s="5" t="str">
        <x:v>R-0385</x:v>
      </x:c>
      <x:c r="B789" s="5" t="str">
        <x:v>Recht</x:v>
      </x:c>
      <x:c r="C789" s="11" t="n">
        <x:v>1</x:v>
      </x:c>
      <x:c r="D789" s="11" t="n">
        <x:f>COUNTIF('Einzel-ID-Zuordnung'!$A$7:$A$2692,A789)</x:f>
        <x:v>1</x:v>
      </x:c>
      <x:c r="E789" s="11" t="n">
        <x:f>D789-C789</x:f>
        <x:v>0</x:v>
      </x:c>
      <x:c r="F789" s="5" t="str">
        <x:v>ja</x:v>
      </x:c>
      <x:c r="G789" s="5" t="str">
        <x:v>WQ</x:v>
      </x:c>
    </x:row>
    <x:row r="790" ht="36" customHeight="1">
      <x:c r="A790" s="5" t="str">
        <x:v>R-0386</x:v>
      </x:c>
      <x:c r="B790" s="5" t="str">
        <x:v>Recht</x:v>
      </x:c>
      <x:c r="C790" s="11" t="n">
        <x:v>1</x:v>
      </x:c>
      <x:c r="D790" s="11" t="n">
        <x:f>COUNTIF('Einzel-ID-Zuordnung'!$A$7:$A$2692,A790)</x:f>
        <x:v>1</x:v>
      </x:c>
      <x:c r="E790" s="11" t="n">
        <x:f>D790-C790</x:f>
        <x:v>0</x:v>
      </x:c>
      <x:c r="F790" s="5" t="str">
        <x:v>ja</x:v>
      </x:c>
      <x:c r="G790" s="5" t="str">
        <x:v>WQ</x:v>
      </x:c>
    </x:row>
    <x:row r="791" ht="36" customHeight="1">
      <x:c r="A791" s="5" t="str">
        <x:v>R-0387</x:v>
      </x:c>
      <x:c r="B791" s="5" t="str">
        <x:v>Recht</x:v>
      </x:c>
      <x:c r="C791" s="11" t="n">
        <x:v>1</x:v>
      </x:c>
      <x:c r="D791" s="11" t="n">
        <x:f>COUNTIF('Einzel-ID-Zuordnung'!$A$7:$A$2692,A791)</x:f>
        <x:v>1</x:v>
      </x:c>
      <x:c r="E791" s="11" t="n">
        <x:f>D791-C791</x:f>
        <x:v>0</x:v>
      </x:c>
      <x:c r="F791" s="5" t="str">
        <x:v>ja</x:v>
      </x:c>
      <x:c r="G791" s="5" t="str">
        <x:v>WQ</x:v>
      </x:c>
    </x:row>
    <x:row r="792" ht="36" customHeight="1">
      <x:c r="A792" s="5" t="str">
        <x:v>R-0388</x:v>
      </x:c>
      <x:c r="B792" s="5" t="str">
        <x:v>Recht</x:v>
      </x:c>
      <x:c r="C792" s="11" t="n">
        <x:v>1</x:v>
      </x:c>
      <x:c r="D792" s="11" t="n">
        <x:f>COUNTIF('Einzel-ID-Zuordnung'!$A$7:$A$2692,A792)</x:f>
        <x:v>1</x:v>
      </x:c>
      <x:c r="E792" s="11" t="n">
        <x:f>D792-C792</x:f>
        <x:v>0</x:v>
      </x:c>
      <x:c r="F792" s="5" t="str">
        <x:v>ja</x:v>
      </x:c>
      <x:c r="G792" s="5" t="str">
        <x:v>WQ</x:v>
      </x:c>
    </x:row>
    <x:row r="793" ht="36" customHeight="1">
      <x:c r="A793" s="5" t="str">
        <x:v>R-0389</x:v>
      </x:c>
      <x:c r="B793" s="5" t="str">
        <x:v>Recht</x:v>
      </x:c>
      <x:c r="C793" s="11" t="n">
        <x:v>1</x:v>
      </x:c>
      <x:c r="D793" s="11" t="n">
        <x:f>COUNTIF('Einzel-ID-Zuordnung'!$A$7:$A$2692,A793)</x:f>
        <x:v>1</x:v>
      </x:c>
      <x:c r="E793" s="11" t="n">
        <x:f>D793-C793</x:f>
        <x:v>0</x:v>
      </x:c>
      <x:c r="F793" s="5" t="str">
        <x:v>ja</x:v>
      </x:c>
      <x:c r="G793" s="5" t="str">
        <x:v>WQ</x:v>
      </x:c>
    </x:row>
    <x:row r="794" ht="36" customHeight="1">
      <x:c r="A794" s="5" t="str">
        <x:v>R-0390</x:v>
      </x:c>
      <x:c r="B794" s="5" t="str">
        <x:v>Recht</x:v>
      </x:c>
      <x:c r="C794" s="11" t="n">
        <x:v>1</x:v>
      </x:c>
      <x:c r="D794" s="11" t="n">
        <x:f>COUNTIF('Einzel-ID-Zuordnung'!$A$7:$A$2692,A794)</x:f>
        <x:v>1</x:v>
      </x:c>
      <x:c r="E794" s="11" t="n">
        <x:f>D794-C794</x:f>
        <x:v>0</x:v>
      </x:c>
      <x:c r="F794" s="5" t="str">
        <x:v>ja</x:v>
      </x:c>
      <x:c r="G794" s="5" t="str">
        <x:v>WQ</x:v>
      </x:c>
    </x:row>
    <x:row r="795" ht="36" customHeight="1">
      <x:c r="A795" s="5" t="str">
        <x:v>R-0391</x:v>
      </x:c>
      <x:c r="B795" s="5" t="str">
        <x:v>Recht</x:v>
      </x:c>
      <x:c r="C795" s="11" t="n">
        <x:v>1</x:v>
      </x:c>
      <x:c r="D795" s="11" t="n">
        <x:f>COUNTIF('Einzel-ID-Zuordnung'!$A$7:$A$2692,A795)</x:f>
        <x:v>1</x:v>
      </x:c>
      <x:c r="E795" s="11" t="n">
        <x:f>D795-C795</x:f>
        <x:v>0</x:v>
      </x:c>
      <x:c r="F795" s="5" t="str">
        <x:v>ja</x:v>
      </x:c>
      <x:c r="G795" s="5" t="str">
        <x:v>WQ</x:v>
      </x:c>
    </x:row>
    <x:row r="796" ht="36" customHeight="1">
      <x:c r="A796" s="5" t="str">
        <x:v>R-0392</x:v>
      </x:c>
      <x:c r="B796" s="5" t="str">
        <x:v>Recht</x:v>
      </x:c>
      <x:c r="C796" s="11" t="n">
        <x:v>1</x:v>
      </x:c>
      <x:c r="D796" s="11" t="n">
        <x:f>COUNTIF('Einzel-ID-Zuordnung'!$A$7:$A$2692,A796)</x:f>
        <x:v>1</x:v>
      </x:c>
      <x:c r="E796" s="11" t="n">
        <x:f>D796-C796</x:f>
        <x:v>0</x:v>
      </x:c>
      <x:c r="F796" s="5" t="str">
        <x:v>ja</x:v>
      </x:c>
      <x:c r="G796" s="5" t="str">
        <x:v>WQ</x:v>
      </x:c>
    </x:row>
    <x:row r="797" ht="36" customHeight="1">
      <x:c r="A797" s="5" t="str">
        <x:v>R-0393</x:v>
      </x:c>
      <x:c r="B797" s="5" t="str">
        <x:v>Recht</x:v>
      </x:c>
      <x:c r="C797" s="11" t="n">
        <x:v>1</x:v>
      </x:c>
      <x:c r="D797" s="11" t="n">
        <x:f>COUNTIF('Einzel-ID-Zuordnung'!$A$7:$A$2692,A797)</x:f>
        <x:v>1</x:v>
      </x:c>
      <x:c r="E797" s="11" t="n">
        <x:f>D797-C797</x:f>
        <x:v>0</x:v>
      </x:c>
      <x:c r="F797" s="5" t="str">
        <x:v>ja</x:v>
      </x:c>
      <x:c r="G797" s="5" t="str">
        <x:v>WQ</x:v>
      </x:c>
    </x:row>
    <x:row r="798" ht="36" customHeight="1">
      <x:c r="A798" s="5" t="str">
        <x:v>R-0394</x:v>
      </x:c>
      <x:c r="B798" s="5" t="str">
        <x:v>Recht</x:v>
      </x:c>
      <x:c r="C798" s="11" t="n">
        <x:v>1</x:v>
      </x:c>
      <x:c r="D798" s="11" t="n">
        <x:f>COUNTIF('Einzel-ID-Zuordnung'!$A$7:$A$2692,A798)</x:f>
        <x:v>1</x:v>
      </x:c>
      <x:c r="E798" s="11" t="n">
        <x:f>D798-C798</x:f>
        <x:v>0</x:v>
      </x:c>
      <x:c r="F798" s="5" t="str">
        <x:v>ja</x:v>
      </x:c>
      <x:c r="G798" s="5" t="str">
        <x:v>WQ</x:v>
      </x:c>
    </x:row>
    <x:row r="799" ht="36" customHeight="1">
      <x:c r="A799" s="5" t="str">
        <x:v>R-0395</x:v>
      </x:c>
      <x:c r="B799" s="5" t="str">
        <x:v>Recht</x:v>
      </x:c>
      <x:c r="C799" s="11" t="n">
        <x:v>1</x:v>
      </x:c>
      <x:c r="D799" s="11" t="n">
        <x:f>COUNTIF('Einzel-ID-Zuordnung'!$A$7:$A$2692,A799)</x:f>
        <x:v>1</x:v>
      </x:c>
      <x:c r="E799" s="11" t="n">
        <x:f>D799-C799</x:f>
        <x:v>0</x:v>
      </x:c>
      <x:c r="F799" s="5" t="str">
        <x:v>ja</x:v>
      </x:c>
      <x:c r="G799" s="5" t="str">
        <x:v>WQ</x:v>
      </x:c>
    </x:row>
    <x:row r="800" ht="36" customHeight="1">
      <x:c r="A800" s="5" t="str">
        <x:v>R-0396</x:v>
      </x:c>
      <x:c r="B800" s="5" t="str">
        <x:v>Recht</x:v>
      </x:c>
      <x:c r="C800" s="11" t="n">
        <x:v>1</x:v>
      </x:c>
      <x:c r="D800" s="11" t="n">
        <x:f>COUNTIF('Einzel-ID-Zuordnung'!$A$7:$A$2692,A800)</x:f>
        <x:v>1</x:v>
      </x:c>
      <x:c r="E800" s="11" t="n">
        <x:f>D800-C800</x:f>
        <x:v>0</x:v>
      </x:c>
      <x:c r="F800" s="5" t="str">
        <x:v>ja</x:v>
      </x:c>
      <x:c r="G800" s="5" t="str">
        <x:v>WQ</x:v>
      </x:c>
    </x:row>
    <x:row r="801" ht="36" customHeight="1">
      <x:c r="A801" s="5" t="str">
        <x:v>R-0397</x:v>
      </x:c>
      <x:c r="B801" s="5" t="str">
        <x:v>Recht</x:v>
      </x:c>
      <x:c r="C801" s="11" t="n">
        <x:v>1</x:v>
      </x:c>
      <x:c r="D801" s="11" t="n">
        <x:f>COUNTIF('Einzel-ID-Zuordnung'!$A$7:$A$2692,A801)</x:f>
        <x:v>1</x:v>
      </x:c>
      <x:c r="E801" s="11" t="n">
        <x:f>D801-C801</x:f>
        <x:v>0</x:v>
      </x:c>
      <x:c r="F801" s="5" t="str">
        <x:v>ja</x:v>
      </x:c>
      <x:c r="G801" s="5" t="str">
        <x:v>WQ</x:v>
      </x:c>
    </x:row>
    <x:row r="802" ht="36" customHeight="1">
      <x:c r="A802" s="5" t="str">
        <x:v>R-0398</x:v>
      </x:c>
      <x:c r="B802" s="5" t="str">
        <x:v>Recht</x:v>
      </x:c>
      <x:c r="C802" s="11" t="n">
        <x:v>1</x:v>
      </x:c>
      <x:c r="D802" s="11" t="n">
        <x:f>COUNTIF('Einzel-ID-Zuordnung'!$A$7:$A$2692,A802)</x:f>
        <x:v>1</x:v>
      </x:c>
      <x:c r="E802" s="11" t="n">
        <x:f>D802-C802</x:f>
        <x:v>0</x:v>
      </x:c>
      <x:c r="F802" s="5" t="str">
        <x:v>ja</x:v>
      </x:c>
      <x:c r="G802" s="5" t="str">
        <x:v>WQ</x:v>
      </x:c>
    </x:row>
    <x:row r="803" ht="36" customHeight="1">
      <x:c r="A803" s="5" t="str">
        <x:v>R-0399</x:v>
      </x:c>
      <x:c r="B803" s="5" t="str">
        <x:v>Recht</x:v>
      </x:c>
      <x:c r="C803" s="11" t="n">
        <x:v>1</x:v>
      </x:c>
      <x:c r="D803" s="11" t="n">
        <x:f>COUNTIF('Einzel-ID-Zuordnung'!$A$7:$A$2692,A803)</x:f>
        <x:v>1</x:v>
      </x:c>
      <x:c r="E803" s="11" t="n">
        <x:f>D803-C803</x:f>
        <x:v>0</x:v>
      </x:c>
      <x:c r="F803" s="5" t="str">
        <x:v>ja</x:v>
      </x:c>
      <x:c r="G803" s="5" t="str">
        <x:v>WQ</x:v>
      </x:c>
    </x:row>
    <x:row r="804" ht="36" customHeight="1">
      <x:c r="A804" s="5" t="str">
        <x:v>R-0400</x:v>
      </x:c>
      <x:c r="B804" s="5" t="str">
        <x:v>Recht</x:v>
      </x:c>
      <x:c r="C804" s="11" t="n">
        <x:v>1</x:v>
      </x:c>
      <x:c r="D804" s="11" t="n">
        <x:f>COUNTIF('Einzel-ID-Zuordnung'!$A$7:$A$2692,A804)</x:f>
        <x:v>1</x:v>
      </x:c>
      <x:c r="E804" s="11" t="n">
        <x:f>D804-C804</x:f>
        <x:v>0</x:v>
      </x:c>
      <x:c r="F804" s="5" t="str">
        <x:v>ja</x:v>
      </x:c>
      <x:c r="G804" s="5" t="str">
        <x:v>WQ</x:v>
      </x:c>
    </x:row>
    <x:row r="805" ht="36" customHeight="1">
      <x:c r="A805" s="5" t="str">
        <x:v>R-0401</x:v>
      </x:c>
      <x:c r="B805" s="5" t="str">
        <x:v>Recht</x:v>
      </x:c>
      <x:c r="C805" s="11" t="n">
        <x:v>1</x:v>
      </x:c>
      <x:c r="D805" s="11" t="n">
        <x:f>COUNTIF('Einzel-ID-Zuordnung'!$A$7:$A$2692,A805)</x:f>
        <x:v>1</x:v>
      </x:c>
      <x:c r="E805" s="11" t="n">
        <x:f>D805-C805</x:f>
        <x:v>0</x:v>
      </x:c>
      <x:c r="F805" s="5" t="str">
        <x:v>ja</x:v>
      </x:c>
      <x:c r="G805" s="5" t="str">
        <x:v>WQ</x:v>
      </x:c>
    </x:row>
    <x:row r="806" ht="36" customHeight="1">
      <x:c r="A806" s="5" t="str">
        <x:v>R-0402</x:v>
      </x:c>
      <x:c r="B806" s="5" t="str">
        <x:v>Recht</x:v>
      </x:c>
      <x:c r="C806" s="11" t="n">
        <x:v>1</x:v>
      </x:c>
      <x:c r="D806" s="11" t="n">
        <x:f>COUNTIF('Einzel-ID-Zuordnung'!$A$7:$A$2692,A806)</x:f>
        <x:v>1</x:v>
      </x:c>
      <x:c r="E806" s="11" t="n">
        <x:f>D806-C806</x:f>
        <x:v>0</x:v>
      </x:c>
      <x:c r="F806" s="5" t="str">
        <x:v>ja</x:v>
      </x:c>
      <x:c r="G806" s="5" t="str">
        <x:v>WQ</x:v>
      </x:c>
    </x:row>
    <x:row r="807" ht="36" customHeight="1">
      <x:c r="A807" s="5" t="str">
        <x:v>R-0403</x:v>
      </x:c>
      <x:c r="B807" s="5" t="str">
        <x:v>Recht</x:v>
      </x:c>
      <x:c r="C807" s="11" t="n">
        <x:v>1</x:v>
      </x:c>
      <x:c r="D807" s="11" t="n">
        <x:f>COUNTIF('Einzel-ID-Zuordnung'!$A$7:$A$2692,A807)</x:f>
        <x:v>1</x:v>
      </x:c>
      <x:c r="E807" s="11" t="n">
        <x:f>D807-C807</x:f>
        <x:v>0</x:v>
      </x:c>
      <x:c r="F807" s="5" t="str">
        <x:v>ja</x:v>
      </x:c>
      <x:c r="G807" s="5" t="str">
        <x:v>WQ</x:v>
      </x:c>
    </x:row>
    <x:row r="808" ht="36" customHeight="1">
      <x:c r="A808" s="5" t="str">
        <x:v>R-0404</x:v>
      </x:c>
      <x:c r="B808" s="5" t="str">
        <x:v>Recht</x:v>
      </x:c>
      <x:c r="C808" s="11" t="n">
        <x:v>1</x:v>
      </x:c>
      <x:c r="D808" s="11" t="n">
        <x:f>COUNTIF('Einzel-ID-Zuordnung'!$A$7:$A$2692,A808)</x:f>
        <x:v>1</x:v>
      </x:c>
      <x:c r="E808" s="11" t="n">
        <x:f>D808-C808</x:f>
        <x:v>0</x:v>
      </x:c>
      <x:c r="F808" s="5" t="str">
        <x:v>ja</x:v>
      </x:c>
      <x:c r="G808" s="5" t="str">
        <x:v>WQ</x:v>
      </x:c>
    </x:row>
    <x:row r="809" ht="36" customHeight="1">
      <x:c r="A809" s="5" t="str">
        <x:v>R-0405</x:v>
      </x:c>
      <x:c r="B809" s="5" t="str">
        <x:v>Recht</x:v>
      </x:c>
      <x:c r="C809" s="11" t="n">
        <x:v>1</x:v>
      </x:c>
      <x:c r="D809" s="11" t="n">
        <x:f>COUNTIF('Einzel-ID-Zuordnung'!$A$7:$A$2692,A809)</x:f>
        <x:v>1</x:v>
      </x:c>
      <x:c r="E809" s="11" t="n">
        <x:f>D809-C809</x:f>
        <x:v>0</x:v>
      </x:c>
      <x:c r="F809" s="5" t="str">
        <x:v>ja</x:v>
      </x:c>
      <x:c r="G809" s="5" t="str">
        <x:v>WQ</x:v>
      </x:c>
    </x:row>
    <x:row r="810" ht="36" customHeight="1">
      <x:c r="A810" s="5" t="str">
        <x:v>R-0406</x:v>
      </x:c>
      <x:c r="B810" s="5" t="str">
        <x:v>Recht</x:v>
      </x:c>
      <x:c r="C810" s="11" t="n">
        <x:v>1</x:v>
      </x:c>
      <x:c r="D810" s="11" t="n">
        <x:f>COUNTIF('Einzel-ID-Zuordnung'!$A$7:$A$2692,A810)</x:f>
        <x:v>1</x:v>
      </x:c>
      <x:c r="E810" s="11" t="n">
        <x:f>D810-C810</x:f>
        <x:v>0</x:v>
      </x:c>
      <x:c r="F810" s="5" t="str">
        <x:v>ja</x:v>
      </x:c>
      <x:c r="G810" s="5" t="str">
        <x:v>WQ</x:v>
      </x:c>
    </x:row>
    <x:row r="811" ht="36" customHeight="1">
      <x:c r="A811" s="5" t="str">
        <x:v>R-0407</x:v>
      </x:c>
      <x:c r="B811" s="5" t="str">
        <x:v>Recht</x:v>
      </x:c>
      <x:c r="C811" s="11" t="n">
        <x:v>1</x:v>
      </x:c>
      <x:c r="D811" s="11" t="n">
        <x:f>COUNTIF('Einzel-ID-Zuordnung'!$A$7:$A$2692,A811)</x:f>
        <x:v>1</x:v>
      </x:c>
      <x:c r="E811" s="11" t="n">
        <x:f>D811-C811</x:f>
        <x:v>0</x:v>
      </x:c>
      <x:c r="F811" s="5" t="str">
        <x:v>ja</x:v>
      </x:c>
      <x:c r="G811" s="5" t="str">
        <x:v>WQ</x:v>
      </x:c>
    </x:row>
    <x:row r="812" ht="36" customHeight="1">
      <x:c r="A812" s="5" t="str">
        <x:v>R-0408</x:v>
      </x:c>
      <x:c r="B812" s="5" t="str">
        <x:v>Recht</x:v>
      </x:c>
      <x:c r="C812" s="11" t="n">
        <x:v>1</x:v>
      </x:c>
      <x:c r="D812" s="11" t="n">
        <x:f>COUNTIF('Einzel-ID-Zuordnung'!$A$7:$A$2692,A812)</x:f>
        <x:v>1</x:v>
      </x:c>
      <x:c r="E812" s="11" t="n">
        <x:f>D812-C812</x:f>
        <x:v>0</x:v>
      </x:c>
      <x:c r="F812" s="5" t="str">
        <x:v>ja</x:v>
      </x:c>
      <x:c r="G812" s="5" t="str">
        <x:v>WQ</x:v>
      </x:c>
    </x:row>
    <x:row r="813" ht="36" customHeight="1">
      <x:c r="A813" s="5" t="str">
        <x:v>R-0409</x:v>
      </x:c>
      <x:c r="B813" s="5" t="str">
        <x:v>Recht</x:v>
      </x:c>
      <x:c r="C813" s="11" t="n">
        <x:v>1</x:v>
      </x:c>
      <x:c r="D813" s="11" t="n">
        <x:f>COUNTIF('Einzel-ID-Zuordnung'!$A$7:$A$2692,A813)</x:f>
        <x:v>1</x:v>
      </x:c>
      <x:c r="E813" s="11" t="n">
        <x:f>D813-C813</x:f>
        <x:v>0</x:v>
      </x:c>
      <x:c r="F813" s="5" t="str">
        <x:v>ja</x:v>
      </x:c>
      <x:c r="G813" s="5" t="str">
        <x:v>WQ</x:v>
      </x:c>
    </x:row>
    <x:row r="814" ht="36" customHeight="1">
      <x:c r="A814" s="5" t="str">
        <x:v>R-0410</x:v>
      </x:c>
      <x:c r="B814" s="5" t="str">
        <x:v>Recht</x:v>
      </x:c>
      <x:c r="C814" s="11" t="n">
        <x:v>1</x:v>
      </x:c>
      <x:c r="D814" s="11" t="n">
        <x:f>COUNTIF('Einzel-ID-Zuordnung'!$A$7:$A$2692,A814)</x:f>
        <x:v>1</x:v>
      </x:c>
      <x:c r="E814" s="11" t="n">
        <x:f>D814-C814</x:f>
        <x:v>0</x:v>
      </x:c>
      <x:c r="F814" s="5" t="str">
        <x:v>ja</x:v>
      </x:c>
      <x:c r="G814" s="5" t="str">
        <x:v>WQ</x:v>
      </x:c>
    </x:row>
    <x:row r="815" ht="36" customHeight="1">
      <x:c r="A815" s="5" t="str">
        <x:v>R-0411</x:v>
      </x:c>
      <x:c r="B815" s="5" t="str">
        <x:v>Recht</x:v>
      </x:c>
      <x:c r="C815" s="11" t="n">
        <x:v>1</x:v>
      </x:c>
      <x:c r="D815" s="11" t="n">
        <x:f>COUNTIF('Einzel-ID-Zuordnung'!$A$7:$A$2692,A815)</x:f>
        <x:v>1</x:v>
      </x:c>
      <x:c r="E815" s="11" t="n">
        <x:f>D815-C815</x:f>
        <x:v>0</x:v>
      </x:c>
      <x:c r="F815" s="5" t="str">
        <x:v>ja</x:v>
      </x:c>
      <x:c r="G815" s="5" t="str">
        <x:v>WQ</x:v>
      </x:c>
    </x:row>
    <x:row r="816" ht="36" customHeight="1">
      <x:c r="A816" s="5" t="str">
        <x:v>R-0412</x:v>
      </x:c>
      <x:c r="B816" s="5" t="str">
        <x:v>Recht</x:v>
      </x:c>
      <x:c r="C816" s="11" t="n">
        <x:v>1</x:v>
      </x:c>
      <x:c r="D816" s="11" t="n">
        <x:f>COUNTIF('Einzel-ID-Zuordnung'!$A$7:$A$2692,A816)</x:f>
        <x:v>1</x:v>
      </x:c>
      <x:c r="E816" s="11" t="n">
        <x:f>D816-C816</x:f>
        <x:v>0</x:v>
      </x:c>
      <x:c r="F816" s="5" t="str">
        <x:v>ja</x:v>
      </x:c>
      <x:c r="G816" s="5" t="str">
        <x:v>WQ</x:v>
      </x:c>
    </x:row>
    <x:row r="817" ht="36" customHeight="1">
      <x:c r="A817" s="5" t="str">
        <x:v>R-0413</x:v>
      </x:c>
      <x:c r="B817" s="5" t="str">
        <x:v>Recht</x:v>
      </x:c>
      <x:c r="C817" s="11" t="n">
        <x:v>1</x:v>
      </x:c>
      <x:c r="D817" s="11" t="n">
        <x:f>COUNTIF('Einzel-ID-Zuordnung'!$A$7:$A$2692,A817)</x:f>
        <x:v>1</x:v>
      </x:c>
      <x:c r="E817" s="11" t="n">
        <x:f>D817-C817</x:f>
        <x:v>0</x:v>
      </x:c>
      <x:c r="F817" s="5" t="str">
        <x:v>ja</x:v>
      </x:c>
      <x:c r="G817" s="5" t="str">
        <x:v>WQ</x:v>
      </x:c>
    </x:row>
    <x:row r="818" ht="36" customHeight="1">
      <x:c r="A818" s="5" t="str">
        <x:v>R-0414</x:v>
      </x:c>
      <x:c r="B818" s="5" t="str">
        <x:v>Recht</x:v>
      </x:c>
      <x:c r="C818" s="11" t="n">
        <x:v>1</x:v>
      </x:c>
      <x:c r="D818" s="11" t="n">
        <x:f>COUNTIF('Einzel-ID-Zuordnung'!$A$7:$A$2692,A818)</x:f>
        <x:v>1</x:v>
      </x:c>
      <x:c r="E818" s="11" t="n">
        <x:f>D818-C818</x:f>
        <x:v>0</x:v>
      </x:c>
      <x:c r="F818" s="5" t="str">
        <x:v>ja</x:v>
      </x:c>
      <x:c r="G818" s="5" t="str">
        <x:v>WQ</x:v>
      </x:c>
    </x:row>
    <x:row r="819" ht="36" customHeight="1">
      <x:c r="A819" s="5" t="str">
        <x:v>R-0415</x:v>
      </x:c>
      <x:c r="B819" s="5" t="str">
        <x:v>Recht</x:v>
      </x:c>
      <x:c r="C819" s="11" t="n">
        <x:v>1</x:v>
      </x:c>
      <x:c r="D819" s="11" t="n">
        <x:f>COUNTIF('Einzel-ID-Zuordnung'!$A$7:$A$2692,A819)</x:f>
        <x:v>1</x:v>
      </x:c>
      <x:c r="E819" s="11" t="n">
        <x:f>D819-C819</x:f>
        <x:v>0</x:v>
      </x:c>
      <x:c r="F819" s="5" t="str">
        <x:v>ja</x:v>
      </x:c>
      <x:c r="G819" s="5" t="str">
        <x:v>WQ</x:v>
      </x:c>
    </x:row>
    <x:row r="820" ht="36" customHeight="1">
      <x:c r="A820" s="5" t="str">
        <x:v>R-0416</x:v>
      </x:c>
      <x:c r="B820" s="5" t="str">
        <x:v>Recht</x:v>
      </x:c>
      <x:c r="C820" s="11" t="n">
        <x:v>1</x:v>
      </x:c>
      <x:c r="D820" s="11" t="n">
        <x:f>COUNTIF('Einzel-ID-Zuordnung'!$A$7:$A$2692,A820)</x:f>
        <x:v>1</x:v>
      </x:c>
      <x:c r="E820" s="11" t="n">
        <x:f>D820-C820</x:f>
        <x:v>0</x:v>
      </x:c>
      <x:c r="F820" s="5" t="str">
        <x:v>ja</x:v>
      </x:c>
      <x:c r="G820" s="5" t="str">
        <x:v>WQ</x:v>
      </x:c>
    </x:row>
    <x:row r="821" ht="36" customHeight="1">
      <x:c r="A821" s="5" t="str">
        <x:v>R-0417</x:v>
      </x:c>
      <x:c r="B821" s="5" t="str">
        <x:v>Recht</x:v>
      </x:c>
      <x:c r="C821" s="11" t="n">
        <x:v>1</x:v>
      </x:c>
      <x:c r="D821" s="11" t="n">
        <x:f>COUNTIF('Einzel-ID-Zuordnung'!$A$7:$A$2692,A821)</x:f>
        <x:v>1</x:v>
      </x:c>
      <x:c r="E821" s="11" t="n">
        <x:f>D821-C821</x:f>
        <x:v>0</x:v>
      </x:c>
      <x:c r="F821" s="5" t="str">
        <x:v>ja</x:v>
      </x:c>
      <x:c r="G821" s="5" t="str">
        <x:v>WQ</x:v>
      </x:c>
    </x:row>
    <x:row r="822" ht="36" customHeight="1">
      <x:c r="A822" s="5" t="str">
        <x:v>R-0418</x:v>
      </x:c>
      <x:c r="B822" s="5" t="str">
        <x:v>Recht</x:v>
      </x:c>
      <x:c r="C822" s="11" t="n">
        <x:v>1</x:v>
      </x:c>
      <x:c r="D822" s="11" t="n">
        <x:f>COUNTIF('Einzel-ID-Zuordnung'!$A$7:$A$2692,A822)</x:f>
        <x:v>1</x:v>
      </x:c>
      <x:c r="E822" s="11" t="n">
        <x:f>D822-C822</x:f>
        <x:v>0</x:v>
      </x:c>
      <x:c r="F822" s="5" t="str">
        <x:v>ja</x:v>
      </x:c>
      <x:c r="G822" s="5" t="str">
        <x:v>WQ</x:v>
      </x:c>
    </x:row>
    <x:row r="823" ht="36" customHeight="1">
      <x:c r="A823" s="5" t="str">
        <x:v>R-0419</x:v>
      </x:c>
      <x:c r="B823" s="5" t="str">
        <x:v>Recht</x:v>
      </x:c>
      <x:c r="C823" s="11" t="n">
        <x:v>1</x:v>
      </x:c>
      <x:c r="D823" s="11" t="n">
        <x:f>COUNTIF('Einzel-ID-Zuordnung'!$A$7:$A$2692,A823)</x:f>
        <x:v>1</x:v>
      </x:c>
      <x:c r="E823" s="11" t="n">
        <x:f>D823-C823</x:f>
        <x:v>0</x:v>
      </x:c>
      <x:c r="F823" s="5" t="str">
        <x:v>ja</x:v>
      </x:c>
      <x:c r="G823" s="5" t="str">
        <x:v>WQ</x:v>
      </x:c>
    </x:row>
    <x:row r="824" ht="36" customHeight="1">
      <x:c r="A824" s="5" t="str">
        <x:v>R-0420</x:v>
      </x:c>
      <x:c r="B824" s="5" t="str">
        <x:v>Recht</x:v>
      </x:c>
      <x:c r="C824" s="11" t="n">
        <x:v>1</x:v>
      </x:c>
      <x:c r="D824" s="11" t="n">
        <x:f>COUNTIF('Einzel-ID-Zuordnung'!$A$7:$A$2692,A824)</x:f>
        <x:v>1</x:v>
      </x:c>
      <x:c r="E824" s="11" t="n">
        <x:f>D824-C824</x:f>
        <x:v>0</x:v>
      </x:c>
      <x:c r="F824" s="5" t="str">
        <x:v>ja</x:v>
      </x:c>
      <x:c r="G824" s="5" t="str">
        <x:v>WQ</x:v>
      </x:c>
    </x:row>
    <x:row r="825" ht="36" customHeight="1">
      <x:c r="A825" s="5" t="str">
        <x:v>R-0421</x:v>
      </x:c>
      <x:c r="B825" s="5" t="str">
        <x:v>Recht</x:v>
      </x:c>
      <x:c r="C825" s="11" t="n">
        <x:v>1</x:v>
      </x:c>
      <x:c r="D825" s="11" t="n">
        <x:f>COUNTIF('Einzel-ID-Zuordnung'!$A$7:$A$2692,A825)</x:f>
        <x:v>1</x:v>
      </x:c>
      <x:c r="E825" s="11" t="n">
        <x:f>D825-C825</x:f>
        <x:v>0</x:v>
      </x:c>
      <x:c r="F825" s="5" t="str">
        <x:v>ja</x:v>
      </x:c>
      <x:c r="G825" s="5" t="str">
        <x:v>WQ</x:v>
      </x:c>
    </x:row>
    <x:row r="826" ht="36" customHeight="1">
      <x:c r="A826" s="5" t="str">
        <x:v>R-0422</x:v>
      </x:c>
      <x:c r="B826" s="5" t="str">
        <x:v>Recht</x:v>
      </x:c>
      <x:c r="C826" s="11" t="n">
        <x:v>1</x:v>
      </x:c>
      <x:c r="D826" s="11" t="n">
        <x:f>COUNTIF('Einzel-ID-Zuordnung'!$A$7:$A$2692,A826)</x:f>
        <x:v>1</x:v>
      </x:c>
      <x:c r="E826" s="11" t="n">
        <x:f>D826-C826</x:f>
        <x:v>0</x:v>
      </x:c>
      <x:c r="F826" s="5" t="str">
        <x:v>ja</x:v>
      </x:c>
      <x:c r="G826" s="5" t="str">
        <x:v>WQ</x:v>
      </x:c>
    </x:row>
    <x:row r="827" ht="36" customHeight="1">
      <x:c r="A827" s="5" t="str">
        <x:v>R-0423</x:v>
      </x:c>
      <x:c r="B827" s="5" t="str">
        <x:v>Recht</x:v>
      </x:c>
      <x:c r="C827" s="11" t="n">
        <x:v>1</x:v>
      </x:c>
      <x:c r="D827" s="11" t="n">
        <x:f>COUNTIF('Einzel-ID-Zuordnung'!$A$7:$A$2692,A827)</x:f>
        <x:v>1</x:v>
      </x:c>
      <x:c r="E827" s="11" t="n">
        <x:f>D827-C827</x:f>
        <x:v>0</x:v>
      </x:c>
      <x:c r="F827" s="5" t="str">
        <x:v>ja</x:v>
      </x:c>
      <x:c r="G827" s="5" t="str">
        <x:v>WQ</x:v>
      </x:c>
    </x:row>
    <x:row r="828" ht="36" customHeight="1">
      <x:c r="A828" s="5" t="str">
        <x:v>R-0424</x:v>
      </x:c>
      <x:c r="B828" s="5" t="str">
        <x:v>Recht</x:v>
      </x:c>
      <x:c r="C828" s="11" t="n">
        <x:v>1</x:v>
      </x:c>
      <x:c r="D828" s="11" t="n">
        <x:f>COUNTIF('Einzel-ID-Zuordnung'!$A$7:$A$2692,A828)</x:f>
        <x:v>1</x:v>
      </x:c>
      <x:c r="E828" s="11" t="n">
        <x:f>D828-C828</x:f>
        <x:v>0</x:v>
      </x:c>
      <x:c r="F828" s="5" t="str">
        <x:v>ja</x:v>
      </x:c>
      <x:c r="G828" s="5" t="str">
        <x:v>WQ</x:v>
      </x:c>
    </x:row>
    <x:row r="829" ht="36" customHeight="1">
      <x:c r="A829" s="5" t="str">
        <x:v>R-0425</x:v>
      </x:c>
      <x:c r="B829" s="5" t="str">
        <x:v>Recht</x:v>
      </x:c>
      <x:c r="C829" s="11" t="n">
        <x:v>1</x:v>
      </x:c>
      <x:c r="D829" s="11" t="n">
        <x:f>COUNTIF('Einzel-ID-Zuordnung'!$A$7:$A$2692,A829)</x:f>
        <x:v>1</x:v>
      </x:c>
      <x:c r="E829" s="11" t="n">
        <x:f>D829-C829</x:f>
        <x:v>0</x:v>
      </x:c>
      <x:c r="F829" s="5" t="str">
        <x:v>ja</x:v>
      </x:c>
      <x:c r="G829" s="5" t="str">
        <x:v>WQ</x:v>
      </x:c>
    </x:row>
    <x:row r="830" ht="36" customHeight="1">
      <x:c r="A830" s="5" t="str">
        <x:v>R-0426</x:v>
      </x:c>
      <x:c r="B830" s="5" t="str">
        <x:v>Recht</x:v>
      </x:c>
      <x:c r="C830" s="11" t="n">
        <x:v>1</x:v>
      </x:c>
      <x:c r="D830" s="11" t="n">
        <x:f>COUNTIF('Einzel-ID-Zuordnung'!$A$7:$A$2692,A830)</x:f>
        <x:v>1</x:v>
      </x:c>
      <x:c r="E830" s="11" t="n">
        <x:f>D830-C830</x:f>
        <x:v>0</x:v>
      </x:c>
      <x:c r="F830" s="5" t="str">
        <x:v>ja</x:v>
      </x:c>
      <x:c r="G830" s="5" t="str">
        <x:v>WQ</x:v>
      </x:c>
    </x:row>
    <x:row r="831" ht="36" customHeight="1">
      <x:c r="A831" s="5" t="str">
        <x:v>R-0427</x:v>
      </x:c>
      <x:c r="B831" s="5" t="str">
        <x:v>Recht</x:v>
      </x:c>
      <x:c r="C831" s="11" t="n">
        <x:v>1</x:v>
      </x:c>
      <x:c r="D831" s="11" t="n">
        <x:f>COUNTIF('Einzel-ID-Zuordnung'!$A$7:$A$2692,A831)</x:f>
        <x:v>1</x:v>
      </x:c>
      <x:c r="E831" s="11" t="n">
        <x:f>D831-C831</x:f>
        <x:v>0</x:v>
      </x:c>
      <x:c r="F831" s="5" t="str">
        <x:v>ja</x:v>
      </x:c>
      <x:c r="G831" s="5" t="str">
        <x:v>WQ</x:v>
      </x:c>
    </x:row>
    <x:row r="832" ht="36" customHeight="1">
      <x:c r="A832" s="5" t="str">
        <x:v>R-0428</x:v>
      </x:c>
      <x:c r="B832" s="5" t="str">
        <x:v>Recht</x:v>
      </x:c>
      <x:c r="C832" s="11" t="n">
        <x:v>1</x:v>
      </x:c>
      <x:c r="D832" s="11" t="n">
        <x:f>COUNTIF('Einzel-ID-Zuordnung'!$A$7:$A$2692,A832)</x:f>
        <x:v>1</x:v>
      </x:c>
      <x:c r="E832" s="11" t="n">
        <x:f>D832-C832</x:f>
        <x:v>0</x:v>
      </x:c>
      <x:c r="F832" s="5" t="str">
        <x:v>ja</x:v>
      </x:c>
      <x:c r="G832" s="5" t="str">
        <x:v>WQ</x:v>
      </x:c>
    </x:row>
    <x:row r="833" ht="36" customHeight="1">
      <x:c r="A833" s="5" t="str">
        <x:v>R-0429</x:v>
      </x:c>
      <x:c r="B833" s="5" t="str">
        <x:v>Recht</x:v>
      </x:c>
      <x:c r="C833" s="11" t="n">
        <x:v>1</x:v>
      </x:c>
      <x:c r="D833" s="11" t="n">
        <x:f>COUNTIF('Einzel-ID-Zuordnung'!$A$7:$A$2692,A833)</x:f>
        <x:v>1</x:v>
      </x:c>
      <x:c r="E833" s="11" t="n">
        <x:f>D833-C833</x:f>
        <x:v>0</x:v>
      </x:c>
      <x:c r="F833" s="5" t="str">
        <x:v>ja</x:v>
      </x:c>
      <x:c r="G833" s="5" t="str">
        <x:v>WQ</x:v>
      </x:c>
    </x:row>
    <x:row r="834" ht="36" customHeight="1">
      <x:c r="A834" s="5" t="str">
        <x:v>R-0430</x:v>
      </x:c>
      <x:c r="B834" s="5" t="str">
        <x:v>Recht</x:v>
      </x:c>
      <x:c r="C834" s="11" t="n">
        <x:v>1</x:v>
      </x:c>
      <x:c r="D834" s="11" t="n">
        <x:f>COUNTIF('Einzel-ID-Zuordnung'!$A$7:$A$2692,A834)</x:f>
        <x:v>1</x:v>
      </x:c>
      <x:c r="E834" s="11" t="n">
        <x:f>D834-C834</x:f>
        <x:v>0</x:v>
      </x:c>
      <x:c r="F834" s="5" t="str">
        <x:v>ja</x:v>
      </x:c>
      <x:c r="G834" s="5" t="str">
        <x:v>WQ</x:v>
      </x:c>
    </x:row>
    <x:row r="835" ht="36" customHeight="1">
      <x:c r="A835" s="5" t="str">
        <x:v>R-0431</x:v>
      </x:c>
      <x:c r="B835" s="5" t="str">
        <x:v>Recht</x:v>
      </x:c>
      <x:c r="C835" s="11" t="n">
        <x:v>1</x:v>
      </x:c>
      <x:c r="D835" s="11" t="n">
        <x:f>COUNTIF('Einzel-ID-Zuordnung'!$A$7:$A$2692,A835)</x:f>
        <x:v>1</x:v>
      </x:c>
      <x:c r="E835" s="11" t="n">
        <x:f>D835-C835</x:f>
        <x:v>0</x:v>
      </x:c>
      <x:c r="F835" s="5" t="str">
        <x:v>ja</x:v>
      </x:c>
      <x:c r="G835" s="5" t="str">
        <x:v>WQ</x:v>
      </x:c>
    </x:row>
    <x:row r="836" ht="36" customHeight="1">
      <x:c r="A836" s="5" t="str">
        <x:v>R-0432</x:v>
      </x:c>
      <x:c r="B836" s="5" t="str">
        <x:v>Recht</x:v>
      </x:c>
      <x:c r="C836" s="11" t="n">
        <x:v>1</x:v>
      </x:c>
      <x:c r="D836" s="11" t="n">
        <x:f>COUNTIF('Einzel-ID-Zuordnung'!$A$7:$A$2692,A836)</x:f>
        <x:v>1</x:v>
      </x:c>
      <x:c r="E836" s="11" t="n">
        <x:f>D836-C836</x:f>
        <x:v>0</x:v>
      </x:c>
      <x:c r="F836" s="5" t="str">
        <x:v>ja</x:v>
      </x:c>
      <x:c r="G836" s="5" t="str">
        <x:v>WQ</x:v>
      </x:c>
    </x:row>
    <x:row r="837" ht="36" customHeight="1">
      <x:c r="A837" s="5" t="str">
        <x:v>R-0433</x:v>
      </x:c>
      <x:c r="B837" s="5" t="str">
        <x:v>Recht</x:v>
      </x:c>
      <x:c r="C837" s="11" t="n">
        <x:v>1</x:v>
      </x:c>
      <x:c r="D837" s="11" t="n">
        <x:f>COUNTIF('Einzel-ID-Zuordnung'!$A$7:$A$2692,A837)</x:f>
        <x:v>1</x:v>
      </x:c>
      <x:c r="E837" s="11" t="n">
        <x:f>D837-C837</x:f>
        <x:v>0</x:v>
      </x:c>
      <x:c r="F837" s="5" t="str">
        <x:v>ja</x:v>
      </x:c>
      <x:c r="G837" s="5" t="str">
        <x:v>WQ</x:v>
      </x:c>
    </x:row>
    <x:row r="838" ht="36" customHeight="1">
      <x:c r="A838" s="5" t="str">
        <x:v>R-0434</x:v>
      </x:c>
      <x:c r="B838" s="5" t="str">
        <x:v>Recht</x:v>
      </x:c>
      <x:c r="C838" s="11" t="n">
        <x:v>1</x:v>
      </x:c>
      <x:c r="D838" s="11" t="n">
        <x:f>COUNTIF('Einzel-ID-Zuordnung'!$A$7:$A$2692,A838)</x:f>
        <x:v>1</x:v>
      </x:c>
      <x:c r="E838" s="11" t="n">
        <x:f>D838-C838</x:f>
        <x:v>0</x:v>
      </x:c>
      <x:c r="F838" s="5" t="str">
        <x:v>ja</x:v>
      </x:c>
      <x:c r="G838" s="5" t="str">
        <x:v>WQ</x:v>
      </x:c>
    </x:row>
    <x:row r="839" ht="36" customHeight="1">
      <x:c r="A839" s="5" t="str">
        <x:v>R-0435</x:v>
      </x:c>
      <x:c r="B839" s="5" t="str">
        <x:v>Recht</x:v>
      </x:c>
      <x:c r="C839" s="11" t="n">
        <x:v>1</x:v>
      </x:c>
      <x:c r="D839" s="11" t="n">
        <x:f>COUNTIF('Einzel-ID-Zuordnung'!$A$7:$A$2692,A839)</x:f>
        <x:v>1</x:v>
      </x:c>
      <x:c r="E839" s="11" t="n">
        <x:f>D839-C839</x:f>
        <x:v>0</x:v>
      </x:c>
      <x:c r="F839" s="5" t="str">
        <x:v>ja</x:v>
      </x:c>
      <x:c r="G839" s="5" t="str">
        <x:v>WQ</x:v>
      </x:c>
    </x:row>
    <x:row r="840" ht="36" customHeight="1">
      <x:c r="A840" s="5" t="str">
        <x:v>R-0436</x:v>
      </x:c>
      <x:c r="B840" s="5" t="str">
        <x:v>Recht</x:v>
      </x:c>
      <x:c r="C840" s="11" t="n">
        <x:v>1</x:v>
      </x:c>
      <x:c r="D840" s="11" t="n">
        <x:f>COUNTIF('Einzel-ID-Zuordnung'!$A$7:$A$2692,A840)</x:f>
        <x:v>1</x:v>
      </x:c>
      <x:c r="E840" s="11" t="n">
        <x:f>D840-C840</x:f>
        <x:v>0</x:v>
      </x:c>
      <x:c r="F840" s="5" t="str">
        <x:v>ja</x:v>
      </x:c>
      <x:c r="G840" s="5" t="str">
        <x:v>WQ</x:v>
      </x:c>
    </x:row>
    <x:row r="841" ht="36" customHeight="1">
      <x:c r="A841" s="5" t="str">
        <x:v>R-0437</x:v>
      </x:c>
      <x:c r="B841" s="5" t="str">
        <x:v>Recht</x:v>
      </x:c>
      <x:c r="C841" s="11" t="n">
        <x:v>1</x:v>
      </x:c>
      <x:c r="D841" s="11" t="n">
        <x:f>COUNTIF('Einzel-ID-Zuordnung'!$A$7:$A$2692,A841)</x:f>
        <x:v>1</x:v>
      </x:c>
      <x:c r="E841" s="11" t="n">
        <x:f>D841-C841</x:f>
        <x:v>0</x:v>
      </x:c>
      <x:c r="F841" s="5" t="str">
        <x:v>ja</x:v>
      </x:c>
      <x:c r="G841" s="5" t="str">
        <x:v>WQ</x:v>
      </x:c>
    </x:row>
    <x:row r="842" ht="36" customHeight="1">
      <x:c r="A842" s="5" t="str">
        <x:v>R-0438</x:v>
      </x:c>
      <x:c r="B842" s="5" t="str">
        <x:v>Recht</x:v>
      </x:c>
      <x:c r="C842" s="11" t="n">
        <x:v>1</x:v>
      </x:c>
      <x:c r="D842" s="11" t="n">
        <x:f>COUNTIF('Einzel-ID-Zuordnung'!$A$7:$A$2692,A842)</x:f>
        <x:v>1</x:v>
      </x:c>
      <x:c r="E842" s="11" t="n">
        <x:f>D842-C842</x:f>
        <x:v>0</x:v>
      </x:c>
      <x:c r="F842" s="5" t="str">
        <x:v>ja</x:v>
      </x:c>
      <x:c r="G842" s="5" t="str">
        <x:v>WQ</x:v>
      </x:c>
    </x:row>
    <x:row r="843" ht="36" customHeight="1">
      <x:c r="A843" s="5" t="str">
        <x:v>R-0439</x:v>
      </x:c>
      <x:c r="B843" s="5" t="str">
        <x:v>Recht</x:v>
      </x:c>
      <x:c r="C843" s="11" t="n">
        <x:v>1</x:v>
      </x:c>
      <x:c r="D843" s="11" t="n">
        <x:f>COUNTIF('Einzel-ID-Zuordnung'!$A$7:$A$2692,A843)</x:f>
        <x:v>1</x:v>
      </x:c>
      <x:c r="E843" s="11" t="n">
        <x:f>D843-C843</x:f>
        <x:v>0</x:v>
      </x:c>
      <x:c r="F843" s="5" t="str">
        <x:v>ja</x:v>
      </x:c>
      <x:c r="G843" s="5" t="str">
        <x:v>WQ</x:v>
      </x:c>
    </x:row>
    <x:row r="844" ht="36" customHeight="1">
      <x:c r="A844" s="5" t="str">
        <x:v>R-0440</x:v>
      </x:c>
      <x:c r="B844" s="5" t="str">
        <x:v>Recht</x:v>
      </x:c>
      <x:c r="C844" s="11" t="n">
        <x:v>1</x:v>
      </x:c>
      <x:c r="D844" s="11" t="n">
        <x:f>COUNTIF('Einzel-ID-Zuordnung'!$A$7:$A$2692,A844)</x:f>
        <x:v>1</x:v>
      </x:c>
      <x:c r="E844" s="11" t="n">
        <x:f>D844-C844</x:f>
        <x:v>0</x:v>
      </x:c>
      <x:c r="F844" s="5" t="str">
        <x:v>ja</x:v>
      </x:c>
      <x:c r="G844" s="5" t="str">
        <x:v>WQ</x:v>
      </x:c>
    </x:row>
    <x:row r="845" ht="36" customHeight="1">
      <x:c r="A845" s="5" t="str">
        <x:v>R-0441</x:v>
      </x:c>
      <x:c r="B845" s="5" t="str">
        <x:v>Recht</x:v>
      </x:c>
      <x:c r="C845" s="11" t="n">
        <x:v>1</x:v>
      </x:c>
      <x:c r="D845" s="11" t="n">
        <x:f>COUNTIF('Einzel-ID-Zuordnung'!$A$7:$A$2692,A845)</x:f>
        <x:v>1</x:v>
      </x:c>
      <x:c r="E845" s="11" t="n">
        <x:f>D845-C845</x:f>
        <x:v>0</x:v>
      </x:c>
      <x:c r="F845" s="5" t="str">
        <x:v>ja</x:v>
      </x:c>
      <x:c r="G845" s="5" t="str">
        <x:v>WQ</x:v>
      </x:c>
    </x:row>
    <x:row r="846" ht="36" customHeight="1">
      <x:c r="A846" s="5" t="str">
        <x:v>R-0442</x:v>
      </x:c>
      <x:c r="B846" s="5" t="str">
        <x:v>Recht</x:v>
      </x:c>
      <x:c r="C846" s="11" t="n">
        <x:v>1</x:v>
      </x:c>
      <x:c r="D846" s="11" t="n">
        <x:f>COUNTIF('Einzel-ID-Zuordnung'!$A$7:$A$2692,A846)</x:f>
        <x:v>1</x:v>
      </x:c>
      <x:c r="E846" s="11" t="n">
        <x:f>D846-C846</x:f>
        <x:v>0</x:v>
      </x:c>
      <x:c r="F846" s="5" t="str">
        <x:v>ja</x:v>
      </x:c>
      <x:c r="G846" s="5" t="str">
        <x:v>WQ</x:v>
      </x:c>
    </x:row>
    <x:row r="847" ht="36" customHeight="1">
      <x:c r="A847" s="5" t="str">
        <x:v>R-0445</x:v>
      </x:c>
      <x:c r="B847" s="5" t="str">
        <x:v>Recht</x:v>
      </x:c>
      <x:c r="C847" s="11" t="n">
        <x:v>1</x:v>
      </x:c>
      <x:c r="D847" s="11" t="n">
        <x:f>COUNTIF('Einzel-ID-Zuordnung'!$A$7:$A$2692,A847)</x:f>
        <x:v>1</x:v>
      </x:c>
      <x:c r="E847" s="11" t="n">
        <x:f>D847-C847</x:f>
        <x:v>0</x:v>
      </x:c>
      <x:c r="F847" s="5" t="str">
        <x:v>ja</x:v>
      </x:c>
      <x:c r="G847" s="5" t="str">
        <x:v>WQ</x:v>
      </x:c>
    </x:row>
    <x:row r="848" ht="36" customHeight="1">
      <x:c r="A848" s="5" t="str">
        <x:v>R-0448</x:v>
      </x:c>
      <x:c r="B848" s="5" t="str">
        <x:v>Recht</x:v>
      </x:c>
      <x:c r="C848" s="11" t="n">
        <x:v>1</x:v>
      </x:c>
      <x:c r="D848" s="11" t="n">
        <x:f>COUNTIF('Einzel-ID-Zuordnung'!$A$7:$A$2692,A848)</x:f>
        <x:v>1</x:v>
      </x:c>
      <x:c r="E848" s="11" t="n">
        <x:f>D848-C848</x:f>
        <x:v>0</x:v>
      </x:c>
      <x:c r="F848" s="5" t="str">
        <x:v>ja</x:v>
      </x:c>
      <x:c r="G848" s="5" t="str">
        <x:v>WQ</x:v>
      </x:c>
    </x:row>
    <x:row r="849" ht="36" customHeight="1">
      <x:c r="A849" s="5" t="str">
        <x:v>R-0449</x:v>
      </x:c>
      <x:c r="B849" s="5" t="str">
        <x:v>Recht</x:v>
      </x:c>
      <x:c r="C849" s="11" t="n">
        <x:v>1</x:v>
      </x:c>
      <x:c r="D849" s="11" t="n">
        <x:f>COUNTIF('Einzel-ID-Zuordnung'!$A$7:$A$2692,A849)</x:f>
        <x:v>1</x:v>
      </x:c>
      <x:c r="E849" s="11" t="n">
        <x:f>D849-C849</x:f>
        <x:v>0</x:v>
      </x:c>
      <x:c r="F849" s="5" t="str">
        <x:v>ja</x:v>
      </x:c>
      <x:c r="G849" s="5" t="str">
        <x:v>WQ</x:v>
      </x:c>
    </x:row>
    <x:row r="850" ht="36" customHeight="1">
      <x:c r="A850" s="5" t="str">
        <x:v>R-0450</x:v>
      </x:c>
      <x:c r="B850" s="5" t="str">
        <x:v>Recht</x:v>
      </x:c>
      <x:c r="C850" s="11" t="n">
        <x:v>1</x:v>
      </x:c>
      <x:c r="D850" s="11" t="n">
        <x:f>COUNTIF('Einzel-ID-Zuordnung'!$A$7:$A$2692,A850)</x:f>
        <x:v>1</x:v>
      </x:c>
      <x:c r="E850" s="11" t="n">
        <x:f>D850-C850</x:f>
        <x:v>0</x:v>
      </x:c>
      <x:c r="F850" s="5" t="str">
        <x:v>ja</x:v>
      </x:c>
      <x:c r="G850" s="5" t="str">
        <x:v>WQ</x:v>
      </x:c>
    </x:row>
    <x:row r="851" ht="36" customHeight="1">
      <x:c r="A851" s="5" t="str">
        <x:v>R-0451</x:v>
      </x:c>
      <x:c r="B851" s="5" t="str">
        <x:v>Recht</x:v>
      </x:c>
      <x:c r="C851" s="11" t="n">
        <x:v>1</x:v>
      </x:c>
      <x:c r="D851" s="11" t="n">
        <x:f>COUNTIF('Einzel-ID-Zuordnung'!$A$7:$A$2692,A851)</x:f>
        <x:v>1</x:v>
      </x:c>
      <x:c r="E851" s="11" t="n">
        <x:f>D851-C851</x:f>
        <x:v>0</x:v>
      </x:c>
      <x:c r="F851" s="5" t="str">
        <x:v>ja</x:v>
      </x:c>
      <x:c r="G851" s="5" t="str">
        <x:v>WQ</x:v>
      </x:c>
    </x:row>
    <x:row r="852" ht="36" customHeight="1">
      <x:c r="A852" s="5" t="str">
        <x:v>R-0452</x:v>
      </x:c>
      <x:c r="B852" s="5" t="str">
        <x:v>Recht</x:v>
      </x:c>
      <x:c r="C852" s="11" t="n">
        <x:v>1</x:v>
      </x:c>
      <x:c r="D852" s="11" t="n">
        <x:f>COUNTIF('Einzel-ID-Zuordnung'!$A$7:$A$2692,A852)</x:f>
        <x:v>1</x:v>
      </x:c>
      <x:c r="E852" s="11" t="n">
        <x:f>D852-C852</x:f>
        <x:v>0</x:v>
      </x:c>
      <x:c r="F852" s="5" t="str">
        <x:v>ja</x:v>
      </x:c>
      <x:c r="G852" s="5" t="str">
        <x:v>WQ</x:v>
      </x:c>
    </x:row>
    <x:row r="853" ht="36" customHeight="1">
      <x:c r="A853" s="5" t="str">
        <x:v>R-0453</x:v>
      </x:c>
      <x:c r="B853" s="5" t="str">
        <x:v>Recht</x:v>
      </x:c>
      <x:c r="C853" s="11" t="n">
        <x:v>1</x:v>
      </x:c>
      <x:c r="D853" s="11" t="n">
        <x:f>COUNTIF('Einzel-ID-Zuordnung'!$A$7:$A$2692,A853)</x:f>
        <x:v>1</x:v>
      </x:c>
      <x:c r="E853" s="11" t="n">
        <x:f>D853-C853</x:f>
        <x:v>0</x:v>
      </x:c>
      <x:c r="F853" s="5" t="str">
        <x:v>ja</x:v>
      </x:c>
      <x:c r="G853" s="5" t="str">
        <x:v>WQ</x:v>
      </x:c>
    </x:row>
    <x:row r="854" ht="36" customHeight="1">
      <x:c r="A854" s="5" t="str">
        <x:v>R-0454</x:v>
      </x:c>
      <x:c r="B854" s="5" t="str">
        <x:v>Recht</x:v>
      </x:c>
      <x:c r="C854" s="11" t="n">
        <x:v>1</x:v>
      </x:c>
      <x:c r="D854" s="11" t="n">
        <x:f>COUNTIF('Einzel-ID-Zuordnung'!$A$7:$A$2692,A854)</x:f>
        <x:v>1</x:v>
      </x:c>
      <x:c r="E854" s="11" t="n">
        <x:f>D854-C854</x:f>
        <x:v>0</x:v>
      </x:c>
      <x:c r="F854" s="5" t="str">
        <x:v>ja</x:v>
      </x:c>
      <x:c r="G854" s="5" t="str">
        <x:v>WQ</x:v>
      </x:c>
    </x:row>
    <x:row r="855" ht="36" customHeight="1">
      <x:c r="A855" s="5" t="str">
        <x:v>R-0455</x:v>
      </x:c>
      <x:c r="B855" s="5" t="str">
        <x:v>Recht</x:v>
      </x:c>
      <x:c r="C855" s="11" t="n">
        <x:v>1</x:v>
      </x:c>
      <x:c r="D855" s="11" t="n">
        <x:f>COUNTIF('Einzel-ID-Zuordnung'!$A$7:$A$2692,A855)</x:f>
        <x:v>1</x:v>
      </x:c>
      <x:c r="E855" s="11" t="n">
        <x:f>D855-C855</x:f>
        <x:v>0</x:v>
      </x:c>
      <x:c r="F855" s="5" t="str">
        <x:v>ja</x:v>
      </x:c>
      <x:c r="G855" s="5" t="str">
        <x:v>WQ</x:v>
      </x:c>
    </x:row>
    <x:row r="856" ht="36" customHeight="1">
      <x:c r="A856" s="5" t="str">
        <x:v>R-0456</x:v>
      </x:c>
      <x:c r="B856" s="5" t="str">
        <x:v>Recht</x:v>
      </x:c>
      <x:c r="C856" s="11" t="n">
        <x:v>1</x:v>
      </x:c>
      <x:c r="D856" s="11" t="n">
        <x:f>COUNTIF('Einzel-ID-Zuordnung'!$A$7:$A$2692,A856)</x:f>
        <x:v>1</x:v>
      </x:c>
      <x:c r="E856" s="11" t="n">
        <x:f>D856-C856</x:f>
        <x:v>0</x:v>
      </x:c>
      <x:c r="F856" s="5" t="str">
        <x:v>ja</x:v>
      </x:c>
      <x:c r="G856" s="5" t="str">
        <x:v>WQ</x:v>
      </x:c>
    </x:row>
    <x:row r="857" ht="36" customHeight="1">
      <x:c r="A857" s="5" t="str">
        <x:v>R-0457</x:v>
      </x:c>
      <x:c r="B857" s="5" t="str">
        <x:v>Recht</x:v>
      </x:c>
      <x:c r="C857" s="11" t="n">
        <x:v>1</x:v>
      </x:c>
      <x:c r="D857" s="11" t="n">
        <x:f>COUNTIF('Einzel-ID-Zuordnung'!$A$7:$A$2692,A857)</x:f>
        <x:v>1</x:v>
      </x:c>
      <x:c r="E857" s="11" t="n">
        <x:f>D857-C857</x:f>
        <x:v>0</x:v>
      </x:c>
      <x:c r="F857" s="5" t="str">
        <x:v>ja</x:v>
      </x:c>
      <x:c r="G857" s="5" t="str">
        <x:v>WQ</x:v>
      </x:c>
    </x:row>
    <x:row r="858" ht="36" customHeight="1">
      <x:c r="A858" s="5" t="str">
        <x:v>R-0458</x:v>
      </x:c>
      <x:c r="B858" s="5" t="str">
        <x:v>Recht</x:v>
      </x:c>
      <x:c r="C858" s="11" t="n">
        <x:v>1</x:v>
      </x:c>
      <x:c r="D858" s="11" t="n">
        <x:f>COUNTIF('Einzel-ID-Zuordnung'!$A$7:$A$2692,A858)</x:f>
        <x:v>1</x:v>
      </x:c>
      <x:c r="E858" s="11" t="n">
        <x:f>D858-C858</x:f>
        <x:v>0</x:v>
      </x:c>
      <x:c r="F858" s="5" t="str">
        <x:v>ja</x:v>
      </x:c>
      <x:c r="G858" s="5" t="str">
        <x:v>WQ</x:v>
      </x:c>
    </x:row>
    <x:row r="859" ht="36" customHeight="1">
      <x:c r="A859" s="5" t="str">
        <x:v>R-0459</x:v>
      </x:c>
      <x:c r="B859" s="5" t="str">
        <x:v>Recht</x:v>
      </x:c>
      <x:c r="C859" s="11" t="n">
        <x:v>1</x:v>
      </x:c>
      <x:c r="D859" s="11" t="n">
        <x:f>COUNTIF('Einzel-ID-Zuordnung'!$A$7:$A$2692,A859)</x:f>
        <x:v>1</x:v>
      </x:c>
      <x:c r="E859" s="11" t="n">
        <x:f>D859-C859</x:f>
        <x:v>0</x:v>
      </x:c>
      <x:c r="F859" s="5" t="str">
        <x:v>ja</x:v>
      </x:c>
      <x:c r="G859" s="5" t="str">
        <x:v>WQ</x:v>
      </x:c>
    </x:row>
    <x:row r="860" ht="36" customHeight="1">
      <x:c r="A860" s="5" t="str">
        <x:v>R-0460</x:v>
      </x:c>
      <x:c r="B860" s="5" t="str">
        <x:v>Recht</x:v>
      </x:c>
      <x:c r="C860" s="11" t="n">
        <x:v>1</x:v>
      </x:c>
      <x:c r="D860" s="11" t="n">
        <x:f>COUNTIF('Einzel-ID-Zuordnung'!$A$7:$A$2692,A860)</x:f>
        <x:v>1</x:v>
      </x:c>
      <x:c r="E860" s="11" t="n">
        <x:f>D860-C860</x:f>
        <x:v>0</x:v>
      </x:c>
      <x:c r="F860" s="5" t="str">
        <x:v>ja</x:v>
      </x:c>
      <x:c r="G860" s="5" t="str">
        <x:v>WQ</x:v>
      </x:c>
    </x:row>
    <x:row r="861" ht="36" customHeight="1">
      <x:c r="A861" s="5" t="str">
        <x:v>R-0461</x:v>
      </x:c>
      <x:c r="B861" s="5" t="str">
        <x:v>Recht</x:v>
      </x:c>
      <x:c r="C861" s="11" t="n">
        <x:v>1</x:v>
      </x:c>
      <x:c r="D861" s="11" t="n">
        <x:f>COUNTIF('Einzel-ID-Zuordnung'!$A$7:$A$2692,A861)</x:f>
        <x:v>1</x:v>
      </x:c>
      <x:c r="E861" s="11" t="n">
        <x:f>D861-C861</x:f>
        <x:v>0</x:v>
      </x:c>
      <x:c r="F861" s="5" t="str">
        <x:v>ja</x:v>
      </x:c>
      <x:c r="G861" s="5" t="str">
        <x:v>WQ</x:v>
      </x:c>
    </x:row>
    <x:row r="862" ht="36" customHeight="1">
      <x:c r="A862" s="5" t="str">
        <x:v>R-0462</x:v>
      </x:c>
      <x:c r="B862" s="5" t="str">
        <x:v>Recht</x:v>
      </x:c>
      <x:c r="C862" s="11" t="n">
        <x:v>1</x:v>
      </x:c>
      <x:c r="D862" s="11" t="n">
        <x:f>COUNTIF('Einzel-ID-Zuordnung'!$A$7:$A$2692,A862)</x:f>
        <x:v>1</x:v>
      </x:c>
      <x:c r="E862" s="11" t="n">
        <x:f>D862-C862</x:f>
        <x:v>0</x:v>
      </x:c>
      <x:c r="F862" s="5" t="str">
        <x:v>ja</x:v>
      </x:c>
      <x:c r="G862" s="5" t="str">
        <x:v>WQ</x:v>
      </x:c>
    </x:row>
    <x:row r="863" ht="36" customHeight="1">
      <x:c r="A863" s="5" t="str">
        <x:v>R-0463</x:v>
      </x:c>
      <x:c r="B863" s="5" t="str">
        <x:v>Recht</x:v>
      </x:c>
      <x:c r="C863" s="11" t="n">
        <x:v>1</x:v>
      </x:c>
      <x:c r="D863" s="11" t="n">
        <x:f>COUNTIF('Einzel-ID-Zuordnung'!$A$7:$A$2692,A863)</x:f>
        <x:v>1</x:v>
      </x:c>
      <x:c r="E863" s="11" t="n">
        <x:f>D863-C863</x:f>
        <x:v>0</x:v>
      </x:c>
      <x:c r="F863" s="5" t="str">
        <x:v>ja</x:v>
      </x:c>
      <x:c r="G863" s="5" t="str">
        <x:v>WQ</x:v>
      </x:c>
    </x:row>
    <x:row r="864" ht="36" customHeight="1">
      <x:c r="A864" s="5" t="str">
        <x:v>R-0464</x:v>
      </x:c>
      <x:c r="B864" s="5" t="str">
        <x:v>Recht</x:v>
      </x:c>
      <x:c r="C864" s="11" t="n">
        <x:v>1</x:v>
      </x:c>
      <x:c r="D864" s="11" t="n">
        <x:f>COUNTIF('Einzel-ID-Zuordnung'!$A$7:$A$2692,A864)</x:f>
        <x:v>1</x:v>
      </x:c>
      <x:c r="E864" s="11" t="n">
        <x:f>D864-C864</x:f>
        <x:v>0</x:v>
      </x:c>
      <x:c r="F864" s="5" t="str">
        <x:v>ja</x:v>
      </x:c>
      <x:c r="G864" s="5" t="str">
        <x:v>WQ</x:v>
      </x:c>
    </x:row>
    <x:row r="865" ht="36" customHeight="1">
      <x:c r="A865" s="5" t="str">
        <x:v>R-0465</x:v>
      </x:c>
      <x:c r="B865" s="5" t="str">
        <x:v>Recht</x:v>
      </x:c>
      <x:c r="C865" s="11" t="n">
        <x:v>1</x:v>
      </x:c>
      <x:c r="D865" s="11" t="n">
        <x:f>COUNTIF('Einzel-ID-Zuordnung'!$A$7:$A$2692,A865)</x:f>
        <x:v>1</x:v>
      </x:c>
      <x:c r="E865" s="11" t="n">
        <x:f>D865-C865</x:f>
        <x:v>0</x:v>
      </x:c>
      <x:c r="F865" s="5" t="str">
        <x:v>ja</x:v>
      </x:c>
      <x:c r="G865" s="5" t="str">
        <x:v>WQ</x:v>
      </x:c>
    </x:row>
    <x:row r="866" ht="36" customHeight="1">
      <x:c r="A866" s="5" t="str">
        <x:v>R-0466</x:v>
      </x:c>
      <x:c r="B866" s="5" t="str">
        <x:v>Recht</x:v>
      </x:c>
      <x:c r="C866" s="11" t="n">
        <x:v>1</x:v>
      </x:c>
      <x:c r="D866" s="11" t="n">
        <x:f>COUNTIF('Einzel-ID-Zuordnung'!$A$7:$A$2692,A866)</x:f>
        <x:v>1</x:v>
      </x:c>
      <x:c r="E866" s="11" t="n">
        <x:f>D866-C866</x:f>
        <x:v>0</x:v>
      </x:c>
      <x:c r="F866" s="5" t="str">
        <x:v>ja</x:v>
      </x:c>
      <x:c r="G866" s="5" t="str">
        <x:v>WQ</x:v>
      </x:c>
    </x:row>
    <x:row r="867" ht="36" customHeight="1">
      <x:c r="A867" s="5" t="str">
        <x:v>R-0467</x:v>
      </x:c>
      <x:c r="B867" s="5" t="str">
        <x:v>Recht</x:v>
      </x:c>
      <x:c r="C867" s="11" t="n">
        <x:v>1</x:v>
      </x:c>
      <x:c r="D867" s="11" t="n">
        <x:f>COUNTIF('Einzel-ID-Zuordnung'!$A$7:$A$2692,A867)</x:f>
        <x:v>1</x:v>
      </x:c>
      <x:c r="E867" s="11" t="n">
        <x:f>D867-C867</x:f>
        <x:v>0</x:v>
      </x:c>
      <x:c r="F867" s="5" t="str">
        <x:v>ja</x:v>
      </x:c>
      <x:c r="G867" s="5" t="str">
        <x:v>WQ</x:v>
      </x:c>
    </x:row>
    <x:row r="868" ht="36" customHeight="1">
      <x:c r="A868" s="5" t="str">
        <x:v>R-0468</x:v>
      </x:c>
      <x:c r="B868" s="5" t="str">
        <x:v>Recht</x:v>
      </x:c>
      <x:c r="C868" s="11" t="n">
        <x:v>1</x:v>
      </x:c>
      <x:c r="D868" s="11" t="n">
        <x:f>COUNTIF('Einzel-ID-Zuordnung'!$A$7:$A$2692,A868)</x:f>
        <x:v>1</x:v>
      </x:c>
      <x:c r="E868" s="11" t="n">
        <x:f>D868-C868</x:f>
        <x:v>0</x:v>
      </x:c>
      <x:c r="F868" s="5" t="str">
        <x:v>ja</x:v>
      </x:c>
      <x:c r="G868" s="5" t="str">
        <x:v>WQ</x:v>
      </x:c>
    </x:row>
    <x:row r="869" ht="36" customHeight="1">
      <x:c r="A869" s="5" t="str">
        <x:v>R-0469</x:v>
      </x:c>
      <x:c r="B869" s="5" t="str">
        <x:v>Recht</x:v>
      </x:c>
      <x:c r="C869" s="11" t="n">
        <x:v>1</x:v>
      </x:c>
      <x:c r="D869" s="11" t="n">
        <x:f>COUNTIF('Einzel-ID-Zuordnung'!$A$7:$A$2692,A869)</x:f>
        <x:v>1</x:v>
      </x:c>
      <x:c r="E869" s="11" t="n">
        <x:f>D869-C869</x:f>
        <x:v>0</x:v>
      </x:c>
      <x:c r="F869" s="5" t="str">
        <x:v>ja</x:v>
      </x:c>
      <x:c r="G869" s="5" t="str">
        <x:v>WQ</x:v>
      </x:c>
    </x:row>
    <x:row r="870" ht="36" customHeight="1">
      <x:c r="A870" s="5" t="str">
        <x:v>R-0470</x:v>
      </x:c>
      <x:c r="B870" s="5" t="str">
        <x:v>Recht</x:v>
      </x:c>
      <x:c r="C870" s="11" t="n">
        <x:v>1</x:v>
      </x:c>
      <x:c r="D870" s="11" t="n">
        <x:f>COUNTIF('Einzel-ID-Zuordnung'!$A$7:$A$2692,A870)</x:f>
        <x:v>1</x:v>
      </x:c>
      <x:c r="E870" s="11" t="n">
        <x:f>D870-C870</x:f>
        <x:v>0</x:v>
      </x:c>
      <x:c r="F870" s="5" t="str">
        <x:v>ja</x:v>
      </x:c>
      <x:c r="G870" s="5" t="str">
        <x:v>WQ</x:v>
      </x:c>
    </x:row>
    <x:row r="871" ht="36" customHeight="1">
      <x:c r="A871" s="5" t="str">
        <x:v>R-0471</x:v>
      </x:c>
      <x:c r="B871" s="5" t="str">
        <x:v>Recht</x:v>
      </x:c>
      <x:c r="C871" s="11" t="n">
        <x:v>1</x:v>
      </x:c>
      <x:c r="D871" s="11" t="n">
        <x:f>COUNTIF('Einzel-ID-Zuordnung'!$A$7:$A$2692,A871)</x:f>
        <x:v>1</x:v>
      </x:c>
      <x:c r="E871" s="11" t="n">
        <x:f>D871-C871</x:f>
        <x:v>0</x:v>
      </x:c>
      <x:c r="F871" s="5" t="str">
        <x:v>ja</x:v>
      </x:c>
      <x:c r="G871" s="5" t="str">
        <x:v>WQ</x:v>
      </x:c>
    </x:row>
    <x:row r="872" ht="36" customHeight="1">
      <x:c r="A872" s="5" t="str">
        <x:v>R-0472</x:v>
      </x:c>
      <x:c r="B872" s="5" t="str">
        <x:v>Recht</x:v>
      </x:c>
      <x:c r="C872" s="11" t="n">
        <x:v>1</x:v>
      </x:c>
      <x:c r="D872" s="11" t="n">
        <x:f>COUNTIF('Einzel-ID-Zuordnung'!$A$7:$A$2692,A872)</x:f>
        <x:v>1</x:v>
      </x:c>
      <x:c r="E872" s="11" t="n">
        <x:f>D872-C872</x:f>
        <x:v>0</x:v>
      </x:c>
      <x:c r="F872" s="5" t="str">
        <x:v>ja</x:v>
      </x:c>
      <x:c r="G872" s="5" t="str">
        <x:v>WQ</x:v>
      </x:c>
    </x:row>
    <x:row r="873" ht="36" customHeight="1">
      <x:c r="A873" s="5" t="str">
        <x:v>R-0473</x:v>
      </x:c>
      <x:c r="B873" s="5" t="str">
        <x:v>Recht</x:v>
      </x:c>
      <x:c r="C873" s="11" t="n">
        <x:v>1</x:v>
      </x:c>
      <x:c r="D873" s="11" t="n">
        <x:f>COUNTIF('Einzel-ID-Zuordnung'!$A$7:$A$2692,A873)</x:f>
        <x:v>1</x:v>
      </x:c>
      <x:c r="E873" s="11" t="n">
        <x:f>D873-C873</x:f>
        <x:v>0</x:v>
      </x:c>
      <x:c r="F873" s="5" t="str">
        <x:v>ja</x:v>
      </x:c>
      <x:c r="G873" s="5" t="str">
        <x:v>WQ</x:v>
      </x:c>
    </x:row>
    <x:row r="874" ht="36" customHeight="1">
      <x:c r="A874" s="5" t="str">
        <x:v>R-0474</x:v>
      </x:c>
      <x:c r="B874" s="5" t="str">
        <x:v>Recht</x:v>
      </x:c>
      <x:c r="C874" s="11" t="n">
        <x:v>1</x:v>
      </x:c>
      <x:c r="D874" s="11" t="n">
        <x:f>COUNTIF('Einzel-ID-Zuordnung'!$A$7:$A$2692,A874)</x:f>
        <x:v>1</x:v>
      </x:c>
      <x:c r="E874" s="11" t="n">
        <x:f>D874-C874</x:f>
        <x:v>0</x:v>
      </x:c>
      <x:c r="F874" s="5" t="str">
        <x:v>ja</x:v>
      </x:c>
      <x:c r="G874" s="5" t="str">
        <x:v>WQ</x:v>
      </x:c>
    </x:row>
    <x:row r="875" ht="36" customHeight="1">
      <x:c r="A875" s="5" t="str">
        <x:v>R-0475</x:v>
      </x:c>
      <x:c r="B875" s="5" t="str">
        <x:v>Recht</x:v>
      </x:c>
      <x:c r="C875" s="11" t="n">
        <x:v>1</x:v>
      </x:c>
      <x:c r="D875" s="11" t="n">
        <x:f>COUNTIF('Einzel-ID-Zuordnung'!$A$7:$A$2692,A875)</x:f>
        <x:v>1</x:v>
      </x:c>
      <x:c r="E875" s="11" t="n">
        <x:f>D875-C875</x:f>
        <x:v>0</x:v>
      </x:c>
      <x:c r="F875" s="5" t="str">
        <x:v>ja</x:v>
      </x:c>
      <x:c r="G875" s="5" t="str">
        <x:v>WQ</x:v>
      </x:c>
    </x:row>
    <x:row r="876" ht="36" customHeight="1">
      <x:c r="A876" s="5" t="str">
        <x:v>R-0476</x:v>
      </x:c>
      <x:c r="B876" s="5" t="str">
        <x:v>Recht</x:v>
      </x:c>
      <x:c r="C876" s="11" t="n">
        <x:v>1</x:v>
      </x:c>
      <x:c r="D876" s="11" t="n">
        <x:f>COUNTIF('Einzel-ID-Zuordnung'!$A$7:$A$2692,A876)</x:f>
        <x:v>1</x:v>
      </x:c>
      <x:c r="E876" s="11" t="n">
        <x:f>D876-C876</x:f>
        <x:v>0</x:v>
      </x:c>
      <x:c r="F876" s="5" t="str">
        <x:v>ja</x:v>
      </x:c>
      <x:c r="G876" s="5" t="str">
        <x:v>WQ</x:v>
      </x:c>
    </x:row>
    <x:row r="877" ht="36" customHeight="1">
      <x:c r="A877" s="5" t="str">
        <x:v>R-0477</x:v>
      </x:c>
      <x:c r="B877" s="5" t="str">
        <x:v>Recht</x:v>
      </x:c>
      <x:c r="C877" s="11" t="n">
        <x:v>1</x:v>
      </x:c>
      <x:c r="D877" s="11" t="n">
        <x:f>COUNTIF('Einzel-ID-Zuordnung'!$A$7:$A$2692,A877)</x:f>
        <x:v>1</x:v>
      </x:c>
      <x:c r="E877" s="11" t="n">
        <x:f>D877-C877</x:f>
        <x:v>0</x:v>
      </x:c>
      <x:c r="F877" s="5" t="str">
        <x:v>ja</x:v>
      </x:c>
      <x:c r="G877" s="5" t="str">
        <x:v>WQ</x:v>
      </x:c>
    </x:row>
    <x:row r="878" ht="36" customHeight="1">
      <x:c r="A878" s="5" t="str">
        <x:v>R-0478</x:v>
      </x:c>
      <x:c r="B878" s="5" t="str">
        <x:v>Recht</x:v>
      </x:c>
      <x:c r="C878" s="11" t="n">
        <x:v>1</x:v>
      </x:c>
      <x:c r="D878" s="11" t="n">
        <x:f>COUNTIF('Einzel-ID-Zuordnung'!$A$7:$A$2692,A878)</x:f>
        <x:v>1</x:v>
      </x:c>
      <x:c r="E878" s="11" t="n">
        <x:f>D878-C878</x:f>
        <x:v>0</x:v>
      </x:c>
      <x:c r="F878" s="5" t="str">
        <x:v>ja</x:v>
      </x:c>
      <x:c r="G878" s="5" t="str">
        <x:v>WQ</x:v>
      </x:c>
    </x:row>
    <x:row r="879" ht="36" customHeight="1">
      <x:c r="A879" s="5" t="str">
        <x:v>R-0479</x:v>
      </x:c>
      <x:c r="B879" s="5" t="str">
        <x:v>Recht</x:v>
      </x:c>
      <x:c r="C879" s="11" t="n">
        <x:v>1</x:v>
      </x:c>
      <x:c r="D879" s="11" t="n">
        <x:f>COUNTIF('Einzel-ID-Zuordnung'!$A$7:$A$2692,A879)</x:f>
        <x:v>1</x:v>
      </x:c>
      <x:c r="E879" s="11" t="n">
        <x:f>D879-C879</x:f>
        <x:v>0</x:v>
      </x:c>
      <x:c r="F879" s="5" t="str">
        <x:v>ja</x:v>
      </x:c>
      <x:c r="G879" s="5" t="str">
        <x:v>WQ</x:v>
      </x:c>
    </x:row>
    <x:row r="880" ht="36" customHeight="1">
      <x:c r="A880" s="5" t="str">
        <x:v>R-0480</x:v>
      </x:c>
      <x:c r="B880" s="5" t="str">
        <x:v>Recht</x:v>
      </x:c>
      <x:c r="C880" s="11" t="n">
        <x:v>1</x:v>
      </x:c>
      <x:c r="D880" s="11" t="n">
        <x:f>COUNTIF('Einzel-ID-Zuordnung'!$A$7:$A$2692,A880)</x:f>
        <x:v>1</x:v>
      </x:c>
      <x:c r="E880" s="11" t="n">
        <x:f>D880-C880</x:f>
        <x:v>0</x:v>
      </x:c>
      <x:c r="F880" s="5" t="str">
        <x:v>ja</x:v>
      </x:c>
      <x:c r="G880" s="5" t="str">
        <x:v>WQ</x:v>
      </x:c>
    </x:row>
    <x:row r="881" ht="36" customHeight="1">
      <x:c r="A881" s="5" t="str">
        <x:v>R-0481</x:v>
      </x:c>
      <x:c r="B881" s="5" t="str">
        <x:v>Recht</x:v>
      </x:c>
      <x:c r="C881" s="11" t="n">
        <x:v>1</x:v>
      </x:c>
      <x:c r="D881" s="11" t="n">
        <x:f>COUNTIF('Einzel-ID-Zuordnung'!$A$7:$A$2692,A881)</x:f>
        <x:v>1</x:v>
      </x:c>
      <x:c r="E881" s="11" t="n">
        <x:f>D881-C881</x:f>
        <x:v>0</x:v>
      </x:c>
      <x:c r="F881" s="5" t="str">
        <x:v>ja</x:v>
      </x:c>
      <x:c r="G881" s="5" t="str">
        <x:v>WQ</x:v>
      </x:c>
    </x:row>
    <x:row r="882" ht="36" customHeight="1">
      <x:c r="A882" s="5" t="str">
        <x:v>R-0482</x:v>
      </x:c>
      <x:c r="B882" s="5" t="str">
        <x:v>Recht</x:v>
      </x:c>
      <x:c r="C882" s="11" t="n">
        <x:v>1</x:v>
      </x:c>
      <x:c r="D882" s="11" t="n">
        <x:f>COUNTIF('Einzel-ID-Zuordnung'!$A$7:$A$2692,A882)</x:f>
        <x:v>1</x:v>
      </x:c>
      <x:c r="E882" s="11" t="n">
        <x:f>D882-C882</x:f>
        <x:v>0</x:v>
      </x:c>
      <x:c r="F882" s="5" t="str">
        <x:v>ja</x:v>
      </x:c>
      <x:c r="G882" s="5" t="str">
        <x:v>WQ</x:v>
      </x:c>
    </x:row>
    <x:row r="883" ht="36" customHeight="1">
      <x:c r="A883" s="5" t="str">
        <x:v>R-0483</x:v>
      </x:c>
      <x:c r="B883" s="5" t="str">
        <x:v>Recht</x:v>
      </x:c>
      <x:c r="C883" s="11" t="n">
        <x:v>1</x:v>
      </x:c>
      <x:c r="D883" s="11" t="n">
        <x:f>COUNTIF('Einzel-ID-Zuordnung'!$A$7:$A$2692,A883)</x:f>
        <x:v>1</x:v>
      </x:c>
      <x:c r="E883" s="11" t="n">
        <x:f>D883-C883</x:f>
        <x:v>0</x:v>
      </x:c>
      <x:c r="F883" s="5" t="str">
        <x:v>ja</x:v>
      </x:c>
      <x:c r="G883" s="5" t="str">
        <x:v>WQ</x:v>
      </x:c>
    </x:row>
    <x:row r="884" ht="36" customHeight="1">
      <x:c r="A884" s="5" t="str">
        <x:v>R-0484</x:v>
      </x:c>
      <x:c r="B884" s="5" t="str">
        <x:v>Recht</x:v>
      </x:c>
      <x:c r="C884" s="11" t="n">
        <x:v>1</x:v>
      </x:c>
      <x:c r="D884" s="11" t="n">
        <x:f>COUNTIF('Einzel-ID-Zuordnung'!$A$7:$A$2692,A884)</x:f>
        <x:v>1</x:v>
      </x:c>
      <x:c r="E884" s="11" t="n">
        <x:f>D884-C884</x:f>
        <x:v>0</x:v>
      </x:c>
      <x:c r="F884" s="5" t="str">
        <x:v>ja</x:v>
      </x:c>
      <x:c r="G884" s="5" t="str">
        <x:v>WQ</x:v>
      </x:c>
    </x:row>
    <x:row r="885" ht="36" customHeight="1">
      <x:c r="A885" s="5" t="str">
        <x:v>R-0485</x:v>
      </x:c>
      <x:c r="B885" s="5" t="str">
        <x:v>Recht</x:v>
      </x:c>
      <x:c r="C885" s="11" t="n">
        <x:v>1</x:v>
      </x:c>
      <x:c r="D885" s="11" t="n">
        <x:f>COUNTIF('Einzel-ID-Zuordnung'!$A$7:$A$2692,A885)</x:f>
        <x:v>1</x:v>
      </x:c>
      <x:c r="E885" s="11" t="n">
        <x:f>D885-C885</x:f>
        <x:v>0</x:v>
      </x:c>
      <x:c r="F885" s="5" t="str">
        <x:v>ja</x:v>
      </x:c>
      <x:c r="G885" s="5" t="str">
        <x:v>WQ</x:v>
      </x:c>
    </x:row>
    <x:row r="886" ht="36" customHeight="1">
      <x:c r="A886" s="5" t="str">
        <x:v>R-0486</x:v>
      </x:c>
      <x:c r="B886" s="5" t="str">
        <x:v>Recht</x:v>
      </x:c>
      <x:c r="C886" s="11" t="n">
        <x:v>1</x:v>
      </x:c>
      <x:c r="D886" s="11" t="n">
        <x:f>COUNTIF('Einzel-ID-Zuordnung'!$A$7:$A$2692,A886)</x:f>
        <x:v>1</x:v>
      </x:c>
      <x:c r="E886" s="11" t="n">
        <x:f>D886-C886</x:f>
        <x:v>0</x:v>
      </x:c>
      <x:c r="F886" s="5" t="str">
        <x:v>ja</x:v>
      </x:c>
      <x:c r="G886" s="5" t="str">
        <x:v>WQ</x:v>
      </x:c>
    </x:row>
    <x:row r="887" ht="36" customHeight="1">
      <x:c r="A887" s="5" t="str">
        <x:v>R-0487</x:v>
      </x:c>
      <x:c r="B887" s="5" t="str">
        <x:v>Recht</x:v>
      </x:c>
      <x:c r="C887" s="11" t="n">
        <x:v>1</x:v>
      </x:c>
      <x:c r="D887" s="11" t="n">
        <x:f>COUNTIF('Einzel-ID-Zuordnung'!$A$7:$A$2692,A887)</x:f>
        <x:v>1</x:v>
      </x:c>
      <x:c r="E887" s="11" t="n">
        <x:f>D887-C887</x:f>
        <x:v>0</x:v>
      </x:c>
      <x:c r="F887" s="5" t="str">
        <x:v>ja</x:v>
      </x:c>
      <x:c r="G887" s="5" t="str">
        <x:v>WQ</x:v>
      </x:c>
    </x:row>
    <x:row r="888" ht="36" customHeight="1">
      <x:c r="A888" s="5" t="str">
        <x:v>R-0488</x:v>
      </x:c>
      <x:c r="B888" s="5" t="str">
        <x:v>Recht</x:v>
      </x:c>
      <x:c r="C888" s="11" t="n">
        <x:v>1</x:v>
      </x:c>
      <x:c r="D888" s="11" t="n">
        <x:f>COUNTIF('Einzel-ID-Zuordnung'!$A$7:$A$2692,A888)</x:f>
        <x:v>1</x:v>
      </x:c>
      <x:c r="E888" s="11" t="n">
        <x:f>D888-C888</x:f>
        <x:v>0</x:v>
      </x:c>
      <x:c r="F888" s="5" t="str">
        <x:v>ja</x:v>
      </x:c>
      <x:c r="G888" s="5" t="str">
        <x:v>WQ</x:v>
      </x:c>
    </x:row>
    <x:row r="889" ht="36" customHeight="1">
      <x:c r="A889" s="5" t="str">
        <x:v>R-0489</x:v>
      </x:c>
      <x:c r="B889" s="5" t="str">
        <x:v>Recht</x:v>
      </x:c>
      <x:c r="C889" s="11" t="n">
        <x:v>1</x:v>
      </x:c>
      <x:c r="D889" s="11" t="n">
        <x:f>COUNTIF('Einzel-ID-Zuordnung'!$A$7:$A$2692,A889)</x:f>
        <x:v>1</x:v>
      </x:c>
      <x:c r="E889" s="11" t="n">
        <x:f>D889-C889</x:f>
        <x:v>0</x:v>
      </x:c>
      <x:c r="F889" s="5" t="str">
        <x:v>ja</x:v>
      </x:c>
      <x:c r="G889" s="5" t="str">
        <x:v>WQ</x:v>
      </x:c>
    </x:row>
    <x:row r="890" ht="36" customHeight="1">
      <x:c r="A890" s="5" t="str">
        <x:v>R-0490</x:v>
      </x:c>
      <x:c r="B890" s="5" t="str">
        <x:v>Recht</x:v>
      </x:c>
      <x:c r="C890" s="11" t="n">
        <x:v>1</x:v>
      </x:c>
      <x:c r="D890" s="11" t="n">
        <x:f>COUNTIF('Einzel-ID-Zuordnung'!$A$7:$A$2692,A890)</x:f>
        <x:v>1</x:v>
      </x:c>
      <x:c r="E890" s="11" t="n">
        <x:f>D890-C890</x:f>
        <x:v>0</x:v>
      </x:c>
      <x:c r="F890" s="5" t="str">
        <x:v>ja</x:v>
      </x:c>
      <x:c r="G890" s="5" t="str">
        <x:v>WQ</x:v>
      </x:c>
    </x:row>
    <x:row r="891" ht="36" customHeight="1">
      <x:c r="A891" s="5" t="str">
        <x:v>R-0491</x:v>
      </x:c>
      <x:c r="B891" s="5" t="str">
        <x:v>Recht</x:v>
      </x:c>
      <x:c r="C891" s="11" t="n">
        <x:v>1</x:v>
      </x:c>
      <x:c r="D891" s="11" t="n">
        <x:f>COUNTIF('Einzel-ID-Zuordnung'!$A$7:$A$2692,A891)</x:f>
        <x:v>1</x:v>
      </x:c>
      <x:c r="E891" s="11" t="n">
        <x:f>D891-C891</x:f>
        <x:v>0</x:v>
      </x:c>
      <x:c r="F891" s="5" t="str">
        <x:v>ja</x:v>
      </x:c>
      <x:c r="G891" s="5" t="str">
        <x:v>WQ</x:v>
      </x:c>
    </x:row>
    <x:row r="892" ht="36" customHeight="1">
      <x:c r="A892" s="5" t="str">
        <x:v>R-0492</x:v>
      </x:c>
      <x:c r="B892" s="5" t="str">
        <x:v>Recht</x:v>
      </x:c>
      <x:c r="C892" s="11" t="n">
        <x:v>1</x:v>
      </x:c>
      <x:c r="D892" s="11" t="n">
        <x:f>COUNTIF('Einzel-ID-Zuordnung'!$A$7:$A$2692,A892)</x:f>
        <x:v>1</x:v>
      </x:c>
      <x:c r="E892" s="11" t="n">
        <x:f>D892-C892</x:f>
        <x:v>0</x:v>
      </x:c>
      <x:c r="F892" s="5" t="str">
        <x:v>ja</x:v>
      </x:c>
      <x:c r="G892" s="5" t="str">
        <x:v>WQ</x:v>
      </x:c>
    </x:row>
    <x:row r="893" ht="36" customHeight="1">
      <x:c r="A893" s="5" t="str">
        <x:v>R-0493</x:v>
      </x:c>
      <x:c r="B893" s="5" t="str">
        <x:v>Recht</x:v>
      </x:c>
      <x:c r="C893" s="11" t="n">
        <x:v>1</x:v>
      </x:c>
      <x:c r="D893" s="11" t="n">
        <x:f>COUNTIF('Einzel-ID-Zuordnung'!$A$7:$A$2692,A893)</x:f>
        <x:v>1</x:v>
      </x:c>
      <x:c r="E893" s="11" t="n">
        <x:f>D893-C893</x:f>
        <x:v>0</x:v>
      </x:c>
      <x:c r="F893" s="5" t="str">
        <x:v>ja</x:v>
      </x:c>
      <x:c r="G893" s="5" t="str">
        <x:v>WQ</x:v>
      </x:c>
    </x:row>
    <x:row r="894" ht="36" customHeight="1">
      <x:c r="A894" s="5" t="str">
        <x:v>R-0494</x:v>
      </x:c>
      <x:c r="B894" s="5" t="str">
        <x:v>Recht</x:v>
      </x:c>
      <x:c r="C894" s="11" t="n">
        <x:v>1</x:v>
      </x:c>
      <x:c r="D894" s="11" t="n">
        <x:f>COUNTIF('Einzel-ID-Zuordnung'!$A$7:$A$2692,A894)</x:f>
        <x:v>1</x:v>
      </x:c>
      <x:c r="E894" s="11" t="n">
        <x:f>D894-C894</x:f>
        <x:v>0</x:v>
      </x:c>
      <x:c r="F894" s="5" t="str">
        <x:v>ja</x:v>
      </x:c>
      <x:c r="G894" s="5" t="str">
        <x:v>WQ</x:v>
      </x:c>
    </x:row>
    <x:row r="895" ht="36" customHeight="1">
      <x:c r="A895" s="5" t="str">
        <x:v>R-0495</x:v>
      </x:c>
      <x:c r="B895" s="5" t="str">
        <x:v>Recht</x:v>
      </x:c>
      <x:c r="C895" s="11" t="n">
        <x:v>1</x:v>
      </x:c>
      <x:c r="D895" s="11" t="n">
        <x:f>COUNTIF('Einzel-ID-Zuordnung'!$A$7:$A$2692,A895)</x:f>
        <x:v>1</x:v>
      </x:c>
      <x:c r="E895" s="11" t="n">
        <x:f>D895-C895</x:f>
        <x:v>0</x:v>
      </x:c>
      <x:c r="F895" s="5" t="str">
        <x:v>ja</x:v>
      </x:c>
      <x:c r="G895" s="5" t="str">
        <x:v>WQ</x:v>
      </x:c>
    </x:row>
    <x:row r="896" ht="36" customHeight="1">
      <x:c r="A896" s="5" t="str">
        <x:v>R-0496</x:v>
      </x:c>
      <x:c r="B896" s="5" t="str">
        <x:v>Recht</x:v>
      </x:c>
      <x:c r="C896" s="11" t="n">
        <x:v>1</x:v>
      </x:c>
      <x:c r="D896" s="11" t="n">
        <x:f>COUNTIF('Einzel-ID-Zuordnung'!$A$7:$A$2692,A896)</x:f>
        <x:v>1</x:v>
      </x:c>
      <x:c r="E896" s="11" t="n">
        <x:f>D896-C896</x:f>
        <x:v>0</x:v>
      </x:c>
      <x:c r="F896" s="5" t="str">
        <x:v>ja</x:v>
      </x:c>
      <x:c r="G896" s="5" t="str">
        <x:v>WQ</x:v>
      </x:c>
    </x:row>
    <x:row r="897" ht="36" customHeight="1">
      <x:c r="A897" s="5" t="str">
        <x:v>R-0497</x:v>
      </x:c>
      <x:c r="B897" s="5" t="str">
        <x:v>Recht</x:v>
      </x:c>
      <x:c r="C897" s="11" t="n">
        <x:v>1</x:v>
      </x:c>
      <x:c r="D897" s="11" t="n">
        <x:f>COUNTIF('Einzel-ID-Zuordnung'!$A$7:$A$2692,A897)</x:f>
        <x:v>1</x:v>
      </x:c>
      <x:c r="E897" s="11" t="n">
        <x:f>D897-C897</x:f>
        <x:v>0</x:v>
      </x:c>
      <x:c r="F897" s="5" t="str">
        <x:v>ja</x:v>
      </x:c>
      <x:c r="G897" s="5" t="str">
        <x:v>WQ</x:v>
      </x:c>
    </x:row>
    <x:row r="898" ht="36" customHeight="1">
      <x:c r="A898" s="5" t="str">
        <x:v>R-0498</x:v>
      </x:c>
      <x:c r="B898" s="5" t="str">
        <x:v>Recht</x:v>
      </x:c>
      <x:c r="C898" s="11" t="n">
        <x:v>1</x:v>
      </x:c>
      <x:c r="D898" s="11" t="n">
        <x:f>COUNTIF('Einzel-ID-Zuordnung'!$A$7:$A$2692,A898)</x:f>
        <x:v>1</x:v>
      </x:c>
      <x:c r="E898" s="11" t="n">
        <x:f>D898-C898</x:f>
        <x:v>0</x:v>
      </x:c>
      <x:c r="F898" s="5" t="str">
        <x:v>ja</x:v>
      </x:c>
      <x:c r="G898" s="5" t="str">
        <x:v>WQ</x:v>
      </x:c>
    </x:row>
    <x:row r="899" ht="36" customHeight="1">
      <x:c r="A899" s="5" t="str">
        <x:v>R-0499</x:v>
      </x:c>
      <x:c r="B899" s="5" t="str">
        <x:v>Recht</x:v>
      </x:c>
      <x:c r="C899" s="11" t="n">
        <x:v>1</x:v>
      </x:c>
      <x:c r="D899" s="11" t="n">
        <x:f>COUNTIF('Einzel-ID-Zuordnung'!$A$7:$A$2692,A899)</x:f>
        <x:v>1</x:v>
      </x:c>
      <x:c r="E899" s="11" t="n">
        <x:f>D899-C899</x:f>
        <x:v>0</x:v>
      </x:c>
      <x:c r="F899" s="5" t="str">
        <x:v>ja</x:v>
      </x:c>
      <x:c r="G899" s="5" t="str">
        <x:v>WQ</x:v>
      </x:c>
    </x:row>
    <x:row r="900" ht="36" customHeight="1">
      <x:c r="A900" s="5" t="str">
        <x:v>R-0500</x:v>
      </x:c>
      <x:c r="B900" s="5" t="str">
        <x:v>Recht</x:v>
      </x:c>
      <x:c r="C900" s="11" t="n">
        <x:v>1</x:v>
      </x:c>
      <x:c r="D900" s="11" t="n">
        <x:f>COUNTIF('Einzel-ID-Zuordnung'!$A$7:$A$2692,A900)</x:f>
        <x:v>1</x:v>
      </x:c>
      <x:c r="E900" s="11" t="n">
        <x:f>D900-C900</x:f>
        <x:v>0</x:v>
      </x:c>
      <x:c r="F900" s="5" t="str">
        <x:v>ja</x:v>
      </x:c>
      <x:c r="G900" s="5" t="str">
        <x:v>WQ</x:v>
      </x:c>
    </x:row>
    <x:row r="901" ht="36" customHeight="1">
      <x:c r="A901" s="5" t="str">
        <x:v>R-0501</x:v>
      </x:c>
      <x:c r="B901" s="5" t="str">
        <x:v>Recht</x:v>
      </x:c>
      <x:c r="C901" s="11" t="n">
        <x:v>1</x:v>
      </x:c>
      <x:c r="D901" s="11" t="n">
        <x:f>COUNTIF('Einzel-ID-Zuordnung'!$A$7:$A$2692,A901)</x:f>
        <x:v>1</x:v>
      </x:c>
      <x:c r="E901" s="11" t="n">
        <x:f>D901-C901</x:f>
        <x:v>0</x:v>
      </x:c>
      <x:c r="F901" s="5" t="str">
        <x:v>ja</x:v>
      </x:c>
      <x:c r="G901" s="5" t="str">
        <x:v>WQ</x:v>
      </x:c>
    </x:row>
    <x:row r="902" ht="36" customHeight="1">
      <x:c r="A902" s="5" t="str">
        <x:v>R-0502</x:v>
      </x:c>
      <x:c r="B902" s="5" t="str">
        <x:v>Recht</x:v>
      </x:c>
      <x:c r="C902" s="11" t="n">
        <x:v>1</x:v>
      </x:c>
      <x:c r="D902" s="11" t="n">
        <x:f>COUNTIF('Einzel-ID-Zuordnung'!$A$7:$A$2692,A902)</x:f>
        <x:v>1</x:v>
      </x:c>
      <x:c r="E902" s="11" t="n">
        <x:f>D902-C902</x:f>
        <x:v>0</x:v>
      </x:c>
      <x:c r="F902" s="5" t="str">
        <x:v>ja</x:v>
      </x:c>
      <x:c r="G902" s="5" t="str">
        <x:v>WQ</x:v>
      </x:c>
    </x:row>
    <x:row r="903" ht="36" customHeight="1">
      <x:c r="A903" s="5" t="str">
        <x:v>R-0503</x:v>
      </x:c>
      <x:c r="B903" s="5" t="str">
        <x:v>Recht</x:v>
      </x:c>
      <x:c r="C903" s="11" t="n">
        <x:v>1</x:v>
      </x:c>
      <x:c r="D903" s="11" t="n">
        <x:f>COUNTIF('Einzel-ID-Zuordnung'!$A$7:$A$2692,A903)</x:f>
        <x:v>1</x:v>
      </x:c>
      <x:c r="E903" s="11" t="n">
        <x:f>D903-C903</x:f>
        <x:v>0</x:v>
      </x:c>
      <x:c r="F903" s="5" t="str">
        <x:v>ja</x:v>
      </x:c>
      <x:c r="G903" s="5" t="str">
        <x:v>WQ</x:v>
      </x:c>
    </x:row>
    <x:row r="904" ht="36" customHeight="1">
      <x:c r="A904" s="5" t="str">
        <x:v>R-0504</x:v>
      </x:c>
      <x:c r="B904" s="5" t="str">
        <x:v>Recht</x:v>
      </x:c>
      <x:c r="C904" s="11" t="n">
        <x:v>1</x:v>
      </x:c>
      <x:c r="D904" s="11" t="n">
        <x:f>COUNTIF('Einzel-ID-Zuordnung'!$A$7:$A$2692,A904)</x:f>
        <x:v>1</x:v>
      </x:c>
      <x:c r="E904" s="11" t="n">
        <x:f>D904-C904</x:f>
        <x:v>0</x:v>
      </x:c>
      <x:c r="F904" s="5" t="str">
        <x:v>ja</x:v>
      </x:c>
      <x:c r="G904" s="5" t="str">
        <x:v>WQ</x:v>
      </x:c>
    </x:row>
    <x:row r="905" ht="36" customHeight="1">
      <x:c r="A905" s="5" t="str">
        <x:v>R-0505</x:v>
      </x:c>
      <x:c r="B905" s="5" t="str">
        <x:v>Recht</x:v>
      </x:c>
      <x:c r="C905" s="11" t="n">
        <x:v>1</x:v>
      </x:c>
      <x:c r="D905" s="11" t="n">
        <x:f>COUNTIF('Einzel-ID-Zuordnung'!$A$7:$A$2692,A905)</x:f>
        <x:v>1</x:v>
      </x:c>
      <x:c r="E905" s="11" t="n">
        <x:f>D905-C905</x:f>
        <x:v>0</x:v>
      </x:c>
      <x:c r="F905" s="5" t="str">
        <x:v>ja</x:v>
      </x:c>
      <x:c r="G905" s="5" t="str">
        <x:v>WQ</x:v>
      </x:c>
    </x:row>
    <x:row r="906" ht="36" customHeight="1">
      <x:c r="A906" s="5" t="str">
        <x:v>R-0506</x:v>
      </x:c>
      <x:c r="B906" s="5" t="str">
        <x:v>Recht</x:v>
      </x:c>
      <x:c r="C906" s="11" t="n">
        <x:v>1</x:v>
      </x:c>
      <x:c r="D906" s="11" t="n">
        <x:f>COUNTIF('Einzel-ID-Zuordnung'!$A$7:$A$2692,A906)</x:f>
        <x:v>1</x:v>
      </x:c>
      <x:c r="E906" s="11" t="n">
        <x:f>D906-C906</x:f>
        <x:v>0</x:v>
      </x:c>
      <x:c r="F906" s="5" t="str">
        <x:v>ja</x:v>
      </x:c>
      <x:c r="G906" s="5" t="str">
        <x:v>WQ</x:v>
      </x:c>
    </x:row>
    <x:row r="907" ht="36" customHeight="1">
      <x:c r="A907" s="5" t="str">
        <x:v>R-0507</x:v>
      </x:c>
      <x:c r="B907" s="5" t="str">
        <x:v>Recht</x:v>
      </x:c>
      <x:c r="C907" s="11" t="n">
        <x:v>1</x:v>
      </x:c>
      <x:c r="D907" s="11" t="n">
        <x:f>COUNTIF('Einzel-ID-Zuordnung'!$A$7:$A$2692,A907)</x:f>
        <x:v>1</x:v>
      </x:c>
      <x:c r="E907" s="11" t="n">
        <x:f>D907-C907</x:f>
        <x:v>0</x:v>
      </x:c>
      <x:c r="F907" s="5" t="str">
        <x:v>ja</x:v>
      </x:c>
      <x:c r="G907" s="5" t="str">
        <x:v>WQ</x:v>
      </x:c>
    </x:row>
    <x:row r="908" ht="36" customHeight="1">
      <x:c r="A908" s="5" t="str">
        <x:v>R-0508</x:v>
      </x:c>
      <x:c r="B908" s="5" t="str">
        <x:v>Recht</x:v>
      </x:c>
      <x:c r="C908" s="11" t="n">
        <x:v>1</x:v>
      </x:c>
      <x:c r="D908" s="11" t="n">
        <x:f>COUNTIF('Einzel-ID-Zuordnung'!$A$7:$A$2692,A908)</x:f>
        <x:v>1</x:v>
      </x:c>
      <x:c r="E908" s="11" t="n">
        <x:f>D908-C908</x:f>
        <x:v>0</x:v>
      </x:c>
      <x:c r="F908" s="5" t="str">
        <x:v>ja</x:v>
      </x:c>
      <x:c r="G908" s="5" t="str">
        <x:v>WQ</x:v>
      </x:c>
    </x:row>
    <x:row r="909" ht="36" customHeight="1">
      <x:c r="A909" s="5" t="str">
        <x:v>R-0509</x:v>
      </x:c>
      <x:c r="B909" s="5" t="str">
        <x:v>Recht</x:v>
      </x:c>
      <x:c r="C909" s="11" t="n">
        <x:v>1</x:v>
      </x:c>
      <x:c r="D909" s="11" t="n">
        <x:f>COUNTIF('Einzel-ID-Zuordnung'!$A$7:$A$2692,A909)</x:f>
        <x:v>1</x:v>
      </x:c>
      <x:c r="E909" s="11" t="n">
        <x:f>D909-C909</x:f>
        <x:v>0</x:v>
      </x:c>
      <x:c r="F909" s="5" t="str">
        <x:v>ja</x:v>
      </x:c>
      <x:c r="G909" s="5" t="str">
        <x:v>WQ</x:v>
      </x:c>
    </x:row>
    <x:row r="910" ht="36" customHeight="1">
      <x:c r="A910" s="5" t="str">
        <x:v>R-0510</x:v>
      </x:c>
      <x:c r="B910" s="5" t="str">
        <x:v>Recht</x:v>
      </x:c>
      <x:c r="C910" s="11" t="n">
        <x:v>1</x:v>
      </x:c>
      <x:c r="D910" s="11" t="n">
        <x:f>COUNTIF('Einzel-ID-Zuordnung'!$A$7:$A$2692,A910)</x:f>
        <x:v>1</x:v>
      </x:c>
      <x:c r="E910" s="11" t="n">
        <x:f>D910-C910</x:f>
        <x:v>0</x:v>
      </x:c>
      <x:c r="F910" s="5" t="str">
        <x:v>ja</x:v>
      </x:c>
      <x:c r="G910" s="5" t="str">
        <x:v>WQ</x:v>
      </x:c>
    </x:row>
    <x:row r="911" ht="36" customHeight="1">
      <x:c r="A911" s="5" t="str">
        <x:v>R-0511</x:v>
      </x:c>
      <x:c r="B911" s="5" t="str">
        <x:v>Recht</x:v>
      </x:c>
      <x:c r="C911" s="11" t="n">
        <x:v>1</x:v>
      </x:c>
      <x:c r="D911" s="11" t="n">
        <x:f>COUNTIF('Einzel-ID-Zuordnung'!$A$7:$A$2692,A911)</x:f>
        <x:v>1</x:v>
      </x:c>
      <x:c r="E911" s="11" t="n">
        <x:f>D911-C911</x:f>
        <x:v>0</x:v>
      </x:c>
      <x:c r="F911" s="5" t="str">
        <x:v>ja</x:v>
      </x:c>
      <x:c r="G911" s="5" t="str">
        <x:v>WQ</x:v>
      </x:c>
    </x:row>
    <x:row r="912" ht="36" customHeight="1">
      <x:c r="A912" s="5" t="str">
        <x:v>R-0512</x:v>
      </x:c>
      <x:c r="B912" s="5" t="str">
        <x:v>Recht</x:v>
      </x:c>
      <x:c r="C912" s="11" t="n">
        <x:v>1</x:v>
      </x:c>
      <x:c r="D912" s="11" t="n">
        <x:f>COUNTIF('Einzel-ID-Zuordnung'!$A$7:$A$2692,A912)</x:f>
        <x:v>1</x:v>
      </x:c>
      <x:c r="E912" s="11" t="n">
        <x:f>D912-C912</x:f>
        <x:v>0</x:v>
      </x:c>
      <x:c r="F912" s="5" t="str">
        <x:v>ja</x:v>
      </x:c>
      <x:c r="G912" s="5" t="str">
        <x:v>WQ</x:v>
      </x:c>
    </x:row>
    <x:row r="913" ht="36" customHeight="1">
      <x:c r="A913" s="5" t="str">
        <x:v>R-0513</x:v>
      </x:c>
      <x:c r="B913" s="5" t="str">
        <x:v>Recht</x:v>
      </x:c>
      <x:c r="C913" s="11" t="n">
        <x:v>1</x:v>
      </x:c>
      <x:c r="D913" s="11" t="n">
        <x:f>COUNTIF('Einzel-ID-Zuordnung'!$A$7:$A$2692,A913)</x:f>
        <x:v>1</x:v>
      </x:c>
      <x:c r="E913" s="11" t="n">
        <x:f>D913-C913</x:f>
        <x:v>0</x:v>
      </x:c>
      <x:c r="F913" s="5" t="str">
        <x:v>ja</x:v>
      </x:c>
      <x:c r="G913" s="5" t="str">
        <x:v>WQ</x:v>
      </x:c>
    </x:row>
    <x:row r="914" ht="36" customHeight="1">
      <x:c r="A914" s="5" t="str">
        <x:v>R-0514</x:v>
      </x:c>
      <x:c r="B914" s="5" t="str">
        <x:v>Recht</x:v>
      </x:c>
      <x:c r="C914" s="11" t="n">
        <x:v>1</x:v>
      </x:c>
      <x:c r="D914" s="11" t="n">
        <x:f>COUNTIF('Einzel-ID-Zuordnung'!$A$7:$A$2692,A914)</x:f>
        <x:v>1</x:v>
      </x:c>
      <x:c r="E914" s="11" t="n">
        <x:f>D914-C914</x:f>
        <x:v>0</x:v>
      </x:c>
      <x:c r="F914" s="5" t="str">
        <x:v>ja</x:v>
      </x:c>
      <x:c r="G914" s="5" t="str">
        <x:v>WQ</x:v>
      </x:c>
    </x:row>
    <x:row r="915" ht="36" customHeight="1">
      <x:c r="A915" s="5" t="str">
        <x:v>R-0515</x:v>
      </x:c>
      <x:c r="B915" s="5" t="str">
        <x:v>Recht</x:v>
      </x:c>
      <x:c r="C915" s="11" t="n">
        <x:v>1</x:v>
      </x:c>
      <x:c r="D915" s="11" t="n">
        <x:f>COUNTIF('Einzel-ID-Zuordnung'!$A$7:$A$2692,A915)</x:f>
        <x:v>1</x:v>
      </x:c>
      <x:c r="E915" s="11" t="n">
        <x:f>D915-C915</x:f>
        <x:v>0</x:v>
      </x:c>
      <x:c r="F915" s="5" t="str">
        <x:v>ja</x:v>
      </x:c>
      <x:c r="G915" s="5" t="str">
        <x:v>WQ</x:v>
      </x:c>
    </x:row>
    <x:row r="916" ht="36" customHeight="1">
      <x:c r="A916" s="5" t="str">
        <x:v>R-0516</x:v>
      </x:c>
      <x:c r="B916" s="5" t="str">
        <x:v>Recht</x:v>
      </x:c>
      <x:c r="C916" s="11" t="n">
        <x:v>1</x:v>
      </x:c>
      <x:c r="D916" s="11" t="n">
        <x:f>COUNTIF('Einzel-ID-Zuordnung'!$A$7:$A$2692,A916)</x:f>
        <x:v>1</x:v>
      </x:c>
      <x:c r="E916" s="11" t="n">
        <x:f>D916-C916</x:f>
        <x:v>0</x:v>
      </x:c>
      <x:c r="F916" s="5" t="str">
        <x:v>ja</x:v>
      </x:c>
      <x:c r="G916" s="5" t="str">
        <x:v>WQ</x:v>
      </x:c>
    </x:row>
    <x:row r="917" ht="36" customHeight="1">
      <x:c r="A917" s="5" t="str">
        <x:v>R-0517</x:v>
      </x:c>
      <x:c r="B917" s="5" t="str">
        <x:v>Recht</x:v>
      </x:c>
      <x:c r="C917" s="11" t="n">
        <x:v>1</x:v>
      </x:c>
      <x:c r="D917" s="11" t="n">
        <x:f>COUNTIF('Einzel-ID-Zuordnung'!$A$7:$A$2692,A917)</x:f>
        <x:v>1</x:v>
      </x:c>
      <x:c r="E917" s="11" t="n">
        <x:f>D917-C917</x:f>
        <x:v>0</x:v>
      </x:c>
      <x:c r="F917" s="5" t="str">
        <x:v>ja</x:v>
      </x:c>
      <x:c r="G917" s="5" t="str">
        <x:v>WQ</x:v>
      </x:c>
    </x:row>
    <x:row r="918" ht="36" customHeight="1">
      <x:c r="A918" s="5" t="str">
        <x:v>R-0518</x:v>
      </x:c>
      <x:c r="B918" s="5" t="str">
        <x:v>Recht</x:v>
      </x:c>
      <x:c r="C918" s="11" t="n">
        <x:v>1</x:v>
      </x:c>
      <x:c r="D918" s="11" t="n">
        <x:f>COUNTIF('Einzel-ID-Zuordnung'!$A$7:$A$2692,A918)</x:f>
        <x:v>1</x:v>
      </x:c>
      <x:c r="E918" s="11" t="n">
        <x:f>D918-C918</x:f>
        <x:v>0</x:v>
      </x:c>
      <x:c r="F918" s="5" t="str">
        <x:v>ja</x:v>
      </x:c>
      <x:c r="G918" s="5" t="str">
        <x:v>WQ</x:v>
      </x:c>
    </x:row>
    <x:row r="919" ht="36" customHeight="1">
      <x:c r="A919" s="5" t="str">
        <x:v>R-0519</x:v>
      </x:c>
      <x:c r="B919" s="5" t="str">
        <x:v>Recht</x:v>
      </x:c>
      <x:c r="C919" s="11" t="n">
        <x:v>1</x:v>
      </x:c>
      <x:c r="D919" s="11" t="n">
        <x:f>COUNTIF('Einzel-ID-Zuordnung'!$A$7:$A$2692,A919)</x:f>
        <x:v>1</x:v>
      </x:c>
      <x:c r="E919" s="11" t="n">
        <x:f>D919-C919</x:f>
        <x:v>0</x:v>
      </x:c>
      <x:c r="F919" s="5" t="str">
        <x:v>ja</x:v>
      </x:c>
      <x:c r="G919" s="5" t="str">
        <x:v>WQ</x:v>
      </x:c>
    </x:row>
    <x:row r="920" ht="36" customHeight="1">
      <x:c r="A920" s="5" t="str">
        <x:v>R-0520</x:v>
      </x:c>
      <x:c r="B920" s="5" t="str">
        <x:v>Recht</x:v>
      </x:c>
      <x:c r="C920" s="11" t="n">
        <x:v>1</x:v>
      </x:c>
      <x:c r="D920" s="11" t="n">
        <x:f>COUNTIF('Einzel-ID-Zuordnung'!$A$7:$A$2692,A920)</x:f>
        <x:v>1</x:v>
      </x:c>
      <x:c r="E920" s="11" t="n">
        <x:f>D920-C920</x:f>
        <x:v>0</x:v>
      </x:c>
      <x:c r="F920" s="5" t="str">
        <x:v>ja</x:v>
      </x:c>
      <x:c r="G920" s="5" t="str">
        <x:v>WQ</x:v>
      </x:c>
    </x:row>
    <x:row r="921" ht="36" customHeight="1">
      <x:c r="A921" s="5" t="str">
        <x:v>R-0521</x:v>
      </x:c>
      <x:c r="B921" s="5" t="str">
        <x:v>Recht</x:v>
      </x:c>
      <x:c r="C921" s="11" t="n">
        <x:v>1</x:v>
      </x:c>
      <x:c r="D921" s="11" t="n">
        <x:f>COUNTIF('Einzel-ID-Zuordnung'!$A$7:$A$2692,A921)</x:f>
        <x:v>1</x:v>
      </x:c>
      <x:c r="E921" s="11" t="n">
        <x:f>D921-C921</x:f>
        <x:v>0</x:v>
      </x:c>
      <x:c r="F921" s="5" t="str">
        <x:v>ja</x:v>
      </x:c>
      <x:c r="G921" s="5" t="str">
        <x:v>WQ</x:v>
      </x:c>
    </x:row>
    <x:row r="922" ht="36" customHeight="1">
      <x:c r="A922" s="5" t="str">
        <x:v>R-0522</x:v>
      </x:c>
      <x:c r="B922" s="5" t="str">
        <x:v>Recht</x:v>
      </x:c>
      <x:c r="C922" s="11" t="n">
        <x:v>1</x:v>
      </x:c>
      <x:c r="D922" s="11" t="n">
        <x:f>COUNTIF('Einzel-ID-Zuordnung'!$A$7:$A$2692,A922)</x:f>
        <x:v>1</x:v>
      </x:c>
      <x:c r="E922" s="11" t="n">
        <x:f>D922-C922</x:f>
        <x:v>0</x:v>
      </x:c>
      <x:c r="F922" s="5" t="str">
        <x:v>ja</x:v>
      </x:c>
      <x:c r="G922" s="5" t="str">
        <x:v>WQ</x:v>
      </x:c>
    </x:row>
    <x:row r="923" ht="36" customHeight="1">
      <x:c r="A923" s="5" t="str">
        <x:v>R-0523</x:v>
      </x:c>
      <x:c r="B923" s="5" t="str">
        <x:v>Recht</x:v>
      </x:c>
      <x:c r="C923" s="11" t="n">
        <x:v>1</x:v>
      </x:c>
      <x:c r="D923" s="11" t="n">
        <x:f>COUNTIF('Einzel-ID-Zuordnung'!$A$7:$A$2692,A923)</x:f>
        <x:v>1</x:v>
      </x:c>
      <x:c r="E923" s="11" t="n">
        <x:f>D923-C923</x:f>
        <x:v>0</x:v>
      </x:c>
      <x:c r="F923" s="5" t="str">
        <x:v>ja</x:v>
      </x:c>
      <x:c r="G923" s="5" t="str">
        <x:v>WQ</x:v>
      </x:c>
    </x:row>
    <x:row r="924" ht="36" customHeight="1">
      <x:c r="A924" s="5" t="str">
        <x:v>R-0524</x:v>
      </x:c>
      <x:c r="B924" s="5" t="str">
        <x:v>Recht</x:v>
      </x:c>
      <x:c r="C924" s="11" t="n">
        <x:v>1</x:v>
      </x:c>
      <x:c r="D924" s="11" t="n">
        <x:f>COUNTIF('Einzel-ID-Zuordnung'!$A$7:$A$2692,A924)</x:f>
        <x:v>1</x:v>
      </x:c>
      <x:c r="E924" s="11" t="n">
        <x:f>D924-C924</x:f>
        <x:v>0</x:v>
      </x:c>
      <x:c r="F924" s="5" t="str">
        <x:v>ja</x:v>
      </x:c>
      <x:c r="G924" s="5" t="str">
        <x:v>WQ</x:v>
      </x:c>
    </x:row>
    <x:row r="925" ht="36" customHeight="1">
      <x:c r="A925" s="5" t="str">
        <x:v>R-0525</x:v>
      </x:c>
      <x:c r="B925" s="5" t="str">
        <x:v>Recht</x:v>
      </x:c>
      <x:c r="C925" s="11" t="n">
        <x:v>1</x:v>
      </x:c>
      <x:c r="D925" s="11" t="n">
        <x:f>COUNTIF('Einzel-ID-Zuordnung'!$A$7:$A$2692,A925)</x:f>
        <x:v>1</x:v>
      </x:c>
      <x:c r="E925" s="11" t="n">
        <x:f>D925-C925</x:f>
        <x:v>0</x:v>
      </x:c>
      <x:c r="F925" s="5" t="str">
        <x:v>ja</x:v>
      </x:c>
      <x:c r="G925" s="5" t="str">
        <x:v>WQ</x:v>
      </x:c>
    </x:row>
    <x:row r="926" ht="36" customHeight="1">
      <x:c r="A926" s="5" t="str">
        <x:v>R-0526</x:v>
      </x:c>
      <x:c r="B926" s="5" t="str">
        <x:v>Recht</x:v>
      </x:c>
      <x:c r="C926" s="11" t="n">
        <x:v>1</x:v>
      </x:c>
      <x:c r="D926" s="11" t="n">
        <x:f>COUNTIF('Einzel-ID-Zuordnung'!$A$7:$A$2692,A926)</x:f>
        <x:v>1</x:v>
      </x:c>
      <x:c r="E926" s="11" t="n">
        <x:f>D926-C926</x:f>
        <x:v>0</x:v>
      </x:c>
      <x:c r="F926" s="5" t="str">
        <x:v>ja</x:v>
      </x:c>
      <x:c r="G926" s="5" t="str">
        <x:v>WQ</x:v>
      </x:c>
    </x:row>
    <x:row r="927" ht="36" customHeight="1">
      <x:c r="A927" s="5" t="str">
        <x:v>R-0527</x:v>
      </x:c>
      <x:c r="B927" s="5" t="str">
        <x:v>Recht</x:v>
      </x:c>
      <x:c r="C927" s="11" t="n">
        <x:v>1</x:v>
      </x:c>
      <x:c r="D927" s="11" t="n">
        <x:f>COUNTIF('Einzel-ID-Zuordnung'!$A$7:$A$2692,A927)</x:f>
        <x:v>1</x:v>
      </x:c>
      <x:c r="E927" s="11" t="n">
        <x:f>D927-C927</x:f>
        <x:v>0</x:v>
      </x:c>
      <x:c r="F927" s="5" t="str">
        <x:v>ja</x:v>
      </x:c>
      <x:c r="G927" s="5" t="str">
        <x:v>WQ</x:v>
      </x:c>
    </x:row>
    <x:row r="928" ht="36" customHeight="1">
      <x:c r="A928" s="5" t="str">
        <x:v>R-0528</x:v>
      </x:c>
      <x:c r="B928" s="5" t="str">
        <x:v>Recht</x:v>
      </x:c>
      <x:c r="C928" s="11" t="n">
        <x:v>1</x:v>
      </x:c>
      <x:c r="D928" s="11" t="n">
        <x:f>COUNTIF('Einzel-ID-Zuordnung'!$A$7:$A$2692,A928)</x:f>
        <x:v>1</x:v>
      </x:c>
      <x:c r="E928" s="11" t="n">
        <x:f>D928-C928</x:f>
        <x:v>0</x:v>
      </x:c>
      <x:c r="F928" s="5" t="str">
        <x:v>ja</x:v>
      </x:c>
      <x:c r="G928" s="5" t="str">
        <x:v>WQ</x:v>
      </x:c>
    </x:row>
    <x:row r="929" ht="36" customHeight="1">
      <x:c r="A929" s="5" t="str">
        <x:v>R-0529</x:v>
      </x:c>
      <x:c r="B929" s="5" t="str">
        <x:v>Recht</x:v>
      </x:c>
      <x:c r="C929" s="11" t="n">
        <x:v>1</x:v>
      </x:c>
      <x:c r="D929" s="11" t="n">
        <x:f>COUNTIF('Einzel-ID-Zuordnung'!$A$7:$A$2692,A929)</x:f>
        <x:v>1</x:v>
      </x:c>
      <x:c r="E929" s="11" t="n">
        <x:f>D929-C929</x:f>
        <x:v>0</x:v>
      </x:c>
      <x:c r="F929" s="5" t="str">
        <x:v>ja</x:v>
      </x:c>
      <x:c r="G929" s="5" t="str">
        <x:v>WQ</x:v>
      </x:c>
    </x:row>
    <x:row r="930" ht="36" customHeight="1">
      <x:c r="A930" s="5" t="str">
        <x:v>R-0530</x:v>
      </x:c>
      <x:c r="B930" s="5" t="str">
        <x:v>Recht</x:v>
      </x:c>
      <x:c r="C930" s="11" t="n">
        <x:v>1</x:v>
      </x:c>
      <x:c r="D930" s="11" t="n">
        <x:f>COUNTIF('Einzel-ID-Zuordnung'!$A$7:$A$2692,A930)</x:f>
        <x:v>1</x:v>
      </x:c>
      <x:c r="E930" s="11" t="n">
        <x:f>D930-C930</x:f>
        <x:v>0</x:v>
      </x:c>
      <x:c r="F930" s="5" t="str">
        <x:v>ja</x:v>
      </x:c>
      <x:c r="G930" s="5" t="str">
        <x:v>WQ</x:v>
      </x:c>
    </x:row>
    <x:row r="931" ht="36" customHeight="1">
      <x:c r="A931" s="5" t="str">
        <x:v>R-0531</x:v>
      </x:c>
      <x:c r="B931" s="5" t="str">
        <x:v>Recht</x:v>
      </x:c>
      <x:c r="C931" s="11" t="n">
        <x:v>1</x:v>
      </x:c>
      <x:c r="D931" s="11" t="n">
        <x:f>COUNTIF('Einzel-ID-Zuordnung'!$A$7:$A$2692,A931)</x:f>
        <x:v>1</x:v>
      </x:c>
      <x:c r="E931" s="11" t="n">
        <x:f>D931-C931</x:f>
        <x:v>0</x:v>
      </x:c>
      <x:c r="F931" s="5" t="str">
        <x:v>ja</x:v>
      </x:c>
      <x:c r="G931" s="5" t="str">
        <x:v>WQ</x:v>
      </x:c>
    </x:row>
    <x:row r="932" ht="36" customHeight="1">
      <x:c r="A932" s="5" t="str">
        <x:v>R-0532</x:v>
      </x:c>
      <x:c r="B932" s="5" t="str">
        <x:v>Recht</x:v>
      </x:c>
      <x:c r="C932" s="11" t="n">
        <x:v>1</x:v>
      </x:c>
      <x:c r="D932" s="11" t="n">
        <x:f>COUNTIF('Einzel-ID-Zuordnung'!$A$7:$A$2692,A932)</x:f>
        <x:v>1</x:v>
      </x:c>
      <x:c r="E932" s="11" t="n">
        <x:f>D932-C932</x:f>
        <x:v>0</x:v>
      </x:c>
      <x:c r="F932" s="5" t="str">
        <x:v>ja</x:v>
      </x:c>
      <x:c r="G932" s="5" t="str">
        <x:v>WQ</x:v>
      </x:c>
    </x:row>
    <x:row r="933" ht="36" customHeight="1">
      <x:c r="A933" s="5" t="str">
        <x:v>R-0533</x:v>
      </x:c>
      <x:c r="B933" s="5" t="str">
        <x:v>Recht</x:v>
      </x:c>
      <x:c r="C933" s="11" t="n">
        <x:v>1</x:v>
      </x:c>
      <x:c r="D933" s="11" t="n">
        <x:f>COUNTIF('Einzel-ID-Zuordnung'!$A$7:$A$2692,A933)</x:f>
        <x:v>1</x:v>
      </x:c>
      <x:c r="E933" s="11" t="n">
        <x:f>D933-C933</x:f>
        <x:v>0</x:v>
      </x:c>
      <x:c r="F933" s="5" t="str">
        <x:v>ja</x:v>
      </x:c>
      <x:c r="G933" s="5" t="str">
        <x:v>WQ</x:v>
      </x:c>
    </x:row>
    <x:row r="934" ht="36" customHeight="1">
      <x:c r="A934" s="5" t="str">
        <x:v>R-0534</x:v>
      </x:c>
      <x:c r="B934" s="5" t="str">
        <x:v>Recht</x:v>
      </x:c>
      <x:c r="C934" s="11" t="n">
        <x:v>1</x:v>
      </x:c>
      <x:c r="D934" s="11" t="n">
        <x:f>COUNTIF('Einzel-ID-Zuordnung'!$A$7:$A$2692,A934)</x:f>
        <x:v>1</x:v>
      </x:c>
      <x:c r="E934" s="11" t="n">
        <x:f>D934-C934</x:f>
        <x:v>0</x:v>
      </x:c>
      <x:c r="F934" s="5" t="str">
        <x:v>ja</x:v>
      </x:c>
      <x:c r="G934" s="5" t="str">
        <x:v>WQ</x:v>
      </x:c>
    </x:row>
    <x:row r="935" ht="36" customHeight="1">
      <x:c r="A935" s="5" t="str">
        <x:v>R-0535</x:v>
      </x:c>
      <x:c r="B935" s="5" t="str">
        <x:v>Recht</x:v>
      </x:c>
      <x:c r="C935" s="11" t="n">
        <x:v>1</x:v>
      </x:c>
      <x:c r="D935" s="11" t="n">
        <x:f>COUNTIF('Einzel-ID-Zuordnung'!$A$7:$A$2692,A935)</x:f>
        <x:v>1</x:v>
      </x:c>
      <x:c r="E935" s="11" t="n">
        <x:f>D935-C935</x:f>
        <x:v>0</x:v>
      </x:c>
      <x:c r="F935" s="5" t="str">
        <x:v>ja</x:v>
      </x:c>
      <x:c r="G935" s="5" t="str">
        <x:v>WQ</x:v>
      </x:c>
    </x:row>
    <x:row r="936" ht="36" customHeight="1">
      <x:c r="A936" s="5" t="str">
        <x:v>R-0536</x:v>
      </x:c>
      <x:c r="B936" s="5" t="str">
        <x:v>Recht</x:v>
      </x:c>
      <x:c r="C936" s="11" t="n">
        <x:v>1</x:v>
      </x:c>
      <x:c r="D936" s="11" t="n">
        <x:f>COUNTIF('Einzel-ID-Zuordnung'!$A$7:$A$2692,A936)</x:f>
        <x:v>1</x:v>
      </x:c>
      <x:c r="E936" s="11" t="n">
        <x:f>D936-C936</x:f>
        <x:v>0</x:v>
      </x:c>
      <x:c r="F936" s="5" t="str">
        <x:v>ja</x:v>
      </x:c>
      <x:c r="G936" s="5" t="str">
        <x:v>WQ</x:v>
      </x:c>
    </x:row>
    <x:row r="937" ht="36" customHeight="1">
      <x:c r="A937" s="5" t="str">
        <x:v>R-0537</x:v>
      </x:c>
      <x:c r="B937" s="5" t="str">
        <x:v>Recht</x:v>
      </x:c>
      <x:c r="C937" s="11" t="n">
        <x:v>1</x:v>
      </x:c>
      <x:c r="D937" s="11" t="n">
        <x:f>COUNTIF('Einzel-ID-Zuordnung'!$A$7:$A$2692,A937)</x:f>
        <x:v>1</x:v>
      </x:c>
      <x:c r="E937" s="11" t="n">
        <x:f>D937-C937</x:f>
        <x:v>0</x:v>
      </x:c>
      <x:c r="F937" s="5" t="str">
        <x:v>ja</x:v>
      </x:c>
      <x:c r="G937" s="5" t="str">
        <x:v>WQ</x:v>
      </x:c>
    </x:row>
    <x:row r="938" ht="36" customHeight="1">
      <x:c r="A938" s="5" t="str">
        <x:v>R-0538</x:v>
      </x:c>
      <x:c r="B938" s="5" t="str">
        <x:v>Recht</x:v>
      </x:c>
      <x:c r="C938" s="11" t="n">
        <x:v>1</x:v>
      </x:c>
      <x:c r="D938" s="11" t="n">
        <x:f>COUNTIF('Einzel-ID-Zuordnung'!$A$7:$A$2692,A938)</x:f>
        <x:v>1</x:v>
      </x:c>
      <x:c r="E938" s="11" t="n">
        <x:f>D938-C938</x:f>
        <x:v>0</x:v>
      </x:c>
      <x:c r="F938" s="5" t="str">
        <x:v>ja</x:v>
      </x:c>
      <x:c r="G938" s="5" t="str">
        <x:v>WQ</x:v>
      </x:c>
    </x:row>
    <x:row r="939" ht="36" customHeight="1">
      <x:c r="A939" s="5" t="str">
        <x:v>R-0539</x:v>
      </x:c>
      <x:c r="B939" s="5" t="str">
        <x:v>Recht</x:v>
      </x:c>
      <x:c r="C939" s="11" t="n">
        <x:v>1</x:v>
      </x:c>
      <x:c r="D939" s="11" t="n">
        <x:f>COUNTIF('Einzel-ID-Zuordnung'!$A$7:$A$2692,A939)</x:f>
        <x:v>1</x:v>
      </x:c>
      <x:c r="E939" s="11" t="n">
        <x:f>D939-C939</x:f>
        <x:v>0</x:v>
      </x:c>
      <x:c r="F939" s="5" t="str">
        <x:v>ja</x:v>
      </x:c>
      <x:c r="G939" s="5" t="str">
        <x:v>WQ</x:v>
      </x:c>
    </x:row>
    <x:row r="940" ht="36" customHeight="1">
      <x:c r="A940" s="5" t="str">
        <x:v>R-0540</x:v>
      </x:c>
      <x:c r="B940" s="5" t="str">
        <x:v>Recht</x:v>
      </x:c>
      <x:c r="C940" s="11" t="n">
        <x:v>1</x:v>
      </x:c>
      <x:c r="D940" s="11" t="n">
        <x:f>COUNTIF('Einzel-ID-Zuordnung'!$A$7:$A$2692,A940)</x:f>
        <x:v>1</x:v>
      </x:c>
      <x:c r="E940" s="11" t="n">
        <x:f>D940-C940</x:f>
        <x:v>0</x:v>
      </x:c>
      <x:c r="F940" s="5" t="str">
        <x:v>ja</x:v>
      </x:c>
      <x:c r="G940" s="5" t="str">
        <x:v>WQ</x:v>
      </x:c>
    </x:row>
    <x:row r="941" ht="36" customHeight="1">
      <x:c r="A941" s="5" t="str">
        <x:v>R-0541</x:v>
      </x:c>
      <x:c r="B941" s="5" t="str">
        <x:v>Recht</x:v>
      </x:c>
      <x:c r="C941" s="11" t="n">
        <x:v>1</x:v>
      </x:c>
      <x:c r="D941" s="11" t="n">
        <x:f>COUNTIF('Einzel-ID-Zuordnung'!$A$7:$A$2692,A941)</x:f>
        <x:v>1</x:v>
      </x:c>
      <x:c r="E941" s="11" t="n">
        <x:f>D941-C941</x:f>
        <x:v>0</x:v>
      </x:c>
      <x:c r="F941" s="5" t="str">
        <x:v>ja</x:v>
      </x:c>
      <x:c r="G941" s="5" t="str">
        <x:v>WQ</x:v>
      </x:c>
    </x:row>
    <x:row r="942" ht="36" customHeight="1">
      <x:c r="A942" s="5" t="str">
        <x:v>R-0542</x:v>
      </x:c>
      <x:c r="B942" s="5" t="str">
        <x:v>Recht</x:v>
      </x:c>
      <x:c r="C942" s="11" t="n">
        <x:v>1</x:v>
      </x:c>
      <x:c r="D942" s="11" t="n">
        <x:f>COUNTIF('Einzel-ID-Zuordnung'!$A$7:$A$2692,A942)</x:f>
        <x:v>1</x:v>
      </x:c>
      <x:c r="E942" s="11" t="n">
        <x:f>D942-C942</x:f>
        <x:v>0</x:v>
      </x:c>
      <x:c r="F942" s="5" t="str">
        <x:v>ja</x:v>
      </x:c>
      <x:c r="G942" s="5" t="str">
        <x:v>WQ</x:v>
      </x:c>
    </x:row>
    <x:row r="943" ht="36" customHeight="1">
      <x:c r="A943" s="5" t="str">
        <x:v>R-0543</x:v>
      </x:c>
      <x:c r="B943" s="5" t="str">
        <x:v>Recht</x:v>
      </x:c>
      <x:c r="C943" s="11" t="n">
        <x:v>1</x:v>
      </x:c>
      <x:c r="D943" s="11" t="n">
        <x:f>COUNTIF('Einzel-ID-Zuordnung'!$A$7:$A$2692,A943)</x:f>
        <x:v>1</x:v>
      </x:c>
      <x:c r="E943" s="11" t="n">
        <x:f>D943-C943</x:f>
        <x:v>0</x:v>
      </x:c>
      <x:c r="F943" s="5" t="str">
        <x:v>ja</x:v>
      </x:c>
      <x:c r="G943" s="5" t="str">
        <x:v>WQ</x:v>
      </x:c>
    </x:row>
    <x:row r="944" ht="36" customHeight="1">
      <x:c r="A944" s="5" t="str">
        <x:v>R-0544</x:v>
      </x:c>
      <x:c r="B944" s="5" t="str">
        <x:v>Recht</x:v>
      </x:c>
      <x:c r="C944" s="11" t="n">
        <x:v>1</x:v>
      </x:c>
      <x:c r="D944" s="11" t="n">
        <x:f>COUNTIF('Einzel-ID-Zuordnung'!$A$7:$A$2692,A944)</x:f>
        <x:v>1</x:v>
      </x:c>
      <x:c r="E944" s="11" t="n">
        <x:f>D944-C944</x:f>
        <x:v>0</x:v>
      </x:c>
      <x:c r="F944" s="5" t="str">
        <x:v>ja</x:v>
      </x:c>
      <x:c r="G944" s="5" t="str">
        <x:v>WQ</x:v>
      </x:c>
    </x:row>
    <x:row r="945" ht="36" customHeight="1">
      <x:c r="A945" s="5" t="str">
        <x:v>R-0545</x:v>
      </x:c>
      <x:c r="B945" s="5" t="str">
        <x:v>Recht</x:v>
      </x:c>
      <x:c r="C945" s="11" t="n">
        <x:v>1</x:v>
      </x:c>
      <x:c r="D945" s="11" t="n">
        <x:f>COUNTIF('Einzel-ID-Zuordnung'!$A$7:$A$2692,A945)</x:f>
        <x:v>1</x:v>
      </x:c>
      <x:c r="E945" s="11" t="n">
        <x:f>D945-C945</x:f>
        <x:v>0</x:v>
      </x:c>
      <x:c r="F945" s="5" t="str">
        <x:v>ja</x:v>
      </x:c>
      <x:c r="G945" s="5" t="str">
        <x:v>WQ</x:v>
      </x:c>
    </x:row>
    <x:row r="946" ht="36" customHeight="1">
      <x:c r="A946" s="5" t="str">
        <x:v>R-0546</x:v>
      </x:c>
      <x:c r="B946" s="5" t="str">
        <x:v>Recht</x:v>
      </x:c>
      <x:c r="C946" s="11" t="n">
        <x:v>1</x:v>
      </x:c>
      <x:c r="D946" s="11" t="n">
        <x:f>COUNTIF('Einzel-ID-Zuordnung'!$A$7:$A$2692,A946)</x:f>
        <x:v>1</x:v>
      </x:c>
      <x:c r="E946" s="11" t="n">
        <x:f>D946-C946</x:f>
        <x:v>0</x:v>
      </x:c>
      <x:c r="F946" s="5" t="str">
        <x:v>ja</x:v>
      </x:c>
      <x:c r="G946" s="5" t="str">
        <x:v>WQ</x:v>
      </x:c>
    </x:row>
    <x:row r="947" ht="36" customHeight="1">
      <x:c r="A947" s="5" t="str">
        <x:v>R-0547</x:v>
      </x:c>
      <x:c r="B947" s="5" t="str">
        <x:v>Recht</x:v>
      </x:c>
      <x:c r="C947" s="11" t="n">
        <x:v>1</x:v>
      </x:c>
      <x:c r="D947" s="11" t="n">
        <x:f>COUNTIF('Einzel-ID-Zuordnung'!$A$7:$A$2692,A947)</x:f>
        <x:v>1</x:v>
      </x:c>
      <x:c r="E947" s="11" t="n">
        <x:f>D947-C947</x:f>
        <x:v>0</x:v>
      </x:c>
      <x:c r="F947" s="5" t="str">
        <x:v>ja</x:v>
      </x:c>
      <x:c r="G947" s="5" t="str">
        <x:v>WQ</x:v>
      </x:c>
    </x:row>
    <x:row r="948" ht="36" customHeight="1">
      <x:c r="A948" s="5" t="str">
        <x:v>R-0548</x:v>
      </x:c>
      <x:c r="B948" s="5" t="str">
        <x:v>Recht</x:v>
      </x:c>
      <x:c r="C948" s="11" t="n">
        <x:v>1</x:v>
      </x:c>
      <x:c r="D948" s="11" t="n">
        <x:f>COUNTIF('Einzel-ID-Zuordnung'!$A$7:$A$2692,A948)</x:f>
        <x:v>1</x:v>
      </x:c>
      <x:c r="E948" s="11" t="n">
        <x:f>D948-C948</x:f>
        <x:v>0</x:v>
      </x:c>
      <x:c r="F948" s="5" t="str">
        <x:v>ja</x:v>
      </x:c>
      <x:c r="G948" s="5" t="str">
        <x:v>WQ</x:v>
      </x:c>
    </x:row>
    <x:row r="949" ht="36" customHeight="1">
      <x:c r="A949" s="5" t="str">
        <x:v>R-0549</x:v>
      </x:c>
      <x:c r="B949" s="5" t="str">
        <x:v>Recht</x:v>
      </x:c>
      <x:c r="C949" s="11" t="n">
        <x:v>1</x:v>
      </x:c>
      <x:c r="D949" s="11" t="n">
        <x:f>COUNTIF('Einzel-ID-Zuordnung'!$A$7:$A$2692,A949)</x:f>
        <x:v>1</x:v>
      </x:c>
      <x:c r="E949" s="11" t="n">
        <x:f>D949-C949</x:f>
        <x:v>0</x:v>
      </x:c>
      <x:c r="F949" s="5" t="str">
        <x:v>ja</x:v>
      </x:c>
      <x:c r="G949" s="5" t="str">
        <x:v>WQ</x:v>
      </x:c>
    </x:row>
    <x:row r="950" ht="36" customHeight="1">
      <x:c r="A950" s="5" t="str">
        <x:v>R-0550</x:v>
      </x:c>
      <x:c r="B950" s="5" t="str">
        <x:v>Recht</x:v>
      </x:c>
      <x:c r="C950" s="11" t="n">
        <x:v>1</x:v>
      </x:c>
      <x:c r="D950" s="11" t="n">
        <x:f>COUNTIF('Einzel-ID-Zuordnung'!$A$7:$A$2692,A950)</x:f>
        <x:v>1</x:v>
      </x:c>
      <x:c r="E950" s="11" t="n">
        <x:f>D950-C950</x:f>
        <x:v>0</x:v>
      </x:c>
      <x:c r="F950" s="5" t="str">
        <x:v>ja</x:v>
      </x:c>
      <x:c r="G950" s="5" t="str">
        <x:v>WQ</x:v>
      </x:c>
    </x:row>
    <x:row r="951" ht="36" customHeight="1">
      <x:c r="A951" s="5" t="str">
        <x:v>R-0551</x:v>
      </x:c>
      <x:c r="B951" s="5" t="str">
        <x:v>Recht</x:v>
      </x:c>
      <x:c r="C951" s="11" t="n">
        <x:v>1</x:v>
      </x:c>
      <x:c r="D951" s="11" t="n">
        <x:f>COUNTIF('Einzel-ID-Zuordnung'!$A$7:$A$2692,A951)</x:f>
        <x:v>1</x:v>
      </x:c>
      <x:c r="E951" s="11" t="n">
        <x:f>D951-C951</x:f>
        <x:v>0</x:v>
      </x:c>
      <x:c r="F951" s="5" t="str">
        <x:v>ja</x:v>
      </x:c>
      <x:c r="G951" s="5" t="str">
        <x:v>WQ</x:v>
      </x:c>
    </x:row>
    <x:row r="952" ht="36" customHeight="1">
      <x:c r="A952" s="5" t="str">
        <x:v>R-0552</x:v>
      </x:c>
      <x:c r="B952" s="5" t="str">
        <x:v>Recht</x:v>
      </x:c>
      <x:c r="C952" s="11" t="n">
        <x:v>1</x:v>
      </x:c>
      <x:c r="D952" s="11" t="n">
        <x:f>COUNTIF('Einzel-ID-Zuordnung'!$A$7:$A$2692,A952)</x:f>
        <x:v>1</x:v>
      </x:c>
      <x:c r="E952" s="11" t="n">
        <x:f>D952-C952</x:f>
        <x:v>0</x:v>
      </x:c>
      <x:c r="F952" s="5" t="str">
        <x:v>ja</x:v>
      </x:c>
      <x:c r="G952" s="5" t="str">
        <x:v>WQ</x:v>
      </x:c>
    </x:row>
    <x:row r="953" ht="36" customHeight="1">
      <x:c r="A953" s="5" t="str">
        <x:v>R-0553</x:v>
      </x:c>
      <x:c r="B953" s="5" t="str">
        <x:v>Recht</x:v>
      </x:c>
      <x:c r="C953" s="11" t="n">
        <x:v>1</x:v>
      </x:c>
      <x:c r="D953" s="11" t="n">
        <x:f>COUNTIF('Einzel-ID-Zuordnung'!$A$7:$A$2692,A953)</x:f>
        <x:v>1</x:v>
      </x:c>
      <x:c r="E953" s="11" t="n">
        <x:f>D953-C953</x:f>
        <x:v>0</x:v>
      </x:c>
      <x:c r="F953" s="5" t="str">
        <x:v>ja</x:v>
      </x:c>
      <x:c r="G953" s="5" t="str">
        <x:v>WQ</x:v>
      </x:c>
    </x:row>
    <x:row r="954" ht="36" customHeight="1">
      <x:c r="A954" s="5" t="str">
        <x:v>R-0554</x:v>
      </x:c>
      <x:c r="B954" s="5" t="str">
        <x:v>Recht</x:v>
      </x:c>
      <x:c r="C954" s="11" t="n">
        <x:v>1</x:v>
      </x:c>
      <x:c r="D954" s="11" t="n">
        <x:f>COUNTIF('Einzel-ID-Zuordnung'!$A$7:$A$2692,A954)</x:f>
        <x:v>1</x:v>
      </x:c>
      <x:c r="E954" s="11" t="n">
        <x:f>D954-C954</x:f>
        <x:v>0</x:v>
      </x:c>
      <x:c r="F954" s="5" t="str">
        <x:v>ja</x:v>
      </x:c>
      <x:c r="G954" s="5" t="str">
        <x:v>WQ</x:v>
      </x:c>
    </x:row>
    <x:row r="955" ht="36" customHeight="1">
      <x:c r="A955" s="5" t="str">
        <x:v>R-0555</x:v>
      </x:c>
      <x:c r="B955" s="5" t="str">
        <x:v>Recht</x:v>
      </x:c>
      <x:c r="C955" s="11" t="n">
        <x:v>1</x:v>
      </x:c>
      <x:c r="D955" s="11" t="n">
        <x:f>COUNTIF('Einzel-ID-Zuordnung'!$A$7:$A$2692,A955)</x:f>
        <x:v>1</x:v>
      </x:c>
      <x:c r="E955" s="11" t="n">
        <x:f>D955-C955</x:f>
        <x:v>0</x:v>
      </x:c>
      <x:c r="F955" s="5" t="str">
        <x:v>ja</x:v>
      </x:c>
      <x:c r="G955" s="5" t="str">
        <x:v>WQ</x:v>
      </x:c>
    </x:row>
    <x:row r="956" ht="36" customHeight="1">
      <x:c r="A956" s="5" t="str">
        <x:v>R-0556</x:v>
      </x:c>
      <x:c r="B956" s="5" t="str">
        <x:v>Recht</x:v>
      </x:c>
      <x:c r="C956" s="11" t="n">
        <x:v>1</x:v>
      </x:c>
      <x:c r="D956" s="11" t="n">
        <x:f>COUNTIF('Einzel-ID-Zuordnung'!$A$7:$A$2692,A956)</x:f>
        <x:v>1</x:v>
      </x:c>
      <x:c r="E956" s="11" t="n">
        <x:f>D956-C956</x:f>
        <x:v>0</x:v>
      </x:c>
      <x:c r="F956" s="5" t="str">
        <x:v>ja</x:v>
      </x:c>
      <x:c r="G956" s="5" t="str">
        <x:v>WQ</x:v>
      </x:c>
    </x:row>
    <x:row r="957" ht="36" customHeight="1">
      <x:c r="A957" s="5" t="str">
        <x:v>R-0557</x:v>
      </x:c>
      <x:c r="B957" s="5" t="str">
        <x:v>Recht</x:v>
      </x:c>
      <x:c r="C957" s="11" t="n">
        <x:v>1</x:v>
      </x:c>
      <x:c r="D957" s="11" t="n">
        <x:f>COUNTIF('Einzel-ID-Zuordnung'!$A$7:$A$2692,A957)</x:f>
        <x:v>1</x:v>
      </x:c>
      <x:c r="E957" s="11" t="n">
        <x:f>D957-C957</x:f>
        <x:v>0</x:v>
      </x:c>
      <x:c r="F957" s="5" t="str">
        <x:v>ja</x:v>
      </x:c>
      <x:c r="G957" s="5" t="str">
        <x:v>WQ</x:v>
      </x:c>
    </x:row>
    <x:row r="958" ht="36" customHeight="1">
      <x:c r="A958" s="5" t="str">
        <x:v>R-0558</x:v>
      </x:c>
      <x:c r="B958" s="5" t="str">
        <x:v>Recht</x:v>
      </x:c>
      <x:c r="C958" s="11" t="n">
        <x:v>1</x:v>
      </x:c>
      <x:c r="D958" s="11" t="n">
        <x:f>COUNTIF('Einzel-ID-Zuordnung'!$A$7:$A$2692,A958)</x:f>
        <x:v>1</x:v>
      </x:c>
      <x:c r="E958" s="11" t="n">
        <x:f>D958-C958</x:f>
        <x:v>0</x:v>
      </x:c>
      <x:c r="F958" s="5" t="str">
        <x:v>ja</x:v>
      </x:c>
      <x:c r="G958" s="5" t="str">
        <x:v>WQ</x:v>
      </x:c>
    </x:row>
    <x:row r="959" ht="36" customHeight="1">
      <x:c r="A959" s="5" t="str">
        <x:v>R-0559</x:v>
      </x:c>
      <x:c r="B959" s="5" t="str">
        <x:v>Recht</x:v>
      </x:c>
      <x:c r="C959" s="11" t="n">
        <x:v>1</x:v>
      </x:c>
      <x:c r="D959" s="11" t="n">
        <x:f>COUNTIF('Einzel-ID-Zuordnung'!$A$7:$A$2692,A959)</x:f>
        <x:v>1</x:v>
      </x:c>
      <x:c r="E959" s="11" t="n">
        <x:f>D959-C959</x:f>
        <x:v>0</x:v>
      </x:c>
      <x:c r="F959" s="5" t="str">
        <x:v>ja</x:v>
      </x:c>
      <x:c r="G959" s="5" t="str">
        <x:v>WQ</x:v>
      </x:c>
    </x:row>
    <x:row r="960" ht="36" customHeight="1">
      <x:c r="A960" s="5" t="str">
        <x:v>R-0560</x:v>
      </x:c>
      <x:c r="B960" s="5" t="str">
        <x:v>Recht</x:v>
      </x:c>
      <x:c r="C960" s="11" t="n">
        <x:v>1</x:v>
      </x:c>
      <x:c r="D960" s="11" t="n">
        <x:f>COUNTIF('Einzel-ID-Zuordnung'!$A$7:$A$2692,A960)</x:f>
        <x:v>1</x:v>
      </x:c>
      <x:c r="E960" s="11" t="n">
        <x:f>D960-C960</x:f>
        <x:v>0</x:v>
      </x:c>
      <x:c r="F960" s="5" t="str">
        <x:v>ja</x:v>
      </x:c>
      <x:c r="G960" s="5" t="str">
        <x:v>WQ</x:v>
      </x:c>
    </x:row>
    <x:row r="961" ht="36" customHeight="1">
      <x:c r="A961" s="5" t="str">
        <x:v>R-0561</x:v>
      </x:c>
      <x:c r="B961" s="5" t="str">
        <x:v>Recht</x:v>
      </x:c>
      <x:c r="C961" s="11" t="n">
        <x:v>1</x:v>
      </x:c>
      <x:c r="D961" s="11" t="n">
        <x:f>COUNTIF('Einzel-ID-Zuordnung'!$A$7:$A$2692,A961)</x:f>
        <x:v>1</x:v>
      </x:c>
      <x:c r="E961" s="11" t="n">
        <x:f>D961-C961</x:f>
        <x:v>0</x:v>
      </x:c>
      <x:c r="F961" s="5" t="str">
        <x:v>ja</x:v>
      </x:c>
      <x:c r="G961" s="5" t="str">
        <x:v>WQ</x:v>
      </x:c>
    </x:row>
    <x:row r="962" ht="36" customHeight="1">
      <x:c r="A962" s="5" t="str">
        <x:v>R-0562</x:v>
      </x:c>
      <x:c r="B962" s="5" t="str">
        <x:v>Recht</x:v>
      </x:c>
      <x:c r="C962" s="11" t="n">
        <x:v>1</x:v>
      </x:c>
      <x:c r="D962" s="11" t="n">
        <x:f>COUNTIF('Einzel-ID-Zuordnung'!$A$7:$A$2692,A962)</x:f>
        <x:v>1</x:v>
      </x:c>
      <x:c r="E962" s="11" t="n">
        <x:f>D962-C962</x:f>
        <x:v>0</x:v>
      </x:c>
      <x:c r="F962" s="5" t="str">
        <x:v>ja</x:v>
      </x:c>
      <x:c r="G962" s="5" t="str">
        <x:v>WQ</x:v>
      </x:c>
    </x:row>
    <x:row r="963" ht="36" customHeight="1">
      <x:c r="A963" s="5" t="str">
        <x:v>R-0563</x:v>
      </x:c>
      <x:c r="B963" s="5" t="str">
        <x:v>Recht</x:v>
      </x:c>
      <x:c r="C963" s="11" t="n">
        <x:v>1</x:v>
      </x:c>
      <x:c r="D963" s="11" t="n">
        <x:f>COUNTIF('Einzel-ID-Zuordnung'!$A$7:$A$2692,A963)</x:f>
        <x:v>1</x:v>
      </x:c>
      <x:c r="E963" s="11" t="n">
        <x:f>D963-C963</x:f>
        <x:v>0</x:v>
      </x:c>
      <x:c r="F963" s="5" t="str">
        <x:v>ja</x:v>
      </x:c>
      <x:c r="G963" s="5" t="str">
        <x:v>WQ</x:v>
      </x:c>
    </x:row>
    <x:row r="964" ht="36" customHeight="1">
      <x:c r="A964" s="5" t="str">
        <x:v>R-0564</x:v>
      </x:c>
      <x:c r="B964" s="5" t="str">
        <x:v>Recht</x:v>
      </x:c>
      <x:c r="C964" s="11" t="n">
        <x:v>1</x:v>
      </x:c>
      <x:c r="D964" s="11" t="n">
        <x:f>COUNTIF('Einzel-ID-Zuordnung'!$A$7:$A$2692,A964)</x:f>
        <x:v>1</x:v>
      </x:c>
      <x:c r="E964" s="11" t="n">
        <x:f>D964-C964</x:f>
        <x:v>0</x:v>
      </x:c>
      <x:c r="F964" s="5" t="str">
        <x:v>ja</x:v>
      </x:c>
      <x:c r="G964" s="5" t="str">
        <x:v>WQ</x:v>
      </x:c>
    </x:row>
    <x:row r="965" ht="36" customHeight="1">
      <x:c r="A965" s="5" t="str">
        <x:v>R-0565</x:v>
      </x:c>
      <x:c r="B965" s="5" t="str">
        <x:v>Recht</x:v>
      </x:c>
      <x:c r="C965" s="11" t="n">
        <x:v>1</x:v>
      </x:c>
      <x:c r="D965" s="11" t="n">
        <x:f>COUNTIF('Einzel-ID-Zuordnung'!$A$7:$A$2692,A965)</x:f>
        <x:v>1</x:v>
      </x:c>
      <x:c r="E965" s="11" t="n">
        <x:f>D965-C965</x:f>
        <x:v>0</x:v>
      </x:c>
      <x:c r="F965" s="5" t="str">
        <x:v>ja</x:v>
      </x:c>
      <x:c r="G965" s="5" t="str">
        <x:v>WQ</x:v>
      </x:c>
    </x:row>
    <x:row r="966" ht="36" customHeight="1">
      <x:c r="A966" s="5" t="str">
        <x:v>R-0566</x:v>
      </x:c>
      <x:c r="B966" s="5" t="str">
        <x:v>Recht</x:v>
      </x:c>
      <x:c r="C966" s="11" t="n">
        <x:v>1</x:v>
      </x:c>
      <x:c r="D966" s="11" t="n">
        <x:f>COUNTIF('Einzel-ID-Zuordnung'!$A$7:$A$2692,A966)</x:f>
        <x:v>1</x:v>
      </x:c>
      <x:c r="E966" s="11" t="n">
        <x:f>D966-C966</x:f>
        <x:v>0</x:v>
      </x:c>
      <x:c r="F966" s="5" t="str">
        <x:v>ja</x:v>
      </x:c>
      <x:c r="G966" s="5" t="str">
        <x:v>WQ</x:v>
      </x:c>
    </x:row>
    <x:row r="967" ht="36" customHeight="1">
      <x:c r="A967" s="5" t="str">
        <x:v>R-0567</x:v>
      </x:c>
      <x:c r="B967" s="5" t="str">
        <x:v>Recht</x:v>
      </x:c>
      <x:c r="C967" s="11" t="n">
        <x:v>1</x:v>
      </x:c>
      <x:c r="D967" s="11" t="n">
        <x:f>COUNTIF('Einzel-ID-Zuordnung'!$A$7:$A$2692,A967)</x:f>
        <x:v>1</x:v>
      </x:c>
      <x:c r="E967" s="11" t="n">
        <x:f>D967-C967</x:f>
        <x:v>0</x:v>
      </x:c>
      <x:c r="F967" s="5" t="str">
        <x:v>ja</x:v>
      </x:c>
      <x:c r="G967" s="5" t="str">
        <x:v>WQ</x:v>
      </x:c>
    </x:row>
    <x:row r="968" ht="36" customHeight="1">
      <x:c r="A968" s="5" t="str">
        <x:v>R-0568</x:v>
      </x:c>
      <x:c r="B968" s="5" t="str">
        <x:v>Recht</x:v>
      </x:c>
      <x:c r="C968" s="11" t="n">
        <x:v>1</x:v>
      </x:c>
      <x:c r="D968" s="11" t="n">
        <x:f>COUNTIF('Einzel-ID-Zuordnung'!$A$7:$A$2692,A968)</x:f>
        <x:v>1</x:v>
      </x:c>
      <x:c r="E968" s="11" t="n">
        <x:f>D968-C968</x:f>
        <x:v>0</x:v>
      </x:c>
      <x:c r="F968" s="5" t="str">
        <x:v>ja</x:v>
      </x:c>
      <x:c r="G968" s="5" t="str">
        <x:v>WQ</x:v>
      </x:c>
    </x:row>
    <x:row r="969" ht="36" customHeight="1">
      <x:c r="A969" s="5" t="str">
        <x:v>R-0569</x:v>
      </x:c>
      <x:c r="B969" s="5" t="str">
        <x:v>Recht</x:v>
      </x:c>
      <x:c r="C969" s="11" t="n">
        <x:v>1</x:v>
      </x:c>
      <x:c r="D969" s="11" t="n">
        <x:f>COUNTIF('Einzel-ID-Zuordnung'!$A$7:$A$2692,A969)</x:f>
        <x:v>1</x:v>
      </x:c>
      <x:c r="E969" s="11" t="n">
        <x:f>D969-C969</x:f>
        <x:v>0</x:v>
      </x:c>
      <x:c r="F969" s="5" t="str">
        <x:v>ja</x:v>
      </x:c>
      <x:c r="G969" s="5" t="str">
        <x:v>WQ</x:v>
      </x:c>
    </x:row>
    <x:row r="970" ht="36" customHeight="1">
      <x:c r="A970" s="5" t="str">
        <x:v>R-0570</x:v>
      </x:c>
      <x:c r="B970" s="5" t="str">
        <x:v>Recht</x:v>
      </x:c>
      <x:c r="C970" s="11" t="n">
        <x:v>1</x:v>
      </x:c>
      <x:c r="D970" s="11" t="n">
        <x:f>COUNTIF('Einzel-ID-Zuordnung'!$A$7:$A$2692,A970)</x:f>
        <x:v>1</x:v>
      </x:c>
      <x:c r="E970" s="11" t="n">
        <x:f>D970-C970</x:f>
        <x:v>0</x:v>
      </x:c>
      <x:c r="F970" s="5" t="str">
        <x:v>ja</x:v>
      </x:c>
      <x:c r="G970" s="5" t="str">
        <x:v>WQ</x:v>
      </x:c>
    </x:row>
    <x:row r="971" ht="36" customHeight="1">
      <x:c r="A971" s="5" t="str">
        <x:v>R-0571</x:v>
      </x:c>
      <x:c r="B971" s="5" t="str">
        <x:v>Recht</x:v>
      </x:c>
      <x:c r="C971" s="11" t="n">
        <x:v>1</x:v>
      </x:c>
      <x:c r="D971" s="11" t="n">
        <x:f>COUNTIF('Einzel-ID-Zuordnung'!$A$7:$A$2692,A971)</x:f>
        <x:v>1</x:v>
      </x:c>
      <x:c r="E971" s="11" t="n">
        <x:f>D971-C971</x:f>
        <x:v>0</x:v>
      </x:c>
      <x:c r="F971" s="5" t="str">
        <x:v>ja</x:v>
      </x:c>
      <x:c r="G971" s="5" t="str">
        <x:v>WQ</x:v>
      </x:c>
    </x:row>
    <x:row r="972" ht="36" customHeight="1">
      <x:c r="A972" s="5" t="str">
        <x:v>R-0572</x:v>
      </x:c>
      <x:c r="B972" s="5" t="str">
        <x:v>Recht</x:v>
      </x:c>
      <x:c r="C972" s="11" t="n">
        <x:v>1</x:v>
      </x:c>
      <x:c r="D972" s="11" t="n">
        <x:f>COUNTIF('Einzel-ID-Zuordnung'!$A$7:$A$2692,A972)</x:f>
        <x:v>1</x:v>
      </x:c>
      <x:c r="E972" s="11" t="n">
        <x:f>D972-C972</x:f>
        <x:v>0</x:v>
      </x:c>
      <x:c r="F972" s="5" t="str">
        <x:v>ja</x:v>
      </x:c>
      <x:c r="G972" s="5" t="str">
        <x:v>WQ</x:v>
      </x:c>
    </x:row>
    <x:row r="973" ht="36" customHeight="1">
      <x:c r="A973" s="5" t="str">
        <x:v>R-0573</x:v>
      </x:c>
      <x:c r="B973" s="5" t="str">
        <x:v>Recht</x:v>
      </x:c>
      <x:c r="C973" s="11" t="n">
        <x:v>1</x:v>
      </x:c>
      <x:c r="D973" s="11" t="n">
        <x:f>COUNTIF('Einzel-ID-Zuordnung'!$A$7:$A$2692,A973)</x:f>
        <x:v>1</x:v>
      </x:c>
      <x:c r="E973" s="11" t="n">
        <x:f>D973-C973</x:f>
        <x:v>0</x:v>
      </x:c>
      <x:c r="F973" s="5" t="str">
        <x:v>ja</x:v>
      </x:c>
      <x:c r="G973" s="5" t="str">
        <x:v>WQ</x:v>
      </x:c>
    </x:row>
    <x:row r="974" ht="36" customHeight="1">
      <x:c r="A974" s="5" t="str">
        <x:v>R-0574</x:v>
      </x:c>
      <x:c r="B974" s="5" t="str">
        <x:v>Recht</x:v>
      </x:c>
      <x:c r="C974" s="11" t="n">
        <x:v>1</x:v>
      </x:c>
      <x:c r="D974" s="11" t="n">
        <x:f>COUNTIF('Einzel-ID-Zuordnung'!$A$7:$A$2692,A974)</x:f>
        <x:v>1</x:v>
      </x:c>
      <x:c r="E974" s="11" t="n">
        <x:f>D974-C974</x:f>
        <x:v>0</x:v>
      </x:c>
      <x:c r="F974" s="5" t="str">
        <x:v>ja</x:v>
      </x:c>
      <x:c r="G974" s="5" t="str">
        <x:v>WQ</x:v>
      </x:c>
    </x:row>
    <x:row r="975" ht="36" customHeight="1">
      <x:c r="A975" s="5" t="str">
        <x:v>R-0575</x:v>
      </x:c>
      <x:c r="B975" s="5" t="str">
        <x:v>Recht</x:v>
      </x:c>
      <x:c r="C975" s="11" t="n">
        <x:v>1</x:v>
      </x:c>
      <x:c r="D975" s="11" t="n">
        <x:f>COUNTIF('Einzel-ID-Zuordnung'!$A$7:$A$2692,A975)</x:f>
        <x:v>1</x:v>
      </x:c>
      <x:c r="E975" s="11" t="n">
        <x:f>D975-C975</x:f>
        <x:v>0</x:v>
      </x:c>
      <x:c r="F975" s="5" t="str">
        <x:v>ja</x:v>
      </x:c>
      <x:c r="G975" s="5" t="str">
        <x:v>WQ</x:v>
      </x:c>
    </x:row>
    <x:row r="976" ht="36" customHeight="1">
      <x:c r="A976" s="5" t="str">
        <x:v>R-0576</x:v>
      </x:c>
      <x:c r="B976" s="5" t="str">
        <x:v>Recht</x:v>
      </x:c>
      <x:c r="C976" s="11" t="n">
        <x:v>1</x:v>
      </x:c>
      <x:c r="D976" s="11" t="n">
        <x:f>COUNTIF('Einzel-ID-Zuordnung'!$A$7:$A$2692,A976)</x:f>
        <x:v>1</x:v>
      </x:c>
      <x:c r="E976" s="11" t="n">
        <x:f>D976-C976</x:f>
        <x:v>0</x:v>
      </x:c>
      <x:c r="F976" s="5" t="str">
        <x:v>ja</x:v>
      </x:c>
      <x:c r="G976" s="5" t="str">
        <x:v>WQ</x:v>
      </x:c>
    </x:row>
    <x:row r="977" ht="36" customHeight="1">
      <x:c r="A977" s="5" t="str">
        <x:v>R-0577</x:v>
      </x:c>
      <x:c r="B977" s="5" t="str">
        <x:v>Recht</x:v>
      </x:c>
      <x:c r="C977" s="11" t="n">
        <x:v>1</x:v>
      </x:c>
      <x:c r="D977" s="11" t="n">
        <x:f>COUNTIF('Einzel-ID-Zuordnung'!$A$7:$A$2692,A977)</x:f>
        <x:v>1</x:v>
      </x:c>
      <x:c r="E977" s="11" t="n">
        <x:f>D977-C977</x:f>
        <x:v>0</x:v>
      </x:c>
      <x:c r="F977" s="5" t="str">
        <x:v>ja</x:v>
      </x:c>
      <x:c r="G977" s="5" t="str">
        <x:v>WQ</x:v>
      </x:c>
    </x:row>
    <x:row r="978" ht="36" customHeight="1">
      <x:c r="A978" s="5" t="str">
        <x:v>R-0578</x:v>
      </x:c>
      <x:c r="B978" s="5" t="str">
        <x:v>Recht</x:v>
      </x:c>
      <x:c r="C978" s="11" t="n">
        <x:v>1</x:v>
      </x:c>
      <x:c r="D978" s="11" t="n">
        <x:f>COUNTIF('Einzel-ID-Zuordnung'!$A$7:$A$2692,A978)</x:f>
        <x:v>1</x:v>
      </x:c>
      <x:c r="E978" s="11" t="n">
        <x:f>D978-C978</x:f>
        <x:v>0</x:v>
      </x:c>
      <x:c r="F978" s="5" t="str">
        <x:v>ja</x:v>
      </x:c>
      <x:c r="G978" s="5" t="str">
        <x:v>WQ</x:v>
      </x:c>
    </x:row>
    <x:row r="979" ht="36" customHeight="1">
      <x:c r="A979" s="5" t="str">
        <x:v>ST-0001</x:v>
      </x:c>
      <x:c r="B979" s="5" t="str">
        <x:v>Steuern</x:v>
      </x:c>
      <x:c r="C979" s="11" t="n">
        <x:v>1</x:v>
      </x:c>
      <x:c r="D979" s="11" t="n">
        <x:f>COUNTIF('Einzel-ID-Zuordnung'!$A$7:$A$2692,A979)</x:f>
        <x:v>1</x:v>
      </x:c>
      <x:c r="E979" s="11" t="n">
        <x:f>D979-C979</x:f>
        <x:v>0</x:v>
      </x:c>
      <x:c r="F979" s="5" t="str">
        <x:v>ja</x:v>
      </x:c>
      <x:c r="G979" s="5" t="str">
        <x:v>WQ</x:v>
      </x:c>
    </x:row>
    <x:row r="980" ht="36" customHeight="1">
      <x:c r="A980" s="5" t="str">
        <x:v>ST-0002</x:v>
      </x:c>
      <x:c r="B980" s="5" t="str">
        <x:v>Steuern</x:v>
      </x:c>
      <x:c r="C980" s="11" t="n">
        <x:v>1</x:v>
      </x:c>
      <x:c r="D980" s="11" t="n">
        <x:f>COUNTIF('Einzel-ID-Zuordnung'!$A$7:$A$2692,A980)</x:f>
        <x:v>1</x:v>
      </x:c>
      <x:c r="E980" s="11" t="n">
        <x:f>D980-C980</x:f>
        <x:v>0</x:v>
      </x:c>
      <x:c r="F980" s="5" t="str">
        <x:v>ja</x:v>
      </x:c>
      <x:c r="G980" s="5" t="str">
        <x:v>WQ</x:v>
      </x:c>
    </x:row>
    <x:row r="981" ht="36" customHeight="1">
      <x:c r="A981" s="5" t="str">
        <x:v>ST-0003</x:v>
      </x:c>
      <x:c r="B981" s="5" t="str">
        <x:v>Steuern</x:v>
      </x:c>
      <x:c r="C981" s="11" t="n">
        <x:v>1</x:v>
      </x:c>
      <x:c r="D981" s="11" t="n">
        <x:f>COUNTIF('Einzel-ID-Zuordnung'!$A$7:$A$2692,A981)</x:f>
        <x:v>1</x:v>
      </x:c>
      <x:c r="E981" s="11" t="n">
        <x:f>D981-C981</x:f>
        <x:v>0</x:v>
      </x:c>
      <x:c r="F981" s="5" t="str">
        <x:v>ja</x:v>
      </x:c>
      <x:c r="G981" s="5" t="str">
        <x:v>WQ</x:v>
      </x:c>
    </x:row>
    <x:row r="982" ht="36" customHeight="1">
      <x:c r="A982" s="5" t="str">
        <x:v>ST-0004</x:v>
      </x:c>
      <x:c r="B982" s="5" t="str">
        <x:v>Steuern</x:v>
      </x:c>
      <x:c r="C982" s="11" t="n">
        <x:v>1</x:v>
      </x:c>
      <x:c r="D982" s="11" t="n">
        <x:f>COUNTIF('Einzel-ID-Zuordnung'!$A$7:$A$2692,A982)</x:f>
        <x:v>1</x:v>
      </x:c>
      <x:c r="E982" s="11" t="n">
        <x:f>D982-C982</x:f>
        <x:v>0</x:v>
      </x:c>
      <x:c r="F982" s="5" t="str">
        <x:v>ja</x:v>
      </x:c>
      <x:c r="G982" s="5" t="str">
        <x:v>WQ</x:v>
      </x:c>
    </x:row>
    <x:row r="983" ht="36" customHeight="1">
      <x:c r="A983" s="5" t="str">
        <x:v>ST-0005</x:v>
      </x:c>
      <x:c r="B983" s="5" t="str">
        <x:v>Steuern</x:v>
      </x:c>
      <x:c r="C983" s="11" t="n">
        <x:v>1</x:v>
      </x:c>
      <x:c r="D983" s="11" t="n">
        <x:f>COUNTIF('Einzel-ID-Zuordnung'!$A$7:$A$2692,A983)</x:f>
        <x:v>1</x:v>
      </x:c>
      <x:c r="E983" s="11" t="n">
        <x:f>D983-C983</x:f>
        <x:v>0</x:v>
      </x:c>
      <x:c r="F983" s="5" t="str">
        <x:v>ja</x:v>
      </x:c>
      <x:c r="G983" s="5" t="str">
        <x:v>WQ</x:v>
      </x:c>
    </x:row>
    <x:row r="984" ht="36" customHeight="1">
      <x:c r="A984" s="5" t="str">
        <x:v>ST-0006</x:v>
      </x:c>
      <x:c r="B984" s="5" t="str">
        <x:v>Steuern</x:v>
      </x:c>
      <x:c r="C984" s="11" t="n">
        <x:v>1</x:v>
      </x:c>
      <x:c r="D984" s="11" t="n">
        <x:f>COUNTIF('Einzel-ID-Zuordnung'!$A$7:$A$2692,A984)</x:f>
        <x:v>1</x:v>
      </x:c>
      <x:c r="E984" s="11" t="n">
        <x:f>D984-C984</x:f>
        <x:v>0</x:v>
      </x:c>
      <x:c r="F984" s="5" t="str">
        <x:v>ja</x:v>
      </x:c>
      <x:c r="G984" s="5" t="str">
        <x:v>WQ</x:v>
      </x:c>
    </x:row>
    <x:row r="985" ht="36" customHeight="1">
      <x:c r="A985" s="5" t="str">
        <x:v>ST-0007</x:v>
      </x:c>
      <x:c r="B985" s="5" t="str">
        <x:v>Steuern</x:v>
      </x:c>
      <x:c r="C985" s="11" t="n">
        <x:v>1</x:v>
      </x:c>
      <x:c r="D985" s="11" t="n">
        <x:f>COUNTIF('Einzel-ID-Zuordnung'!$A$7:$A$2692,A985)</x:f>
        <x:v>1</x:v>
      </x:c>
      <x:c r="E985" s="11" t="n">
        <x:f>D985-C985</x:f>
        <x:v>0</x:v>
      </x:c>
      <x:c r="F985" s="5" t="str">
        <x:v>ja</x:v>
      </x:c>
      <x:c r="G985" s="5" t="str">
        <x:v>WQ</x:v>
      </x:c>
    </x:row>
    <x:row r="986" ht="36" customHeight="1">
      <x:c r="A986" s="5" t="str">
        <x:v>ST-0008</x:v>
      </x:c>
      <x:c r="B986" s="5" t="str">
        <x:v>Steuern</x:v>
      </x:c>
      <x:c r="C986" s="11" t="n">
        <x:v>1</x:v>
      </x:c>
      <x:c r="D986" s="11" t="n">
        <x:f>COUNTIF('Einzel-ID-Zuordnung'!$A$7:$A$2692,A986)</x:f>
        <x:v>1</x:v>
      </x:c>
      <x:c r="E986" s="11" t="n">
        <x:f>D986-C986</x:f>
        <x:v>0</x:v>
      </x:c>
      <x:c r="F986" s="5" t="str">
        <x:v>ja</x:v>
      </x:c>
      <x:c r="G986" s="5" t="str">
        <x:v>WQ</x:v>
      </x:c>
    </x:row>
    <x:row r="987" ht="36" customHeight="1">
      <x:c r="A987" s="5" t="str">
        <x:v>ST-0009</x:v>
      </x:c>
      <x:c r="B987" s="5" t="str">
        <x:v>Steuern</x:v>
      </x:c>
      <x:c r="C987" s="11" t="n">
        <x:v>1</x:v>
      </x:c>
      <x:c r="D987" s="11" t="n">
        <x:f>COUNTIF('Einzel-ID-Zuordnung'!$A$7:$A$2692,A987)</x:f>
        <x:v>1</x:v>
      </x:c>
      <x:c r="E987" s="11" t="n">
        <x:f>D987-C987</x:f>
        <x:v>0</x:v>
      </x:c>
      <x:c r="F987" s="5" t="str">
        <x:v>ja</x:v>
      </x:c>
      <x:c r="G987" s="5" t="str">
        <x:v>WQ</x:v>
      </x:c>
    </x:row>
    <x:row r="988" ht="36" customHeight="1">
      <x:c r="A988" s="5" t="str">
        <x:v>ST-0010</x:v>
      </x:c>
      <x:c r="B988" s="5" t="str">
        <x:v>Steuern</x:v>
      </x:c>
      <x:c r="C988" s="11" t="n">
        <x:v>1</x:v>
      </x:c>
      <x:c r="D988" s="11" t="n">
        <x:f>COUNTIF('Einzel-ID-Zuordnung'!$A$7:$A$2692,A988)</x:f>
        <x:v>1</x:v>
      </x:c>
      <x:c r="E988" s="11" t="n">
        <x:f>D988-C988</x:f>
        <x:v>0</x:v>
      </x:c>
      <x:c r="F988" s="5" t="str">
        <x:v>ja</x:v>
      </x:c>
      <x:c r="G988" s="5" t="str">
        <x:v>WQ</x:v>
      </x:c>
    </x:row>
    <x:row r="989" ht="36" customHeight="1">
      <x:c r="A989" s="5" t="str">
        <x:v>ST-0011</x:v>
      </x:c>
      <x:c r="B989" s="5" t="str">
        <x:v>Steuern</x:v>
      </x:c>
      <x:c r="C989" s="11" t="n">
        <x:v>1</x:v>
      </x:c>
      <x:c r="D989" s="11" t="n">
        <x:f>COUNTIF('Einzel-ID-Zuordnung'!$A$7:$A$2692,A989)</x:f>
        <x:v>1</x:v>
      </x:c>
      <x:c r="E989" s="11" t="n">
        <x:f>D989-C989</x:f>
        <x:v>0</x:v>
      </x:c>
      <x:c r="F989" s="5" t="str">
        <x:v>ja</x:v>
      </x:c>
      <x:c r="G989" s="5" t="str">
        <x:v>WQ</x:v>
      </x:c>
    </x:row>
    <x:row r="990" ht="36" customHeight="1">
      <x:c r="A990" s="5" t="str">
        <x:v>ST-0012</x:v>
      </x:c>
      <x:c r="B990" s="5" t="str">
        <x:v>Steuern</x:v>
      </x:c>
      <x:c r="C990" s="11" t="n">
        <x:v>1</x:v>
      </x:c>
      <x:c r="D990" s="11" t="n">
        <x:f>COUNTIF('Einzel-ID-Zuordnung'!$A$7:$A$2692,A990)</x:f>
        <x:v>1</x:v>
      </x:c>
      <x:c r="E990" s="11" t="n">
        <x:f>D990-C990</x:f>
        <x:v>0</x:v>
      </x:c>
      <x:c r="F990" s="5" t="str">
        <x:v>ja</x:v>
      </x:c>
      <x:c r="G990" s="5" t="str">
        <x:v>WQ</x:v>
      </x:c>
    </x:row>
    <x:row r="991" ht="36" customHeight="1">
      <x:c r="A991" s="5" t="str">
        <x:v>ST-0013</x:v>
      </x:c>
      <x:c r="B991" s="5" t="str">
        <x:v>Steuern</x:v>
      </x:c>
      <x:c r="C991" s="11" t="n">
        <x:v>1</x:v>
      </x:c>
      <x:c r="D991" s="11" t="n">
        <x:f>COUNTIF('Einzel-ID-Zuordnung'!$A$7:$A$2692,A991)</x:f>
        <x:v>1</x:v>
      </x:c>
      <x:c r="E991" s="11" t="n">
        <x:f>D991-C991</x:f>
        <x:v>0</x:v>
      </x:c>
      <x:c r="F991" s="5" t="str">
        <x:v>ja</x:v>
      </x:c>
      <x:c r="G991" s="5" t="str">
        <x:v>WQ</x:v>
      </x:c>
    </x:row>
    <x:row r="992" ht="36" customHeight="1">
      <x:c r="A992" s="5" t="str">
        <x:v>ST-0014</x:v>
      </x:c>
      <x:c r="B992" s="5" t="str">
        <x:v>Steuern</x:v>
      </x:c>
      <x:c r="C992" s="11" t="n">
        <x:v>1</x:v>
      </x:c>
      <x:c r="D992" s="11" t="n">
        <x:f>COUNTIF('Einzel-ID-Zuordnung'!$A$7:$A$2692,A992)</x:f>
        <x:v>1</x:v>
      </x:c>
      <x:c r="E992" s="11" t="n">
        <x:f>D992-C992</x:f>
        <x:v>0</x:v>
      </x:c>
      <x:c r="F992" s="5" t="str">
        <x:v>ja</x:v>
      </x:c>
      <x:c r="G992" s="5" t="str">
        <x:v>WQ</x:v>
      </x:c>
    </x:row>
    <x:row r="993" ht="36" customHeight="1">
      <x:c r="A993" s="5" t="str">
        <x:v>ST-0015</x:v>
      </x:c>
      <x:c r="B993" s="5" t="str">
        <x:v>Steuern</x:v>
      </x:c>
      <x:c r="C993" s="11" t="n">
        <x:v>1</x:v>
      </x:c>
      <x:c r="D993" s="11" t="n">
        <x:f>COUNTIF('Einzel-ID-Zuordnung'!$A$7:$A$2692,A993)</x:f>
        <x:v>1</x:v>
      </x:c>
      <x:c r="E993" s="11" t="n">
        <x:f>D993-C993</x:f>
        <x:v>0</x:v>
      </x:c>
      <x:c r="F993" s="5" t="str">
        <x:v>ja</x:v>
      </x:c>
      <x:c r="G993" s="5" t="str">
        <x:v>WQ</x:v>
      </x:c>
    </x:row>
    <x:row r="994" ht="36" customHeight="1">
      <x:c r="A994" s="5" t="str">
        <x:v>ST-0016</x:v>
      </x:c>
      <x:c r="B994" s="5" t="str">
        <x:v>Steuern</x:v>
      </x:c>
      <x:c r="C994" s="11" t="n">
        <x:v>1</x:v>
      </x:c>
      <x:c r="D994" s="11" t="n">
        <x:f>COUNTIF('Einzel-ID-Zuordnung'!$A$7:$A$2692,A994)</x:f>
        <x:v>1</x:v>
      </x:c>
      <x:c r="E994" s="11" t="n">
        <x:f>D994-C994</x:f>
        <x:v>0</x:v>
      </x:c>
      <x:c r="F994" s="5" t="str">
        <x:v>ja</x:v>
      </x:c>
      <x:c r="G994" s="5" t="str">
        <x:v>WQ</x:v>
      </x:c>
    </x:row>
    <x:row r="995" ht="36" customHeight="1">
      <x:c r="A995" s="5" t="str">
        <x:v>ST-0017</x:v>
      </x:c>
      <x:c r="B995" s="5" t="str">
        <x:v>Steuern</x:v>
      </x:c>
      <x:c r="C995" s="11" t="n">
        <x:v>1</x:v>
      </x:c>
      <x:c r="D995" s="11" t="n">
        <x:f>COUNTIF('Einzel-ID-Zuordnung'!$A$7:$A$2692,A995)</x:f>
        <x:v>1</x:v>
      </x:c>
      <x:c r="E995" s="11" t="n">
        <x:f>D995-C995</x:f>
        <x:v>0</x:v>
      </x:c>
      <x:c r="F995" s="5" t="str">
        <x:v>ja</x:v>
      </x:c>
      <x:c r="G995" s="5" t="str">
        <x:v>WQ</x:v>
      </x:c>
    </x:row>
    <x:row r="996" ht="36" customHeight="1">
      <x:c r="A996" s="5" t="str">
        <x:v>ST-0018</x:v>
      </x:c>
      <x:c r="B996" s="5" t="str">
        <x:v>Steuern</x:v>
      </x:c>
      <x:c r="C996" s="11" t="n">
        <x:v>1</x:v>
      </x:c>
      <x:c r="D996" s="11" t="n">
        <x:f>COUNTIF('Einzel-ID-Zuordnung'!$A$7:$A$2692,A996)</x:f>
        <x:v>1</x:v>
      </x:c>
      <x:c r="E996" s="11" t="n">
        <x:f>D996-C996</x:f>
        <x:v>0</x:v>
      </x:c>
      <x:c r="F996" s="5" t="str">
        <x:v>ja</x:v>
      </x:c>
      <x:c r="G996" s="5" t="str">
        <x:v>WQ</x:v>
      </x:c>
    </x:row>
    <x:row r="997" ht="36" customHeight="1">
      <x:c r="A997" s="5" t="str">
        <x:v>ST-0019</x:v>
      </x:c>
      <x:c r="B997" s="5" t="str">
        <x:v>Steuern</x:v>
      </x:c>
      <x:c r="C997" s="11" t="n">
        <x:v>1</x:v>
      </x:c>
      <x:c r="D997" s="11" t="n">
        <x:f>COUNTIF('Einzel-ID-Zuordnung'!$A$7:$A$2692,A997)</x:f>
        <x:v>1</x:v>
      </x:c>
      <x:c r="E997" s="11" t="n">
        <x:f>D997-C997</x:f>
        <x:v>0</x:v>
      </x:c>
      <x:c r="F997" s="5" t="str">
        <x:v>ja</x:v>
      </x:c>
      <x:c r="G997" s="5" t="str">
        <x:v>WQ</x:v>
      </x:c>
    </x:row>
    <x:row r="998" ht="36" customHeight="1">
      <x:c r="A998" s="5" t="str">
        <x:v>ST-0020</x:v>
      </x:c>
      <x:c r="B998" s="5" t="str">
        <x:v>Steuern</x:v>
      </x:c>
      <x:c r="C998" s="11" t="n">
        <x:v>1</x:v>
      </x:c>
      <x:c r="D998" s="11" t="n">
        <x:f>COUNTIF('Einzel-ID-Zuordnung'!$A$7:$A$2692,A998)</x:f>
        <x:v>1</x:v>
      </x:c>
      <x:c r="E998" s="11" t="n">
        <x:f>D998-C998</x:f>
        <x:v>0</x:v>
      </x:c>
      <x:c r="F998" s="5" t="str">
        <x:v>ja</x:v>
      </x:c>
      <x:c r="G998" s="5" t="str">
        <x:v>WQ</x:v>
      </x:c>
    </x:row>
    <x:row r="999" ht="36" customHeight="1">
      <x:c r="A999" s="5" t="str">
        <x:v>ST-0021</x:v>
      </x:c>
      <x:c r="B999" s="5" t="str">
        <x:v>Steuern</x:v>
      </x:c>
      <x:c r="C999" s="11" t="n">
        <x:v>1</x:v>
      </x:c>
      <x:c r="D999" s="11" t="n">
        <x:f>COUNTIF('Einzel-ID-Zuordnung'!$A$7:$A$2692,A999)</x:f>
        <x:v>1</x:v>
      </x:c>
      <x:c r="E999" s="11" t="n">
        <x:f>D999-C999</x:f>
        <x:v>0</x:v>
      </x:c>
      <x:c r="F999" s="5" t="str">
        <x:v>ja</x:v>
      </x:c>
      <x:c r="G999" s="5" t="str">
        <x:v>WQ</x:v>
      </x:c>
    </x:row>
    <x:row r="1000" ht="36" customHeight="1">
      <x:c r="A1000" s="5" t="str">
        <x:v>ST-0022</x:v>
      </x:c>
      <x:c r="B1000" s="5" t="str">
        <x:v>Steuern</x:v>
      </x:c>
      <x:c r="C1000" s="11" t="n">
        <x:v>1</x:v>
      </x:c>
      <x:c r="D1000" s="11" t="n">
        <x:f>COUNTIF('Einzel-ID-Zuordnung'!$A$7:$A$2692,A1000)</x:f>
        <x:v>1</x:v>
      </x:c>
      <x:c r="E1000" s="11" t="n">
        <x:f>D1000-C1000</x:f>
        <x:v>0</x:v>
      </x:c>
      <x:c r="F1000" s="5" t="str">
        <x:v>ja</x:v>
      </x:c>
      <x:c r="G1000" s="5" t="str">
        <x:v>WQ</x:v>
      </x:c>
    </x:row>
    <x:row r="1001" ht="36" customHeight="1">
      <x:c r="A1001" s="5" t="str">
        <x:v>ST-0023</x:v>
      </x:c>
      <x:c r="B1001" s="5" t="str">
        <x:v>Steuern</x:v>
      </x:c>
      <x:c r="C1001" s="11" t="n">
        <x:v>1</x:v>
      </x:c>
      <x:c r="D1001" s="11" t="n">
        <x:f>COUNTIF('Einzel-ID-Zuordnung'!$A$7:$A$2692,A1001)</x:f>
        <x:v>1</x:v>
      </x:c>
      <x:c r="E1001" s="11" t="n">
        <x:f>D1001-C1001</x:f>
        <x:v>0</x:v>
      </x:c>
      <x:c r="F1001" s="5" t="str">
        <x:v>ja</x:v>
      </x:c>
      <x:c r="G1001" s="5" t="str">
        <x:v>WQ</x:v>
      </x:c>
    </x:row>
    <x:row r="1002" ht="36" customHeight="1">
      <x:c r="A1002" s="5" t="str">
        <x:v>ST-0024</x:v>
      </x:c>
      <x:c r="B1002" s="5" t="str">
        <x:v>Steuern</x:v>
      </x:c>
      <x:c r="C1002" s="11" t="n">
        <x:v>1</x:v>
      </x:c>
      <x:c r="D1002" s="11" t="n">
        <x:f>COUNTIF('Einzel-ID-Zuordnung'!$A$7:$A$2692,A1002)</x:f>
        <x:v>1</x:v>
      </x:c>
      <x:c r="E1002" s="11" t="n">
        <x:f>D1002-C1002</x:f>
        <x:v>0</x:v>
      </x:c>
      <x:c r="F1002" s="5" t="str">
        <x:v>ja</x:v>
      </x:c>
      <x:c r="G1002" s="5" t="str">
        <x:v>WQ</x:v>
      </x:c>
    </x:row>
    <x:row r="1003" ht="36" customHeight="1">
      <x:c r="A1003" s="5" t="str">
        <x:v>ST-0025</x:v>
      </x:c>
      <x:c r="B1003" s="5" t="str">
        <x:v>Steuern</x:v>
      </x:c>
      <x:c r="C1003" s="11" t="n">
        <x:v>1</x:v>
      </x:c>
      <x:c r="D1003" s="11" t="n">
        <x:f>COUNTIF('Einzel-ID-Zuordnung'!$A$7:$A$2692,A1003)</x:f>
        <x:v>1</x:v>
      </x:c>
      <x:c r="E1003" s="11" t="n">
        <x:f>D1003-C1003</x:f>
        <x:v>0</x:v>
      </x:c>
      <x:c r="F1003" s="5" t="str">
        <x:v>ja</x:v>
      </x:c>
      <x:c r="G1003" s="5" t="str">
        <x:v>WQ</x:v>
      </x:c>
    </x:row>
    <x:row r="1004" ht="36" customHeight="1">
      <x:c r="A1004" s="5" t="str">
        <x:v>ST-0026</x:v>
      </x:c>
      <x:c r="B1004" s="5" t="str">
        <x:v>Steuern</x:v>
      </x:c>
      <x:c r="C1004" s="11" t="n">
        <x:v>1</x:v>
      </x:c>
      <x:c r="D1004" s="11" t="n">
        <x:f>COUNTIF('Einzel-ID-Zuordnung'!$A$7:$A$2692,A1004)</x:f>
        <x:v>1</x:v>
      </x:c>
      <x:c r="E1004" s="11" t="n">
        <x:f>D1004-C1004</x:f>
        <x:v>0</x:v>
      </x:c>
      <x:c r="F1004" s="5" t="str">
        <x:v>ja</x:v>
      </x:c>
      <x:c r="G1004" s="5" t="str">
        <x:v>WQ</x:v>
      </x:c>
    </x:row>
    <x:row r="1005" ht="36" customHeight="1">
      <x:c r="A1005" s="5" t="str">
        <x:v>ST-0027</x:v>
      </x:c>
      <x:c r="B1005" s="5" t="str">
        <x:v>Steuern</x:v>
      </x:c>
      <x:c r="C1005" s="11" t="n">
        <x:v>1</x:v>
      </x:c>
      <x:c r="D1005" s="11" t="n">
        <x:f>COUNTIF('Einzel-ID-Zuordnung'!$A$7:$A$2692,A1005)</x:f>
        <x:v>1</x:v>
      </x:c>
      <x:c r="E1005" s="11" t="n">
        <x:f>D1005-C1005</x:f>
        <x:v>0</x:v>
      </x:c>
      <x:c r="F1005" s="5" t="str">
        <x:v>ja</x:v>
      </x:c>
      <x:c r="G1005" s="5" t="str">
        <x:v>WQ</x:v>
      </x:c>
    </x:row>
    <x:row r="1006" ht="36" customHeight="1">
      <x:c r="A1006" s="5" t="str">
        <x:v>ST-0028</x:v>
      </x:c>
      <x:c r="B1006" s="5" t="str">
        <x:v>Steuern</x:v>
      </x:c>
      <x:c r="C1006" s="11" t="n">
        <x:v>1</x:v>
      </x:c>
      <x:c r="D1006" s="11" t="n">
        <x:f>COUNTIF('Einzel-ID-Zuordnung'!$A$7:$A$2692,A1006)</x:f>
        <x:v>1</x:v>
      </x:c>
      <x:c r="E1006" s="11" t="n">
        <x:f>D1006-C1006</x:f>
        <x:v>0</x:v>
      </x:c>
      <x:c r="F1006" s="5" t="str">
        <x:v>ja</x:v>
      </x:c>
      <x:c r="G1006" s="5" t="str">
        <x:v>WQ</x:v>
      </x:c>
    </x:row>
    <x:row r="1007" ht="36" customHeight="1">
      <x:c r="A1007" s="5" t="str">
        <x:v>ST-0029</x:v>
      </x:c>
      <x:c r="B1007" s="5" t="str">
        <x:v>Steuern</x:v>
      </x:c>
      <x:c r="C1007" s="11" t="n">
        <x:v>1</x:v>
      </x:c>
      <x:c r="D1007" s="11" t="n">
        <x:f>COUNTIF('Einzel-ID-Zuordnung'!$A$7:$A$2692,A1007)</x:f>
        <x:v>1</x:v>
      </x:c>
      <x:c r="E1007" s="11" t="n">
        <x:f>D1007-C1007</x:f>
        <x:v>0</x:v>
      </x:c>
      <x:c r="F1007" s="5" t="str">
        <x:v>ja</x:v>
      </x:c>
      <x:c r="G1007" s="5" t="str">
        <x:v>WQ</x:v>
      </x:c>
    </x:row>
    <x:row r="1008" ht="36" customHeight="1">
      <x:c r="A1008" s="5" t="str">
        <x:v>ST-0030</x:v>
      </x:c>
      <x:c r="B1008" s="5" t="str">
        <x:v>Steuern</x:v>
      </x:c>
      <x:c r="C1008" s="11" t="n">
        <x:v>1</x:v>
      </x:c>
      <x:c r="D1008" s="11" t="n">
        <x:f>COUNTIF('Einzel-ID-Zuordnung'!$A$7:$A$2692,A1008)</x:f>
        <x:v>1</x:v>
      </x:c>
      <x:c r="E1008" s="11" t="n">
        <x:f>D1008-C1008</x:f>
        <x:v>0</x:v>
      </x:c>
      <x:c r="F1008" s="5" t="str">
        <x:v>ja</x:v>
      </x:c>
      <x:c r="G1008" s="5" t="str">
        <x:v>WQ</x:v>
      </x:c>
    </x:row>
    <x:row r="1009" ht="36" customHeight="1">
      <x:c r="A1009" s="5" t="str">
        <x:v>ST-0031</x:v>
      </x:c>
      <x:c r="B1009" s="5" t="str">
        <x:v>Steuern</x:v>
      </x:c>
      <x:c r="C1009" s="11" t="n">
        <x:v>1</x:v>
      </x:c>
      <x:c r="D1009" s="11" t="n">
        <x:f>COUNTIF('Einzel-ID-Zuordnung'!$A$7:$A$2692,A1009)</x:f>
        <x:v>1</x:v>
      </x:c>
      <x:c r="E1009" s="11" t="n">
        <x:f>D1009-C1009</x:f>
        <x:v>0</x:v>
      </x:c>
      <x:c r="F1009" s="5" t="str">
        <x:v>ja</x:v>
      </x:c>
      <x:c r="G1009" s="5" t="str">
        <x:v>WQ</x:v>
      </x:c>
    </x:row>
    <x:row r="1010" ht="36" customHeight="1">
      <x:c r="A1010" s="5" t="str">
        <x:v>ST-0032</x:v>
      </x:c>
      <x:c r="B1010" s="5" t="str">
        <x:v>Steuern</x:v>
      </x:c>
      <x:c r="C1010" s="11" t="n">
        <x:v>1</x:v>
      </x:c>
      <x:c r="D1010" s="11" t="n">
        <x:f>COUNTIF('Einzel-ID-Zuordnung'!$A$7:$A$2692,A1010)</x:f>
        <x:v>1</x:v>
      </x:c>
      <x:c r="E1010" s="11" t="n">
        <x:f>D1010-C1010</x:f>
        <x:v>0</x:v>
      </x:c>
      <x:c r="F1010" s="5" t="str">
        <x:v>ja</x:v>
      </x:c>
      <x:c r="G1010" s="5" t="str">
        <x:v>WQ</x:v>
      </x:c>
    </x:row>
    <x:row r="1011" ht="36" customHeight="1">
      <x:c r="A1011" s="5" t="str">
        <x:v>ST-0033</x:v>
      </x:c>
      <x:c r="B1011" s="5" t="str">
        <x:v>Steuern</x:v>
      </x:c>
      <x:c r="C1011" s="11" t="n">
        <x:v>1</x:v>
      </x:c>
      <x:c r="D1011" s="11" t="n">
        <x:f>COUNTIF('Einzel-ID-Zuordnung'!$A$7:$A$2692,A1011)</x:f>
        <x:v>1</x:v>
      </x:c>
      <x:c r="E1011" s="11" t="n">
        <x:f>D1011-C1011</x:f>
        <x:v>0</x:v>
      </x:c>
      <x:c r="F1011" s="5" t="str">
        <x:v>ja</x:v>
      </x:c>
      <x:c r="G1011" s="5" t="str">
        <x:v>WQ</x:v>
      </x:c>
    </x:row>
    <x:row r="1012" ht="36" customHeight="1">
      <x:c r="A1012" s="5" t="str">
        <x:v>ST-0034</x:v>
      </x:c>
      <x:c r="B1012" s="5" t="str">
        <x:v>Steuern</x:v>
      </x:c>
      <x:c r="C1012" s="11" t="n">
        <x:v>1</x:v>
      </x:c>
      <x:c r="D1012" s="11" t="n">
        <x:f>COUNTIF('Einzel-ID-Zuordnung'!$A$7:$A$2692,A1012)</x:f>
        <x:v>1</x:v>
      </x:c>
      <x:c r="E1012" s="11" t="n">
        <x:f>D1012-C1012</x:f>
        <x:v>0</x:v>
      </x:c>
      <x:c r="F1012" s="5" t="str">
        <x:v>ja</x:v>
      </x:c>
      <x:c r="G1012" s="5" t="str">
        <x:v>WQ</x:v>
      </x:c>
    </x:row>
    <x:row r="1013" ht="36" customHeight="1">
      <x:c r="A1013" s="5" t="str">
        <x:v>ST-0035</x:v>
      </x:c>
      <x:c r="B1013" s="5" t="str">
        <x:v>Steuern</x:v>
      </x:c>
      <x:c r="C1013" s="11" t="n">
        <x:v>1</x:v>
      </x:c>
      <x:c r="D1013" s="11" t="n">
        <x:f>COUNTIF('Einzel-ID-Zuordnung'!$A$7:$A$2692,A1013)</x:f>
        <x:v>1</x:v>
      </x:c>
      <x:c r="E1013" s="11" t="n">
        <x:f>D1013-C1013</x:f>
        <x:v>0</x:v>
      </x:c>
      <x:c r="F1013" s="5" t="str">
        <x:v>ja</x:v>
      </x:c>
      <x:c r="G1013" s="5" t="str">
        <x:v>WQ</x:v>
      </x:c>
    </x:row>
    <x:row r="1014" ht="36" customHeight="1">
      <x:c r="A1014" s="5" t="str">
        <x:v>ST-0036</x:v>
      </x:c>
      <x:c r="B1014" s="5" t="str">
        <x:v>Steuern</x:v>
      </x:c>
      <x:c r="C1014" s="11" t="n">
        <x:v>1</x:v>
      </x:c>
      <x:c r="D1014" s="11" t="n">
        <x:f>COUNTIF('Einzel-ID-Zuordnung'!$A$7:$A$2692,A1014)</x:f>
        <x:v>1</x:v>
      </x:c>
      <x:c r="E1014" s="11" t="n">
        <x:f>D1014-C1014</x:f>
        <x:v>0</x:v>
      </x:c>
      <x:c r="F1014" s="5" t="str">
        <x:v>ja</x:v>
      </x:c>
      <x:c r="G1014" s="5" t="str">
        <x:v>WQ</x:v>
      </x:c>
    </x:row>
    <x:row r="1015" ht="36" customHeight="1">
      <x:c r="A1015" s="5" t="str">
        <x:v>ST-0037</x:v>
      </x:c>
      <x:c r="B1015" s="5" t="str">
        <x:v>Steuern</x:v>
      </x:c>
      <x:c r="C1015" s="11" t="n">
        <x:v>1</x:v>
      </x:c>
      <x:c r="D1015" s="11" t="n">
        <x:f>COUNTIF('Einzel-ID-Zuordnung'!$A$7:$A$2692,A1015)</x:f>
        <x:v>1</x:v>
      </x:c>
      <x:c r="E1015" s="11" t="n">
        <x:f>D1015-C1015</x:f>
        <x:v>0</x:v>
      </x:c>
      <x:c r="F1015" s="5" t="str">
        <x:v>ja</x:v>
      </x:c>
      <x:c r="G1015" s="5" t="str">
        <x:v>WQ</x:v>
      </x:c>
    </x:row>
    <x:row r="1016" ht="36" customHeight="1">
      <x:c r="A1016" s="5" t="str">
        <x:v>ST-0038</x:v>
      </x:c>
      <x:c r="B1016" s="5" t="str">
        <x:v>Steuern</x:v>
      </x:c>
      <x:c r="C1016" s="11" t="n">
        <x:v>1</x:v>
      </x:c>
      <x:c r="D1016" s="11" t="n">
        <x:f>COUNTIF('Einzel-ID-Zuordnung'!$A$7:$A$2692,A1016)</x:f>
        <x:v>1</x:v>
      </x:c>
      <x:c r="E1016" s="11" t="n">
        <x:f>D1016-C1016</x:f>
        <x:v>0</x:v>
      </x:c>
      <x:c r="F1016" s="5" t="str">
        <x:v>ja</x:v>
      </x:c>
      <x:c r="G1016" s="5" t="str">
        <x:v>WQ</x:v>
      </x:c>
    </x:row>
    <x:row r="1017" ht="36" customHeight="1">
      <x:c r="A1017" s="5" t="str">
        <x:v>ST-0039</x:v>
      </x:c>
      <x:c r="B1017" s="5" t="str">
        <x:v>Steuern</x:v>
      </x:c>
      <x:c r="C1017" s="11" t="n">
        <x:v>1</x:v>
      </x:c>
      <x:c r="D1017" s="11" t="n">
        <x:f>COUNTIF('Einzel-ID-Zuordnung'!$A$7:$A$2692,A1017)</x:f>
        <x:v>1</x:v>
      </x:c>
      <x:c r="E1017" s="11" t="n">
        <x:f>D1017-C1017</x:f>
        <x:v>0</x:v>
      </x:c>
      <x:c r="F1017" s="5" t="str">
        <x:v>ja</x:v>
      </x:c>
      <x:c r="G1017" s="5" t="str">
        <x:v>WQ</x:v>
      </x:c>
    </x:row>
    <x:row r="1018" ht="36" customHeight="1">
      <x:c r="A1018" s="5" t="str">
        <x:v>ST-0040</x:v>
      </x:c>
      <x:c r="B1018" s="5" t="str">
        <x:v>Steuern</x:v>
      </x:c>
      <x:c r="C1018" s="11" t="n">
        <x:v>1</x:v>
      </x:c>
      <x:c r="D1018" s="11" t="n">
        <x:f>COUNTIF('Einzel-ID-Zuordnung'!$A$7:$A$2692,A1018)</x:f>
        <x:v>1</x:v>
      </x:c>
      <x:c r="E1018" s="11" t="n">
        <x:f>D1018-C1018</x:f>
        <x:v>0</x:v>
      </x:c>
      <x:c r="F1018" s="5" t="str">
        <x:v>ja</x:v>
      </x:c>
      <x:c r="G1018" s="5" t="str">
        <x:v>WQ</x:v>
      </x:c>
    </x:row>
    <x:row r="1019" ht="36" customHeight="1">
      <x:c r="A1019" s="5" t="str">
        <x:v>ST-0041</x:v>
      </x:c>
      <x:c r="B1019" s="5" t="str">
        <x:v>Steuern</x:v>
      </x:c>
      <x:c r="C1019" s="11" t="n">
        <x:v>1</x:v>
      </x:c>
      <x:c r="D1019" s="11" t="n">
        <x:f>COUNTIF('Einzel-ID-Zuordnung'!$A$7:$A$2692,A1019)</x:f>
        <x:v>1</x:v>
      </x:c>
      <x:c r="E1019" s="11" t="n">
        <x:f>D1019-C1019</x:f>
        <x:v>0</x:v>
      </x:c>
      <x:c r="F1019" s="5" t="str">
        <x:v>ja</x:v>
      </x:c>
      <x:c r="G1019" s="5" t="str">
        <x:v>WQ</x:v>
      </x:c>
    </x:row>
    <x:row r="1020" ht="36" customHeight="1">
      <x:c r="A1020" s="5" t="str">
        <x:v>ST-0042</x:v>
      </x:c>
      <x:c r="B1020" s="5" t="str">
        <x:v>Steuern</x:v>
      </x:c>
      <x:c r="C1020" s="11" t="n">
        <x:v>1</x:v>
      </x:c>
      <x:c r="D1020" s="11" t="n">
        <x:f>COUNTIF('Einzel-ID-Zuordnung'!$A$7:$A$2692,A1020)</x:f>
        <x:v>1</x:v>
      </x:c>
      <x:c r="E1020" s="11" t="n">
        <x:f>D1020-C1020</x:f>
        <x:v>0</x:v>
      </x:c>
      <x:c r="F1020" s="5" t="str">
        <x:v>ja</x:v>
      </x:c>
      <x:c r="G1020" s="5" t="str">
        <x:v>WQ</x:v>
      </x:c>
    </x:row>
    <x:row r="1021" ht="36" customHeight="1">
      <x:c r="A1021" s="5" t="str">
        <x:v>ST-0043</x:v>
      </x:c>
      <x:c r="B1021" s="5" t="str">
        <x:v>Steuern</x:v>
      </x:c>
      <x:c r="C1021" s="11" t="n">
        <x:v>1</x:v>
      </x:c>
      <x:c r="D1021" s="11" t="n">
        <x:f>COUNTIF('Einzel-ID-Zuordnung'!$A$7:$A$2692,A1021)</x:f>
        <x:v>1</x:v>
      </x:c>
      <x:c r="E1021" s="11" t="n">
        <x:f>D1021-C1021</x:f>
        <x:v>0</x:v>
      </x:c>
      <x:c r="F1021" s="5" t="str">
        <x:v>ja</x:v>
      </x:c>
      <x:c r="G1021" s="5" t="str">
        <x:v>WQ</x:v>
      </x:c>
    </x:row>
    <x:row r="1022" ht="36" customHeight="1">
      <x:c r="A1022" s="5" t="str">
        <x:v>ST-0044</x:v>
      </x:c>
      <x:c r="B1022" s="5" t="str">
        <x:v>Steuern</x:v>
      </x:c>
      <x:c r="C1022" s="11" t="n">
        <x:v>1</x:v>
      </x:c>
      <x:c r="D1022" s="11" t="n">
        <x:f>COUNTIF('Einzel-ID-Zuordnung'!$A$7:$A$2692,A1022)</x:f>
        <x:v>1</x:v>
      </x:c>
      <x:c r="E1022" s="11" t="n">
        <x:f>D1022-C1022</x:f>
        <x:v>0</x:v>
      </x:c>
      <x:c r="F1022" s="5" t="str">
        <x:v>ja</x:v>
      </x:c>
      <x:c r="G1022" s="5" t="str">
        <x:v>WQ</x:v>
      </x:c>
    </x:row>
    <x:row r="1023" ht="36" customHeight="1">
      <x:c r="A1023" s="5" t="str">
        <x:v>ST-0045</x:v>
      </x:c>
      <x:c r="B1023" s="5" t="str">
        <x:v>Steuern</x:v>
      </x:c>
      <x:c r="C1023" s="11" t="n">
        <x:v>1</x:v>
      </x:c>
      <x:c r="D1023" s="11" t="n">
        <x:f>COUNTIF('Einzel-ID-Zuordnung'!$A$7:$A$2692,A1023)</x:f>
        <x:v>1</x:v>
      </x:c>
      <x:c r="E1023" s="11" t="n">
        <x:f>D1023-C1023</x:f>
        <x:v>0</x:v>
      </x:c>
      <x:c r="F1023" s="5" t="str">
        <x:v>ja</x:v>
      </x:c>
      <x:c r="G1023" s="5" t="str">
        <x:v>WQ</x:v>
      </x:c>
    </x:row>
    <x:row r="1024" ht="36" customHeight="1">
      <x:c r="A1024" s="5" t="str">
        <x:v>ST-0046</x:v>
      </x:c>
      <x:c r="B1024" s="5" t="str">
        <x:v>Steuern</x:v>
      </x:c>
      <x:c r="C1024" s="11" t="n">
        <x:v>1</x:v>
      </x:c>
      <x:c r="D1024" s="11" t="n">
        <x:f>COUNTIF('Einzel-ID-Zuordnung'!$A$7:$A$2692,A1024)</x:f>
        <x:v>1</x:v>
      </x:c>
      <x:c r="E1024" s="11" t="n">
        <x:f>D1024-C1024</x:f>
        <x:v>0</x:v>
      </x:c>
      <x:c r="F1024" s="5" t="str">
        <x:v>ja</x:v>
      </x:c>
      <x:c r="G1024" s="5" t="str">
        <x:v>WQ</x:v>
      </x:c>
    </x:row>
    <x:row r="1025" ht="36" customHeight="1">
      <x:c r="A1025" s="5" t="str">
        <x:v>ST-0047</x:v>
      </x:c>
      <x:c r="B1025" s="5" t="str">
        <x:v>Steuern</x:v>
      </x:c>
      <x:c r="C1025" s="11" t="n">
        <x:v>1</x:v>
      </x:c>
      <x:c r="D1025" s="11" t="n">
        <x:f>COUNTIF('Einzel-ID-Zuordnung'!$A$7:$A$2692,A1025)</x:f>
        <x:v>1</x:v>
      </x:c>
      <x:c r="E1025" s="11" t="n">
        <x:f>D1025-C1025</x:f>
        <x:v>0</x:v>
      </x:c>
      <x:c r="F1025" s="5" t="str">
        <x:v>ja</x:v>
      </x:c>
      <x:c r="G1025" s="5" t="str">
        <x:v>WQ</x:v>
      </x:c>
    </x:row>
    <x:row r="1026" ht="36" customHeight="1">
      <x:c r="A1026" s="5" t="str">
        <x:v>ST-0048</x:v>
      </x:c>
      <x:c r="B1026" s="5" t="str">
        <x:v>Steuern</x:v>
      </x:c>
      <x:c r="C1026" s="11" t="n">
        <x:v>1</x:v>
      </x:c>
      <x:c r="D1026" s="11" t="n">
        <x:f>COUNTIF('Einzel-ID-Zuordnung'!$A$7:$A$2692,A1026)</x:f>
        <x:v>1</x:v>
      </x:c>
      <x:c r="E1026" s="11" t="n">
        <x:f>D1026-C1026</x:f>
        <x:v>0</x:v>
      </x:c>
      <x:c r="F1026" s="5" t="str">
        <x:v>ja</x:v>
      </x:c>
      <x:c r="G1026" s="5" t="str">
        <x:v>WQ</x:v>
      </x:c>
    </x:row>
    <x:row r="1027" ht="36" customHeight="1">
      <x:c r="A1027" s="5" t="str">
        <x:v>ST-0049</x:v>
      </x:c>
      <x:c r="B1027" s="5" t="str">
        <x:v>Steuern</x:v>
      </x:c>
      <x:c r="C1027" s="11" t="n">
        <x:v>1</x:v>
      </x:c>
      <x:c r="D1027" s="11" t="n">
        <x:f>COUNTIF('Einzel-ID-Zuordnung'!$A$7:$A$2692,A1027)</x:f>
        <x:v>1</x:v>
      </x:c>
      <x:c r="E1027" s="11" t="n">
        <x:f>D1027-C1027</x:f>
        <x:v>0</x:v>
      </x:c>
      <x:c r="F1027" s="5" t="str">
        <x:v>ja</x:v>
      </x:c>
      <x:c r="G1027" s="5" t="str">
        <x:v>WQ</x:v>
      </x:c>
    </x:row>
    <x:row r="1028" ht="36" customHeight="1">
      <x:c r="A1028" s="5" t="str">
        <x:v>ST-0050</x:v>
      </x:c>
      <x:c r="B1028" s="5" t="str">
        <x:v>Steuern</x:v>
      </x:c>
      <x:c r="C1028" s="11" t="n">
        <x:v>1</x:v>
      </x:c>
      <x:c r="D1028" s="11" t="n">
        <x:f>COUNTIF('Einzel-ID-Zuordnung'!$A$7:$A$2692,A1028)</x:f>
        <x:v>1</x:v>
      </x:c>
      <x:c r="E1028" s="11" t="n">
        <x:f>D1028-C1028</x:f>
        <x:v>0</x:v>
      </x:c>
      <x:c r="F1028" s="5" t="str">
        <x:v>ja</x:v>
      </x:c>
      <x:c r="G1028" s="5" t="str">
        <x:v>WQ</x:v>
      </x:c>
    </x:row>
    <x:row r="1029" ht="36" customHeight="1">
      <x:c r="A1029" s="5" t="str">
        <x:v>ST-0051</x:v>
      </x:c>
      <x:c r="B1029" s="5" t="str">
        <x:v>Steuern</x:v>
      </x:c>
      <x:c r="C1029" s="11" t="n">
        <x:v>1</x:v>
      </x:c>
      <x:c r="D1029" s="11" t="n">
        <x:f>COUNTIF('Einzel-ID-Zuordnung'!$A$7:$A$2692,A1029)</x:f>
        <x:v>1</x:v>
      </x:c>
      <x:c r="E1029" s="11" t="n">
        <x:f>D1029-C1029</x:f>
        <x:v>0</x:v>
      </x:c>
      <x:c r="F1029" s="5" t="str">
        <x:v>ja</x:v>
      </x:c>
      <x:c r="G1029" s="5" t="str">
        <x:v>WQ</x:v>
      </x:c>
    </x:row>
    <x:row r="1030" ht="36" customHeight="1">
      <x:c r="A1030" s="5" t="str">
        <x:v>ST-0052</x:v>
      </x:c>
      <x:c r="B1030" s="5" t="str">
        <x:v>Steuern</x:v>
      </x:c>
      <x:c r="C1030" s="11" t="n">
        <x:v>1</x:v>
      </x:c>
      <x:c r="D1030" s="11" t="n">
        <x:f>COUNTIF('Einzel-ID-Zuordnung'!$A$7:$A$2692,A1030)</x:f>
        <x:v>1</x:v>
      </x:c>
      <x:c r="E1030" s="11" t="n">
        <x:f>D1030-C1030</x:f>
        <x:v>0</x:v>
      </x:c>
      <x:c r="F1030" s="5" t="str">
        <x:v>ja</x:v>
      </x:c>
      <x:c r="G1030" s="5" t="str">
        <x:v>WQ</x:v>
      </x:c>
    </x:row>
    <x:row r="1031" ht="36" customHeight="1">
      <x:c r="A1031" s="5" t="str">
        <x:v>ST-0053</x:v>
      </x:c>
      <x:c r="B1031" s="5" t="str">
        <x:v>Steuern</x:v>
      </x:c>
      <x:c r="C1031" s="11" t="n">
        <x:v>1</x:v>
      </x:c>
      <x:c r="D1031" s="11" t="n">
        <x:f>COUNTIF('Einzel-ID-Zuordnung'!$A$7:$A$2692,A1031)</x:f>
        <x:v>1</x:v>
      </x:c>
      <x:c r="E1031" s="11" t="n">
        <x:f>D1031-C1031</x:f>
        <x:v>0</x:v>
      </x:c>
      <x:c r="F1031" s="5" t="str">
        <x:v>ja</x:v>
      </x:c>
      <x:c r="G1031" s="5" t="str">
        <x:v>WQ</x:v>
      </x:c>
    </x:row>
    <x:row r="1032" ht="36" customHeight="1">
      <x:c r="A1032" s="5" t="str">
        <x:v>ST-0054</x:v>
      </x:c>
      <x:c r="B1032" s="5" t="str">
        <x:v>Steuern</x:v>
      </x:c>
      <x:c r="C1032" s="11" t="n">
        <x:v>1</x:v>
      </x:c>
      <x:c r="D1032" s="11" t="n">
        <x:f>COUNTIF('Einzel-ID-Zuordnung'!$A$7:$A$2692,A1032)</x:f>
        <x:v>1</x:v>
      </x:c>
      <x:c r="E1032" s="11" t="n">
        <x:f>D1032-C1032</x:f>
        <x:v>0</x:v>
      </x:c>
      <x:c r="F1032" s="5" t="str">
        <x:v>ja</x:v>
      </x:c>
      <x:c r="G1032" s="5" t="str">
        <x:v>WQ</x:v>
      </x:c>
    </x:row>
    <x:row r="1033" ht="36" customHeight="1">
      <x:c r="A1033" s="5" t="str">
        <x:v>ST-0055</x:v>
      </x:c>
      <x:c r="B1033" s="5" t="str">
        <x:v>Steuern</x:v>
      </x:c>
      <x:c r="C1033" s="11" t="n">
        <x:v>1</x:v>
      </x:c>
      <x:c r="D1033" s="11" t="n">
        <x:f>COUNTIF('Einzel-ID-Zuordnung'!$A$7:$A$2692,A1033)</x:f>
        <x:v>1</x:v>
      </x:c>
      <x:c r="E1033" s="11" t="n">
        <x:f>D1033-C1033</x:f>
        <x:v>0</x:v>
      </x:c>
      <x:c r="F1033" s="5" t="str">
        <x:v>ja</x:v>
      </x:c>
      <x:c r="G1033" s="5" t="str">
        <x:v>WQ</x:v>
      </x:c>
    </x:row>
    <x:row r="1034" ht="36" customHeight="1">
      <x:c r="A1034" s="5" t="str">
        <x:v>ST-0056</x:v>
      </x:c>
      <x:c r="B1034" s="5" t="str">
        <x:v>Steuern</x:v>
      </x:c>
      <x:c r="C1034" s="11" t="n">
        <x:v>1</x:v>
      </x:c>
      <x:c r="D1034" s="11" t="n">
        <x:f>COUNTIF('Einzel-ID-Zuordnung'!$A$7:$A$2692,A1034)</x:f>
        <x:v>1</x:v>
      </x:c>
      <x:c r="E1034" s="11" t="n">
        <x:f>D1034-C1034</x:f>
        <x:v>0</x:v>
      </x:c>
      <x:c r="F1034" s="5" t="str">
        <x:v>ja</x:v>
      </x:c>
      <x:c r="G1034" s="5" t="str">
        <x:v>WQ</x:v>
      </x:c>
    </x:row>
    <x:row r="1035" ht="36" customHeight="1">
      <x:c r="A1035" s="5" t="str">
        <x:v>ST-0057</x:v>
      </x:c>
      <x:c r="B1035" s="5" t="str">
        <x:v>Steuern</x:v>
      </x:c>
      <x:c r="C1035" s="11" t="n">
        <x:v>1</x:v>
      </x:c>
      <x:c r="D1035" s="11" t="n">
        <x:f>COUNTIF('Einzel-ID-Zuordnung'!$A$7:$A$2692,A1035)</x:f>
        <x:v>1</x:v>
      </x:c>
      <x:c r="E1035" s="11" t="n">
        <x:f>D1035-C1035</x:f>
        <x:v>0</x:v>
      </x:c>
      <x:c r="F1035" s="5" t="str">
        <x:v>ja</x:v>
      </x:c>
      <x:c r="G1035" s="5" t="str">
        <x:v>WQ</x:v>
      </x:c>
    </x:row>
    <x:row r="1036" ht="36" customHeight="1">
      <x:c r="A1036" s="5" t="str">
        <x:v>ST-0058</x:v>
      </x:c>
      <x:c r="B1036" s="5" t="str">
        <x:v>Steuern</x:v>
      </x:c>
      <x:c r="C1036" s="11" t="n">
        <x:v>1</x:v>
      </x:c>
      <x:c r="D1036" s="11" t="n">
        <x:f>COUNTIF('Einzel-ID-Zuordnung'!$A$7:$A$2692,A1036)</x:f>
        <x:v>1</x:v>
      </x:c>
      <x:c r="E1036" s="11" t="n">
        <x:f>D1036-C1036</x:f>
        <x:v>0</x:v>
      </x:c>
      <x:c r="F1036" s="5" t="str">
        <x:v>ja</x:v>
      </x:c>
      <x:c r="G1036" s="5" t="str">
        <x:v>WQ</x:v>
      </x:c>
    </x:row>
    <x:row r="1037" ht="36" customHeight="1">
      <x:c r="A1037" s="5" t="str">
        <x:v>ST-0059</x:v>
      </x:c>
      <x:c r="B1037" s="5" t="str">
        <x:v>Steuern</x:v>
      </x:c>
      <x:c r="C1037" s="11" t="n">
        <x:v>1</x:v>
      </x:c>
      <x:c r="D1037" s="11" t="n">
        <x:f>COUNTIF('Einzel-ID-Zuordnung'!$A$7:$A$2692,A1037)</x:f>
        <x:v>1</x:v>
      </x:c>
      <x:c r="E1037" s="11" t="n">
        <x:f>D1037-C1037</x:f>
        <x:v>0</x:v>
      </x:c>
      <x:c r="F1037" s="5" t="str">
        <x:v>ja</x:v>
      </x:c>
      <x:c r="G1037" s="5" t="str">
        <x:v>WQ</x:v>
      </x:c>
    </x:row>
    <x:row r="1038" ht="36" customHeight="1">
      <x:c r="A1038" s="5" t="str">
        <x:v>ST-0060</x:v>
      </x:c>
      <x:c r="B1038" s="5" t="str">
        <x:v>Steuern</x:v>
      </x:c>
      <x:c r="C1038" s="11" t="n">
        <x:v>1</x:v>
      </x:c>
      <x:c r="D1038" s="11" t="n">
        <x:f>COUNTIF('Einzel-ID-Zuordnung'!$A$7:$A$2692,A1038)</x:f>
        <x:v>1</x:v>
      </x:c>
      <x:c r="E1038" s="11" t="n">
        <x:f>D1038-C1038</x:f>
        <x:v>0</x:v>
      </x:c>
      <x:c r="F1038" s="5" t="str">
        <x:v>ja</x:v>
      </x:c>
      <x:c r="G1038" s="5" t="str">
        <x:v>WQ</x:v>
      </x:c>
    </x:row>
    <x:row r="1039" ht="36" customHeight="1">
      <x:c r="A1039" s="5" t="str">
        <x:v>ST-0061</x:v>
      </x:c>
      <x:c r="B1039" s="5" t="str">
        <x:v>Steuern</x:v>
      </x:c>
      <x:c r="C1039" s="11" t="n">
        <x:v>1</x:v>
      </x:c>
      <x:c r="D1039" s="11" t="n">
        <x:f>COUNTIF('Einzel-ID-Zuordnung'!$A$7:$A$2692,A1039)</x:f>
        <x:v>1</x:v>
      </x:c>
      <x:c r="E1039" s="11" t="n">
        <x:f>D1039-C1039</x:f>
        <x:v>0</x:v>
      </x:c>
      <x:c r="F1039" s="5" t="str">
        <x:v>ja</x:v>
      </x:c>
      <x:c r="G1039" s="5" t="str">
        <x:v>WQ</x:v>
      </x:c>
    </x:row>
    <x:row r="1040" ht="36" customHeight="1">
      <x:c r="A1040" s="5" t="str">
        <x:v>ST-0062</x:v>
      </x:c>
      <x:c r="B1040" s="5" t="str">
        <x:v>Steuern</x:v>
      </x:c>
      <x:c r="C1040" s="11" t="n">
        <x:v>1</x:v>
      </x:c>
      <x:c r="D1040" s="11" t="n">
        <x:f>COUNTIF('Einzel-ID-Zuordnung'!$A$7:$A$2692,A1040)</x:f>
        <x:v>1</x:v>
      </x:c>
      <x:c r="E1040" s="11" t="n">
        <x:f>D1040-C1040</x:f>
        <x:v>0</x:v>
      </x:c>
      <x:c r="F1040" s="5" t="str">
        <x:v>ja</x:v>
      </x:c>
      <x:c r="G1040" s="5" t="str">
        <x:v>WQ</x:v>
      </x:c>
    </x:row>
    <x:row r="1041" ht="36" customHeight="1">
      <x:c r="A1041" s="5" t="str">
        <x:v>ST-0063</x:v>
      </x:c>
      <x:c r="B1041" s="5" t="str">
        <x:v>Steuern</x:v>
      </x:c>
      <x:c r="C1041" s="11" t="n">
        <x:v>1</x:v>
      </x:c>
      <x:c r="D1041" s="11" t="n">
        <x:f>COUNTIF('Einzel-ID-Zuordnung'!$A$7:$A$2692,A1041)</x:f>
        <x:v>1</x:v>
      </x:c>
      <x:c r="E1041" s="11" t="n">
        <x:f>D1041-C1041</x:f>
        <x:v>0</x:v>
      </x:c>
      <x:c r="F1041" s="5" t="str">
        <x:v>ja</x:v>
      </x:c>
      <x:c r="G1041" s="5" t="str">
        <x:v>WQ</x:v>
      </x:c>
    </x:row>
    <x:row r="1042" ht="36" customHeight="1">
      <x:c r="A1042" s="5" t="str">
        <x:v>ST-0064</x:v>
      </x:c>
      <x:c r="B1042" s="5" t="str">
        <x:v>Steuern</x:v>
      </x:c>
      <x:c r="C1042" s="11" t="n">
        <x:v>1</x:v>
      </x:c>
      <x:c r="D1042" s="11" t="n">
        <x:f>COUNTIF('Einzel-ID-Zuordnung'!$A$7:$A$2692,A1042)</x:f>
        <x:v>1</x:v>
      </x:c>
      <x:c r="E1042" s="11" t="n">
        <x:f>D1042-C1042</x:f>
        <x:v>0</x:v>
      </x:c>
      <x:c r="F1042" s="5" t="str">
        <x:v>ja</x:v>
      </x:c>
      <x:c r="G1042" s="5" t="str">
        <x:v>WQ</x:v>
      </x:c>
    </x:row>
    <x:row r="1043" ht="36" customHeight="1">
      <x:c r="A1043" s="5" t="str">
        <x:v>ST-0065</x:v>
      </x:c>
      <x:c r="B1043" s="5" t="str">
        <x:v>Steuern</x:v>
      </x:c>
      <x:c r="C1043" s="11" t="n">
        <x:v>1</x:v>
      </x:c>
      <x:c r="D1043" s="11" t="n">
        <x:f>COUNTIF('Einzel-ID-Zuordnung'!$A$7:$A$2692,A1043)</x:f>
        <x:v>1</x:v>
      </x:c>
      <x:c r="E1043" s="11" t="n">
        <x:f>D1043-C1043</x:f>
        <x:v>0</x:v>
      </x:c>
      <x:c r="F1043" s="5" t="str">
        <x:v>ja</x:v>
      </x:c>
      <x:c r="G1043" s="5" t="str">
        <x:v>WQ</x:v>
      </x:c>
    </x:row>
    <x:row r="1044" ht="36" customHeight="1">
      <x:c r="A1044" s="5" t="str">
        <x:v>ST-0066</x:v>
      </x:c>
      <x:c r="B1044" s="5" t="str">
        <x:v>Steuern</x:v>
      </x:c>
      <x:c r="C1044" s="11" t="n">
        <x:v>1</x:v>
      </x:c>
      <x:c r="D1044" s="11" t="n">
        <x:f>COUNTIF('Einzel-ID-Zuordnung'!$A$7:$A$2692,A1044)</x:f>
        <x:v>1</x:v>
      </x:c>
      <x:c r="E1044" s="11" t="n">
        <x:f>D1044-C1044</x:f>
        <x:v>0</x:v>
      </x:c>
      <x:c r="F1044" s="5" t="str">
        <x:v>ja</x:v>
      </x:c>
      <x:c r="G1044" s="5" t="str">
        <x:v>WQ</x:v>
      </x:c>
    </x:row>
    <x:row r="1045" ht="36" customHeight="1">
      <x:c r="A1045" s="5" t="str">
        <x:v>ST-0067</x:v>
      </x:c>
      <x:c r="B1045" s="5" t="str">
        <x:v>Steuern</x:v>
      </x:c>
      <x:c r="C1045" s="11" t="n">
        <x:v>1</x:v>
      </x:c>
      <x:c r="D1045" s="11" t="n">
        <x:f>COUNTIF('Einzel-ID-Zuordnung'!$A$7:$A$2692,A1045)</x:f>
        <x:v>1</x:v>
      </x:c>
      <x:c r="E1045" s="11" t="n">
        <x:f>D1045-C1045</x:f>
        <x:v>0</x:v>
      </x:c>
      <x:c r="F1045" s="5" t="str">
        <x:v>ja</x:v>
      </x:c>
      <x:c r="G1045" s="5" t="str">
        <x:v>WQ</x:v>
      </x:c>
    </x:row>
    <x:row r="1046" ht="36" customHeight="1">
      <x:c r="A1046" s="5" t="str">
        <x:v>ST-0068</x:v>
      </x:c>
      <x:c r="B1046" s="5" t="str">
        <x:v>Steuern</x:v>
      </x:c>
      <x:c r="C1046" s="11" t="n">
        <x:v>1</x:v>
      </x:c>
      <x:c r="D1046" s="11" t="n">
        <x:f>COUNTIF('Einzel-ID-Zuordnung'!$A$7:$A$2692,A1046)</x:f>
        <x:v>1</x:v>
      </x:c>
      <x:c r="E1046" s="11" t="n">
        <x:f>D1046-C1046</x:f>
        <x:v>0</x:v>
      </x:c>
      <x:c r="F1046" s="5" t="str">
        <x:v>ja</x:v>
      </x:c>
      <x:c r="G1046" s="5" t="str">
        <x:v>WQ</x:v>
      </x:c>
    </x:row>
    <x:row r="1047" ht="36" customHeight="1">
      <x:c r="A1047" s="5" t="str">
        <x:v>ST-0069</x:v>
      </x:c>
      <x:c r="B1047" s="5" t="str">
        <x:v>Steuern</x:v>
      </x:c>
      <x:c r="C1047" s="11" t="n">
        <x:v>1</x:v>
      </x:c>
      <x:c r="D1047" s="11" t="n">
        <x:f>COUNTIF('Einzel-ID-Zuordnung'!$A$7:$A$2692,A1047)</x:f>
        <x:v>1</x:v>
      </x:c>
      <x:c r="E1047" s="11" t="n">
        <x:f>D1047-C1047</x:f>
        <x:v>0</x:v>
      </x:c>
      <x:c r="F1047" s="5" t="str">
        <x:v>ja</x:v>
      </x:c>
      <x:c r="G1047" s="5" t="str">
        <x:v>WQ</x:v>
      </x:c>
    </x:row>
    <x:row r="1048" ht="36" customHeight="1">
      <x:c r="A1048" s="5" t="str">
        <x:v>ST-0070</x:v>
      </x:c>
      <x:c r="B1048" s="5" t="str">
        <x:v>Steuern</x:v>
      </x:c>
      <x:c r="C1048" s="11" t="n">
        <x:v>1</x:v>
      </x:c>
      <x:c r="D1048" s="11" t="n">
        <x:f>COUNTIF('Einzel-ID-Zuordnung'!$A$7:$A$2692,A1048)</x:f>
        <x:v>1</x:v>
      </x:c>
      <x:c r="E1048" s="11" t="n">
        <x:f>D1048-C1048</x:f>
        <x:v>0</x:v>
      </x:c>
      <x:c r="F1048" s="5" t="str">
        <x:v>ja</x:v>
      </x:c>
      <x:c r="G1048" s="5" t="str">
        <x:v>WQ</x:v>
      </x:c>
    </x:row>
    <x:row r="1049" ht="36" customHeight="1">
      <x:c r="A1049" s="5" t="str">
        <x:v>ST-0071</x:v>
      </x:c>
      <x:c r="B1049" s="5" t="str">
        <x:v>Steuern</x:v>
      </x:c>
      <x:c r="C1049" s="11" t="n">
        <x:v>1</x:v>
      </x:c>
      <x:c r="D1049" s="11" t="n">
        <x:f>COUNTIF('Einzel-ID-Zuordnung'!$A$7:$A$2692,A1049)</x:f>
        <x:v>1</x:v>
      </x:c>
      <x:c r="E1049" s="11" t="n">
        <x:f>D1049-C1049</x:f>
        <x:v>0</x:v>
      </x:c>
      <x:c r="F1049" s="5" t="str">
        <x:v>ja</x:v>
      </x:c>
      <x:c r="G1049" s="5" t="str">
        <x:v>WQ</x:v>
      </x:c>
    </x:row>
    <x:row r="1050" ht="36" customHeight="1">
      <x:c r="A1050" s="5" t="str">
        <x:v>ST-0072</x:v>
      </x:c>
      <x:c r="B1050" s="5" t="str">
        <x:v>Steuern</x:v>
      </x:c>
      <x:c r="C1050" s="11" t="n">
        <x:v>1</x:v>
      </x:c>
      <x:c r="D1050" s="11" t="n">
        <x:f>COUNTIF('Einzel-ID-Zuordnung'!$A$7:$A$2692,A1050)</x:f>
        <x:v>1</x:v>
      </x:c>
      <x:c r="E1050" s="11" t="n">
        <x:f>D1050-C1050</x:f>
        <x:v>0</x:v>
      </x:c>
      <x:c r="F1050" s="5" t="str">
        <x:v>ja</x:v>
      </x:c>
      <x:c r="G1050" s="5" t="str">
        <x:v>WQ</x:v>
      </x:c>
    </x:row>
    <x:row r="1051" ht="36" customHeight="1">
      <x:c r="A1051" s="5" t="str">
        <x:v>ST-0073</x:v>
      </x:c>
      <x:c r="B1051" s="5" t="str">
        <x:v>Steuern</x:v>
      </x:c>
      <x:c r="C1051" s="11" t="n">
        <x:v>1</x:v>
      </x:c>
      <x:c r="D1051" s="11" t="n">
        <x:f>COUNTIF('Einzel-ID-Zuordnung'!$A$7:$A$2692,A1051)</x:f>
        <x:v>1</x:v>
      </x:c>
      <x:c r="E1051" s="11" t="n">
        <x:f>D1051-C1051</x:f>
        <x:v>0</x:v>
      </x:c>
      <x:c r="F1051" s="5" t="str">
        <x:v>ja</x:v>
      </x:c>
      <x:c r="G1051" s="5" t="str">
        <x:v>WQ</x:v>
      </x:c>
    </x:row>
    <x:row r="1052" ht="36" customHeight="1">
      <x:c r="A1052" s="5" t="str">
        <x:v>ST-0074</x:v>
      </x:c>
      <x:c r="B1052" s="5" t="str">
        <x:v>Steuern</x:v>
      </x:c>
      <x:c r="C1052" s="11" t="n">
        <x:v>1</x:v>
      </x:c>
      <x:c r="D1052" s="11" t="n">
        <x:f>COUNTIF('Einzel-ID-Zuordnung'!$A$7:$A$2692,A1052)</x:f>
        <x:v>1</x:v>
      </x:c>
      <x:c r="E1052" s="11" t="n">
        <x:f>D1052-C1052</x:f>
        <x:v>0</x:v>
      </x:c>
      <x:c r="F1052" s="5" t="str">
        <x:v>ja</x:v>
      </x:c>
      <x:c r="G1052" s="5" t="str">
        <x:v>WQ</x:v>
      </x:c>
    </x:row>
    <x:row r="1053" ht="36" customHeight="1">
      <x:c r="A1053" s="5" t="str">
        <x:v>ST-0075</x:v>
      </x:c>
      <x:c r="B1053" s="5" t="str">
        <x:v>Steuern</x:v>
      </x:c>
      <x:c r="C1053" s="11" t="n">
        <x:v>1</x:v>
      </x:c>
      <x:c r="D1053" s="11" t="n">
        <x:f>COUNTIF('Einzel-ID-Zuordnung'!$A$7:$A$2692,A1053)</x:f>
        <x:v>1</x:v>
      </x:c>
      <x:c r="E1053" s="11" t="n">
        <x:f>D1053-C1053</x:f>
        <x:v>0</x:v>
      </x:c>
      <x:c r="F1053" s="5" t="str">
        <x:v>ja</x:v>
      </x:c>
      <x:c r="G1053" s="5" t="str">
        <x:v>WQ</x:v>
      </x:c>
    </x:row>
    <x:row r="1054" ht="36" customHeight="1">
      <x:c r="A1054" s="5" t="str">
        <x:v>ST-0076</x:v>
      </x:c>
      <x:c r="B1054" s="5" t="str">
        <x:v>Steuern</x:v>
      </x:c>
      <x:c r="C1054" s="11" t="n">
        <x:v>1</x:v>
      </x:c>
      <x:c r="D1054" s="11" t="n">
        <x:f>COUNTIF('Einzel-ID-Zuordnung'!$A$7:$A$2692,A1054)</x:f>
        <x:v>1</x:v>
      </x:c>
      <x:c r="E1054" s="11" t="n">
        <x:f>D1054-C1054</x:f>
        <x:v>0</x:v>
      </x:c>
      <x:c r="F1054" s="5" t="str">
        <x:v>ja</x:v>
      </x:c>
      <x:c r="G1054" s="5" t="str">
        <x:v>WQ</x:v>
      </x:c>
    </x:row>
    <x:row r="1055" ht="36" customHeight="1">
      <x:c r="A1055" s="5" t="str">
        <x:v>ST-0077</x:v>
      </x:c>
      <x:c r="B1055" s="5" t="str">
        <x:v>Steuern</x:v>
      </x:c>
      <x:c r="C1055" s="11" t="n">
        <x:v>1</x:v>
      </x:c>
      <x:c r="D1055" s="11" t="n">
        <x:f>COUNTIF('Einzel-ID-Zuordnung'!$A$7:$A$2692,A1055)</x:f>
        <x:v>1</x:v>
      </x:c>
      <x:c r="E1055" s="11" t="n">
        <x:f>D1055-C1055</x:f>
        <x:v>0</x:v>
      </x:c>
      <x:c r="F1055" s="5" t="str">
        <x:v>ja</x:v>
      </x:c>
      <x:c r="G1055" s="5" t="str">
        <x:v>WQ</x:v>
      </x:c>
    </x:row>
    <x:row r="1056" ht="36" customHeight="1">
      <x:c r="A1056" s="5" t="str">
        <x:v>ST-0078</x:v>
      </x:c>
      <x:c r="B1056" s="5" t="str">
        <x:v>Steuern</x:v>
      </x:c>
      <x:c r="C1056" s="11" t="n">
        <x:v>1</x:v>
      </x:c>
      <x:c r="D1056" s="11" t="n">
        <x:f>COUNTIF('Einzel-ID-Zuordnung'!$A$7:$A$2692,A1056)</x:f>
        <x:v>1</x:v>
      </x:c>
      <x:c r="E1056" s="11" t="n">
        <x:f>D1056-C1056</x:f>
        <x:v>0</x:v>
      </x:c>
      <x:c r="F1056" s="5" t="str">
        <x:v>ja</x:v>
      </x:c>
      <x:c r="G1056" s="5" t="str">
        <x:v>WQ</x:v>
      </x:c>
    </x:row>
    <x:row r="1057" ht="36" customHeight="1">
      <x:c r="A1057" s="5" t="str">
        <x:v>ST-0079</x:v>
      </x:c>
      <x:c r="B1057" s="5" t="str">
        <x:v>Steuern</x:v>
      </x:c>
      <x:c r="C1057" s="11" t="n">
        <x:v>1</x:v>
      </x:c>
      <x:c r="D1057" s="11" t="n">
        <x:f>COUNTIF('Einzel-ID-Zuordnung'!$A$7:$A$2692,A1057)</x:f>
        <x:v>1</x:v>
      </x:c>
      <x:c r="E1057" s="11" t="n">
        <x:f>D1057-C1057</x:f>
        <x:v>0</x:v>
      </x:c>
      <x:c r="F1057" s="5" t="str">
        <x:v>ja</x:v>
      </x:c>
      <x:c r="G1057" s="5" t="str">
        <x:v>WQ</x:v>
      </x:c>
    </x:row>
    <x:row r="1058" ht="36" customHeight="1">
      <x:c r="A1058" s="5" t="str">
        <x:v>ST-0080</x:v>
      </x:c>
      <x:c r="B1058" s="5" t="str">
        <x:v>Steuern</x:v>
      </x:c>
      <x:c r="C1058" s="11" t="n">
        <x:v>1</x:v>
      </x:c>
      <x:c r="D1058" s="11" t="n">
        <x:f>COUNTIF('Einzel-ID-Zuordnung'!$A$7:$A$2692,A1058)</x:f>
        <x:v>1</x:v>
      </x:c>
      <x:c r="E1058" s="11" t="n">
        <x:f>D1058-C1058</x:f>
        <x:v>0</x:v>
      </x:c>
      <x:c r="F1058" s="5" t="str">
        <x:v>ja</x:v>
      </x:c>
      <x:c r="G1058" s="5" t="str">
        <x:v>WQ</x:v>
      </x:c>
    </x:row>
    <x:row r="1059" ht="36" customHeight="1">
      <x:c r="A1059" s="5" t="str">
        <x:v>ST-0081</x:v>
      </x:c>
      <x:c r="B1059" s="5" t="str">
        <x:v>Steuern</x:v>
      </x:c>
      <x:c r="C1059" s="11" t="n">
        <x:v>1</x:v>
      </x:c>
      <x:c r="D1059" s="11" t="n">
        <x:f>COUNTIF('Einzel-ID-Zuordnung'!$A$7:$A$2692,A1059)</x:f>
        <x:v>1</x:v>
      </x:c>
      <x:c r="E1059" s="11" t="n">
        <x:f>D1059-C1059</x:f>
        <x:v>0</x:v>
      </x:c>
      <x:c r="F1059" s="5" t="str">
        <x:v>ja</x:v>
      </x:c>
      <x:c r="G1059" s="5" t="str">
        <x:v>WQ</x:v>
      </x:c>
    </x:row>
    <x:row r="1060" ht="36" customHeight="1">
      <x:c r="A1060" s="5" t="str">
        <x:v>ST-0082</x:v>
      </x:c>
      <x:c r="B1060" s="5" t="str">
        <x:v>Steuern</x:v>
      </x:c>
      <x:c r="C1060" s="11" t="n">
        <x:v>1</x:v>
      </x:c>
      <x:c r="D1060" s="11" t="n">
        <x:f>COUNTIF('Einzel-ID-Zuordnung'!$A$7:$A$2692,A1060)</x:f>
        <x:v>1</x:v>
      </x:c>
      <x:c r="E1060" s="11" t="n">
        <x:f>D1060-C1060</x:f>
        <x:v>0</x:v>
      </x:c>
      <x:c r="F1060" s="5" t="str">
        <x:v>ja</x:v>
      </x:c>
      <x:c r="G1060" s="5" t="str">
        <x:v>WQ</x:v>
      </x:c>
    </x:row>
    <x:row r="1061" ht="36" customHeight="1">
      <x:c r="A1061" s="5" t="str">
        <x:v>ST-0083</x:v>
      </x:c>
      <x:c r="B1061" s="5" t="str">
        <x:v>Steuern</x:v>
      </x:c>
      <x:c r="C1061" s="11" t="n">
        <x:v>1</x:v>
      </x:c>
      <x:c r="D1061" s="11" t="n">
        <x:f>COUNTIF('Einzel-ID-Zuordnung'!$A$7:$A$2692,A1061)</x:f>
        <x:v>1</x:v>
      </x:c>
      <x:c r="E1061" s="11" t="n">
        <x:f>D1061-C1061</x:f>
        <x:v>0</x:v>
      </x:c>
      <x:c r="F1061" s="5" t="str">
        <x:v>ja</x:v>
      </x:c>
      <x:c r="G1061" s="5" t="str">
        <x:v>WQ</x:v>
      </x:c>
    </x:row>
    <x:row r="1062" ht="36" customHeight="1">
      <x:c r="A1062" s="5" t="str">
        <x:v>ST-0084</x:v>
      </x:c>
      <x:c r="B1062" s="5" t="str">
        <x:v>Steuern</x:v>
      </x:c>
      <x:c r="C1062" s="11" t="n">
        <x:v>1</x:v>
      </x:c>
      <x:c r="D1062" s="11" t="n">
        <x:f>COUNTIF('Einzel-ID-Zuordnung'!$A$7:$A$2692,A1062)</x:f>
        <x:v>1</x:v>
      </x:c>
      <x:c r="E1062" s="11" t="n">
        <x:f>D1062-C1062</x:f>
        <x:v>0</x:v>
      </x:c>
      <x:c r="F1062" s="5" t="str">
        <x:v>ja</x:v>
      </x:c>
      <x:c r="G1062" s="5" t="str">
        <x:v>WQ</x:v>
      </x:c>
    </x:row>
    <x:row r="1063" ht="36" customHeight="1">
      <x:c r="A1063" s="5" t="str">
        <x:v>ST-0085</x:v>
      </x:c>
      <x:c r="B1063" s="5" t="str">
        <x:v>Steuern</x:v>
      </x:c>
      <x:c r="C1063" s="11" t="n">
        <x:v>1</x:v>
      </x:c>
      <x:c r="D1063" s="11" t="n">
        <x:f>COUNTIF('Einzel-ID-Zuordnung'!$A$7:$A$2692,A1063)</x:f>
        <x:v>1</x:v>
      </x:c>
      <x:c r="E1063" s="11" t="n">
        <x:f>D1063-C1063</x:f>
        <x:v>0</x:v>
      </x:c>
      <x:c r="F1063" s="5" t="str">
        <x:v>ja</x:v>
      </x:c>
      <x:c r="G1063" s="5" t="str">
        <x:v>WQ</x:v>
      </x:c>
    </x:row>
    <x:row r="1064" ht="36" customHeight="1">
      <x:c r="A1064" s="5" t="str">
        <x:v>ST-0086</x:v>
      </x:c>
      <x:c r="B1064" s="5" t="str">
        <x:v>Steuern</x:v>
      </x:c>
      <x:c r="C1064" s="11" t="n">
        <x:v>1</x:v>
      </x:c>
      <x:c r="D1064" s="11" t="n">
        <x:f>COUNTIF('Einzel-ID-Zuordnung'!$A$7:$A$2692,A1064)</x:f>
        <x:v>1</x:v>
      </x:c>
      <x:c r="E1064" s="11" t="n">
        <x:f>D1064-C1064</x:f>
        <x:v>0</x:v>
      </x:c>
      <x:c r="F1064" s="5" t="str">
        <x:v>ja</x:v>
      </x:c>
      <x:c r="G1064" s="5" t="str">
        <x:v>WQ</x:v>
      </x:c>
    </x:row>
    <x:row r="1065" ht="36" customHeight="1">
      <x:c r="A1065" s="5" t="str">
        <x:v>ST-0087</x:v>
      </x:c>
      <x:c r="B1065" s="5" t="str">
        <x:v>Steuern</x:v>
      </x:c>
      <x:c r="C1065" s="11" t="n">
        <x:v>1</x:v>
      </x:c>
      <x:c r="D1065" s="11" t="n">
        <x:f>COUNTIF('Einzel-ID-Zuordnung'!$A$7:$A$2692,A1065)</x:f>
        <x:v>1</x:v>
      </x:c>
      <x:c r="E1065" s="11" t="n">
        <x:f>D1065-C1065</x:f>
        <x:v>0</x:v>
      </x:c>
      <x:c r="F1065" s="5" t="str">
        <x:v>ja</x:v>
      </x:c>
      <x:c r="G1065" s="5" t="str">
        <x:v>WQ</x:v>
      </x:c>
    </x:row>
    <x:row r="1066" ht="36" customHeight="1">
      <x:c r="A1066" s="5" t="str">
        <x:v>ST-0088</x:v>
      </x:c>
      <x:c r="B1066" s="5" t="str">
        <x:v>Steuern</x:v>
      </x:c>
      <x:c r="C1066" s="11" t="n">
        <x:v>1</x:v>
      </x:c>
      <x:c r="D1066" s="11" t="n">
        <x:f>COUNTIF('Einzel-ID-Zuordnung'!$A$7:$A$2692,A1066)</x:f>
        <x:v>1</x:v>
      </x:c>
      <x:c r="E1066" s="11" t="n">
        <x:f>D1066-C1066</x:f>
        <x:v>0</x:v>
      </x:c>
      <x:c r="F1066" s="5" t="str">
        <x:v>ja</x:v>
      </x:c>
      <x:c r="G1066" s="5" t="str">
        <x:v>WQ</x:v>
      </x:c>
    </x:row>
    <x:row r="1067" ht="36" customHeight="1">
      <x:c r="A1067" s="5" t="str">
        <x:v>ST-0089</x:v>
      </x:c>
      <x:c r="B1067" s="5" t="str">
        <x:v>Steuern</x:v>
      </x:c>
      <x:c r="C1067" s="11" t="n">
        <x:v>1</x:v>
      </x:c>
      <x:c r="D1067" s="11" t="n">
        <x:f>COUNTIF('Einzel-ID-Zuordnung'!$A$7:$A$2692,A1067)</x:f>
        <x:v>1</x:v>
      </x:c>
      <x:c r="E1067" s="11" t="n">
        <x:f>D1067-C1067</x:f>
        <x:v>0</x:v>
      </x:c>
      <x:c r="F1067" s="5" t="str">
        <x:v>ja</x:v>
      </x:c>
      <x:c r="G1067" s="5" t="str">
        <x:v>WQ</x:v>
      </x:c>
    </x:row>
    <x:row r="1068" ht="36" customHeight="1">
      <x:c r="A1068" s="5" t="str">
        <x:v>ST-0090</x:v>
      </x:c>
      <x:c r="B1068" s="5" t="str">
        <x:v>Steuern</x:v>
      </x:c>
      <x:c r="C1068" s="11" t="n">
        <x:v>1</x:v>
      </x:c>
      <x:c r="D1068" s="11" t="n">
        <x:f>COUNTIF('Einzel-ID-Zuordnung'!$A$7:$A$2692,A1068)</x:f>
        <x:v>1</x:v>
      </x:c>
      <x:c r="E1068" s="11" t="n">
        <x:f>D1068-C1068</x:f>
        <x:v>0</x:v>
      </x:c>
      <x:c r="F1068" s="5" t="str">
        <x:v>ja</x:v>
      </x:c>
      <x:c r="G1068" s="5" t="str">
        <x:v>WQ</x:v>
      </x:c>
    </x:row>
    <x:row r="1069" ht="36" customHeight="1">
      <x:c r="A1069" s="5" t="str">
        <x:v>ST-0091</x:v>
      </x:c>
      <x:c r="B1069" s="5" t="str">
        <x:v>Steuern</x:v>
      </x:c>
      <x:c r="C1069" s="11" t="n">
        <x:v>1</x:v>
      </x:c>
      <x:c r="D1069" s="11" t="n">
        <x:f>COUNTIF('Einzel-ID-Zuordnung'!$A$7:$A$2692,A1069)</x:f>
        <x:v>1</x:v>
      </x:c>
      <x:c r="E1069" s="11" t="n">
        <x:f>D1069-C1069</x:f>
        <x:v>0</x:v>
      </x:c>
      <x:c r="F1069" s="5" t="str">
        <x:v>ja</x:v>
      </x:c>
      <x:c r="G1069" s="5" t="str">
        <x:v>WQ</x:v>
      </x:c>
    </x:row>
    <x:row r="1070" ht="36" customHeight="1">
      <x:c r="A1070" s="5" t="str">
        <x:v>ST-0092</x:v>
      </x:c>
      <x:c r="B1070" s="5" t="str">
        <x:v>Steuern</x:v>
      </x:c>
      <x:c r="C1070" s="11" t="n">
        <x:v>1</x:v>
      </x:c>
      <x:c r="D1070" s="11" t="n">
        <x:f>COUNTIF('Einzel-ID-Zuordnung'!$A$7:$A$2692,A1070)</x:f>
        <x:v>1</x:v>
      </x:c>
      <x:c r="E1070" s="11" t="n">
        <x:f>D1070-C1070</x:f>
        <x:v>0</x:v>
      </x:c>
      <x:c r="F1070" s="5" t="str">
        <x:v>ja</x:v>
      </x:c>
      <x:c r="G1070" s="5" t="str">
        <x:v>WQ</x:v>
      </x:c>
    </x:row>
    <x:row r="1071" ht="36" customHeight="1">
      <x:c r="A1071" s="5" t="str">
        <x:v>ST-0093</x:v>
      </x:c>
      <x:c r="B1071" s="5" t="str">
        <x:v>Steuern</x:v>
      </x:c>
      <x:c r="C1071" s="11" t="n">
        <x:v>1</x:v>
      </x:c>
      <x:c r="D1071" s="11" t="n">
        <x:f>COUNTIF('Einzel-ID-Zuordnung'!$A$7:$A$2692,A1071)</x:f>
        <x:v>1</x:v>
      </x:c>
      <x:c r="E1071" s="11" t="n">
        <x:f>D1071-C1071</x:f>
        <x:v>0</x:v>
      </x:c>
      <x:c r="F1071" s="5" t="str">
        <x:v>ja</x:v>
      </x:c>
      <x:c r="G1071" s="5" t="str">
        <x:v>WQ</x:v>
      </x:c>
    </x:row>
    <x:row r="1072" ht="36" customHeight="1">
      <x:c r="A1072" s="5" t="str">
        <x:v>ST-0094</x:v>
      </x:c>
      <x:c r="B1072" s="5" t="str">
        <x:v>Steuern</x:v>
      </x:c>
      <x:c r="C1072" s="11" t="n">
        <x:v>1</x:v>
      </x:c>
      <x:c r="D1072" s="11" t="n">
        <x:f>COUNTIF('Einzel-ID-Zuordnung'!$A$7:$A$2692,A1072)</x:f>
        <x:v>1</x:v>
      </x:c>
      <x:c r="E1072" s="11" t="n">
        <x:f>D1072-C1072</x:f>
        <x:v>0</x:v>
      </x:c>
      <x:c r="F1072" s="5" t="str">
        <x:v>ja</x:v>
      </x:c>
      <x:c r="G1072" s="5" t="str">
        <x:v>WQ</x:v>
      </x:c>
    </x:row>
    <x:row r="1073" ht="36" customHeight="1">
      <x:c r="A1073" s="5" t="str">
        <x:v>ST-0095</x:v>
      </x:c>
      <x:c r="B1073" s="5" t="str">
        <x:v>Steuern</x:v>
      </x:c>
      <x:c r="C1073" s="11" t="n">
        <x:v>1</x:v>
      </x:c>
      <x:c r="D1073" s="11" t="n">
        <x:f>COUNTIF('Einzel-ID-Zuordnung'!$A$7:$A$2692,A1073)</x:f>
        <x:v>1</x:v>
      </x:c>
      <x:c r="E1073" s="11" t="n">
        <x:f>D1073-C1073</x:f>
        <x:v>0</x:v>
      </x:c>
      <x:c r="F1073" s="5" t="str">
        <x:v>ja</x:v>
      </x:c>
      <x:c r="G1073" s="5" t="str">
        <x:v>WQ</x:v>
      </x:c>
    </x:row>
    <x:row r="1074" ht="36" customHeight="1">
      <x:c r="A1074" s="5" t="str">
        <x:v>ST-0096</x:v>
      </x:c>
      <x:c r="B1074" s="5" t="str">
        <x:v>Steuern</x:v>
      </x:c>
      <x:c r="C1074" s="11" t="n">
        <x:v>1</x:v>
      </x:c>
      <x:c r="D1074" s="11" t="n">
        <x:f>COUNTIF('Einzel-ID-Zuordnung'!$A$7:$A$2692,A1074)</x:f>
        <x:v>1</x:v>
      </x:c>
      <x:c r="E1074" s="11" t="n">
        <x:f>D1074-C1074</x:f>
        <x:v>0</x:v>
      </x:c>
      <x:c r="F1074" s="5" t="str">
        <x:v>ja</x:v>
      </x:c>
      <x:c r="G1074" s="5" t="str">
        <x:v>WQ</x:v>
      </x:c>
    </x:row>
    <x:row r="1075" ht="36" customHeight="1">
      <x:c r="A1075" s="5" t="str">
        <x:v>ST-0097</x:v>
      </x:c>
      <x:c r="B1075" s="5" t="str">
        <x:v>Steuern</x:v>
      </x:c>
      <x:c r="C1075" s="11" t="n">
        <x:v>1</x:v>
      </x:c>
      <x:c r="D1075" s="11" t="n">
        <x:f>COUNTIF('Einzel-ID-Zuordnung'!$A$7:$A$2692,A1075)</x:f>
        <x:v>1</x:v>
      </x:c>
      <x:c r="E1075" s="11" t="n">
        <x:f>D1075-C1075</x:f>
        <x:v>0</x:v>
      </x:c>
      <x:c r="F1075" s="5" t="str">
        <x:v>ja</x:v>
      </x:c>
      <x:c r="G1075" s="5" t="str">
        <x:v>WQ</x:v>
      </x:c>
    </x:row>
    <x:row r="1076" ht="36" customHeight="1">
      <x:c r="A1076" s="5" t="str">
        <x:v>ST-0098</x:v>
      </x:c>
      <x:c r="B1076" s="5" t="str">
        <x:v>Steuern</x:v>
      </x:c>
      <x:c r="C1076" s="11" t="n">
        <x:v>1</x:v>
      </x:c>
      <x:c r="D1076" s="11" t="n">
        <x:f>COUNTIF('Einzel-ID-Zuordnung'!$A$7:$A$2692,A1076)</x:f>
        <x:v>1</x:v>
      </x:c>
      <x:c r="E1076" s="11" t="n">
        <x:f>D1076-C1076</x:f>
        <x:v>0</x:v>
      </x:c>
      <x:c r="F1076" s="5" t="str">
        <x:v>ja</x:v>
      </x:c>
      <x:c r="G1076" s="5" t="str">
        <x:v>WQ</x:v>
      </x:c>
    </x:row>
    <x:row r="1077" ht="36" customHeight="1">
      <x:c r="A1077" s="5" t="str">
        <x:v>ST-0099</x:v>
      </x:c>
      <x:c r="B1077" s="5" t="str">
        <x:v>Steuern</x:v>
      </x:c>
      <x:c r="C1077" s="11" t="n">
        <x:v>1</x:v>
      </x:c>
      <x:c r="D1077" s="11" t="n">
        <x:f>COUNTIF('Einzel-ID-Zuordnung'!$A$7:$A$2692,A1077)</x:f>
        <x:v>1</x:v>
      </x:c>
      <x:c r="E1077" s="11" t="n">
        <x:f>D1077-C1077</x:f>
        <x:v>0</x:v>
      </x:c>
      <x:c r="F1077" s="5" t="str">
        <x:v>ja</x:v>
      </x:c>
      <x:c r="G1077" s="5" t="str">
        <x:v>WQ</x:v>
      </x:c>
    </x:row>
    <x:row r="1078" ht="36" customHeight="1">
      <x:c r="A1078" s="5" t="str">
        <x:v>ST-0100</x:v>
      </x:c>
      <x:c r="B1078" s="5" t="str">
        <x:v>Steuern</x:v>
      </x:c>
      <x:c r="C1078" s="11" t="n">
        <x:v>1</x:v>
      </x:c>
      <x:c r="D1078" s="11" t="n">
        <x:f>COUNTIF('Einzel-ID-Zuordnung'!$A$7:$A$2692,A1078)</x:f>
        <x:v>1</x:v>
      </x:c>
      <x:c r="E1078" s="11" t="n">
        <x:f>D1078-C1078</x:f>
        <x:v>0</x:v>
      </x:c>
      <x:c r="F1078" s="5" t="str">
        <x:v>ja</x:v>
      </x:c>
      <x:c r="G1078" s="5" t="str">
        <x:v>WQ</x:v>
      </x:c>
    </x:row>
    <x:row r="1079" ht="36" customHeight="1">
      <x:c r="A1079" s="5" t="str">
        <x:v>ST-0101</x:v>
      </x:c>
      <x:c r="B1079" s="5" t="str">
        <x:v>Steuern</x:v>
      </x:c>
      <x:c r="C1079" s="11" t="n">
        <x:v>1</x:v>
      </x:c>
      <x:c r="D1079" s="11" t="n">
        <x:f>COUNTIF('Einzel-ID-Zuordnung'!$A$7:$A$2692,A1079)</x:f>
        <x:v>1</x:v>
      </x:c>
      <x:c r="E1079" s="11" t="n">
        <x:f>D1079-C1079</x:f>
        <x:v>0</x:v>
      </x:c>
      <x:c r="F1079" s="5" t="str">
        <x:v>ja</x:v>
      </x:c>
      <x:c r="G1079" s="5" t="str">
        <x:v>WQ</x:v>
      </x:c>
    </x:row>
    <x:row r="1080" ht="36" customHeight="1">
      <x:c r="A1080" s="5" t="str">
        <x:v>ST-0102</x:v>
      </x:c>
      <x:c r="B1080" s="5" t="str">
        <x:v>Steuern</x:v>
      </x:c>
      <x:c r="C1080" s="11" t="n">
        <x:v>1</x:v>
      </x:c>
      <x:c r="D1080" s="11" t="n">
        <x:f>COUNTIF('Einzel-ID-Zuordnung'!$A$7:$A$2692,A1080)</x:f>
        <x:v>1</x:v>
      </x:c>
      <x:c r="E1080" s="11" t="n">
        <x:f>D1080-C1080</x:f>
        <x:v>0</x:v>
      </x:c>
      <x:c r="F1080" s="5" t="str">
        <x:v>ja</x:v>
      </x:c>
      <x:c r="G1080" s="5" t="str">
        <x:v>WQ</x:v>
      </x:c>
    </x:row>
    <x:row r="1081" ht="36" customHeight="1">
      <x:c r="A1081" s="5" t="str">
        <x:v>ST-0103</x:v>
      </x:c>
      <x:c r="B1081" s="5" t="str">
        <x:v>Steuern</x:v>
      </x:c>
      <x:c r="C1081" s="11" t="n">
        <x:v>1</x:v>
      </x:c>
      <x:c r="D1081" s="11" t="n">
        <x:f>COUNTIF('Einzel-ID-Zuordnung'!$A$7:$A$2692,A1081)</x:f>
        <x:v>1</x:v>
      </x:c>
      <x:c r="E1081" s="11" t="n">
        <x:f>D1081-C1081</x:f>
        <x:v>0</x:v>
      </x:c>
      <x:c r="F1081" s="5" t="str">
        <x:v>ja</x:v>
      </x:c>
      <x:c r="G1081" s="5" t="str">
        <x:v>WQ</x:v>
      </x:c>
    </x:row>
    <x:row r="1082" ht="36" customHeight="1">
      <x:c r="A1082" s="5" t="str">
        <x:v>ST-0104</x:v>
      </x:c>
      <x:c r="B1082" s="5" t="str">
        <x:v>Steuern</x:v>
      </x:c>
      <x:c r="C1082" s="11" t="n">
        <x:v>1</x:v>
      </x:c>
      <x:c r="D1082" s="11" t="n">
        <x:f>COUNTIF('Einzel-ID-Zuordnung'!$A$7:$A$2692,A1082)</x:f>
        <x:v>1</x:v>
      </x:c>
      <x:c r="E1082" s="11" t="n">
        <x:f>D1082-C1082</x:f>
        <x:v>0</x:v>
      </x:c>
      <x:c r="F1082" s="5" t="str">
        <x:v>ja</x:v>
      </x:c>
      <x:c r="G1082" s="5" t="str">
        <x:v>WQ</x:v>
      </x:c>
    </x:row>
    <x:row r="1083" ht="36" customHeight="1">
      <x:c r="A1083" s="5" t="str">
        <x:v>ST-0105</x:v>
      </x:c>
      <x:c r="B1083" s="5" t="str">
        <x:v>Steuern</x:v>
      </x:c>
      <x:c r="C1083" s="11" t="n">
        <x:v>1</x:v>
      </x:c>
      <x:c r="D1083" s="11" t="n">
        <x:f>COUNTIF('Einzel-ID-Zuordnung'!$A$7:$A$2692,A1083)</x:f>
        <x:v>1</x:v>
      </x:c>
      <x:c r="E1083" s="11" t="n">
        <x:f>D1083-C1083</x:f>
        <x:v>0</x:v>
      </x:c>
      <x:c r="F1083" s="5" t="str">
        <x:v>ja</x:v>
      </x:c>
      <x:c r="G1083" s="5" t="str">
        <x:v>WQ</x:v>
      </x:c>
    </x:row>
    <x:row r="1084" ht="36" customHeight="1">
      <x:c r="A1084" s="5" t="str">
        <x:v>ST-0106</x:v>
      </x:c>
      <x:c r="B1084" s="5" t="str">
        <x:v>Steuern</x:v>
      </x:c>
      <x:c r="C1084" s="11" t="n">
        <x:v>1</x:v>
      </x:c>
      <x:c r="D1084" s="11" t="n">
        <x:f>COUNTIF('Einzel-ID-Zuordnung'!$A$7:$A$2692,A1084)</x:f>
        <x:v>1</x:v>
      </x:c>
      <x:c r="E1084" s="11" t="n">
        <x:f>D1084-C1084</x:f>
        <x:v>0</x:v>
      </x:c>
      <x:c r="F1084" s="5" t="str">
        <x:v>ja</x:v>
      </x:c>
      <x:c r="G1084" s="5" t="str">
        <x:v>WQ</x:v>
      </x:c>
    </x:row>
    <x:row r="1085" ht="36" customHeight="1">
      <x:c r="A1085" s="5" t="str">
        <x:v>ST-0107</x:v>
      </x:c>
      <x:c r="B1085" s="5" t="str">
        <x:v>Steuern</x:v>
      </x:c>
      <x:c r="C1085" s="11" t="n">
        <x:v>1</x:v>
      </x:c>
      <x:c r="D1085" s="11" t="n">
        <x:f>COUNTIF('Einzel-ID-Zuordnung'!$A$7:$A$2692,A1085)</x:f>
        <x:v>1</x:v>
      </x:c>
      <x:c r="E1085" s="11" t="n">
        <x:f>D1085-C1085</x:f>
        <x:v>0</x:v>
      </x:c>
      <x:c r="F1085" s="5" t="str">
        <x:v>ja</x:v>
      </x:c>
      <x:c r="G1085" s="5" t="str">
        <x:v>WQ</x:v>
      </x:c>
    </x:row>
    <x:row r="1086" ht="36" customHeight="1">
      <x:c r="A1086" s="5" t="str">
        <x:v>ST-0108</x:v>
      </x:c>
      <x:c r="B1086" s="5" t="str">
        <x:v>Steuern</x:v>
      </x:c>
      <x:c r="C1086" s="11" t="n">
        <x:v>1</x:v>
      </x:c>
      <x:c r="D1086" s="11" t="n">
        <x:f>COUNTIF('Einzel-ID-Zuordnung'!$A$7:$A$2692,A1086)</x:f>
        <x:v>1</x:v>
      </x:c>
      <x:c r="E1086" s="11" t="n">
        <x:f>D1086-C1086</x:f>
        <x:v>0</x:v>
      </x:c>
      <x:c r="F1086" s="5" t="str">
        <x:v>ja</x:v>
      </x:c>
      <x:c r="G1086" s="5" t="str">
        <x:v>WQ</x:v>
      </x:c>
    </x:row>
    <x:row r="1087" ht="36" customHeight="1">
      <x:c r="A1087" s="5" t="str">
        <x:v>ST-0109</x:v>
      </x:c>
      <x:c r="B1087" s="5" t="str">
        <x:v>Steuern</x:v>
      </x:c>
      <x:c r="C1087" s="11" t="n">
        <x:v>1</x:v>
      </x:c>
      <x:c r="D1087" s="11" t="n">
        <x:f>COUNTIF('Einzel-ID-Zuordnung'!$A$7:$A$2692,A1087)</x:f>
        <x:v>1</x:v>
      </x:c>
      <x:c r="E1087" s="11" t="n">
        <x:f>D1087-C1087</x:f>
        <x:v>0</x:v>
      </x:c>
      <x:c r="F1087" s="5" t="str">
        <x:v>ja</x:v>
      </x:c>
      <x:c r="G1087" s="5" t="str">
        <x:v>WQ</x:v>
      </x:c>
    </x:row>
    <x:row r="1088" ht="36" customHeight="1">
      <x:c r="A1088" s="5" t="str">
        <x:v>ST-0110</x:v>
      </x:c>
      <x:c r="B1088" s="5" t="str">
        <x:v>Steuern</x:v>
      </x:c>
      <x:c r="C1088" s="11" t="n">
        <x:v>1</x:v>
      </x:c>
      <x:c r="D1088" s="11" t="n">
        <x:f>COUNTIF('Einzel-ID-Zuordnung'!$A$7:$A$2692,A1088)</x:f>
        <x:v>1</x:v>
      </x:c>
      <x:c r="E1088" s="11" t="n">
        <x:f>D1088-C1088</x:f>
        <x:v>0</x:v>
      </x:c>
      <x:c r="F1088" s="5" t="str">
        <x:v>ja</x:v>
      </x:c>
      <x:c r="G1088" s="5" t="str">
        <x:v>WQ</x:v>
      </x:c>
    </x:row>
    <x:row r="1089" ht="36" customHeight="1">
      <x:c r="A1089" s="5" t="str">
        <x:v>ST-0111</x:v>
      </x:c>
      <x:c r="B1089" s="5" t="str">
        <x:v>Steuern</x:v>
      </x:c>
      <x:c r="C1089" s="11" t="n">
        <x:v>1</x:v>
      </x:c>
      <x:c r="D1089" s="11" t="n">
        <x:f>COUNTIF('Einzel-ID-Zuordnung'!$A$7:$A$2692,A1089)</x:f>
        <x:v>1</x:v>
      </x:c>
      <x:c r="E1089" s="11" t="n">
        <x:f>D1089-C1089</x:f>
        <x:v>0</x:v>
      </x:c>
      <x:c r="F1089" s="5" t="str">
        <x:v>ja</x:v>
      </x:c>
      <x:c r="G1089" s="5" t="str">
        <x:v>WQ</x:v>
      </x:c>
    </x:row>
    <x:row r="1090" ht="36" customHeight="1">
      <x:c r="A1090" s="5" t="str">
        <x:v>ST-0112</x:v>
      </x:c>
      <x:c r="B1090" s="5" t="str">
        <x:v>Steuern</x:v>
      </x:c>
      <x:c r="C1090" s="11" t="n">
        <x:v>1</x:v>
      </x:c>
      <x:c r="D1090" s="11" t="n">
        <x:f>COUNTIF('Einzel-ID-Zuordnung'!$A$7:$A$2692,A1090)</x:f>
        <x:v>1</x:v>
      </x:c>
      <x:c r="E1090" s="11" t="n">
        <x:f>D1090-C1090</x:f>
        <x:v>0</x:v>
      </x:c>
      <x:c r="F1090" s="5" t="str">
        <x:v>ja</x:v>
      </x:c>
      <x:c r="G1090" s="5" t="str">
        <x:v>WQ</x:v>
      </x:c>
    </x:row>
    <x:row r="1091" ht="36" customHeight="1">
      <x:c r="A1091" s="5" t="str">
        <x:v>ST-0113</x:v>
      </x:c>
      <x:c r="B1091" s="5" t="str">
        <x:v>Steuern</x:v>
      </x:c>
      <x:c r="C1091" s="11" t="n">
        <x:v>1</x:v>
      </x:c>
      <x:c r="D1091" s="11" t="n">
        <x:f>COUNTIF('Einzel-ID-Zuordnung'!$A$7:$A$2692,A1091)</x:f>
        <x:v>1</x:v>
      </x:c>
      <x:c r="E1091" s="11" t="n">
        <x:f>D1091-C1091</x:f>
        <x:v>0</x:v>
      </x:c>
      <x:c r="F1091" s="5" t="str">
        <x:v>ja</x:v>
      </x:c>
      <x:c r="G1091" s="5" t="str">
        <x:v>WQ</x:v>
      </x:c>
    </x:row>
    <x:row r="1092" ht="36" customHeight="1">
      <x:c r="A1092" s="5" t="str">
        <x:v>ST-0114</x:v>
      </x:c>
      <x:c r="B1092" s="5" t="str">
        <x:v>Steuern</x:v>
      </x:c>
      <x:c r="C1092" s="11" t="n">
        <x:v>1</x:v>
      </x:c>
      <x:c r="D1092" s="11" t="n">
        <x:f>COUNTIF('Einzel-ID-Zuordnung'!$A$7:$A$2692,A1092)</x:f>
        <x:v>1</x:v>
      </x:c>
      <x:c r="E1092" s="11" t="n">
        <x:f>D1092-C1092</x:f>
        <x:v>0</x:v>
      </x:c>
      <x:c r="F1092" s="5" t="str">
        <x:v>ja</x:v>
      </x:c>
      <x:c r="G1092" s="5" t="str">
        <x:v>WQ</x:v>
      </x:c>
    </x:row>
    <x:row r="1093" ht="36" customHeight="1">
      <x:c r="A1093" s="5" t="str">
        <x:v>ST-0115</x:v>
      </x:c>
      <x:c r="B1093" s="5" t="str">
        <x:v>Steuern</x:v>
      </x:c>
      <x:c r="C1093" s="11" t="n">
        <x:v>1</x:v>
      </x:c>
      <x:c r="D1093" s="11" t="n">
        <x:f>COUNTIF('Einzel-ID-Zuordnung'!$A$7:$A$2692,A1093)</x:f>
        <x:v>1</x:v>
      </x:c>
      <x:c r="E1093" s="11" t="n">
        <x:f>D1093-C1093</x:f>
        <x:v>0</x:v>
      </x:c>
      <x:c r="F1093" s="5" t="str">
        <x:v>ja</x:v>
      </x:c>
      <x:c r="G1093" s="5" t="str">
        <x:v>WQ</x:v>
      </x:c>
    </x:row>
    <x:row r="1094" ht="36" customHeight="1">
      <x:c r="A1094" s="5" t="str">
        <x:v>ST-0116</x:v>
      </x:c>
      <x:c r="B1094" s="5" t="str">
        <x:v>Steuern</x:v>
      </x:c>
      <x:c r="C1094" s="11" t="n">
        <x:v>1</x:v>
      </x:c>
      <x:c r="D1094" s="11" t="n">
        <x:f>COUNTIF('Einzel-ID-Zuordnung'!$A$7:$A$2692,A1094)</x:f>
        <x:v>1</x:v>
      </x:c>
      <x:c r="E1094" s="11" t="n">
        <x:f>D1094-C1094</x:f>
        <x:v>0</x:v>
      </x:c>
      <x:c r="F1094" s="5" t="str">
        <x:v>ja</x:v>
      </x:c>
      <x:c r="G1094" s="5" t="str">
        <x:v>WQ</x:v>
      </x:c>
    </x:row>
    <x:row r="1095" ht="36" customHeight="1">
      <x:c r="A1095" s="5" t="str">
        <x:v>ST-0117</x:v>
      </x:c>
      <x:c r="B1095" s="5" t="str">
        <x:v>Steuern</x:v>
      </x:c>
      <x:c r="C1095" s="11" t="n">
        <x:v>1</x:v>
      </x:c>
      <x:c r="D1095" s="11" t="n">
        <x:f>COUNTIF('Einzel-ID-Zuordnung'!$A$7:$A$2692,A1095)</x:f>
        <x:v>1</x:v>
      </x:c>
      <x:c r="E1095" s="11" t="n">
        <x:f>D1095-C1095</x:f>
        <x:v>0</x:v>
      </x:c>
      <x:c r="F1095" s="5" t="str">
        <x:v>ja</x:v>
      </x:c>
      <x:c r="G1095" s="5" t="str">
        <x:v>WQ</x:v>
      </x:c>
    </x:row>
    <x:row r="1096" ht="36" customHeight="1">
      <x:c r="A1096" s="5" t="str">
        <x:v>ST-0118</x:v>
      </x:c>
      <x:c r="B1096" s="5" t="str">
        <x:v>Steuern</x:v>
      </x:c>
      <x:c r="C1096" s="11" t="n">
        <x:v>1</x:v>
      </x:c>
      <x:c r="D1096" s="11" t="n">
        <x:f>COUNTIF('Einzel-ID-Zuordnung'!$A$7:$A$2692,A1096)</x:f>
        <x:v>1</x:v>
      </x:c>
      <x:c r="E1096" s="11" t="n">
        <x:f>D1096-C1096</x:f>
        <x:v>0</x:v>
      </x:c>
      <x:c r="F1096" s="5" t="str">
        <x:v>ja</x:v>
      </x:c>
      <x:c r="G1096" s="5" t="str">
        <x:v>WQ</x:v>
      </x:c>
    </x:row>
    <x:row r="1097" ht="36" customHeight="1">
      <x:c r="A1097" s="5" t="str">
        <x:v>ST-0119</x:v>
      </x:c>
      <x:c r="B1097" s="5" t="str">
        <x:v>Steuern</x:v>
      </x:c>
      <x:c r="C1097" s="11" t="n">
        <x:v>1</x:v>
      </x:c>
      <x:c r="D1097" s="11" t="n">
        <x:f>COUNTIF('Einzel-ID-Zuordnung'!$A$7:$A$2692,A1097)</x:f>
        <x:v>1</x:v>
      </x:c>
      <x:c r="E1097" s="11" t="n">
        <x:f>D1097-C1097</x:f>
        <x:v>0</x:v>
      </x:c>
      <x:c r="F1097" s="5" t="str">
        <x:v>ja</x:v>
      </x:c>
      <x:c r="G1097" s="5" t="str">
        <x:v>WQ</x:v>
      </x:c>
    </x:row>
    <x:row r="1098" ht="36" customHeight="1">
      <x:c r="A1098" s="5" t="str">
        <x:v>ST-0120</x:v>
      </x:c>
      <x:c r="B1098" s="5" t="str">
        <x:v>Steuern</x:v>
      </x:c>
      <x:c r="C1098" s="11" t="n">
        <x:v>1</x:v>
      </x:c>
      <x:c r="D1098" s="11" t="n">
        <x:f>COUNTIF('Einzel-ID-Zuordnung'!$A$7:$A$2692,A1098)</x:f>
        <x:v>1</x:v>
      </x:c>
      <x:c r="E1098" s="11" t="n">
        <x:f>D1098-C1098</x:f>
        <x:v>0</x:v>
      </x:c>
      <x:c r="F1098" s="5" t="str">
        <x:v>ja</x:v>
      </x:c>
      <x:c r="G1098" s="5" t="str">
        <x:v>WQ</x:v>
      </x:c>
    </x:row>
    <x:row r="1099" ht="36" customHeight="1">
      <x:c r="A1099" s="5" t="str">
        <x:v>ST-0121</x:v>
      </x:c>
      <x:c r="B1099" s="5" t="str">
        <x:v>Steuern</x:v>
      </x:c>
      <x:c r="C1099" s="11" t="n">
        <x:v>1</x:v>
      </x:c>
      <x:c r="D1099" s="11" t="n">
        <x:f>COUNTIF('Einzel-ID-Zuordnung'!$A$7:$A$2692,A1099)</x:f>
        <x:v>1</x:v>
      </x:c>
      <x:c r="E1099" s="11" t="n">
        <x:f>D1099-C1099</x:f>
        <x:v>0</x:v>
      </x:c>
      <x:c r="F1099" s="5" t="str">
        <x:v>ja</x:v>
      </x:c>
      <x:c r="G1099" s="5" t="str">
        <x:v>WQ</x:v>
      </x:c>
    </x:row>
    <x:row r="1100" ht="36" customHeight="1">
      <x:c r="A1100" s="5" t="str">
        <x:v>ST-0122</x:v>
      </x:c>
      <x:c r="B1100" s="5" t="str">
        <x:v>Steuern</x:v>
      </x:c>
      <x:c r="C1100" s="11" t="n">
        <x:v>1</x:v>
      </x:c>
      <x:c r="D1100" s="11" t="n">
        <x:f>COUNTIF('Einzel-ID-Zuordnung'!$A$7:$A$2692,A1100)</x:f>
        <x:v>1</x:v>
      </x:c>
      <x:c r="E1100" s="11" t="n">
        <x:f>D1100-C1100</x:f>
        <x:v>0</x:v>
      </x:c>
      <x:c r="F1100" s="5" t="str">
        <x:v>ja</x:v>
      </x:c>
      <x:c r="G1100" s="5" t="str">
        <x:v>WQ</x:v>
      </x:c>
    </x:row>
    <x:row r="1101" ht="36" customHeight="1">
      <x:c r="A1101" s="5" t="str">
        <x:v>ST-0123</x:v>
      </x:c>
      <x:c r="B1101" s="5" t="str">
        <x:v>Steuern</x:v>
      </x:c>
      <x:c r="C1101" s="11" t="n">
        <x:v>1</x:v>
      </x:c>
      <x:c r="D1101" s="11" t="n">
        <x:f>COUNTIF('Einzel-ID-Zuordnung'!$A$7:$A$2692,A1101)</x:f>
        <x:v>1</x:v>
      </x:c>
      <x:c r="E1101" s="11" t="n">
        <x:f>D1101-C1101</x:f>
        <x:v>0</x:v>
      </x:c>
      <x:c r="F1101" s="5" t="str">
        <x:v>ja</x:v>
      </x:c>
      <x:c r="G1101" s="5" t="str">
        <x:v>WQ</x:v>
      </x:c>
    </x:row>
    <x:row r="1102" ht="36" customHeight="1">
      <x:c r="A1102" s="5" t="str">
        <x:v>ST-0124</x:v>
      </x:c>
      <x:c r="B1102" s="5" t="str">
        <x:v>Steuern</x:v>
      </x:c>
      <x:c r="C1102" s="11" t="n">
        <x:v>1</x:v>
      </x:c>
      <x:c r="D1102" s="11" t="n">
        <x:f>COUNTIF('Einzel-ID-Zuordnung'!$A$7:$A$2692,A1102)</x:f>
        <x:v>1</x:v>
      </x:c>
      <x:c r="E1102" s="11" t="n">
        <x:f>D1102-C1102</x:f>
        <x:v>0</x:v>
      </x:c>
      <x:c r="F1102" s="5" t="str">
        <x:v>ja</x:v>
      </x:c>
      <x:c r="G1102" s="5" t="str">
        <x:v>WQ</x:v>
      </x:c>
    </x:row>
    <x:row r="1103" ht="36" customHeight="1">
      <x:c r="A1103" s="5" t="str">
        <x:v>ST-0125</x:v>
      </x:c>
      <x:c r="B1103" s="5" t="str">
        <x:v>Steuern</x:v>
      </x:c>
      <x:c r="C1103" s="11" t="n">
        <x:v>1</x:v>
      </x:c>
      <x:c r="D1103" s="11" t="n">
        <x:f>COUNTIF('Einzel-ID-Zuordnung'!$A$7:$A$2692,A1103)</x:f>
        <x:v>1</x:v>
      </x:c>
      <x:c r="E1103" s="11" t="n">
        <x:f>D1103-C1103</x:f>
        <x:v>0</x:v>
      </x:c>
      <x:c r="F1103" s="5" t="str">
        <x:v>ja</x:v>
      </x:c>
      <x:c r="G1103" s="5" t="str">
        <x:v>WQ</x:v>
      </x:c>
    </x:row>
    <x:row r="1104" ht="36" customHeight="1">
      <x:c r="A1104" s="5" t="str">
        <x:v>ST-0126</x:v>
      </x:c>
      <x:c r="B1104" s="5" t="str">
        <x:v>Steuern</x:v>
      </x:c>
      <x:c r="C1104" s="11" t="n">
        <x:v>1</x:v>
      </x:c>
      <x:c r="D1104" s="11" t="n">
        <x:f>COUNTIF('Einzel-ID-Zuordnung'!$A$7:$A$2692,A1104)</x:f>
        <x:v>1</x:v>
      </x:c>
      <x:c r="E1104" s="11" t="n">
        <x:f>D1104-C1104</x:f>
        <x:v>0</x:v>
      </x:c>
      <x:c r="F1104" s="5" t="str">
        <x:v>ja</x:v>
      </x:c>
      <x:c r="G1104" s="5" t="str">
        <x:v>WQ</x:v>
      </x:c>
    </x:row>
    <x:row r="1105" ht="36" customHeight="1">
      <x:c r="A1105" s="5" t="str">
        <x:v>ST-0127</x:v>
      </x:c>
      <x:c r="B1105" s="5" t="str">
        <x:v>Steuern</x:v>
      </x:c>
      <x:c r="C1105" s="11" t="n">
        <x:v>1</x:v>
      </x:c>
      <x:c r="D1105" s="11" t="n">
        <x:f>COUNTIF('Einzel-ID-Zuordnung'!$A$7:$A$2692,A1105)</x:f>
        <x:v>1</x:v>
      </x:c>
      <x:c r="E1105" s="11" t="n">
        <x:f>D1105-C1105</x:f>
        <x:v>0</x:v>
      </x:c>
      <x:c r="F1105" s="5" t="str">
        <x:v>ja</x:v>
      </x:c>
      <x:c r="G1105" s="5" t="str">
        <x:v>WQ</x:v>
      </x:c>
    </x:row>
    <x:row r="1106" ht="36" customHeight="1">
      <x:c r="A1106" s="5" t="str">
        <x:v>ST-0128</x:v>
      </x:c>
      <x:c r="B1106" s="5" t="str">
        <x:v>Steuern</x:v>
      </x:c>
      <x:c r="C1106" s="11" t="n">
        <x:v>1</x:v>
      </x:c>
      <x:c r="D1106" s="11" t="n">
        <x:f>COUNTIF('Einzel-ID-Zuordnung'!$A$7:$A$2692,A1106)</x:f>
        <x:v>1</x:v>
      </x:c>
      <x:c r="E1106" s="11" t="n">
        <x:f>D1106-C1106</x:f>
        <x:v>0</x:v>
      </x:c>
      <x:c r="F1106" s="5" t="str">
        <x:v>ja</x:v>
      </x:c>
      <x:c r="G1106" s="5" t="str">
        <x:v>WQ</x:v>
      </x:c>
    </x:row>
    <x:row r="1107" ht="36" customHeight="1">
      <x:c r="A1107" s="5" t="str">
        <x:v>ST-0129</x:v>
      </x:c>
      <x:c r="B1107" s="5" t="str">
        <x:v>Steuern</x:v>
      </x:c>
      <x:c r="C1107" s="11" t="n">
        <x:v>1</x:v>
      </x:c>
      <x:c r="D1107" s="11" t="n">
        <x:f>COUNTIF('Einzel-ID-Zuordnung'!$A$7:$A$2692,A1107)</x:f>
        <x:v>1</x:v>
      </x:c>
      <x:c r="E1107" s="11" t="n">
        <x:f>D1107-C1107</x:f>
        <x:v>0</x:v>
      </x:c>
      <x:c r="F1107" s="5" t="str">
        <x:v>ja</x:v>
      </x:c>
      <x:c r="G1107" s="5" t="str">
        <x:v>WQ</x:v>
      </x:c>
    </x:row>
    <x:row r="1108" ht="36" customHeight="1">
      <x:c r="A1108" s="5" t="str">
        <x:v>ST-0130</x:v>
      </x:c>
      <x:c r="B1108" s="5" t="str">
        <x:v>Steuern</x:v>
      </x:c>
      <x:c r="C1108" s="11" t="n">
        <x:v>1</x:v>
      </x:c>
      <x:c r="D1108" s="11" t="n">
        <x:f>COUNTIF('Einzel-ID-Zuordnung'!$A$7:$A$2692,A1108)</x:f>
        <x:v>1</x:v>
      </x:c>
      <x:c r="E1108" s="11" t="n">
        <x:f>D1108-C1108</x:f>
        <x:v>0</x:v>
      </x:c>
      <x:c r="F1108" s="5" t="str">
        <x:v>ja</x:v>
      </x:c>
      <x:c r="G1108" s="5" t="str">
        <x:v>WQ</x:v>
      </x:c>
    </x:row>
    <x:row r="1109" ht="36" customHeight="1">
      <x:c r="A1109" s="5" t="str">
        <x:v>ST-0131</x:v>
      </x:c>
      <x:c r="B1109" s="5" t="str">
        <x:v>Steuern</x:v>
      </x:c>
      <x:c r="C1109" s="11" t="n">
        <x:v>1</x:v>
      </x:c>
      <x:c r="D1109" s="11" t="n">
        <x:f>COUNTIF('Einzel-ID-Zuordnung'!$A$7:$A$2692,A1109)</x:f>
        <x:v>1</x:v>
      </x:c>
      <x:c r="E1109" s="11" t="n">
        <x:f>D1109-C1109</x:f>
        <x:v>0</x:v>
      </x:c>
      <x:c r="F1109" s="5" t="str">
        <x:v>ja</x:v>
      </x:c>
      <x:c r="G1109" s="5" t="str">
        <x:v>WQ</x:v>
      </x:c>
    </x:row>
    <x:row r="1110" ht="36" customHeight="1">
      <x:c r="A1110" s="5" t="str">
        <x:v>ST-0132</x:v>
      </x:c>
      <x:c r="B1110" s="5" t="str">
        <x:v>Steuern</x:v>
      </x:c>
      <x:c r="C1110" s="11" t="n">
        <x:v>1</x:v>
      </x:c>
      <x:c r="D1110" s="11" t="n">
        <x:f>COUNTIF('Einzel-ID-Zuordnung'!$A$7:$A$2692,A1110)</x:f>
        <x:v>1</x:v>
      </x:c>
      <x:c r="E1110" s="11" t="n">
        <x:f>D1110-C1110</x:f>
        <x:v>0</x:v>
      </x:c>
      <x:c r="F1110" s="5" t="str">
        <x:v>ja</x:v>
      </x:c>
      <x:c r="G1110" s="5" t="str">
        <x:v>WQ</x:v>
      </x:c>
    </x:row>
    <x:row r="1111" ht="36" customHeight="1">
      <x:c r="A1111" s="5" t="str">
        <x:v>ST-0133</x:v>
      </x:c>
      <x:c r="B1111" s="5" t="str">
        <x:v>Steuern</x:v>
      </x:c>
      <x:c r="C1111" s="11" t="n">
        <x:v>1</x:v>
      </x:c>
      <x:c r="D1111" s="11" t="n">
        <x:f>COUNTIF('Einzel-ID-Zuordnung'!$A$7:$A$2692,A1111)</x:f>
        <x:v>1</x:v>
      </x:c>
      <x:c r="E1111" s="11" t="n">
        <x:f>D1111-C1111</x:f>
        <x:v>0</x:v>
      </x:c>
      <x:c r="F1111" s="5" t="str">
        <x:v>ja</x:v>
      </x:c>
      <x:c r="G1111" s="5" t="str">
        <x:v>WQ</x:v>
      </x:c>
    </x:row>
    <x:row r="1112" ht="36" customHeight="1">
      <x:c r="A1112" s="5" t="str">
        <x:v>ST-0134</x:v>
      </x:c>
      <x:c r="B1112" s="5" t="str">
        <x:v>Steuern</x:v>
      </x:c>
      <x:c r="C1112" s="11" t="n">
        <x:v>1</x:v>
      </x:c>
      <x:c r="D1112" s="11" t="n">
        <x:f>COUNTIF('Einzel-ID-Zuordnung'!$A$7:$A$2692,A1112)</x:f>
        <x:v>1</x:v>
      </x:c>
      <x:c r="E1112" s="11" t="n">
        <x:f>D1112-C1112</x:f>
        <x:v>0</x:v>
      </x:c>
      <x:c r="F1112" s="5" t="str">
        <x:v>ja</x:v>
      </x:c>
      <x:c r="G1112" s="5" t="str">
        <x:v>WQ</x:v>
      </x:c>
    </x:row>
    <x:row r="1113" ht="36" customHeight="1">
      <x:c r="A1113" s="5" t="str">
        <x:v>ST-0135</x:v>
      </x:c>
      <x:c r="B1113" s="5" t="str">
        <x:v>Steuern</x:v>
      </x:c>
      <x:c r="C1113" s="11" t="n">
        <x:v>1</x:v>
      </x:c>
      <x:c r="D1113" s="11" t="n">
        <x:f>COUNTIF('Einzel-ID-Zuordnung'!$A$7:$A$2692,A1113)</x:f>
        <x:v>1</x:v>
      </x:c>
      <x:c r="E1113" s="11" t="n">
        <x:f>D1113-C1113</x:f>
        <x:v>0</x:v>
      </x:c>
      <x:c r="F1113" s="5" t="str">
        <x:v>ja</x:v>
      </x:c>
      <x:c r="G1113" s="5" t="str">
        <x:v>WQ</x:v>
      </x:c>
    </x:row>
    <x:row r="1114" ht="36" customHeight="1">
      <x:c r="A1114" s="5" t="str">
        <x:v>ST-0136</x:v>
      </x:c>
      <x:c r="B1114" s="5" t="str">
        <x:v>Steuern</x:v>
      </x:c>
      <x:c r="C1114" s="11" t="n">
        <x:v>1</x:v>
      </x:c>
      <x:c r="D1114" s="11" t="n">
        <x:f>COUNTIF('Einzel-ID-Zuordnung'!$A$7:$A$2692,A1114)</x:f>
        <x:v>1</x:v>
      </x:c>
      <x:c r="E1114" s="11" t="n">
        <x:f>D1114-C1114</x:f>
        <x:v>0</x:v>
      </x:c>
      <x:c r="F1114" s="5" t="str">
        <x:v>ja</x:v>
      </x:c>
      <x:c r="G1114" s="5" t="str">
        <x:v>WQ</x:v>
      </x:c>
    </x:row>
    <x:row r="1115" ht="36" customHeight="1">
      <x:c r="A1115" s="5" t="str">
        <x:v>ST-0137</x:v>
      </x:c>
      <x:c r="B1115" s="5" t="str">
        <x:v>Steuern</x:v>
      </x:c>
      <x:c r="C1115" s="11" t="n">
        <x:v>1</x:v>
      </x:c>
      <x:c r="D1115" s="11" t="n">
        <x:f>COUNTIF('Einzel-ID-Zuordnung'!$A$7:$A$2692,A1115)</x:f>
        <x:v>1</x:v>
      </x:c>
      <x:c r="E1115" s="11" t="n">
        <x:f>D1115-C1115</x:f>
        <x:v>0</x:v>
      </x:c>
      <x:c r="F1115" s="5" t="str">
        <x:v>ja</x:v>
      </x:c>
      <x:c r="G1115" s="5" t="str">
        <x:v>WQ</x:v>
      </x:c>
    </x:row>
    <x:row r="1116" ht="36" customHeight="1">
      <x:c r="A1116" s="5" t="str">
        <x:v>ST-0138</x:v>
      </x:c>
      <x:c r="B1116" s="5" t="str">
        <x:v>Steuern</x:v>
      </x:c>
      <x:c r="C1116" s="11" t="n">
        <x:v>1</x:v>
      </x:c>
      <x:c r="D1116" s="11" t="n">
        <x:f>COUNTIF('Einzel-ID-Zuordnung'!$A$7:$A$2692,A1116)</x:f>
        <x:v>1</x:v>
      </x:c>
      <x:c r="E1116" s="11" t="n">
        <x:f>D1116-C1116</x:f>
        <x:v>0</x:v>
      </x:c>
      <x:c r="F1116" s="5" t="str">
        <x:v>ja</x:v>
      </x:c>
      <x:c r="G1116" s="5" t="str">
        <x:v>WQ</x:v>
      </x:c>
    </x:row>
    <x:row r="1117" ht="36" customHeight="1">
      <x:c r="A1117" s="5" t="str">
        <x:v>ST-0139</x:v>
      </x:c>
      <x:c r="B1117" s="5" t="str">
        <x:v>Steuern</x:v>
      </x:c>
      <x:c r="C1117" s="11" t="n">
        <x:v>1</x:v>
      </x:c>
      <x:c r="D1117" s="11" t="n">
        <x:f>COUNTIF('Einzel-ID-Zuordnung'!$A$7:$A$2692,A1117)</x:f>
        <x:v>1</x:v>
      </x:c>
      <x:c r="E1117" s="11" t="n">
        <x:f>D1117-C1117</x:f>
        <x:v>0</x:v>
      </x:c>
      <x:c r="F1117" s="5" t="str">
        <x:v>ja</x:v>
      </x:c>
      <x:c r="G1117" s="5" t="str">
        <x:v>WQ</x:v>
      </x:c>
    </x:row>
    <x:row r="1118" ht="36" customHeight="1">
      <x:c r="A1118" s="5" t="str">
        <x:v>ST-0140</x:v>
      </x:c>
      <x:c r="B1118" s="5" t="str">
        <x:v>Steuern</x:v>
      </x:c>
      <x:c r="C1118" s="11" t="n">
        <x:v>1</x:v>
      </x:c>
      <x:c r="D1118" s="11" t="n">
        <x:f>COUNTIF('Einzel-ID-Zuordnung'!$A$7:$A$2692,A1118)</x:f>
        <x:v>1</x:v>
      </x:c>
      <x:c r="E1118" s="11" t="n">
        <x:f>D1118-C1118</x:f>
        <x:v>0</x:v>
      </x:c>
      <x:c r="F1118" s="5" t="str">
        <x:v>ja</x:v>
      </x:c>
      <x:c r="G1118" s="5" t="str">
        <x:v>WQ</x:v>
      </x:c>
    </x:row>
    <x:row r="1119" ht="36" customHeight="1">
      <x:c r="A1119" s="5" t="str">
        <x:v>ST-0141</x:v>
      </x:c>
      <x:c r="B1119" s="5" t="str">
        <x:v>Steuern</x:v>
      </x:c>
      <x:c r="C1119" s="11" t="n">
        <x:v>1</x:v>
      </x:c>
      <x:c r="D1119" s="11" t="n">
        <x:f>COUNTIF('Einzel-ID-Zuordnung'!$A$7:$A$2692,A1119)</x:f>
        <x:v>1</x:v>
      </x:c>
      <x:c r="E1119" s="11" t="n">
        <x:f>D1119-C1119</x:f>
        <x:v>0</x:v>
      </x:c>
      <x:c r="F1119" s="5" t="str">
        <x:v>ja</x:v>
      </x:c>
      <x:c r="G1119" s="5" t="str">
        <x:v>WQ</x:v>
      </x:c>
    </x:row>
    <x:row r="1120" ht="36" customHeight="1">
      <x:c r="A1120" s="5" t="str">
        <x:v>ST-0142</x:v>
      </x:c>
      <x:c r="B1120" s="5" t="str">
        <x:v>Steuern</x:v>
      </x:c>
      <x:c r="C1120" s="11" t="n">
        <x:v>1</x:v>
      </x:c>
      <x:c r="D1120" s="11" t="n">
        <x:f>COUNTIF('Einzel-ID-Zuordnung'!$A$7:$A$2692,A1120)</x:f>
        <x:v>1</x:v>
      </x:c>
      <x:c r="E1120" s="11" t="n">
        <x:f>D1120-C1120</x:f>
        <x:v>0</x:v>
      </x:c>
      <x:c r="F1120" s="5" t="str">
        <x:v>ja</x:v>
      </x:c>
      <x:c r="G1120" s="5" t="str">
        <x:v>WQ</x:v>
      </x:c>
    </x:row>
    <x:row r="1121" ht="36" customHeight="1">
      <x:c r="A1121" s="5" t="str">
        <x:v>ST-0143</x:v>
      </x:c>
      <x:c r="B1121" s="5" t="str">
        <x:v>Steuern</x:v>
      </x:c>
      <x:c r="C1121" s="11" t="n">
        <x:v>1</x:v>
      </x:c>
      <x:c r="D1121" s="11" t="n">
        <x:f>COUNTIF('Einzel-ID-Zuordnung'!$A$7:$A$2692,A1121)</x:f>
        <x:v>1</x:v>
      </x:c>
      <x:c r="E1121" s="11" t="n">
        <x:f>D1121-C1121</x:f>
        <x:v>0</x:v>
      </x:c>
      <x:c r="F1121" s="5" t="str">
        <x:v>ja</x:v>
      </x:c>
      <x:c r="G1121" s="5" t="str">
        <x:v>WQ</x:v>
      </x:c>
    </x:row>
    <x:row r="1122" ht="36" customHeight="1">
      <x:c r="A1122" s="5" t="str">
        <x:v>ST-0144</x:v>
      </x:c>
      <x:c r="B1122" s="5" t="str">
        <x:v>Steuern</x:v>
      </x:c>
      <x:c r="C1122" s="11" t="n">
        <x:v>1</x:v>
      </x:c>
      <x:c r="D1122" s="11" t="n">
        <x:f>COUNTIF('Einzel-ID-Zuordnung'!$A$7:$A$2692,A1122)</x:f>
        <x:v>1</x:v>
      </x:c>
      <x:c r="E1122" s="11" t="n">
        <x:f>D1122-C1122</x:f>
        <x:v>0</x:v>
      </x:c>
      <x:c r="F1122" s="5" t="str">
        <x:v>ja</x:v>
      </x:c>
      <x:c r="G1122" s="5" t="str">
        <x:v>WQ</x:v>
      </x:c>
    </x:row>
    <x:row r="1123" ht="36" customHeight="1">
      <x:c r="A1123" s="5" t="str">
        <x:v>ST-0145</x:v>
      </x:c>
      <x:c r="B1123" s="5" t="str">
        <x:v>Steuern</x:v>
      </x:c>
      <x:c r="C1123" s="11" t="n">
        <x:v>1</x:v>
      </x:c>
      <x:c r="D1123" s="11" t="n">
        <x:f>COUNTIF('Einzel-ID-Zuordnung'!$A$7:$A$2692,A1123)</x:f>
        <x:v>1</x:v>
      </x:c>
      <x:c r="E1123" s="11" t="n">
        <x:f>D1123-C1123</x:f>
        <x:v>0</x:v>
      </x:c>
      <x:c r="F1123" s="5" t="str">
        <x:v>ja</x:v>
      </x:c>
      <x:c r="G1123" s="5" t="str">
        <x:v>WQ</x:v>
      </x:c>
    </x:row>
    <x:row r="1124" ht="36" customHeight="1">
      <x:c r="A1124" s="5" t="str">
        <x:v>ST-0146</x:v>
      </x:c>
      <x:c r="B1124" s="5" t="str">
        <x:v>Steuern</x:v>
      </x:c>
      <x:c r="C1124" s="11" t="n">
        <x:v>1</x:v>
      </x:c>
      <x:c r="D1124" s="11" t="n">
        <x:f>COUNTIF('Einzel-ID-Zuordnung'!$A$7:$A$2692,A1124)</x:f>
        <x:v>1</x:v>
      </x:c>
      <x:c r="E1124" s="11" t="n">
        <x:f>D1124-C1124</x:f>
        <x:v>0</x:v>
      </x:c>
      <x:c r="F1124" s="5" t="str">
        <x:v>ja</x:v>
      </x:c>
      <x:c r="G1124" s="5" t="str">
        <x:v>WQ</x:v>
      </x:c>
    </x:row>
    <x:row r="1125" ht="36" customHeight="1">
      <x:c r="A1125" s="5" t="str">
        <x:v>ST-0147</x:v>
      </x:c>
      <x:c r="B1125" s="5" t="str">
        <x:v>Steuern</x:v>
      </x:c>
      <x:c r="C1125" s="11" t="n">
        <x:v>1</x:v>
      </x:c>
      <x:c r="D1125" s="11" t="n">
        <x:f>COUNTIF('Einzel-ID-Zuordnung'!$A$7:$A$2692,A1125)</x:f>
        <x:v>1</x:v>
      </x:c>
      <x:c r="E1125" s="11" t="n">
        <x:f>D1125-C1125</x:f>
        <x:v>0</x:v>
      </x:c>
      <x:c r="F1125" s="5" t="str">
        <x:v>ja</x:v>
      </x:c>
      <x:c r="G1125" s="5" t="str">
        <x:v>WQ</x:v>
      </x:c>
    </x:row>
    <x:row r="1126" ht="36" customHeight="1">
      <x:c r="A1126" s="5" t="str">
        <x:v>ST-0148</x:v>
      </x:c>
      <x:c r="B1126" s="5" t="str">
        <x:v>Steuern</x:v>
      </x:c>
      <x:c r="C1126" s="11" t="n">
        <x:v>1</x:v>
      </x:c>
      <x:c r="D1126" s="11" t="n">
        <x:f>COUNTIF('Einzel-ID-Zuordnung'!$A$7:$A$2692,A1126)</x:f>
        <x:v>1</x:v>
      </x:c>
      <x:c r="E1126" s="11" t="n">
        <x:f>D1126-C1126</x:f>
        <x:v>0</x:v>
      </x:c>
      <x:c r="F1126" s="5" t="str">
        <x:v>ja</x:v>
      </x:c>
      <x:c r="G1126" s="5" t="str">
        <x:v>WQ</x:v>
      </x:c>
    </x:row>
    <x:row r="1127" ht="36" customHeight="1">
      <x:c r="A1127" s="5" t="str">
        <x:v>ST-0149</x:v>
      </x:c>
      <x:c r="B1127" s="5" t="str">
        <x:v>Steuern</x:v>
      </x:c>
      <x:c r="C1127" s="11" t="n">
        <x:v>1</x:v>
      </x:c>
      <x:c r="D1127" s="11" t="n">
        <x:f>COUNTIF('Einzel-ID-Zuordnung'!$A$7:$A$2692,A1127)</x:f>
        <x:v>1</x:v>
      </x:c>
      <x:c r="E1127" s="11" t="n">
        <x:f>D1127-C1127</x:f>
        <x:v>0</x:v>
      </x:c>
      <x:c r="F1127" s="5" t="str">
        <x:v>ja</x:v>
      </x:c>
      <x:c r="G1127" s="5" t="str">
        <x:v>WQ</x:v>
      </x:c>
    </x:row>
    <x:row r="1128" ht="36" customHeight="1">
      <x:c r="A1128" s="5" t="str">
        <x:v>ST-0150</x:v>
      </x:c>
      <x:c r="B1128" s="5" t="str">
        <x:v>Steuern</x:v>
      </x:c>
      <x:c r="C1128" s="11" t="n">
        <x:v>1</x:v>
      </x:c>
      <x:c r="D1128" s="11" t="n">
        <x:f>COUNTIF('Einzel-ID-Zuordnung'!$A$7:$A$2692,A1128)</x:f>
        <x:v>1</x:v>
      </x:c>
      <x:c r="E1128" s="11" t="n">
        <x:f>D1128-C1128</x:f>
        <x:v>0</x:v>
      </x:c>
      <x:c r="F1128" s="5" t="str">
        <x:v>ja</x:v>
      </x:c>
      <x:c r="G1128" s="5" t="str">
        <x:v>WQ</x:v>
      </x:c>
    </x:row>
    <x:row r="1129" ht="36" customHeight="1">
      <x:c r="A1129" s="5" t="str">
        <x:v>ST-0151</x:v>
      </x:c>
      <x:c r="B1129" s="5" t="str">
        <x:v>Steuern</x:v>
      </x:c>
      <x:c r="C1129" s="11" t="n">
        <x:v>1</x:v>
      </x:c>
      <x:c r="D1129" s="11" t="n">
        <x:f>COUNTIF('Einzel-ID-Zuordnung'!$A$7:$A$2692,A1129)</x:f>
        <x:v>1</x:v>
      </x:c>
      <x:c r="E1129" s="11" t="n">
        <x:f>D1129-C1129</x:f>
        <x:v>0</x:v>
      </x:c>
      <x:c r="F1129" s="5" t="str">
        <x:v>ja</x:v>
      </x:c>
      <x:c r="G1129" s="5" t="str">
        <x:v>WQ</x:v>
      </x:c>
    </x:row>
    <x:row r="1130" ht="36" customHeight="1">
      <x:c r="A1130" s="5" t="str">
        <x:v>ST-0152</x:v>
      </x:c>
      <x:c r="B1130" s="5" t="str">
        <x:v>Steuern</x:v>
      </x:c>
      <x:c r="C1130" s="11" t="n">
        <x:v>1</x:v>
      </x:c>
      <x:c r="D1130" s="11" t="n">
        <x:f>COUNTIF('Einzel-ID-Zuordnung'!$A$7:$A$2692,A1130)</x:f>
        <x:v>1</x:v>
      </x:c>
      <x:c r="E1130" s="11" t="n">
        <x:f>D1130-C1130</x:f>
        <x:v>0</x:v>
      </x:c>
      <x:c r="F1130" s="5" t="str">
        <x:v>ja</x:v>
      </x:c>
      <x:c r="G1130" s="5" t="str">
        <x:v>WQ</x:v>
      </x:c>
    </x:row>
    <x:row r="1131" ht="36" customHeight="1">
      <x:c r="A1131" s="5" t="str">
        <x:v>ST-0153</x:v>
      </x:c>
      <x:c r="B1131" s="5" t="str">
        <x:v>Steuern</x:v>
      </x:c>
      <x:c r="C1131" s="11" t="n">
        <x:v>1</x:v>
      </x:c>
      <x:c r="D1131" s="11" t="n">
        <x:f>COUNTIF('Einzel-ID-Zuordnung'!$A$7:$A$2692,A1131)</x:f>
        <x:v>1</x:v>
      </x:c>
      <x:c r="E1131" s="11" t="n">
        <x:f>D1131-C1131</x:f>
        <x:v>0</x:v>
      </x:c>
      <x:c r="F1131" s="5" t="str">
        <x:v>ja</x:v>
      </x:c>
      <x:c r="G1131" s="5" t="str">
        <x:v>WQ</x:v>
      </x:c>
    </x:row>
    <x:row r="1132" ht="36" customHeight="1">
      <x:c r="A1132" s="5" t="str">
        <x:v>ST-0154</x:v>
      </x:c>
      <x:c r="B1132" s="5" t="str">
        <x:v>Steuern</x:v>
      </x:c>
      <x:c r="C1132" s="11" t="n">
        <x:v>1</x:v>
      </x:c>
      <x:c r="D1132" s="11" t="n">
        <x:f>COUNTIF('Einzel-ID-Zuordnung'!$A$7:$A$2692,A1132)</x:f>
        <x:v>1</x:v>
      </x:c>
      <x:c r="E1132" s="11" t="n">
        <x:f>D1132-C1132</x:f>
        <x:v>0</x:v>
      </x:c>
      <x:c r="F1132" s="5" t="str">
        <x:v>ja</x:v>
      </x:c>
      <x:c r="G1132" s="5" t="str">
        <x:v>WQ</x:v>
      </x:c>
    </x:row>
    <x:row r="1133" ht="36" customHeight="1">
      <x:c r="A1133" s="5" t="str">
        <x:v>ST-0155</x:v>
      </x:c>
      <x:c r="B1133" s="5" t="str">
        <x:v>Steuern</x:v>
      </x:c>
      <x:c r="C1133" s="11" t="n">
        <x:v>1</x:v>
      </x:c>
      <x:c r="D1133" s="11" t="n">
        <x:f>COUNTIF('Einzel-ID-Zuordnung'!$A$7:$A$2692,A1133)</x:f>
        <x:v>1</x:v>
      </x:c>
      <x:c r="E1133" s="11" t="n">
        <x:f>D1133-C1133</x:f>
        <x:v>0</x:v>
      </x:c>
      <x:c r="F1133" s="5" t="str">
        <x:v>ja</x:v>
      </x:c>
      <x:c r="G1133" s="5" t="str">
        <x:v>WQ</x:v>
      </x:c>
    </x:row>
    <x:row r="1134" ht="36" customHeight="1">
      <x:c r="A1134" s="5" t="str">
        <x:v>ST-0156</x:v>
      </x:c>
      <x:c r="B1134" s="5" t="str">
        <x:v>Steuern</x:v>
      </x:c>
      <x:c r="C1134" s="11" t="n">
        <x:v>1</x:v>
      </x:c>
      <x:c r="D1134" s="11" t="n">
        <x:f>COUNTIF('Einzel-ID-Zuordnung'!$A$7:$A$2692,A1134)</x:f>
        <x:v>1</x:v>
      </x:c>
      <x:c r="E1134" s="11" t="n">
        <x:f>D1134-C1134</x:f>
        <x:v>0</x:v>
      </x:c>
      <x:c r="F1134" s="5" t="str">
        <x:v>ja</x:v>
      </x:c>
      <x:c r="G1134" s="5" t="str">
        <x:v>WQ</x:v>
      </x:c>
    </x:row>
    <x:row r="1135" ht="36" customHeight="1">
      <x:c r="A1135" s="5" t="str">
        <x:v>ST-0157</x:v>
      </x:c>
      <x:c r="B1135" s="5" t="str">
        <x:v>Steuern</x:v>
      </x:c>
      <x:c r="C1135" s="11" t="n">
        <x:v>1</x:v>
      </x:c>
      <x:c r="D1135" s="11" t="n">
        <x:f>COUNTIF('Einzel-ID-Zuordnung'!$A$7:$A$2692,A1135)</x:f>
        <x:v>1</x:v>
      </x:c>
      <x:c r="E1135" s="11" t="n">
        <x:f>D1135-C1135</x:f>
        <x:v>0</x:v>
      </x:c>
      <x:c r="F1135" s="5" t="str">
        <x:v>ja</x:v>
      </x:c>
      <x:c r="G1135" s="5" t="str">
        <x:v>WQ</x:v>
      </x:c>
    </x:row>
    <x:row r="1136" ht="36" customHeight="1">
      <x:c r="A1136" s="5" t="str">
        <x:v>ST-0158</x:v>
      </x:c>
      <x:c r="B1136" s="5" t="str">
        <x:v>Steuern</x:v>
      </x:c>
      <x:c r="C1136" s="11" t="n">
        <x:v>1</x:v>
      </x:c>
      <x:c r="D1136" s="11" t="n">
        <x:f>COUNTIF('Einzel-ID-Zuordnung'!$A$7:$A$2692,A1136)</x:f>
        <x:v>1</x:v>
      </x:c>
      <x:c r="E1136" s="11" t="n">
        <x:f>D1136-C1136</x:f>
        <x:v>0</x:v>
      </x:c>
      <x:c r="F1136" s="5" t="str">
        <x:v>ja</x:v>
      </x:c>
      <x:c r="G1136" s="5" t="str">
        <x:v>WQ</x:v>
      </x:c>
    </x:row>
    <x:row r="1137" ht="36" customHeight="1">
      <x:c r="A1137" s="5" t="str">
        <x:v>ST-0159</x:v>
      </x:c>
      <x:c r="B1137" s="5" t="str">
        <x:v>Steuern</x:v>
      </x:c>
      <x:c r="C1137" s="11" t="n">
        <x:v>1</x:v>
      </x:c>
      <x:c r="D1137" s="11" t="n">
        <x:f>COUNTIF('Einzel-ID-Zuordnung'!$A$7:$A$2692,A1137)</x:f>
        <x:v>1</x:v>
      </x:c>
      <x:c r="E1137" s="11" t="n">
        <x:f>D1137-C1137</x:f>
        <x:v>0</x:v>
      </x:c>
      <x:c r="F1137" s="5" t="str">
        <x:v>ja</x:v>
      </x:c>
      <x:c r="G1137" s="5" t="str">
        <x:v>WQ</x:v>
      </x:c>
    </x:row>
    <x:row r="1138" ht="36" customHeight="1">
      <x:c r="A1138" s="5" t="str">
        <x:v>ST-0160</x:v>
      </x:c>
      <x:c r="B1138" s="5" t="str">
        <x:v>Steuern</x:v>
      </x:c>
      <x:c r="C1138" s="11" t="n">
        <x:v>1</x:v>
      </x:c>
      <x:c r="D1138" s="11" t="n">
        <x:f>COUNTIF('Einzel-ID-Zuordnung'!$A$7:$A$2692,A1138)</x:f>
        <x:v>1</x:v>
      </x:c>
      <x:c r="E1138" s="11" t="n">
        <x:f>D1138-C1138</x:f>
        <x:v>0</x:v>
      </x:c>
      <x:c r="F1138" s="5" t="str">
        <x:v>ja</x:v>
      </x:c>
      <x:c r="G1138" s="5" t="str">
        <x:v>WQ</x:v>
      </x:c>
    </x:row>
    <x:row r="1139" ht="36" customHeight="1">
      <x:c r="A1139" s="5" t="str">
        <x:v>ST-0161</x:v>
      </x:c>
      <x:c r="B1139" s="5" t="str">
        <x:v>Steuern</x:v>
      </x:c>
      <x:c r="C1139" s="11" t="n">
        <x:v>1</x:v>
      </x:c>
      <x:c r="D1139" s="11" t="n">
        <x:f>COUNTIF('Einzel-ID-Zuordnung'!$A$7:$A$2692,A1139)</x:f>
        <x:v>1</x:v>
      </x:c>
      <x:c r="E1139" s="11" t="n">
        <x:f>D1139-C1139</x:f>
        <x:v>0</x:v>
      </x:c>
      <x:c r="F1139" s="5" t="str">
        <x:v>ja</x:v>
      </x:c>
      <x:c r="G1139" s="5" t="str">
        <x:v>WQ</x:v>
      </x:c>
    </x:row>
    <x:row r="1140" ht="36" customHeight="1">
      <x:c r="A1140" s="5" t="str">
        <x:v>ST-0162</x:v>
      </x:c>
      <x:c r="B1140" s="5" t="str">
        <x:v>Steuern</x:v>
      </x:c>
      <x:c r="C1140" s="11" t="n">
        <x:v>1</x:v>
      </x:c>
      <x:c r="D1140" s="11" t="n">
        <x:f>COUNTIF('Einzel-ID-Zuordnung'!$A$7:$A$2692,A1140)</x:f>
        <x:v>1</x:v>
      </x:c>
      <x:c r="E1140" s="11" t="n">
        <x:f>D1140-C1140</x:f>
        <x:v>0</x:v>
      </x:c>
      <x:c r="F1140" s="5" t="str">
        <x:v>ja</x:v>
      </x:c>
      <x:c r="G1140" s="5" t="str">
        <x:v>WQ</x:v>
      </x:c>
    </x:row>
    <x:row r="1141" ht="36" customHeight="1">
      <x:c r="A1141" s="5" t="str">
        <x:v>ST-0163</x:v>
      </x:c>
      <x:c r="B1141" s="5" t="str">
        <x:v>Steuern</x:v>
      </x:c>
      <x:c r="C1141" s="11" t="n">
        <x:v>1</x:v>
      </x:c>
      <x:c r="D1141" s="11" t="n">
        <x:f>COUNTIF('Einzel-ID-Zuordnung'!$A$7:$A$2692,A1141)</x:f>
        <x:v>1</x:v>
      </x:c>
      <x:c r="E1141" s="11" t="n">
        <x:f>D1141-C1141</x:f>
        <x:v>0</x:v>
      </x:c>
      <x:c r="F1141" s="5" t="str">
        <x:v>ja</x:v>
      </x:c>
      <x:c r="G1141" s="5" t="str">
        <x:v>WQ</x:v>
      </x:c>
    </x:row>
    <x:row r="1142" ht="36" customHeight="1">
      <x:c r="A1142" s="5" t="str">
        <x:v>ST-0164</x:v>
      </x:c>
      <x:c r="B1142" s="5" t="str">
        <x:v>Steuern</x:v>
      </x:c>
      <x:c r="C1142" s="11" t="n">
        <x:v>1</x:v>
      </x:c>
      <x:c r="D1142" s="11" t="n">
        <x:f>COUNTIF('Einzel-ID-Zuordnung'!$A$7:$A$2692,A1142)</x:f>
        <x:v>1</x:v>
      </x:c>
      <x:c r="E1142" s="11" t="n">
        <x:f>D1142-C1142</x:f>
        <x:v>0</x:v>
      </x:c>
      <x:c r="F1142" s="5" t="str">
        <x:v>ja</x:v>
      </x:c>
      <x:c r="G1142" s="5" t="str">
        <x:v>WQ</x:v>
      </x:c>
    </x:row>
    <x:row r="1143" ht="36" customHeight="1">
      <x:c r="A1143" s="5" t="str">
        <x:v>ST-0165</x:v>
      </x:c>
      <x:c r="B1143" s="5" t="str">
        <x:v>Steuern</x:v>
      </x:c>
      <x:c r="C1143" s="11" t="n">
        <x:v>1</x:v>
      </x:c>
      <x:c r="D1143" s="11" t="n">
        <x:f>COUNTIF('Einzel-ID-Zuordnung'!$A$7:$A$2692,A1143)</x:f>
        <x:v>1</x:v>
      </x:c>
      <x:c r="E1143" s="11" t="n">
        <x:f>D1143-C1143</x:f>
        <x:v>0</x:v>
      </x:c>
      <x:c r="F1143" s="5" t="str">
        <x:v>ja</x:v>
      </x:c>
      <x:c r="G1143" s="5" t="str">
        <x:v>WQ</x:v>
      </x:c>
    </x:row>
    <x:row r="1144" ht="36" customHeight="1">
      <x:c r="A1144" s="5" t="str">
        <x:v>ST-0166</x:v>
      </x:c>
      <x:c r="B1144" s="5" t="str">
        <x:v>Steuern</x:v>
      </x:c>
      <x:c r="C1144" s="11" t="n">
        <x:v>1</x:v>
      </x:c>
      <x:c r="D1144" s="11" t="n">
        <x:f>COUNTIF('Einzel-ID-Zuordnung'!$A$7:$A$2692,A1144)</x:f>
        <x:v>1</x:v>
      </x:c>
      <x:c r="E1144" s="11" t="n">
        <x:f>D1144-C1144</x:f>
        <x:v>0</x:v>
      </x:c>
      <x:c r="F1144" s="5" t="str">
        <x:v>ja</x:v>
      </x:c>
      <x:c r="G1144" s="5" t="str">
        <x:v>WQ</x:v>
      </x:c>
    </x:row>
    <x:row r="1145" ht="36" customHeight="1">
      <x:c r="A1145" s="5" t="str">
        <x:v>ST-0167</x:v>
      </x:c>
      <x:c r="B1145" s="5" t="str">
        <x:v>Steuern</x:v>
      </x:c>
      <x:c r="C1145" s="11" t="n">
        <x:v>1</x:v>
      </x:c>
      <x:c r="D1145" s="11" t="n">
        <x:f>COUNTIF('Einzel-ID-Zuordnung'!$A$7:$A$2692,A1145)</x:f>
        <x:v>1</x:v>
      </x:c>
      <x:c r="E1145" s="11" t="n">
        <x:f>D1145-C1145</x:f>
        <x:v>0</x:v>
      </x:c>
      <x:c r="F1145" s="5" t="str">
        <x:v>ja</x:v>
      </x:c>
      <x:c r="G1145" s="5" t="str">
        <x:v>WQ</x:v>
      </x:c>
    </x:row>
    <x:row r="1146" ht="36" customHeight="1">
      <x:c r="A1146" s="5" t="str">
        <x:v>ST-0168</x:v>
      </x:c>
      <x:c r="B1146" s="5" t="str">
        <x:v>Steuern</x:v>
      </x:c>
      <x:c r="C1146" s="11" t="n">
        <x:v>1</x:v>
      </x:c>
      <x:c r="D1146" s="11" t="n">
        <x:f>COUNTIF('Einzel-ID-Zuordnung'!$A$7:$A$2692,A1146)</x:f>
        <x:v>1</x:v>
      </x:c>
      <x:c r="E1146" s="11" t="n">
        <x:f>D1146-C1146</x:f>
        <x:v>0</x:v>
      </x:c>
      <x:c r="F1146" s="5" t="str">
        <x:v>ja</x:v>
      </x:c>
      <x:c r="G1146" s="5" t="str">
        <x:v>WQ</x:v>
      </x:c>
    </x:row>
    <x:row r="1147" ht="36" customHeight="1">
      <x:c r="A1147" s="5" t="str">
        <x:v>ST-0169</x:v>
      </x:c>
      <x:c r="B1147" s="5" t="str">
        <x:v>Steuern</x:v>
      </x:c>
      <x:c r="C1147" s="11" t="n">
        <x:v>1</x:v>
      </x:c>
      <x:c r="D1147" s="11" t="n">
        <x:f>COUNTIF('Einzel-ID-Zuordnung'!$A$7:$A$2692,A1147)</x:f>
        <x:v>1</x:v>
      </x:c>
      <x:c r="E1147" s="11" t="n">
        <x:f>D1147-C1147</x:f>
        <x:v>0</x:v>
      </x:c>
      <x:c r="F1147" s="5" t="str">
        <x:v>ja</x:v>
      </x:c>
      <x:c r="G1147" s="5" t="str">
        <x:v>WQ</x:v>
      </x:c>
    </x:row>
    <x:row r="1148" ht="36" customHeight="1">
      <x:c r="A1148" s="5" t="str">
        <x:v>ST-0170</x:v>
      </x:c>
      <x:c r="B1148" s="5" t="str">
        <x:v>Steuern</x:v>
      </x:c>
      <x:c r="C1148" s="11" t="n">
        <x:v>1</x:v>
      </x:c>
      <x:c r="D1148" s="11" t="n">
        <x:f>COUNTIF('Einzel-ID-Zuordnung'!$A$7:$A$2692,A1148)</x:f>
        <x:v>1</x:v>
      </x:c>
      <x:c r="E1148" s="11" t="n">
        <x:f>D1148-C1148</x:f>
        <x:v>0</x:v>
      </x:c>
      <x:c r="F1148" s="5" t="str">
        <x:v>ja</x:v>
      </x:c>
      <x:c r="G1148" s="5" t="str">
        <x:v>WQ</x:v>
      </x:c>
    </x:row>
    <x:row r="1149" ht="36" customHeight="1">
      <x:c r="A1149" s="5" t="str">
        <x:v>ST-0171</x:v>
      </x:c>
      <x:c r="B1149" s="5" t="str">
        <x:v>Steuern</x:v>
      </x:c>
      <x:c r="C1149" s="11" t="n">
        <x:v>1</x:v>
      </x:c>
      <x:c r="D1149" s="11" t="n">
        <x:f>COUNTIF('Einzel-ID-Zuordnung'!$A$7:$A$2692,A1149)</x:f>
        <x:v>1</x:v>
      </x:c>
      <x:c r="E1149" s="11" t="n">
        <x:f>D1149-C1149</x:f>
        <x:v>0</x:v>
      </x:c>
      <x:c r="F1149" s="5" t="str">
        <x:v>ja</x:v>
      </x:c>
      <x:c r="G1149" s="5" t="str">
        <x:v>WQ</x:v>
      </x:c>
    </x:row>
    <x:row r="1150" ht="36" customHeight="1">
      <x:c r="A1150" s="5" t="str">
        <x:v>ST-0172</x:v>
      </x:c>
      <x:c r="B1150" s="5" t="str">
        <x:v>Steuern</x:v>
      </x:c>
      <x:c r="C1150" s="11" t="n">
        <x:v>1</x:v>
      </x:c>
      <x:c r="D1150" s="11" t="n">
        <x:f>COUNTIF('Einzel-ID-Zuordnung'!$A$7:$A$2692,A1150)</x:f>
        <x:v>1</x:v>
      </x:c>
      <x:c r="E1150" s="11" t="n">
        <x:f>D1150-C1150</x:f>
        <x:v>0</x:v>
      </x:c>
      <x:c r="F1150" s="5" t="str">
        <x:v>ja</x:v>
      </x:c>
      <x:c r="G1150" s="5" t="str">
        <x:v>WQ</x:v>
      </x:c>
    </x:row>
    <x:row r="1151" ht="36" customHeight="1">
      <x:c r="A1151" s="5" t="str">
        <x:v>ST-0173</x:v>
      </x:c>
      <x:c r="B1151" s="5" t="str">
        <x:v>Steuern</x:v>
      </x:c>
      <x:c r="C1151" s="11" t="n">
        <x:v>1</x:v>
      </x:c>
      <x:c r="D1151" s="11" t="n">
        <x:f>COUNTIF('Einzel-ID-Zuordnung'!$A$7:$A$2692,A1151)</x:f>
        <x:v>1</x:v>
      </x:c>
      <x:c r="E1151" s="11" t="n">
        <x:f>D1151-C1151</x:f>
        <x:v>0</x:v>
      </x:c>
      <x:c r="F1151" s="5" t="str">
        <x:v>ja</x:v>
      </x:c>
      <x:c r="G1151" s="5" t="str">
        <x:v>WQ</x:v>
      </x:c>
    </x:row>
    <x:row r="1152" ht="36" customHeight="1">
      <x:c r="A1152" s="5" t="str">
        <x:v>ST-0174</x:v>
      </x:c>
      <x:c r="B1152" s="5" t="str">
        <x:v>Steuern</x:v>
      </x:c>
      <x:c r="C1152" s="11" t="n">
        <x:v>1</x:v>
      </x:c>
      <x:c r="D1152" s="11" t="n">
        <x:f>COUNTIF('Einzel-ID-Zuordnung'!$A$7:$A$2692,A1152)</x:f>
        <x:v>1</x:v>
      </x:c>
      <x:c r="E1152" s="11" t="n">
        <x:f>D1152-C1152</x:f>
        <x:v>0</x:v>
      </x:c>
      <x:c r="F1152" s="5" t="str">
        <x:v>ja</x:v>
      </x:c>
      <x:c r="G1152" s="5" t="str">
        <x:v>WQ</x:v>
      </x:c>
    </x:row>
    <x:row r="1153" ht="36" customHeight="1">
      <x:c r="A1153" s="5" t="str">
        <x:v>ST-0175</x:v>
      </x:c>
      <x:c r="B1153" s="5" t="str">
        <x:v>Steuern</x:v>
      </x:c>
      <x:c r="C1153" s="11" t="n">
        <x:v>1</x:v>
      </x:c>
      <x:c r="D1153" s="11" t="n">
        <x:f>COUNTIF('Einzel-ID-Zuordnung'!$A$7:$A$2692,A1153)</x:f>
        <x:v>1</x:v>
      </x:c>
      <x:c r="E1153" s="11" t="n">
        <x:f>D1153-C1153</x:f>
        <x:v>0</x:v>
      </x:c>
      <x:c r="F1153" s="5" t="str">
        <x:v>ja</x:v>
      </x:c>
      <x:c r="G1153" s="5" t="str">
        <x:v>WQ</x:v>
      </x:c>
    </x:row>
    <x:row r="1154" ht="36" customHeight="1">
      <x:c r="A1154" s="5" t="str">
        <x:v>ST-0176</x:v>
      </x:c>
      <x:c r="B1154" s="5" t="str">
        <x:v>Steuern</x:v>
      </x:c>
      <x:c r="C1154" s="11" t="n">
        <x:v>1</x:v>
      </x:c>
      <x:c r="D1154" s="11" t="n">
        <x:f>COUNTIF('Einzel-ID-Zuordnung'!$A$7:$A$2692,A1154)</x:f>
        <x:v>1</x:v>
      </x:c>
      <x:c r="E1154" s="11" t="n">
        <x:f>D1154-C1154</x:f>
        <x:v>0</x:v>
      </x:c>
      <x:c r="F1154" s="5" t="str">
        <x:v>ja</x:v>
      </x:c>
      <x:c r="G1154" s="5" t="str">
        <x:v>WQ</x:v>
      </x:c>
    </x:row>
    <x:row r="1155" ht="36" customHeight="1">
      <x:c r="A1155" s="5" t="str">
        <x:v>ST-0177</x:v>
      </x:c>
      <x:c r="B1155" s="5" t="str">
        <x:v>Steuern</x:v>
      </x:c>
      <x:c r="C1155" s="11" t="n">
        <x:v>1</x:v>
      </x:c>
      <x:c r="D1155" s="11" t="n">
        <x:f>COUNTIF('Einzel-ID-Zuordnung'!$A$7:$A$2692,A1155)</x:f>
        <x:v>1</x:v>
      </x:c>
      <x:c r="E1155" s="11" t="n">
        <x:f>D1155-C1155</x:f>
        <x:v>0</x:v>
      </x:c>
      <x:c r="F1155" s="5" t="str">
        <x:v>ja</x:v>
      </x:c>
      <x:c r="G1155" s="5" t="str">
        <x:v>WQ</x:v>
      </x:c>
    </x:row>
    <x:row r="1156" ht="36" customHeight="1">
      <x:c r="A1156" s="5" t="str">
        <x:v>ST-0178</x:v>
      </x:c>
      <x:c r="B1156" s="5" t="str">
        <x:v>Steuern</x:v>
      </x:c>
      <x:c r="C1156" s="11" t="n">
        <x:v>1</x:v>
      </x:c>
      <x:c r="D1156" s="11" t="n">
        <x:f>COUNTIF('Einzel-ID-Zuordnung'!$A$7:$A$2692,A1156)</x:f>
        <x:v>1</x:v>
      </x:c>
      <x:c r="E1156" s="11" t="n">
        <x:f>D1156-C1156</x:f>
        <x:v>0</x:v>
      </x:c>
      <x:c r="F1156" s="5" t="str">
        <x:v>ja</x:v>
      </x:c>
      <x:c r="G1156" s="5" t="str">
        <x:v>WQ</x:v>
      </x:c>
    </x:row>
    <x:row r="1157" ht="36" customHeight="1">
      <x:c r="A1157" s="5" t="str">
        <x:v>ST-0179</x:v>
      </x:c>
      <x:c r="B1157" s="5" t="str">
        <x:v>Steuern</x:v>
      </x:c>
      <x:c r="C1157" s="11" t="n">
        <x:v>1</x:v>
      </x:c>
      <x:c r="D1157" s="11" t="n">
        <x:f>COUNTIF('Einzel-ID-Zuordnung'!$A$7:$A$2692,A1157)</x:f>
        <x:v>1</x:v>
      </x:c>
      <x:c r="E1157" s="11" t="n">
        <x:f>D1157-C1157</x:f>
        <x:v>0</x:v>
      </x:c>
      <x:c r="F1157" s="5" t="str">
        <x:v>ja</x:v>
      </x:c>
      <x:c r="G1157" s="5" t="str">
        <x:v>WQ</x:v>
      </x:c>
    </x:row>
    <x:row r="1158" ht="36" customHeight="1">
      <x:c r="A1158" s="5" t="str">
        <x:v>ST-0180</x:v>
      </x:c>
      <x:c r="B1158" s="5" t="str">
        <x:v>Steuern</x:v>
      </x:c>
      <x:c r="C1158" s="11" t="n">
        <x:v>1</x:v>
      </x:c>
      <x:c r="D1158" s="11" t="n">
        <x:f>COUNTIF('Einzel-ID-Zuordnung'!$A$7:$A$2692,A1158)</x:f>
        <x:v>1</x:v>
      </x:c>
      <x:c r="E1158" s="11" t="n">
        <x:f>D1158-C1158</x:f>
        <x:v>0</x:v>
      </x:c>
      <x:c r="F1158" s="5" t="str">
        <x:v>ja</x:v>
      </x:c>
      <x:c r="G1158" s="5" t="str">
        <x:v>WQ</x:v>
      </x:c>
    </x:row>
    <x:row r="1159" ht="36" customHeight="1">
      <x:c r="A1159" s="5" t="str">
        <x:v>ST-0181</x:v>
      </x:c>
      <x:c r="B1159" s="5" t="str">
        <x:v>Steuern</x:v>
      </x:c>
      <x:c r="C1159" s="11" t="n">
        <x:v>1</x:v>
      </x:c>
      <x:c r="D1159" s="11" t="n">
        <x:f>COUNTIF('Einzel-ID-Zuordnung'!$A$7:$A$2692,A1159)</x:f>
        <x:v>1</x:v>
      </x:c>
      <x:c r="E1159" s="11" t="n">
        <x:f>D1159-C1159</x:f>
        <x:v>0</x:v>
      </x:c>
      <x:c r="F1159" s="5" t="str">
        <x:v>ja</x:v>
      </x:c>
      <x:c r="G1159" s="5" t="str">
        <x:v>WQ</x:v>
      </x:c>
    </x:row>
    <x:row r="1160" ht="36" customHeight="1">
      <x:c r="A1160" s="5" t="str">
        <x:v>ST-0182</x:v>
      </x:c>
      <x:c r="B1160" s="5" t="str">
        <x:v>Steuern</x:v>
      </x:c>
      <x:c r="C1160" s="11" t="n">
        <x:v>1</x:v>
      </x:c>
      <x:c r="D1160" s="11" t="n">
        <x:f>COUNTIF('Einzel-ID-Zuordnung'!$A$7:$A$2692,A1160)</x:f>
        <x:v>1</x:v>
      </x:c>
      <x:c r="E1160" s="11" t="n">
        <x:f>D1160-C1160</x:f>
        <x:v>0</x:v>
      </x:c>
      <x:c r="F1160" s="5" t="str">
        <x:v>ja</x:v>
      </x:c>
      <x:c r="G1160" s="5" t="str">
        <x:v>WQ</x:v>
      </x:c>
    </x:row>
    <x:row r="1161" ht="36" customHeight="1">
      <x:c r="A1161" s="5" t="str">
        <x:v>ST-0183</x:v>
      </x:c>
      <x:c r="B1161" s="5" t="str">
        <x:v>Steuern</x:v>
      </x:c>
      <x:c r="C1161" s="11" t="n">
        <x:v>1</x:v>
      </x:c>
      <x:c r="D1161" s="11" t="n">
        <x:f>COUNTIF('Einzel-ID-Zuordnung'!$A$7:$A$2692,A1161)</x:f>
        <x:v>1</x:v>
      </x:c>
      <x:c r="E1161" s="11" t="n">
        <x:f>D1161-C1161</x:f>
        <x:v>0</x:v>
      </x:c>
      <x:c r="F1161" s="5" t="str">
        <x:v>ja</x:v>
      </x:c>
      <x:c r="G1161" s="5" t="str">
        <x:v>WQ</x:v>
      </x:c>
    </x:row>
    <x:row r="1162" ht="36" customHeight="1">
      <x:c r="A1162" s="5" t="str">
        <x:v>ST-0184</x:v>
      </x:c>
      <x:c r="B1162" s="5" t="str">
        <x:v>Steuern</x:v>
      </x:c>
      <x:c r="C1162" s="11" t="n">
        <x:v>1</x:v>
      </x:c>
      <x:c r="D1162" s="11" t="n">
        <x:f>COUNTIF('Einzel-ID-Zuordnung'!$A$7:$A$2692,A1162)</x:f>
        <x:v>1</x:v>
      </x:c>
      <x:c r="E1162" s="11" t="n">
        <x:f>D1162-C1162</x:f>
        <x:v>0</x:v>
      </x:c>
      <x:c r="F1162" s="5" t="str">
        <x:v>ja</x:v>
      </x:c>
      <x:c r="G1162" s="5" t="str">
        <x:v>WQ</x:v>
      </x:c>
    </x:row>
    <x:row r="1163" ht="36" customHeight="1">
      <x:c r="A1163" s="5" t="str">
        <x:v>ST-0185</x:v>
      </x:c>
      <x:c r="B1163" s="5" t="str">
        <x:v>Steuern</x:v>
      </x:c>
      <x:c r="C1163" s="11" t="n">
        <x:v>1</x:v>
      </x:c>
      <x:c r="D1163" s="11" t="n">
        <x:f>COUNTIF('Einzel-ID-Zuordnung'!$A$7:$A$2692,A1163)</x:f>
        <x:v>1</x:v>
      </x:c>
      <x:c r="E1163" s="11" t="n">
        <x:f>D1163-C1163</x:f>
        <x:v>0</x:v>
      </x:c>
      <x:c r="F1163" s="5" t="str">
        <x:v>ja</x:v>
      </x:c>
      <x:c r="G1163" s="5" t="str">
        <x:v>WQ</x:v>
      </x:c>
    </x:row>
    <x:row r="1164" ht="36" customHeight="1">
      <x:c r="A1164" s="5" t="str">
        <x:v>ST-0186</x:v>
      </x:c>
      <x:c r="B1164" s="5" t="str">
        <x:v>Steuern</x:v>
      </x:c>
      <x:c r="C1164" s="11" t="n">
        <x:v>1</x:v>
      </x:c>
      <x:c r="D1164" s="11" t="n">
        <x:f>COUNTIF('Einzel-ID-Zuordnung'!$A$7:$A$2692,A1164)</x:f>
        <x:v>1</x:v>
      </x:c>
      <x:c r="E1164" s="11" t="n">
        <x:f>D1164-C1164</x:f>
        <x:v>0</x:v>
      </x:c>
      <x:c r="F1164" s="5" t="str">
        <x:v>ja</x:v>
      </x:c>
      <x:c r="G1164" s="5" t="str">
        <x:v>WQ</x:v>
      </x:c>
    </x:row>
    <x:row r="1165" ht="36" customHeight="1">
      <x:c r="A1165" s="5" t="str">
        <x:v>ST-0187</x:v>
      </x:c>
      <x:c r="B1165" s="5" t="str">
        <x:v>Steuern</x:v>
      </x:c>
      <x:c r="C1165" s="11" t="n">
        <x:v>1</x:v>
      </x:c>
      <x:c r="D1165" s="11" t="n">
        <x:f>COUNTIF('Einzel-ID-Zuordnung'!$A$7:$A$2692,A1165)</x:f>
        <x:v>1</x:v>
      </x:c>
      <x:c r="E1165" s="11" t="n">
        <x:f>D1165-C1165</x:f>
        <x:v>0</x:v>
      </x:c>
      <x:c r="F1165" s="5" t="str">
        <x:v>ja</x:v>
      </x:c>
      <x:c r="G1165" s="5" t="str">
        <x:v>WQ</x:v>
      </x:c>
    </x:row>
    <x:row r="1166" ht="36" customHeight="1">
      <x:c r="A1166" s="5" t="str">
        <x:v>ST-0188</x:v>
      </x:c>
      <x:c r="B1166" s="5" t="str">
        <x:v>Steuern</x:v>
      </x:c>
      <x:c r="C1166" s="11" t="n">
        <x:v>1</x:v>
      </x:c>
      <x:c r="D1166" s="11" t="n">
        <x:f>COUNTIF('Einzel-ID-Zuordnung'!$A$7:$A$2692,A1166)</x:f>
        <x:v>1</x:v>
      </x:c>
      <x:c r="E1166" s="11" t="n">
        <x:f>D1166-C1166</x:f>
        <x:v>0</x:v>
      </x:c>
      <x:c r="F1166" s="5" t="str">
        <x:v>ja</x:v>
      </x:c>
      <x:c r="G1166" s="5" t="str">
        <x:v>WQ</x:v>
      </x:c>
    </x:row>
    <x:row r="1167" ht="36" customHeight="1">
      <x:c r="A1167" s="5" t="str">
        <x:v>ST-0189</x:v>
      </x:c>
      <x:c r="B1167" s="5" t="str">
        <x:v>Steuern</x:v>
      </x:c>
      <x:c r="C1167" s="11" t="n">
        <x:v>1</x:v>
      </x:c>
      <x:c r="D1167" s="11" t="n">
        <x:f>COUNTIF('Einzel-ID-Zuordnung'!$A$7:$A$2692,A1167)</x:f>
        <x:v>1</x:v>
      </x:c>
      <x:c r="E1167" s="11" t="n">
        <x:f>D1167-C1167</x:f>
        <x:v>0</x:v>
      </x:c>
      <x:c r="F1167" s="5" t="str">
        <x:v>ja</x:v>
      </x:c>
      <x:c r="G1167" s="5" t="str">
        <x:v>WQ</x:v>
      </x:c>
    </x:row>
    <x:row r="1168" ht="36" customHeight="1">
      <x:c r="A1168" s="5" t="str">
        <x:v>ST-0190</x:v>
      </x:c>
      <x:c r="B1168" s="5" t="str">
        <x:v>Steuern</x:v>
      </x:c>
      <x:c r="C1168" s="11" t="n">
        <x:v>1</x:v>
      </x:c>
      <x:c r="D1168" s="11" t="n">
        <x:f>COUNTIF('Einzel-ID-Zuordnung'!$A$7:$A$2692,A1168)</x:f>
        <x:v>1</x:v>
      </x:c>
      <x:c r="E1168" s="11" t="n">
        <x:f>D1168-C1168</x:f>
        <x:v>0</x:v>
      </x:c>
      <x:c r="F1168" s="5" t="str">
        <x:v>ja</x:v>
      </x:c>
      <x:c r="G1168" s="5" t="str">
        <x:v>WQ</x:v>
      </x:c>
    </x:row>
    <x:row r="1169" ht="36" customHeight="1">
      <x:c r="A1169" s="5" t="str">
        <x:v>ST-0191</x:v>
      </x:c>
      <x:c r="B1169" s="5" t="str">
        <x:v>Steuern</x:v>
      </x:c>
      <x:c r="C1169" s="11" t="n">
        <x:v>1</x:v>
      </x:c>
      <x:c r="D1169" s="11" t="n">
        <x:f>COUNTIF('Einzel-ID-Zuordnung'!$A$7:$A$2692,A1169)</x:f>
        <x:v>1</x:v>
      </x:c>
      <x:c r="E1169" s="11" t="n">
        <x:f>D1169-C1169</x:f>
        <x:v>0</x:v>
      </x:c>
      <x:c r="F1169" s="5" t="str">
        <x:v>ja</x:v>
      </x:c>
      <x:c r="G1169" s="5" t="str">
        <x:v>WQ</x:v>
      </x:c>
    </x:row>
    <x:row r="1170" ht="36" customHeight="1">
      <x:c r="A1170" s="5" t="str">
        <x:v>ST-0192</x:v>
      </x:c>
      <x:c r="B1170" s="5" t="str">
        <x:v>Steuern</x:v>
      </x:c>
      <x:c r="C1170" s="11" t="n">
        <x:v>1</x:v>
      </x:c>
      <x:c r="D1170" s="11" t="n">
        <x:f>COUNTIF('Einzel-ID-Zuordnung'!$A$7:$A$2692,A1170)</x:f>
        <x:v>1</x:v>
      </x:c>
      <x:c r="E1170" s="11" t="n">
        <x:f>D1170-C1170</x:f>
        <x:v>0</x:v>
      </x:c>
      <x:c r="F1170" s="5" t="str">
        <x:v>ja</x:v>
      </x:c>
      <x:c r="G1170" s="5" t="str">
        <x:v>WQ</x:v>
      </x:c>
    </x:row>
    <x:row r="1171" ht="36" customHeight="1">
      <x:c r="A1171" s="5" t="str">
        <x:v>ST-0193</x:v>
      </x:c>
      <x:c r="B1171" s="5" t="str">
        <x:v>Steuern</x:v>
      </x:c>
      <x:c r="C1171" s="11" t="n">
        <x:v>1</x:v>
      </x:c>
      <x:c r="D1171" s="11" t="n">
        <x:f>COUNTIF('Einzel-ID-Zuordnung'!$A$7:$A$2692,A1171)</x:f>
        <x:v>1</x:v>
      </x:c>
      <x:c r="E1171" s="11" t="n">
        <x:f>D1171-C1171</x:f>
        <x:v>0</x:v>
      </x:c>
      <x:c r="F1171" s="5" t="str">
        <x:v>ja</x:v>
      </x:c>
      <x:c r="G1171" s="5" t="str">
        <x:v>WQ</x:v>
      </x:c>
    </x:row>
    <x:row r="1172" ht="36" customHeight="1">
      <x:c r="A1172" s="5" t="str">
        <x:v>ST-0194</x:v>
      </x:c>
      <x:c r="B1172" s="5" t="str">
        <x:v>Steuern</x:v>
      </x:c>
      <x:c r="C1172" s="11" t="n">
        <x:v>1</x:v>
      </x:c>
      <x:c r="D1172" s="11" t="n">
        <x:f>COUNTIF('Einzel-ID-Zuordnung'!$A$7:$A$2692,A1172)</x:f>
        <x:v>1</x:v>
      </x:c>
      <x:c r="E1172" s="11" t="n">
        <x:f>D1172-C1172</x:f>
        <x:v>0</x:v>
      </x:c>
      <x:c r="F1172" s="5" t="str">
        <x:v>ja</x:v>
      </x:c>
      <x:c r="G1172" s="5" t="str">
        <x:v>WQ</x:v>
      </x:c>
    </x:row>
    <x:row r="1173" ht="36" customHeight="1">
      <x:c r="A1173" s="5" t="str">
        <x:v>ST-0195</x:v>
      </x:c>
      <x:c r="B1173" s="5" t="str">
        <x:v>Steuern</x:v>
      </x:c>
      <x:c r="C1173" s="11" t="n">
        <x:v>1</x:v>
      </x:c>
      <x:c r="D1173" s="11" t="n">
        <x:f>COUNTIF('Einzel-ID-Zuordnung'!$A$7:$A$2692,A1173)</x:f>
        <x:v>1</x:v>
      </x:c>
      <x:c r="E1173" s="11" t="n">
        <x:f>D1173-C1173</x:f>
        <x:v>0</x:v>
      </x:c>
      <x:c r="F1173" s="5" t="str">
        <x:v>ja</x:v>
      </x:c>
      <x:c r="G1173" s="5" t="str">
        <x:v>WQ</x:v>
      </x:c>
    </x:row>
    <x:row r="1174" ht="36" customHeight="1">
      <x:c r="A1174" s="5" t="str">
        <x:v>ST-0196</x:v>
      </x:c>
      <x:c r="B1174" s="5" t="str">
        <x:v>Steuern</x:v>
      </x:c>
      <x:c r="C1174" s="11" t="n">
        <x:v>1</x:v>
      </x:c>
      <x:c r="D1174" s="11" t="n">
        <x:f>COUNTIF('Einzel-ID-Zuordnung'!$A$7:$A$2692,A1174)</x:f>
        <x:v>1</x:v>
      </x:c>
      <x:c r="E1174" s="11" t="n">
        <x:f>D1174-C1174</x:f>
        <x:v>0</x:v>
      </x:c>
      <x:c r="F1174" s="5" t="str">
        <x:v>ja</x:v>
      </x:c>
      <x:c r="G1174" s="5" t="str">
        <x:v>WQ</x:v>
      </x:c>
    </x:row>
    <x:row r="1175" ht="36" customHeight="1">
      <x:c r="A1175" s="5" t="str">
        <x:v>ST-0197</x:v>
      </x:c>
      <x:c r="B1175" s="5" t="str">
        <x:v>Steuern</x:v>
      </x:c>
      <x:c r="C1175" s="11" t="n">
        <x:v>1</x:v>
      </x:c>
      <x:c r="D1175" s="11" t="n">
        <x:f>COUNTIF('Einzel-ID-Zuordnung'!$A$7:$A$2692,A1175)</x:f>
        <x:v>1</x:v>
      </x:c>
      <x:c r="E1175" s="11" t="n">
        <x:f>D1175-C1175</x:f>
        <x:v>0</x:v>
      </x:c>
      <x:c r="F1175" s="5" t="str">
        <x:v>ja</x:v>
      </x:c>
      <x:c r="G1175" s="5" t="str">
        <x:v>WQ</x:v>
      </x:c>
    </x:row>
    <x:row r="1176" ht="36" customHeight="1">
      <x:c r="A1176" s="5" t="str">
        <x:v>ST-0198</x:v>
      </x:c>
      <x:c r="B1176" s="5" t="str">
        <x:v>Steuern</x:v>
      </x:c>
      <x:c r="C1176" s="11" t="n">
        <x:v>1</x:v>
      </x:c>
      <x:c r="D1176" s="11" t="n">
        <x:f>COUNTIF('Einzel-ID-Zuordnung'!$A$7:$A$2692,A1176)</x:f>
        <x:v>1</x:v>
      </x:c>
      <x:c r="E1176" s="11" t="n">
        <x:f>D1176-C1176</x:f>
        <x:v>0</x:v>
      </x:c>
      <x:c r="F1176" s="5" t="str">
        <x:v>ja</x:v>
      </x:c>
      <x:c r="G1176" s="5" t="str">
        <x:v>WQ</x:v>
      </x:c>
    </x:row>
    <x:row r="1177" ht="36" customHeight="1">
      <x:c r="A1177" s="5" t="str">
        <x:v>ST-0199</x:v>
      </x:c>
      <x:c r="B1177" s="5" t="str">
        <x:v>Steuern</x:v>
      </x:c>
      <x:c r="C1177" s="11" t="n">
        <x:v>1</x:v>
      </x:c>
      <x:c r="D1177" s="11" t="n">
        <x:f>COUNTIF('Einzel-ID-Zuordnung'!$A$7:$A$2692,A1177)</x:f>
        <x:v>1</x:v>
      </x:c>
      <x:c r="E1177" s="11" t="n">
        <x:f>D1177-C1177</x:f>
        <x:v>0</x:v>
      </x:c>
      <x:c r="F1177" s="5" t="str">
        <x:v>ja</x:v>
      </x:c>
      <x:c r="G1177" s="5" t="str">
        <x:v>WQ</x:v>
      </x:c>
    </x:row>
    <x:row r="1178" ht="36" customHeight="1">
      <x:c r="A1178" s="5" t="str">
        <x:v>ST-0200</x:v>
      </x:c>
      <x:c r="B1178" s="5" t="str">
        <x:v>Steuern</x:v>
      </x:c>
      <x:c r="C1178" s="11" t="n">
        <x:v>1</x:v>
      </x:c>
      <x:c r="D1178" s="11" t="n">
        <x:f>COUNTIF('Einzel-ID-Zuordnung'!$A$7:$A$2692,A1178)</x:f>
        <x:v>1</x:v>
      </x:c>
      <x:c r="E1178" s="11" t="n">
        <x:f>D1178-C1178</x:f>
        <x:v>0</x:v>
      </x:c>
      <x:c r="F1178" s="5" t="str">
        <x:v>ja</x:v>
      </x:c>
      <x:c r="G1178" s="5" t="str">
        <x:v>WQ</x:v>
      </x:c>
    </x:row>
    <x:row r="1179" ht="36" customHeight="1">
      <x:c r="A1179" s="5" t="str">
        <x:v>ST-0201</x:v>
      </x:c>
      <x:c r="B1179" s="5" t="str">
        <x:v>Steuern</x:v>
      </x:c>
      <x:c r="C1179" s="11" t="n">
        <x:v>1</x:v>
      </x:c>
      <x:c r="D1179" s="11" t="n">
        <x:f>COUNTIF('Einzel-ID-Zuordnung'!$A$7:$A$2692,A1179)</x:f>
        <x:v>1</x:v>
      </x:c>
      <x:c r="E1179" s="11" t="n">
        <x:f>D1179-C1179</x:f>
        <x:v>0</x:v>
      </x:c>
      <x:c r="F1179" s="5" t="str">
        <x:v>ja</x:v>
      </x:c>
      <x:c r="G1179" s="5" t="str">
        <x:v>WQ</x:v>
      </x:c>
    </x:row>
    <x:row r="1180" ht="36" customHeight="1">
      <x:c r="A1180" s="5" t="str">
        <x:v>ST-0202</x:v>
      </x:c>
      <x:c r="B1180" s="5" t="str">
        <x:v>Steuern</x:v>
      </x:c>
      <x:c r="C1180" s="11" t="n">
        <x:v>1</x:v>
      </x:c>
      <x:c r="D1180" s="11" t="n">
        <x:f>COUNTIF('Einzel-ID-Zuordnung'!$A$7:$A$2692,A1180)</x:f>
        <x:v>1</x:v>
      </x:c>
      <x:c r="E1180" s="11" t="n">
        <x:f>D1180-C1180</x:f>
        <x:v>0</x:v>
      </x:c>
      <x:c r="F1180" s="5" t="str">
        <x:v>ja</x:v>
      </x:c>
      <x:c r="G1180" s="5" t="str">
        <x:v>WQ</x:v>
      </x:c>
    </x:row>
    <x:row r="1181" ht="36" customHeight="1">
      <x:c r="A1181" s="5" t="str">
        <x:v>ST-0203</x:v>
      </x:c>
      <x:c r="B1181" s="5" t="str">
        <x:v>Steuern</x:v>
      </x:c>
      <x:c r="C1181" s="11" t="n">
        <x:v>1</x:v>
      </x:c>
      <x:c r="D1181" s="11" t="n">
        <x:f>COUNTIF('Einzel-ID-Zuordnung'!$A$7:$A$2692,A1181)</x:f>
        <x:v>1</x:v>
      </x:c>
      <x:c r="E1181" s="11" t="n">
        <x:f>D1181-C1181</x:f>
        <x:v>0</x:v>
      </x:c>
      <x:c r="F1181" s="5" t="str">
        <x:v>ja</x:v>
      </x:c>
      <x:c r="G1181" s="5" t="str">
        <x:v>WQ</x:v>
      </x:c>
    </x:row>
    <x:row r="1182" ht="36" customHeight="1">
      <x:c r="A1182" s="5" t="str">
        <x:v>ST-0204</x:v>
      </x:c>
      <x:c r="B1182" s="5" t="str">
        <x:v>Steuern</x:v>
      </x:c>
      <x:c r="C1182" s="11" t="n">
        <x:v>1</x:v>
      </x:c>
      <x:c r="D1182" s="11" t="n">
        <x:f>COUNTIF('Einzel-ID-Zuordnung'!$A$7:$A$2692,A1182)</x:f>
        <x:v>1</x:v>
      </x:c>
      <x:c r="E1182" s="11" t="n">
        <x:f>D1182-C1182</x:f>
        <x:v>0</x:v>
      </x:c>
      <x:c r="F1182" s="5" t="str">
        <x:v>ja</x:v>
      </x:c>
      <x:c r="G1182" s="5" t="str">
        <x:v>WQ</x:v>
      </x:c>
    </x:row>
    <x:row r="1183" ht="36" customHeight="1">
      <x:c r="A1183" s="5" t="str">
        <x:v>ST-0205</x:v>
      </x:c>
      <x:c r="B1183" s="5" t="str">
        <x:v>Steuern</x:v>
      </x:c>
      <x:c r="C1183" s="11" t="n">
        <x:v>1</x:v>
      </x:c>
      <x:c r="D1183" s="11" t="n">
        <x:f>COUNTIF('Einzel-ID-Zuordnung'!$A$7:$A$2692,A1183)</x:f>
        <x:v>1</x:v>
      </x:c>
      <x:c r="E1183" s="11" t="n">
        <x:f>D1183-C1183</x:f>
        <x:v>0</x:v>
      </x:c>
      <x:c r="F1183" s="5" t="str">
        <x:v>ja</x:v>
      </x:c>
      <x:c r="G1183" s="5" t="str">
        <x:v>WQ</x:v>
      </x:c>
    </x:row>
    <x:row r="1184" ht="36" customHeight="1">
      <x:c r="A1184" s="5" t="str">
        <x:v>ST-0206</x:v>
      </x:c>
      <x:c r="B1184" s="5" t="str">
        <x:v>Steuern</x:v>
      </x:c>
      <x:c r="C1184" s="11" t="n">
        <x:v>1</x:v>
      </x:c>
      <x:c r="D1184" s="11" t="n">
        <x:f>COUNTIF('Einzel-ID-Zuordnung'!$A$7:$A$2692,A1184)</x:f>
        <x:v>1</x:v>
      </x:c>
      <x:c r="E1184" s="11" t="n">
        <x:f>D1184-C1184</x:f>
        <x:v>0</x:v>
      </x:c>
      <x:c r="F1184" s="5" t="str">
        <x:v>ja</x:v>
      </x:c>
      <x:c r="G1184" s="5" t="str">
        <x:v>WQ</x:v>
      </x:c>
    </x:row>
    <x:row r="1185" ht="36" customHeight="1">
      <x:c r="A1185" s="5" t="str">
        <x:v>ST-0207</x:v>
      </x:c>
      <x:c r="B1185" s="5" t="str">
        <x:v>Steuern</x:v>
      </x:c>
      <x:c r="C1185" s="11" t="n">
        <x:v>1</x:v>
      </x:c>
      <x:c r="D1185" s="11" t="n">
        <x:f>COUNTIF('Einzel-ID-Zuordnung'!$A$7:$A$2692,A1185)</x:f>
        <x:v>1</x:v>
      </x:c>
      <x:c r="E1185" s="11" t="n">
        <x:f>D1185-C1185</x:f>
        <x:v>0</x:v>
      </x:c>
      <x:c r="F1185" s="5" t="str">
        <x:v>ja</x:v>
      </x:c>
      <x:c r="G1185" s="5" t="str">
        <x:v>WQ</x:v>
      </x:c>
    </x:row>
    <x:row r="1186" ht="36" customHeight="1">
      <x:c r="A1186" s="5" t="str">
        <x:v>ST-0208</x:v>
      </x:c>
      <x:c r="B1186" s="5" t="str">
        <x:v>Steuern</x:v>
      </x:c>
      <x:c r="C1186" s="11" t="n">
        <x:v>1</x:v>
      </x:c>
      <x:c r="D1186" s="11" t="n">
        <x:f>COUNTIF('Einzel-ID-Zuordnung'!$A$7:$A$2692,A1186)</x:f>
        <x:v>1</x:v>
      </x:c>
      <x:c r="E1186" s="11" t="n">
        <x:f>D1186-C1186</x:f>
        <x:v>0</x:v>
      </x:c>
      <x:c r="F1186" s="5" t="str">
        <x:v>ja</x:v>
      </x:c>
      <x:c r="G1186" s="5" t="str">
        <x:v>WQ</x:v>
      </x:c>
    </x:row>
    <x:row r="1187" ht="36" customHeight="1">
      <x:c r="A1187" s="5" t="str">
        <x:v>ST-0209</x:v>
      </x:c>
      <x:c r="B1187" s="5" t="str">
        <x:v>Steuern</x:v>
      </x:c>
      <x:c r="C1187" s="11" t="n">
        <x:v>1</x:v>
      </x:c>
      <x:c r="D1187" s="11" t="n">
        <x:f>COUNTIF('Einzel-ID-Zuordnung'!$A$7:$A$2692,A1187)</x:f>
        <x:v>1</x:v>
      </x:c>
      <x:c r="E1187" s="11" t="n">
        <x:f>D1187-C1187</x:f>
        <x:v>0</x:v>
      </x:c>
      <x:c r="F1187" s="5" t="str">
        <x:v>ja</x:v>
      </x:c>
      <x:c r="G1187" s="5" t="str">
        <x:v>WQ</x:v>
      </x:c>
    </x:row>
    <x:row r="1188" ht="36" customHeight="1">
      <x:c r="A1188" s="5" t="str">
        <x:v>ST-0210</x:v>
      </x:c>
      <x:c r="B1188" s="5" t="str">
        <x:v>Steuern</x:v>
      </x:c>
      <x:c r="C1188" s="11" t="n">
        <x:v>1</x:v>
      </x:c>
      <x:c r="D1188" s="11" t="n">
        <x:f>COUNTIF('Einzel-ID-Zuordnung'!$A$7:$A$2692,A1188)</x:f>
        <x:v>1</x:v>
      </x:c>
      <x:c r="E1188" s="11" t="n">
        <x:f>D1188-C1188</x:f>
        <x:v>0</x:v>
      </x:c>
      <x:c r="F1188" s="5" t="str">
        <x:v>ja</x:v>
      </x:c>
      <x:c r="G1188" s="5" t="str">
        <x:v>WQ</x:v>
      </x:c>
    </x:row>
    <x:row r="1189" ht="36" customHeight="1">
      <x:c r="A1189" s="5" t="str">
        <x:v>ST-0211</x:v>
      </x:c>
      <x:c r="B1189" s="5" t="str">
        <x:v>Steuern</x:v>
      </x:c>
      <x:c r="C1189" s="11" t="n">
        <x:v>1</x:v>
      </x:c>
      <x:c r="D1189" s="11" t="n">
        <x:f>COUNTIF('Einzel-ID-Zuordnung'!$A$7:$A$2692,A1189)</x:f>
        <x:v>1</x:v>
      </x:c>
      <x:c r="E1189" s="11" t="n">
        <x:f>D1189-C1189</x:f>
        <x:v>0</x:v>
      </x:c>
      <x:c r="F1189" s="5" t="str">
        <x:v>ja</x:v>
      </x:c>
      <x:c r="G1189" s="5" t="str">
        <x:v>WQ</x:v>
      </x:c>
    </x:row>
    <x:row r="1190" ht="36" customHeight="1">
      <x:c r="A1190" s="5" t="str">
        <x:v>ST-0212</x:v>
      </x:c>
      <x:c r="B1190" s="5" t="str">
        <x:v>Steuern</x:v>
      </x:c>
      <x:c r="C1190" s="11" t="n">
        <x:v>1</x:v>
      </x:c>
      <x:c r="D1190" s="11" t="n">
        <x:f>COUNTIF('Einzel-ID-Zuordnung'!$A$7:$A$2692,A1190)</x:f>
        <x:v>1</x:v>
      </x:c>
      <x:c r="E1190" s="11" t="n">
        <x:f>D1190-C1190</x:f>
        <x:v>0</x:v>
      </x:c>
      <x:c r="F1190" s="5" t="str">
        <x:v>ja</x:v>
      </x:c>
      <x:c r="G1190" s="5" t="str">
        <x:v>WQ</x:v>
      </x:c>
    </x:row>
    <x:row r="1191" ht="36" customHeight="1">
      <x:c r="A1191" s="5" t="str">
        <x:v>ST-0213</x:v>
      </x:c>
      <x:c r="B1191" s="5" t="str">
        <x:v>Steuern</x:v>
      </x:c>
      <x:c r="C1191" s="11" t="n">
        <x:v>1</x:v>
      </x:c>
      <x:c r="D1191" s="11" t="n">
        <x:f>COUNTIF('Einzel-ID-Zuordnung'!$A$7:$A$2692,A1191)</x:f>
        <x:v>1</x:v>
      </x:c>
      <x:c r="E1191" s="11" t="n">
        <x:f>D1191-C1191</x:f>
        <x:v>0</x:v>
      </x:c>
      <x:c r="F1191" s="5" t="str">
        <x:v>ja</x:v>
      </x:c>
      <x:c r="G1191" s="5" t="str">
        <x:v>WQ</x:v>
      </x:c>
    </x:row>
    <x:row r="1192" ht="36" customHeight="1">
      <x:c r="A1192" s="5" t="str">
        <x:v>ST-0214</x:v>
      </x:c>
      <x:c r="B1192" s="5" t="str">
        <x:v>Steuern</x:v>
      </x:c>
      <x:c r="C1192" s="11" t="n">
        <x:v>1</x:v>
      </x:c>
      <x:c r="D1192" s="11" t="n">
        <x:f>COUNTIF('Einzel-ID-Zuordnung'!$A$7:$A$2692,A1192)</x:f>
        <x:v>1</x:v>
      </x:c>
      <x:c r="E1192" s="11" t="n">
        <x:f>D1192-C1192</x:f>
        <x:v>0</x:v>
      </x:c>
      <x:c r="F1192" s="5" t="str">
        <x:v>ja</x:v>
      </x:c>
      <x:c r="G1192" s="5" t="str">
        <x:v>WQ</x:v>
      </x:c>
    </x:row>
    <x:row r="1193" ht="36" customHeight="1">
      <x:c r="A1193" s="5" t="str">
        <x:v>ST-0215</x:v>
      </x:c>
      <x:c r="B1193" s="5" t="str">
        <x:v>Steuern</x:v>
      </x:c>
      <x:c r="C1193" s="11" t="n">
        <x:v>1</x:v>
      </x:c>
      <x:c r="D1193" s="11" t="n">
        <x:f>COUNTIF('Einzel-ID-Zuordnung'!$A$7:$A$2692,A1193)</x:f>
        <x:v>1</x:v>
      </x:c>
      <x:c r="E1193" s="11" t="n">
        <x:f>D1193-C1193</x:f>
        <x:v>0</x:v>
      </x:c>
      <x:c r="F1193" s="5" t="str">
        <x:v>ja</x:v>
      </x:c>
      <x:c r="G1193" s="5" t="str">
        <x:v>WQ</x:v>
      </x:c>
    </x:row>
    <x:row r="1194" ht="36" customHeight="1">
      <x:c r="A1194" s="5" t="str">
        <x:v>ST-0216</x:v>
      </x:c>
      <x:c r="B1194" s="5" t="str">
        <x:v>Steuern</x:v>
      </x:c>
      <x:c r="C1194" s="11" t="n">
        <x:v>1</x:v>
      </x:c>
      <x:c r="D1194" s="11" t="n">
        <x:f>COUNTIF('Einzel-ID-Zuordnung'!$A$7:$A$2692,A1194)</x:f>
        <x:v>1</x:v>
      </x:c>
      <x:c r="E1194" s="11" t="n">
        <x:f>D1194-C1194</x:f>
        <x:v>0</x:v>
      </x:c>
      <x:c r="F1194" s="5" t="str">
        <x:v>ja</x:v>
      </x:c>
      <x:c r="G1194" s="5" t="str">
        <x:v>WQ</x:v>
      </x:c>
    </x:row>
    <x:row r="1195" ht="36" customHeight="1">
      <x:c r="A1195" s="5" t="str">
        <x:v>ST-0217</x:v>
      </x:c>
      <x:c r="B1195" s="5" t="str">
        <x:v>Steuern</x:v>
      </x:c>
      <x:c r="C1195" s="11" t="n">
        <x:v>1</x:v>
      </x:c>
      <x:c r="D1195" s="11" t="n">
        <x:f>COUNTIF('Einzel-ID-Zuordnung'!$A$7:$A$2692,A1195)</x:f>
        <x:v>1</x:v>
      </x:c>
      <x:c r="E1195" s="11" t="n">
        <x:f>D1195-C1195</x:f>
        <x:v>0</x:v>
      </x:c>
      <x:c r="F1195" s="5" t="str">
        <x:v>ja</x:v>
      </x:c>
      <x:c r="G1195" s="5" t="str">
        <x:v>WQ</x:v>
      </x:c>
    </x:row>
    <x:row r="1196" ht="36" customHeight="1">
      <x:c r="A1196" s="5" t="str">
        <x:v>ST-0218</x:v>
      </x:c>
      <x:c r="B1196" s="5" t="str">
        <x:v>Steuern</x:v>
      </x:c>
      <x:c r="C1196" s="11" t="n">
        <x:v>1</x:v>
      </x:c>
      <x:c r="D1196" s="11" t="n">
        <x:f>COUNTIF('Einzel-ID-Zuordnung'!$A$7:$A$2692,A1196)</x:f>
        <x:v>1</x:v>
      </x:c>
      <x:c r="E1196" s="11" t="n">
        <x:f>D1196-C1196</x:f>
        <x:v>0</x:v>
      </x:c>
      <x:c r="F1196" s="5" t="str">
        <x:v>ja</x:v>
      </x:c>
      <x:c r="G1196" s="5" t="str">
        <x:v>WQ</x:v>
      </x:c>
    </x:row>
    <x:row r="1197" ht="36" customHeight="1">
      <x:c r="A1197" s="5" t="str">
        <x:v>ST-0219</x:v>
      </x:c>
      <x:c r="B1197" s="5" t="str">
        <x:v>Steuern</x:v>
      </x:c>
      <x:c r="C1197" s="11" t="n">
        <x:v>1</x:v>
      </x:c>
      <x:c r="D1197" s="11" t="n">
        <x:f>COUNTIF('Einzel-ID-Zuordnung'!$A$7:$A$2692,A1197)</x:f>
        <x:v>1</x:v>
      </x:c>
      <x:c r="E1197" s="11" t="n">
        <x:f>D1197-C1197</x:f>
        <x:v>0</x:v>
      </x:c>
      <x:c r="F1197" s="5" t="str">
        <x:v>ja</x:v>
      </x:c>
      <x:c r="G1197" s="5" t="str">
        <x:v>WQ</x:v>
      </x:c>
    </x:row>
    <x:row r="1198" ht="36" customHeight="1">
      <x:c r="A1198" s="5" t="str">
        <x:v>ST-0220</x:v>
      </x:c>
      <x:c r="B1198" s="5" t="str">
        <x:v>Steuern</x:v>
      </x:c>
      <x:c r="C1198" s="11" t="n">
        <x:v>1</x:v>
      </x:c>
      <x:c r="D1198" s="11" t="n">
        <x:f>COUNTIF('Einzel-ID-Zuordnung'!$A$7:$A$2692,A1198)</x:f>
        <x:v>1</x:v>
      </x:c>
      <x:c r="E1198" s="11" t="n">
        <x:f>D1198-C1198</x:f>
        <x:v>0</x:v>
      </x:c>
      <x:c r="F1198" s="5" t="str">
        <x:v>ja</x:v>
      </x:c>
      <x:c r="G1198" s="5" t="str">
        <x:v>WQ</x:v>
      </x:c>
    </x:row>
    <x:row r="1199" ht="36" customHeight="1">
      <x:c r="A1199" s="5" t="str">
        <x:v>ST-0221</x:v>
      </x:c>
      <x:c r="B1199" s="5" t="str">
        <x:v>Steuern</x:v>
      </x:c>
      <x:c r="C1199" s="11" t="n">
        <x:v>1</x:v>
      </x:c>
      <x:c r="D1199" s="11" t="n">
        <x:f>COUNTIF('Einzel-ID-Zuordnung'!$A$7:$A$2692,A1199)</x:f>
        <x:v>1</x:v>
      </x:c>
      <x:c r="E1199" s="11" t="n">
        <x:f>D1199-C1199</x:f>
        <x:v>0</x:v>
      </x:c>
      <x:c r="F1199" s="5" t="str">
        <x:v>ja</x:v>
      </x:c>
      <x:c r="G1199" s="5" t="str">
        <x:v>WQ</x:v>
      </x:c>
    </x:row>
    <x:row r="1200" ht="36" customHeight="1">
      <x:c r="A1200" s="5" t="str">
        <x:v>ST-0222</x:v>
      </x:c>
      <x:c r="B1200" s="5" t="str">
        <x:v>Steuern</x:v>
      </x:c>
      <x:c r="C1200" s="11" t="n">
        <x:v>1</x:v>
      </x:c>
      <x:c r="D1200" s="11" t="n">
        <x:f>COUNTIF('Einzel-ID-Zuordnung'!$A$7:$A$2692,A1200)</x:f>
        <x:v>1</x:v>
      </x:c>
      <x:c r="E1200" s="11" t="n">
        <x:f>D1200-C1200</x:f>
        <x:v>0</x:v>
      </x:c>
      <x:c r="F1200" s="5" t="str">
        <x:v>ja</x:v>
      </x:c>
      <x:c r="G1200" s="5" t="str">
        <x:v>WQ</x:v>
      </x:c>
    </x:row>
    <x:row r="1201" ht="36" customHeight="1">
      <x:c r="A1201" s="5" t="str">
        <x:v>ST-0223</x:v>
      </x:c>
      <x:c r="B1201" s="5" t="str">
        <x:v>Steuern</x:v>
      </x:c>
      <x:c r="C1201" s="11" t="n">
        <x:v>1</x:v>
      </x:c>
      <x:c r="D1201" s="11" t="n">
        <x:f>COUNTIF('Einzel-ID-Zuordnung'!$A$7:$A$2692,A1201)</x:f>
        <x:v>1</x:v>
      </x:c>
      <x:c r="E1201" s="11" t="n">
        <x:f>D1201-C1201</x:f>
        <x:v>0</x:v>
      </x:c>
      <x:c r="F1201" s="5" t="str">
        <x:v>ja</x:v>
      </x:c>
      <x:c r="G1201" s="5" t="str">
        <x:v>WQ</x:v>
      </x:c>
    </x:row>
    <x:row r="1202" ht="36" customHeight="1">
      <x:c r="A1202" s="5" t="str">
        <x:v>ST-0224</x:v>
      </x:c>
      <x:c r="B1202" s="5" t="str">
        <x:v>Steuern</x:v>
      </x:c>
      <x:c r="C1202" s="11" t="n">
        <x:v>1</x:v>
      </x:c>
      <x:c r="D1202" s="11" t="n">
        <x:f>COUNTIF('Einzel-ID-Zuordnung'!$A$7:$A$2692,A1202)</x:f>
        <x:v>1</x:v>
      </x:c>
      <x:c r="E1202" s="11" t="n">
        <x:f>D1202-C1202</x:f>
        <x:v>0</x:v>
      </x:c>
      <x:c r="F1202" s="5" t="str">
        <x:v>ja</x:v>
      </x:c>
      <x:c r="G1202" s="5" t="str">
        <x:v>WQ</x:v>
      </x:c>
    </x:row>
    <x:row r="1203" ht="36" customHeight="1">
      <x:c r="A1203" s="5" t="str">
        <x:v>ST-0225</x:v>
      </x:c>
      <x:c r="B1203" s="5" t="str">
        <x:v>Steuern</x:v>
      </x:c>
      <x:c r="C1203" s="11" t="n">
        <x:v>1</x:v>
      </x:c>
      <x:c r="D1203" s="11" t="n">
        <x:f>COUNTIF('Einzel-ID-Zuordnung'!$A$7:$A$2692,A1203)</x:f>
        <x:v>1</x:v>
      </x:c>
      <x:c r="E1203" s="11" t="n">
        <x:f>D1203-C1203</x:f>
        <x:v>0</x:v>
      </x:c>
      <x:c r="F1203" s="5" t="str">
        <x:v>ja</x:v>
      </x:c>
      <x:c r="G1203" s="5" t="str">
        <x:v>WQ</x:v>
      </x:c>
    </x:row>
    <x:row r="1204" ht="36" customHeight="1">
      <x:c r="A1204" s="5" t="str">
        <x:v>ST-0226</x:v>
      </x:c>
      <x:c r="B1204" s="5" t="str">
        <x:v>Steuern</x:v>
      </x:c>
      <x:c r="C1204" s="11" t="n">
        <x:v>1</x:v>
      </x:c>
      <x:c r="D1204" s="11" t="n">
        <x:f>COUNTIF('Einzel-ID-Zuordnung'!$A$7:$A$2692,A1204)</x:f>
        <x:v>1</x:v>
      </x:c>
      <x:c r="E1204" s="11" t="n">
        <x:f>D1204-C1204</x:f>
        <x:v>0</x:v>
      </x:c>
      <x:c r="F1204" s="5" t="str">
        <x:v>ja</x:v>
      </x:c>
      <x:c r="G1204" s="5" t="str">
        <x:v>WQ</x:v>
      </x:c>
    </x:row>
    <x:row r="1205" ht="36" customHeight="1">
      <x:c r="A1205" s="5" t="str">
        <x:v>ST-0227</x:v>
      </x:c>
      <x:c r="B1205" s="5" t="str">
        <x:v>Steuern</x:v>
      </x:c>
      <x:c r="C1205" s="11" t="n">
        <x:v>1</x:v>
      </x:c>
      <x:c r="D1205" s="11" t="n">
        <x:f>COUNTIF('Einzel-ID-Zuordnung'!$A$7:$A$2692,A1205)</x:f>
        <x:v>1</x:v>
      </x:c>
      <x:c r="E1205" s="11" t="n">
        <x:f>D1205-C1205</x:f>
        <x:v>0</x:v>
      </x:c>
      <x:c r="F1205" s="5" t="str">
        <x:v>ja</x:v>
      </x:c>
      <x:c r="G1205" s="5" t="str">
        <x:v>WQ</x:v>
      </x:c>
    </x:row>
    <x:row r="1206" ht="36" customHeight="1">
      <x:c r="A1206" s="5" t="str">
        <x:v>ST-0228</x:v>
      </x:c>
      <x:c r="B1206" s="5" t="str">
        <x:v>Steuern</x:v>
      </x:c>
      <x:c r="C1206" s="11" t="n">
        <x:v>1</x:v>
      </x:c>
      <x:c r="D1206" s="11" t="n">
        <x:f>COUNTIF('Einzel-ID-Zuordnung'!$A$7:$A$2692,A1206)</x:f>
        <x:v>1</x:v>
      </x:c>
      <x:c r="E1206" s="11" t="n">
        <x:f>D1206-C1206</x:f>
        <x:v>0</x:v>
      </x:c>
      <x:c r="F1206" s="5" t="str">
        <x:v>ja</x:v>
      </x:c>
      <x:c r="G1206" s="5" t="str">
        <x:v>WQ</x:v>
      </x:c>
    </x:row>
    <x:row r="1207" ht="36" customHeight="1">
      <x:c r="A1207" s="5" t="str">
        <x:v>ST-0229</x:v>
      </x:c>
      <x:c r="B1207" s="5" t="str">
        <x:v>Steuern</x:v>
      </x:c>
      <x:c r="C1207" s="11" t="n">
        <x:v>1</x:v>
      </x:c>
      <x:c r="D1207" s="11" t="n">
        <x:f>COUNTIF('Einzel-ID-Zuordnung'!$A$7:$A$2692,A1207)</x:f>
        <x:v>1</x:v>
      </x:c>
      <x:c r="E1207" s="11" t="n">
        <x:f>D1207-C1207</x:f>
        <x:v>0</x:v>
      </x:c>
      <x:c r="F1207" s="5" t="str">
        <x:v>ja</x:v>
      </x:c>
      <x:c r="G1207" s="5" t="str">
        <x:v>WQ</x:v>
      </x:c>
    </x:row>
    <x:row r="1208" ht="36" customHeight="1">
      <x:c r="A1208" s="5" t="str">
        <x:v>ST-0230</x:v>
      </x:c>
      <x:c r="B1208" s="5" t="str">
        <x:v>Steuern</x:v>
      </x:c>
      <x:c r="C1208" s="11" t="n">
        <x:v>1</x:v>
      </x:c>
      <x:c r="D1208" s="11" t="n">
        <x:f>COUNTIF('Einzel-ID-Zuordnung'!$A$7:$A$2692,A1208)</x:f>
        <x:v>1</x:v>
      </x:c>
      <x:c r="E1208" s="11" t="n">
        <x:f>D1208-C1208</x:f>
        <x:v>0</x:v>
      </x:c>
      <x:c r="F1208" s="5" t="str">
        <x:v>ja</x:v>
      </x:c>
      <x:c r="G1208" s="5" t="str">
        <x:v>WQ</x:v>
      </x:c>
    </x:row>
    <x:row r="1209" ht="36" customHeight="1">
      <x:c r="A1209" s="5" t="str">
        <x:v>ST-0231</x:v>
      </x:c>
      <x:c r="B1209" s="5" t="str">
        <x:v>Steuern</x:v>
      </x:c>
      <x:c r="C1209" s="11" t="n">
        <x:v>1</x:v>
      </x:c>
      <x:c r="D1209" s="11" t="n">
        <x:f>COUNTIF('Einzel-ID-Zuordnung'!$A$7:$A$2692,A1209)</x:f>
        <x:v>1</x:v>
      </x:c>
      <x:c r="E1209" s="11" t="n">
        <x:f>D1209-C1209</x:f>
        <x:v>0</x:v>
      </x:c>
      <x:c r="F1209" s="5" t="str">
        <x:v>ja</x:v>
      </x:c>
      <x:c r="G1209" s="5" t="str">
        <x:v>WQ</x:v>
      </x:c>
    </x:row>
    <x:row r="1210" ht="36" customHeight="1">
      <x:c r="A1210" s="5" t="str">
        <x:v>ST-0232</x:v>
      </x:c>
      <x:c r="B1210" s="5" t="str">
        <x:v>Steuern</x:v>
      </x:c>
      <x:c r="C1210" s="11" t="n">
        <x:v>1</x:v>
      </x:c>
      <x:c r="D1210" s="11" t="n">
        <x:f>COUNTIF('Einzel-ID-Zuordnung'!$A$7:$A$2692,A1210)</x:f>
        <x:v>1</x:v>
      </x:c>
      <x:c r="E1210" s="11" t="n">
        <x:f>D1210-C1210</x:f>
        <x:v>0</x:v>
      </x:c>
      <x:c r="F1210" s="5" t="str">
        <x:v>ja</x:v>
      </x:c>
      <x:c r="G1210" s="5" t="str">
        <x:v>WQ</x:v>
      </x:c>
    </x:row>
    <x:row r="1211" ht="36" customHeight="1">
      <x:c r="A1211" s="5" t="str">
        <x:v>ST-0233</x:v>
      </x:c>
      <x:c r="B1211" s="5" t="str">
        <x:v>Steuern</x:v>
      </x:c>
      <x:c r="C1211" s="11" t="n">
        <x:v>1</x:v>
      </x:c>
      <x:c r="D1211" s="11" t="n">
        <x:f>COUNTIF('Einzel-ID-Zuordnung'!$A$7:$A$2692,A1211)</x:f>
        <x:v>1</x:v>
      </x:c>
      <x:c r="E1211" s="11" t="n">
        <x:f>D1211-C1211</x:f>
        <x:v>0</x:v>
      </x:c>
      <x:c r="F1211" s="5" t="str">
        <x:v>ja</x:v>
      </x:c>
      <x:c r="G1211" s="5" t="str">
        <x:v>WQ</x:v>
      </x:c>
    </x:row>
    <x:row r="1212" ht="36" customHeight="1">
      <x:c r="A1212" s="5" t="str">
        <x:v>UF-0001</x:v>
      </x:c>
      <x:c r="B1212" s="5" t="str">
        <x:v>Unternehmensführung</x:v>
      </x:c>
      <x:c r="C1212" s="11" t="n">
        <x:v>1</x:v>
      </x:c>
      <x:c r="D1212" s="11" t="n">
        <x:f>COUNTIF('Einzel-ID-Zuordnung'!$A$7:$A$2692,A1212)</x:f>
        <x:v>1</x:v>
      </x:c>
      <x:c r="E1212" s="11" t="n">
        <x:f>D1212-C1212</x:f>
        <x:v>0</x:v>
      </x:c>
      <x:c r="F1212" s="5" t="str">
        <x:v>nicht Pilot</x:v>
      </x:c>
      <x:c r="G1212" s="5" t="str">
        <x:v>WQ</x:v>
      </x:c>
    </x:row>
    <x:row r="1213" ht="36" customHeight="1">
      <x:c r="A1213" s="5" t="str">
        <x:v>UF-0002</x:v>
      </x:c>
      <x:c r="B1213" s="5" t="str">
        <x:v>Unternehmensführung</x:v>
      </x:c>
      <x:c r="C1213" s="11" t="n">
        <x:v>1</x:v>
      </x:c>
      <x:c r="D1213" s="11" t="n">
        <x:f>COUNTIF('Einzel-ID-Zuordnung'!$A$7:$A$2692,A1213)</x:f>
        <x:v>1</x:v>
      </x:c>
      <x:c r="E1213" s="11" t="n">
        <x:f>D1213-C1213</x:f>
        <x:v>0</x:v>
      </x:c>
      <x:c r="F1213" s="5" t="str">
        <x:v>nicht Pilot</x:v>
      </x:c>
      <x:c r="G1213" s="5" t="str">
        <x:v>WQ</x:v>
      </x:c>
    </x:row>
    <x:row r="1214" ht="36" customHeight="1">
      <x:c r="A1214" s="5" t="str">
        <x:v>UF-0003</x:v>
      </x:c>
      <x:c r="B1214" s="5" t="str">
        <x:v>Unternehmensführung</x:v>
      </x:c>
      <x:c r="C1214" s="11" t="n">
        <x:v>1</x:v>
      </x:c>
      <x:c r="D1214" s="11" t="n">
        <x:f>COUNTIF('Einzel-ID-Zuordnung'!$A$7:$A$2692,A1214)</x:f>
        <x:v>1</x:v>
      </x:c>
      <x:c r="E1214" s="11" t="n">
        <x:f>D1214-C1214</x:f>
        <x:v>0</x:v>
      </x:c>
      <x:c r="F1214" s="5" t="str">
        <x:v>nicht Pilot</x:v>
      </x:c>
      <x:c r="G1214" s="5" t="str">
        <x:v>WQ</x:v>
      </x:c>
    </x:row>
    <x:row r="1215" ht="36" customHeight="1">
      <x:c r="A1215" s="5" t="str">
        <x:v>UF-0004</x:v>
      </x:c>
      <x:c r="B1215" s="5" t="str">
        <x:v>Unternehmensführung</x:v>
      </x:c>
      <x:c r="C1215" s="11" t="n">
        <x:v>1</x:v>
      </x:c>
      <x:c r="D1215" s="11" t="n">
        <x:f>COUNTIF('Einzel-ID-Zuordnung'!$A$7:$A$2692,A1215)</x:f>
        <x:v>1</x:v>
      </x:c>
      <x:c r="E1215" s="11" t="n">
        <x:f>D1215-C1215</x:f>
        <x:v>0</x:v>
      </x:c>
      <x:c r="F1215" s="5" t="str">
        <x:v>nicht Pilot</x:v>
      </x:c>
      <x:c r="G1215" s="5" t="str">
        <x:v>WQ</x:v>
      </x:c>
    </x:row>
    <x:row r="1216" ht="36" customHeight="1">
      <x:c r="A1216" s="5" t="str">
        <x:v>UF-0005</x:v>
      </x:c>
      <x:c r="B1216" s="5" t="str">
        <x:v>Unternehmensführung</x:v>
      </x:c>
      <x:c r="C1216" s="11" t="n">
        <x:v>1</x:v>
      </x:c>
      <x:c r="D1216" s="11" t="n">
        <x:f>COUNTIF('Einzel-ID-Zuordnung'!$A$7:$A$2692,A1216)</x:f>
        <x:v>1</x:v>
      </x:c>
      <x:c r="E1216" s="11" t="n">
        <x:f>D1216-C1216</x:f>
        <x:v>0</x:v>
      </x:c>
      <x:c r="F1216" s="5" t="str">
        <x:v>nicht Pilot</x:v>
      </x:c>
      <x:c r="G1216" s="5" t="str">
        <x:v>WQ</x:v>
      </x:c>
    </x:row>
    <x:row r="1217" ht="36" customHeight="1">
      <x:c r="A1217" s="5" t="str">
        <x:v>UF-0006</x:v>
      </x:c>
      <x:c r="B1217" s="5" t="str">
        <x:v>Unternehmensführung</x:v>
      </x:c>
      <x:c r="C1217" s="11" t="n">
        <x:v>1</x:v>
      </x:c>
      <x:c r="D1217" s="11" t="n">
        <x:f>COUNTIF('Einzel-ID-Zuordnung'!$A$7:$A$2692,A1217)</x:f>
        <x:v>1</x:v>
      </x:c>
      <x:c r="E1217" s="11" t="n">
        <x:f>D1217-C1217</x:f>
        <x:v>0</x:v>
      </x:c>
      <x:c r="F1217" s="5" t="str">
        <x:v>nicht Pilot</x:v>
      </x:c>
      <x:c r="G1217" s="5" t="str">
        <x:v>WQ</x:v>
      </x:c>
    </x:row>
    <x:row r="1218" ht="36" customHeight="1">
      <x:c r="A1218" s="5" t="str">
        <x:v>UF-0007</x:v>
      </x:c>
      <x:c r="B1218" s="5" t="str">
        <x:v>Unternehmensführung</x:v>
      </x:c>
      <x:c r="C1218" s="11" t="n">
        <x:v>1</x:v>
      </x:c>
      <x:c r="D1218" s="11" t="n">
        <x:f>COUNTIF('Einzel-ID-Zuordnung'!$A$7:$A$2692,A1218)</x:f>
        <x:v>1</x:v>
      </x:c>
      <x:c r="E1218" s="11" t="n">
        <x:f>D1218-C1218</x:f>
        <x:v>0</x:v>
      </x:c>
      <x:c r="F1218" s="5" t="str">
        <x:v>nicht Pilot</x:v>
      </x:c>
      <x:c r="G1218" s="5" t="str">
        <x:v>WQ</x:v>
      </x:c>
    </x:row>
    <x:row r="1219" ht="36" customHeight="1">
      <x:c r="A1219" s="5" t="str">
        <x:v>UF-0008</x:v>
      </x:c>
      <x:c r="B1219" s="5" t="str">
        <x:v>Unternehmensführung</x:v>
      </x:c>
      <x:c r="C1219" s="11" t="n">
        <x:v>1</x:v>
      </x:c>
      <x:c r="D1219" s="11" t="n">
        <x:f>COUNTIF('Einzel-ID-Zuordnung'!$A$7:$A$2692,A1219)</x:f>
        <x:v>1</x:v>
      </x:c>
      <x:c r="E1219" s="11" t="n">
        <x:f>D1219-C1219</x:f>
        <x:v>0</x:v>
      </x:c>
      <x:c r="F1219" s="5" t="str">
        <x:v>nicht Pilot</x:v>
      </x:c>
      <x:c r="G1219" s="5" t="str">
        <x:v>WQ</x:v>
      </x:c>
    </x:row>
    <x:row r="1220" ht="36" customHeight="1">
      <x:c r="A1220" s="5" t="str">
        <x:v>UF-0009</x:v>
      </x:c>
      <x:c r="B1220" s="5" t="str">
        <x:v>Unternehmensführung</x:v>
      </x:c>
      <x:c r="C1220" s="11" t="n">
        <x:v>1</x:v>
      </x:c>
      <x:c r="D1220" s="11" t="n">
        <x:f>COUNTIF('Einzel-ID-Zuordnung'!$A$7:$A$2692,A1220)</x:f>
        <x:v>1</x:v>
      </x:c>
      <x:c r="E1220" s="11" t="n">
        <x:f>D1220-C1220</x:f>
        <x:v>0</x:v>
      </x:c>
      <x:c r="F1220" s="5" t="str">
        <x:v>nicht Pilot</x:v>
      </x:c>
      <x:c r="G1220" s="5" t="str">
        <x:v>WQ</x:v>
      </x:c>
    </x:row>
    <x:row r="1221" ht="36" customHeight="1">
      <x:c r="A1221" s="5" t="str">
        <x:v>UF-0010</x:v>
      </x:c>
      <x:c r="B1221" s="5" t="str">
        <x:v>Unternehmensführung</x:v>
      </x:c>
      <x:c r="C1221" s="11" t="n">
        <x:v>1</x:v>
      </x:c>
      <x:c r="D1221" s="11" t="n">
        <x:f>COUNTIF('Einzel-ID-Zuordnung'!$A$7:$A$2692,A1221)</x:f>
        <x:v>1</x:v>
      </x:c>
      <x:c r="E1221" s="11" t="n">
        <x:f>D1221-C1221</x:f>
        <x:v>0</x:v>
      </x:c>
      <x:c r="F1221" s="5" t="str">
        <x:v>nicht Pilot</x:v>
      </x:c>
      <x:c r="G1221" s="5" t="str">
        <x:v>WQ</x:v>
      </x:c>
    </x:row>
    <x:row r="1222" ht="36" customHeight="1">
      <x:c r="A1222" s="5" t="str">
        <x:v>UF-0011</x:v>
      </x:c>
      <x:c r="B1222" s="5" t="str">
        <x:v>Unternehmensführung</x:v>
      </x:c>
      <x:c r="C1222" s="11" t="n">
        <x:v>1</x:v>
      </x:c>
      <x:c r="D1222" s="11" t="n">
        <x:f>COUNTIF('Einzel-ID-Zuordnung'!$A$7:$A$2692,A1222)</x:f>
        <x:v>1</x:v>
      </x:c>
      <x:c r="E1222" s="11" t="n">
        <x:f>D1222-C1222</x:f>
        <x:v>0</x:v>
      </x:c>
      <x:c r="F1222" s="5" t="str">
        <x:v>nicht Pilot</x:v>
      </x:c>
      <x:c r="G1222" s="5" t="str">
        <x:v>WQ</x:v>
      </x:c>
    </x:row>
    <x:row r="1223" ht="36" customHeight="1">
      <x:c r="A1223" s="5" t="str">
        <x:v>UF-0012</x:v>
      </x:c>
      <x:c r="B1223" s="5" t="str">
        <x:v>Unternehmensführung</x:v>
      </x:c>
      <x:c r="C1223" s="11" t="n">
        <x:v>1</x:v>
      </x:c>
      <x:c r="D1223" s="11" t="n">
        <x:f>COUNTIF('Einzel-ID-Zuordnung'!$A$7:$A$2692,A1223)</x:f>
        <x:v>1</x:v>
      </x:c>
      <x:c r="E1223" s="11" t="n">
        <x:f>D1223-C1223</x:f>
        <x:v>0</x:v>
      </x:c>
      <x:c r="F1223" s="5" t="str">
        <x:v>nicht Pilot</x:v>
      </x:c>
      <x:c r="G1223" s="5" t="str">
        <x:v>WQ</x:v>
      </x:c>
    </x:row>
    <x:row r="1224" ht="36" customHeight="1">
      <x:c r="A1224" s="5" t="str">
        <x:v>UF-0013</x:v>
      </x:c>
      <x:c r="B1224" s="5" t="str">
        <x:v>Unternehmensführung</x:v>
      </x:c>
      <x:c r="C1224" s="11" t="n">
        <x:v>1</x:v>
      </x:c>
      <x:c r="D1224" s="11" t="n">
        <x:f>COUNTIF('Einzel-ID-Zuordnung'!$A$7:$A$2692,A1224)</x:f>
        <x:v>1</x:v>
      </x:c>
      <x:c r="E1224" s="11" t="n">
        <x:f>D1224-C1224</x:f>
        <x:v>0</x:v>
      </x:c>
      <x:c r="F1224" s="5" t="str">
        <x:v>nicht Pilot</x:v>
      </x:c>
      <x:c r="G1224" s="5" t="str">
        <x:v>WQ</x:v>
      </x:c>
    </x:row>
    <x:row r="1225" ht="36" customHeight="1">
      <x:c r="A1225" s="5" t="str">
        <x:v>UF-0014</x:v>
      </x:c>
      <x:c r="B1225" s="5" t="str">
        <x:v>Unternehmensführung</x:v>
      </x:c>
      <x:c r="C1225" s="11" t="n">
        <x:v>1</x:v>
      </x:c>
      <x:c r="D1225" s="11" t="n">
        <x:f>COUNTIF('Einzel-ID-Zuordnung'!$A$7:$A$2692,A1225)</x:f>
        <x:v>1</x:v>
      </x:c>
      <x:c r="E1225" s="11" t="n">
        <x:f>D1225-C1225</x:f>
        <x:v>0</x:v>
      </x:c>
      <x:c r="F1225" s="5" t="str">
        <x:v>nicht Pilot</x:v>
      </x:c>
      <x:c r="G1225" s="5" t="str">
        <x:v>WQ</x:v>
      </x:c>
    </x:row>
    <x:row r="1226" ht="36" customHeight="1">
      <x:c r="A1226" s="5" t="str">
        <x:v>UF-0015</x:v>
      </x:c>
      <x:c r="B1226" s="5" t="str">
        <x:v>Unternehmensführung</x:v>
      </x:c>
      <x:c r="C1226" s="11" t="n">
        <x:v>1</x:v>
      </x:c>
      <x:c r="D1226" s="11" t="n">
        <x:f>COUNTIF('Einzel-ID-Zuordnung'!$A$7:$A$2692,A1226)</x:f>
        <x:v>1</x:v>
      </x:c>
      <x:c r="E1226" s="11" t="n">
        <x:f>D1226-C1226</x:f>
        <x:v>0</x:v>
      </x:c>
      <x:c r="F1226" s="5" t="str">
        <x:v>nicht Pilot</x:v>
      </x:c>
      <x:c r="G1226" s="5" t="str">
        <x:v>WQ</x:v>
      </x:c>
    </x:row>
    <x:row r="1227" ht="36" customHeight="1">
      <x:c r="A1227" s="5" t="str">
        <x:v>UF-0016</x:v>
      </x:c>
      <x:c r="B1227" s="5" t="str">
        <x:v>Unternehmensführung</x:v>
      </x:c>
      <x:c r="C1227" s="11" t="n">
        <x:v>1</x:v>
      </x:c>
      <x:c r="D1227" s="11" t="n">
        <x:f>COUNTIF('Einzel-ID-Zuordnung'!$A$7:$A$2692,A1227)</x:f>
        <x:v>1</x:v>
      </x:c>
      <x:c r="E1227" s="11" t="n">
        <x:f>D1227-C1227</x:f>
        <x:v>0</x:v>
      </x:c>
      <x:c r="F1227" s="5" t="str">
        <x:v>nicht Pilot</x:v>
      </x:c>
      <x:c r="G1227" s="5" t="str">
        <x:v>WQ</x:v>
      </x:c>
    </x:row>
    <x:row r="1228" ht="36" customHeight="1">
      <x:c r="A1228" s="5" t="str">
        <x:v>UF-0017</x:v>
      </x:c>
      <x:c r="B1228" s="5" t="str">
        <x:v>Unternehmensführung</x:v>
      </x:c>
      <x:c r="C1228" s="11" t="n">
        <x:v>1</x:v>
      </x:c>
      <x:c r="D1228" s="11" t="n">
        <x:f>COUNTIF('Einzel-ID-Zuordnung'!$A$7:$A$2692,A1228)</x:f>
        <x:v>1</x:v>
      </x:c>
      <x:c r="E1228" s="11" t="n">
        <x:f>D1228-C1228</x:f>
        <x:v>0</x:v>
      </x:c>
      <x:c r="F1228" s="5" t="str">
        <x:v>nicht Pilot</x:v>
      </x:c>
      <x:c r="G1228" s="5" t="str">
        <x:v>WQ</x:v>
      </x:c>
    </x:row>
    <x:row r="1229" ht="36" customHeight="1">
      <x:c r="A1229" s="5" t="str">
        <x:v>UF-0018</x:v>
      </x:c>
      <x:c r="B1229" s="5" t="str">
        <x:v>Unternehmensführung</x:v>
      </x:c>
      <x:c r="C1229" s="11" t="n">
        <x:v>1</x:v>
      </x:c>
      <x:c r="D1229" s="11" t="n">
        <x:f>COUNTIF('Einzel-ID-Zuordnung'!$A$7:$A$2692,A1229)</x:f>
        <x:v>1</x:v>
      </x:c>
      <x:c r="E1229" s="11" t="n">
        <x:f>D1229-C1229</x:f>
        <x:v>0</x:v>
      </x:c>
      <x:c r="F1229" s="5" t="str">
        <x:v>nicht Pilot</x:v>
      </x:c>
      <x:c r="G1229" s="5" t="str">
        <x:v>WQ</x:v>
      </x:c>
    </x:row>
    <x:row r="1230" ht="36" customHeight="1">
      <x:c r="A1230" s="5" t="str">
        <x:v>UF-0019</x:v>
      </x:c>
      <x:c r="B1230" s="5" t="str">
        <x:v>Unternehmensführung</x:v>
      </x:c>
      <x:c r="C1230" s="11" t="n">
        <x:v>1</x:v>
      </x:c>
      <x:c r="D1230" s="11" t="n">
        <x:f>COUNTIF('Einzel-ID-Zuordnung'!$A$7:$A$2692,A1230)</x:f>
        <x:v>1</x:v>
      </x:c>
      <x:c r="E1230" s="11" t="n">
        <x:f>D1230-C1230</x:f>
        <x:v>0</x:v>
      </x:c>
      <x:c r="F1230" s="5" t="str">
        <x:v>nicht Pilot</x:v>
      </x:c>
      <x:c r="G1230" s="5" t="str">
        <x:v>WQ</x:v>
      </x:c>
    </x:row>
    <x:row r="1231" ht="36" customHeight="1">
      <x:c r="A1231" s="5" t="str">
        <x:v>UF-0020</x:v>
      </x:c>
      <x:c r="B1231" s="5" t="str">
        <x:v>Unternehmensführung</x:v>
      </x:c>
      <x:c r="C1231" s="11" t="n">
        <x:v>1</x:v>
      </x:c>
      <x:c r="D1231" s="11" t="n">
        <x:f>COUNTIF('Einzel-ID-Zuordnung'!$A$7:$A$2692,A1231)</x:f>
        <x:v>1</x:v>
      </x:c>
      <x:c r="E1231" s="11" t="n">
        <x:f>D1231-C1231</x:f>
        <x:v>0</x:v>
      </x:c>
      <x:c r="F1231" s="5" t="str">
        <x:v>nicht Pilot</x:v>
      </x:c>
      <x:c r="G1231" s="5" t="str">
        <x:v>WQ</x:v>
      </x:c>
    </x:row>
    <x:row r="1232" ht="36" customHeight="1">
      <x:c r="A1232" s="5" t="str">
        <x:v>UF-0021</x:v>
      </x:c>
      <x:c r="B1232" s="5" t="str">
        <x:v>Unternehmensführung</x:v>
      </x:c>
      <x:c r="C1232" s="11" t="n">
        <x:v>1</x:v>
      </x:c>
      <x:c r="D1232" s="11" t="n">
        <x:f>COUNTIF('Einzel-ID-Zuordnung'!$A$7:$A$2692,A1232)</x:f>
        <x:v>1</x:v>
      </x:c>
      <x:c r="E1232" s="11" t="n">
        <x:f>D1232-C1232</x:f>
        <x:v>0</x:v>
      </x:c>
      <x:c r="F1232" s="5" t="str">
        <x:v>nicht Pilot</x:v>
      </x:c>
      <x:c r="G1232" s="5" t="str">
        <x:v>WQ</x:v>
      </x:c>
    </x:row>
    <x:row r="1233" ht="36" customHeight="1">
      <x:c r="A1233" s="5" t="str">
        <x:v>UF-0022</x:v>
      </x:c>
      <x:c r="B1233" s="5" t="str">
        <x:v>Unternehmensführung</x:v>
      </x:c>
      <x:c r="C1233" s="11" t="n">
        <x:v>1</x:v>
      </x:c>
      <x:c r="D1233" s="11" t="n">
        <x:f>COUNTIF('Einzel-ID-Zuordnung'!$A$7:$A$2692,A1233)</x:f>
        <x:v>1</x:v>
      </x:c>
      <x:c r="E1233" s="11" t="n">
        <x:f>D1233-C1233</x:f>
        <x:v>0</x:v>
      </x:c>
      <x:c r="F1233" s="5" t="str">
        <x:v>nicht Pilot</x:v>
      </x:c>
      <x:c r="G1233" s="5" t="str">
        <x:v>WQ</x:v>
      </x:c>
    </x:row>
    <x:row r="1234" ht="36" customHeight="1">
      <x:c r="A1234" s="5" t="str">
        <x:v>UF-0023</x:v>
      </x:c>
      <x:c r="B1234" s="5" t="str">
        <x:v>Unternehmensführung</x:v>
      </x:c>
      <x:c r="C1234" s="11" t="n">
        <x:v>1</x:v>
      </x:c>
      <x:c r="D1234" s="11" t="n">
        <x:f>COUNTIF('Einzel-ID-Zuordnung'!$A$7:$A$2692,A1234)</x:f>
        <x:v>1</x:v>
      </x:c>
      <x:c r="E1234" s="11" t="n">
        <x:f>D1234-C1234</x:f>
        <x:v>0</x:v>
      </x:c>
      <x:c r="F1234" s="5" t="str">
        <x:v>nicht Pilot</x:v>
      </x:c>
      <x:c r="G1234" s="5" t="str">
        <x:v>WQ</x:v>
      </x:c>
    </x:row>
    <x:row r="1235" ht="36" customHeight="1">
      <x:c r="A1235" s="5" t="str">
        <x:v>UF-0024</x:v>
      </x:c>
      <x:c r="B1235" s="5" t="str">
        <x:v>Unternehmensführung</x:v>
      </x:c>
      <x:c r="C1235" s="11" t="n">
        <x:v>1</x:v>
      </x:c>
      <x:c r="D1235" s="11" t="n">
        <x:f>COUNTIF('Einzel-ID-Zuordnung'!$A$7:$A$2692,A1235)</x:f>
        <x:v>1</x:v>
      </x:c>
      <x:c r="E1235" s="11" t="n">
        <x:f>D1235-C1235</x:f>
        <x:v>0</x:v>
      </x:c>
      <x:c r="F1235" s="5" t="str">
        <x:v>nicht Pilot</x:v>
      </x:c>
      <x:c r="G1235" s="5" t="str">
        <x:v>WQ</x:v>
      </x:c>
    </x:row>
    <x:row r="1236" ht="36" customHeight="1">
      <x:c r="A1236" s="5" t="str">
        <x:v>UF-0025</x:v>
      </x:c>
      <x:c r="B1236" s="5" t="str">
        <x:v>Unternehmensführung</x:v>
      </x:c>
      <x:c r="C1236" s="11" t="n">
        <x:v>1</x:v>
      </x:c>
      <x:c r="D1236" s="11" t="n">
        <x:f>COUNTIF('Einzel-ID-Zuordnung'!$A$7:$A$2692,A1236)</x:f>
        <x:v>1</x:v>
      </x:c>
      <x:c r="E1236" s="11" t="n">
        <x:f>D1236-C1236</x:f>
        <x:v>0</x:v>
      </x:c>
      <x:c r="F1236" s="5" t="str">
        <x:v>nicht Pilot</x:v>
      </x:c>
      <x:c r="G1236" s="5" t="str">
        <x:v>WQ</x:v>
      </x:c>
    </x:row>
    <x:row r="1237" ht="36" customHeight="1">
      <x:c r="A1237" s="5" t="str">
        <x:v>UF-0026</x:v>
      </x:c>
      <x:c r="B1237" s="5" t="str">
        <x:v>Unternehmensführung</x:v>
      </x:c>
      <x:c r="C1237" s="11" t="n">
        <x:v>1</x:v>
      </x:c>
      <x:c r="D1237" s="11" t="n">
        <x:f>COUNTIF('Einzel-ID-Zuordnung'!$A$7:$A$2692,A1237)</x:f>
        <x:v>1</x:v>
      </x:c>
      <x:c r="E1237" s="11" t="n">
        <x:f>D1237-C1237</x:f>
        <x:v>0</x:v>
      </x:c>
      <x:c r="F1237" s="5" t="str">
        <x:v>nicht Pilot</x:v>
      </x:c>
      <x:c r="G1237" s="5" t="str">
        <x:v>WQ</x:v>
      </x:c>
    </x:row>
    <x:row r="1238" ht="36" customHeight="1">
      <x:c r="A1238" s="5" t="str">
        <x:v>UF-0027</x:v>
      </x:c>
      <x:c r="B1238" s="5" t="str">
        <x:v>Unternehmensführung</x:v>
      </x:c>
      <x:c r="C1238" s="11" t="n">
        <x:v>1</x:v>
      </x:c>
      <x:c r="D1238" s="11" t="n">
        <x:f>COUNTIF('Einzel-ID-Zuordnung'!$A$7:$A$2692,A1238)</x:f>
        <x:v>1</x:v>
      </x:c>
      <x:c r="E1238" s="11" t="n">
        <x:f>D1238-C1238</x:f>
        <x:v>0</x:v>
      </x:c>
      <x:c r="F1238" s="5" t="str">
        <x:v>nicht Pilot</x:v>
      </x:c>
      <x:c r="G1238" s="5" t="str">
        <x:v>WQ</x:v>
      </x:c>
    </x:row>
    <x:row r="1239" ht="36" customHeight="1">
      <x:c r="A1239" s="5" t="str">
        <x:v>UF-0028</x:v>
      </x:c>
      <x:c r="B1239" s="5" t="str">
        <x:v>Unternehmensführung</x:v>
      </x:c>
      <x:c r="C1239" s="11" t="n">
        <x:v>1</x:v>
      </x:c>
      <x:c r="D1239" s="11" t="n">
        <x:f>COUNTIF('Einzel-ID-Zuordnung'!$A$7:$A$2692,A1239)</x:f>
        <x:v>1</x:v>
      </x:c>
      <x:c r="E1239" s="11" t="n">
        <x:f>D1239-C1239</x:f>
        <x:v>0</x:v>
      </x:c>
      <x:c r="F1239" s="5" t="str">
        <x:v>nicht Pilot</x:v>
      </x:c>
      <x:c r="G1239" s="5" t="str">
        <x:v>WQ</x:v>
      </x:c>
    </x:row>
    <x:row r="1240" ht="36" customHeight="1">
      <x:c r="A1240" s="5" t="str">
        <x:v>UF-0029</x:v>
      </x:c>
      <x:c r="B1240" s="5" t="str">
        <x:v>Unternehmensführung</x:v>
      </x:c>
      <x:c r="C1240" s="11" t="n">
        <x:v>1</x:v>
      </x:c>
      <x:c r="D1240" s="11" t="n">
        <x:f>COUNTIF('Einzel-ID-Zuordnung'!$A$7:$A$2692,A1240)</x:f>
        <x:v>1</x:v>
      </x:c>
      <x:c r="E1240" s="11" t="n">
        <x:f>D1240-C1240</x:f>
        <x:v>0</x:v>
      </x:c>
      <x:c r="F1240" s="5" t="str">
        <x:v>nicht Pilot</x:v>
      </x:c>
      <x:c r="G1240" s="5" t="str">
        <x:v>WQ</x:v>
      </x:c>
    </x:row>
    <x:row r="1241" ht="36" customHeight="1">
      <x:c r="A1241" s="5" t="str">
        <x:v>UF-0030</x:v>
      </x:c>
      <x:c r="B1241" s="5" t="str">
        <x:v>Unternehmensführung</x:v>
      </x:c>
      <x:c r="C1241" s="11" t="n">
        <x:v>1</x:v>
      </x:c>
      <x:c r="D1241" s="11" t="n">
        <x:f>COUNTIF('Einzel-ID-Zuordnung'!$A$7:$A$2692,A1241)</x:f>
        <x:v>1</x:v>
      </x:c>
      <x:c r="E1241" s="11" t="n">
        <x:f>D1241-C1241</x:f>
        <x:v>0</x:v>
      </x:c>
      <x:c r="F1241" s="5" t="str">
        <x:v>nicht Pilot</x:v>
      </x:c>
      <x:c r="G1241" s="5" t="str">
        <x:v>WQ</x:v>
      </x:c>
    </x:row>
    <x:row r="1242" ht="36" customHeight="1">
      <x:c r="A1242" s="5" t="str">
        <x:v>UF-0031</x:v>
      </x:c>
      <x:c r="B1242" s="5" t="str">
        <x:v>Unternehmensführung</x:v>
      </x:c>
      <x:c r="C1242" s="11" t="n">
        <x:v>1</x:v>
      </x:c>
      <x:c r="D1242" s="11" t="n">
        <x:f>COUNTIF('Einzel-ID-Zuordnung'!$A$7:$A$2692,A1242)</x:f>
        <x:v>1</x:v>
      </x:c>
      <x:c r="E1242" s="11" t="n">
        <x:f>D1242-C1242</x:f>
        <x:v>0</x:v>
      </x:c>
      <x:c r="F1242" s="5" t="str">
        <x:v>nicht Pilot</x:v>
      </x:c>
      <x:c r="G1242" s="5" t="str">
        <x:v>WQ</x:v>
      </x:c>
    </x:row>
    <x:row r="1243" ht="36" customHeight="1">
      <x:c r="A1243" s="5" t="str">
        <x:v>UF-0032</x:v>
      </x:c>
      <x:c r="B1243" s="5" t="str">
        <x:v>Unternehmensführung</x:v>
      </x:c>
      <x:c r="C1243" s="11" t="n">
        <x:v>1</x:v>
      </x:c>
      <x:c r="D1243" s="11" t="n">
        <x:f>COUNTIF('Einzel-ID-Zuordnung'!$A$7:$A$2692,A1243)</x:f>
        <x:v>1</x:v>
      </x:c>
      <x:c r="E1243" s="11" t="n">
        <x:f>D1243-C1243</x:f>
        <x:v>0</x:v>
      </x:c>
      <x:c r="F1243" s="5" t="str">
        <x:v>nicht Pilot</x:v>
      </x:c>
      <x:c r="G1243" s="5" t="str">
        <x:v>WQ</x:v>
      </x:c>
    </x:row>
    <x:row r="1244" ht="36" customHeight="1">
      <x:c r="A1244" s="5" t="str">
        <x:v>UF-0033</x:v>
      </x:c>
      <x:c r="B1244" s="5" t="str">
        <x:v>Unternehmensführung</x:v>
      </x:c>
      <x:c r="C1244" s="11" t="n">
        <x:v>1</x:v>
      </x:c>
      <x:c r="D1244" s="11" t="n">
        <x:f>COUNTIF('Einzel-ID-Zuordnung'!$A$7:$A$2692,A1244)</x:f>
        <x:v>1</x:v>
      </x:c>
      <x:c r="E1244" s="11" t="n">
        <x:f>D1244-C1244</x:f>
        <x:v>0</x:v>
      </x:c>
      <x:c r="F1244" s="5" t="str">
        <x:v>nicht Pilot</x:v>
      </x:c>
      <x:c r="G1244" s="5" t="str">
        <x:v>WQ</x:v>
      </x:c>
    </x:row>
    <x:row r="1245" ht="36" customHeight="1">
      <x:c r="A1245" s="5" t="str">
        <x:v>UF-0034</x:v>
      </x:c>
      <x:c r="B1245" s="5" t="str">
        <x:v>Unternehmensführung</x:v>
      </x:c>
      <x:c r="C1245" s="11" t="n">
        <x:v>1</x:v>
      </x:c>
      <x:c r="D1245" s="11" t="n">
        <x:f>COUNTIF('Einzel-ID-Zuordnung'!$A$7:$A$2692,A1245)</x:f>
        <x:v>1</x:v>
      </x:c>
      <x:c r="E1245" s="11" t="n">
        <x:f>D1245-C1245</x:f>
        <x:v>0</x:v>
      </x:c>
      <x:c r="F1245" s="5" t="str">
        <x:v>nicht Pilot</x:v>
      </x:c>
      <x:c r="G1245" s="5" t="str">
        <x:v>WQ</x:v>
      </x:c>
    </x:row>
    <x:row r="1246" ht="36" customHeight="1">
      <x:c r="A1246" s="5" t="str">
        <x:v>UF-0035</x:v>
      </x:c>
      <x:c r="B1246" s="5" t="str">
        <x:v>Unternehmensführung</x:v>
      </x:c>
      <x:c r="C1246" s="11" t="n">
        <x:v>1</x:v>
      </x:c>
      <x:c r="D1246" s="11" t="n">
        <x:f>COUNTIF('Einzel-ID-Zuordnung'!$A$7:$A$2692,A1246)</x:f>
        <x:v>1</x:v>
      </x:c>
      <x:c r="E1246" s="11" t="n">
        <x:f>D1246-C1246</x:f>
        <x:v>0</x:v>
      </x:c>
      <x:c r="F1246" s="5" t="str">
        <x:v>nicht Pilot</x:v>
      </x:c>
      <x:c r="G1246" s="5" t="str">
        <x:v>WQ</x:v>
      </x:c>
    </x:row>
    <x:row r="1247" ht="36" customHeight="1">
      <x:c r="A1247" s="5" t="str">
        <x:v>UF-0036</x:v>
      </x:c>
      <x:c r="B1247" s="5" t="str">
        <x:v>Unternehmensführung</x:v>
      </x:c>
      <x:c r="C1247" s="11" t="n">
        <x:v>1</x:v>
      </x:c>
      <x:c r="D1247" s="11" t="n">
        <x:f>COUNTIF('Einzel-ID-Zuordnung'!$A$7:$A$2692,A1247)</x:f>
        <x:v>1</x:v>
      </x:c>
      <x:c r="E1247" s="11" t="n">
        <x:f>D1247-C1247</x:f>
        <x:v>0</x:v>
      </x:c>
      <x:c r="F1247" s="5" t="str">
        <x:v>nicht Pilot</x:v>
      </x:c>
      <x:c r="G1247" s="5" t="str">
        <x:v>WQ</x:v>
      </x:c>
    </x:row>
    <x:row r="1248" ht="36" customHeight="1">
      <x:c r="A1248" s="5" t="str">
        <x:v>UF-0037</x:v>
      </x:c>
      <x:c r="B1248" s="5" t="str">
        <x:v>Unternehmensführung</x:v>
      </x:c>
      <x:c r="C1248" s="11" t="n">
        <x:v>1</x:v>
      </x:c>
      <x:c r="D1248" s="11" t="n">
        <x:f>COUNTIF('Einzel-ID-Zuordnung'!$A$7:$A$2692,A1248)</x:f>
        <x:v>1</x:v>
      </x:c>
      <x:c r="E1248" s="11" t="n">
        <x:f>D1248-C1248</x:f>
        <x:v>0</x:v>
      </x:c>
      <x:c r="F1248" s="5" t="str">
        <x:v>nicht Pilot</x:v>
      </x:c>
      <x:c r="G1248" s="5" t="str">
        <x:v>WQ</x:v>
      </x:c>
    </x:row>
    <x:row r="1249" ht="36" customHeight="1">
      <x:c r="A1249" s="5" t="str">
        <x:v>UF-0038</x:v>
      </x:c>
      <x:c r="B1249" s="5" t="str">
        <x:v>Unternehmensführung</x:v>
      </x:c>
      <x:c r="C1249" s="11" t="n">
        <x:v>1</x:v>
      </x:c>
      <x:c r="D1249" s="11" t="n">
        <x:f>COUNTIF('Einzel-ID-Zuordnung'!$A$7:$A$2692,A1249)</x:f>
        <x:v>1</x:v>
      </x:c>
      <x:c r="E1249" s="11" t="n">
        <x:f>D1249-C1249</x:f>
        <x:v>0</x:v>
      </x:c>
      <x:c r="F1249" s="5" t="str">
        <x:v>nicht Pilot</x:v>
      </x:c>
      <x:c r="G1249" s="5" t="str">
        <x:v>WQ</x:v>
      </x:c>
    </x:row>
    <x:row r="1250" ht="36" customHeight="1">
      <x:c r="A1250" s="5" t="str">
        <x:v>UF-0039</x:v>
      </x:c>
      <x:c r="B1250" s="5" t="str">
        <x:v>Unternehmensführung</x:v>
      </x:c>
      <x:c r="C1250" s="11" t="n">
        <x:v>1</x:v>
      </x:c>
      <x:c r="D1250" s="11" t="n">
        <x:f>COUNTIF('Einzel-ID-Zuordnung'!$A$7:$A$2692,A1250)</x:f>
        <x:v>1</x:v>
      </x:c>
      <x:c r="E1250" s="11" t="n">
        <x:f>D1250-C1250</x:f>
        <x:v>0</x:v>
      </x:c>
      <x:c r="F1250" s="5" t="str">
        <x:v>nicht Pilot</x:v>
      </x:c>
      <x:c r="G1250" s="5" t="str">
        <x:v>WQ</x:v>
      </x:c>
    </x:row>
    <x:row r="1251" ht="36" customHeight="1">
      <x:c r="A1251" s="5" t="str">
        <x:v>UF-0040</x:v>
      </x:c>
      <x:c r="B1251" s="5" t="str">
        <x:v>Unternehmensführung</x:v>
      </x:c>
      <x:c r="C1251" s="11" t="n">
        <x:v>1</x:v>
      </x:c>
      <x:c r="D1251" s="11" t="n">
        <x:f>COUNTIF('Einzel-ID-Zuordnung'!$A$7:$A$2692,A1251)</x:f>
        <x:v>1</x:v>
      </x:c>
      <x:c r="E1251" s="11" t="n">
        <x:f>D1251-C1251</x:f>
        <x:v>0</x:v>
      </x:c>
      <x:c r="F1251" s="5" t="str">
        <x:v>nicht Pilot</x:v>
      </x:c>
      <x:c r="G1251" s="5" t="str">
        <x:v>WQ</x:v>
      </x:c>
    </x:row>
    <x:row r="1252" ht="36" customHeight="1">
      <x:c r="A1252" s="5" t="str">
        <x:v>UF-0041</x:v>
      </x:c>
      <x:c r="B1252" s="5" t="str">
        <x:v>Unternehmensführung</x:v>
      </x:c>
      <x:c r="C1252" s="11" t="n">
        <x:v>1</x:v>
      </x:c>
      <x:c r="D1252" s="11" t="n">
        <x:f>COUNTIF('Einzel-ID-Zuordnung'!$A$7:$A$2692,A1252)</x:f>
        <x:v>1</x:v>
      </x:c>
      <x:c r="E1252" s="11" t="n">
        <x:f>D1252-C1252</x:f>
        <x:v>0</x:v>
      </x:c>
      <x:c r="F1252" s="5" t="str">
        <x:v>nicht Pilot</x:v>
      </x:c>
      <x:c r="G1252" s="5" t="str">
        <x:v>WQ</x:v>
      </x:c>
    </x:row>
    <x:row r="1253" ht="36" customHeight="1">
      <x:c r="A1253" s="5" t="str">
        <x:v>UF-0042</x:v>
      </x:c>
      <x:c r="B1253" s="5" t="str">
        <x:v>Unternehmensführung</x:v>
      </x:c>
      <x:c r="C1253" s="11" t="n">
        <x:v>1</x:v>
      </x:c>
      <x:c r="D1253" s="11" t="n">
        <x:f>COUNTIF('Einzel-ID-Zuordnung'!$A$7:$A$2692,A1253)</x:f>
        <x:v>1</x:v>
      </x:c>
      <x:c r="E1253" s="11" t="n">
        <x:f>D1253-C1253</x:f>
        <x:v>0</x:v>
      </x:c>
      <x:c r="F1253" s="5" t="str">
        <x:v>nicht Pilot</x:v>
      </x:c>
      <x:c r="G1253" s="5" t="str">
        <x:v>WQ</x:v>
      </x:c>
    </x:row>
    <x:row r="1254" ht="36" customHeight="1">
      <x:c r="A1254" s="5" t="str">
        <x:v>UF-0043</x:v>
      </x:c>
      <x:c r="B1254" s="5" t="str">
        <x:v>Unternehmensführung</x:v>
      </x:c>
      <x:c r="C1254" s="11" t="n">
        <x:v>1</x:v>
      </x:c>
      <x:c r="D1254" s="11" t="n">
        <x:f>COUNTIF('Einzel-ID-Zuordnung'!$A$7:$A$2692,A1254)</x:f>
        <x:v>1</x:v>
      </x:c>
      <x:c r="E1254" s="11" t="n">
        <x:f>D1254-C1254</x:f>
        <x:v>0</x:v>
      </x:c>
      <x:c r="F1254" s="5" t="str">
        <x:v>nicht Pilot</x:v>
      </x:c>
      <x:c r="G1254" s="5" t="str">
        <x:v>WQ</x:v>
      </x:c>
    </x:row>
    <x:row r="1255" ht="36" customHeight="1">
      <x:c r="A1255" s="5" t="str">
        <x:v>UF-0044</x:v>
      </x:c>
      <x:c r="B1255" s="5" t="str">
        <x:v>Unternehmensführung</x:v>
      </x:c>
      <x:c r="C1255" s="11" t="n">
        <x:v>1</x:v>
      </x:c>
      <x:c r="D1255" s="11" t="n">
        <x:f>COUNTIF('Einzel-ID-Zuordnung'!$A$7:$A$2692,A1255)</x:f>
        <x:v>1</x:v>
      </x:c>
      <x:c r="E1255" s="11" t="n">
        <x:f>D1255-C1255</x:f>
        <x:v>0</x:v>
      </x:c>
      <x:c r="F1255" s="5" t="str">
        <x:v>nicht Pilot</x:v>
      </x:c>
      <x:c r="G1255" s="5" t="str">
        <x:v>WQ</x:v>
      </x:c>
    </x:row>
    <x:row r="1256" ht="36" customHeight="1">
      <x:c r="A1256" s="5" t="str">
        <x:v>UF-0045</x:v>
      </x:c>
      <x:c r="B1256" s="5" t="str">
        <x:v>Unternehmensführung</x:v>
      </x:c>
      <x:c r="C1256" s="11" t="n">
        <x:v>1</x:v>
      </x:c>
      <x:c r="D1256" s="11" t="n">
        <x:f>COUNTIF('Einzel-ID-Zuordnung'!$A$7:$A$2692,A1256)</x:f>
        <x:v>1</x:v>
      </x:c>
      <x:c r="E1256" s="11" t="n">
        <x:f>D1256-C1256</x:f>
        <x:v>0</x:v>
      </x:c>
      <x:c r="F1256" s="5" t="str">
        <x:v>nicht Pilot</x:v>
      </x:c>
      <x:c r="G1256" s="5" t="str">
        <x:v>WQ</x:v>
      </x:c>
    </x:row>
    <x:row r="1257" ht="36" customHeight="1">
      <x:c r="A1257" s="5" t="str">
        <x:v>UF-0046</x:v>
      </x:c>
      <x:c r="B1257" s="5" t="str">
        <x:v>Unternehmensführung</x:v>
      </x:c>
      <x:c r="C1257" s="11" t="n">
        <x:v>1</x:v>
      </x:c>
      <x:c r="D1257" s="11" t="n">
        <x:f>COUNTIF('Einzel-ID-Zuordnung'!$A$7:$A$2692,A1257)</x:f>
        <x:v>1</x:v>
      </x:c>
      <x:c r="E1257" s="11" t="n">
        <x:f>D1257-C1257</x:f>
        <x:v>0</x:v>
      </x:c>
      <x:c r="F1257" s="5" t="str">
        <x:v>nicht Pilot</x:v>
      </x:c>
      <x:c r="G1257" s="5" t="str">
        <x:v>WQ</x:v>
      </x:c>
    </x:row>
    <x:row r="1258" ht="36" customHeight="1">
      <x:c r="A1258" s="5" t="str">
        <x:v>UF-0047</x:v>
      </x:c>
      <x:c r="B1258" s="5" t="str">
        <x:v>Unternehmensführung</x:v>
      </x:c>
      <x:c r="C1258" s="11" t="n">
        <x:v>1</x:v>
      </x:c>
      <x:c r="D1258" s="11" t="n">
        <x:f>COUNTIF('Einzel-ID-Zuordnung'!$A$7:$A$2692,A1258)</x:f>
        <x:v>1</x:v>
      </x:c>
      <x:c r="E1258" s="11" t="n">
        <x:f>D1258-C1258</x:f>
        <x:v>0</x:v>
      </x:c>
      <x:c r="F1258" s="5" t="str">
        <x:v>nicht Pilot</x:v>
      </x:c>
      <x:c r="G1258" s="5" t="str">
        <x:v>WQ</x:v>
      </x:c>
    </x:row>
    <x:row r="1259" ht="36" customHeight="1">
      <x:c r="A1259" s="5" t="str">
        <x:v>UF-0048</x:v>
      </x:c>
      <x:c r="B1259" s="5" t="str">
        <x:v>Unternehmensführung</x:v>
      </x:c>
      <x:c r="C1259" s="11" t="n">
        <x:v>1</x:v>
      </x:c>
      <x:c r="D1259" s="11" t="n">
        <x:f>COUNTIF('Einzel-ID-Zuordnung'!$A$7:$A$2692,A1259)</x:f>
        <x:v>1</x:v>
      </x:c>
      <x:c r="E1259" s="11" t="n">
        <x:f>D1259-C1259</x:f>
        <x:v>0</x:v>
      </x:c>
      <x:c r="F1259" s="5" t="str">
        <x:v>nicht Pilot</x:v>
      </x:c>
      <x:c r="G1259" s="5" t="str">
        <x:v>WQ</x:v>
      </x:c>
    </x:row>
    <x:row r="1260" ht="36" customHeight="1">
      <x:c r="A1260" s="5" t="str">
        <x:v>UF-0049</x:v>
      </x:c>
      <x:c r="B1260" s="5" t="str">
        <x:v>Unternehmensführung</x:v>
      </x:c>
      <x:c r="C1260" s="11" t="n">
        <x:v>1</x:v>
      </x:c>
      <x:c r="D1260" s="11" t="n">
        <x:f>COUNTIF('Einzel-ID-Zuordnung'!$A$7:$A$2692,A1260)</x:f>
        <x:v>1</x:v>
      </x:c>
      <x:c r="E1260" s="11" t="n">
        <x:f>D1260-C1260</x:f>
        <x:v>0</x:v>
      </x:c>
      <x:c r="F1260" s="5" t="str">
        <x:v>nicht Pilot</x:v>
      </x:c>
      <x:c r="G1260" s="5" t="str">
        <x:v>WQ</x:v>
      </x:c>
    </x:row>
    <x:row r="1261" ht="36" customHeight="1">
      <x:c r="A1261" s="5" t="str">
        <x:v>UF-0050</x:v>
      </x:c>
      <x:c r="B1261" s="5" t="str">
        <x:v>Unternehmensführung</x:v>
      </x:c>
      <x:c r="C1261" s="11" t="n">
        <x:v>1</x:v>
      </x:c>
      <x:c r="D1261" s="11" t="n">
        <x:f>COUNTIF('Einzel-ID-Zuordnung'!$A$7:$A$2692,A1261)</x:f>
        <x:v>1</x:v>
      </x:c>
      <x:c r="E1261" s="11" t="n">
        <x:f>D1261-C1261</x:f>
        <x:v>0</x:v>
      </x:c>
      <x:c r="F1261" s="5" t="str">
        <x:v>nicht Pilot</x:v>
      </x:c>
      <x:c r="G1261" s="5" t="str">
        <x:v>WQ</x:v>
      </x:c>
    </x:row>
    <x:row r="1262" ht="36" customHeight="1">
      <x:c r="A1262" s="5" t="str">
        <x:v>UF-0051</x:v>
      </x:c>
      <x:c r="B1262" s="5" t="str">
        <x:v>Unternehmensführung</x:v>
      </x:c>
      <x:c r="C1262" s="11" t="n">
        <x:v>1</x:v>
      </x:c>
      <x:c r="D1262" s="11" t="n">
        <x:f>COUNTIF('Einzel-ID-Zuordnung'!$A$7:$A$2692,A1262)</x:f>
        <x:v>1</x:v>
      </x:c>
      <x:c r="E1262" s="11" t="n">
        <x:f>D1262-C1262</x:f>
        <x:v>0</x:v>
      </x:c>
      <x:c r="F1262" s="5" t="str">
        <x:v>nicht Pilot</x:v>
      </x:c>
      <x:c r="G1262" s="5" t="str">
        <x:v>WQ</x:v>
      </x:c>
    </x:row>
    <x:row r="1263" ht="36" customHeight="1">
      <x:c r="A1263" s="5" t="str">
        <x:v>UF-0052</x:v>
      </x:c>
      <x:c r="B1263" s="5" t="str">
        <x:v>Unternehmensführung</x:v>
      </x:c>
      <x:c r="C1263" s="11" t="n">
        <x:v>1</x:v>
      </x:c>
      <x:c r="D1263" s="11" t="n">
        <x:f>COUNTIF('Einzel-ID-Zuordnung'!$A$7:$A$2692,A1263)</x:f>
        <x:v>1</x:v>
      </x:c>
      <x:c r="E1263" s="11" t="n">
        <x:f>D1263-C1263</x:f>
        <x:v>0</x:v>
      </x:c>
      <x:c r="F1263" s="5" t="str">
        <x:v>nicht Pilot</x:v>
      </x:c>
      <x:c r="G1263" s="5" t="str">
        <x:v>WQ</x:v>
      </x:c>
    </x:row>
    <x:row r="1264" ht="36" customHeight="1">
      <x:c r="A1264" s="5" t="str">
        <x:v>UF-0053</x:v>
      </x:c>
      <x:c r="B1264" s="5" t="str">
        <x:v>Unternehmensführung</x:v>
      </x:c>
      <x:c r="C1264" s="11" t="n">
        <x:v>1</x:v>
      </x:c>
      <x:c r="D1264" s="11" t="n">
        <x:f>COUNTIF('Einzel-ID-Zuordnung'!$A$7:$A$2692,A1264)</x:f>
        <x:v>1</x:v>
      </x:c>
      <x:c r="E1264" s="11" t="n">
        <x:f>D1264-C1264</x:f>
        <x:v>0</x:v>
      </x:c>
      <x:c r="F1264" s="5" t="str">
        <x:v>nicht Pilot</x:v>
      </x:c>
      <x:c r="G1264" s="5" t="str">
        <x:v>WQ</x:v>
      </x:c>
    </x:row>
    <x:row r="1265" ht="36" customHeight="1">
      <x:c r="A1265" s="5" t="str">
        <x:v>UF-0054</x:v>
      </x:c>
      <x:c r="B1265" s="5" t="str">
        <x:v>Unternehmensführung</x:v>
      </x:c>
      <x:c r="C1265" s="11" t="n">
        <x:v>1</x:v>
      </x:c>
      <x:c r="D1265" s="11" t="n">
        <x:f>COUNTIF('Einzel-ID-Zuordnung'!$A$7:$A$2692,A1265)</x:f>
        <x:v>1</x:v>
      </x:c>
      <x:c r="E1265" s="11" t="n">
        <x:f>D1265-C1265</x:f>
        <x:v>0</x:v>
      </x:c>
      <x:c r="F1265" s="5" t="str">
        <x:v>nicht Pilot</x:v>
      </x:c>
      <x:c r="G1265" s="5" t="str">
        <x:v>WQ</x:v>
      </x:c>
    </x:row>
    <x:row r="1266" ht="36" customHeight="1">
      <x:c r="A1266" s="5" t="str">
        <x:v>UF-0055</x:v>
      </x:c>
      <x:c r="B1266" s="5" t="str">
        <x:v>Unternehmensführung</x:v>
      </x:c>
      <x:c r="C1266" s="11" t="n">
        <x:v>1</x:v>
      </x:c>
      <x:c r="D1266" s="11" t="n">
        <x:f>COUNTIF('Einzel-ID-Zuordnung'!$A$7:$A$2692,A1266)</x:f>
        <x:v>1</x:v>
      </x:c>
      <x:c r="E1266" s="11" t="n">
        <x:f>D1266-C1266</x:f>
        <x:v>0</x:v>
      </x:c>
      <x:c r="F1266" s="5" t="str">
        <x:v>nicht Pilot</x:v>
      </x:c>
      <x:c r="G1266" s="5" t="str">
        <x:v>WQ</x:v>
      </x:c>
    </x:row>
    <x:row r="1267" ht="36" customHeight="1">
      <x:c r="A1267" s="5" t="str">
        <x:v>UF-0056</x:v>
      </x:c>
      <x:c r="B1267" s="5" t="str">
        <x:v>Unternehmensführung</x:v>
      </x:c>
      <x:c r="C1267" s="11" t="n">
        <x:v>1</x:v>
      </x:c>
      <x:c r="D1267" s="11" t="n">
        <x:f>COUNTIF('Einzel-ID-Zuordnung'!$A$7:$A$2692,A1267)</x:f>
        <x:v>1</x:v>
      </x:c>
      <x:c r="E1267" s="11" t="n">
        <x:f>D1267-C1267</x:f>
        <x:v>0</x:v>
      </x:c>
      <x:c r="F1267" s="5" t="str">
        <x:v>nicht Pilot</x:v>
      </x:c>
      <x:c r="G1267" s="5" t="str">
        <x:v>WQ</x:v>
      </x:c>
    </x:row>
    <x:row r="1268" ht="36" customHeight="1">
      <x:c r="A1268" s="5" t="str">
        <x:v>UF-0057</x:v>
      </x:c>
      <x:c r="B1268" s="5" t="str">
        <x:v>Unternehmensführung</x:v>
      </x:c>
      <x:c r="C1268" s="11" t="n">
        <x:v>1</x:v>
      </x:c>
      <x:c r="D1268" s="11" t="n">
        <x:f>COUNTIF('Einzel-ID-Zuordnung'!$A$7:$A$2692,A1268)</x:f>
        <x:v>1</x:v>
      </x:c>
      <x:c r="E1268" s="11" t="n">
        <x:f>D1268-C1268</x:f>
        <x:v>0</x:v>
      </x:c>
      <x:c r="F1268" s="5" t="str">
        <x:v>nicht Pilot</x:v>
      </x:c>
      <x:c r="G1268" s="5" t="str">
        <x:v>WQ</x:v>
      </x:c>
    </x:row>
    <x:row r="1269" ht="36" customHeight="1">
      <x:c r="A1269" s="5" t="str">
        <x:v>UF-0058</x:v>
      </x:c>
      <x:c r="B1269" s="5" t="str">
        <x:v>Unternehmensführung</x:v>
      </x:c>
      <x:c r="C1269" s="11" t="n">
        <x:v>1</x:v>
      </x:c>
      <x:c r="D1269" s="11" t="n">
        <x:f>COUNTIF('Einzel-ID-Zuordnung'!$A$7:$A$2692,A1269)</x:f>
        <x:v>1</x:v>
      </x:c>
      <x:c r="E1269" s="11" t="n">
        <x:f>D1269-C1269</x:f>
        <x:v>0</x:v>
      </x:c>
      <x:c r="F1269" s="5" t="str">
        <x:v>nicht Pilot</x:v>
      </x:c>
      <x:c r="G1269" s="5" t="str">
        <x:v>WQ</x:v>
      </x:c>
    </x:row>
    <x:row r="1270" ht="36" customHeight="1">
      <x:c r="A1270" s="5" t="str">
        <x:v>UF-0059</x:v>
      </x:c>
      <x:c r="B1270" s="5" t="str">
        <x:v>Unternehmensführung</x:v>
      </x:c>
      <x:c r="C1270" s="11" t="n">
        <x:v>1</x:v>
      </x:c>
      <x:c r="D1270" s="11" t="n">
        <x:f>COUNTIF('Einzel-ID-Zuordnung'!$A$7:$A$2692,A1270)</x:f>
        <x:v>1</x:v>
      </x:c>
      <x:c r="E1270" s="11" t="n">
        <x:f>D1270-C1270</x:f>
        <x:v>0</x:v>
      </x:c>
      <x:c r="F1270" s="5" t="str">
        <x:v>nicht Pilot</x:v>
      </x:c>
      <x:c r="G1270" s="5" t="str">
        <x:v>WQ</x:v>
      </x:c>
    </x:row>
    <x:row r="1271" ht="36" customHeight="1">
      <x:c r="A1271" s="5" t="str">
        <x:v>UF-0060</x:v>
      </x:c>
      <x:c r="B1271" s="5" t="str">
        <x:v>Unternehmensführung</x:v>
      </x:c>
      <x:c r="C1271" s="11" t="n">
        <x:v>1</x:v>
      </x:c>
      <x:c r="D1271" s="11" t="n">
        <x:f>COUNTIF('Einzel-ID-Zuordnung'!$A$7:$A$2692,A1271)</x:f>
        <x:v>1</x:v>
      </x:c>
      <x:c r="E1271" s="11" t="n">
        <x:f>D1271-C1271</x:f>
        <x:v>0</x:v>
      </x:c>
      <x:c r="F1271" s="5" t="str">
        <x:v>nicht Pilot</x:v>
      </x:c>
      <x:c r="G1271" s="5" t="str">
        <x:v>WQ</x:v>
      </x:c>
    </x:row>
    <x:row r="1272" ht="36" customHeight="1">
      <x:c r="A1272" s="5" t="str">
        <x:v>UF-0061</x:v>
      </x:c>
      <x:c r="B1272" s="5" t="str">
        <x:v>Unternehmensführung</x:v>
      </x:c>
      <x:c r="C1272" s="11" t="n">
        <x:v>1</x:v>
      </x:c>
      <x:c r="D1272" s="11" t="n">
        <x:f>COUNTIF('Einzel-ID-Zuordnung'!$A$7:$A$2692,A1272)</x:f>
        <x:v>1</x:v>
      </x:c>
      <x:c r="E1272" s="11" t="n">
        <x:f>D1272-C1272</x:f>
        <x:v>0</x:v>
      </x:c>
      <x:c r="F1272" s="5" t="str">
        <x:v>nicht Pilot</x:v>
      </x:c>
      <x:c r="G1272" s="5" t="str">
        <x:v>WQ</x:v>
      </x:c>
    </x:row>
    <x:row r="1273" ht="36" customHeight="1">
      <x:c r="A1273" s="5" t="str">
        <x:v>UF-0062</x:v>
      </x:c>
      <x:c r="B1273" s="5" t="str">
        <x:v>Unternehmensführung</x:v>
      </x:c>
      <x:c r="C1273" s="11" t="n">
        <x:v>1</x:v>
      </x:c>
      <x:c r="D1273" s="11" t="n">
        <x:f>COUNTIF('Einzel-ID-Zuordnung'!$A$7:$A$2692,A1273)</x:f>
        <x:v>1</x:v>
      </x:c>
      <x:c r="E1273" s="11" t="n">
        <x:f>D1273-C1273</x:f>
        <x:v>0</x:v>
      </x:c>
      <x:c r="F1273" s="5" t="str">
        <x:v>nicht Pilot</x:v>
      </x:c>
      <x:c r="G1273" s="5" t="str">
        <x:v>WQ</x:v>
      </x:c>
    </x:row>
    <x:row r="1274" ht="36" customHeight="1">
      <x:c r="A1274" s="5" t="str">
        <x:v>UF-0063</x:v>
      </x:c>
      <x:c r="B1274" s="5" t="str">
        <x:v>Unternehmensführung</x:v>
      </x:c>
      <x:c r="C1274" s="11" t="n">
        <x:v>1</x:v>
      </x:c>
      <x:c r="D1274" s="11" t="n">
        <x:f>COUNTIF('Einzel-ID-Zuordnung'!$A$7:$A$2692,A1274)</x:f>
        <x:v>1</x:v>
      </x:c>
      <x:c r="E1274" s="11" t="n">
        <x:f>D1274-C1274</x:f>
        <x:v>0</x:v>
      </x:c>
      <x:c r="F1274" s="5" t="str">
        <x:v>nicht Pilot</x:v>
      </x:c>
      <x:c r="G1274" s="5" t="str">
        <x:v>WQ</x:v>
      </x:c>
    </x:row>
    <x:row r="1275" ht="36" customHeight="1">
      <x:c r="A1275" s="5" t="str">
        <x:v>UF-0064</x:v>
      </x:c>
      <x:c r="B1275" s="5" t="str">
        <x:v>Unternehmensführung</x:v>
      </x:c>
      <x:c r="C1275" s="11" t="n">
        <x:v>1</x:v>
      </x:c>
      <x:c r="D1275" s="11" t="n">
        <x:f>COUNTIF('Einzel-ID-Zuordnung'!$A$7:$A$2692,A1275)</x:f>
        <x:v>1</x:v>
      </x:c>
      <x:c r="E1275" s="11" t="n">
        <x:f>D1275-C1275</x:f>
        <x:v>0</x:v>
      </x:c>
      <x:c r="F1275" s="5" t="str">
        <x:v>nicht Pilot</x:v>
      </x:c>
      <x:c r="G1275" s="5" t="str">
        <x:v>WQ</x:v>
      </x:c>
    </x:row>
    <x:row r="1276" ht="36" customHeight="1">
      <x:c r="A1276" s="5" t="str">
        <x:v>UF-0065</x:v>
      </x:c>
      <x:c r="B1276" s="5" t="str">
        <x:v>Unternehmensführung</x:v>
      </x:c>
      <x:c r="C1276" s="11" t="n">
        <x:v>1</x:v>
      </x:c>
      <x:c r="D1276" s="11" t="n">
        <x:f>COUNTIF('Einzel-ID-Zuordnung'!$A$7:$A$2692,A1276)</x:f>
        <x:v>1</x:v>
      </x:c>
      <x:c r="E1276" s="11" t="n">
        <x:f>D1276-C1276</x:f>
        <x:v>0</x:v>
      </x:c>
      <x:c r="F1276" s="5" t="str">
        <x:v>nicht Pilot</x:v>
      </x:c>
      <x:c r="G1276" s="5" t="str">
        <x:v>WQ</x:v>
      </x:c>
    </x:row>
    <x:row r="1277" ht="36" customHeight="1">
      <x:c r="A1277" s="5" t="str">
        <x:v>UF-0066</x:v>
      </x:c>
      <x:c r="B1277" s="5" t="str">
        <x:v>Unternehmensführung</x:v>
      </x:c>
      <x:c r="C1277" s="11" t="n">
        <x:v>1</x:v>
      </x:c>
      <x:c r="D1277" s="11" t="n">
        <x:f>COUNTIF('Einzel-ID-Zuordnung'!$A$7:$A$2692,A1277)</x:f>
        <x:v>1</x:v>
      </x:c>
      <x:c r="E1277" s="11" t="n">
        <x:f>D1277-C1277</x:f>
        <x:v>0</x:v>
      </x:c>
      <x:c r="F1277" s="5" t="str">
        <x:v>nicht Pilot</x:v>
      </x:c>
      <x:c r="G1277" s="5" t="str">
        <x:v>WQ</x:v>
      </x:c>
    </x:row>
    <x:row r="1278" ht="36" customHeight="1">
      <x:c r="A1278" s="5" t="str">
        <x:v>UF-0067</x:v>
      </x:c>
      <x:c r="B1278" s="5" t="str">
        <x:v>Unternehmensführung</x:v>
      </x:c>
      <x:c r="C1278" s="11" t="n">
        <x:v>1</x:v>
      </x:c>
      <x:c r="D1278" s="11" t="n">
        <x:f>COUNTIF('Einzel-ID-Zuordnung'!$A$7:$A$2692,A1278)</x:f>
        <x:v>1</x:v>
      </x:c>
      <x:c r="E1278" s="11" t="n">
        <x:f>D1278-C1278</x:f>
        <x:v>0</x:v>
      </x:c>
      <x:c r="F1278" s="5" t="str">
        <x:v>nicht Pilot</x:v>
      </x:c>
      <x:c r="G1278" s="5" t="str">
        <x:v>WQ</x:v>
      </x:c>
    </x:row>
    <x:row r="1279" ht="36" customHeight="1">
      <x:c r="A1279" s="5" t="str">
        <x:v>UF-0068</x:v>
      </x:c>
      <x:c r="B1279" s="5" t="str">
        <x:v>Unternehmensführung</x:v>
      </x:c>
      <x:c r="C1279" s="11" t="n">
        <x:v>1</x:v>
      </x:c>
      <x:c r="D1279" s="11" t="n">
        <x:f>COUNTIF('Einzel-ID-Zuordnung'!$A$7:$A$2692,A1279)</x:f>
        <x:v>1</x:v>
      </x:c>
      <x:c r="E1279" s="11" t="n">
        <x:f>D1279-C1279</x:f>
        <x:v>0</x:v>
      </x:c>
      <x:c r="F1279" s="5" t="str">
        <x:v>nicht Pilot</x:v>
      </x:c>
      <x:c r="G1279" s="5" t="str">
        <x:v>WQ</x:v>
      </x:c>
    </x:row>
    <x:row r="1280" ht="36" customHeight="1">
      <x:c r="A1280" s="5" t="str">
        <x:v>UF-0069</x:v>
      </x:c>
      <x:c r="B1280" s="5" t="str">
        <x:v>Unternehmensführung</x:v>
      </x:c>
      <x:c r="C1280" s="11" t="n">
        <x:v>1</x:v>
      </x:c>
      <x:c r="D1280" s="11" t="n">
        <x:f>COUNTIF('Einzel-ID-Zuordnung'!$A$7:$A$2692,A1280)</x:f>
        <x:v>1</x:v>
      </x:c>
      <x:c r="E1280" s="11" t="n">
        <x:f>D1280-C1280</x:f>
        <x:v>0</x:v>
      </x:c>
      <x:c r="F1280" s="5" t="str">
        <x:v>nicht Pilot</x:v>
      </x:c>
      <x:c r="G1280" s="5" t="str">
        <x:v>WQ</x:v>
      </x:c>
    </x:row>
    <x:row r="1281" ht="36" customHeight="1">
      <x:c r="A1281" s="5" t="str">
        <x:v>UF-0070</x:v>
      </x:c>
      <x:c r="B1281" s="5" t="str">
        <x:v>Unternehmensführung</x:v>
      </x:c>
      <x:c r="C1281" s="11" t="n">
        <x:v>1</x:v>
      </x:c>
      <x:c r="D1281" s="11" t="n">
        <x:f>COUNTIF('Einzel-ID-Zuordnung'!$A$7:$A$2692,A1281)</x:f>
        <x:v>1</x:v>
      </x:c>
      <x:c r="E1281" s="11" t="n">
        <x:f>D1281-C1281</x:f>
        <x:v>0</x:v>
      </x:c>
      <x:c r="F1281" s="5" t="str">
        <x:v>nicht Pilot</x:v>
      </x:c>
      <x:c r="G1281" s="5" t="str">
        <x:v>WQ</x:v>
      </x:c>
    </x:row>
    <x:row r="1282" ht="36" customHeight="1">
      <x:c r="A1282" s="5" t="str">
        <x:v>UF-0071</x:v>
      </x:c>
      <x:c r="B1282" s="5" t="str">
        <x:v>Unternehmensführung</x:v>
      </x:c>
      <x:c r="C1282" s="11" t="n">
        <x:v>1</x:v>
      </x:c>
      <x:c r="D1282" s="11" t="n">
        <x:f>COUNTIF('Einzel-ID-Zuordnung'!$A$7:$A$2692,A1282)</x:f>
        <x:v>1</x:v>
      </x:c>
      <x:c r="E1282" s="11" t="n">
        <x:f>D1282-C1282</x:f>
        <x:v>0</x:v>
      </x:c>
      <x:c r="F1282" s="5" t="str">
        <x:v>nicht Pilot</x:v>
      </x:c>
      <x:c r="G1282" s="5" t="str">
        <x:v>WQ</x:v>
      </x:c>
    </x:row>
    <x:row r="1283" ht="36" customHeight="1">
      <x:c r="A1283" s="5" t="str">
        <x:v>UF-0072</x:v>
      </x:c>
      <x:c r="B1283" s="5" t="str">
        <x:v>Unternehmensführung</x:v>
      </x:c>
      <x:c r="C1283" s="11" t="n">
        <x:v>1</x:v>
      </x:c>
      <x:c r="D1283" s="11" t="n">
        <x:f>COUNTIF('Einzel-ID-Zuordnung'!$A$7:$A$2692,A1283)</x:f>
        <x:v>1</x:v>
      </x:c>
      <x:c r="E1283" s="11" t="n">
        <x:f>D1283-C1283</x:f>
        <x:v>0</x:v>
      </x:c>
      <x:c r="F1283" s="5" t="str">
        <x:v>nicht Pilot</x:v>
      </x:c>
      <x:c r="G1283" s="5" t="str">
        <x:v>WQ</x:v>
      </x:c>
    </x:row>
    <x:row r="1284" ht="36" customHeight="1">
      <x:c r="A1284" s="5" t="str">
        <x:v>UF-0073</x:v>
      </x:c>
      <x:c r="B1284" s="5" t="str">
        <x:v>Unternehmensführung</x:v>
      </x:c>
      <x:c r="C1284" s="11" t="n">
        <x:v>1</x:v>
      </x:c>
      <x:c r="D1284" s="11" t="n">
        <x:f>COUNTIF('Einzel-ID-Zuordnung'!$A$7:$A$2692,A1284)</x:f>
        <x:v>1</x:v>
      </x:c>
      <x:c r="E1284" s="11" t="n">
        <x:f>D1284-C1284</x:f>
        <x:v>0</x:v>
      </x:c>
      <x:c r="F1284" s="5" t="str">
        <x:v>nicht Pilot</x:v>
      </x:c>
      <x:c r="G1284" s="5" t="str">
        <x:v>WQ</x:v>
      </x:c>
    </x:row>
    <x:row r="1285" ht="36" customHeight="1">
      <x:c r="A1285" s="5" t="str">
        <x:v>UF-0074</x:v>
      </x:c>
      <x:c r="B1285" s="5" t="str">
        <x:v>Unternehmensführung</x:v>
      </x:c>
      <x:c r="C1285" s="11" t="n">
        <x:v>1</x:v>
      </x:c>
      <x:c r="D1285" s="11" t="n">
        <x:f>COUNTIF('Einzel-ID-Zuordnung'!$A$7:$A$2692,A1285)</x:f>
        <x:v>1</x:v>
      </x:c>
      <x:c r="E1285" s="11" t="n">
        <x:f>D1285-C1285</x:f>
        <x:v>0</x:v>
      </x:c>
      <x:c r="F1285" s="5" t="str">
        <x:v>nicht Pilot</x:v>
      </x:c>
      <x:c r="G1285" s="5" t="str">
        <x:v>WQ</x:v>
      </x:c>
    </x:row>
    <x:row r="1286" ht="36" customHeight="1">
      <x:c r="A1286" s="5" t="str">
        <x:v>UF-0075</x:v>
      </x:c>
      <x:c r="B1286" s="5" t="str">
        <x:v>Unternehmensführung</x:v>
      </x:c>
      <x:c r="C1286" s="11" t="n">
        <x:v>1</x:v>
      </x:c>
      <x:c r="D1286" s="11" t="n">
        <x:f>COUNTIF('Einzel-ID-Zuordnung'!$A$7:$A$2692,A1286)</x:f>
        <x:v>1</x:v>
      </x:c>
      <x:c r="E1286" s="11" t="n">
        <x:f>D1286-C1286</x:f>
        <x:v>0</x:v>
      </x:c>
      <x:c r="F1286" s="5" t="str">
        <x:v>nicht Pilot</x:v>
      </x:c>
      <x:c r="G1286" s="5" t="str">
        <x:v>WQ</x:v>
      </x:c>
    </x:row>
    <x:row r="1287" ht="36" customHeight="1">
      <x:c r="A1287" s="5" t="str">
        <x:v>UF-0076</x:v>
      </x:c>
      <x:c r="B1287" s="5" t="str">
        <x:v>Unternehmensführung</x:v>
      </x:c>
      <x:c r="C1287" s="11" t="n">
        <x:v>1</x:v>
      </x:c>
      <x:c r="D1287" s="11" t="n">
        <x:f>COUNTIF('Einzel-ID-Zuordnung'!$A$7:$A$2692,A1287)</x:f>
        <x:v>1</x:v>
      </x:c>
      <x:c r="E1287" s="11" t="n">
        <x:f>D1287-C1287</x:f>
        <x:v>0</x:v>
      </x:c>
      <x:c r="F1287" s="5" t="str">
        <x:v>nicht Pilot</x:v>
      </x:c>
      <x:c r="G1287" s="5" t="str">
        <x:v>WQ</x:v>
      </x:c>
    </x:row>
    <x:row r="1288" ht="36" customHeight="1">
      <x:c r="A1288" s="5" t="str">
        <x:v>UF-0077</x:v>
      </x:c>
      <x:c r="B1288" s="5" t="str">
        <x:v>Unternehmensführung</x:v>
      </x:c>
      <x:c r="C1288" s="11" t="n">
        <x:v>1</x:v>
      </x:c>
      <x:c r="D1288" s="11" t="n">
        <x:f>COUNTIF('Einzel-ID-Zuordnung'!$A$7:$A$2692,A1288)</x:f>
        <x:v>1</x:v>
      </x:c>
      <x:c r="E1288" s="11" t="n">
        <x:f>D1288-C1288</x:f>
        <x:v>0</x:v>
      </x:c>
      <x:c r="F1288" s="5" t="str">
        <x:v>nicht Pilot</x:v>
      </x:c>
      <x:c r="G1288" s="5" t="str">
        <x:v>WQ</x:v>
      </x:c>
    </x:row>
    <x:row r="1289" ht="36" customHeight="1">
      <x:c r="A1289" s="5" t="str">
        <x:v>UF-0078</x:v>
      </x:c>
      <x:c r="B1289" s="5" t="str">
        <x:v>Unternehmensführung</x:v>
      </x:c>
      <x:c r="C1289" s="11" t="n">
        <x:v>1</x:v>
      </x:c>
      <x:c r="D1289" s="11" t="n">
        <x:f>COUNTIF('Einzel-ID-Zuordnung'!$A$7:$A$2692,A1289)</x:f>
        <x:v>1</x:v>
      </x:c>
      <x:c r="E1289" s="11" t="n">
        <x:f>D1289-C1289</x:f>
        <x:v>0</x:v>
      </x:c>
      <x:c r="F1289" s="5" t="str">
        <x:v>nicht Pilot</x:v>
      </x:c>
      <x:c r="G1289" s="5" t="str">
        <x:v>WQ</x:v>
      </x:c>
    </x:row>
    <x:row r="1290" ht="36" customHeight="1">
      <x:c r="A1290" s="5" t="str">
        <x:v>UF-0079</x:v>
      </x:c>
      <x:c r="B1290" s="5" t="str">
        <x:v>Unternehmensführung</x:v>
      </x:c>
      <x:c r="C1290" s="11" t="n">
        <x:v>1</x:v>
      </x:c>
      <x:c r="D1290" s="11" t="n">
        <x:f>COUNTIF('Einzel-ID-Zuordnung'!$A$7:$A$2692,A1290)</x:f>
        <x:v>1</x:v>
      </x:c>
      <x:c r="E1290" s="11" t="n">
        <x:f>D1290-C1290</x:f>
        <x:v>0</x:v>
      </x:c>
      <x:c r="F1290" s="5" t="str">
        <x:v>nicht Pilot</x:v>
      </x:c>
      <x:c r="G1290" s="5" t="str">
        <x:v>WQ</x:v>
      </x:c>
    </x:row>
    <x:row r="1291" ht="36" customHeight="1">
      <x:c r="A1291" s="5" t="str">
        <x:v>UF-0080</x:v>
      </x:c>
      <x:c r="B1291" s="5" t="str">
        <x:v>Unternehmensführung</x:v>
      </x:c>
      <x:c r="C1291" s="11" t="n">
        <x:v>1</x:v>
      </x:c>
      <x:c r="D1291" s="11" t="n">
        <x:f>COUNTIF('Einzel-ID-Zuordnung'!$A$7:$A$2692,A1291)</x:f>
        <x:v>1</x:v>
      </x:c>
      <x:c r="E1291" s="11" t="n">
        <x:f>D1291-C1291</x:f>
        <x:v>0</x:v>
      </x:c>
      <x:c r="F1291" s="5" t="str">
        <x:v>nicht Pilot</x:v>
      </x:c>
      <x:c r="G1291" s="5" t="str">
        <x:v>WQ</x:v>
      </x:c>
    </x:row>
    <x:row r="1292" ht="36" customHeight="1">
      <x:c r="A1292" s="5" t="str">
        <x:v>UF-0081</x:v>
      </x:c>
      <x:c r="B1292" s="5" t="str">
        <x:v>Unternehmensführung</x:v>
      </x:c>
      <x:c r="C1292" s="11" t="n">
        <x:v>1</x:v>
      </x:c>
      <x:c r="D1292" s="11" t="n">
        <x:f>COUNTIF('Einzel-ID-Zuordnung'!$A$7:$A$2692,A1292)</x:f>
        <x:v>1</x:v>
      </x:c>
      <x:c r="E1292" s="11" t="n">
        <x:f>D1292-C1292</x:f>
        <x:v>0</x:v>
      </x:c>
      <x:c r="F1292" s="5" t="str">
        <x:v>nicht Pilot</x:v>
      </x:c>
      <x:c r="G1292" s="5" t="str">
        <x:v>WQ</x:v>
      </x:c>
    </x:row>
    <x:row r="1293" ht="36" customHeight="1">
      <x:c r="A1293" s="5" t="str">
        <x:v>UF-0082</x:v>
      </x:c>
      <x:c r="B1293" s="5" t="str">
        <x:v>Unternehmensführung</x:v>
      </x:c>
      <x:c r="C1293" s="11" t="n">
        <x:v>1</x:v>
      </x:c>
      <x:c r="D1293" s="11" t="n">
        <x:f>COUNTIF('Einzel-ID-Zuordnung'!$A$7:$A$2692,A1293)</x:f>
        <x:v>1</x:v>
      </x:c>
      <x:c r="E1293" s="11" t="n">
        <x:f>D1293-C1293</x:f>
        <x:v>0</x:v>
      </x:c>
      <x:c r="F1293" s="5" t="str">
        <x:v>nicht Pilot</x:v>
      </x:c>
      <x:c r="G1293" s="5" t="str">
        <x:v>WQ</x:v>
      </x:c>
    </x:row>
    <x:row r="1294" ht="36" customHeight="1">
      <x:c r="A1294" s="5" t="str">
        <x:v>UF-0083</x:v>
      </x:c>
      <x:c r="B1294" s="5" t="str">
        <x:v>Unternehmensführung</x:v>
      </x:c>
      <x:c r="C1294" s="11" t="n">
        <x:v>1</x:v>
      </x:c>
      <x:c r="D1294" s="11" t="n">
        <x:f>COUNTIF('Einzel-ID-Zuordnung'!$A$7:$A$2692,A1294)</x:f>
        <x:v>1</x:v>
      </x:c>
      <x:c r="E1294" s="11" t="n">
        <x:f>D1294-C1294</x:f>
        <x:v>0</x:v>
      </x:c>
      <x:c r="F1294" s="5" t="str">
        <x:v>nicht Pilot</x:v>
      </x:c>
      <x:c r="G1294" s="5" t="str">
        <x:v>WQ</x:v>
      </x:c>
    </x:row>
    <x:row r="1295" ht="36" customHeight="1">
      <x:c r="A1295" s="5" t="str">
        <x:v>UF-0084</x:v>
      </x:c>
      <x:c r="B1295" s="5" t="str">
        <x:v>Unternehmensführung</x:v>
      </x:c>
      <x:c r="C1295" s="11" t="n">
        <x:v>1</x:v>
      </x:c>
      <x:c r="D1295" s="11" t="n">
        <x:f>COUNTIF('Einzel-ID-Zuordnung'!$A$7:$A$2692,A1295)</x:f>
        <x:v>1</x:v>
      </x:c>
      <x:c r="E1295" s="11" t="n">
        <x:f>D1295-C1295</x:f>
        <x:v>0</x:v>
      </x:c>
      <x:c r="F1295" s="5" t="str">
        <x:v>nicht Pilot</x:v>
      </x:c>
      <x:c r="G1295" s="5" t="str">
        <x:v>WQ</x:v>
      </x:c>
    </x:row>
    <x:row r="1296" ht="36" customHeight="1">
      <x:c r="A1296" s="5" t="str">
        <x:v>UF-0085</x:v>
      </x:c>
      <x:c r="B1296" s="5" t="str">
        <x:v>Unternehmensführung</x:v>
      </x:c>
      <x:c r="C1296" s="11" t="n">
        <x:v>1</x:v>
      </x:c>
      <x:c r="D1296" s="11" t="n">
        <x:f>COUNTIF('Einzel-ID-Zuordnung'!$A$7:$A$2692,A1296)</x:f>
        <x:v>1</x:v>
      </x:c>
      <x:c r="E1296" s="11" t="n">
        <x:f>D1296-C1296</x:f>
        <x:v>0</x:v>
      </x:c>
      <x:c r="F1296" s="5" t="str">
        <x:v>nicht Pilot</x:v>
      </x:c>
      <x:c r="G1296" s="5" t="str">
        <x:v>WQ</x:v>
      </x:c>
    </x:row>
    <x:row r="1297" ht="36" customHeight="1">
      <x:c r="A1297" s="5" t="str">
        <x:v>UF-0086</x:v>
      </x:c>
      <x:c r="B1297" s="5" t="str">
        <x:v>Unternehmensführung</x:v>
      </x:c>
      <x:c r="C1297" s="11" t="n">
        <x:v>1</x:v>
      </x:c>
      <x:c r="D1297" s="11" t="n">
        <x:f>COUNTIF('Einzel-ID-Zuordnung'!$A$7:$A$2692,A1297)</x:f>
        <x:v>1</x:v>
      </x:c>
      <x:c r="E1297" s="11" t="n">
        <x:f>D1297-C1297</x:f>
        <x:v>0</x:v>
      </x:c>
      <x:c r="F1297" s="5" t="str">
        <x:v>nicht Pilot</x:v>
      </x:c>
      <x:c r="G1297" s="5" t="str">
        <x:v>WQ</x:v>
      </x:c>
    </x:row>
    <x:row r="1298" ht="36" customHeight="1">
      <x:c r="A1298" s="5" t="str">
        <x:v>UF-0087</x:v>
      </x:c>
      <x:c r="B1298" s="5" t="str">
        <x:v>Unternehmensführung</x:v>
      </x:c>
      <x:c r="C1298" s="11" t="n">
        <x:v>1</x:v>
      </x:c>
      <x:c r="D1298" s="11" t="n">
        <x:f>COUNTIF('Einzel-ID-Zuordnung'!$A$7:$A$2692,A1298)</x:f>
        <x:v>1</x:v>
      </x:c>
      <x:c r="E1298" s="11" t="n">
        <x:f>D1298-C1298</x:f>
        <x:v>0</x:v>
      </x:c>
      <x:c r="F1298" s="5" t="str">
        <x:v>nicht Pilot</x:v>
      </x:c>
      <x:c r="G1298" s="5" t="str">
        <x:v>WQ</x:v>
      </x:c>
    </x:row>
    <x:row r="1299" ht="36" customHeight="1">
      <x:c r="A1299" s="5" t="str">
        <x:v>UF-0088</x:v>
      </x:c>
      <x:c r="B1299" s="5" t="str">
        <x:v>Unternehmensführung</x:v>
      </x:c>
      <x:c r="C1299" s="11" t="n">
        <x:v>1</x:v>
      </x:c>
      <x:c r="D1299" s="11" t="n">
        <x:f>COUNTIF('Einzel-ID-Zuordnung'!$A$7:$A$2692,A1299)</x:f>
        <x:v>1</x:v>
      </x:c>
      <x:c r="E1299" s="11" t="n">
        <x:f>D1299-C1299</x:f>
        <x:v>0</x:v>
      </x:c>
      <x:c r="F1299" s="5" t="str">
        <x:v>nicht Pilot</x:v>
      </x:c>
      <x:c r="G1299" s="5" t="str">
        <x:v>WQ</x:v>
      </x:c>
    </x:row>
    <x:row r="1300" ht="36" customHeight="1">
      <x:c r="A1300" s="5" t="str">
        <x:v>UF-0089</x:v>
      </x:c>
      <x:c r="B1300" s="5" t="str">
        <x:v>Unternehmensführung</x:v>
      </x:c>
      <x:c r="C1300" s="11" t="n">
        <x:v>1</x:v>
      </x:c>
      <x:c r="D1300" s="11" t="n">
        <x:f>COUNTIF('Einzel-ID-Zuordnung'!$A$7:$A$2692,A1300)</x:f>
        <x:v>1</x:v>
      </x:c>
      <x:c r="E1300" s="11" t="n">
        <x:f>D1300-C1300</x:f>
        <x:v>0</x:v>
      </x:c>
      <x:c r="F1300" s="5" t="str">
        <x:v>nicht Pilot</x:v>
      </x:c>
      <x:c r="G1300" s="5" t="str">
        <x:v>WQ</x:v>
      </x:c>
    </x:row>
    <x:row r="1301" ht="36" customHeight="1">
      <x:c r="A1301" s="5" t="str">
        <x:v>UF-0090</x:v>
      </x:c>
      <x:c r="B1301" s="5" t="str">
        <x:v>Unternehmensführung</x:v>
      </x:c>
      <x:c r="C1301" s="11" t="n">
        <x:v>1</x:v>
      </x:c>
      <x:c r="D1301" s="11" t="n">
        <x:f>COUNTIF('Einzel-ID-Zuordnung'!$A$7:$A$2692,A1301)</x:f>
        <x:v>1</x:v>
      </x:c>
      <x:c r="E1301" s="11" t="n">
        <x:f>D1301-C1301</x:f>
        <x:v>0</x:v>
      </x:c>
      <x:c r="F1301" s="5" t="str">
        <x:v>nicht Pilot</x:v>
      </x:c>
      <x:c r="G1301" s="5" t="str">
        <x:v>WQ</x:v>
      </x:c>
    </x:row>
    <x:row r="1302" ht="36" customHeight="1">
      <x:c r="A1302" s="5" t="str">
        <x:v>UF-0091</x:v>
      </x:c>
      <x:c r="B1302" s="5" t="str">
        <x:v>Unternehmensführung</x:v>
      </x:c>
      <x:c r="C1302" s="11" t="n">
        <x:v>1</x:v>
      </x:c>
      <x:c r="D1302" s="11" t="n">
        <x:f>COUNTIF('Einzel-ID-Zuordnung'!$A$7:$A$2692,A1302)</x:f>
        <x:v>1</x:v>
      </x:c>
      <x:c r="E1302" s="11" t="n">
        <x:f>D1302-C1302</x:f>
        <x:v>0</x:v>
      </x:c>
      <x:c r="F1302" s="5" t="str">
        <x:v>nicht Pilot</x:v>
      </x:c>
      <x:c r="G1302" s="5" t="str">
        <x:v>WQ</x:v>
      </x:c>
    </x:row>
    <x:row r="1303" ht="36" customHeight="1">
      <x:c r="A1303" s="5" t="str">
        <x:v>UF-0092</x:v>
      </x:c>
      <x:c r="B1303" s="5" t="str">
        <x:v>Unternehmensführung</x:v>
      </x:c>
      <x:c r="C1303" s="11" t="n">
        <x:v>1</x:v>
      </x:c>
      <x:c r="D1303" s="11" t="n">
        <x:f>COUNTIF('Einzel-ID-Zuordnung'!$A$7:$A$2692,A1303)</x:f>
        <x:v>1</x:v>
      </x:c>
      <x:c r="E1303" s="11" t="n">
        <x:f>D1303-C1303</x:f>
        <x:v>0</x:v>
      </x:c>
      <x:c r="F1303" s="5" t="str">
        <x:v>nicht Pilot</x:v>
      </x:c>
      <x:c r="G1303" s="5" t="str">
        <x:v>WQ</x:v>
      </x:c>
    </x:row>
    <x:row r="1304" ht="36" customHeight="1">
      <x:c r="A1304" s="5" t="str">
        <x:v>UF-0093</x:v>
      </x:c>
      <x:c r="B1304" s="5" t="str">
        <x:v>Unternehmensführung</x:v>
      </x:c>
      <x:c r="C1304" s="11" t="n">
        <x:v>1</x:v>
      </x:c>
      <x:c r="D1304" s="11" t="n">
        <x:f>COUNTIF('Einzel-ID-Zuordnung'!$A$7:$A$2692,A1304)</x:f>
        <x:v>1</x:v>
      </x:c>
      <x:c r="E1304" s="11" t="n">
        <x:f>D1304-C1304</x:f>
        <x:v>0</x:v>
      </x:c>
      <x:c r="F1304" s="5" t="str">
        <x:v>nicht Pilot</x:v>
      </x:c>
      <x:c r="G1304" s="5" t="str">
        <x:v>WQ</x:v>
      </x:c>
    </x:row>
    <x:row r="1305" ht="36" customHeight="1">
      <x:c r="A1305" s="5" t="str">
        <x:v>UF-0094</x:v>
      </x:c>
      <x:c r="B1305" s="5" t="str">
        <x:v>Unternehmensführung</x:v>
      </x:c>
      <x:c r="C1305" s="11" t="n">
        <x:v>1</x:v>
      </x:c>
      <x:c r="D1305" s="11" t="n">
        <x:f>COUNTIF('Einzel-ID-Zuordnung'!$A$7:$A$2692,A1305)</x:f>
        <x:v>1</x:v>
      </x:c>
      <x:c r="E1305" s="11" t="n">
        <x:f>D1305-C1305</x:f>
        <x:v>0</x:v>
      </x:c>
      <x:c r="F1305" s="5" t="str">
        <x:v>nicht Pilot</x:v>
      </x:c>
      <x:c r="G1305" s="5" t="str">
        <x:v>WQ</x:v>
      </x:c>
    </x:row>
    <x:row r="1306" ht="36" customHeight="1">
      <x:c r="A1306" s="5" t="str">
        <x:v>UF-0095</x:v>
      </x:c>
      <x:c r="B1306" s="5" t="str">
        <x:v>Unternehmensführung</x:v>
      </x:c>
      <x:c r="C1306" s="11" t="n">
        <x:v>1</x:v>
      </x:c>
      <x:c r="D1306" s="11" t="n">
        <x:f>COUNTIF('Einzel-ID-Zuordnung'!$A$7:$A$2692,A1306)</x:f>
        <x:v>1</x:v>
      </x:c>
      <x:c r="E1306" s="11" t="n">
        <x:f>D1306-C1306</x:f>
        <x:v>0</x:v>
      </x:c>
      <x:c r="F1306" s="5" t="str">
        <x:v>nicht Pilot</x:v>
      </x:c>
      <x:c r="G1306" s="5" t="str">
        <x:v>WQ</x:v>
      </x:c>
    </x:row>
    <x:row r="1307" ht="36" customHeight="1">
      <x:c r="A1307" s="5" t="str">
        <x:v>UF-0096</x:v>
      </x:c>
      <x:c r="B1307" s="5" t="str">
        <x:v>Unternehmensführung</x:v>
      </x:c>
      <x:c r="C1307" s="11" t="n">
        <x:v>1</x:v>
      </x:c>
      <x:c r="D1307" s="11" t="n">
        <x:f>COUNTIF('Einzel-ID-Zuordnung'!$A$7:$A$2692,A1307)</x:f>
        <x:v>1</x:v>
      </x:c>
      <x:c r="E1307" s="11" t="n">
        <x:f>D1307-C1307</x:f>
        <x:v>0</x:v>
      </x:c>
      <x:c r="F1307" s="5" t="str">
        <x:v>nicht Pilot</x:v>
      </x:c>
      <x:c r="G1307" s="5" t="str">
        <x:v>WQ</x:v>
      </x:c>
    </x:row>
    <x:row r="1308" ht="36" customHeight="1">
      <x:c r="A1308" s="5" t="str">
        <x:v>UF-0097</x:v>
      </x:c>
      <x:c r="B1308" s="5" t="str">
        <x:v>Unternehmensführung</x:v>
      </x:c>
      <x:c r="C1308" s="11" t="n">
        <x:v>1</x:v>
      </x:c>
      <x:c r="D1308" s="11" t="n">
        <x:f>COUNTIF('Einzel-ID-Zuordnung'!$A$7:$A$2692,A1308)</x:f>
        <x:v>1</x:v>
      </x:c>
      <x:c r="E1308" s="11" t="n">
        <x:f>D1308-C1308</x:f>
        <x:v>0</x:v>
      </x:c>
      <x:c r="F1308" s="5" t="str">
        <x:v>nicht Pilot</x:v>
      </x:c>
      <x:c r="G1308" s="5" t="str">
        <x:v>WQ</x:v>
      </x:c>
    </x:row>
    <x:row r="1309" ht="36" customHeight="1">
      <x:c r="A1309" s="5" t="str">
        <x:v>UF-0098</x:v>
      </x:c>
      <x:c r="B1309" s="5" t="str">
        <x:v>Unternehmensführung</x:v>
      </x:c>
      <x:c r="C1309" s="11" t="n">
        <x:v>1</x:v>
      </x:c>
      <x:c r="D1309" s="11" t="n">
        <x:f>COUNTIF('Einzel-ID-Zuordnung'!$A$7:$A$2692,A1309)</x:f>
        <x:v>1</x:v>
      </x:c>
      <x:c r="E1309" s="11" t="n">
        <x:f>D1309-C1309</x:f>
        <x:v>0</x:v>
      </x:c>
      <x:c r="F1309" s="5" t="str">
        <x:v>nicht Pilot</x:v>
      </x:c>
      <x:c r="G1309" s="5" t="str">
        <x:v>WQ</x:v>
      </x:c>
    </x:row>
    <x:row r="1310" ht="36" customHeight="1">
      <x:c r="A1310" s="5" t="str">
        <x:v>UF-0099</x:v>
      </x:c>
      <x:c r="B1310" s="5" t="str">
        <x:v>Unternehmensführung</x:v>
      </x:c>
      <x:c r="C1310" s="11" t="n">
        <x:v>1</x:v>
      </x:c>
      <x:c r="D1310" s="11" t="n">
        <x:f>COUNTIF('Einzel-ID-Zuordnung'!$A$7:$A$2692,A1310)</x:f>
        <x:v>1</x:v>
      </x:c>
      <x:c r="E1310" s="11" t="n">
        <x:f>D1310-C1310</x:f>
        <x:v>0</x:v>
      </x:c>
      <x:c r="F1310" s="5" t="str">
        <x:v>nicht Pilot</x:v>
      </x:c>
      <x:c r="G1310" s="5" t="str">
        <x:v>WQ</x:v>
      </x:c>
    </x:row>
    <x:row r="1311" ht="36" customHeight="1">
      <x:c r="A1311" s="5" t="str">
        <x:v>UF-0100</x:v>
      </x:c>
      <x:c r="B1311" s="5" t="str">
        <x:v>Unternehmensführung</x:v>
      </x:c>
      <x:c r="C1311" s="11" t="n">
        <x:v>1</x:v>
      </x:c>
      <x:c r="D1311" s="11" t="n">
        <x:f>COUNTIF('Einzel-ID-Zuordnung'!$A$7:$A$2692,A1311)</x:f>
        <x:v>1</x:v>
      </x:c>
      <x:c r="E1311" s="11" t="n">
        <x:f>D1311-C1311</x:f>
        <x:v>0</x:v>
      </x:c>
      <x:c r="F1311" s="5" t="str">
        <x:v>nicht Pilot</x:v>
      </x:c>
      <x:c r="G1311" s="5" t="str">
        <x:v>WQ</x:v>
      </x:c>
    </x:row>
    <x:row r="1312" ht="36" customHeight="1">
      <x:c r="A1312" s="5" t="str">
        <x:v>UF-0101</x:v>
      </x:c>
      <x:c r="B1312" s="5" t="str">
        <x:v>Unternehmensführung</x:v>
      </x:c>
      <x:c r="C1312" s="11" t="n">
        <x:v>1</x:v>
      </x:c>
      <x:c r="D1312" s="11" t="n">
        <x:f>COUNTIF('Einzel-ID-Zuordnung'!$A$7:$A$2692,A1312)</x:f>
        <x:v>1</x:v>
      </x:c>
      <x:c r="E1312" s="11" t="n">
        <x:f>D1312-C1312</x:f>
        <x:v>0</x:v>
      </x:c>
      <x:c r="F1312" s="5" t="str">
        <x:v>nicht Pilot</x:v>
      </x:c>
      <x:c r="G1312" s="5" t="str">
        <x:v>WQ</x:v>
      </x:c>
    </x:row>
    <x:row r="1313" ht="36" customHeight="1">
      <x:c r="A1313" s="5" t="str">
        <x:v>UF-0102</x:v>
      </x:c>
      <x:c r="B1313" s="5" t="str">
        <x:v>Unternehmensführung</x:v>
      </x:c>
      <x:c r="C1313" s="11" t="n">
        <x:v>1</x:v>
      </x:c>
      <x:c r="D1313" s="11" t="n">
        <x:f>COUNTIF('Einzel-ID-Zuordnung'!$A$7:$A$2692,A1313)</x:f>
        <x:v>1</x:v>
      </x:c>
      <x:c r="E1313" s="11" t="n">
        <x:f>D1313-C1313</x:f>
        <x:v>0</x:v>
      </x:c>
      <x:c r="F1313" s="5" t="str">
        <x:v>nicht Pilot</x:v>
      </x:c>
      <x:c r="G1313" s="5" t="str">
        <x:v>WQ</x:v>
      </x:c>
    </x:row>
    <x:row r="1314" ht="36" customHeight="1">
      <x:c r="A1314" s="5" t="str">
        <x:v>UF-0103</x:v>
      </x:c>
      <x:c r="B1314" s="5" t="str">
        <x:v>Unternehmensführung</x:v>
      </x:c>
      <x:c r="C1314" s="11" t="n">
        <x:v>1</x:v>
      </x:c>
      <x:c r="D1314" s="11" t="n">
        <x:f>COUNTIF('Einzel-ID-Zuordnung'!$A$7:$A$2692,A1314)</x:f>
        <x:v>1</x:v>
      </x:c>
      <x:c r="E1314" s="11" t="n">
        <x:f>D1314-C1314</x:f>
        <x:v>0</x:v>
      </x:c>
      <x:c r="F1314" s="5" t="str">
        <x:v>nicht Pilot</x:v>
      </x:c>
      <x:c r="G1314" s="5" t="str">
        <x:v>WQ</x:v>
      </x:c>
    </x:row>
    <x:row r="1315" ht="36" customHeight="1">
      <x:c r="A1315" s="5" t="str">
        <x:v>UF-0104</x:v>
      </x:c>
      <x:c r="B1315" s="5" t="str">
        <x:v>Unternehmensführung</x:v>
      </x:c>
      <x:c r="C1315" s="11" t="n">
        <x:v>1</x:v>
      </x:c>
      <x:c r="D1315" s="11" t="n">
        <x:f>COUNTIF('Einzel-ID-Zuordnung'!$A$7:$A$2692,A1315)</x:f>
        <x:v>1</x:v>
      </x:c>
      <x:c r="E1315" s="11" t="n">
        <x:f>D1315-C1315</x:f>
        <x:v>0</x:v>
      </x:c>
      <x:c r="F1315" s="5" t="str">
        <x:v>nicht Pilot</x:v>
      </x:c>
      <x:c r="G1315" s="5" t="str">
        <x:v>WQ</x:v>
      </x:c>
    </x:row>
    <x:row r="1316" ht="36" customHeight="1">
      <x:c r="A1316" s="5" t="str">
        <x:v>UF-0105</x:v>
      </x:c>
      <x:c r="B1316" s="5" t="str">
        <x:v>Unternehmensführung</x:v>
      </x:c>
      <x:c r="C1316" s="11" t="n">
        <x:v>1</x:v>
      </x:c>
      <x:c r="D1316" s="11" t="n">
        <x:f>COUNTIF('Einzel-ID-Zuordnung'!$A$7:$A$2692,A1316)</x:f>
        <x:v>1</x:v>
      </x:c>
      <x:c r="E1316" s="11" t="n">
        <x:f>D1316-C1316</x:f>
        <x:v>0</x:v>
      </x:c>
      <x:c r="F1316" s="5" t="str">
        <x:v>nicht Pilot</x:v>
      </x:c>
      <x:c r="G1316" s="5" t="str">
        <x:v>WQ</x:v>
      </x:c>
    </x:row>
    <x:row r="1317" ht="36" customHeight="1">
      <x:c r="A1317" s="5" t="str">
        <x:v>UF-0106</x:v>
      </x:c>
      <x:c r="B1317" s="5" t="str">
        <x:v>Unternehmensführung</x:v>
      </x:c>
      <x:c r="C1317" s="11" t="n">
        <x:v>1</x:v>
      </x:c>
      <x:c r="D1317" s="11" t="n">
        <x:f>COUNTIF('Einzel-ID-Zuordnung'!$A$7:$A$2692,A1317)</x:f>
        <x:v>1</x:v>
      </x:c>
      <x:c r="E1317" s="11" t="n">
        <x:f>D1317-C1317</x:f>
        <x:v>0</x:v>
      </x:c>
      <x:c r="F1317" s="5" t="str">
        <x:v>nicht Pilot</x:v>
      </x:c>
      <x:c r="G1317" s="5" t="str">
        <x:v>WQ</x:v>
      </x:c>
    </x:row>
    <x:row r="1318" ht="36" customHeight="1">
      <x:c r="A1318" s="5" t="str">
        <x:v>UF-0107</x:v>
      </x:c>
      <x:c r="B1318" s="5" t="str">
        <x:v>Unternehmensführung</x:v>
      </x:c>
      <x:c r="C1318" s="11" t="n">
        <x:v>1</x:v>
      </x:c>
      <x:c r="D1318" s="11" t="n">
        <x:f>COUNTIF('Einzel-ID-Zuordnung'!$A$7:$A$2692,A1318)</x:f>
        <x:v>1</x:v>
      </x:c>
      <x:c r="E1318" s="11" t="n">
        <x:f>D1318-C1318</x:f>
        <x:v>0</x:v>
      </x:c>
      <x:c r="F1318" s="5" t="str">
        <x:v>nicht Pilot</x:v>
      </x:c>
      <x:c r="G1318" s="5" t="str">
        <x:v>WQ</x:v>
      </x:c>
    </x:row>
    <x:row r="1319" ht="36" customHeight="1">
      <x:c r="A1319" s="5" t="str">
        <x:v>UF-0108</x:v>
      </x:c>
      <x:c r="B1319" s="5" t="str">
        <x:v>Unternehmensführung</x:v>
      </x:c>
      <x:c r="C1319" s="11" t="n">
        <x:v>1</x:v>
      </x:c>
      <x:c r="D1319" s="11" t="n">
        <x:f>COUNTIF('Einzel-ID-Zuordnung'!$A$7:$A$2692,A1319)</x:f>
        <x:v>1</x:v>
      </x:c>
      <x:c r="E1319" s="11" t="n">
        <x:f>D1319-C1319</x:f>
        <x:v>0</x:v>
      </x:c>
      <x:c r="F1319" s="5" t="str">
        <x:v>nicht Pilot</x:v>
      </x:c>
      <x:c r="G1319" s="5" t="str">
        <x:v>WQ</x:v>
      </x:c>
    </x:row>
    <x:row r="1320" ht="36" customHeight="1">
      <x:c r="A1320" s="5" t="str">
        <x:v>UF-0109</x:v>
      </x:c>
      <x:c r="B1320" s="5" t="str">
        <x:v>Unternehmensführung</x:v>
      </x:c>
      <x:c r="C1320" s="11" t="n">
        <x:v>1</x:v>
      </x:c>
      <x:c r="D1320" s="11" t="n">
        <x:f>COUNTIF('Einzel-ID-Zuordnung'!$A$7:$A$2692,A1320)</x:f>
        <x:v>1</x:v>
      </x:c>
      <x:c r="E1320" s="11" t="n">
        <x:f>D1320-C1320</x:f>
        <x:v>0</x:v>
      </x:c>
      <x:c r="F1320" s="5" t="str">
        <x:v>nicht Pilot</x:v>
      </x:c>
      <x:c r="G1320" s="5" t="str">
        <x:v>WQ</x:v>
      </x:c>
    </x:row>
    <x:row r="1321" ht="36" customHeight="1">
      <x:c r="A1321" s="5" t="str">
        <x:v>UF-0110</x:v>
      </x:c>
      <x:c r="B1321" s="5" t="str">
        <x:v>Unternehmensführung</x:v>
      </x:c>
      <x:c r="C1321" s="11" t="n">
        <x:v>1</x:v>
      </x:c>
      <x:c r="D1321" s="11" t="n">
        <x:f>COUNTIF('Einzel-ID-Zuordnung'!$A$7:$A$2692,A1321)</x:f>
        <x:v>1</x:v>
      </x:c>
      <x:c r="E1321" s="11" t="n">
        <x:f>D1321-C1321</x:f>
        <x:v>0</x:v>
      </x:c>
      <x:c r="F1321" s="5" t="str">
        <x:v>nicht Pilot</x:v>
      </x:c>
      <x:c r="G1321" s="5" t="str">
        <x:v>WQ</x:v>
      </x:c>
    </x:row>
    <x:row r="1322" ht="36" customHeight="1">
      <x:c r="A1322" s="5" t="str">
        <x:v>UF-0111</x:v>
      </x:c>
      <x:c r="B1322" s="5" t="str">
        <x:v>Unternehmensführung</x:v>
      </x:c>
      <x:c r="C1322" s="11" t="n">
        <x:v>1</x:v>
      </x:c>
      <x:c r="D1322" s="11" t="n">
        <x:f>COUNTIF('Einzel-ID-Zuordnung'!$A$7:$A$2692,A1322)</x:f>
        <x:v>1</x:v>
      </x:c>
      <x:c r="E1322" s="11" t="n">
        <x:f>D1322-C1322</x:f>
        <x:v>0</x:v>
      </x:c>
      <x:c r="F1322" s="5" t="str">
        <x:v>nicht Pilot</x:v>
      </x:c>
      <x:c r="G1322" s="5" t="str">
        <x:v>WQ</x:v>
      </x:c>
    </x:row>
    <x:row r="1323" ht="36" customHeight="1">
      <x:c r="A1323" s="5" t="str">
        <x:v>UF-0112</x:v>
      </x:c>
      <x:c r="B1323" s="5" t="str">
        <x:v>Unternehmensführung</x:v>
      </x:c>
      <x:c r="C1323" s="11" t="n">
        <x:v>1</x:v>
      </x:c>
      <x:c r="D1323" s="11" t="n">
        <x:f>COUNTIF('Einzel-ID-Zuordnung'!$A$7:$A$2692,A1323)</x:f>
        <x:v>1</x:v>
      </x:c>
      <x:c r="E1323" s="11" t="n">
        <x:f>D1323-C1323</x:f>
        <x:v>0</x:v>
      </x:c>
      <x:c r="F1323" s="5" t="str">
        <x:v>nicht Pilot</x:v>
      </x:c>
      <x:c r="G1323" s="5" t="str">
        <x:v>WQ</x:v>
      </x:c>
    </x:row>
    <x:row r="1324" ht="36" customHeight="1">
      <x:c r="A1324" s="5" t="str">
        <x:v>UF-0113</x:v>
      </x:c>
      <x:c r="B1324" s="5" t="str">
        <x:v>Unternehmensführung</x:v>
      </x:c>
      <x:c r="C1324" s="11" t="n">
        <x:v>1</x:v>
      </x:c>
      <x:c r="D1324" s="11" t="n">
        <x:f>COUNTIF('Einzel-ID-Zuordnung'!$A$7:$A$2692,A1324)</x:f>
        <x:v>1</x:v>
      </x:c>
      <x:c r="E1324" s="11" t="n">
        <x:f>D1324-C1324</x:f>
        <x:v>0</x:v>
      </x:c>
      <x:c r="F1324" s="5" t="str">
        <x:v>nicht Pilot</x:v>
      </x:c>
      <x:c r="G1324" s="5" t="str">
        <x:v>WQ</x:v>
      </x:c>
    </x:row>
    <x:row r="1325" ht="36" customHeight="1">
      <x:c r="A1325" s="5" t="str">
        <x:v>UF-0114</x:v>
      </x:c>
      <x:c r="B1325" s="5" t="str">
        <x:v>Unternehmensführung</x:v>
      </x:c>
      <x:c r="C1325" s="11" t="n">
        <x:v>1</x:v>
      </x:c>
      <x:c r="D1325" s="11" t="n">
        <x:f>COUNTIF('Einzel-ID-Zuordnung'!$A$7:$A$2692,A1325)</x:f>
        <x:v>1</x:v>
      </x:c>
      <x:c r="E1325" s="11" t="n">
        <x:f>D1325-C1325</x:f>
        <x:v>0</x:v>
      </x:c>
      <x:c r="F1325" s="5" t="str">
        <x:v>nicht Pilot</x:v>
      </x:c>
      <x:c r="G1325" s="5" t="str">
        <x:v>WQ</x:v>
      </x:c>
    </x:row>
    <x:row r="1326" ht="36" customHeight="1">
      <x:c r="A1326" s="5" t="str">
        <x:v>UF-0115</x:v>
      </x:c>
      <x:c r="B1326" s="5" t="str">
        <x:v>Unternehmensführung</x:v>
      </x:c>
      <x:c r="C1326" s="11" t="n">
        <x:v>1</x:v>
      </x:c>
      <x:c r="D1326" s="11" t="n">
        <x:f>COUNTIF('Einzel-ID-Zuordnung'!$A$7:$A$2692,A1326)</x:f>
        <x:v>1</x:v>
      </x:c>
      <x:c r="E1326" s="11" t="n">
        <x:f>D1326-C1326</x:f>
        <x:v>0</x:v>
      </x:c>
      <x:c r="F1326" s="5" t="str">
        <x:v>nicht Pilot</x:v>
      </x:c>
      <x:c r="G1326" s="5" t="str">
        <x:v>WQ</x:v>
      </x:c>
    </x:row>
    <x:row r="1327" ht="36" customHeight="1">
      <x:c r="A1327" s="5" t="str">
        <x:v>UF-0116</x:v>
      </x:c>
      <x:c r="B1327" s="5" t="str">
        <x:v>Unternehmensführung</x:v>
      </x:c>
      <x:c r="C1327" s="11" t="n">
        <x:v>1</x:v>
      </x:c>
      <x:c r="D1327" s="11" t="n">
        <x:f>COUNTIF('Einzel-ID-Zuordnung'!$A$7:$A$2692,A1327)</x:f>
        <x:v>1</x:v>
      </x:c>
      <x:c r="E1327" s="11" t="n">
        <x:f>D1327-C1327</x:f>
        <x:v>0</x:v>
      </x:c>
      <x:c r="F1327" s="5" t="str">
        <x:v>nicht Pilot</x:v>
      </x:c>
      <x:c r="G1327" s="5" t="str">
        <x:v>WQ</x:v>
      </x:c>
    </x:row>
    <x:row r="1328" ht="36" customHeight="1">
      <x:c r="A1328" s="5" t="str">
        <x:v>UF-0117</x:v>
      </x:c>
      <x:c r="B1328" s="5" t="str">
        <x:v>Unternehmensführung</x:v>
      </x:c>
      <x:c r="C1328" s="11" t="n">
        <x:v>1</x:v>
      </x:c>
      <x:c r="D1328" s="11" t="n">
        <x:f>COUNTIF('Einzel-ID-Zuordnung'!$A$7:$A$2692,A1328)</x:f>
        <x:v>1</x:v>
      </x:c>
      <x:c r="E1328" s="11" t="n">
        <x:f>D1328-C1328</x:f>
        <x:v>0</x:v>
      </x:c>
      <x:c r="F1328" s="5" t="str">
        <x:v>nicht Pilot</x:v>
      </x:c>
      <x:c r="G1328" s="5" t="str">
        <x:v>WQ</x:v>
      </x:c>
    </x:row>
    <x:row r="1329" ht="36" customHeight="1">
      <x:c r="A1329" s="5" t="str">
        <x:v>UF-0118</x:v>
      </x:c>
      <x:c r="B1329" s="5" t="str">
        <x:v>Unternehmensführung</x:v>
      </x:c>
      <x:c r="C1329" s="11" t="n">
        <x:v>1</x:v>
      </x:c>
      <x:c r="D1329" s="11" t="n">
        <x:f>COUNTIF('Einzel-ID-Zuordnung'!$A$7:$A$2692,A1329)</x:f>
        <x:v>1</x:v>
      </x:c>
      <x:c r="E1329" s="11" t="n">
        <x:f>D1329-C1329</x:f>
        <x:v>0</x:v>
      </x:c>
      <x:c r="F1329" s="5" t="str">
        <x:v>nicht Pilot</x:v>
      </x:c>
      <x:c r="G1329" s="5" t="str">
        <x:v>WQ</x:v>
      </x:c>
    </x:row>
    <x:row r="1330" ht="36" customHeight="1">
      <x:c r="A1330" s="5" t="str">
        <x:v>UF-0119</x:v>
      </x:c>
      <x:c r="B1330" s="5" t="str">
        <x:v>Unternehmensführung</x:v>
      </x:c>
      <x:c r="C1330" s="11" t="n">
        <x:v>1</x:v>
      </x:c>
      <x:c r="D1330" s="11" t="n">
        <x:f>COUNTIF('Einzel-ID-Zuordnung'!$A$7:$A$2692,A1330)</x:f>
        <x:v>1</x:v>
      </x:c>
      <x:c r="E1330" s="11" t="n">
        <x:f>D1330-C1330</x:f>
        <x:v>0</x:v>
      </x:c>
      <x:c r="F1330" s="5" t="str">
        <x:v>nicht Pilot</x:v>
      </x:c>
      <x:c r="G1330" s="5" t="str">
        <x:v>WQ</x:v>
      </x:c>
    </x:row>
    <x:row r="1331" ht="36" customHeight="1">
      <x:c r="A1331" s="5" t="str">
        <x:v>UF-0120</x:v>
      </x:c>
      <x:c r="B1331" s="5" t="str">
        <x:v>Unternehmensführung</x:v>
      </x:c>
      <x:c r="C1331" s="11" t="n">
        <x:v>1</x:v>
      </x:c>
      <x:c r="D1331" s="11" t="n">
        <x:f>COUNTIF('Einzel-ID-Zuordnung'!$A$7:$A$2692,A1331)</x:f>
        <x:v>1</x:v>
      </x:c>
      <x:c r="E1331" s="11" t="n">
        <x:f>D1331-C1331</x:f>
        <x:v>0</x:v>
      </x:c>
      <x:c r="F1331" s="5" t="str">
        <x:v>nicht Pilot</x:v>
      </x:c>
      <x:c r="G1331" s="5" t="str">
        <x:v>WQ</x:v>
      </x:c>
    </x:row>
    <x:row r="1332" ht="36" customHeight="1">
      <x:c r="A1332" s="5" t="str">
        <x:v>UF-0121</x:v>
      </x:c>
      <x:c r="B1332" s="5" t="str">
        <x:v>Unternehmensführung</x:v>
      </x:c>
      <x:c r="C1332" s="11" t="n">
        <x:v>1</x:v>
      </x:c>
      <x:c r="D1332" s="11" t="n">
        <x:f>COUNTIF('Einzel-ID-Zuordnung'!$A$7:$A$2692,A1332)</x:f>
        <x:v>1</x:v>
      </x:c>
      <x:c r="E1332" s="11" t="n">
        <x:f>D1332-C1332</x:f>
        <x:v>0</x:v>
      </x:c>
      <x:c r="F1332" s="5" t="str">
        <x:v>nicht Pilot</x:v>
      </x:c>
      <x:c r="G1332" s="5" t="str">
        <x:v>WQ</x:v>
      </x:c>
    </x:row>
    <x:row r="1333" ht="36" customHeight="1">
      <x:c r="A1333" s="5" t="str">
        <x:v>UF-0122</x:v>
      </x:c>
      <x:c r="B1333" s="5" t="str">
        <x:v>Unternehmensführung</x:v>
      </x:c>
      <x:c r="C1333" s="11" t="n">
        <x:v>1</x:v>
      </x:c>
      <x:c r="D1333" s="11" t="n">
        <x:f>COUNTIF('Einzel-ID-Zuordnung'!$A$7:$A$2692,A1333)</x:f>
        <x:v>1</x:v>
      </x:c>
      <x:c r="E1333" s="11" t="n">
        <x:f>D1333-C1333</x:f>
        <x:v>0</x:v>
      </x:c>
      <x:c r="F1333" s="5" t="str">
        <x:v>nicht Pilot</x:v>
      </x:c>
      <x:c r="G1333" s="5" t="str">
        <x:v>WQ</x:v>
      </x:c>
    </x:row>
    <x:row r="1334" ht="36" customHeight="1">
      <x:c r="A1334" s="5" t="str">
        <x:v>UF-0123</x:v>
      </x:c>
      <x:c r="B1334" s="5" t="str">
        <x:v>Unternehmensführung</x:v>
      </x:c>
      <x:c r="C1334" s="11" t="n">
        <x:v>1</x:v>
      </x:c>
      <x:c r="D1334" s="11" t="n">
        <x:f>COUNTIF('Einzel-ID-Zuordnung'!$A$7:$A$2692,A1334)</x:f>
        <x:v>1</x:v>
      </x:c>
      <x:c r="E1334" s="11" t="n">
        <x:f>D1334-C1334</x:f>
        <x:v>0</x:v>
      </x:c>
      <x:c r="F1334" s="5" t="str">
        <x:v>nicht Pilot</x:v>
      </x:c>
      <x:c r="G1334" s="5" t="str">
        <x:v>WQ</x:v>
      </x:c>
    </x:row>
    <x:row r="1335" ht="36" customHeight="1">
      <x:c r="A1335" s="5" t="str">
        <x:v>UF-0124</x:v>
      </x:c>
      <x:c r="B1335" s="5" t="str">
        <x:v>Unternehmensführung</x:v>
      </x:c>
      <x:c r="C1335" s="11" t="n">
        <x:v>1</x:v>
      </x:c>
      <x:c r="D1335" s="11" t="n">
        <x:f>COUNTIF('Einzel-ID-Zuordnung'!$A$7:$A$2692,A1335)</x:f>
        <x:v>1</x:v>
      </x:c>
      <x:c r="E1335" s="11" t="n">
        <x:f>D1335-C1335</x:f>
        <x:v>0</x:v>
      </x:c>
      <x:c r="F1335" s="5" t="str">
        <x:v>nicht Pilot</x:v>
      </x:c>
      <x:c r="G1335" s="5" t="str">
        <x:v>WQ</x:v>
      </x:c>
    </x:row>
    <x:row r="1336" ht="36" customHeight="1">
      <x:c r="A1336" s="5" t="str">
        <x:v>UF-0125</x:v>
      </x:c>
      <x:c r="B1336" s="5" t="str">
        <x:v>Unternehmensführung</x:v>
      </x:c>
      <x:c r="C1336" s="11" t="n">
        <x:v>1</x:v>
      </x:c>
      <x:c r="D1336" s="11" t="n">
        <x:f>COUNTIF('Einzel-ID-Zuordnung'!$A$7:$A$2692,A1336)</x:f>
        <x:v>1</x:v>
      </x:c>
      <x:c r="E1336" s="11" t="n">
        <x:f>D1336-C1336</x:f>
        <x:v>0</x:v>
      </x:c>
      <x:c r="F1336" s="5" t="str">
        <x:v>nicht Pilot</x:v>
      </x:c>
      <x:c r="G1336" s="5" t="str">
        <x:v>WQ</x:v>
      </x:c>
    </x:row>
    <x:row r="1337" ht="36" customHeight="1">
      <x:c r="A1337" s="5" t="str">
        <x:v>UF-0126</x:v>
      </x:c>
      <x:c r="B1337" s="5" t="str">
        <x:v>Unternehmensführung</x:v>
      </x:c>
      <x:c r="C1337" s="11" t="n">
        <x:v>1</x:v>
      </x:c>
      <x:c r="D1337" s="11" t="n">
        <x:f>COUNTIF('Einzel-ID-Zuordnung'!$A$7:$A$2692,A1337)</x:f>
        <x:v>1</x:v>
      </x:c>
      <x:c r="E1337" s="11" t="n">
        <x:f>D1337-C1337</x:f>
        <x:v>0</x:v>
      </x:c>
      <x:c r="F1337" s="5" t="str">
        <x:v>nicht Pilot</x:v>
      </x:c>
      <x:c r="G1337" s="5" t="str">
        <x:v>WQ</x:v>
      </x:c>
    </x:row>
    <x:row r="1338" ht="36" customHeight="1">
      <x:c r="A1338" s="5" t="str">
        <x:v>UF-0127</x:v>
      </x:c>
      <x:c r="B1338" s="5" t="str">
        <x:v>Unternehmensführung</x:v>
      </x:c>
      <x:c r="C1338" s="11" t="n">
        <x:v>1</x:v>
      </x:c>
      <x:c r="D1338" s="11" t="n">
        <x:f>COUNTIF('Einzel-ID-Zuordnung'!$A$7:$A$2692,A1338)</x:f>
        <x:v>1</x:v>
      </x:c>
      <x:c r="E1338" s="11" t="n">
        <x:f>D1338-C1338</x:f>
        <x:v>0</x:v>
      </x:c>
      <x:c r="F1338" s="5" t="str">
        <x:v>nicht Pilot</x:v>
      </x:c>
      <x:c r="G1338" s="5" t="str">
        <x:v>WQ</x:v>
      </x:c>
    </x:row>
    <x:row r="1339" ht="36" customHeight="1">
      <x:c r="A1339" s="5" t="str">
        <x:v>UF-0128</x:v>
      </x:c>
      <x:c r="B1339" s="5" t="str">
        <x:v>Unternehmensführung</x:v>
      </x:c>
      <x:c r="C1339" s="11" t="n">
        <x:v>1</x:v>
      </x:c>
      <x:c r="D1339" s="11" t="n">
        <x:f>COUNTIF('Einzel-ID-Zuordnung'!$A$7:$A$2692,A1339)</x:f>
        <x:v>1</x:v>
      </x:c>
      <x:c r="E1339" s="11" t="n">
        <x:f>D1339-C1339</x:f>
        <x:v>0</x:v>
      </x:c>
      <x:c r="F1339" s="5" t="str">
        <x:v>nicht Pilot</x:v>
      </x:c>
      <x:c r="G1339" s="5" t="str">
        <x:v>WQ</x:v>
      </x:c>
    </x:row>
    <x:row r="1340" ht="36" customHeight="1">
      <x:c r="A1340" s="5" t="str">
        <x:v>UF-0129</x:v>
      </x:c>
      <x:c r="B1340" s="5" t="str">
        <x:v>Unternehmensführung</x:v>
      </x:c>
      <x:c r="C1340" s="11" t="n">
        <x:v>1</x:v>
      </x:c>
      <x:c r="D1340" s="11" t="n">
        <x:f>COUNTIF('Einzel-ID-Zuordnung'!$A$7:$A$2692,A1340)</x:f>
        <x:v>1</x:v>
      </x:c>
      <x:c r="E1340" s="11" t="n">
        <x:f>D1340-C1340</x:f>
        <x:v>0</x:v>
      </x:c>
      <x:c r="F1340" s="5" t="str">
        <x:v>nicht Pilot</x:v>
      </x:c>
      <x:c r="G1340" s="5" t="str">
        <x:v>WQ</x:v>
      </x:c>
    </x:row>
    <x:row r="1341" ht="36" customHeight="1">
      <x:c r="A1341" s="5" t="str">
        <x:v>UF-0130</x:v>
      </x:c>
      <x:c r="B1341" s="5" t="str">
        <x:v>Unternehmensführung</x:v>
      </x:c>
      <x:c r="C1341" s="11" t="n">
        <x:v>1</x:v>
      </x:c>
      <x:c r="D1341" s="11" t="n">
        <x:f>COUNTIF('Einzel-ID-Zuordnung'!$A$7:$A$2692,A1341)</x:f>
        <x:v>1</x:v>
      </x:c>
      <x:c r="E1341" s="11" t="n">
        <x:f>D1341-C1341</x:f>
        <x:v>0</x:v>
      </x:c>
      <x:c r="F1341" s="5" t="str">
        <x:v>nicht Pilot</x:v>
      </x:c>
      <x:c r="G1341" s="5" t="str">
        <x:v>WQ</x:v>
      </x:c>
    </x:row>
    <x:row r="1342" ht="36" customHeight="1">
      <x:c r="A1342" s="5" t="str">
        <x:v>UF-0131</x:v>
      </x:c>
      <x:c r="B1342" s="5" t="str">
        <x:v>Unternehmensführung</x:v>
      </x:c>
      <x:c r="C1342" s="11" t="n">
        <x:v>1</x:v>
      </x:c>
      <x:c r="D1342" s="11" t="n">
        <x:f>COUNTIF('Einzel-ID-Zuordnung'!$A$7:$A$2692,A1342)</x:f>
        <x:v>1</x:v>
      </x:c>
      <x:c r="E1342" s="11" t="n">
        <x:f>D1342-C1342</x:f>
        <x:v>0</x:v>
      </x:c>
      <x:c r="F1342" s="5" t="str">
        <x:v>nicht Pilot</x:v>
      </x:c>
      <x:c r="G1342" s="5" t="str">
        <x:v>WQ</x:v>
      </x:c>
    </x:row>
    <x:row r="1343" ht="36" customHeight="1">
      <x:c r="A1343" s="5" t="str">
        <x:v>UF-0132</x:v>
      </x:c>
      <x:c r="B1343" s="5" t="str">
        <x:v>Unternehmensführung</x:v>
      </x:c>
      <x:c r="C1343" s="11" t="n">
        <x:v>1</x:v>
      </x:c>
      <x:c r="D1343" s="11" t="n">
        <x:f>COUNTIF('Einzel-ID-Zuordnung'!$A$7:$A$2692,A1343)</x:f>
        <x:v>1</x:v>
      </x:c>
      <x:c r="E1343" s="11" t="n">
        <x:f>D1343-C1343</x:f>
        <x:v>0</x:v>
      </x:c>
      <x:c r="F1343" s="5" t="str">
        <x:v>nicht Pilot</x:v>
      </x:c>
      <x:c r="G1343" s="5" t="str">
        <x:v>WQ</x:v>
      </x:c>
    </x:row>
    <x:row r="1344" ht="36" customHeight="1">
      <x:c r="A1344" s="5" t="str">
        <x:v>UF-0133</x:v>
      </x:c>
      <x:c r="B1344" s="5" t="str">
        <x:v>Unternehmensführung</x:v>
      </x:c>
      <x:c r="C1344" s="11" t="n">
        <x:v>1</x:v>
      </x:c>
      <x:c r="D1344" s="11" t="n">
        <x:f>COUNTIF('Einzel-ID-Zuordnung'!$A$7:$A$2692,A1344)</x:f>
        <x:v>1</x:v>
      </x:c>
      <x:c r="E1344" s="11" t="n">
        <x:f>D1344-C1344</x:f>
        <x:v>0</x:v>
      </x:c>
      <x:c r="F1344" s="5" t="str">
        <x:v>nicht Pilot</x:v>
      </x:c>
      <x:c r="G1344" s="5" t="str">
        <x:v>WQ</x:v>
      </x:c>
    </x:row>
    <x:row r="1345" ht="36" customHeight="1">
      <x:c r="A1345" s="5" t="str">
        <x:v>UF-0134</x:v>
      </x:c>
      <x:c r="B1345" s="5" t="str">
        <x:v>Unternehmensführung</x:v>
      </x:c>
      <x:c r="C1345" s="11" t="n">
        <x:v>1</x:v>
      </x:c>
      <x:c r="D1345" s="11" t="n">
        <x:f>COUNTIF('Einzel-ID-Zuordnung'!$A$7:$A$2692,A1345)</x:f>
        <x:v>1</x:v>
      </x:c>
      <x:c r="E1345" s="11" t="n">
        <x:f>D1345-C1345</x:f>
        <x:v>0</x:v>
      </x:c>
      <x:c r="F1345" s="5" t="str">
        <x:v>nicht Pilot</x:v>
      </x:c>
      <x:c r="G1345" s="5" t="str">
        <x:v>WQ</x:v>
      </x:c>
    </x:row>
    <x:row r="1346" ht="36" customHeight="1">
      <x:c r="A1346" s="5" t="str">
        <x:v>UF-0135</x:v>
      </x:c>
      <x:c r="B1346" s="5" t="str">
        <x:v>Unternehmensführung</x:v>
      </x:c>
      <x:c r="C1346" s="11" t="n">
        <x:v>1</x:v>
      </x:c>
      <x:c r="D1346" s="11" t="n">
        <x:f>COUNTIF('Einzel-ID-Zuordnung'!$A$7:$A$2692,A1346)</x:f>
        <x:v>1</x:v>
      </x:c>
      <x:c r="E1346" s="11" t="n">
        <x:f>D1346-C1346</x:f>
        <x:v>0</x:v>
      </x:c>
      <x:c r="F1346" s="5" t="str">
        <x:v>nicht Pilot</x:v>
      </x:c>
      <x:c r="G1346" s="5" t="str">
        <x:v>WQ</x:v>
      </x:c>
    </x:row>
    <x:row r="1347" ht="36" customHeight="1">
      <x:c r="A1347" s="5" t="str">
        <x:v>UF-0136</x:v>
      </x:c>
      <x:c r="B1347" s="5" t="str">
        <x:v>Unternehmensführung</x:v>
      </x:c>
      <x:c r="C1347" s="11" t="n">
        <x:v>1</x:v>
      </x:c>
      <x:c r="D1347" s="11" t="n">
        <x:f>COUNTIF('Einzel-ID-Zuordnung'!$A$7:$A$2692,A1347)</x:f>
        <x:v>1</x:v>
      </x:c>
      <x:c r="E1347" s="11" t="n">
        <x:f>D1347-C1347</x:f>
        <x:v>0</x:v>
      </x:c>
      <x:c r="F1347" s="5" t="str">
        <x:v>nicht Pilot</x:v>
      </x:c>
      <x:c r="G1347" s="5" t="str">
        <x:v>WQ</x:v>
      </x:c>
    </x:row>
    <x:row r="1348" ht="36" customHeight="1">
      <x:c r="A1348" s="5" t="str">
        <x:v>UF-0137</x:v>
      </x:c>
      <x:c r="B1348" s="5" t="str">
        <x:v>Unternehmensführung</x:v>
      </x:c>
      <x:c r="C1348" s="11" t="n">
        <x:v>1</x:v>
      </x:c>
      <x:c r="D1348" s="11" t="n">
        <x:f>COUNTIF('Einzel-ID-Zuordnung'!$A$7:$A$2692,A1348)</x:f>
        <x:v>1</x:v>
      </x:c>
      <x:c r="E1348" s="11" t="n">
        <x:f>D1348-C1348</x:f>
        <x:v>0</x:v>
      </x:c>
      <x:c r="F1348" s="5" t="str">
        <x:v>nicht Pilot</x:v>
      </x:c>
      <x:c r="G1348" s="5" t="str">
        <x:v>WQ</x:v>
      </x:c>
    </x:row>
    <x:row r="1349" ht="36" customHeight="1">
      <x:c r="A1349" s="5" t="str">
        <x:v>UF-0138</x:v>
      </x:c>
      <x:c r="B1349" s="5" t="str">
        <x:v>Unternehmensführung</x:v>
      </x:c>
      <x:c r="C1349" s="11" t="n">
        <x:v>1</x:v>
      </x:c>
      <x:c r="D1349" s="11" t="n">
        <x:f>COUNTIF('Einzel-ID-Zuordnung'!$A$7:$A$2692,A1349)</x:f>
        <x:v>1</x:v>
      </x:c>
      <x:c r="E1349" s="11" t="n">
        <x:f>D1349-C1349</x:f>
        <x:v>0</x:v>
      </x:c>
      <x:c r="F1349" s="5" t="str">
        <x:v>nicht Pilot</x:v>
      </x:c>
      <x:c r="G1349" s="5" t="str">
        <x:v>WQ</x:v>
      </x:c>
    </x:row>
    <x:row r="1350" ht="36" customHeight="1">
      <x:c r="A1350" s="5" t="str">
        <x:v>UF-0139</x:v>
      </x:c>
      <x:c r="B1350" s="5" t="str">
        <x:v>Unternehmensführung</x:v>
      </x:c>
      <x:c r="C1350" s="11" t="n">
        <x:v>1</x:v>
      </x:c>
      <x:c r="D1350" s="11" t="n">
        <x:f>COUNTIF('Einzel-ID-Zuordnung'!$A$7:$A$2692,A1350)</x:f>
        <x:v>1</x:v>
      </x:c>
      <x:c r="E1350" s="11" t="n">
        <x:f>D1350-C1350</x:f>
        <x:v>0</x:v>
      </x:c>
      <x:c r="F1350" s="5" t="str">
        <x:v>nicht Pilot</x:v>
      </x:c>
      <x:c r="G1350" s="5" t="str">
        <x:v>WQ</x:v>
      </x:c>
    </x:row>
    <x:row r="1351" ht="36" customHeight="1">
      <x:c r="A1351" s="5" t="str">
        <x:v>UF-0140</x:v>
      </x:c>
      <x:c r="B1351" s="5" t="str">
        <x:v>Unternehmensführung</x:v>
      </x:c>
      <x:c r="C1351" s="11" t="n">
        <x:v>1</x:v>
      </x:c>
      <x:c r="D1351" s="11" t="n">
        <x:f>COUNTIF('Einzel-ID-Zuordnung'!$A$7:$A$2692,A1351)</x:f>
        <x:v>1</x:v>
      </x:c>
      <x:c r="E1351" s="11" t="n">
        <x:f>D1351-C1351</x:f>
        <x:v>0</x:v>
      </x:c>
      <x:c r="F1351" s="5" t="str">
        <x:v>nicht Pilot</x:v>
      </x:c>
      <x:c r="G1351" s="5" t="str">
        <x:v>WQ</x:v>
      </x:c>
    </x:row>
    <x:row r="1352" ht="36" customHeight="1">
      <x:c r="A1352" s="5" t="str">
        <x:v>UF-0141</x:v>
      </x:c>
      <x:c r="B1352" s="5" t="str">
        <x:v>Unternehmensführung</x:v>
      </x:c>
      <x:c r="C1352" s="11" t="n">
        <x:v>1</x:v>
      </x:c>
      <x:c r="D1352" s="11" t="n">
        <x:f>COUNTIF('Einzel-ID-Zuordnung'!$A$7:$A$2692,A1352)</x:f>
        <x:v>1</x:v>
      </x:c>
      <x:c r="E1352" s="11" t="n">
        <x:f>D1352-C1352</x:f>
        <x:v>0</x:v>
      </x:c>
      <x:c r="F1352" s="5" t="str">
        <x:v>nicht Pilot</x:v>
      </x:c>
      <x:c r="G1352" s="5" t="str">
        <x:v>WQ</x:v>
      </x:c>
    </x:row>
    <x:row r="1353" ht="36" customHeight="1">
      <x:c r="A1353" s="5" t="str">
        <x:v>UF-0142</x:v>
      </x:c>
      <x:c r="B1353" s="5" t="str">
        <x:v>Unternehmensführung</x:v>
      </x:c>
      <x:c r="C1353" s="11" t="n">
        <x:v>1</x:v>
      </x:c>
      <x:c r="D1353" s="11" t="n">
        <x:f>COUNTIF('Einzel-ID-Zuordnung'!$A$7:$A$2692,A1353)</x:f>
        <x:v>1</x:v>
      </x:c>
      <x:c r="E1353" s="11" t="n">
        <x:f>D1353-C1353</x:f>
        <x:v>0</x:v>
      </x:c>
      <x:c r="F1353" s="5" t="str">
        <x:v>nicht Pilot</x:v>
      </x:c>
      <x:c r="G1353" s="5" t="str">
        <x:v>WQ</x:v>
      </x:c>
    </x:row>
    <x:row r="1354" ht="36" customHeight="1">
      <x:c r="A1354" s="5" t="str">
        <x:v>UF-0143</x:v>
      </x:c>
      <x:c r="B1354" s="5" t="str">
        <x:v>Unternehmensführung</x:v>
      </x:c>
      <x:c r="C1354" s="11" t="n">
        <x:v>1</x:v>
      </x:c>
      <x:c r="D1354" s="11" t="n">
        <x:f>COUNTIF('Einzel-ID-Zuordnung'!$A$7:$A$2692,A1354)</x:f>
        <x:v>1</x:v>
      </x:c>
      <x:c r="E1354" s="11" t="n">
        <x:f>D1354-C1354</x:f>
        <x:v>0</x:v>
      </x:c>
      <x:c r="F1354" s="5" t="str">
        <x:v>nicht Pilot</x:v>
      </x:c>
      <x:c r="G1354" s="5" t="str">
        <x:v>WQ</x:v>
      </x:c>
    </x:row>
    <x:row r="1355" ht="36" customHeight="1">
      <x:c r="A1355" s="5" t="str">
        <x:v>UF-0144</x:v>
      </x:c>
      <x:c r="B1355" s="5" t="str">
        <x:v>Unternehmensführung</x:v>
      </x:c>
      <x:c r="C1355" s="11" t="n">
        <x:v>1</x:v>
      </x:c>
      <x:c r="D1355" s="11" t="n">
        <x:f>COUNTIF('Einzel-ID-Zuordnung'!$A$7:$A$2692,A1355)</x:f>
        <x:v>1</x:v>
      </x:c>
      <x:c r="E1355" s="11" t="n">
        <x:f>D1355-C1355</x:f>
        <x:v>0</x:v>
      </x:c>
      <x:c r="F1355" s="5" t="str">
        <x:v>nicht Pilot</x:v>
      </x:c>
      <x:c r="G1355" s="5" t="str">
        <x:v>WQ</x:v>
      </x:c>
    </x:row>
    <x:row r="1356" ht="36" customHeight="1">
      <x:c r="A1356" s="5" t="str">
        <x:v>UF-0145</x:v>
      </x:c>
      <x:c r="B1356" s="5" t="str">
        <x:v>Unternehmensführung</x:v>
      </x:c>
      <x:c r="C1356" s="11" t="n">
        <x:v>1</x:v>
      </x:c>
      <x:c r="D1356" s="11" t="n">
        <x:f>COUNTIF('Einzel-ID-Zuordnung'!$A$7:$A$2692,A1356)</x:f>
        <x:v>1</x:v>
      </x:c>
      <x:c r="E1356" s="11" t="n">
        <x:f>D1356-C1356</x:f>
        <x:v>0</x:v>
      </x:c>
      <x:c r="F1356" s="5" t="str">
        <x:v>nicht Pilot</x:v>
      </x:c>
      <x:c r="G1356" s="5" t="str">
        <x:v>WQ</x:v>
      </x:c>
    </x:row>
    <x:row r="1357" ht="36" customHeight="1">
      <x:c r="A1357" s="5" t="str">
        <x:v>UF-0146</x:v>
      </x:c>
      <x:c r="B1357" s="5" t="str">
        <x:v>Unternehmensführung</x:v>
      </x:c>
      <x:c r="C1357" s="11" t="n">
        <x:v>1</x:v>
      </x:c>
      <x:c r="D1357" s="11" t="n">
        <x:f>COUNTIF('Einzel-ID-Zuordnung'!$A$7:$A$2692,A1357)</x:f>
        <x:v>1</x:v>
      </x:c>
      <x:c r="E1357" s="11" t="n">
        <x:f>D1357-C1357</x:f>
        <x:v>0</x:v>
      </x:c>
      <x:c r="F1357" s="5" t="str">
        <x:v>nicht Pilot</x:v>
      </x:c>
      <x:c r="G1357" s="5" t="str">
        <x:v>WQ</x:v>
      </x:c>
    </x:row>
    <x:row r="1358" ht="36" customHeight="1">
      <x:c r="A1358" s="5" t="str">
        <x:v>UF-0147</x:v>
      </x:c>
      <x:c r="B1358" s="5" t="str">
        <x:v>Unternehmensführung</x:v>
      </x:c>
      <x:c r="C1358" s="11" t="n">
        <x:v>1</x:v>
      </x:c>
      <x:c r="D1358" s="11" t="n">
        <x:f>COUNTIF('Einzel-ID-Zuordnung'!$A$7:$A$2692,A1358)</x:f>
        <x:v>1</x:v>
      </x:c>
      <x:c r="E1358" s="11" t="n">
        <x:f>D1358-C1358</x:f>
        <x:v>0</x:v>
      </x:c>
      <x:c r="F1358" s="5" t="str">
        <x:v>nicht Pilot</x:v>
      </x:c>
      <x:c r="G1358" s="5" t="str">
        <x:v>WQ</x:v>
      </x:c>
    </x:row>
    <x:row r="1359" ht="36" customHeight="1">
      <x:c r="A1359" s="5" t="str">
        <x:v>UF-0148</x:v>
      </x:c>
      <x:c r="B1359" s="5" t="str">
        <x:v>Unternehmensführung</x:v>
      </x:c>
      <x:c r="C1359" s="11" t="n">
        <x:v>1</x:v>
      </x:c>
      <x:c r="D1359" s="11" t="n">
        <x:f>COUNTIF('Einzel-ID-Zuordnung'!$A$7:$A$2692,A1359)</x:f>
        <x:v>1</x:v>
      </x:c>
      <x:c r="E1359" s="11" t="n">
        <x:f>D1359-C1359</x:f>
        <x:v>0</x:v>
      </x:c>
      <x:c r="F1359" s="5" t="str">
        <x:v>nicht Pilot</x:v>
      </x:c>
      <x:c r="G1359" s="5" t="str">
        <x:v>WQ</x:v>
      </x:c>
    </x:row>
    <x:row r="1360" ht="36" customHeight="1">
      <x:c r="A1360" s="5" t="str">
        <x:v>UF-0149</x:v>
      </x:c>
      <x:c r="B1360" s="5" t="str">
        <x:v>Unternehmensführung</x:v>
      </x:c>
      <x:c r="C1360" s="11" t="n">
        <x:v>1</x:v>
      </x:c>
      <x:c r="D1360" s="11" t="n">
        <x:f>COUNTIF('Einzel-ID-Zuordnung'!$A$7:$A$2692,A1360)</x:f>
        <x:v>1</x:v>
      </x:c>
      <x:c r="E1360" s="11" t="n">
        <x:f>D1360-C1360</x:f>
        <x:v>0</x:v>
      </x:c>
      <x:c r="F1360" s="5" t="str">
        <x:v>nicht Pilot</x:v>
      </x:c>
      <x:c r="G1360" s="5" t="str">
        <x:v>WQ</x:v>
      </x:c>
    </x:row>
    <x:row r="1361" ht="36" customHeight="1">
      <x:c r="A1361" s="5" t="str">
        <x:v>UF-0150</x:v>
      </x:c>
      <x:c r="B1361" s="5" t="str">
        <x:v>Unternehmensführung</x:v>
      </x:c>
      <x:c r="C1361" s="11" t="n">
        <x:v>1</x:v>
      </x:c>
      <x:c r="D1361" s="11" t="n">
        <x:f>COUNTIF('Einzel-ID-Zuordnung'!$A$7:$A$2692,A1361)</x:f>
        <x:v>1</x:v>
      </x:c>
      <x:c r="E1361" s="11" t="n">
        <x:f>D1361-C1361</x:f>
        <x:v>0</x:v>
      </x:c>
      <x:c r="F1361" s="5" t="str">
        <x:v>nicht Pilot</x:v>
      </x:c>
      <x:c r="G1361" s="5" t="str">
        <x:v>WQ</x:v>
      </x:c>
    </x:row>
    <x:row r="1362" ht="36" customHeight="1">
      <x:c r="A1362" s="5" t="str">
        <x:v>UF-0151</x:v>
      </x:c>
      <x:c r="B1362" s="5" t="str">
        <x:v>Unternehmensführung</x:v>
      </x:c>
      <x:c r="C1362" s="11" t="n">
        <x:v>1</x:v>
      </x:c>
      <x:c r="D1362" s="11" t="n">
        <x:f>COUNTIF('Einzel-ID-Zuordnung'!$A$7:$A$2692,A1362)</x:f>
        <x:v>1</x:v>
      </x:c>
      <x:c r="E1362" s="11" t="n">
        <x:f>D1362-C1362</x:f>
        <x:v>0</x:v>
      </x:c>
      <x:c r="F1362" s="5" t="str">
        <x:v>nicht Pilot</x:v>
      </x:c>
      <x:c r="G1362" s="5" t="str">
        <x:v>WQ</x:v>
      </x:c>
    </x:row>
    <x:row r="1363" ht="36" customHeight="1">
      <x:c r="A1363" s="5" t="str">
        <x:v>UF-0152</x:v>
      </x:c>
      <x:c r="B1363" s="5" t="str">
        <x:v>Unternehmensführung</x:v>
      </x:c>
      <x:c r="C1363" s="11" t="n">
        <x:v>1</x:v>
      </x:c>
      <x:c r="D1363" s="11" t="n">
        <x:f>COUNTIF('Einzel-ID-Zuordnung'!$A$7:$A$2692,A1363)</x:f>
        <x:v>1</x:v>
      </x:c>
      <x:c r="E1363" s="11" t="n">
        <x:f>D1363-C1363</x:f>
        <x:v>0</x:v>
      </x:c>
      <x:c r="F1363" s="5" t="str">
        <x:v>nicht Pilot</x:v>
      </x:c>
      <x:c r="G1363" s="5" t="str">
        <x:v>WQ</x:v>
      </x:c>
    </x:row>
    <x:row r="1364" ht="36" customHeight="1">
      <x:c r="A1364" s="5" t="str">
        <x:v>UF-0153</x:v>
      </x:c>
      <x:c r="B1364" s="5" t="str">
        <x:v>Unternehmensführung</x:v>
      </x:c>
      <x:c r="C1364" s="11" t="n">
        <x:v>1</x:v>
      </x:c>
      <x:c r="D1364" s="11" t="n">
        <x:f>COUNTIF('Einzel-ID-Zuordnung'!$A$7:$A$2692,A1364)</x:f>
        <x:v>1</x:v>
      </x:c>
      <x:c r="E1364" s="11" t="n">
        <x:f>D1364-C1364</x:f>
        <x:v>0</x:v>
      </x:c>
      <x:c r="F1364" s="5" t="str">
        <x:v>nicht Pilot</x:v>
      </x:c>
      <x:c r="G1364" s="5" t="str">
        <x:v>WQ</x:v>
      </x:c>
    </x:row>
    <x:row r="1365" ht="36" customHeight="1">
      <x:c r="A1365" s="5" t="str">
        <x:v>UF-0154</x:v>
      </x:c>
      <x:c r="B1365" s="5" t="str">
        <x:v>Unternehmensführung</x:v>
      </x:c>
      <x:c r="C1365" s="11" t="n">
        <x:v>1</x:v>
      </x:c>
      <x:c r="D1365" s="11" t="n">
        <x:f>COUNTIF('Einzel-ID-Zuordnung'!$A$7:$A$2692,A1365)</x:f>
        <x:v>1</x:v>
      </x:c>
      <x:c r="E1365" s="11" t="n">
        <x:f>D1365-C1365</x:f>
        <x:v>0</x:v>
      </x:c>
      <x:c r="F1365" s="5" t="str">
        <x:v>nicht Pilot</x:v>
      </x:c>
      <x:c r="G1365" s="5" t="str">
        <x:v>WQ</x:v>
      </x:c>
    </x:row>
    <x:row r="1366" ht="36" customHeight="1">
      <x:c r="A1366" s="5" t="str">
        <x:v>UF-0155</x:v>
      </x:c>
      <x:c r="B1366" s="5" t="str">
        <x:v>Unternehmensführung</x:v>
      </x:c>
      <x:c r="C1366" s="11" t="n">
        <x:v>1</x:v>
      </x:c>
      <x:c r="D1366" s="11" t="n">
        <x:f>COUNTIF('Einzel-ID-Zuordnung'!$A$7:$A$2692,A1366)</x:f>
        <x:v>1</x:v>
      </x:c>
      <x:c r="E1366" s="11" t="n">
        <x:f>D1366-C1366</x:f>
        <x:v>0</x:v>
      </x:c>
      <x:c r="F1366" s="5" t="str">
        <x:v>nicht Pilot</x:v>
      </x:c>
      <x:c r="G1366" s="5" t="str">
        <x:v>WQ</x:v>
      </x:c>
    </x:row>
    <x:row r="1367" ht="36" customHeight="1">
      <x:c r="A1367" s="5" t="str">
        <x:v>UF-0156</x:v>
      </x:c>
      <x:c r="B1367" s="5" t="str">
        <x:v>Unternehmensführung</x:v>
      </x:c>
      <x:c r="C1367" s="11" t="n">
        <x:v>1</x:v>
      </x:c>
      <x:c r="D1367" s="11" t="n">
        <x:f>COUNTIF('Einzel-ID-Zuordnung'!$A$7:$A$2692,A1367)</x:f>
        <x:v>1</x:v>
      </x:c>
      <x:c r="E1367" s="11" t="n">
        <x:f>D1367-C1367</x:f>
        <x:v>0</x:v>
      </x:c>
      <x:c r="F1367" s="5" t="str">
        <x:v>nicht Pilot</x:v>
      </x:c>
      <x:c r="G1367" s="5" t="str">
        <x:v>WQ</x:v>
      </x:c>
    </x:row>
    <x:row r="1368" ht="36" customHeight="1">
      <x:c r="A1368" s="5" t="str">
        <x:v>UF-0157</x:v>
      </x:c>
      <x:c r="B1368" s="5" t="str">
        <x:v>Unternehmensführung</x:v>
      </x:c>
      <x:c r="C1368" s="11" t="n">
        <x:v>1</x:v>
      </x:c>
      <x:c r="D1368" s="11" t="n">
        <x:f>COUNTIF('Einzel-ID-Zuordnung'!$A$7:$A$2692,A1368)</x:f>
        <x:v>1</x:v>
      </x:c>
      <x:c r="E1368" s="11" t="n">
        <x:f>D1368-C1368</x:f>
        <x:v>0</x:v>
      </x:c>
      <x:c r="F1368" s="5" t="str">
        <x:v>nicht Pilot</x:v>
      </x:c>
      <x:c r="G1368" s="5" t="str">
        <x:v>WQ</x:v>
      </x:c>
    </x:row>
    <x:row r="1369" ht="36" customHeight="1">
      <x:c r="A1369" s="5" t="str">
        <x:v>UF-0158</x:v>
      </x:c>
      <x:c r="B1369" s="5" t="str">
        <x:v>Unternehmensführung</x:v>
      </x:c>
      <x:c r="C1369" s="11" t="n">
        <x:v>1</x:v>
      </x:c>
      <x:c r="D1369" s="11" t="n">
        <x:f>COUNTIF('Einzel-ID-Zuordnung'!$A$7:$A$2692,A1369)</x:f>
        <x:v>1</x:v>
      </x:c>
      <x:c r="E1369" s="11" t="n">
        <x:f>D1369-C1369</x:f>
        <x:v>0</x:v>
      </x:c>
      <x:c r="F1369" s="5" t="str">
        <x:v>nicht Pilot</x:v>
      </x:c>
      <x:c r="G1369" s="5" t="str">
        <x:v>WQ</x:v>
      </x:c>
    </x:row>
    <x:row r="1370" ht="36" customHeight="1">
      <x:c r="A1370" s="5" t="str">
        <x:v>UF-0159</x:v>
      </x:c>
      <x:c r="B1370" s="5" t="str">
        <x:v>Unternehmensführung</x:v>
      </x:c>
      <x:c r="C1370" s="11" t="n">
        <x:v>1</x:v>
      </x:c>
      <x:c r="D1370" s="11" t="n">
        <x:f>COUNTIF('Einzel-ID-Zuordnung'!$A$7:$A$2692,A1370)</x:f>
        <x:v>1</x:v>
      </x:c>
      <x:c r="E1370" s="11" t="n">
        <x:f>D1370-C1370</x:f>
        <x:v>0</x:v>
      </x:c>
      <x:c r="F1370" s="5" t="str">
        <x:v>nicht Pilot</x:v>
      </x:c>
      <x:c r="G1370" s="5" t="str">
        <x:v>WQ</x:v>
      </x:c>
    </x:row>
    <x:row r="1371" ht="36" customHeight="1">
      <x:c r="A1371" s="5" t="str">
        <x:v>UF-0160</x:v>
      </x:c>
      <x:c r="B1371" s="5" t="str">
        <x:v>Unternehmensführung</x:v>
      </x:c>
      <x:c r="C1371" s="11" t="n">
        <x:v>1</x:v>
      </x:c>
      <x:c r="D1371" s="11" t="n">
        <x:f>COUNTIF('Einzel-ID-Zuordnung'!$A$7:$A$2692,A1371)</x:f>
        <x:v>1</x:v>
      </x:c>
      <x:c r="E1371" s="11" t="n">
        <x:f>D1371-C1371</x:f>
        <x:v>0</x:v>
      </x:c>
      <x:c r="F1371" s="5" t="str">
        <x:v>nicht Pilot</x:v>
      </x:c>
      <x:c r="G1371" s="5" t="str">
        <x:v>WQ</x:v>
      </x:c>
    </x:row>
    <x:row r="1372" ht="36" customHeight="1">
      <x:c r="A1372" s="5" t="str">
        <x:v>UF-0161</x:v>
      </x:c>
      <x:c r="B1372" s="5" t="str">
        <x:v>Unternehmensführung</x:v>
      </x:c>
      <x:c r="C1372" s="11" t="n">
        <x:v>1</x:v>
      </x:c>
      <x:c r="D1372" s="11" t="n">
        <x:f>COUNTIF('Einzel-ID-Zuordnung'!$A$7:$A$2692,A1372)</x:f>
        <x:v>1</x:v>
      </x:c>
      <x:c r="E1372" s="11" t="n">
        <x:f>D1372-C1372</x:f>
        <x:v>0</x:v>
      </x:c>
      <x:c r="F1372" s="5" t="str">
        <x:v>nicht Pilot</x:v>
      </x:c>
      <x:c r="G1372" s="5" t="str">
        <x:v>WQ</x:v>
      </x:c>
    </x:row>
    <x:row r="1373" ht="36" customHeight="1">
      <x:c r="A1373" s="5" t="str">
        <x:v>UF-0162</x:v>
      </x:c>
      <x:c r="B1373" s="5" t="str">
        <x:v>Unternehmensführung</x:v>
      </x:c>
      <x:c r="C1373" s="11" t="n">
        <x:v>1</x:v>
      </x:c>
      <x:c r="D1373" s="11" t="n">
        <x:f>COUNTIF('Einzel-ID-Zuordnung'!$A$7:$A$2692,A1373)</x:f>
        <x:v>1</x:v>
      </x:c>
      <x:c r="E1373" s="11" t="n">
        <x:f>D1373-C1373</x:f>
        <x:v>0</x:v>
      </x:c>
      <x:c r="F1373" s="5" t="str">
        <x:v>nicht Pilot</x:v>
      </x:c>
      <x:c r="G1373" s="5" t="str">
        <x:v>WQ</x:v>
      </x:c>
    </x:row>
    <x:row r="1374" ht="36" customHeight="1">
      <x:c r="A1374" s="5" t="str">
        <x:v>UF-0163</x:v>
      </x:c>
      <x:c r="B1374" s="5" t="str">
        <x:v>Unternehmensführung</x:v>
      </x:c>
      <x:c r="C1374" s="11" t="n">
        <x:v>1</x:v>
      </x:c>
      <x:c r="D1374" s="11" t="n">
        <x:f>COUNTIF('Einzel-ID-Zuordnung'!$A$7:$A$2692,A1374)</x:f>
        <x:v>1</x:v>
      </x:c>
      <x:c r="E1374" s="11" t="n">
        <x:f>D1374-C1374</x:f>
        <x:v>0</x:v>
      </x:c>
      <x:c r="F1374" s="5" t="str">
        <x:v>nicht Pilot</x:v>
      </x:c>
      <x:c r="G1374" s="5" t="str">
        <x:v>WQ</x:v>
      </x:c>
    </x:row>
    <x:row r="1375" ht="36" customHeight="1">
      <x:c r="A1375" s="5" t="str">
        <x:v>UF-0164</x:v>
      </x:c>
      <x:c r="B1375" s="5" t="str">
        <x:v>Unternehmensführung</x:v>
      </x:c>
      <x:c r="C1375" s="11" t="n">
        <x:v>1</x:v>
      </x:c>
      <x:c r="D1375" s="11" t="n">
        <x:f>COUNTIF('Einzel-ID-Zuordnung'!$A$7:$A$2692,A1375)</x:f>
        <x:v>1</x:v>
      </x:c>
      <x:c r="E1375" s="11" t="n">
        <x:f>D1375-C1375</x:f>
        <x:v>0</x:v>
      </x:c>
      <x:c r="F1375" s="5" t="str">
        <x:v>nicht Pilot</x:v>
      </x:c>
      <x:c r="G1375" s="5" t="str">
        <x:v>WQ</x:v>
      </x:c>
    </x:row>
    <x:row r="1376" ht="36" customHeight="1">
      <x:c r="A1376" s="5" t="str">
        <x:v>UF-0165</x:v>
      </x:c>
      <x:c r="B1376" s="5" t="str">
        <x:v>Unternehmensführung</x:v>
      </x:c>
      <x:c r="C1376" s="11" t="n">
        <x:v>1</x:v>
      </x:c>
      <x:c r="D1376" s="11" t="n">
        <x:f>COUNTIF('Einzel-ID-Zuordnung'!$A$7:$A$2692,A1376)</x:f>
        <x:v>1</x:v>
      </x:c>
      <x:c r="E1376" s="11" t="n">
        <x:f>D1376-C1376</x:f>
        <x:v>0</x:v>
      </x:c>
      <x:c r="F1376" s="5" t="str">
        <x:v>nicht Pilot</x:v>
      </x:c>
      <x:c r="G1376" s="5" t="str">
        <x:v>WQ</x:v>
      </x:c>
    </x:row>
    <x:row r="1377" ht="36" customHeight="1">
      <x:c r="A1377" s="5" t="str">
        <x:v>UF-0166</x:v>
      </x:c>
      <x:c r="B1377" s="5" t="str">
        <x:v>Unternehmensführung</x:v>
      </x:c>
      <x:c r="C1377" s="11" t="n">
        <x:v>1</x:v>
      </x:c>
      <x:c r="D1377" s="11" t="n">
        <x:f>COUNTIF('Einzel-ID-Zuordnung'!$A$7:$A$2692,A1377)</x:f>
        <x:v>1</x:v>
      </x:c>
      <x:c r="E1377" s="11" t="n">
        <x:f>D1377-C1377</x:f>
        <x:v>0</x:v>
      </x:c>
      <x:c r="F1377" s="5" t="str">
        <x:v>nicht Pilot</x:v>
      </x:c>
      <x:c r="G1377" s="5" t="str">
        <x:v>WQ</x:v>
      </x:c>
    </x:row>
    <x:row r="1378" ht="36" customHeight="1">
      <x:c r="A1378" s="5" t="str">
        <x:v>UF-0167</x:v>
      </x:c>
      <x:c r="B1378" s="5" t="str">
        <x:v>Unternehmensführung</x:v>
      </x:c>
      <x:c r="C1378" s="11" t="n">
        <x:v>1</x:v>
      </x:c>
      <x:c r="D1378" s="11" t="n">
        <x:f>COUNTIF('Einzel-ID-Zuordnung'!$A$7:$A$2692,A1378)</x:f>
        <x:v>1</x:v>
      </x:c>
      <x:c r="E1378" s="11" t="n">
        <x:f>D1378-C1378</x:f>
        <x:v>0</x:v>
      </x:c>
      <x:c r="F1378" s="5" t="str">
        <x:v>nicht Pilot</x:v>
      </x:c>
      <x:c r="G1378" s="5" t="str">
        <x:v>WQ</x:v>
      </x:c>
    </x:row>
    <x:row r="1379" ht="36" customHeight="1">
      <x:c r="A1379" s="5" t="str">
        <x:v>UF-0168</x:v>
      </x:c>
      <x:c r="B1379" s="5" t="str">
        <x:v>Unternehmensführung</x:v>
      </x:c>
      <x:c r="C1379" s="11" t="n">
        <x:v>1</x:v>
      </x:c>
      <x:c r="D1379" s="11" t="n">
        <x:f>COUNTIF('Einzel-ID-Zuordnung'!$A$7:$A$2692,A1379)</x:f>
        <x:v>1</x:v>
      </x:c>
      <x:c r="E1379" s="11" t="n">
        <x:f>D1379-C1379</x:f>
        <x:v>0</x:v>
      </x:c>
      <x:c r="F1379" s="5" t="str">
        <x:v>nicht Pilot</x:v>
      </x:c>
      <x:c r="G1379" s="5" t="str">
        <x:v>WQ</x:v>
      </x:c>
    </x:row>
    <x:row r="1380" ht="36" customHeight="1">
      <x:c r="A1380" s="5" t="str">
        <x:v>UF-0169</x:v>
      </x:c>
      <x:c r="B1380" s="5" t="str">
        <x:v>Unternehmensführung</x:v>
      </x:c>
      <x:c r="C1380" s="11" t="n">
        <x:v>1</x:v>
      </x:c>
      <x:c r="D1380" s="11" t="n">
        <x:f>COUNTIF('Einzel-ID-Zuordnung'!$A$7:$A$2692,A1380)</x:f>
        <x:v>1</x:v>
      </x:c>
      <x:c r="E1380" s="11" t="n">
        <x:f>D1380-C1380</x:f>
        <x:v>0</x:v>
      </x:c>
      <x:c r="F1380" s="5" t="str">
        <x:v>nicht Pilot</x:v>
      </x:c>
      <x:c r="G1380" s="5" t="str">
        <x:v>WQ</x:v>
      </x:c>
    </x:row>
    <x:row r="1381" ht="36" customHeight="1">
      <x:c r="A1381" s="5" t="str">
        <x:v>UF-0170</x:v>
      </x:c>
      <x:c r="B1381" s="5" t="str">
        <x:v>Unternehmensführung</x:v>
      </x:c>
      <x:c r="C1381" s="11" t="n">
        <x:v>1</x:v>
      </x:c>
      <x:c r="D1381" s="11" t="n">
        <x:f>COUNTIF('Einzel-ID-Zuordnung'!$A$7:$A$2692,A1381)</x:f>
        <x:v>1</x:v>
      </x:c>
      <x:c r="E1381" s="11" t="n">
        <x:f>D1381-C1381</x:f>
        <x:v>0</x:v>
      </x:c>
      <x:c r="F1381" s="5" t="str">
        <x:v>nicht Pilot</x:v>
      </x:c>
      <x:c r="G1381" s="5" t="str">
        <x:v>WQ</x:v>
      </x:c>
    </x:row>
    <x:row r="1382" ht="36" customHeight="1">
      <x:c r="A1382" s="5" t="str">
        <x:v>UF-0171</x:v>
      </x:c>
      <x:c r="B1382" s="5" t="str">
        <x:v>Unternehmensführung</x:v>
      </x:c>
      <x:c r="C1382" s="11" t="n">
        <x:v>1</x:v>
      </x:c>
      <x:c r="D1382" s="11" t="n">
        <x:f>COUNTIF('Einzel-ID-Zuordnung'!$A$7:$A$2692,A1382)</x:f>
        <x:v>1</x:v>
      </x:c>
      <x:c r="E1382" s="11" t="n">
        <x:f>D1382-C1382</x:f>
        <x:v>0</x:v>
      </x:c>
      <x:c r="F1382" s="5" t="str">
        <x:v>nicht Pilot</x:v>
      </x:c>
      <x:c r="G1382" s="5" t="str">
        <x:v>WQ</x:v>
      </x:c>
    </x:row>
    <x:row r="1383" ht="36" customHeight="1">
      <x:c r="A1383" s="5" t="str">
        <x:v>UF-0172</x:v>
      </x:c>
      <x:c r="B1383" s="5" t="str">
        <x:v>Unternehmensführung</x:v>
      </x:c>
      <x:c r="C1383" s="11" t="n">
        <x:v>1</x:v>
      </x:c>
      <x:c r="D1383" s="11" t="n">
        <x:f>COUNTIF('Einzel-ID-Zuordnung'!$A$7:$A$2692,A1383)</x:f>
        <x:v>1</x:v>
      </x:c>
      <x:c r="E1383" s="11" t="n">
        <x:f>D1383-C1383</x:f>
        <x:v>0</x:v>
      </x:c>
      <x:c r="F1383" s="5" t="str">
        <x:v>nicht Pilot</x:v>
      </x:c>
      <x:c r="G1383" s="5" t="str">
        <x:v>WQ</x:v>
      </x:c>
    </x:row>
    <x:row r="1384" ht="36" customHeight="1">
      <x:c r="A1384" s="5" t="str">
        <x:v>UF-0173</x:v>
      </x:c>
      <x:c r="B1384" s="5" t="str">
        <x:v>Unternehmensführung</x:v>
      </x:c>
      <x:c r="C1384" s="11" t="n">
        <x:v>1</x:v>
      </x:c>
      <x:c r="D1384" s="11" t="n">
        <x:f>COUNTIF('Einzel-ID-Zuordnung'!$A$7:$A$2692,A1384)</x:f>
        <x:v>1</x:v>
      </x:c>
      <x:c r="E1384" s="11" t="n">
        <x:f>D1384-C1384</x:f>
        <x:v>0</x:v>
      </x:c>
      <x:c r="F1384" s="5" t="str">
        <x:v>nicht Pilot</x:v>
      </x:c>
      <x:c r="G1384" s="5" t="str">
        <x:v>WQ</x:v>
      </x:c>
    </x:row>
    <x:row r="1385" ht="36" customHeight="1">
      <x:c r="A1385" s="5" t="str">
        <x:v>UF-0174</x:v>
      </x:c>
      <x:c r="B1385" s="5" t="str">
        <x:v>Unternehmensführung</x:v>
      </x:c>
      <x:c r="C1385" s="11" t="n">
        <x:v>1</x:v>
      </x:c>
      <x:c r="D1385" s="11" t="n">
        <x:f>COUNTIF('Einzel-ID-Zuordnung'!$A$7:$A$2692,A1385)</x:f>
        <x:v>1</x:v>
      </x:c>
      <x:c r="E1385" s="11" t="n">
        <x:f>D1385-C1385</x:f>
        <x:v>0</x:v>
      </x:c>
      <x:c r="F1385" s="5" t="str">
        <x:v>nicht Pilot</x:v>
      </x:c>
      <x:c r="G1385" s="5" t="str">
        <x:v>WQ</x:v>
      </x:c>
    </x:row>
    <x:row r="1386" ht="36" customHeight="1">
      <x:c r="A1386" s="5" t="str">
        <x:v>UF-0175</x:v>
      </x:c>
      <x:c r="B1386" s="5" t="str">
        <x:v>Unternehmensführung</x:v>
      </x:c>
      <x:c r="C1386" s="11" t="n">
        <x:v>1</x:v>
      </x:c>
      <x:c r="D1386" s="11" t="n">
        <x:f>COUNTIF('Einzel-ID-Zuordnung'!$A$7:$A$2692,A1386)</x:f>
        <x:v>1</x:v>
      </x:c>
      <x:c r="E1386" s="11" t="n">
        <x:f>D1386-C1386</x:f>
        <x:v>0</x:v>
      </x:c>
      <x:c r="F1386" s="5" t="str">
        <x:v>nicht Pilot</x:v>
      </x:c>
      <x:c r="G1386" s="5" t="str">
        <x:v>WQ</x:v>
      </x:c>
    </x:row>
    <x:row r="1387" ht="36" customHeight="1">
      <x:c r="A1387" s="5" t="str">
        <x:v>UF-0176</x:v>
      </x:c>
      <x:c r="B1387" s="5" t="str">
        <x:v>Unternehmensführung</x:v>
      </x:c>
      <x:c r="C1387" s="11" t="n">
        <x:v>1</x:v>
      </x:c>
      <x:c r="D1387" s="11" t="n">
        <x:f>COUNTIF('Einzel-ID-Zuordnung'!$A$7:$A$2692,A1387)</x:f>
        <x:v>1</x:v>
      </x:c>
      <x:c r="E1387" s="11" t="n">
        <x:f>D1387-C1387</x:f>
        <x:v>0</x:v>
      </x:c>
      <x:c r="F1387" s="5" t="str">
        <x:v>nicht Pilot</x:v>
      </x:c>
      <x:c r="G1387" s="5" t="str">
        <x:v>WQ</x:v>
      </x:c>
    </x:row>
    <x:row r="1388" ht="36" customHeight="1">
      <x:c r="A1388" s="5" t="str">
        <x:v>UF-0177</x:v>
      </x:c>
      <x:c r="B1388" s="5" t="str">
        <x:v>Unternehmensführung</x:v>
      </x:c>
      <x:c r="C1388" s="11" t="n">
        <x:v>1</x:v>
      </x:c>
      <x:c r="D1388" s="11" t="n">
        <x:f>COUNTIF('Einzel-ID-Zuordnung'!$A$7:$A$2692,A1388)</x:f>
        <x:v>1</x:v>
      </x:c>
      <x:c r="E1388" s="11" t="n">
        <x:f>D1388-C1388</x:f>
        <x:v>0</x:v>
      </x:c>
      <x:c r="F1388" s="5" t="str">
        <x:v>nicht Pilot</x:v>
      </x:c>
      <x:c r="G1388" s="5" t="str">
        <x:v>WQ</x:v>
      </x:c>
    </x:row>
    <x:row r="1389" ht="36" customHeight="1">
      <x:c r="A1389" s="5" t="str">
        <x:v>UF-0178</x:v>
      </x:c>
      <x:c r="B1389" s="5" t="str">
        <x:v>Unternehmensführung</x:v>
      </x:c>
      <x:c r="C1389" s="11" t="n">
        <x:v>1</x:v>
      </x:c>
      <x:c r="D1389" s="11" t="n">
        <x:f>COUNTIF('Einzel-ID-Zuordnung'!$A$7:$A$2692,A1389)</x:f>
        <x:v>1</x:v>
      </x:c>
      <x:c r="E1389" s="11" t="n">
        <x:f>D1389-C1389</x:f>
        <x:v>0</x:v>
      </x:c>
      <x:c r="F1389" s="5" t="str">
        <x:v>nicht Pilot</x:v>
      </x:c>
      <x:c r="G1389" s="5" t="str">
        <x:v>WQ</x:v>
      </x:c>
    </x:row>
    <x:row r="1390" ht="36" customHeight="1">
      <x:c r="A1390" s="5" t="str">
        <x:v>UF-0179</x:v>
      </x:c>
      <x:c r="B1390" s="5" t="str">
        <x:v>Unternehmensführung</x:v>
      </x:c>
      <x:c r="C1390" s="11" t="n">
        <x:v>1</x:v>
      </x:c>
      <x:c r="D1390" s="11" t="n">
        <x:f>COUNTIF('Einzel-ID-Zuordnung'!$A$7:$A$2692,A1390)</x:f>
        <x:v>1</x:v>
      </x:c>
      <x:c r="E1390" s="11" t="n">
        <x:f>D1390-C1390</x:f>
        <x:v>0</x:v>
      </x:c>
      <x:c r="F1390" s="5" t="str">
        <x:v>nicht Pilot</x:v>
      </x:c>
      <x:c r="G1390" s="5" t="str">
        <x:v>WQ</x:v>
      </x:c>
    </x:row>
    <x:row r="1391" ht="36" customHeight="1">
      <x:c r="A1391" s="5" t="str">
        <x:v>UF-0180</x:v>
      </x:c>
      <x:c r="B1391" s="5" t="str">
        <x:v>Unternehmensführung</x:v>
      </x:c>
      <x:c r="C1391" s="11" t="n">
        <x:v>1</x:v>
      </x:c>
      <x:c r="D1391" s="11" t="n">
        <x:f>COUNTIF('Einzel-ID-Zuordnung'!$A$7:$A$2692,A1391)</x:f>
        <x:v>1</x:v>
      </x:c>
      <x:c r="E1391" s="11" t="n">
        <x:f>D1391-C1391</x:f>
        <x:v>0</x:v>
      </x:c>
      <x:c r="F1391" s="5" t="str">
        <x:v>nicht Pilot</x:v>
      </x:c>
      <x:c r="G1391" s="5" t="str">
        <x:v>WQ</x:v>
      </x:c>
    </x:row>
    <x:row r="1392" ht="36" customHeight="1">
      <x:c r="A1392" s="5" t="str">
        <x:v>UF-0181</x:v>
      </x:c>
      <x:c r="B1392" s="5" t="str">
        <x:v>Unternehmensführung</x:v>
      </x:c>
      <x:c r="C1392" s="11" t="n">
        <x:v>1</x:v>
      </x:c>
      <x:c r="D1392" s="11" t="n">
        <x:f>COUNTIF('Einzel-ID-Zuordnung'!$A$7:$A$2692,A1392)</x:f>
        <x:v>1</x:v>
      </x:c>
      <x:c r="E1392" s="11" t="n">
        <x:f>D1392-C1392</x:f>
        <x:v>0</x:v>
      </x:c>
      <x:c r="F1392" s="5" t="str">
        <x:v>nicht Pilot</x:v>
      </x:c>
      <x:c r="G1392" s="5" t="str">
        <x:v>WQ</x:v>
      </x:c>
    </x:row>
    <x:row r="1393" ht="36" customHeight="1">
      <x:c r="A1393" s="5" t="str">
        <x:v>UF-0182</x:v>
      </x:c>
      <x:c r="B1393" s="5" t="str">
        <x:v>Unternehmensführung</x:v>
      </x:c>
      <x:c r="C1393" s="11" t="n">
        <x:v>1</x:v>
      </x:c>
      <x:c r="D1393" s="11" t="n">
        <x:f>COUNTIF('Einzel-ID-Zuordnung'!$A$7:$A$2692,A1393)</x:f>
        <x:v>1</x:v>
      </x:c>
      <x:c r="E1393" s="11" t="n">
        <x:f>D1393-C1393</x:f>
        <x:v>0</x:v>
      </x:c>
      <x:c r="F1393" s="5" t="str">
        <x:v>nicht Pilot</x:v>
      </x:c>
      <x:c r="G1393" s="5" t="str">
        <x:v>WQ</x:v>
      </x:c>
    </x:row>
    <x:row r="1394" ht="36" customHeight="1">
      <x:c r="A1394" s="5" t="str">
        <x:v>UF-0183</x:v>
      </x:c>
      <x:c r="B1394" s="5" t="str">
        <x:v>Unternehmensführung</x:v>
      </x:c>
      <x:c r="C1394" s="11" t="n">
        <x:v>1</x:v>
      </x:c>
      <x:c r="D1394" s="11" t="n">
        <x:f>COUNTIF('Einzel-ID-Zuordnung'!$A$7:$A$2692,A1394)</x:f>
        <x:v>1</x:v>
      </x:c>
      <x:c r="E1394" s="11" t="n">
        <x:f>D1394-C1394</x:f>
        <x:v>0</x:v>
      </x:c>
      <x:c r="F1394" s="5" t="str">
        <x:v>nicht Pilot</x:v>
      </x:c>
      <x:c r="G1394" s="5" t="str">
        <x:v>WQ</x:v>
      </x:c>
    </x:row>
    <x:row r="1395" ht="36" customHeight="1">
      <x:c r="A1395" s="5" t="str">
        <x:v>UF-0184</x:v>
      </x:c>
      <x:c r="B1395" s="5" t="str">
        <x:v>Unternehmensführung</x:v>
      </x:c>
      <x:c r="C1395" s="11" t="n">
        <x:v>1</x:v>
      </x:c>
      <x:c r="D1395" s="11" t="n">
        <x:f>COUNTIF('Einzel-ID-Zuordnung'!$A$7:$A$2692,A1395)</x:f>
        <x:v>1</x:v>
      </x:c>
      <x:c r="E1395" s="11" t="n">
        <x:f>D1395-C1395</x:f>
        <x:v>0</x:v>
      </x:c>
      <x:c r="F1395" s="5" t="str">
        <x:v>nicht Pilot</x:v>
      </x:c>
      <x:c r="G1395" s="5" t="str">
        <x:v>WQ</x:v>
      </x:c>
    </x:row>
    <x:row r="1396" ht="36" customHeight="1">
      <x:c r="A1396" s="5" t="str">
        <x:v>UF-0185</x:v>
      </x:c>
      <x:c r="B1396" s="5" t="str">
        <x:v>Unternehmensführung</x:v>
      </x:c>
      <x:c r="C1396" s="11" t="n">
        <x:v>1</x:v>
      </x:c>
      <x:c r="D1396" s="11" t="n">
        <x:f>COUNTIF('Einzel-ID-Zuordnung'!$A$7:$A$2692,A1396)</x:f>
        <x:v>1</x:v>
      </x:c>
      <x:c r="E1396" s="11" t="n">
        <x:f>D1396-C1396</x:f>
        <x:v>0</x:v>
      </x:c>
      <x:c r="F1396" s="5" t="str">
        <x:v>nicht Pilot</x:v>
      </x:c>
      <x:c r="G1396" s="5" t="str">
        <x:v>WQ</x:v>
      </x:c>
    </x:row>
    <x:row r="1397" ht="36" customHeight="1">
      <x:c r="A1397" s="5" t="str">
        <x:v>UF-0186</x:v>
      </x:c>
      <x:c r="B1397" s="5" t="str">
        <x:v>Unternehmensführung</x:v>
      </x:c>
      <x:c r="C1397" s="11" t="n">
        <x:v>1</x:v>
      </x:c>
      <x:c r="D1397" s="11" t="n">
        <x:f>COUNTIF('Einzel-ID-Zuordnung'!$A$7:$A$2692,A1397)</x:f>
        <x:v>1</x:v>
      </x:c>
      <x:c r="E1397" s="11" t="n">
        <x:f>D1397-C1397</x:f>
        <x:v>0</x:v>
      </x:c>
      <x:c r="F1397" s="5" t="str">
        <x:v>nicht Pilot</x:v>
      </x:c>
      <x:c r="G1397" s="5" t="str">
        <x:v>WQ</x:v>
      </x:c>
    </x:row>
    <x:row r="1398" ht="36" customHeight="1">
      <x:c r="A1398" s="5" t="str">
        <x:v>UF-0187</x:v>
      </x:c>
      <x:c r="B1398" s="5" t="str">
        <x:v>Unternehmensführung</x:v>
      </x:c>
      <x:c r="C1398" s="11" t="n">
        <x:v>1</x:v>
      </x:c>
      <x:c r="D1398" s="11" t="n">
        <x:f>COUNTIF('Einzel-ID-Zuordnung'!$A$7:$A$2692,A1398)</x:f>
        <x:v>1</x:v>
      </x:c>
      <x:c r="E1398" s="11" t="n">
        <x:f>D1398-C1398</x:f>
        <x:v>0</x:v>
      </x:c>
      <x:c r="F1398" s="5" t="str">
        <x:v>nicht Pilot</x:v>
      </x:c>
      <x:c r="G1398" s="5" t="str">
        <x:v>WQ</x:v>
      </x:c>
    </x:row>
    <x:row r="1399" ht="36" customHeight="1">
      <x:c r="A1399" s="5" t="str">
        <x:v>UF-0188</x:v>
      </x:c>
      <x:c r="B1399" s="5" t="str">
        <x:v>Unternehmensführung</x:v>
      </x:c>
      <x:c r="C1399" s="11" t="n">
        <x:v>1</x:v>
      </x:c>
      <x:c r="D1399" s="11" t="n">
        <x:f>COUNTIF('Einzel-ID-Zuordnung'!$A$7:$A$2692,A1399)</x:f>
        <x:v>1</x:v>
      </x:c>
      <x:c r="E1399" s="11" t="n">
        <x:f>D1399-C1399</x:f>
        <x:v>0</x:v>
      </x:c>
      <x:c r="F1399" s="5" t="str">
        <x:v>nicht Pilot</x:v>
      </x:c>
      <x:c r="G1399" s="5" t="str">
        <x:v>WQ</x:v>
      </x:c>
    </x:row>
    <x:row r="1400" ht="36" customHeight="1">
      <x:c r="A1400" s="5" t="str">
        <x:v>UF-0189</x:v>
      </x:c>
      <x:c r="B1400" s="5" t="str">
        <x:v>Unternehmensführung</x:v>
      </x:c>
      <x:c r="C1400" s="11" t="n">
        <x:v>1</x:v>
      </x:c>
      <x:c r="D1400" s="11" t="n">
        <x:f>COUNTIF('Einzel-ID-Zuordnung'!$A$7:$A$2692,A1400)</x:f>
        <x:v>1</x:v>
      </x:c>
      <x:c r="E1400" s="11" t="n">
        <x:f>D1400-C1400</x:f>
        <x:v>0</x:v>
      </x:c>
      <x:c r="F1400" s="5" t="str">
        <x:v>nicht Pilot</x:v>
      </x:c>
      <x:c r="G1400" s="5" t="str">
        <x:v>WQ</x:v>
      </x:c>
    </x:row>
    <x:row r="1401" ht="36" customHeight="1">
      <x:c r="A1401" s="5" t="str">
        <x:v>UF-0190</x:v>
      </x:c>
      <x:c r="B1401" s="5" t="str">
        <x:v>Unternehmensführung</x:v>
      </x:c>
      <x:c r="C1401" s="11" t="n">
        <x:v>1</x:v>
      </x:c>
      <x:c r="D1401" s="11" t="n">
        <x:f>COUNTIF('Einzel-ID-Zuordnung'!$A$7:$A$2692,A1401)</x:f>
        <x:v>1</x:v>
      </x:c>
      <x:c r="E1401" s="11" t="n">
        <x:f>D1401-C1401</x:f>
        <x:v>0</x:v>
      </x:c>
      <x:c r="F1401" s="5" t="str">
        <x:v>nicht Pilot</x:v>
      </x:c>
      <x:c r="G1401" s="5" t="str">
        <x:v>WQ</x:v>
      </x:c>
    </x:row>
    <x:row r="1402" ht="36" customHeight="1">
      <x:c r="A1402" s="5" t="str">
        <x:v>UF-0191</x:v>
      </x:c>
      <x:c r="B1402" s="5" t="str">
        <x:v>Unternehmensführung</x:v>
      </x:c>
      <x:c r="C1402" s="11" t="n">
        <x:v>1</x:v>
      </x:c>
      <x:c r="D1402" s="11" t="n">
        <x:f>COUNTIF('Einzel-ID-Zuordnung'!$A$7:$A$2692,A1402)</x:f>
        <x:v>1</x:v>
      </x:c>
      <x:c r="E1402" s="11" t="n">
        <x:f>D1402-C1402</x:f>
        <x:v>0</x:v>
      </x:c>
      <x:c r="F1402" s="5" t="str">
        <x:v>nicht Pilot</x:v>
      </x:c>
      <x:c r="G1402" s="5" t="str">
        <x:v>WQ</x:v>
      </x:c>
    </x:row>
    <x:row r="1403" ht="36" customHeight="1">
      <x:c r="A1403" s="5" t="str">
        <x:v>UF-0192</x:v>
      </x:c>
      <x:c r="B1403" s="5" t="str">
        <x:v>Unternehmensführung</x:v>
      </x:c>
      <x:c r="C1403" s="11" t="n">
        <x:v>1</x:v>
      </x:c>
      <x:c r="D1403" s="11" t="n">
        <x:f>COUNTIF('Einzel-ID-Zuordnung'!$A$7:$A$2692,A1403)</x:f>
        <x:v>1</x:v>
      </x:c>
      <x:c r="E1403" s="11" t="n">
        <x:f>D1403-C1403</x:f>
        <x:v>0</x:v>
      </x:c>
      <x:c r="F1403" s="5" t="str">
        <x:v>nicht Pilot</x:v>
      </x:c>
      <x:c r="G1403" s="5" t="str">
        <x:v>WQ</x:v>
      </x:c>
    </x:row>
    <x:row r="1404" ht="36" customHeight="1">
      <x:c r="A1404" s="5" t="str">
        <x:v>UF-0193</x:v>
      </x:c>
      <x:c r="B1404" s="5" t="str">
        <x:v>Unternehmensführung</x:v>
      </x:c>
      <x:c r="C1404" s="11" t="n">
        <x:v>1</x:v>
      </x:c>
      <x:c r="D1404" s="11" t="n">
        <x:f>COUNTIF('Einzel-ID-Zuordnung'!$A$7:$A$2692,A1404)</x:f>
        <x:v>1</x:v>
      </x:c>
      <x:c r="E1404" s="11" t="n">
        <x:f>D1404-C1404</x:f>
        <x:v>0</x:v>
      </x:c>
      <x:c r="F1404" s="5" t="str">
        <x:v>nicht Pilot</x:v>
      </x:c>
      <x:c r="G1404" s="5" t="str">
        <x:v>WQ</x:v>
      </x:c>
    </x:row>
    <x:row r="1405" ht="36" customHeight="1">
      <x:c r="A1405" s="5" t="str">
        <x:v>UF-0194</x:v>
      </x:c>
      <x:c r="B1405" s="5" t="str">
        <x:v>Unternehmensführung</x:v>
      </x:c>
      <x:c r="C1405" s="11" t="n">
        <x:v>1</x:v>
      </x:c>
      <x:c r="D1405" s="11" t="n">
        <x:f>COUNTIF('Einzel-ID-Zuordnung'!$A$7:$A$2692,A1405)</x:f>
        <x:v>1</x:v>
      </x:c>
      <x:c r="E1405" s="11" t="n">
        <x:f>D1405-C1405</x:f>
        <x:v>0</x:v>
      </x:c>
      <x:c r="F1405" s="5" t="str">
        <x:v>nicht Pilot</x:v>
      </x:c>
      <x:c r="G1405" s="5" t="str">
        <x:v>WQ</x:v>
      </x:c>
    </x:row>
    <x:row r="1406" ht="36" customHeight="1">
      <x:c r="A1406" s="5" t="str">
        <x:v>UF-0195</x:v>
      </x:c>
      <x:c r="B1406" s="5" t="str">
        <x:v>Unternehmensführung</x:v>
      </x:c>
      <x:c r="C1406" s="11" t="n">
        <x:v>1</x:v>
      </x:c>
      <x:c r="D1406" s="11" t="n">
        <x:f>COUNTIF('Einzel-ID-Zuordnung'!$A$7:$A$2692,A1406)</x:f>
        <x:v>1</x:v>
      </x:c>
      <x:c r="E1406" s="11" t="n">
        <x:f>D1406-C1406</x:f>
        <x:v>0</x:v>
      </x:c>
      <x:c r="F1406" s="5" t="str">
        <x:v>nicht Pilot</x:v>
      </x:c>
      <x:c r="G1406" s="5" t="str">
        <x:v>WQ</x:v>
      </x:c>
    </x:row>
    <x:row r="1407" ht="36" customHeight="1">
      <x:c r="A1407" s="5" t="str">
        <x:v>UF-0196</x:v>
      </x:c>
      <x:c r="B1407" s="5" t="str">
        <x:v>Unternehmensführung</x:v>
      </x:c>
      <x:c r="C1407" s="11" t="n">
        <x:v>1</x:v>
      </x:c>
      <x:c r="D1407" s="11" t="n">
        <x:f>COUNTIF('Einzel-ID-Zuordnung'!$A$7:$A$2692,A1407)</x:f>
        <x:v>1</x:v>
      </x:c>
      <x:c r="E1407" s="11" t="n">
        <x:f>D1407-C1407</x:f>
        <x:v>0</x:v>
      </x:c>
      <x:c r="F1407" s="5" t="str">
        <x:v>nicht Pilot</x:v>
      </x:c>
      <x:c r="G1407" s="5" t="str">
        <x:v>WQ</x:v>
      </x:c>
    </x:row>
    <x:row r="1408" ht="36" customHeight="1">
      <x:c r="A1408" s="5" t="str">
        <x:v>UF-0197</x:v>
      </x:c>
      <x:c r="B1408" s="5" t="str">
        <x:v>Unternehmensführung</x:v>
      </x:c>
      <x:c r="C1408" s="11" t="n">
        <x:v>1</x:v>
      </x:c>
      <x:c r="D1408" s="11" t="n">
        <x:f>COUNTIF('Einzel-ID-Zuordnung'!$A$7:$A$2692,A1408)</x:f>
        <x:v>1</x:v>
      </x:c>
      <x:c r="E1408" s="11" t="n">
        <x:f>D1408-C1408</x:f>
        <x:v>0</x:v>
      </x:c>
      <x:c r="F1408" s="5" t="str">
        <x:v>nicht Pilot</x:v>
      </x:c>
      <x:c r="G1408" s="5" t="str">
        <x:v>WQ</x:v>
      </x:c>
    </x:row>
    <x:row r="1409" ht="36" customHeight="1">
      <x:c r="A1409" s="5" t="str">
        <x:v>UF-0198</x:v>
      </x:c>
      <x:c r="B1409" s="5" t="str">
        <x:v>Unternehmensführung</x:v>
      </x:c>
      <x:c r="C1409" s="11" t="n">
        <x:v>1</x:v>
      </x:c>
      <x:c r="D1409" s="11" t="n">
        <x:f>COUNTIF('Einzel-ID-Zuordnung'!$A$7:$A$2692,A1409)</x:f>
        <x:v>1</x:v>
      </x:c>
      <x:c r="E1409" s="11" t="n">
        <x:f>D1409-C1409</x:f>
        <x:v>0</x:v>
      </x:c>
      <x:c r="F1409" s="5" t="str">
        <x:v>nicht Pilot</x:v>
      </x:c>
      <x:c r="G1409" s="5" t="str">
        <x:v>WQ</x:v>
      </x:c>
    </x:row>
    <x:row r="1410" ht="36" customHeight="1">
      <x:c r="A1410" s="5" t="str">
        <x:v>UF-0199</x:v>
      </x:c>
      <x:c r="B1410" s="5" t="str">
        <x:v>Unternehmensführung</x:v>
      </x:c>
      <x:c r="C1410" s="11" t="n">
        <x:v>1</x:v>
      </x:c>
      <x:c r="D1410" s="11" t="n">
        <x:f>COUNTIF('Einzel-ID-Zuordnung'!$A$7:$A$2692,A1410)</x:f>
        <x:v>1</x:v>
      </x:c>
      <x:c r="E1410" s="11" t="n">
        <x:f>D1410-C1410</x:f>
        <x:v>0</x:v>
      </x:c>
      <x:c r="F1410" s="5" t="str">
        <x:v>nicht Pilot</x:v>
      </x:c>
      <x:c r="G1410" s="5" t="str">
        <x:v>WQ</x:v>
      </x:c>
    </x:row>
    <x:row r="1411" ht="36" customHeight="1">
      <x:c r="A1411" s="5" t="str">
        <x:v>UF-0200</x:v>
      </x:c>
      <x:c r="B1411" s="5" t="str">
        <x:v>Unternehmensführung</x:v>
      </x:c>
      <x:c r="C1411" s="11" t="n">
        <x:v>1</x:v>
      </x:c>
      <x:c r="D1411" s="11" t="n">
        <x:f>COUNTIF('Einzel-ID-Zuordnung'!$A$7:$A$2692,A1411)</x:f>
        <x:v>1</x:v>
      </x:c>
      <x:c r="E1411" s="11" t="n">
        <x:f>D1411-C1411</x:f>
        <x:v>0</x:v>
      </x:c>
      <x:c r="F1411" s="5" t="str">
        <x:v>nicht Pilot</x:v>
      </x:c>
      <x:c r="G1411" s="5" t="str">
        <x:v>WQ</x:v>
      </x:c>
    </x:row>
    <x:row r="1412" ht="36" customHeight="1">
      <x:c r="A1412" s="5" t="str">
        <x:v>UF-0201</x:v>
      </x:c>
      <x:c r="B1412" s="5" t="str">
        <x:v>Unternehmensführung</x:v>
      </x:c>
      <x:c r="C1412" s="11" t="n">
        <x:v>1</x:v>
      </x:c>
      <x:c r="D1412" s="11" t="n">
        <x:f>COUNTIF('Einzel-ID-Zuordnung'!$A$7:$A$2692,A1412)</x:f>
        <x:v>1</x:v>
      </x:c>
      <x:c r="E1412" s="11" t="n">
        <x:f>D1412-C1412</x:f>
        <x:v>0</x:v>
      </x:c>
      <x:c r="F1412" s="5" t="str">
        <x:v>nicht Pilot</x:v>
      </x:c>
      <x:c r="G1412" s="5" t="str">
        <x:v>WQ</x:v>
      </x:c>
    </x:row>
    <x:row r="1413" ht="36" customHeight="1">
      <x:c r="A1413" s="5" t="str">
        <x:v>UF-0202</x:v>
      </x:c>
      <x:c r="B1413" s="5" t="str">
        <x:v>Unternehmensführung</x:v>
      </x:c>
      <x:c r="C1413" s="11" t="n">
        <x:v>1</x:v>
      </x:c>
      <x:c r="D1413" s="11" t="n">
        <x:f>COUNTIF('Einzel-ID-Zuordnung'!$A$7:$A$2692,A1413)</x:f>
        <x:v>1</x:v>
      </x:c>
      <x:c r="E1413" s="11" t="n">
        <x:f>D1413-C1413</x:f>
        <x:v>0</x:v>
      </x:c>
      <x:c r="F1413" s="5" t="str">
        <x:v>nicht Pilot</x:v>
      </x:c>
      <x:c r="G1413" s="5" t="str">
        <x:v>WQ</x:v>
      </x:c>
    </x:row>
    <x:row r="1414" ht="36" customHeight="1">
      <x:c r="A1414" s="5" t="str">
        <x:v>UF-0203</x:v>
      </x:c>
      <x:c r="B1414" s="5" t="str">
        <x:v>Unternehmensführung</x:v>
      </x:c>
      <x:c r="C1414" s="11" t="n">
        <x:v>1</x:v>
      </x:c>
      <x:c r="D1414" s="11" t="n">
        <x:f>COUNTIF('Einzel-ID-Zuordnung'!$A$7:$A$2692,A1414)</x:f>
        <x:v>1</x:v>
      </x:c>
      <x:c r="E1414" s="11" t="n">
        <x:f>D1414-C1414</x:f>
        <x:v>0</x:v>
      </x:c>
      <x:c r="F1414" s="5" t="str">
        <x:v>nicht Pilot</x:v>
      </x:c>
      <x:c r="G1414" s="5" t="str">
        <x:v>WQ</x:v>
      </x:c>
    </x:row>
    <x:row r="1415" ht="36" customHeight="1">
      <x:c r="A1415" s="5" t="str">
        <x:v>UF-0204</x:v>
      </x:c>
      <x:c r="B1415" s="5" t="str">
        <x:v>Unternehmensführung</x:v>
      </x:c>
      <x:c r="C1415" s="11" t="n">
        <x:v>1</x:v>
      </x:c>
      <x:c r="D1415" s="11" t="n">
        <x:f>COUNTIF('Einzel-ID-Zuordnung'!$A$7:$A$2692,A1415)</x:f>
        <x:v>1</x:v>
      </x:c>
      <x:c r="E1415" s="11" t="n">
        <x:f>D1415-C1415</x:f>
        <x:v>0</x:v>
      </x:c>
      <x:c r="F1415" s="5" t="str">
        <x:v>nicht Pilot</x:v>
      </x:c>
      <x:c r="G1415" s="5" t="str">
        <x:v>WQ</x:v>
      </x:c>
    </x:row>
    <x:row r="1416" ht="36" customHeight="1">
      <x:c r="A1416" s="5" t="str">
        <x:v>UF-0205</x:v>
      </x:c>
      <x:c r="B1416" s="5" t="str">
        <x:v>Unternehmensführung</x:v>
      </x:c>
      <x:c r="C1416" s="11" t="n">
        <x:v>1</x:v>
      </x:c>
      <x:c r="D1416" s="11" t="n">
        <x:f>COUNTIF('Einzel-ID-Zuordnung'!$A$7:$A$2692,A1416)</x:f>
        <x:v>1</x:v>
      </x:c>
      <x:c r="E1416" s="11" t="n">
        <x:f>D1416-C1416</x:f>
        <x:v>0</x:v>
      </x:c>
      <x:c r="F1416" s="5" t="str">
        <x:v>nicht Pilot</x:v>
      </x:c>
      <x:c r="G1416" s="5" t="str">
        <x:v>WQ</x:v>
      </x:c>
    </x:row>
    <x:row r="1417" ht="36" customHeight="1">
      <x:c r="A1417" s="5" t="str">
        <x:v>UF-0206</x:v>
      </x:c>
      <x:c r="B1417" s="5" t="str">
        <x:v>Unternehmensführung</x:v>
      </x:c>
      <x:c r="C1417" s="11" t="n">
        <x:v>1</x:v>
      </x:c>
      <x:c r="D1417" s="11" t="n">
        <x:f>COUNTIF('Einzel-ID-Zuordnung'!$A$7:$A$2692,A1417)</x:f>
        <x:v>1</x:v>
      </x:c>
      <x:c r="E1417" s="11" t="n">
        <x:f>D1417-C1417</x:f>
        <x:v>0</x:v>
      </x:c>
      <x:c r="F1417" s="5" t="str">
        <x:v>nicht Pilot</x:v>
      </x:c>
      <x:c r="G1417" s="5" t="str">
        <x:v>WQ</x:v>
      </x:c>
    </x:row>
    <x:row r="1418" ht="36" customHeight="1">
      <x:c r="A1418" s="5" t="str">
        <x:v>UF-0207</x:v>
      </x:c>
      <x:c r="B1418" s="5" t="str">
        <x:v>Unternehmensführung</x:v>
      </x:c>
      <x:c r="C1418" s="11" t="n">
        <x:v>1</x:v>
      </x:c>
      <x:c r="D1418" s="11" t="n">
        <x:f>COUNTIF('Einzel-ID-Zuordnung'!$A$7:$A$2692,A1418)</x:f>
        <x:v>1</x:v>
      </x:c>
      <x:c r="E1418" s="11" t="n">
        <x:f>D1418-C1418</x:f>
        <x:v>0</x:v>
      </x:c>
      <x:c r="F1418" s="5" t="str">
        <x:v>nicht Pilot</x:v>
      </x:c>
      <x:c r="G1418" s="5" t="str">
        <x:v>WQ</x:v>
      </x:c>
    </x:row>
    <x:row r="1419" ht="36" customHeight="1">
      <x:c r="A1419" s="5" t="str">
        <x:v>UF-0208</x:v>
      </x:c>
      <x:c r="B1419" s="5" t="str">
        <x:v>Unternehmensführung</x:v>
      </x:c>
      <x:c r="C1419" s="11" t="n">
        <x:v>1</x:v>
      </x:c>
      <x:c r="D1419" s="11" t="n">
        <x:f>COUNTIF('Einzel-ID-Zuordnung'!$A$7:$A$2692,A1419)</x:f>
        <x:v>1</x:v>
      </x:c>
      <x:c r="E1419" s="11" t="n">
        <x:f>D1419-C1419</x:f>
        <x:v>0</x:v>
      </x:c>
      <x:c r="F1419" s="5" t="str">
        <x:v>nicht Pilot</x:v>
      </x:c>
      <x:c r="G1419" s="5" t="str">
        <x:v>WQ</x:v>
      </x:c>
    </x:row>
    <x:row r="1420" ht="36" customHeight="1">
      <x:c r="A1420" s="5" t="str">
        <x:v>UF-0209</x:v>
      </x:c>
      <x:c r="B1420" s="5" t="str">
        <x:v>Unternehmensführung</x:v>
      </x:c>
      <x:c r="C1420" s="11" t="n">
        <x:v>1</x:v>
      </x:c>
      <x:c r="D1420" s="11" t="n">
        <x:f>COUNTIF('Einzel-ID-Zuordnung'!$A$7:$A$2692,A1420)</x:f>
        <x:v>1</x:v>
      </x:c>
      <x:c r="E1420" s="11" t="n">
        <x:f>D1420-C1420</x:f>
        <x:v>0</x:v>
      </x:c>
      <x:c r="F1420" s="5" t="str">
        <x:v>nicht Pilot</x:v>
      </x:c>
      <x:c r="G1420" s="5" t="str">
        <x:v>WQ</x:v>
      </x:c>
    </x:row>
    <x:row r="1421" ht="36" customHeight="1">
      <x:c r="A1421" s="5" t="str">
        <x:v>UF-0210</x:v>
      </x:c>
      <x:c r="B1421" s="5" t="str">
        <x:v>Unternehmensführung</x:v>
      </x:c>
      <x:c r="C1421" s="11" t="n">
        <x:v>1</x:v>
      </x:c>
      <x:c r="D1421" s="11" t="n">
        <x:f>COUNTIF('Einzel-ID-Zuordnung'!$A$7:$A$2692,A1421)</x:f>
        <x:v>1</x:v>
      </x:c>
      <x:c r="E1421" s="11" t="n">
        <x:f>D1421-C1421</x:f>
        <x:v>0</x:v>
      </x:c>
      <x:c r="F1421" s="5" t="str">
        <x:v>nicht Pilot</x:v>
      </x:c>
      <x:c r="G1421" s="5" t="str">
        <x:v>WQ</x:v>
      </x:c>
    </x:row>
    <x:row r="1422" ht="36" customHeight="1">
      <x:c r="A1422" s="5" t="str">
        <x:v>UF-0211</x:v>
      </x:c>
      <x:c r="B1422" s="5" t="str">
        <x:v>Unternehmensführung</x:v>
      </x:c>
      <x:c r="C1422" s="11" t="n">
        <x:v>1</x:v>
      </x:c>
      <x:c r="D1422" s="11" t="n">
        <x:f>COUNTIF('Einzel-ID-Zuordnung'!$A$7:$A$2692,A1422)</x:f>
        <x:v>1</x:v>
      </x:c>
      <x:c r="E1422" s="11" t="n">
        <x:f>D1422-C1422</x:f>
        <x:v>0</x:v>
      </x:c>
      <x:c r="F1422" s="5" t="str">
        <x:v>nicht Pilot</x:v>
      </x:c>
      <x:c r="G1422" s="5" t="str">
        <x:v>WQ</x:v>
      </x:c>
    </x:row>
    <x:row r="1423" ht="36" customHeight="1">
      <x:c r="A1423" s="5" t="str">
        <x:v>UF-0212</x:v>
      </x:c>
      <x:c r="B1423" s="5" t="str">
        <x:v>Unternehmensführung</x:v>
      </x:c>
      <x:c r="C1423" s="11" t="n">
        <x:v>1</x:v>
      </x:c>
      <x:c r="D1423" s="11" t="n">
        <x:f>COUNTIF('Einzel-ID-Zuordnung'!$A$7:$A$2692,A1423)</x:f>
        <x:v>1</x:v>
      </x:c>
      <x:c r="E1423" s="11" t="n">
        <x:f>D1423-C1423</x:f>
        <x:v>0</x:v>
      </x:c>
      <x:c r="F1423" s="5" t="str">
        <x:v>nicht Pilot</x:v>
      </x:c>
      <x:c r="G1423" s="5" t="str">
        <x:v>WQ</x:v>
      </x:c>
    </x:row>
    <x:row r="1424" ht="36" customHeight="1">
      <x:c r="A1424" s="5" t="str">
        <x:v>UF-0213</x:v>
      </x:c>
      <x:c r="B1424" s="5" t="str">
        <x:v>Unternehmensführung</x:v>
      </x:c>
      <x:c r="C1424" s="11" t="n">
        <x:v>1</x:v>
      </x:c>
      <x:c r="D1424" s="11" t="n">
        <x:f>COUNTIF('Einzel-ID-Zuordnung'!$A$7:$A$2692,A1424)</x:f>
        <x:v>1</x:v>
      </x:c>
      <x:c r="E1424" s="11" t="n">
        <x:f>D1424-C1424</x:f>
        <x:v>0</x:v>
      </x:c>
      <x:c r="F1424" s="5" t="str">
        <x:v>nicht Pilot</x:v>
      </x:c>
      <x:c r="G1424" s="5" t="str">
        <x:v>WQ</x:v>
      </x:c>
    </x:row>
    <x:row r="1425" ht="36" customHeight="1">
      <x:c r="A1425" s="5" t="str">
        <x:v>UF-0214</x:v>
      </x:c>
      <x:c r="B1425" s="5" t="str">
        <x:v>Unternehmensführung</x:v>
      </x:c>
      <x:c r="C1425" s="11" t="n">
        <x:v>1</x:v>
      </x:c>
      <x:c r="D1425" s="11" t="n">
        <x:f>COUNTIF('Einzel-ID-Zuordnung'!$A$7:$A$2692,A1425)</x:f>
        <x:v>1</x:v>
      </x:c>
      <x:c r="E1425" s="11" t="n">
        <x:f>D1425-C1425</x:f>
        <x:v>0</x:v>
      </x:c>
      <x:c r="F1425" s="5" t="str">
        <x:v>nicht Pilot</x:v>
      </x:c>
      <x:c r="G1425" s="5" t="str">
        <x:v>WQ</x:v>
      </x:c>
    </x:row>
    <x:row r="1426" ht="36" customHeight="1">
      <x:c r="A1426" s="5" t="str">
        <x:v>UF-0215</x:v>
      </x:c>
      <x:c r="B1426" s="5" t="str">
        <x:v>Unternehmensführung</x:v>
      </x:c>
      <x:c r="C1426" s="11" t="n">
        <x:v>1</x:v>
      </x:c>
      <x:c r="D1426" s="11" t="n">
        <x:f>COUNTIF('Einzel-ID-Zuordnung'!$A$7:$A$2692,A1426)</x:f>
        <x:v>1</x:v>
      </x:c>
      <x:c r="E1426" s="11" t="n">
        <x:f>D1426-C1426</x:f>
        <x:v>0</x:v>
      </x:c>
      <x:c r="F1426" s="5" t="str">
        <x:v>nicht Pilot</x:v>
      </x:c>
      <x:c r="G1426" s="5" t="str">
        <x:v>WQ</x:v>
      </x:c>
    </x:row>
    <x:row r="1427" ht="36" customHeight="1">
      <x:c r="A1427" s="5" t="str">
        <x:v>UF-0216</x:v>
      </x:c>
      <x:c r="B1427" s="5" t="str">
        <x:v>Unternehmensführung</x:v>
      </x:c>
      <x:c r="C1427" s="11" t="n">
        <x:v>1</x:v>
      </x:c>
      <x:c r="D1427" s="11" t="n">
        <x:f>COUNTIF('Einzel-ID-Zuordnung'!$A$7:$A$2692,A1427)</x:f>
        <x:v>1</x:v>
      </x:c>
      <x:c r="E1427" s="11" t="n">
        <x:f>D1427-C1427</x:f>
        <x:v>0</x:v>
      </x:c>
      <x:c r="F1427" s="5" t="str">
        <x:v>nicht Pilot</x:v>
      </x:c>
      <x:c r="G1427" s="5" t="str">
        <x:v>WQ</x:v>
      </x:c>
    </x:row>
    <x:row r="1428" ht="36" customHeight="1">
      <x:c r="A1428" s="5" t="str">
        <x:v>UF-0217</x:v>
      </x:c>
      <x:c r="B1428" s="5" t="str">
        <x:v>Unternehmensführung</x:v>
      </x:c>
      <x:c r="C1428" s="11" t="n">
        <x:v>1</x:v>
      </x:c>
      <x:c r="D1428" s="11" t="n">
        <x:f>COUNTIF('Einzel-ID-Zuordnung'!$A$7:$A$2692,A1428)</x:f>
        <x:v>1</x:v>
      </x:c>
      <x:c r="E1428" s="11" t="n">
        <x:f>D1428-C1428</x:f>
        <x:v>0</x:v>
      </x:c>
      <x:c r="F1428" s="5" t="str">
        <x:v>nicht Pilot</x:v>
      </x:c>
      <x:c r="G1428" s="5" t="str">
        <x:v>WQ</x:v>
      </x:c>
    </x:row>
    <x:row r="1429" ht="36" customHeight="1">
      <x:c r="A1429" s="5" t="str">
        <x:v>UF-0218</x:v>
      </x:c>
      <x:c r="B1429" s="5" t="str">
        <x:v>Unternehmensführung</x:v>
      </x:c>
      <x:c r="C1429" s="11" t="n">
        <x:v>1</x:v>
      </x:c>
      <x:c r="D1429" s="11" t="n">
        <x:f>COUNTIF('Einzel-ID-Zuordnung'!$A$7:$A$2692,A1429)</x:f>
        <x:v>1</x:v>
      </x:c>
      <x:c r="E1429" s="11" t="n">
        <x:f>D1429-C1429</x:f>
        <x:v>0</x:v>
      </x:c>
      <x:c r="F1429" s="5" t="str">
        <x:v>nicht Pilot</x:v>
      </x:c>
      <x:c r="G1429" s="5" t="str">
        <x:v>WQ</x:v>
      </x:c>
    </x:row>
    <x:row r="1430" ht="36" customHeight="1">
      <x:c r="A1430" s="5" t="str">
        <x:v>UF-0219</x:v>
      </x:c>
      <x:c r="B1430" s="5" t="str">
        <x:v>Unternehmensführung</x:v>
      </x:c>
      <x:c r="C1430" s="11" t="n">
        <x:v>1</x:v>
      </x:c>
      <x:c r="D1430" s="11" t="n">
        <x:f>COUNTIF('Einzel-ID-Zuordnung'!$A$7:$A$2692,A1430)</x:f>
        <x:v>1</x:v>
      </x:c>
      <x:c r="E1430" s="11" t="n">
        <x:f>D1430-C1430</x:f>
        <x:v>0</x:v>
      </x:c>
      <x:c r="F1430" s="5" t="str">
        <x:v>nicht Pilot</x:v>
      </x:c>
      <x:c r="G1430" s="5" t="str">
        <x:v>WQ</x:v>
      </x:c>
    </x:row>
    <x:row r="1431" ht="36" customHeight="1">
      <x:c r="A1431" s="5" t="str">
        <x:v>UF-0220</x:v>
      </x:c>
      <x:c r="B1431" s="5" t="str">
        <x:v>Unternehmensführung</x:v>
      </x:c>
      <x:c r="C1431" s="11" t="n">
        <x:v>1</x:v>
      </x:c>
      <x:c r="D1431" s="11" t="n">
        <x:f>COUNTIF('Einzel-ID-Zuordnung'!$A$7:$A$2692,A1431)</x:f>
        <x:v>1</x:v>
      </x:c>
      <x:c r="E1431" s="11" t="n">
        <x:f>D1431-C1431</x:f>
        <x:v>0</x:v>
      </x:c>
      <x:c r="F1431" s="5" t="str">
        <x:v>nicht Pilot</x:v>
      </x:c>
      <x:c r="G1431" s="5" t="str">
        <x:v>WQ</x:v>
      </x:c>
    </x:row>
    <x:row r="1432" ht="36" customHeight="1">
      <x:c r="A1432" s="5" t="str">
        <x:v>UF-0221</x:v>
      </x:c>
      <x:c r="B1432" s="5" t="str">
        <x:v>Unternehmensführung</x:v>
      </x:c>
      <x:c r="C1432" s="11" t="n">
        <x:v>1</x:v>
      </x:c>
      <x:c r="D1432" s="11" t="n">
        <x:f>COUNTIF('Einzel-ID-Zuordnung'!$A$7:$A$2692,A1432)</x:f>
        <x:v>1</x:v>
      </x:c>
      <x:c r="E1432" s="11" t="n">
        <x:f>D1432-C1432</x:f>
        <x:v>0</x:v>
      </x:c>
      <x:c r="F1432" s="5" t="str">
        <x:v>nicht Pilot</x:v>
      </x:c>
      <x:c r="G1432" s="5" t="str">
        <x:v>WQ</x:v>
      </x:c>
    </x:row>
    <x:row r="1433" ht="36" customHeight="1">
      <x:c r="A1433" s="5" t="str">
        <x:v>UF-0222</x:v>
      </x:c>
      <x:c r="B1433" s="5" t="str">
        <x:v>Unternehmensführung</x:v>
      </x:c>
      <x:c r="C1433" s="11" t="n">
        <x:v>1</x:v>
      </x:c>
      <x:c r="D1433" s="11" t="n">
        <x:f>COUNTIF('Einzel-ID-Zuordnung'!$A$7:$A$2692,A1433)</x:f>
        <x:v>1</x:v>
      </x:c>
      <x:c r="E1433" s="11" t="n">
        <x:f>D1433-C1433</x:f>
        <x:v>0</x:v>
      </x:c>
      <x:c r="F1433" s="5" t="str">
        <x:v>nicht Pilot</x:v>
      </x:c>
      <x:c r="G1433" s="5" t="str">
        <x:v>WQ</x:v>
      </x:c>
    </x:row>
    <x:row r="1434" ht="36" customHeight="1">
      <x:c r="A1434" s="5" t="str">
        <x:v>UF-0223</x:v>
      </x:c>
      <x:c r="B1434" s="5" t="str">
        <x:v>Unternehmensführung</x:v>
      </x:c>
      <x:c r="C1434" s="11" t="n">
        <x:v>1</x:v>
      </x:c>
      <x:c r="D1434" s="11" t="n">
        <x:f>COUNTIF('Einzel-ID-Zuordnung'!$A$7:$A$2692,A1434)</x:f>
        <x:v>1</x:v>
      </x:c>
      <x:c r="E1434" s="11" t="n">
        <x:f>D1434-C1434</x:f>
        <x:v>0</x:v>
      </x:c>
      <x:c r="F1434" s="5" t="str">
        <x:v>nicht Pilot</x:v>
      </x:c>
      <x:c r="G1434" s="5" t="str">
        <x:v>WQ</x:v>
      </x:c>
    </x:row>
    <x:row r="1435" ht="36" customHeight="1">
      <x:c r="A1435" s="5" t="str">
        <x:v>UF-0224</x:v>
      </x:c>
      <x:c r="B1435" s="5" t="str">
        <x:v>Unternehmensführung</x:v>
      </x:c>
      <x:c r="C1435" s="11" t="n">
        <x:v>1</x:v>
      </x:c>
      <x:c r="D1435" s="11" t="n">
        <x:f>COUNTIF('Einzel-ID-Zuordnung'!$A$7:$A$2692,A1435)</x:f>
        <x:v>1</x:v>
      </x:c>
      <x:c r="E1435" s="11" t="n">
        <x:f>D1435-C1435</x:f>
        <x:v>0</x:v>
      </x:c>
      <x:c r="F1435" s="5" t="str">
        <x:v>nicht Pilot</x:v>
      </x:c>
      <x:c r="G1435" s="5" t="str">
        <x:v>WQ</x:v>
      </x:c>
    </x:row>
    <x:row r="1436" ht="36" customHeight="1">
      <x:c r="A1436" s="5" t="str">
        <x:v>UF-0225</x:v>
      </x:c>
      <x:c r="B1436" s="5" t="str">
        <x:v>Unternehmensführung</x:v>
      </x:c>
      <x:c r="C1436" s="11" t="n">
        <x:v>1</x:v>
      </x:c>
      <x:c r="D1436" s="11" t="n">
        <x:f>COUNTIF('Einzel-ID-Zuordnung'!$A$7:$A$2692,A1436)</x:f>
        <x:v>1</x:v>
      </x:c>
      <x:c r="E1436" s="11" t="n">
        <x:f>D1436-C1436</x:f>
        <x:v>0</x:v>
      </x:c>
      <x:c r="F1436" s="5" t="str">
        <x:v>nicht Pilot</x:v>
      </x:c>
      <x:c r="G1436" s="5" t="str">
        <x:v>WQ</x:v>
      </x:c>
    </x:row>
    <x:row r="1437" ht="36" customHeight="1">
      <x:c r="A1437" s="5" t="str">
        <x:v>UF-0226</x:v>
      </x:c>
      <x:c r="B1437" s="5" t="str">
        <x:v>Unternehmensführung</x:v>
      </x:c>
      <x:c r="C1437" s="11" t="n">
        <x:v>1</x:v>
      </x:c>
      <x:c r="D1437" s="11" t="n">
        <x:f>COUNTIF('Einzel-ID-Zuordnung'!$A$7:$A$2692,A1437)</x:f>
        <x:v>1</x:v>
      </x:c>
      <x:c r="E1437" s="11" t="n">
        <x:f>D1437-C1437</x:f>
        <x:v>0</x:v>
      </x:c>
      <x:c r="F1437" s="5" t="str">
        <x:v>nicht Pilot</x:v>
      </x:c>
      <x:c r="G1437" s="5" t="str">
        <x:v>WQ</x:v>
      </x:c>
    </x:row>
    <x:row r="1438" ht="36" customHeight="1">
      <x:c r="A1438" s="5" t="str">
        <x:v>UF-0227</x:v>
      </x:c>
      <x:c r="B1438" s="5" t="str">
        <x:v>Unternehmensführung</x:v>
      </x:c>
      <x:c r="C1438" s="11" t="n">
        <x:v>1</x:v>
      </x:c>
      <x:c r="D1438" s="11" t="n">
        <x:f>COUNTIF('Einzel-ID-Zuordnung'!$A$7:$A$2692,A1438)</x:f>
        <x:v>1</x:v>
      </x:c>
      <x:c r="E1438" s="11" t="n">
        <x:f>D1438-C1438</x:f>
        <x:v>0</x:v>
      </x:c>
      <x:c r="F1438" s="5" t="str">
        <x:v>nicht Pilot</x:v>
      </x:c>
      <x:c r="G1438" s="5" t="str">
        <x:v>WQ</x:v>
      </x:c>
    </x:row>
    <x:row r="1439" ht="36" customHeight="1">
      <x:c r="A1439" s="5" t="str">
        <x:v>UF-0228</x:v>
      </x:c>
      <x:c r="B1439" s="5" t="str">
        <x:v>Unternehmensführung</x:v>
      </x:c>
      <x:c r="C1439" s="11" t="n">
        <x:v>1</x:v>
      </x:c>
      <x:c r="D1439" s="11" t="n">
        <x:f>COUNTIF('Einzel-ID-Zuordnung'!$A$7:$A$2692,A1439)</x:f>
        <x:v>1</x:v>
      </x:c>
      <x:c r="E1439" s="11" t="n">
        <x:f>D1439-C1439</x:f>
        <x:v>0</x:v>
      </x:c>
      <x:c r="F1439" s="5" t="str">
        <x:v>nicht Pilot</x:v>
      </x:c>
      <x:c r="G1439" s="5" t="str">
        <x:v>WQ</x:v>
      </x:c>
    </x:row>
    <x:row r="1440" ht="36" customHeight="1">
      <x:c r="A1440" s="5" t="str">
        <x:v>UF-0229</x:v>
      </x:c>
      <x:c r="B1440" s="5" t="str">
        <x:v>Unternehmensführung</x:v>
      </x:c>
      <x:c r="C1440" s="11" t="n">
        <x:v>1</x:v>
      </x:c>
      <x:c r="D1440" s="11" t="n">
        <x:f>COUNTIF('Einzel-ID-Zuordnung'!$A$7:$A$2692,A1440)</x:f>
        <x:v>1</x:v>
      </x:c>
      <x:c r="E1440" s="11" t="n">
        <x:f>D1440-C1440</x:f>
        <x:v>0</x:v>
      </x:c>
      <x:c r="F1440" s="5" t="str">
        <x:v>nicht Pilot</x:v>
      </x:c>
      <x:c r="G1440" s="5" t="str">
        <x:v>WQ</x:v>
      </x:c>
    </x:row>
    <x:row r="1441" ht="36" customHeight="1">
      <x:c r="A1441" s="5" t="str">
        <x:v>UF-0230</x:v>
      </x:c>
      <x:c r="B1441" s="5" t="str">
        <x:v>Unternehmensführung</x:v>
      </x:c>
      <x:c r="C1441" s="11" t="n">
        <x:v>1</x:v>
      </x:c>
      <x:c r="D1441" s="11" t="n">
        <x:f>COUNTIF('Einzel-ID-Zuordnung'!$A$7:$A$2692,A1441)</x:f>
        <x:v>1</x:v>
      </x:c>
      <x:c r="E1441" s="11" t="n">
        <x:f>D1441-C1441</x:f>
        <x:v>0</x:v>
      </x:c>
      <x:c r="F1441" s="5" t="str">
        <x:v>nicht Pilot</x:v>
      </x:c>
      <x:c r="G1441" s="5" t="str">
        <x:v>WQ</x:v>
      </x:c>
    </x:row>
    <x:row r="1442" ht="36" customHeight="1">
      <x:c r="A1442" s="5" t="str">
        <x:v>UF-0231</x:v>
      </x:c>
      <x:c r="B1442" s="5" t="str">
        <x:v>Unternehmensführung</x:v>
      </x:c>
      <x:c r="C1442" s="11" t="n">
        <x:v>1</x:v>
      </x:c>
      <x:c r="D1442" s="11" t="n">
        <x:f>COUNTIF('Einzel-ID-Zuordnung'!$A$7:$A$2692,A1442)</x:f>
        <x:v>1</x:v>
      </x:c>
      <x:c r="E1442" s="11" t="n">
        <x:f>D1442-C1442</x:f>
        <x:v>0</x:v>
      </x:c>
      <x:c r="F1442" s="5" t="str">
        <x:v>nicht Pilot</x:v>
      </x:c>
      <x:c r="G1442" s="5" t="str">
        <x:v>WQ</x:v>
      </x:c>
    </x:row>
    <x:row r="1443" ht="36" customHeight="1">
      <x:c r="A1443" s="5" t="str">
        <x:v>UF-0232</x:v>
      </x:c>
      <x:c r="B1443" s="5" t="str">
        <x:v>Unternehmensführung</x:v>
      </x:c>
      <x:c r="C1443" s="11" t="n">
        <x:v>1</x:v>
      </x:c>
      <x:c r="D1443" s="11" t="n">
        <x:f>COUNTIF('Einzel-ID-Zuordnung'!$A$7:$A$2692,A1443)</x:f>
        <x:v>1</x:v>
      </x:c>
      <x:c r="E1443" s="11" t="n">
        <x:f>D1443-C1443</x:f>
        <x:v>0</x:v>
      </x:c>
      <x:c r="F1443" s="5" t="str">
        <x:v>nicht Pilot</x:v>
      </x:c>
      <x:c r="G1443" s="5" t="str">
        <x:v>WQ</x:v>
      </x:c>
    </x:row>
    <x:row r="1444" ht="36" customHeight="1">
      <x:c r="A1444" s="5" t="str">
        <x:v>UF-0233</x:v>
      </x:c>
      <x:c r="B1444" s="5" t="str">
        <x:v>Unternehmensführung</x:v>
      </x:c>
      <x:c r="C1444" s="11" t="n">
        <x:v>1</x:v>
      </x:c>
      <x:c r="D1444" s="11" t="n">
        <x:f>COUNTIF('Einzel-ID-Zuordnung'!$A$7:$A$2692,A1444)</x:f>
        <x:v>1</x:v>
      </x:c>
      <x:c r="E1444" s="11" t="n">
        <x:f>D1444-C1444</x:f>
        <x:v>0</x:v>
      </x:c>
      <x:c r="F1444" s="5" t="str">
        <x:v>nicht Pilot</x:v>
      </x:c>
      <x:c r="G1444" s="5" t="str">
        <x:v>WQ</x:v>
      </x:c>
    </x:row>
    <x:row r="1445" ht="36" customHeight="1">
      <x:c r="A1445" s="5" t="str">
        <x:v>UF-0234</x:v>
      </x:c>
      <x:c r="B1445" s="5" t="str">
        <x:v>Unternehmensführung</x:v>
      </x:c>
      <x:c r="C1445" s="11" t="n">
        <x:v>1</x:v>
      </x:c>
      <x:c r="D1445" s="11" t="n">
        <x:f>COUNTIF('Einzel-ID-Zuordnung'!$A$7:$A$2692,A1445)</x:f>
        <x:v>1</x:v>
      </x:c>
      <x:c r="E1445" s="11" t="n">
        <x:f>D1445-C1445</x:f>
        <x:v>0</x:v>
      </x:c>
      <x:c r="F1445" s="5" t="str">
        <x:v>nicht Pilot</x:v>
      </x:c>
      <x:c r="G1445" s="5" t="str">
        <x:v>WQ</x:v>
      </x:c>
    </x:row>
    <x:row r="1446" ht="36" customHeight="1">
      <x:c r="A1446" s="5" t="str">
        <x:v>UF-0235</x:v>
      </x:c>
      <x:c r="B1446" s="5" t="str">
        <x:v>Unternehmensführung</x:v>
      </x:c>
      <x:c r="C1446" s="11" t="n">
        <x:v>1</x:v>
      </x:c>
      <x:c r="D1446" s="11" t="n">
        <x:f>COUNTIF('Einzel-ID-Zuordnung'!$A$7:$A$2692,A1446)</x:f>
        <x:v>1</x:v>
      </x:c>
      <x:c r="E1446" s="11" t="n">
        <x:f>D1446-C1446</x:f>
        <x:v>0</x:v>
      </x:c>
      <x:c r="F1446" s="5" t="str">
        <x:v>nicht Pilot</x:v>
      </x:c>
      <x:c r="G1446" s="5" t="str">
        <x:v>WQ</x:v>
      </x:c>
    </x:row>
    <x:row r="1447" ht="36" customHeight="1">
      <x:c r="A1447" s="5" t="str">
        <x:v>BM-0001</x:v>
      </x:c>
      <x:c r="B1447" s="5" t="str">
        <x:v>Betriebliches Management</x:v>
      </x:c>
      <x:c r="C1447" s="11" t="n">
        <x:v>1</x:v>
      </x:c>
      <x:c r="D1447" s="11" t="n">
        <x:f>COUNTIF('Einzel-ID-Zuordnung'!$A$7:$A$2692,A1447)</x:f>
        <x:v>1</x:v>
      </x:c>
      <x:c r="E1447" s="11" t="n">
        <x:f>D1447-C1447</x:f>
        <x:v>0</x:v>
      </x:c>
      <x:c r="F1447" s="5" t="str">
        <x:v>nicht Pilot</x:v>
      </x:c>
      <x:c r="G1447" s="5" t="str">
        <x:v>HQ</x:v>
      </x:c>
    </x:row>
    <x:row r="1448" ht="36" customHeight="1">
      <x:c r="A1448" s="5" t="str">
        <x:v>BM-0002</x:v>
      </x:c>
      <x:c r="B1448" s="5" t="str">
        <x:v>Betriebliches Management</x:v>
      </x:c>
      <x:c r="C1448" s="11" t="n">
        <x:v>1</x:v>
      </x:c>
      <x:c r="D1448" s="11" t="n">
        <x:f>COUNTIF('Einzel-ID-Zuordnung'!$A$7:$A$2692,A1448)</x:f>
        <x:v>1</x:v>
      </x:c>
      <x:c r="E1448" s="11" t="n">
        <x:f>D1448-C1448</x:f>
        <x:v>0</x:v>
      </x:c>
      <x:c r="F1448" s="5" t="str">
        <x:v>nicht Pilot</x:v>
      </x:c>
      <x:c r="G1448" s="5" t="str">
        <x:v>HQ</x:v>
      </x:c>
    </x:row>
    <x:row r="1449" ht="36" customHeight="1">
      <x:c r="A1449" s="5" t="str">
        <x:v>BM-0003</x:v>
      </x:c>
      <x:c r="B1449" s="5" t="str">
        <x:v>Betriebliches Management</x:v>
      </x:c>
      <x:c r="C1449" s="11" t="n">
        <x:v>1</x:v>
      </x:c>
      <x:c r="D1449" s="11" t="n">
        <x:f>COUNTIF('Einzel-ID-Zuordnung'!$A$7:$A$2692,A1449)</x:f>
        <x:v>1</x:v>
      </x:c>
      <x:c r="E1449" s="11" t="n">
        <x:f>D1449-C1449</x:f>
        <x:v>0</x:v>
      </x:c>
      <x:c r="F1449" s="5" t="str">
        <x:v>nicht Pilot</x:v>
      </x:c>
      <x:c r="G1449" s="5" t="str">
        <x:v>HQ</x:v>
      </x:c>
    </x:row>
    <x:row r="1450" ht="36" customHeight="1">
      <x:c r="A1450" s="5" t="str">
        <x:v>BM-0004</x:v>
      </x:c>
      <x:c r="B1450" s="5" t="str">
        <x:v>Betriebliches Management</x:v>
      </x:c>
      <x:c r="C1450" s="11" t="n">
        <x:v>1</x:v>
      </x:c>
      <x:c r="D1450" s="11" t="n">
        <x:f>COUNTIF('Einzel-ID-Zuordnung'!$A$7:$A$2692,A1450)</x:f>
        <x:v>1</x:v>
      </x:c>
      <x:c r="E1450" s="11" t="n">
        <x:f>D1450-C1450</x:f>
        <x:v>0</x:v>
      </x:c>
      <x:c r="F1450" s="5" t="str">
        <x:v>nicht Pilot</x:v>
      </x:c>
      <x:c r="G1450" s="5" t="str">
        <x:v>HQ</x:v>
      </x:c>
    </x:row>
    <x:row r="1451" ht="36" customHeight="1">
      <x:c r="A1451" s="5" t="str">
        <x:v>BM-0005</x:v>
      </x:c>
      <x:c r="B1451" s="5" t="str">
        <x:v>Betriebliches Management</x:v>
      </x:c>
      <x:c r="C1451" s="11" t="n">
        <x:v>1</x:v>
      </x:c>
      <x:c r="D1451" s="11" t="n">
        <x:f>COUNTIF('Einzel-ID-Zuordnung'!$A$7:$A$2692,A1451)</x:f>
        <x:v>1</x:v>
      </x:c>
      <x:c r="E1451" s="11" t="n">
        <x:f>D1451-C1451</x:f>
        <x:v>0</x:v>
      </x:c>
      <x:c r="F1451" s="5" t="str">
        <x:v>nicht Pilot</x:v>
      </x:c>
      <x:c r="G1451" s="5" t="str">
        <x:v>HQ</x:v>
      </x:c>
    </x:row>
    <x:row r="1452" ht="36" customHeight="1">
      <x:c r="A1452" s="5" t="str">
        <x:v>BM-0006</x:v>
      </x:c>
      <x:c r="B1452" s="5" t="str">
        <x:v>Betriebliches Management</x:v>
      </x:c>
      <x:c r="C1452" s="11" t="n">
        <x:v>1</x:v>
      </x:c>
      <x:c r="D1452" s="11" t="n">
        <x:f>COUNTIF('Einzel-ID-Zuordnung'!$A$7:$A$2692,A1452)</x:f>
        <x:v>1</x:v>
      </x:c>
      <x:c r="E1452" s="11" t="n">
        <x:f>D1452-C1452</x:f>
        <x:v>0</x:v>
      </x:c>
      <x:c r="F1452" s="5" t="str">
        <x:v>nicht Pilot</x:v>
      </x:c>
      <x:c r="G1452" s="5" t="str">
        <x:v>HQ</x:v>
      </x:c>
    </x:row>
    <x:row r="1453" ht="36" customHeight="1">
      <x:c r="A1453" s="5" t="str">
        <x:v>BM-0008</x:v>
      </x:c>
      <x:c r="B1453" s="5" t="str">
        <x:v>Betriebliches Management</x:v>
      </x:c>
      <x:c r="C1453" s="11" t="n">
        <x:v>1</x:v>
      </x:c>
      <x:c r="D1453" s="11" t="n">
        <x:f>COUNTIF('Einzel-ID-Zuordnung'!$A$7:$A$2692,A1453)</x:f>
        <x:v>1</x:v>
      </x:c>
      <x:c r="E1453" s="11" t="n">
        <x:f>D1453-C1453</x:f>
        <x:v>0</x:v>
      </x:c>
      <x:c r="F1453" s="5" t="str">
        <x:v>nicht Pilot</x:v>
      </x:c>
      <x:c r="G1453" s="5" t="str">
        <x:v>HQ</x:v>
      </x:c>
    </x:row>
    <x:row r="1454" ht="36" customHeight="1">
      <x:c r="A1454" s="5" t="str">
        <x:v>BM-0009</x:v>
      </x:c>
      <x:c r="B1454" s="5" t="str">
        <x:v>Betriebliches Management</x:v>
      </x:c>
      <x:c r="C1454" s="11" t="n">
        <x:v>1</x:v>
      </x:c>
      <x:c r="D1454" s="11" t="n">
        <x:f>COUNTIF('Einzel-ID-Zuordnung'!$A$7:$A$2692,A1454)</x:f>
        <x:v>1</x:v>
      </x:c>
      <x:c r="E1454" s="11" t="n">
        <x:f>D1454-C1454</x:f>
        <x:v>0</x:v>
      </x:c>
      <x:c r="F1454" s="5" t="str">
        <x:v>nicht Pilot</x:v>
      </x:c>
      <x:c r="G1454" s="5" t="str">
        <x:v>HQ</x:v>
      </x:c>
    </x:row>
    <x:row r="1455" ht="36" customHeight="1">
      <x:c r="A1455" s="5" t="str">
        <x:v>BM-0010</x:v>
      </x:c>
      <x:c r="B1455" s="5" t="str">
        <x:v>Betriebliches Management</x:v>
      </x:c>
      <x:c r="C1455" s="11" t="n">
        <x:v>1</x:v>
      </x:c>
      <x:c r="D1455" s="11" t="n">
        <x:f>COUNTIF('Einzel-ID-Zuordnung'!$A$7:$A$2692,A1455)</x:f>
        <x:v>1</x:v>
      </x:c>
      <x:c r="E1455" s="11" t="n">
        <x:f>D1455-C1455</x:f>
        <x:v>0</x:v>
      </x:c>
      <x:c r="F1455" s="5" t="str">
        <x:v>nicht Pilot</x:v>
      </x:c>
      <x:c r="G1455" s="5" t="str">
        <x:v>HQ</x:v>
      </x:c>
    </x:row>
    <x:row r="1456" ht="36" customHeight="1">
      <x:c r="A1456" s="5" t="str">
        <x:v>BM-0011</x:v>
      </x:c>
      <x:c r="B1456" s="5" t="str">
        <x:v>Betriebliches Management</x:v>
      </x:c>
      <x:c r="C1456" s="11" t="n">
        <x:v>1</x:v>
      </x:c>
      <x:c r="D1456" s="11" t="n">
        <x:f>COUNTIF('Einzel-ID-Zuordnung'!$A$7:$A$2692,A1456)</x:f>
        <x:v>1</x:v>
      </x:c>
      <x:c r="E1456" s="11" t="n">
        <x:f>D1456-C1456</x:f>
        <x:v>0</x:v>
      </x:c>
      <x:c r="F1456" s="5" t="str">
        <x:v>nicht Pilot</x:v>
      </x:c>
      <x:c r="G1456" s="5" t="str">
        <x:v>HQ</x:v>
      </x:c>
    </x:row>
    <x:row r="1457" ht="36" customHeight="1">
      <x:c r="A1457" s="5" t="str">
        <x:v>BM-0012</x:v>
      </x:c>
      <x:c r="B1457" s="5" t="str">
        <x:v>Betriebliches Management</x:v>
      </x:c>
      <x:c r="C1457" s="11" t="n">
        <x:v>1</x:v>
      </x:c>
      <x:c r="D1457" s="11" t="n">
        <x:f>COUNTIF('Einzel-ID-Zuordnung'!$A$7:$A$2692,A1457)</x:f>
        <x:v>1</x:v>
      </x:c>
      <x:c r="E1457" s="11" t="n">
        <x:f>D1457-C1457</x:f>
        <x:v>0</x:v>
      </x:c>
      <x:c r="F1457" s="5" t="str">
        <x:v>nicht Pilot</x:v>
      </x:c>
      <x:c r="G1457" s="5" t="str">
        <x:v>HQ</x:v>
      </x:c>
    </x:row>
    <x:row r="1458" ht="36" customHeight="1">
      <x:c r="A1458" s="5" t="str">
        <x:v>BM-0013</x:v>
      </x:c>
      <x:c r="B1458" s="5" t="str">
        <x:v>Betriebliches Management</x:v>
      </x:c>
      <x:c r="C1458" s="11" t="n">
        <x:v>1</x:v>
      </x:c>
      <x:c r="D1458" s="11" t="n">
        <x:f>COUNTIF('Einzel-ID-Zuordnung'!$A$7:$A$2692,A1458)</x:f>
        <x:v>1</x:v>
      </x:c>
      <x:c r="E1458" s="11" t="n">
        <x:f>D1458-C1458</x:f>
        <x:v>0</x:v>
      </x:c>
      <x:c r="F1458" s="5" t="str">
        <x:v>nicht Pilot</x:v>
      </x:c>
      <x:c r="G1458" s="5" t="str">
        <x:v>HQ</x:v>
      </x:c>
    </x:row>
    <x:row r="1459" ht="36" customHeight="1">
      <x:c r="A1459" s="5" t="str">
        <x:v>BM-0014</x:v>
      </x:c>
      <x:c r="B1459" s="5" t="str">
        <x:v>Betriebliches Management</x:v>
      </x:c>
      <x:c r="C1459" s="11" t="n">
        <x:v>1</x:v>
      </x:c>
      <x:c r="D1459" s="11" t="n">
        <x:f>COUNTIF('Einzel-ID-Zuordnung'!$A$7:$A$2692,A1459)</x:f>
        <x:v>1</x:v>
      </x:c>
      <x:c r="E1459" s="11" t="n">
        <x:f>D1459-C1459</x:f>
        <x:v>0</x:v>
      </x:c>
      <x:c r="F1459" s="5" t="str">
        <x:v>nicht Pilot</x:v>
      </x:c>
      <x:c r="G1459" s="5" t="str">
        <x:v>HQ</x:v>
      </x:c>
    </x:row>
    <x:row r="1460" ht="36" customHeight="1">
      <x:c r="A1460" s="5" t="str">
        <x:v>BM-0015</x:v>
      </x:c>
      <x:c r="B1460" s="5" t="str">
        <x:v>Betriebliches Management</x:v>
      </x:c>
      <x:c r="C1460" s="11" t="n">
        <x:v>1</x:v>
      </x:c>
      <x:c r="D1460" s="11" t="n">
        <x:f>COUNTIF('Einzel-ID-Zuordnung'!$A$7:$A$2692,A1460)</x:f>
        <x:v>1</x:v>
      </x:c>
      <x:c r="E1460" s="11" t="n">
        <x:f>D1460-C1460</x:f>
        <x:v>0</x:v>
      </x:c>
      <x:c r="F1460" s="5" t="str">
        <x:v>nicht Pilot</x:v>
      </x:c>
      <x:c r="G1460" s="5" t="str">
        <x:v>HQ</x:v>
      </x:c>
    </x:row>
    <x:row r="1461" ht="36" customHeight="1">
      <x:c r="A1461" s="5" t="str">
        <x:v>BM-0016</x:v>
      </x:c>
      <x:c r="B1461" s="5" t="str">
        <x:v>Betriebliches Management</x:v>
      </x:c>
      <x:c r="C1461" s="11" t="n">
        <x:v>1</x:v>
      </x:c>
      <x:c r="D1461" s="11" t="n">
        <x:f>COUNTIF('Einzel-ID-Zuordnung'!$A$7:$A$2692,A1461)</x:f>
        <x:v>1</x:v>
      </x:c>
      <x:c r="E1461" s="11" t="n">
        <x:f>D1461-C1461</x:f>
        <x:v>0</x:v>
      </x:c>
      <x:c r="F1461" s="5" t="str">
        <x:v>nicht Pilot</x:v>
      </x:c>
      <x:c r="G1461" s="5" t="str">
        <x:v>HQ</x:v>
      </x:c>
    </x:row>
    <x:row r="1462" ht="36" customHeight="1">
      <x:c r="A1462" s="5" t="str">
        <x:v>BM-0017</x:v>
      </x:c>
      <x:c r="B1462" s="5" t="str">
        <x:v>Betriebliches Management</x:v>
      </x:c>
      <x:c r="C1462" s="11" t="n">
        <x:v>1</x:v>
      </x:c>
      <x:c r="D1462" s="11" t="n">
        <x:f>COUNTIF('Einzel-ID-Zuordnung'!$A$7:$A$2692,A1462)</x:f>
        <x:v>1</x:v>
      </x:c>
      <x:c r="E1462" s="11" t="n">
        <x:f>D1462-C1462</x:f>
        <x:v>0</x:v>
      </x:c>
      <x:c r="F1462" s="5" t="str">
        <x:v>nicht Pilot</x:v>
      </x:c>
      <x:c r="G1462" s="5" t="str">
        <x:v>HQ</x:v>
      </x:c>
    </x:row>
    <x:row r="1463" ht="36" customHeight="1">
      <x:c r="A1463" s="5" t="str">
        <x:v>BM-0018</x:v>
      </x:c>
      <x:c r="B1463" s="5" t="str">
        <x:v>Betriebliches Management</x:v>
      </x:c>
      <x:c r="C1463" s="11" t="n">
        <x:v>1</x:v>
      </x:c>
      <x:c r="D1463" s="11" t="n">
        <x:f>COUNTIF('Einzel-ID-Zuordnung'!$A$7:$A$2692,A1463)</x:f>
        <x:v>1</x:v>
      </x:c>
      <x:c r="E1463" s="11" t="n">
        <x:f>D1463-C1463</x:f>
        <x:v>0</x:v>
      </x:c>
      <x:c r="F1463" s="5" t="str">
        <x:v>nicht Pilot</x:v>
      </x:c>
      <x:c r="G1463" s="5" t="str">
        <x:v>HQ</x:v>
      </x:c>
    </x:row>
    <x:row r="1464" ht="36" customHeight="1">
      <x:c r="A1464" s="5" t="str">
        <x:v>BM-0019</x:v>
      </x:c>
      <x:c r="B1464" s="5" t="str">
        <x:v>Betriebliches Management</x:v>
      </x:c>
      <x:c r="C1464" s="11" t="n">
        <x:v>1</x:v>
      </x:c>
      <x:c r="D1464" s="11" t="n">
        <x:f>COUNTIF('Einzel-ID-Zuordnung'!$A$7:$A$2692,A1464)</x:f>
        <x:v>1</x:v>
      </x:c>
      <x:c r="E1464" s="11" t="n">
        <x:f>D1464-C1464</x:f>
        <x:v>0</x:v>
      </x:c>
      <x:c r="F1464" s="5" t="str">
        <x:v>nicht Pilot</x:v>
      </x:c>
      <x:c r="G1464" s="5" t="str">
        <x:v>HQ</x:v>
      </x:c>
    </x:row>
    <x:row r="1465" ht="36" customHeight="1">
      <x:c r="A1465" s="5" t="str">
        <x:v>BM-0020</x:v>
      </x:c>
      <x:c r="B1465" s="5" t="str">
        <x:v>Betriebliches Management</x:v>
      </x:c>
      <x:c r="C1465" s="11" t="n">
        <x:v>1</x:v>
      </x:c>
      <x:c r="D1465" s="11" t="n">
        <x:f>COUNTIF('Einzel-ID-Zuordnung'!$A$7:$A$2692,A1465)</x:f>
        <x:v>1</x:v>
      </x:c>
      <x:c r="E1465" s="11" t="n">
        <x:f>D1465-C1465</x:f>
        <x:v>0</x:v>
      </x:c>
      <x:c r="F1465" s="5" t="str">
        <x:v>nicht Pilot</x:v>
      </x:c>
      <x:c r="G1465" s="5" t="str">
        <x:v>HQ</x:v>
      </x:c>
    </x:row>
    <x:row r="1466" ht="36" customHeight="1">
      <x:c r="A1466" s="5" t="str">
        <x:v>BM-0021</x:v>
      </x:c>
      <x:c r="B1466" s="5" t="str">
        <x:v>Betriebliches Management</x:v>
      </x:c>
      <x:c r="C1466" s="11" t="n">
        <x:v>1</x:v>
      </x:c>
      <x:c r="D1466" s="11" t="n">
        <x:f>COUNTIF('Einzel-ID-Zuordnung'!$A$7:$A$2692,A1466)</x:f>
        <x:v>1</x:v>
      </x:c>
      <x:c r="E1466" s="11" t="n">
        <x:f>D1466-C1466</x:f>
        <x:v>0</x:v>
      </x:c>
      <x:c r="F1466" s="5" t="str">
        <x:v>nicht Pilot</x:v>
      </x:c>
      <x:c r="G1466" s="5" t="str">
        <x:v>HQ</x:v>
      </x:c>
    </x:row>
    <x:row r="1467" ht="36" customHeight="1">
      <x:c r="A1467" s="5" t="str">
        <x:v>BM-0022</x:v>
      </x:c>
      <x:c r="B1467" s="5" t="str">
        <x:v>Betriebliches Management</x:v>
      </x:c>
      <x:c r="C1467" s="11" t="n">
        <x:v>1</x:v>
      </x:c>
      <x:c r="D1467" s="11" t="n">
        <x:f>COUNTIF('Einzel-ID-Zuordnung'!$A$7:$A$2692,A1467)</x:f>
        <x:v>1</x:v>
      </x:c>
      <x:c r="E1467" s="11" t="n">
        <x:f>D1467-C1467</x:f>
        <x:v>0</x:v>
      </x:c>
      <x:c r="F1467" s="5" t="str">
        <x:v>nicht Pilot</x:v>
      </x:c>
      <x:c r="G1467" s="5" t="str">
        <x:v>HQ</x:v>
      </x:c>
    </x:row>
    <x:row r="1468" ht="36" customHeight="1">
      <x:c r="A1468" s="5" t="str">
        <x:v>BM-0023</x:v>
      </x:c>
      <x:c r="B1468" s="5" t="str">
        <x:v>Betriebliches Management</x:v>
      </x:c>
      <x:c r="C1468" s="11" t="n">
        <x:v>1</x:v>
      </x:c>
      <x:c r="D1468" s="11" t="n">
        <x:f>COUNTIF('Einzel-ID-Zuordnung'!$A$7:$A$2692,A1468)</x:f>
        <x:v>1</x:v>
      </x:c>
      <x:c r="E1468" s="11" t="n">
        <x:f>D1468-C1468</x:f>
        <x:v>0</x:v>
      </x:c>
      <x:c r="F1468" s="5" t="str">
        <x:v>nicht Pilot</x:v>
      </x:c>
      <x:c r="G1468" s="5" t="str">
        <x:v>HQ</x:v>
      </x:c>
    </x:row>
    <x:row r="1469" ht="36" customHeight="1">
      <x:c r="A1469" s="5" t="str">
        <x:v>BM-0024</x:v>
      </x:c>
      <x:c r="B1469" s="5" t="str">
        <x:v>Betriebliches Management</x:v>
      </x:c>
      <x:c r="C1469" s="11" t="n">
        <x:v>1</x:v>
      </x:c>
      <x:c r="D1469" s="11" t="n">
        <x:f>COUNTIF('Einzel-ID-Zuordnung'!$A$7:$A$2692,A1469)</x:f>
        <x:v>1</x:v>
      </x:c>
      <x:c r="E1469" s="11" t="n">
        <x:f>D1469-C1469</x:f>
        <x:v>0</x:v>
      </x:c>
      <x:c r="F1469" s="5" t="str">
        <x:v>nicht Pilot</x:v>
      </x:c>
      <x:c r="G1469" s="5" t="str">
        <x:v>HQ</x:v>
      </x:c>
    </x:row>
    <x:row r="1470" ht="36" customHeight="1">
      <x:c r="A1470" s="5" t="str">
        <x:v>BM-0025</x:v>
      </x:c>
      <x:c r="B1470" s="5" t="str">
        <x:v>Betriebliches Management</x:v>
      </x:c>
      <x:c r="C1470" s="11" t="n">
        <x:v>1</x:v>
      </x:c>
      <x:c r="D1470" s="11" t="n">
        <x:f>COUNTIF('Einzel-ID-Zuordnung'!$A$7:$A$2692,A1470)</x:f>
        <x:v>1</x:v>
      </x:c>
      <x:c r="E1470" s="11" t="n">
        <x:f>D1470-C1470</x:f>
        <x:v>0</x:v>
      </x:c>
      <x:c r="F1470" s="5" t="str">
        <x:v>nicht Pilot</x:v>
      </x:c>
      <x:c r="G1470" s="5" t="str">
        <x:v>HQ</x:v>
      </x:c>
    </x:row>
    <x:row r="1471" ht="36" customHeight="1">
      <x:c r="A1471" s="5" t="str">
        <x:v>BM-0026</x:v>
      </x:c>
      <x:c r="B1471" s="5" t="str">
        <x:v>Betriebliches Management</x:v>
      </x:c>
      <x:c r="C1471" s="11" t="n">
        <x:v>1</x:v>
      </x:c>
      <x:c r="D1471" s="11" t="n">
        <x:f>COUNTIF('Einzel-ID-Zuordnung'!$A$7:$A$2692,A1471)</x:f>
        <x:v>1</x:v>
      </x:c>
      <x:c r="E1471" s="11" t="n">
        <x:f>D1471-C1471</x:f>
        <x:v>0</x:v>
      </x:c>
      <x:c r="F1471" s="5" t="str">
        <x:v>nicht Pilot</x:v>
      </x:c>
      <x:c r="G1471" s="5" t="str">
        <x:v>HQ</x:v>
      </x:c>
    </x:row>
    <x:row r="1472" ht="36" customHeight="1">
      <x:c r="A1472" s="5" t="str">
        <x:v>BM-0027</x:v>
      </x:c>
      <x:c r="B1472" s="5" t="str">
        <x:v>Betriebliches Management</x:v>
      </x:c>
      <x:c r="C1472" s="11" t="n">
        <x:v>1</x:v>
      </x:c>
      <x:c r="D1472" s="11" t="n">
        <x:f>COUNTIF('Einzel-ID-Zuordnung'!$A$7:$A$2692,A1472)</x:f>
        <x:v>1</x:v>
      </x:c>
      <x:c r="E1472" s="11" t="n">
        <x:f>D1472-C1472</x:f>
        <x:v>0</x:v>
      </x:c>
      <x:c r="F1472" s="5" t="str">
        <x:v>nicht Pilot</x:v>
      </x:c>
      <x:c r="G1472" s="5" t="str">
        <x:v>HQ</x:v>
      </x:c>
    </x:row>
    <x:row r="1473" ht="36" customHeight="1">
      <x:c r="A1473" s="5" t="str">
        <x:v>BM-0028</x:v>
      </x:c>
      <x:c r="B1473" s="5" t="str">
        <x:v>Betriebliches Management</x:v>
      </x:c>
      <x:c r="C1473" s="11" t="n">
        <x:v>1</x:v>
      </x:c>
      <x:c r="D1473" s="11" t="n">
        <x:f>COUNTIF('Einzel-ID-Zuordnung'!$A$7:$A$2692,A1473)</x:f>
        <x:v>1</x:v>
      </x:c>
      <x:c r="E1473" s="11" t="n">
        <x:f>D1473-C1473</x:f>
        <x:v>0</x:v>
      </x:c>
      <x:c r="F1473" s="5" t="str">
        <x:v>nicht Pilot</x:v>
      </x:c>
      <x:c r="G1473" s="5" t="str">
        <x:v>HQ</x:v>
      </x:c>
    </x:row>
    <x:row r="1474" ht="36" customHeight="1">
      <x:c r="A1474" s="5" t="str">
        <x:v>BM-0029</x:v>
      </x:c>
      <x:c r="B1474" s="5" t="str">
        <x:v>Betriebliches Management</x:v>
      </x:c>
      <x:c r="C1474" s="11" t="n">
        <x:v>1</x:v>
      </x:c>
      <x:c r="D1474" s="11" t="n">
        <x:f>COUNTIF('Einzel-ID-Zuordnung'!$A$7:$A$2692,A1474)</x:f>
        <x:v>1</x:v>
      </x:c>
      <x:c r="E1474" s="11" t="n">
        <x:f>D1474-C1474</x:f>
        <x:v>0</x:v>
      </x:c>
      <x:c r="F1474" s="5" t="str">
        <x:v>nicht Pilot</x:v>
      </x:c>
      <x:c r="G1474" s="5" t="str">
        <x:v>HQ</x:v>
      </x:c>
    </x:row>
    <x:row r="1475" ht="36" customHeight="1">
      <x:c r="A1475" s="5" t="str">
        <x:v>BM-0030</x:v>
      </x:c>
      <x:c r="B1475" s="5" t="str">
        <x:v>Betriebliches Management</x:v>
      </x:c>
      <x:c r="C1475" s="11" t="n">
        <x:v>1</x:v>
      </x:c>
      <x:c r="D1475" s="11" t="n">
        <x:f>COUNTIF('Einzel-ID-Zuordnung'!$A$7:$A$2692,A1475)</x:f>
        <x:v>1</x:v>
      </x:c>
      <x:c r="E1475" s="11" t="n">
        <x:f>D1475-C1475</x:f>
        <x:v>0</x:v>
      </x:c>
      <x:c r="F1475" s="5" t="str">
        <x:v>nicht Pilot</x:v>
      </x:c>
      <x:c r="G1475" s="5" t="str">
        <x:v>HQ</x:v>
      </x:c>
    </x:row>
    <x:row r="1476" ht="36" customHeight="1">
      <x:c r="A1476" s="5" t="str">
        <x:v>BM-0031</x:v>
      </x:c>
      <x:c r="B1476" s="5" t="str">
        <x:v>Betriebliches Management</x:v>
      </x:c>
      <x:c r="C1476" s="11" t="n">
        <x:v>1</x:v>
      </x:c>
      <x:c r="D1476" s="11" t="n">
        <x:f>COUNTIF('Einzel-ID-Zuordnung'!$A$7:$A$2692,A1476)</x:f>
        <x:v>1</x:v>
      </x:c>
      <x:c r="E1476" s="11" t="n">
        <x:f>D1476-C1476</x:f>
        <x:v>0</x:v>
      </x:c>
      <x:c r="F1476" s="5" t="str">
        <x:v>nicht Pilot</x:v>
      </x:c>
      <x:c r="G1476" s="5" t="str">
        <x:v>HQ</x:v>
      </x:c>
    </x:row>
    <x:row r="1477" ht="36" customHeight="1">
      <x:c r="A1477" s="5" t="str">
        <x:v>BM-0032</x:v>
      </x:c>
      <x:c r="B1477" s="5" t="str">
        <x:v>Betriebliches Management</x:v>
      </x:c>
      <x:c r="C1477" s="11" t="n">
        <x:v>1</x:v>
      </x:c>
      <x:c r="D1477" s="11" t="n">
        <x:f>COUNTIF('Einzel-ID-Zuordnung'!$A$7:$A$2692,A1477)</x:f>
        <x:v>1</x:v>
      </x:c>
      <x:c r="E1477" s="11" t="n">
        <x:f>D1477-C1477</x:f>
        <x:v>0</x:v>
      </x:c>
      <x:c r="F1477" s="5" t="str">
        <x:v>nicht Pilot</x:v>
      </x:c>
      <x:c r="G1477" s="5" t="str">
        <x:v>HQ</x:v>
      </x:c>
    </x:row>
    <x:row r="1478" ht="36" customHeight="1">
      <x:c r="A1478" s="5" t="str">
        <x:v>BM-0033</x:v>
      </x:c>
      <x:c r="B1478" s="5" t="str">
        <x:v>Betriebliches Management</x:v>
      </x:c>
      <x:c r="C1478" s="11" t="n">
        <x:v>1</x:v>
      </x:c>
      <x:c r="D1478" s="11" t="n">
        <x:f>COUNTIF('Einzel-ID-Zuordnung'!$A$7:$A$2692,A1478)</x:f>
        <x:v>1</x:v>
      </x:c>
      <x:c r="E1478" s="11" t="n">
        <x:f>D1478-C1478</x:f>
        <x:v>0</x:v>
      </x:c>
      <x:c r="F1478" s="5" t="str">
        <x:v>nicht Pilot</x:v>
      </x:c>
      <x:c r="G1478" s="5" t="str">
        <x:v>HQ</x:v>
      </x:c>
    </x:row>
    <x:row r="1479" ht="36" customHeight="1">
      <x:c r="A1479" s="5" t="str">
        <x:v>BM-0034</x:v>
      </x:c>
      <x:c r="B1479" s="5" t="str">
        <x:v>Betriebliches Management</x:v>
      </x:c>
      <x:c r="C1479" s="11" t="n">
        <x:v>1</x:v>
      </x:c>
      <x:c r="D1479" s="11" t="n">
        <x:f>COUNTIF('Einzel-ID-Zuordnung'!$A$7:$A$2692,A1479)</x:f>
        <x:v>1</x:v>
      </x:c>
      <x:c r="E1479" s="11" t="n">
        <x:f>D1479-C1479</x:f>
        <x:v>0</x:v>
      </x:c>
      <x:c r="F1479" s="5" t="str">
        <x:v>nicht Pilot</x:v>
      </x:c>
      <x:c r="G1479" s="5" t="str">
        <x:v>HQ</x:v>
      </x:c>
    </x:row>
    <x:row r="1480" ht="36" customHeight="1">
      <x:c r="A1480" s="5" t="str">
        <x:v>BM-0035</x:v>
      </x:c>
      <x:c r="B1480" s="5" t="str">
        <x:v>Betriebliches Management</x:v>
      </x:c>
      <x:c r="C1480" s="11" t="n">
        <x:v>1</x:v>
      </x:c>
      <x:c r="D1480" s="11" t="n">
        <x:f>COUNTIF('Einzel-ID-Zuordnung'!$A$7:$A$2692,A1480)</x:f>
        <x:v>1</x:v>
      </x:c>
      <x:c r="E1480" s="11" t="n">
        <x:f>D1480-C1480</x:f>
        <x:v>0</x:v>
      </x:c>
      <x:c r="F1480" s="5" t="str">
        <x:v>nicht Pilot</x:v>
      </x:c>
      <x:c r="G1480" s="5" t="str">
        <x:v>HQ</x:v>
      </x:c>
    </x:row>
    <x:row r="1481" ht="36" customHeight="1">
      <x:c r="A1481" s="5" t="str">
        <x:v>BM-0036</x:v>
      </x:c>
      <x:c r="B1481" s="5" t="str">
        <x:v>Betriebliches Management</x:v>
      </x:c>
      <x:c r="C1481" s="11" t="n">
        <x:v>1</x:v>
      </x:c>
      <x:c r="D1481" s="11" t="n">
        <x:f>COUNTIF('Einzel-ID-Zuordnung'!$A$7:$A$2692,A1481)</x:f>
        <x:v>1</x:v>
      </x:c>
      <x:c r="E1481" s="11" t="n">
        <x:f>D1481-C1481</x:f>
        <x:v>0</x:v>
      </x:c>
      <x:c r="F1481" s="5" t="str">
        <x:v>nicht Pilot</x:v>
      </x:c>
      <x:c r="G1481" s="5" t="str">
        <x:v>HQ</x:v>
      </x:c>
    </x:row>
    <x:row r="1482" ht="36" customHeight="1">
      <x:c r="A1482" s="5" t="str">
        <x:v>BM-0037</x:v>
      </x:c>
      <x:c r="B1482" s="5" t="str">
        <x:v>Betriebliches Management</x:v>
      </x:c>
      <x:c r="C1482" s="11" t="n">
        <x:v>1</x:v>
      </x:c>
      <x:c r="D1482" s="11" t="n">
        <x:f>COUNTIF('Einzel-ID-Zuordnung'!$A$7:$A$2692,A1482)</x:f>
        <x:v>1</x:v>
      </x:c>
      <x:c r="E1482" s="11" t="n">
        <x:f>D1482-C1482</x:f>
        <x:v>0</x:v>
      </x:c>
      <x:c r="F1482" s="5" t="str">
        <x:v>nicht Pilot</x:v>
      </x:c>
      <x:c r="G1482" s="5" t="str">
        <x:v>HQ</x:v>
      </x:c>
    </x:row>
    <x:row r="1483" ht="36" customHeight="1">
      <x:c r="A1483" s="5" t="str">
        <x:v>BM-0038</x:v>
      </x:c>
      <x:c r="B1483" s="5" t="str">
        <x:v>Betriebliches Management</x:v>
      </x:c>
      <x:c r="C1483" s="11" t="n">
        <x:v>1</x:v>
      </x:c>
      <x:c r="D1483" s="11" t="n">
        <x:f>COUNTIF('Einzel-ID-Zuordnung'!$A$7:$A$2692,A1483)</x:f>
        <x:v>1</x:v>
      </x:c>
      <x:c r="E1483" s="11" t="n">
        <x:f>D1483-C1483</x:f>
        <x:v>0</x:v>
      </x:c>
      <x:c r="F1483" s="5" t="str">
        <x:v>nicht Pilot</x:v>
      </x:c>
      <x:c r="G1483" s="5" t="str">
        <x:v>HQ</x:v>
      </x:c>
    </x:row>
    <x:row r="1484" ht="36" customHeight="1">
      <x:c r="A1484" s="5" t="str">
        <x:v>BM-0039</x:v>
      </x:c>
      <x:c r="B1484" s="5" t="str">
        <x:v>Betriebliches Management</x:v>
      </x:c>
      <x:c r="C1484" s="11" t="n">
        <x:v>1</x:v>
      </x:c>
      <x:c r="D1484" s="11" t="n">
        <x:f>COUNTIF('Einzel-ID-Zuordnung'!$A$7:$A$2692,A1484)</x:f>
        <x:v>1</x:v>
      </x:c>
      <x:c r="E1484" s="11" t="n">
        <x:f>D1484-C1484</x:f>
        <x:v>0</x:v>
      </x:c>
      <x:c r="F1484" s="5" t="str">
        <x:v>nicht Pilot</x:v>
      </x:c>
      <x:c r="G1484" s="5" t="str">
        <x:v>HQ</x:v>
      </x:c>
    </x:row>
    <x:row r="1485" ht="36" customHeight="1">
      <x:c r="A1485" s="5" t="str">
        <x:v>BM-0040</x:v>
      </x:c>
      <x:c r="B1485" s="5" t="str">
        <x:v>Betriebliches Management</x:v>
      </x:c>
      <x:c r="C1485" s="11" t="n">
        <x:v>1</x:v>
      </x:c>
      <x:c r="D1485" s="11" t="n">
        <x:f>COUNTIF('Einzel-ID-Zuordnung'!$A$7:$A$2692,A1485)</x:f>
        <x:v>1</x:v>
      </x:c>
      <x:c r="E1485" s="11" t="n">
        <x:f>D1485-C1485</x:f>
        <x:v>0</x:v>
      </x:c>
      <x:c r="F1485" s="5" t="str">
        <x:v>nicht Pilot</x:v>
      </x:c>
      <x:c r="G1485" s="5" t="str">
        <x:v>HQ</x:v>
      </x:c>
    </x:row>
    <x:row r="1486" ht="36" customHeight="1">
      <x:c r="A1486" s="5" t="str">
        <x:v>BM-0041</x:v>
      </x:c>
      <x:c r="B1486" s="5" t="str">
        <x:v>Betriebliches Management</x:v>
      </x:c>
      <x:c r="C1486" s="11" t="n">
        <x:v>1</x:v>
      </x:c>
      <x:c r="D1486" s="11" t="n">
        <x:f>COUNTIF('Einzel-ID-Zuordnung'!$A$7:$A$2692,A1486)</x:f>
        <x:v>1</x:v>
      </x:c>
      <x:c r="E1486" s="11" t="n">
        <x:f>D1486-C1486</x:f>
        <x:v>0</x:v>
      </x:c>
      <x:c r="F1486" s="5" t="str">
        <x:v>nicht Pilot</x:v>
      </x:c>
      <x:c r="G1486" s="5" t="str">
        <x:v>HQ</x:v>
      </x:c>
    </x:row>
    <x:row r="1487" ht="36" customHeight="1">
      <x:c r="A1487" s="5" t="str">
        <x:v>BM-0042</x:v>
      </x:c>
      <x:c r="B1487" s="5" t="str">
        <x:v>Betriebliches Management</x:v>
      </x:c>
      <x:c r="C1487" s="11" t="n">
        <x:v>1</x:v>
      </x:c>
      <x:c r="D1487" s="11" t="n">
        <x:f>COUNTIF('Einzel-ID-Zuordnung'!$A$7:$A$2692,A1487)</x:f>
        <x:v>1</x:v>
      </x:c>
      <x:c r="E1487" s="11" t="n">
        <x:f>D1487-C1487</x:f>
        <x:v>0</x:v>
      </x:c>
      <x:c r="F1487" s="5" t="str">
        <x:v>nicht Pilot</x:v>
      </x:c>
      <x:c r="G1487" s="5" t="str">
        <x:v>HQ</x:v>
      </x:c>
    </x:row>
    <x:row r="1488" ht="36" customHeight="1">
      <x:c r="A1488" s="5" t="str">
        <x:v>BM-0043</x:v>
      </x:c>
      <x:c r="B1488" s="5" t="str">
        <x:v>Betriebliches Management</x:v>
      </x:c>
      <x:c r="C1488" s="11" t="n">
        <x:v>1</x:v>
      </x:c>
      <x:c r="D1488" s="11" t="n">
        <x:f>COUNTIF('Einzel-ID-Zuordnung'!$A$7:$A$2692,A1488)</x:f>
        <x:v>1</x:v>
      </x:c>
      <x:c r="E1488" s="11" t="n">
        <x:f>D1488-C1488</x:f>
        <x:v>0</x:v>
      </x:c>
      <x:c r="F1488" s="5" t="str">
        <x:v>nicht Pilot</x:v>
      </x:c>
      <x:c r="G1488" s="5" t="str">
        <x:v>HQ</x:v>
      </x:c>
    </x:row>
    <x:row r="1489" ht="36" customHeight="1">
      <x:c r="A1489" s="5" t="str">
        <x:v>BM-0044</x:v>
      </x:c>
      <x:c r="B1489" s="5" t="str">
        <x:v>Betriebliches Management</x:v>
      </x:c>
      <x:c r="C1489" s="11" t="n">
        <x:v>1</x:v>
      </x:c>
      <x:c r="D1489" s="11" t="n">
        <x:f>COUNTIF('Einzel-ID-Zuordnung'!$A$7:$A$2692,A1489)</x:f>
        <x:v>1</x:v>
      </x:c>
      <x:c r="E1489" s="11" t="n">
        <x:f>D1489-C1489</x:f>
        <x:v>0</x:v>
      </x:c>
      <x:c r="F1489" s="5" t="str">
        <x:v>nicht Pilot</x:v>
      </x:c>
      <x:c r="G1489" s="5" t="str">
        <x:v>HQ</x:v>
      </x:c>
    </x:row>
    <x:row r="1490" ht="36" customHeight="1">
      <x:c r="A1490" s="5" t="str">
        <x:v>BM-0045</x:v>
      </x:c>
      <x:c r="B1490" s="5" t="str">
        <x:v>Betriebliches Management</x:v>
      </x:c>
      <x:c r="C1490" s="11" t="n">
        <x:v>1</x:v>
      </x:c>
      <x:c r="D1490" s="11" t="n">
        <x:f>COUNTIF('Einzel-ID-Zuordnung'!$A$7:$A$2692,A1490)</x:f>
        <x:v>1</x:v>
      </x:c>
      <x:c r="E1490" s="11" t="n">
        <x:f>D1490-C1490</x:f>
        <x:v>0</x:v>
      </x:c>
      <x:c r="F1490" s="5" t="str">
        <x:v>nicht Pilot</x:v>
      </x:c>
      <x:c r="G1490" s="5" t="str">
        <x:v>HQ</x:v>
      </x:c>
    </x:row>
    <x:row r="1491" ht="36" customHeight="1">
      <x:c r="A1491" s="5" t="str">
        <x:v>BM-0046</x:v>
      </x:c>
      <x:c r="B1491" s="5" t="str">
        <x:v>Betriebliches Management</x:v>
      </x:c>
      <x:c r="C1491" s="11" t="n">
        <x:v>1</x:v>
      </x:c>
      <x:c r="D1491" s="11" t="n">
        <x:f>COUNTIF('Einzel-ID-Zuordnung'!$A$7:$A$2692,A1491)</x:f>
        <x:v>1</x:v>
      </x:c>
      <x:c r="E1491" s="11" t="n">
        <x:f>D1491-C1491</x:f>
        <x:v>0</x:v>
      </x:c>
      <x:c r="F1491" s="5" t="str">
        <x:v>nicht Pilot</x:v>
      </x:c>
      <x:c r="G1491" s="5" t="str">
        <x:v>HQ</x:v>
      </x:c>
    </x:row>
    <x:row r="1492" ht="36" customHeight="1">
      <x:c r="A1492" s="5" t="str">
        <x:v>BM-0047</x:v>
      </x:c>
      <x:c r="B1492" s="5" t="str">
        <x:v>Betriebliches Management</x:v>
      </x:c>
      <x:c r="C1492" s="11" t="n">
        <x:v>1</x:v>
      </x:c>
      <x:c r="D1492" s="11" t="n">
        <x:f>COUNTIF('Einzel-ID-Zuordnung'!$A$7:$A$2692,A1492)</x:f>
        <x:v>1</x:v>
      </x:c>
      <x:c r="E1492" s="11" t="n">
        <x:f>D1492-C1492</x:f>
        <x:v>0</x:v>
      </x:c>
      <x:c r="F1492" s="5" t="str">
        <x:v>nicht Pilot</x:v>
      </x:c>
      <x:c r="G1492" s="5" t="str">
        <x:v>HQ</x:v>
      </x:c>
    </x:row>
    <x:row r="1493" ht="36" customHeight="1">
      <x:c r="A1493" s="5" t="str">
        <x:v>BM-0048</x:v>
      </x:c>
      <x:c r="B1493" s="5" t="str">
        <x:v>Betriebliches Management</x:v>
      </x:c>
      <x:c r="C1493" s="11" t="n">
        <x:v>1</x:v>
      </x:c>
      <x:c r="D1493" s="11" t="n">
        <x:f>COUNTIF('Einzel-ID-Zuordnung'!$A$7:$A$2692,A1493)</x:f>
        <x:v>1</x:v>
      </x:c>
      <x:c r="E1493" s="11" t="n">
        <x:f>D1493-C1493</x:f>
        <x:v>0</x:v>
      </x:c>
      <x:c r="F1493" s="5" t="str">
        <x:v>nicht Pilot</x:v>
      </x:c>
      <x:c r="G1493" s="5" t="str">
        <x:v>HQ</x:v>
      </x:c>
    </x:row>
    <x:row r="1494" ht="36" customHeight="1">
      <x:c r="A1494" s="5" t="str">
        <x:v>BM-0049</x:v>
      </x:c>
      <x:c r="B1494" s="5" t="str">
        <x:v>Betriebliches Management</x:v>
      </x:c>
      <x:c r="C1494" s="11" t="n">
        <x:v>1</x:v>
      </x:c>
      <x:c r="D1494" s="11" t="n">
        <x:f>COUNTIF('Einzel-ID-Zuordnung'!$A$7:$A$2692,A1494)</x:f>
        <x:v>1</x:v>
      </x:c>
      <x:c r="E1494" s="11" t="n">
        <x:f>D1494-C1494</x:f>
        <x:v>0</x:v>
      </x:c>
      <x:c r="F1494" s="5" t="str">
        <x:v>nicht Pilot</x:v>
      </x:c>
      <x:c r="G1494" s="5" t="str">
        <x:v>HQ</x:v>
      </x:c>
    </x:row>
    <x:row r="1495" ht="36" customHeight="1">
      <x:c r="A1495" s="5" t="str">
        <x:v>BM-0050</x:v>
      </x:c>
      <x:c r="B1495" s="5" t="str">
        <x:v>Betriebliches Management</x:v>
      </x:c>
      <x:c r="C1495" s="11" t="n">
        <x:v>1</x:v>
      </x:c>
      <x:c r="D1495" s="11" t="n">
        <x:f>COUNTIF('Einzel-ID-Zuordnung'!$A$7:$A$2692,A1495)</x:f>
        <x:v>1</x:v>
      </x:c>
      <x:c r="E1495" s="11" t="n">
        <x:f>D1495-C1495</x:f>
        <x:v>0</x:v>
      </x:c>
      <x:c r="F1495" s="5" t="str">
        <x:v>nicht Pilot</x:v>
      </x:c>
      <x:c r="G1495" s="5" t="str">
        <x:v>HQ</x:v>
      </x:c>
    </x:row>
    <x:row r="1496" ht="36" customHeight="1">
      <x:c r="A1496" s="5" t="str">
        <x:v>BM-0051</x:v>
      </x:c>
      <x:c r="B1496" s="5" t="str">
        <x:v>Betriebliches Management</x:v>
      </x:c>
      <x:c r="C1496" s="11" t="n">
        <x:v>1</x:v>
      </x:c>
      <x:c r="D1496" s="11" t="n">
        <x:f>COUNTIF('Einzel-ID-Zuordnung'!$A$7:$A$2692,A1496)</x:f>
        <x:v>1</x:v>
      </x:c>
      <x:c r="E1496" s="11" t="n">
        <x:f>D1496-C1496</x:f>
        <x:v>0</x:v>
      </x:c>
      <x:c r="F1496" s="5" t="str">
        <x:v>nicht Pilot</x:v>
      </x:c>
      <x:c r="G1496" s="5" t="str">
        <x:v>HQ</x:v>
      </x:c>
    </x:row>
    <x:row r="1497" ht="36" customHeight="1">
      <x:c r="A1497" s="5" t="str">
        <x:v>BM-0052</x:v>
      </x:c>
      <x:c r="B1497" s="5" t="str">
        <x:v>Betriebliches Management</x:v>
      </x:c>
      <x:c r="C1497" s="11" t="n">
        <x:v>1</x:v>
      </x:c>
      <x:c r="D1497" s="11" t="n">
        <x:f>COUNTIF('Einzel-ID-Zuordnung'!$A$7:$A$2692,A1497)</x:f>
        <x:v>1</x:v>
      </x:c>
      <x:c r="E1497" s="11" t="n">
        <x:f>D1497-C1497</x:f>
        <x:v>0</x:v>
      </x:c>
      <x:c r="F1497" s="5" t="str">
        <x:v>nicht Pilot</x:v>
      </x:c>
      <x:c r="G1497" s="5" t="str">
        <x:v>HQ</x:v>
      </x:c>
    </x:row>
    <x:row r="1498" ht="36" customHeight="1">
      <x:c r="A1498" s="5" t="str">
        <x:v>BM-0053</x:v>
      </x:c>
      <x:c r="B1498" s="5" t="str">
        <x:v>Betriebliches Management</x:v>
      </x:c>
      <x:c r="C1498" s="11" t="n">
        <x:v>1</x:v>
      </x:c>
      <x:c r="D1498" s="11" t="n">
        <x:f>COUNTIF('Einzel-ID-Zuordnung'!$A$7:$A$2692,A1498)</x:f>
        <x:v>1</x:v>
      </x:c>
      <x:c r="E1498" s="11" t="n">
        <x:f>D1498-C1498</x:f>
        <x:v>0</x:v>
      </x:c>
      <x:c r="F1498" s="5" t="str">
        <x:v>nicht Pilot</x:v>
      </x:c>
      <x:c r="G1498" s="5" t="str">
        <x:v>HQ</x:v>
      </x:c>
    </x:row>
    <x:row r="1499" ht="36" customHeight="1">
      <x:c r="A1499" s="5" t="str">
        <x:v>BM-0054</x:v>
      </x:c>
      <x:c r="B1499" s="5" t="str">
        <x:v>Betriebliches Management</x:v>
      </x:c>
      <x:c r="C1499" s="11" t="n">
        <x:v>1</x:v>
      </x:c>
      <x:c r="D1499" s="11" t="n">
        <x:f>COUNTIF('Einzel-ID-Zuordnung'!$A$7:$A$2692,A1499)</x:f>
        <x:v>1</x:v>
      </x:c>
      <x:c r="E1499" s="11" t="n">
        <x:f>D1499-C1499</x:f>
        <x:v>0</x:v>
      </x:c>
      <x:c r="F1499" s="5" t="str">
        <x:v>nicht Pilot</x:v>
      </x:c>
      <x:c r="G1499" s="5" t="str">
        <x:v>HQ</x:v>
      </x:c>
    </x:row>
    <x:row r="1500" ht="36" customHeight="1">
      <x:c r="A1500" s="5" t="str">
        <x:v>BM-0055</x:v>
      </x:c>
      <x:c r="B1500" s="5" t="str">
        <x:v>Betriebliches Management</x:v>
      </x:c>
      <x:c r="C1500" s="11" t="n">
        <x:v>1</x:v>
      </x:c>
      <x:c r="D1500" s="11" t="n">
        <x:f>COUNTIF('Einzel-ID-Zuordnung'!$A$7:$A$2692,A1500)</x:f>
        <x:v>1</x:v>
      </x:c>
      <x:c r="E1500" s="11" t="n">
        <x:f>D1500-C1500</x:f>
        <x:v>0</x:v>
      </x:c>
      <x:c r="F1500" s="5" t="str">
        <x:v>nicht Pilot</x:v>
      </x:c>
      <x:c r="G1500" s="5" t="str">
        <x:v>HQ</x:v>
      </x:c>
    </x:row>
    <x:row r="1501" ht="36" customHeight="1">
      <x:c r="A1501" s="5" t="str">
        <x:v>BM-0056</x:v>
      </x:c>
      <x:c r="B1501" s="5" t="str">
        <x:v>Betriebliches Management</x:v>
      </x:c>
      <x:c r="C1501" s="11" t="n">
        <x:v>1</x:v>
      </x:c>
      <x:c r="D1501" s="11" t="n">
        <x:f>COUNTIF('Einzel-ID-Zuordnung'!$A$7:$A$2692,A1501)</x:f>
        <x:v>1</x:v>
      </x:c>
      <x:c r="E1501" s="11" t="n">
        <x:f>D1501-C1501</x:f>
        <x:v>0</x:v>
      </x:c>
      <x:c r="F1501" s="5" t="str">
        <x:v>nicht Pilot</x:v>
      </x:c>
      <x:c r="G1501" s="5" t="str">
        <x:v>HQ</x:v>
      </x:c>
    </x:row>
    <x:row r="1502" ht="36" customHeight="1">
      <x:c r="A1502" s="5" t="str">
        <x:v>BM-0057</x:v>
      </x:c>
      <x:c r="B1502" s="5" t="str">
        <x:v>Betriebliches Management</x:v>
      </x:c>
      <x:c r="C1502" s="11" t="n">
        <x:v>1</x:v>
      </x:c>
      <x:c r="D1502" s="11" t="n">
        <x:f>COUNTIF('Einzel-ID-Zuordnung'!$A$7:$A$2692,A1502)</x:f>
        <x:v>1</x:v>
      </x:c>
      <x:c r="E1502" s="11" t="n">
        <x:f>D1502-C1502</x:f>
        <x:v>0</x:v>
      </x:c>
      <x:c r="F1502" s="5" t="str">
        <x:v>nicht Pilot</x:v>
      </x:c>
      <x:c r="G1502" s="5" t="str">
        <x:v>HQ</x:v>
      </x:c>
    </x:row>
    <x:row r="1503" ht="36" customHeight="1">
      <x:c r="A1503" s="5" t="str">
        <x:v>BM-0058</x:v>
      </x:c>
      <x:c r="B1503" s="5" t="str">
        <x:v>Betriebliches Management</x:v>
      </x:c>
      <x:c r="C1503" s="11" t="n">
        <x:v>1</x:v>
      </x:c>
      <x:c r="D1503" s="11" t="n">
        <x:f>COUNTIF('Einzel-ID-Zuordnung'!$A$7:$A$2692,A1503)</x:f>
        <x:v>1</x:v>
      </x:c>
      <x:c r="E1503" s="11" t="n">
        <x:f>D1503-C1503</x:f>
        <x:v>0</x:v>
      </x:c>
      <x:c r="F1503" s="5" t="str">
        <x:v>nicht Pilot</x:v>
      </x:c>
      <x:c r="G1503" s="5" t="str">
        <x:v>HQ</x:v>
      </x:c>
    </x:row>
    <x:row r="1504" ht="36" customHeight="1">
      <x:c r="A1504" s="5" t="str">
        <x:v>BM-0059</x:v>
      </x:c>
      <x:c r="B1504" s="5" t="str">
        <x:v>Betriebliches Management</x:v>
      </x:c>
      <x:c r="C1504" s="11" t="n">
        <x:v>1</x:v>
      </x:c>
      <x:c r="D1504" s="11" t="n">
        <x:f>COUNTIF('Einzel-ID-Zuordnung'!$A$7:$A$2692,A1504)</x:f>
        <x:v>1</x:v>
      </x:c>
      <x:c r="E1504" s="11" t="n">
        <x:f>D1504-C1504</x:f>
        <x:v>0</x:v>
      </x:c>
      <x:c r="F1504" s="5" t="str">
        <x:v>nicht Pilot</x:v>
      </x:c>
      <x:c r="G1504" s="5" t="str">
        <x:v>HQ</x:v>
      </x:c>
    </x:row>
    <x:row r="1505" ht="36" customHeight="1">
      <x:c r="A1505" s="5" t="str">
        <x:v>BM-0060</x:v>
      </x:c>
      <x:c r="B1505" s="5" t="str">
        <x:v>Betriebliches Management</x:v>
      </x:c>
      <x:c r="C1505" s="11" t="n">
        <x:v>1</x:v>
      </x:c>
      <x:c r="D1505" s="11" t="n">
        <x:f>COUNTIF('Einzel-ID-Zuordnung'!$A$7:$A$2692,A1505)</x:f>
        <x:v>1</x:v>
      </x:c>
      <x:c r="E1505" s="11" t="n">
        <x:f>D1505-C1505</x:f>
        <x:v>0</x:v>
      </x:c>
      <x:c r="F1505" s="5" t="str">
        <x:v>nicht Pilot</x:v>
      </x:c>
      <x:c r="G1505" s="5" t="str">
        <x:v>HQ</x:v>
      </x:c>
    </x:row>
    <x:row r="1506" ht="36" customHeight="1">
      <x:c r="A1506" s="5" t="str">
        <x:v>BM-0061</x:v>
      </x:c>
      <x:c r="B1506" s="5" t="str">
        <x:v>Betriebliches Management</x:v>
      </x:c>
      <x:c r="C1506" s="11" t="n">
        <x:v>1</x:v>
      </x:c>
      <x:c r="D1506" s="11" t="n">
        <x:f>COUNTIF('Einzel-ID-Zuordnung'!$A$7:$A$2692,A1506)</x:f>
        <x:v>1</x:v>
      </x:c>
      <x:c r="E1506" s="11" t="n">
        <x:f>D1506-C1506</x:f>
        <x:v>0</x:v>
      </x:c>
      <x:c r="F1506" s="5" t="str">
        <x:v>nicht Pilot</x:v>
      </x:c>
      <x:c r="G1506" s="5" t="str">
        <x:v>HQ</x:v>
      </x:c>
    </x:row>
    <x:row r="1507" ht="36" customHeight="1">
      <x:c r="A1507" s="5" t="str">
        <x:v>BM-0062</x:v>
      </x:c>
      <x:c r="B1507" s="5" t="str">
        <x:v>Betriebliches Management</x:v>
      </x:c>
      <x:c r="C1507" s="11" t="n">
        <x:v>1</x:v>
      </x:c>
      <x:c r="D1507" s="11" t="n">
        <x:f>COUNTIF('Einzel-ID-Zuordnung'!$A$7:$A$2692,A1507)</x:f>
        <x:v>1</x:v>
      </x:c>
      <x:c r="E1507" s="11" t="n">
        <x:f>D1507-C1507</x:f>
        <x:v>0</x:v>
      </x:c>
      <x:c r="F1507" s="5" t="str">
        <x:v>nicht Pilot</x:v>
      </x:c>
      <x:c r="G1507" s="5" t="str">
        <x:v>HQ</x:v>
      </x:c>
    </x:row>
    <x:row r="1508" ht="36" customHeight="1">
      <x:c r="A1508" s="5" t="str">
        <x:v>BM-0063</x:v>
      </x:c>
      <x:c r="B1508" s="5" t="str">
        <x:v>Betriebliches Management</x:v>
      </x:c>
      <x:c r="C1508" s="11" t="n">
        <x:v>1</x:v>
      </x:c>
      <x:c r="D1508" s="11" t="n">
        <x:f>COUNTIF('Einzel-ID-Zuordnung'!$A$7:$A$2692,A1508)</x:f>
        <x:v>1</x:v>
      </x:c>
      <x:c r="E1508" s="11" t="n">
        <x:f>D1508-C1508</x:f>
        <x:v>0</x:v>
      </x:c>
      <x:c r="F1508" s="5" t="str">
        <x:v>nicht Pilot</x:v>
      </x:c>
      <x:c r="G1508" s="5" t="str">
        <x:v>HQ</x:v>
      </x:c>
    </x:row>
    <x:row r="1509" ht="36" customHeight="1">
      <x:c r="A1509" s="5" t="str">
        <x:v>BM-0064</x:v>
      </x:c>
      <x:c r="B1509" s="5" t="str">
        <x:v>Betriebliches Management</x:v>
      </x:c>
      <x:c r="C1509" s="11" t="n">
        <x:v>1</x:v>
      </x:c>
      <x:c r="D1509" s="11" t="n">
        <x:f>COUNTIF('Einzel-ID-Zuordnung'!$A$7:$A$2692,A1509)</x:f>
        <x:v>1</x:v>
      </x:c>
      <x:c r="E1509" s="11" t="n">
        <x:f>D1509-C1509</x:f>
        <x:v>0</x:v>
      </x:c>
      <x:c r="F1509" s="5" t="str">
        <x:v>nicht Pilot</x:v>
      </x:c>
      <x:c r="G1509" s="5" t="str">
        <x:v>HQ</x:v>
      </x:c>
    </x:row>
    <x:row r="1510" ht="36" customHeight="1">
      <x:c r="A1510" s="5" t="str">
        <x:v>BM-0065</x:v>
      </x:c>
      <x:c r="B1510" s="5" t="str">
        <x:v>Betriebliches Management</x:v>
      </x:c>
      <x:c r="C1510" s="11" t="n">
        <x:v>1</x:v>
      </x:c>
      <x:c r="D1510" s="11" t="n">
        <x:f>COUNTIF('Einzel-ID-Zuordnung'!$A$7:$A$2692,A1510)</x:f>
        <x:v>1</x:v>
      </x:c>
      <x:c r="E1510" s="11" t="n">
        <x:f>D1510-C1510</x:f>
        <x:v>0</x:v>
      </x:c>
      <x:c r="F1510" s="5" t="str">
        <x:v>nicht Pilot</x:v>
      </x:c>
      <x:c r="G1510" s="5" t="str">
        <x:v>HQ</x:v>
      </x:c>
    </x:row>
    <x:row r="1511" ht="36" customHeight="1">
      <x:c r="A1511" s="5" t="str">
        <x:v>BM-0066</x:v>
      </x:c>
      <x:c r="B1511" s="5" t="str">
        <x:v>Betriebliches Management</x:v>
      </x:c>
      <x:c r="C1511" s="11" t="n">
        <x:v>1</x:v>
      </x:c>
      <x:c r="D1511" s="11" t="n">
        <x:f>COUNTIF('Einzel-ID-Zuordnung'!$A$7:$A$2692,A1511)</x:f>
        <x:v>1</x:v>
      </x:c>
      <x:c r="E1511" s="11" t="n">
        <x:f>D1511-C1511</x:f>
        <x:v>0</x:v>
      </x:c>
      <x:c r="F1511" s="5" t="str">
        <x:v>nicht Pilot</x:v>
      </x:c>
      <x:c r="G1511" s="5" t="str">
        <x:v>HQ</x:v>
      </x:c>
    </x:row>
    <x:row r="1512" ht="36" customHeight="1">
      <x:c r="A1512" s="5" t="str">
        <x:v>BM-0067</x:v>
      </x:c>
      <x:c r="B1512" s="5" t="str">
        <x:v>Betriebliches Management</x:v>
      </x:c>
      <x:c r="C1512" s="11" t="n">
        <x:v>1</x:v>
      </x:c>
      <x:c r="D1512" s="11" t="n">
        <x:f>COUNTIF('Einzel-ID-Zuordnung'!$A$7:$A$2692,A1512)</x:f>
        <x:v>1</x:v>
      </x:c>
      <x:c r="E1512" s="11" t="n">
        <x:f>D1512-C1512</x:f>
        <x:v>0</x:v>
      </x:c>
      <x:c r="F1512" s="5" t="str">
        <x:v>nicht Pilot</x:v>
      </x:c>
      <x:c r="G1512" s="5" t="str">
        <x:v>HQ</x:v>
      </x:c>
    </x:row>
    <x:row r="1513" ht="36" customHeight="1">
      <x:c r="A1513" s="5" t="str">
        <x:v>BM-0068</x:v>
      </x:c>
      <x:c r="B1513" s="5" t="str">
        <x:v>Betriebliches Management</x:v>
      </x:c>
      <x:c r="C1513" s="11" t="n">
        <x:v>1</x:v>
      </x:c>
      <x:c r="D1513" s="11" t="n">
        <x:f>COUNTIF('Einzel-ID-Zuordnung'!$A$7:$A$2692,A1513)</x:f>
        <x:v>1</x:v>
      </x:c>
      <x:c r="E1513" s="11" t="n">
        <x:f>D1513-C1513</x:f>
        <x:v>0</x:v>
      </x:c>
      <x:c r="F1513" s="5" t="str">
        <x:v>nicht Pilot</x:v>
      </x:c>
      <x:c r="G1513" s="5" t="str">
        <x:v>HQ</x:v>
      </x:c>
    </x:row>
    <x:row r="1514" ht="36" customHeight="1">
      <x:c r="A1514" s="5" t="str">
        <x:v>BM-0069</x:v>
      </x:c>
      <x:c r="B1514" s="5" t="str">
        <x:v>Betriebliches Management</x:v>
      </x:c>
      <x:c r="C1514" s="11" t="n">
        <x:v>1</x:v>
      </x:c>
      <x:c r="D1514" s="11" t="n">
        <x:f>COUNTIF('Einzel-ID-Zuordnung'!$A$7:$A$2692,A1514)</x:f>
        <x:v>1</x:v>
      </x:c>
      <x:c r="E1514" s="11" t="n">
        <x:f>D1514-C1514</x:f>
        <x:v>0</x:v>
      </x:c>
      <x:c r="F1514" s="5" t="str">
        <x:v>nicht Pilot</x:v>
      </x:c>
      <x:c r="G1514" s="5" t="str">
        <x:v>HQ</x:v>
      </x:c>
    </x:row>
    <x:row r="1515" ht="36" customHeight="1">
      <x:c r="A1515" s="5" t="str">
        <x:v>BM-0070</x:v>
      </x:c>
      <x:c r="B1515" s="5" t="str">
        <x:v>Betriebliches Management</x:v>
      </x:c>
      <x:c r="C1515" s="11" t="n">
        <x:v>1</x:v>
      </x:c>
      <x:c r="D1515" s="11" t="n">
        <x:f>COUNTIF('Einzel-ID-Zuordnung'!$A$7:$A$2692,A1515)</x:f>
        <x:v>1</x:v>
      </x:c>
      <x:c r="E1515" s="11" t="n">
        <x:f>D1515-C1515</x:f>
        <x:v>0</x:v>
      </x:c>
      <x:c r="F1515" s="5" t="str">
        <x:v>nicht Pilot</x:v>
      </x:c>
      <x:c r="G1515" s="5" t="str">
        <x:v>HQ</x:v>
      </x:c>
    </x:row>
    <x:row r="1516" ht="36" customHeight="1">
      <x:c r="A1516" s="5" t="str">
        <x:v>BM-0071</x:v>
      </x:c>
      <x:c r="B1516" s="5" t="str">
        <x:v>Betriebliches Management</x:v>
      </x:c>
      <x:c r="C1516" s="11" t="n">
        <x:v>1</x:v>
      </x:c>
      <x:c r="D1516" s="11" t="n">
        <x:f>COUNTIF('Einzel-ID-Zuordnung'!$A$7:$A$2692,A1516)</x:f>
        <x:v>1</x:v>
      </x:c>
      <x:c r="E1516" s="11" t="n">
        <x:f>D1516-C1516</x:f>
        <x:v>0</x:v>
      </x:c>
      <x:c r="F1516" s="5" t="str">
        <x:v>nicht Pilot</x:v>
      </x:c>
      <x:c r="G1516" s="5" t="str">
        <x:v>HQ</x:v>
      </x:c>
    </x:row>
    <x:row r="1517" ht="36" customHeight="1">
      <x:c r="A1517" s="5" t="str">
        <x:v>BM-0072</x:v>
      </x:c>
      <x:c r="B1517" s="5" t="str">
        <x:v>Betriebliches Management</x:v>
      </x:c>
      <x:c r="C1517" s="11" t="n">
        <x:v>1</x:v>
      </x:c>
      <x:c r="D1517" s="11" t="n">
        <x:f>COUNTIF('Einzel-ID-Zuordnung'!$A$7:$A$2692,A1517)</x:f>
        <x:v>1</x:v>
      </x:c>
      <x:c r="E1517" s="11" t="n">
        <x:f>D1517-C1517</x:f>
        <x:v>0</x:v>
      </x:c>
      <x:c r="F1517" s="5" t="str">
        <x:v>nicht Pilot</x:v>
      </x:c>
      <x:c r="G1517" s="5" t="str">
        <x:v>HQ</x:v>
      </x:c>
    </x:row>
    <x:row r="1518" ht="36" customHeight="1">
      <x:c r="A1518" s="5" t="str">
        <x:v>BM-0073</x:v>
      </x:c>
      <x:c r="B1518" s="5" t="str">
        <x:v>Betriebliches Management</x:v>
      </x:c>
      <x:c r="C1518" s="11" t="n">
        <x:v>1</x:v>
      </x:c>
      <x:c r="D1518" s="11" t="n">
        <x:f>COUNTIF('Einzel-ID-Zuordnung'!$A$7:$A$2692,A1518)</x:f>
        <x:v>1</x:v>
      </x:c>
      <x:c r="E1518" s="11" t="n">
        <x:f>D1518-C1518</x:f>
        <x:v>0</x:v>
      </x:c>
      <x:c r="F1518" s="5" t="str">
        <x:v>nicht Pilot</x:v>
      </x:c>
      <x:c r="G1518" s="5" t="str">
        <x:v>HQ</x:v>
      </x:c>
    </x:row>
    <x:row r="1519" ht="36" customHeight="1">
      <x:c r="A1519" s="5" t="str">
        <x:v>BM-0074</x:v>
      </x:c>
      <x:c r="B1519" s="5" t="str">
        <x:v>Betriebliches Management</x:v>
      </x:c>
      <x:c r="C1519" s="11" t="n">
        <x:v>1</x:v>
      </x:c>
      <x:c r="D1519" s="11" t="n">
        <x:f>COUNTIF('Einzel-ID-Zuordnung'!$A$7:$A$2692,A1519)</x:f>
        <x:v>1</x:v>
      </x:c>
      <x:c r="E1519" s="11" t="n">
        <x:f>D1519-C1519</x:f>
        <x:v>0</x:v>
      </x:c>
      <x:c r="F1519" s="5" t="str">
        <x:v>nicht Pilot</x:v>
      </x:c>
      <x:c r="G1519" s="5" t="str">
        <x:v>HQ</x:v>
      </x:c>
    </x:row>
    <x:row r="1520" ht="36" customHeight="1">
      <x:c r="A1520" s="5" t="str">
        <x:v>BM-0075</x:v>
      </x:c>
      <x:c r="B1520" s="5" t="str">
        <x:v>Betriebliches Management</x:v>
      </x:c>
      <x:c r="C1520" s="11" t="n">
        <x:v>1</x:v>
      </x:c>
      <x:c r="D1520" s="11" t="n">
        <x:f>COUNTIF('Einzel-ID-Zuordnung'!$A$7:$A$2692,A1520)</x:f>
        <x:v>1</x:v>
      </x:c>
      <x:c r="E1520" s="11" t="n">
        <x:f>D1520-C1520</x:f>
        <x:v>0</x:v>
      </x:c>
      <x:c r="F1520" s="5" t="str">
        <x:v>nicht Pilot</x:v>
      </x:c>
      <x:c r="G1520" s="5" t="str">
        <x:v>HQ</x:v>
      </x:c>
    </x:row>
    <x:row r="1521" ht="36" customHeight="1">
      <x:c r="A1521" s="5" t="str">
        <x:v>BM-0076</x:v>
      </x:c>
      <x:c r="B1521" s="5" t="str">
        <x:v>Betriebliches Management</x:v>
      </x:c>
      <x:c r="C1521" s="11" t="n">
        <x:v>1</x:v>
      </x:c>
      <x:c r="D1521" s="11" t="n">
        <x:f>COUNTIF('Einzel-ID-Zuordnung'!$A$7:$A$2692,A1521)</x:f>
        <x:v>1</x:v>
      </x:c>
      <x:c r="E1521" s="11" t="n">
        <x:f>D1521-C1521</x:f>
        <x:v>0</x:v>
      </x:c>
      <x:c r="F1521" s="5" t="str">
        <x:v>nicht Pilot</x:v>
      </x:c>
      <x:c r="G1521" s="5" t="str">
        <x:v>HQ</x:v>
      </x:c>
    </x:row>
    <x:row r="1522" ht="36" customHeight="1">
      <x:c r="A1522" s="5" t="str">
        <x:v>BM-0077</x:v>
      </x:c>
      <x:c r="B1522" s="5" t="str">
        <x:v>Betriebliches Management</x:v>
      </x:c>
      <x:c r="C1522" s="11" t="n">
        <x:v>1</x:v>
      </x:c>
      <x:c r="D1522" s="11" t="n">
        <x:f>COUNTIF('Einzel-ID-Zuordnung'!$A$7:$A$2692,A1522)</x:f>
        <x:v>1</x:v>
      </x:c>
      <x:c r="E1522" s="11" t="n">
        <x:f>D1522-C1522</x:f>
        <x:v>0</x:v>
      </x:c>
      <x:c r="F1522" s="5" t="str">
        <x:v>nicht Pilot</x:v>
      </x:c>
      <x:c r="G1522" s="5" t="str">
        <x:v>HQ</x:v>
      </x:c>
    </x:row>
    <x:row r="1523" ht="36" customHeight="1">
      <x:c r="A1523" s="5" t="str">
        <x:v>BM-0078</x:v>
      </x:c>
      <x:c r="B1523" s="5" t="str">
        <x:v>Betriebliches Management</x:v>
      </x:c>
      <x:c r="C1523" s="11" t="n">
        <x:v>1</x:v>
      </x:c>
      <x:c r="D1523" s="11" t="n">
        <x:f>COUNTIF('Einzel-ID-Zuordnung'!$A$7:$A$2692,A1523)</x:f>
        <x:v>1</x:v>
      </x:c>
      <x:c r="E1523" s="11" t="n">
        <x:f>D1523-C1523</x:f>
        <x:v>0</x:v>
      </x:c>
      <x:c r="F1523" s="5" t="str">
        <x:v>nicht Pilot</x:v>
      </x:c>
      <x:c r="G1523" s="5" t="str">
        <x:v>HQ</x:v>
      </x:c>
    </x:row>
    <x:row r="1524" ht="36" customHeight="1">
      <x:c r="A1524" s="5" t="str">
        <x:v>BM-0079</x:v>
      </x:c>
      <x:c r="B1524" s="5" t="str">
        <x:v>Betriebliches Management</x:v>
      </x:c>
      <x:c r="C1524" s="11" t="n">
        <x:v>1</x:v>
      </x:c>
      <x:c r="D1524" s="11" t="n">
        <x:f>COUNTIF('Einzel-ID-Zuordnung'!$A$7:$A$2692,A1524)</x:f>
        <x:v>1</x:v>
      </x:c>
      <x:c r="E1524" s="11" t="n">
        <x:f>D1524-C1524</x:f>
        <x:v>0</x:v>
      </x:c>
      <x:c r="F1524" s="5" t="str">
        <x:v>nicht Pilot</x:v>
      </x:c>
      <x:c r="G1524" s="5" t="str">
        <x:v>HQ</x:v>
      </x:c>
    </x:row>
    <x:row r="1525" ht="36" customHeight="1">
      <x:c r="A1525" s="5" t="str">
        <x:v>BM-0080</x:v>
      </x:c>
      <x:c r="B1525" s="5" t="str">
        <x:v>Betriebliches Management</x:v>
      </x:c>
      <x:c r="C1525" s="11" t="n">
        <x:v>1</x:v>
      </x:c>
      <x:c r="D1525" s="11" t="n">
        <x:f>COUNTIF('Einzel-ID-Zuordnung'!$A$7:$A$2692,A1525)</x:f>
        <x:v>1</x:v>
      </x:c>
      <x:c r="E1525" s="11" t="n">
        <x:f>D1525-C1525</x:f>
        <x:v>0</x:v>
      </x:c>
      <x:c r="F1525" s="5" t="str">
        <x:v>nicht Pilot</x:v>
      </x:c>
      <x:c r="G1525" s="5" t="str">
        <x:v>HQ</x:v>
      </x:c>
    </x:row>
    <x:row r="1526" ht="36" customHeight="1">
      <x:c r="A1526" s="5" t="str">
        <x:v>BM-0081</x:v>
      </x:c>
      <x:c r="B1526" s="5" t="str">
        <x:v>Betriebliches Management</x:v>
      </x:c>
      <x:c r="C1526" s="11" t="n">
        <x:v>1</x:v>
      </x:c>
      <x:c r="D1526" s="11" t="n">
        <x:f>COUNTIF('Einzel-ID-Zuordnung'!$A$7:$A$2692,A1526)</x:f>
        <x:v>1</x:v>
      </x:c>
      <x:c r="E1526" s="11" t="n">
        <x:f>D1526-C1526</x:f>
        <x:v>0</x:v>
      </x:c>
      <x:c r="F1526" s="5" t="str">
        <x:v>nicht Pilot</x:v>
      </x:c>
      <x:c r="G1526" s="5" t="str">
        <x:v>HQ</x:v>
      </x:c>
    </x:row>
    <x:row r="1527" ht="36" customHeight="1">
      <x:c r="A1527" s="5" t="str">
        <x:v>BM-0082</x:v>
      </x:c>
      <x:c r="B1527" s="5" t="str">
        <x:v>Betriebliches Management</x:v>
      </x:c>
      <x:c r="C1527" s="11" t="n">
        <x:v>1</x:v>
      </x:c>
      <x:c r="D1527" s="11" t="n">
        <x:f>COUNTIF('Einzel-ID-Zuordnung'!$A$7:$A$2692,A1527)</x:f>
        <x:v>1</x:v>
      </x:c>
      <x:c r="E1527" s="11" t="n">
        <x:f>D1527-C1527</x:f>
        <x:v>0</x:v>
      </x:c>
      <x:c r="F1527" s="5" t="str">
        <x:v>nicht Pilot</x:v>
      </x:c>
      <x:c r="G1527" s="5" t="str">
        <x:v>HQ</x:v>
      </x:c>
    </x:row>
    <x:row r="1528" ht="36" customHeight="1">
      <x:c r="A1528" s="5" t="str">
        <x:v>BM-0083</x:v>
      </x:c>
      <x:c r="B1528" s="5" t="str">
        <x:v>Betriebliches Management</x:v>
      </x:c>
      <x:c r="C1528" s="11" t="n">
        <x:v>1</x:v>
      </x:c>
      <x:c r="D1528" s="11" t="n">
        <x:f>COUNTIF('Einzel-ID-Zuordnung'!$A$7:$A$2692,A1528)</x:f>
        <x:v>1</x:v>
      </x:c>
      <x:c r="E1528" s="11" t="n">
        <x:f>D1528-C1528</x:f>
        <x:v>0</x:v>
      </x:c>
      <x:c r="F1528" s="5" t="str">
        <x:v>nicht Pilot</x:v>
      </x:c>
      <x:c r="G1528" s="5" t="str">
        <x:v>HQ</x:v>
      </x:c>
    </x:row>
    <x:row r="1529" ht="36" customHeight="1">
      <x:c r="A1529" s="5" t="str">
        <x:v>BM-0084</x:v>
      </x:c>
      <x:c r="B1529" s="5" t="str">
        <x:v>Betriebliches Management</x:v>
      </x:c>
      <x:c r="C1529" s="11" t="n">
        <x:v>1</x:v>
      </x:c>
      <x:c r="D1529" s="11" t="n">
        <x:f>COUNTIF('Einzel-ID-Zuordnung'!$A$7:$A$2692,A1529)</x:f>
        <x:v>1</x:v>
      </x:c>
      <x:c r="E1529" s="11" t="n">
        <x:f>D1529-C1529</x:f>
        <x:v>0</x:v>
      </x:c>
      <x:c r="F1529" s="5" t="str">
        <x:v>nicht Pilot</x:v>
      </x:c>
      <x:c r="G1529" s="5" t="str">
        <x:v>HQ</x:v>
      </x:c>
    </x:row>
    <x:row r="1530" ht="36" customHeight="1">
      <x:c r="A1530" s="5" t="str">
        <x:v>BM-0085</x:v>
      </x:c>
      <x:c r="B1530" s="5" t="str">
        <x:v>Betriebliches Management</x:v>
      </x:c>
      <x:c r="C1530" s="11" t="n">
        <x:v>1</x:v>
      </x:c>
      <x:c r="D1530" s="11" t="n">
        <x:f>COUNTIF('Einzel-ID-Zuordnung'!$A$7:$A$2692,A1530)</x:f>
        <x:v>1</x:v>
      </x:c>
      <x:c r="E1530" s="11" t="n">
        <x:f>D1530-C1530</x:f>
        <x:v>0</x:v>
      </x:c>
      <x:c r="F1530" s="5" t="str">
        <x:v>nicht Pilot</x:v>
      </x:c>
      <x:c r="G1530" s="5" t="str">
        <x:v>HQ</x:v>
      </x:c>
    </x:row>
    <x:row r="1531" ht="36" customHeight="1">
      <x:c r="A1531" s="5" t="str">
        <x:v>BM-0086</x:v>
      </x:c>
      <x:c r="B1531" s="5" t="str">
        <x:v>Betriebliches Management</x:v>
      </x:c>
      <x:c r="C1531" s="11" t="n">
        <x:v>1</x:v>
      </x:c>
      <x:c r="D1531" s="11" t="n">
        <x:f>COUNTIF('Einzel-ID-Zuordnung'!$A$7:$A$2692,A1531)</x:f>
        <x:v>1</x:v>
      </x:c>
      <x:c r="E1531" s="11" t="n">
        <x:f>D1531-C1531</x:f>
        <x:v>0</x:v>
      </x:c>
      <x:c r="F1531" s="5" t="str">
        <x:v>nicht Pilot</x:v>
      </x:c>
      <x:c r="G1531" s="5" t="str">
        <x:v>HQ</x:v>
      </x:c>
    </x:row>
    <x:row r="1532" ht="36" customHeight="1">
      <x:c r="A1532" s="5" t="str">
        <x:v>BM-0087</x:v>
      </x:c>
      <x:c r="B1532" s="5" t="str">
        <x:v>Betriebliches Management</x:v>
      </x:c>
      <x:c r="C1532" s="11" t="n">
        <x:v>1</x:v>
      </x:c>
      <x:c r="D1532" s="11" t="n">
        <x:f>COUNTIF('Einzel-ID-Zuordnung'!$A$7:$A$2692,A1532)</x:f>
        <x:v>1</x:v>
      </x:c>
      <x:c r="E1532" s="11" t="n">
        <x:f>D1532-C1532</x:f>
        <x:v>0</x:v>
      </x:c>
      <x:c r="F1532" s="5" t="str">
        <x:v>nicht Pilot</x:v>
      </x:c>
      <x:c r="G1532" s="5" t="str">
        <x:v>HQ</x:v>
      </x:c>
    </x:row>
    <x:row r="1533" ht="36" customHeight="1">
      <x:c r="A1533" s="5" t="str">
        <x:v>BM-0088</x:v>
      </x:c>
      <x:c r="B1533" s="5" t="str">
        <x:v>Betriebliches Management</x:v>
      </x:c>
      <x:c r="C1533" s="11" t="n">
        <x:v>1</x:v>
      </x:c>
      <x:c r="D1533" s="11" t="n">
        <x:f>COUNTIF('Einzel-ID-Zuordnung'!$A$7:$A$2692,A1533)</x:f>
        <x:v>1</x:v>
      </x:c>
      <x:c r="E1533" s="11" t="n">
        <x:f>D1533-C1533</x:f>
        <x:v>0</x:v>
      </x:c>
      <x:c r="F1533" s="5" t="str">
        <x:v>nicht Pilot</x:v>
      </x:c>
      <x:c r="G1533" s="5" t="str">
        <x:v>HQ</x:v>
      </x:c>
    </x:row>
    <x:row r="1534" ht="36" customHeight="1">
      <x:c r="A1534" s="5" t="str">
        <x:v>BM-0089</x:v>
      </x:c>
      <x:c r="B1534" s="5" t="str">
        <x:v>Betriebliches Management</x:v>
      </x:c>
      <x:c r="C1534" s="11" t="n">
        <x:v>1</x:v>
      </x:c>
      <x:c r="D1534" s="11" t="n">
        <x:f>COUNTIF('Einzel-ID-Zuordnung'!$A$7:$A$2692,A1534)</x:f>
        <x:v>1</x:v>
      </x:c>
      <x:c r="E1534" s="11" t="n">
        <x:f>D1534-C1534</x:f>
        <x:v>0</x:v>
      </x:c>
      <x:c r="F1534" s="5" t="str">
        <x:v>nicht Pilot</x:v>
      </x:c>
      <x:c r="G1534" s="5" t="str">
        <x:v>HQ</x:v>
      </x:c>
    </x:row>
    <x:row r="1535" ht="36" customHeight="1">
      <x:c r="A1535" s="5" t="str">
        <x:v>BM-0090</x:v>
      </x:c>
      <x:c r="B1535" s="5" t="str">
        <x:v>Betriebliches Management</x:v>
      </x:c>
      <x:c r="C1535" s="11" t="n">
        <x:v>1</x:v>
      </x:c>
      <x:c r="D1535" s="11" t="n">
        <x:f>COUNTIF('Einzel-ID-Zuordnung'!$A$7:$A$2692,A1535)</x:f>
        <x:v>1</x:v>
      </x:c>
      <x:c r="E1535" s="11" t="n">
        <x:f>D1535-C1535</x:f>
        <x:v>0</x:v>
      </x:c>
      <x:c r="F1535" s="5" t="str">
        <x:v>nicht Pilot</x:v>
      </x:c>
      <x:c r="G1535" s="5" t="str">
        <x:v>HQ</x:v>
      </x:c>
    </x:row>
    <x:row r="1536" ht="36" customHeight="1">
      <x:c r="A1536" s="5" t="str">
        <x:v>BM-0091</x:v>
      </x:c>
      <x:c r="B1536" s="5" t="str">
        <x:v>Betriebliches Management</x:v>
      </x:c>
      <x:c r="C1536" s="11" t="n">
        <x:v>1</x:v>
      </x:c>
      <x:c r="D1536" s="11" t="n">
        <x:f>COUNTIF('Einzel-ID-Zuordnung'!$A$7:$A$2692,A1536)</x:f>
        <x:v>1</x:v>
      </x:c>
      <x:c r="E1536" s="11" t="n">
        <x:f>D1536-C1536</x:f>
        <x:v>0</x:v>
      </x:c>
      <x:c r="F1536" s="5" t="str">
        <x:v>nicht Pilot</x:v>
      </x:c>
      <x:c r="G1536" s="5" t="str">
        <x:v>HQ</x:v>
      </x:c>
    </x:row>
    <x:row r="1537" ht="36" customHeight="1">
      <x:c r="A1537" s="5" t="str">
        <x:v>BM-0092</x:v>
      </x:c>
      <x:c r="B1537" s="5" t="str">
        <x:v>Betriebliches Management</x:v>
      </x:c>
      <x:c r="C1537" s="11" t="n">
        <x:v>1</x:v>
      </x:c>
      <x:c r="D1537" s="11" t="n">
        <x:f>COUNTIF('Einzel-ID-Zuordnung'!$A$7:$A$2692,A1537)</x:f>
        <x:v>1</x:v>
      </x:c>
      <x:c r="E1537" s="11" t="n">
        <x:f>D1537-C1537</x:f>
        <x:v>0</x:v>
      </x:c>
      <x:c r="F1537" s="5" t="str">
        <x:v>nicht Pilot</x:v>
      </x:c>
      <x:c r="G1537" s="5" t="str">
        <x:v>HQ</x:v>
      </x:c>
    </x:row>
    <x:row r="1538" ht="36" customHeight="1">
      <x:c r="A1538" s="5" t="str">
        <x:v>BM-0093</x:v>
      </x:c>
      <x:c r="B1538" s="5" t="str">
        <x:v>Betriebliches Management</x:v>
      </x:c>
      <x:c r="C1538" s="11" t="n">
        <x:v>1</x:v>
      </x:c>
      <x:c r="D1538" s="11" t="n">
        <x:f>COUNTIF('Einzel-ID-Zuordnung'!$A$7:$A$2692,A1538)</x:f>
        <x:v>1</x:v>
      </x:c>
      <x:c r="E1538" s="11" t="n">
        <x:f>D1538-C1538</x:f>
        <x:v>0</x:v>
      </x:c>
      <x:c r="F1538" s="5" t="str">
        <x:v>nicht Pilot</x:v>
      </x:c>
      <x:c r="G1538" s="5" t="str">
        <x:v>HQ</x:v>
      </x:c>
    </x:row>
    <x:row r="1539" ht="36" customHeight="1">
      <x:c r="A1539" s="5" t="str">
        <x:v>BM-0094</x:v>
      </x:c>
      <x:c r="B1539" s="5" t="str">
        <x:v>Betriebliches Management</x:v>
      </x:c>
      <x:c r="C1539" s="11" t="n">
        <x:v>1</x:v>
      </x:c>
      <x:c r="D1539" s="11" t="n">
        <x:f>COUNTIF('Einzel-ID-Zuordnung'!$A$7:$A$2692,A1539)</x:f>
        <x:v>1</x:v>
      </x:c>
      <x:c r="E1539" s="11" t="n">
        <x:f>D1539-C1539</x:f>
        <x:v>0</x:v>
      </x:c>
      <x:c r="F1539" s="5" t="str">
        <x:v>nicht Pilot</x:v>
      </x:c>
      <x:c r="G1539" s="5" t="str">
        <x:v>HQ</x:v>
      </x:c>
    </x:row>
    <x:row r="1540" ht="36" customHeight="1">
      <x:c r="A1540" s="5" t="str">
        <x:v>BM-0095</x:v>
      </x:c>
      <x:c r="B1540" s="5" t="str">
        <x:v>Betriebliches Management</x:v>
      </x:c>
      <x:c r="C1540" s="11" t="n">
        <x:v>1</x:v>
      </x:c>
      <x:c r="D1540" s="11" t="n">
        <x:f>COUNTIF('Einzel-ID-Zuordnung'!$A$7:$A$2692,A1540)</x:f>
        <x:v>1</x:v>
      </x:c>
      <x:c r="E1540" s="11" t="n">
        <x:f>D1540-C1540</x:f>
        <x:v>0</x:v>
      </x:c>
      <x:c r="F1540" s="5" t="str">
        <x:v>nicht Pilot</x:v>
      </x:c>
      <x:c r="G1540" s="5" t="str">
        <x:v>HQ</x:v>
      </x:c>
    </x:row>
    <x:row r="1541" ht="36" customHeight="1">
      <x:c r="A1541" s="5" t="str">
        <x:v>BM-0096</x:v>
      </x:c>
      <x:c r="B1541" s="5" t="str">
        <x:v>Betriebliches Management</x:v>
      </x:c>
      <x:c r="C1541" s="11" t="n">
        <x:v>1</x:v>
      </x:c>
      <x:c r="D1541" s="11" t="n">
        <x:f>COUNTIF('Einzel-ID-Zuordnung'!$A$7:$A$2692,A1541)</x:f>
        <x:v>1</x:v>
      </x:c>
      <x:c r="E1541" s="11" t="n">
        <x:f>D1541-C1541</x:f>
        <x:v>0</x:v>
      </x:c>
      <x:c r="F1541" s="5" t="str">
        <x:v>nicht Pilot</x:v>
      </x:c>
      <x:c r="G1541" s="5" t="str">
        <x:v>HQ</x:v>
      </x:c>
    </x:row>
    <x:row r="1542" ht="36" customHeight="1">
      <x:c r="A1542" s="5" t="str">
        <x:v>BM-0097</x:v>
      </x:c>
      <x:c r="B1542" s="5" t="str">
        <x:v>Betriebliches Management</x:v>
      </x:c>
      <x:c r="C1542" s="11" t="n">
        <x:v>1</x:v>
      </x:c>
      <x:c r="D1542" s="11" t="n">
        <x:f>COUNTIF('Einzel-ID-Zuordnung'!$A$7:$A$2692,A1542)</x:f>
        <x:v>1</x:v>
      </x:c>
      <x:c r="E1542" s="11" t="n">
        <x:f>D1542-C1542</x:f>
        <x:v>0</x:v>
      </x:c>
      <x:c r="F1542" s="5" t="str">
        <x:v>nicht Pilot</x:v>
      </x:c>
      <x:c r="G1542" s="5" t="str">
        <x:v>HQ</x:v>
      </x:c>
    </x:row>
    <x:row r="1543" ht="36" customHeight="1">
      <x:c r="A1543" s="5" t="str">
        <x:v>BM-0098</x:v>
      </x:c>
      <x:c r="B1543" s="5" t="str">
        <x:v>Betriebliches Management</x:v>
      </x:c>
      <x:c r="C1543" s="11" t="n">
        <x:v>1</x:v>
      </x:c>
      <x:c r="D1543" s="11" t="n">
        <x:f>COUNTIF('Einzel-ID-Zuordnung'!$A$7:$A$2692,A1543)</x:f>
        <x:v>1</x:v>
      </x:c>
      <x:c r="E1543" s="11" t="n">
        <x:f>D1543-C1543</x:f>
        <x:v>0</x:v>
      </x:c>
      <x:c r="F1543" s="5" t="str">
        <x:v>nicht Pilot</x:v>
      </x:c>
      <x:c r="G1543" s="5" t="str">
        <x:v>HQ</x:v>
      </x:c>
    </x:row>
    <x:row r="1544" ht="36" customHeight="1">
      <x:c r="A1544" s="5" t="str">
        <x:v>BM-0099</x:v>
      </x:c>
      <x:c r="B1544" s="5" t="str">
        <x:v>Betriebliches Management</x:v>
      </x:c>
      <x:c r="C1544" s="11" t="n">
        <x:v>1</x:v>
      </x:c>
      <x:c r="D1544" s="11" t="n">
        <x:f>COUNTIF('Einzel-ID-Zuordnung'!$A$7:$A$2692,A1544)</x:f>
        <x:v>1</x:v>
      </x:c>
      <x:c r="E1544" s="11" t="n">
        <x:f>D1544-C1544</x:f>
        <x:v>0</x:v>
      </x:c>
      <x:c r="F1544" s="5" t="str">
        <x:v>nicht Pilot</x:v>
      </x:c>
      <x:c r="G1544" s="5" t="str">
        <x:v>HQ</x:v>
      </x:c>
    </x:row>
    <x:row r="1545" ht="36" customHeight="1">
      <x:c r="A1545" s="5" t="str">
        <x:v>BM-0100</x:v>
      </x:c>
      <x:c r="B1545" s="5" t="str">
        <x:v>Betriebliches Management</x:v>
      </x:c>
      <x:c r="C1545" s="11" t="n">
        <x:v>1</x:v>
      </x:c>
      <x:c r="D1545" s="11" t="n">
        <x:f>COUNTIF('Einzel-ID-Zuordnung'!$A$7:$A$2692,A1545)</x:f>
        <x:v>1</x:v>
      </x:c>
      <x:c r="E1545" s="11" t="n">
        <x:f>D1545-C1545</x:f>
        <x:v>0</x:v>
      </x:c>
      <x:c r="F1545" s="5" t="str">
        <x:v>nicht Pilot</x:v>
      </x:c>
      <x:c r="G1545" s="5" t="str">
        <x:v>HQ</x:v>
      </x:c>
    </x:row>
    <x:row r="1546" ht="36" customHeight="1">
      <x:c r="A1546" s="5" t="str">
        <x:v>BM-0101</x:v>
      </x:c>
      <x:c r="B1546" s="5" t="str">
        <x:v>Betriebliches Management</x:v>
      </x:c>
      <x:c r="C1546" s="11" t="n">
        <x:v>1</x:v>
      </x:c>
      <x:c r="D1546" s="11" t="n">
        <x:f>COUNTIF('Einzel-ID-Zuordnung'!$A$7:$A$2692,A1546)</x:f>
        <x:v>1</x:v>
      </x:c>
      <x:c r="E1546" s="11" t="n">
        <x:f>D1546-C1546</x:f>
        <x:v>0</x:v>
      </x:c>
      <x:c r="F1546" s="5" t="str">
        <x:v>nicht Pilot</x:v>
      </x:c>
      <x:c r="G1546" s="5" t="str">
        <x:v>HQ</x:v>
      </x:c>
    </x:row>
    <x:row r="1547" ht="36" customHeight="1">
      <x:c r="A1547" s="5" t="str">
        <x:v>BM-0102</x:v>
      </x:c>
      <x:c r="B1547" s="5" t="str">
        <x:v>Betriebliches Management</x:v>
      </x:c>
      <x:c r="C1547" s="11" t="n">
        <x:v>1</x:v>
      </x:c>
      <x:c r="D1547" s="11" t="n">
        <x:f>COUNTIF('Einzel-ID-Zuordnung'!$A$7:$A$2692,A1547)</x:f>
        <x:v>1</x:v>
      </x:c>
      <x:c r="E1547" s="11" t="n">
        <x:f>D1547-C1547</x:f>
        <x:v>0</x:v>
      </x:c>
      <x:c r="F1547" s="5" t="str">
        <x:v>nicht Pilot</x:v>
      </x:c>
      <x:c r="G1547" s="5" t="str">
        <x:v>HQ</x:v>
      </x:c>
    </x:row>
    <x:row r="1548" ht="36" customHeight="1">
      <x:c r="A1548" s="5" t="str">
        <x:v>BM-0103</x:v>
      </x:c>
      <x:c r="B1548" s="5" t="str">
        <x:v>Betriebliches Management</x:v>
      </x:c>
      <x:c r="C1548" s="11" t="n">
        <x:v>1</x:v>
      </x:c>
      <x:c r="D1548" s="11" t="n">
        <x:f>COUNTIF('Einzel-ID-Zuordnung'!$A$7:$A$2692,A1548)</x:f>
        <x:v>1</x:v>
      </x:c>
      <x:c r="E1548" s="11" t="n">
        <x:f>D1548-C1548</x:f>
        <x:v>0</x:v>
      </x:c>
      <x:c r="F1548" s="5" t="str">
        <x:v>nicht Pilot</x:v>
      </x:c>
      <x:c r="G1548" s="5" t="str">
        <x:v>HQ</x:v>
      </x:c>
    </x:row>
    <x:row r="1549" ht="36" customHeight="1">
      <x:c r="A1549" s="5" t="str">
        <x:v>BM-0104</x:v>
      </x:c>
      <x:c r="B1549" s="5" t="str">
        <x:v>Betriebliches Management</x:v>
      </x:c>
      <x:c r="C1549" s="11" t="n">
        <x:v>1</x:v>
      </x:c>
      <x:c r="D1549" s="11" t="n">
        <x:f>COUNTIF('Einzel-ID-Zuordnung'!$A$7:$A$2692,A1549)</x:f>
        <x:v>1</x:v>
      </x:c>
      <x:c r="E1549" s="11" t="n">
        <x:f>D1549-C1549</x:f>
        <x:v>0</x:v>
      </x:c>
      <x:c r="F1549" s="5" t="str">
        <x:v>nicht Pilot</x:v>
      </x:c>
      <x:c r="G1549" s="5" t="str">
        <x:v>HQ</x:v>
      </x:c>
    </x:row>
    <x:row r="1550" ht="36" customHeight="1">
      <x:c r="A1550" s="5" t="str">
        <x:v>BM-0105</x:v>
      </x:c>
      <x:c r="B1550" s="5" t="str">
        <x:v>Betriebliches Management</x:v>
      </x:c>
      <x:c r="C1550" s="11" t="n">
        <x:v>1</x:v>
      </x:c>
      <x:c r="D1550" s="11" t="n">
        <x:f>COUNTIF('Einzel-ID-Zuordnung'!$A$7:$A$2692,A1550)</x:f>
        <x:v>1</x:v>
      </x:c>
      <x:c r="E1550" s="11" t="n">
        <x:f>D1550-C1550</x:f>
        <x:v>0</x:v>
      </x:c>
      <x:c r="F1550" s="5" t="str">
        <x:v>nicht Pilot</x:v>
      </x:c>
      <x:c r="G1550" s="5" t="str">
        <x:v>HQ</x:v>
      </x:c>
    </x:row>
    <x:row r="1551" ht="36" customHeight="1">
      <x:c r="A1551" s="5" t="str">
        <x:v>BM-0106</x:v>
      </x:c>
      <x:c r="B1551" s="5" t="str">
        <x:v>Betriebliches Management</x:v>
      </x:c>
      <x:c r="C1551" s="11" t="n">
        <x:v>1</x:v>
      </x:c>
      <x:c r="D1551" s="11" t="n">
        <x:f>COUNTIF('Einzel-ID-Zuordnung'!$A$7:$A$2692,A1551)</x:f>
        <x:v>1</x:v>
      </x:c>
      <x:c r="E1551" s="11" t="n">
        <x:f>D1551-C1551</x:f>
        <x:v>0</x:v>
      </x:c>
      <x:c r="F1551" s="5" t="str">
        <x:v>nicht Pilot</x:v>
      </x:c>
      <x:c r="G1551" s="5" t="str">
        <x:v>HQ</x:v>
      </x:c>
    </x:row>
    <x:row r="1552" ht="36" customHeight="1">
      <x:c r="A1552" s="5" t="str">
        <x:v>BM-0107</x:v>
      </x:c>
      <x:c r="B1552" s="5" t="str">
        <x:v>Betriebliches Management</x:v>
      </x:c>
      <x:c r="C1552" s="11" t="n">
        <x:v>1</x:v>
      </x:c>
      <x:c r="D1552" s="11" t="n">
        <x:f>COUNTIF('Einzel-ID-Zuordnung'!$A$7:$A$2692,A1552)</x:f>
        <x:v>1</x:v>
      </x:c>
      <x:c r="E1552" s="11" t="n">
        <x:f>D1552-C1552</x:f>
        <x:v>0</x:v>
      </x:c>
      <x:c r="F1552" s="5" t="str">
        <x:v>nicht Pilot</x:v>
      </x:c>
      <x:c r="G1552" s="5" t="str">
        <x:v>HQ</x:v>
      </x:c>
    </x:row>
    <x:row r="1553" ht="36" customHeight="1">
      <x:c r="A1553" s="5" t="str">
        <x:v>BM-0108</x:v>
      </x:c>
      <x:c r="B1553" s="5" t="str">
        <x:v>Betriebliches Management</x:v>
      </x:c>
      <x:c r="C1553" s="11" t="n">
        <x:v>1</x:v>
      </x:c>
      <x:c r="D1553" s="11" t="n">
        <x:f>COUNTIF('Einzel-ID-Zuordnung'!$A$7:$A$2692,A1553)</x:f>
        <x:v>1</x:v>
      </x:c>
      <x:c r="E1553" s="11" t="n">
        <x:f>D1553-C1553</x:f>
        <x:v>0</x:v>
      </x:c>
      <x:c r="F1553" s="5" t="str">
        <x:v>nicht Pilot</x:v>
      </x:c>
      <x:c r="G1553" s="5" t="str">
        <x:v>HQ</x:v>
      </x:c>
    </x:row>
    <x:row r="1554" ht="36" customHeight="1">
      <x:c r="A1554" s="5" t="str">
        <x:v>BM-0109</x:v>
      </x:c>
      <x:c r="B1554" s="5" t="str">
        <x:v>Betriebliches Management</x:v>
      </x:c>
      <x:c r="C1554" s="11" t="n">
        <x:v>1</x:v>
      </x:c>
      <x:c r="D1554" s="11" t="n">
        <x:f>COUNTIF('Einzel-ID-Zuordnung'!$A$7:$A$2692,A1554)</x:f>
        <x:v>1</x:v>
      </x:c>
      <x:c r="E1554" s="11" t="n">
        <x:f>D1554-C1554</x:f>
        <x:v>0</x:v>
      </x:c>
      <x:c r="F1554" s="5" t="str">
        <x:v>nicht Pilot</x:v>
      </x:c>
      <x:c r="G1554" s="5" t="str">
        <x:v>HQ</x:v>
      </x:c>
    </x:row>
    <x:row r="1555" ht="36" customHeight="1">
      <x:c r="A1555" s="5" t="str">
        <x:v>BM-0110</x:v>
      </x:c>
      <x:c r="B1555" s="5" t="str">
        <x:v>Betriebliches Management</x:v>
      </x:c>
      <x:c r="C1555" s="11" t="n">
        <x:v>1</x:v>
      </x:c>
      <x:c r="D1555" s="11" t="n">
        <x:f>COUNTIF('Einzel-ID-Zuordnung'!$A$7:$A$2692,A1555)</x:f>
        <x:v>1</x:v>
      </x:c>
      <x:c r="E1555" s="11" t="n">
        <x:f>D1555-C1555</x:f>
        <x:v>0</x:v>
      </x:c>
      <x:c r="F1555" s="5" t="str">
        <x:v>nicht Pilot</x:v>
      </x:c>
      <x:c r="G1555" s="5" t="str">
        <x:v>HQ</x:v>
      </x:c>
    </x:row>
    <x:row r="1556" ht="36" customHeight="1">
      <x:c r="A1556" s="5" t="str">
        <x:v>BM-0111</x:v>
      </x:c>
      <x:c r="B1556" s="5" t="str">
        <x:v>Betriebliches Management</x:v>
      </x:c>
      <x:c r="C1556" s="11" t="n">
        <x:v>1</x:v>
      </x:c>
      <x:c r="D1556" s="11" t="n">
        <x:f>COUNTIF('Einzel-ID-Zuordnung'!$A$7:$A$2692,A1556)</x:f>
        <x:v>1</x:v>
      </x:c>
      <x:c r="E1556" s="11" t="n">
        <x:f>D1556-C1556</x:f>
        <x:v>0</x:v>
      </x:c>
      <x:c r="F1556" s="5" t="str">
        <x:v>nicht Pilot</x:v>
      </x:c>
      <x:c r="G1556" s="5" t="str">
        <x:v>HQ</x:v>
      </x:c>
    </x:row>
    <x:row r="1557" ht="36" customHeight="1">
      <x:c r="A1557" s="5" t="str">
        <x:v>BM-0112</x:v>
      </x:c>
      <x:c r="B1557" s="5" t="str">
        <x:v>Betriebliches Management</x:v>
      </x:c>
      <x:c r="C1557" s="11" t="n">
        <x:v>1</x:v>
      </x:c>
      <x:c r="D1557" s="11" t="n">
        <x:f>COUNTIF('Einzel-ID-Zuordnung'!$A$7:$A$2692,A1557)</x:f>
        <x:v>1</x:v>
      </x:c>
      <x:c r="E1557" s="11" t="n">
        <x:f>D1557-C1557</x:f>
        <x:v>0</x:v>
      </x:c>
      <x:c r="F1557" s="5" t="str">
        <x:v>nicht Pilot</x:v>
      </x:c>
      <x:c r="G1557" s="5" t="str">
        <x:v>HQ</x:v>
      </x:c>
    </x:row>
    <x:row r="1558" ht="36" customHeight="1">
      <x:c r="A1558" s="5" t="str">
        <x:v>BM-0113</x:v>
      </x:c>
      <x:c r="B1558" s="5" t="str">
        <x:v>Betriebliches Management</x:v>
      </x:c>
      <x:c r="C1558" s="11" t="n">
        <x:v>1</x:v>
      </x:c>
      <x:c r="D1558" s="11" t="n">
        <x:f>COUNTIF('Einzel-ID-Zuordnung'!$A$7:$A$2692,A1558)</x:f>
        <x:v>1</x:v>
      </x:c>
      <x:c r="E1558" s="11" t="n">
        <x:f>D1558-C1558</x:f>
        <x:v>0</x:v>
      </x:c>
      <x:c r="F1558" s="5" t="str">
        <x:v>nicht Pilot</x:v>
      </x:c>
      <x:c r="G1558" s="5" t="str">
        <x:v>HQ</x:v>
      </x:c>
    </x:row>
    <x:row r="1559" ht="36" customHeight="1">
      <x:c r="A1559" s="5" t="str">
        <x:v>BM-0114</x:v>
      </x:c>
      <x:c r="B1559" s="5" t="str">
        <x:v>Betriebliches Management</x:v>
      </x:c>
      <x:c r="C1559" s="11" t="n">
        <x:v>1</x:v>
      </x:c>
      <x:c r="D1559" s="11" t="n">
        <x:f>COUNTIF('Einzel-ID-Zuordnung'!$A$7:$A$2692,A1559)</x:f>
        <x:v>1</x:v>
      </x:c>
      <x:c r="E1559" s="11" t="n">
        <x:f>D1559-C1559</x:f>
        <x:v>0</x:v>
      </x:c>
      <x:c r="F1559" s="5" t="str">
        <x:v>nicht Pilot</x:v>
      </x:c>
      <x:c r="G1559" s="5" t="str">
        <x:v>HQ</x:v>
      </x:c>
    </x:row>
    <x:row r="1560" ht="36" customHeight="1">
      <x:c r="A1560" s="5" t="str">
        <x:v>BM-0115</x:v>
      </x:c>
      <x:c r="B1560" s="5" t="str">
        <x:v>Betriebliches Management</x:v>
      </x:c>
      <x:c r="C1560" s="11" t="n">
        <x:v>1</x:v>
      </x:c>
      <x:c r="D1560" s="11" t="n">
        <x:f>COUNTIF('Einzel-ID-Zuordnung'!$A$7:$A$2692,A1560)</x:f>
        <x:v>1</x:v>
      </x:c>
      <x:c r="E1560" s="11" t="n">
        <x:f>D1560-C1560</x:f>
        <x:v>0</x:v>
      </x:c>
      <x:c r="F1560" s="5" t="str">
        <x:v>nicht Pilot</x:v>
      </x:c>
      <x:c r="G1560" s="5" t="str">
        <x:v>HQ</x:v>
      </x:c>
    </x:row>
    <x:row r="1561" ht="36" customHeight="1">
      <x:c r="A1561" s="5" t="str">
        <x:v>BM-0116</x:v>
      </x:c>
      <x:c r="B1561" s="5" t="str">
        <x:v>Betriebliches Management</x:v>
      </x:c>
      <x:c r="C1561" s="11" t="n">
        <x:v>1</x:v>
      </x:c>
      <x:c r="D1561" s="11" t="n">
        <x:f>COUNTIF('Einzel-ID-Zuordnung'!$A$7:$A$2692,A1561)</x:f>
        <x:v>1</x:v>
      </x:c>
      <x:c r="E1561" s="11" t="n">
        <x:f>D1561-C1561</x:f>
        <x:v>0</x:v>
      </x:c>
      <x:c r="F1561" s="5" t="str">
        <x:v>nicht Pilot</x:v>
      </x:c>
      <x:c r="G1561" s="5" t="str">
        <x:v>HQ</x:v>
      </x:c>
    </x:row>
    <x:row r="1562" ht="36" customHeight="1">
      <x:c r="A1562" s="5" t="str">
        <x:v>BM-0117</x:v>
      </x:c>
      <x:c r="B1562" s="5" t="str">
        <x:v>Betriebliches Management</x:v>
      </x:c>
      <x:c r="C1562" s="11" t="n">
        <x:v>1</x:v>
      </x:c>
      <x:c r="D1562" s="11" t="n">
        <x:f>COUNTIF('Einzel-ID-Zuordnung'!$A$7:$A$2692,A1562)</x:f>
        <x:v>1</x:v>
      </x:c>
      <x:c r="E1562" s="11" t="n">
        <x:f>D1562-C1562</x:f>
        <x:v>0</x:v>
      </x:c>
      <x:c r="F1562" s="5" t="str">
        <x:v>nicht Pilot</x:v>
      </x:c>
      <x:c r="G1562" s="5" t="str">
        <x:v>HQ</x:v>
      </x:c>
    </x:row>
    <x:row r="1563" ht="36" customHeight="1">
      <x:c r="A1563" s="5" t="str">
        <x:v>BM-0118</x:v>
      </x:c>
      <x:c r="B1563" s="5" t="str">
        <x:v>Betriebliches Management</x:v>
      </x:c>
      <x:c r="C1563" s="11" t="n">
        <x:v>1</x:v>
      </x:c>
      <x:c r="D1563" s="11" t="n">
        <x:f>COUNTIF('Einzel-ID-Zuordnung'!$A$7:$A$2692,A1563)</x:f>
        <x:v>1</x:v>
      </x:c>
      <x:c r="E1563" s="11" t="n">
        <x:f>D1563-C1563</x:f>
        <x:v>0</x:v>
      </x:c>
      <x:c r="F1563" s="5" t="str">
        <x:v>nicht Pilot</x:v>
      </x:c>
      <x:c r="G1563" s="5" t="str">
        <x:v>HQ</x:v>
      </x:c>
    </x:row>
    <x:row r="1564" ht="36" customHeight="1">
      <x:c r="A1564" s="5" t="str">
        <x:v>BM-0119</x:v>
      </x:c>
      <x:c r="B1564" s="5" t="str">
        <x:v>Betriebliches Management</x:v>
      </x:c>
      <x:c r="C1564" s="11" t="n">
        <x:v>1</x:v>
      </x:c>
      <x:c r="D1564" s="11" t="n">
        <x:f>COUNTIF('Einzel-ID-Zuordnung'!$A$7:$A$2692,A1564)</x:f>
        <x:v>1</x:v>
      </x:c>
      <x:c r="E1564" s="11" t="n">
        <x:f>D1564-C1564</x:f>
        <x:v>0</x:v>
      </x:c>
      <x:c r="F1564" s="5" t="str">
        <x:v>nicht Pilot</x:v>
      </x:c>
      <x:c r="G1564" s="5" t="str">
        <x:v>HQ</x:v>
      </x:c>
    </x:row>
    <x:row r="1565" ht="36" customHeight="1">
      <x:c r="A1565" s="5" t="str">
        <x:v>BM-0120</x:v>
      </x:c>
      <x:c r="B1565" s="5" t="str">
        <x:v>Betriebliches Management</x:v>
      </x:c>
      <x:c r="C1565" s="11" t="n">
        <x:v>1</x:v>
      </x:c>
      <x:c r="D1565" s="11" t="n">
        <x:f>COUNTIF('Einzel-ID-Zuordnung'!$A$7:$A$2692,A1565)</x:f>
        <x:v>1</x:v>
      </x:c>
      <x:c r="E1565" s="11" t="n">
        <x:f>D1565-C1565</x:f>
        <x:v>0</x:v>
      </x:c>
      <x:c r="F1565" s="5" t="str">
        <x:v>nicht Pilot</x:v>
      </x:c>
      <x:c r="G1565" s="5" t="str">
        <x:v>HQ</x:v>
      </x:c>
    </x:row>
    <x:row r="1566" ht="36" customHeight="1">
      <x:c r="A1566" s="5" t="str">
        <x:v>BM-0121</x:v>
      </x:c>
      <x:c r="B1566" s="5" t="str">
        <x:v>Betriebliches Management</x:v>
      </x:c>
      <x:c r="C1566" s="11" t="n">
        <x:v>1</x:v>
      </x:c>
      <x:c r="D1566" s="11" t="n">
        <x:f>COUNTIF('Einzel-ID-Zuordnung'!$A$7:$A$2692,A1566)</x:f>
        <x:v>1</x:v>
      </x:c>
      <x:c r="E1566" s="11" t="n">
        <x:f>D1566-C1566</x:f>
        <x:v>0</x:v>
      </x:c>
      <x:c r="F1566" s="5" t="str">
        <x:v>nicht Pilot</x:v>
      </x:c>
      <x:c r="G1566" s="5" t="str">
        <x:v>HQ</x:v>
      </x:c>
    </x:row>
    <x:row r="1567" ht="36" customHeight="1">
      <x:c r="A1567" s="5" t="str">
        <x:v>BM-0122</x:v>
      </x:c>
      <x:c r="B1567" s="5" t="str">
        <x:v>Betriebliches Management</x:v>
      </x:c>
      <x:c r="C1567" s="11" t="n">
        <x:v>1</x:v>
      </x:c>
      <x:c r="D1567" s="11" t="n">
        <x:f>COUNTIF('Einzel-ID-Zuordnung'!$A$7:$A$2692,A1567)</x:f>
        <x:v>1</x:v>
      </x:c>
      <x:c r="E1567" s="11" t="n">
        <x:f>D1567-C1567</x:f>
        <x:v>0</x:v>
      </x:c>
      <x:c r="F1567" s="5" t="str">
        <x:v>nicht Pilot</x:v>
      </x:c>
      <x:c r="G1567" s="5" t="str">
        <x:v>HQ</x:v>
      </x:c>
    </x:row>
    <x:row r="1568" ht="36" customHeight="1">
      <x:c r="A1568" s="5" t="str">
        <x:v>BM-0123</x:v>
      </x:c>
      <x:c r="B1568" s="5" t="str">
        <x:v>Betriebliches Management</x:v>
      </x:c>
      <x:c r="C1568" s="11" t="n">
        <x:v>1</x:v>
      </x:c>
      <x:c r="D1568" s="11" t="n">
        <x:f>COUNTIF('Einzel-ID-Zuordnung'!$A$7:$A$2692,A1568)</x:f>
        <x:v>1</x:v>
      </x:c>
      <x:c r="E1568" s="11" t="n">
        <x:f>D1568-C1568</x:f>
        <x:v>0</x:v>
      </x:c>
      <x:c r="F1568" s="5" t="str">
        <x:v>nicht Pilot</x:v>
      </x:c>
      <x:c r="G1568" s="5" t="str">
        <x:v>HQ</x:v>
      </x:c>
    </x:row>
    <x:row r="1569" ht="36" customHeight="1">
      <x:c r="A1569" s="5" t="str">
        <x:v>BM-0124</x:v>
      </x:c>
      <x:c r="B1569" s="5" t="str">
        <x:v>Betriebliches Management</x:v>
      </x:c>
      <x:c r="C1569" s="11" t="n">
        <x:v>1</x:v>
      </x:c>
      <x:c r="D1569" s="11" t="n">
        <x:f>COUNTIF('Einzel-ID-Zuordnung'!$A$7:$A$2692,A1569)</x:f>
        <x:v>1</x:v>
      </x:c>
      <x:c r="E1569" s="11" t="n">
        <x:f>D1569-C1569</x:f>
        <x:v>0</x:v>
      </x:c>
      <x:c r="F1569" s="5" t="str">
        <x:v>nicht Pilot</x:v>
      </x:c>
      <x:c r="G1569" s="5" t="str">
        <x:v>HQ</x:v>
      </x:c>
    </x:row>
    <x:row r="1570" ht="36" customHeight="1">
      <x:c r="A1570" s="5" t="str">
        <x:v>BM-0125</x:v>
      </x:c>
      <x:c r="B1570" s="5" t="str">
        <x:v>Betriebliches Management</x:v>
      </x:c>
      <x:c r="C1570" s="11" t="n">
        <x:v>1</x:v>
      </x:c>
      <x:c r="D1570" s="11" t="n">
        <x:f>COUNTIF('Einzel-ID-Zuordnung'!$A$7:$A$2692,A1570)</x:f>
        <x:v>1</x:v>
      </x:c>
      <x:c r="E1570" s="11" t="n">
        <x:f>D1570-C1570</x:f>
        <x:v>0</x:v>
      </x:c>
      <x:c r="F1570" s="5" t="str">
        <x:v>nicht Pilot</x:v>
      </x:c>
      <x:c r="G1570" s="5" t="str">
        <x:v>HQ</x:v>
      </x:c>
    </x:row>
    <x:row r="1571" ht="36" customHeight="1">
      <x:c r="A1571" s="5" t="str">
        <x:v>BM-0126</x:v>
      </x:c>
      <x:c r="B1571" s="5" t="str">
        <x:v>Betriebliches Management</x:v>
      </x:c>
      <x:c r="C1571" s="11" t="n">
        <x:v>1</x:v>
      </x:c>
      <x:c r="D1571" s="11" t="n">
        <x:f>COUNTIF('Einzel-ID-Zuordnung'!$A$7:$A$2692,A1571)</x:f>
        <x:v>1</x:v>
      </x:c>
      <x:c r="E1571" s="11" t="n">
        <x:f>D1571-C1571</x:f>
        <x:v>0</x:v>
      </x:c>
      <x:c r="F1571" s="5" t="str">
        <x:v>nicht Pilot</x:v>
      </x:c>
      <x:c r="G1571" s="5" t="str">
        <x:v>HQ</x:v>
      </x:c>
    </x:row>
    <x:row r="1572" ht="36" customHeight="1">
      <x:c r="A1572" s="5" t="str">
        <x:v>BM-0127</x:v>
      </x:c>
      <x:c r="B1572" s="5" t="str">
        <x:v>Betriebliches Management</x:v>
      </x:c>
      <x:c r="C1572" s="11" t="n">
        <x:v>1</x:v>
      </x:c>
      <x:c r="D1572" s="11" t="n">
        <x:f>COUNTIF('Einzel-ID-Zuordnung'!$A$7:$A$2692,A1572)</x:f>
        <x:v>1</x:v>
      </x:c>
      <x:c r="E1572" s="11" t="n">
        <x:f>D1572-C1572</x:f>
        <x:v>0</x:v>
      </x:c>
      <x:c r="F1572" s="5" t="str">
        <x:v>nicht Pilot</x:v>
      </x:c>
      <x:c r="G1572" s="5" t="str">
        <x:v>HQ</x:v>
      </x:c>
    </x:row>
    <x:row r="1573" ht="36" customHeight="1">
      <x:c r="A1573" s="5" t="str">
        <x:v>BM-0128</x:v>
      </x:c>
      <x:c r="B1573" s="5" t="str">
        <x:v>Betriebliches Management</x:v>
      </x:c>
      <x:c r="C1573" s="11" t="n">
        <x:v>1</x:v>
      </x:c>
      <x:c r="D1573" s="11" t="n">
        <x:f>COUNTIF('Einzel-ID-Zuordnung'!$A$7:$A$2692,A1573)</x:f>
        <x:v>1</x:v>
      </x:c>
      <x:c r="E1573" s="11" t="n">
        <x:f>D1573-C1573</x:f>
        <x:v>0</x:v>
      </x:c>
      <x:c r="F1573" s="5" t="str">
        <x:v>nicht Pilot</x:v>
      </x:c>
      <x:c r="G1573" s="5" t="str">
        <x:v>HQ</x:v>
      </x:c>
    </x:row>
    <x:row r="1574" ht="36" customHeight="1">
      <x:c r="A1574" s="5" t="str">
        <x:v>BM-0129</x:v>
      </x:c>
      <x:c r="B1574" s="5" t="str">
        <x:v>Betriebliches Management</x:v>
      </x:c>
      <x:c r="C1574" s="11" t="n">
        <x:v>1</x:v>
      </x:c>
      <x:c r="D1574" s="11" t="n">
        <x:f>COUNTIF('Einzel-ID-Zuordnung'!$A$7:$A$2692,A1574)</x:f>
        <x:v>1</x:v>
      </x:c>
      <x:c r="E1574" s="11" t="n">
        <x:f>D1574-C1574</x:f>
        <x:v>0</x:v>
      </x:c>
      <x:c r="F1574" s="5" t="str">
        <x:v>nicht Pilot</x:v>
      </x:c>
      <x:c r="G1574" s="5" t="str">
        <x:v>HQ</x:v>
      </x:c>
    </x:row>
    <x:row r="1575" ht="36" customHeight="1">
      <x:c r="A1575" s="5" t="str">
        <x:v>BM-0130</x:v>
      </x:c>
      <x:c r="B1575" s="5" t="str">
        <x:v>Betriebliches Management</x:v>
      </x:c>
      <x:c r="C1575" s="11" t="n">
        <x:v>1</x:v>
      </x:c>
      <x:c r="D1575" s="11" t="n">
        <x:f>COUNTIF('Einzel-ID-Zuordnung'!$A$7:$A$2692,A1575)</x:f>
        <x:v>1</x:v>
      </x:c>
      <x:c r="E1575" s="11" t="n">
        <x:f>D1575-C1575</x:f>
        <x:v>0</x:v>
      </x:c>
      <x:c r="F1575" s="5" t="str">
        <x:v>nicht Pilot</x:v>
      </x:c>
      <x:c r="G1575" s="5" t="str">
        <x:v>HQ</x:v>
      </x:c>
    </x:row>
    <x:row r="1576" ht="36" customHeight="1">
      <x:c r="A1576" s="5" t="str">
        <x:v>BM-0131</x:v>
      </x:c>
      <x:c r="B1576" s="5" t="str">
        <x:v>Betriebliches Management</x:v>
      </x:c>
      <x:c r="C1576" s="11" t="n">
        <x:v>1</x:v>
      </x:c>
      <x:c r="D1576" s="11" t="n">
        <x:f>COUNTIF('Einzel-ID-Zuordnung'!$A$7:$A$2692,A1576)</x:f>
        <x:v>1</x:v>
      </x:c>
      <x:c r="E1576" s="11" t="n">
        <x:f>D1576-C1576</x:f>
        <x:v>0</x:v>
      </x:c>
      <x:c r="F1576" s="5" t="str">
        <x:v>nicht Pilot</x:v>
      </x:c>
      <x:c r="G1576" s="5" t="str">
        <x:v>HQ</x:v>
      </x:c>
    </x:row>
    <x:row r="1577" ht="36" customHeight="1">
      <x:c r="A1577" s="5" t="str">
        <x:v>BM-0132</x:v>
      </x:c>
      <x:c r="B1577" s="5" t="str">
        <x:v>Betriebliches Management</x:v>
      </x:c>
      <x:c r="C1577" s="11" t="n">
        <x:v>1</x:v>
      </x:c>
      <x:c r="D1577" s="11" t="n">
        <x:f>COUNTIF('Einzel-ID-Zuordnung'!$A$7:$A$2692,A1577)</x:f>
        <x:v>1</x:v>
      </x:c>
      <x:c r="E1577" s="11" t="n">
        <x:f>D1577-C1577</x:f>
        <x:v>0</x:v>
      </x:c>
      <x:c r="F1577" s="5" t="str">
        <x:v>nicht Pilot</x:v>
      </x:c>
      <x:c r="G1577" s="5" t="str">
        <x:v>HQ</x:v>
      </x:c>
    </x:row>
    <x:row r="1578" ht="36" customHeight="1">
      <x:c r="A1578" s="5" t="str">
        <x:v>BM-0133</x:v>
      </x:c>
      <x:c r="B1578" s="5" t="str">
        <x:v>Betriebliches Management</x:v>
      </x:c>
      <x:c r="C1578" s="11" t="n">
        <x:v>1</x:v>
      </x:c>
      <x:c r="D1578" s="11" t="n">
        <x:f>COUNTIF('Einzel-ID-Zuordnung'!$A$7:$A$2692,A1578)</x:f>
        <x:v>1</x:v>
      </x:c>
      <x:c r="E1578" s="11" t="n">
        <x:f>D1578-C1578</x:f>
        <x:v>0</x:v>
      </x:c>
      <x:c r="F1578" s="5" t="str">
        <x:v>nicht Pilot</x:v>
      </x:c>
      <x:c r="G1578" s="5" t="str">
        <x:v>HQ</x:v>
      </x:c>
    </x:row>
    <x:row r="1579" ht="36" customHeight="1">
      <x:c r="A1579" s="5" t="str">
        <x:v>BM-0134</x:v>
      </x:c>
      <x:c r="B1579" s="5" t="str">
        <x:v>Betriebliches Management</x:v>
      </x:c>
      <x:c r="C1579" s="11" t="n">
        <x:v>1</x:v>
      </x:c>
      <x:c r="D1579" s="11" t="n">
        <x:f>COUNTIF('Einzel-ID-Zuordnung'!$A$7:$A$2692,A1579)</x:f>
        <x:v>1</x:v>
      </x:c>
      <x:c r="E1579" s="11" t="n">
        <x:f>D1579-C1579</x:f>
        <x:v>0</x:v>
      </x:c>
      <x:c r="F1579" s="5" t="str">
        <x:v>nicht Pilot</x:v>
      </x:c>
      <x:c r="G1579" s="5" t="str">
        <x:v>HQ</x:v>
      </x:c>
    </x:row>
    <x:row r="1580" ht="36" customHeight="1">
      <x:c r="A1580" s="5" t="str">
        <x:v>BM-0135</x:v>
      </x:c>
      <x:c r="B1580" s="5" t="str">
        <x:v>Betriebliches Management</x:v>
      </x:c>
      <x:c r="C1580" s="11" t="n">
        <x:v>1</x:v>
      </x:c>
      <x:c r="D1580" s="11" t="n">
        <x:f>COUNTIF('Einzel-ID-Zuordnung'!$A$7:$A$2692,A1580)</x:f>
        <x:v>1</x:v>
      </x:c>
      <x:c r="E1580" s="11" t="n">
        <x:f>D1580-C1580</x:f>
        <x:v>0</x:v>
      </x:c>
      <x:c r="F1580" s="5" t="str">
        <x:v>nicht Pilot</x:v>
      </x:c>
      <x:c r="G1580" s="5" t="str">
        <x:v>HQ</x:v>
      </x:c>
    </x:row>
    <x:row r="1581" ht="36" customHeight="1">
      <x:c r="A1581" s="5" t="str">
        <x:v>BM-0136</x:v>
      </x:c>
      <x:c r="B1581" s="5" t="str">
        <x:v>Betriebliches Management</x:v>
      </x:c>
      <x:c r="C1581" s="11" t="n">
        <x:v>1</x:v>
      </x:c>
      <x:c r="D1581" s="11" t="n">
        <x:f>COUNTIF('Einzel-ID-Zuordnung'!$A$7:$A$2692,A1581)</x:f>
        <x:v>1</x:v>
      </x:c>
      <x:c r="E1581" s="11" t="n">
        <x:f>D1581-C1581</x:f>
        <x:v>0</x:v>
      </x:c>
      <x:c r="F1581" s="5" t="str">
        <x:v>nicht Pilot</x:v>
      </x:c>
      <x:c r="G1581" s="5" t="str">
        <x:v>HQ</x:v>
      </x:c>
    </x:row>
    <x:row r="1582" ht="36" customHeight="1">
      <x:c r="A1582" s="5" t="str">
        <x:v>BM-0137</x:v>
      </x:c>
      <x:c r="B1582" s="5" t="str">
        <x:v>Betriebliches Management</x:v>
      </x:c>
      <x:c r="C1582" s="11" t="n">
        <x:v>1</x:v>
      </x:c>
      <x:c r="D1582" s="11" t="n">
        <x:f>COUNTIF('Einzel-ID-Zuordnung'!$A$7:$A$2692,A1582)</x:f>
        <x:v>1</x:v>
      </x:c>
      <x:c r="E1582" s="11" t="n">
        <x:f>D1582-C1582</x:f>
        <x:v>0</x:v>
      </x:c>
      <x:c r="F1582" s="5" t="str">
        <x:v>nicht Pilot</x:v>
      </x:c>
      <x:c r="G1582" s="5" t="str">
        <x:v>HQ</x:v>
      </x:c>
    </x:row>
    <x:row r="1583" ht="36" customHeight="1">
      <x:c r="A1583" s="5" t="str">
        <x:v>BM-0138</x:v>
      </x:c>
      <x:c r="B1583" s="5" t="str">
        <x:v>Betriebliches Management</x:v>
      </x:c>
      <x:c r="C1583" s="11" t="n">
        <x:v>1</x:v>
      </x:c>
      <x:c r="D1583" s="11" t="n">
        <x:f>COUNTIF('Einzel-ID-Zuordnung'!$A$7:$A$2692,A1583)</x:f>
        <x:v>1</x:v>
      </x:c>
      <x:c r="E1583" s="11" t="n">
        <x:f>D1583-C1583</x:f>
        <x:v>0</x:v>
      </x:c>
      <x:c r="F1583" s="5" t="str">
        <x:v>nicht Pilot</x:v>
      </x:c>
      <x:c r="G1583" s="5" t="str">
        <x:v>HQ</x:v>
      </x:c>
    </x:row>
    <x:row r="1584" ht="36" customHeight="1">
      <x:c r="A1584" s="5" t="str">
        <x:v>BM-0139</x:v>
      </x:c>
      <x:c r="B1584" s="5" t="str">
        <x:v>Betriebliches Management</x:v>
      </x:c>
      <x:c r="C1584" s="11" t="n">
        <x:v>1</x:v>
      </x:c>
      <x:c r="D1584" s="11" t="n">
        <x:f>COUNTIF('Einzel-ID-Zuordnung'!$A$7:$A$2692,A1584)</x:f>
        <x:v>1</x:v>
      </x:c>
      <x:c r="E1584" s="11" t="n">
        <x:f>D1584-C1584</x:f>
        <x:v>0</x:v>
      </x:c>
      <x:c r="F1584" s="5" t="str">
        <x:v>nicht Pilot</x:v>
      </x:c>
      <x:c r="G1584" s="5" t="str">
        <x:v>HQ</x:v>
      </x:c>
    </x:row>
    <x:row r="1585" ht="36" customHeight="1">
      <x:c r="A1585" s="5" t="str">
        <x:v>BM-0140</x:v>
      </x:c>
      <x:c r="B1585" s="5" t="str">
        <x:v>Betriebliches Management</x:v>
      </x:c>
      <x:c r="C1585" s="11" t="n">
        <x:v>1</x:v>
      </x:c>
      <x:c r="D1585" s="11" t="n">
        <x:f>COUNTIF('Einzel-ID-Zuordnung'!$A$7:$A$2692,A1585)</x:f>
        <x:v>1</x:v>
      </x:c>
      <x:c r="E1585" s="11" t="n">
        <x:f>D1585-C1585</x:f>
        <x:v>0</x:v>
      </x:c>
      <x:c r="F1585" s="5" t="str">
        <x:v>nicht Pilot</x:v>
      </x:c>
      <x:c r="G1585" s="5" t="str">
        <x:v>HQ</x:v>
      </x:c>
    </x:row>
    <x:row r="1586" ht="36" customHeight="1">
      <x:c r="A1586" s="5" t="str">
        <x:v>BM-0141</x:v>
      </x:c>
      <x:c r="B1586" s="5" t="str">
        <x:v>Betriebliches Management</x:v>
      </x:c>
      <x:c r="C1586" s="11" t="n">
        <x:v>1</x:v>
      </x:c>
      <x:c r="D1586" s="11" t="n">
        <x:f>COUNTIF('Einzel-ID-Zuordnung'!$A$7:$A$2692,A1586)</x:f>
        <x:v>1</x:v>
      </x:c>
      <x:c r="E1586" s="11" t="n">
        <x:f>D1586-C1586</x:f>
        <x:v>0</x:v>
      </x:c>
      <x:c r="F1586" s="5" t="str">
        <x:v>nicht Pilot</x:v>
      </x:c>
      <x:c r="G1586" s="5" t="str">
        <x:v>HQ</x:v>
      </x:c>
    </x:row>
    <x:row r="1587" ht="36" customHeight="1">
      <x:c r="A1587" s="5" t="str">
        <x:v>BM-0142</x:v>
      </x:c>
      <x:c r="B1587" s="5" t="str">
        <x:v>Betriebliches Management</x:v>
      </x:c>
      <x:c r="C1587" s="11" t="n">
        <x:v>1</x:v>
      </x:c>
      <x:c r="D1587" s="11" t="n">
        <x:f>COUNTIF('Einzel-ID-Zuordnung'!$A$7:$A$2692,A1587)</x:f>
        <x:v>1</x:v>
      </x:c>
      <x:c r="E1587" s="11" t="n">
        <x:f>D1587-C1587</x:f>
        <x:v>0</x:v>
      </x:c>
      <x:c r="F1587" s="5" t="str">
        <x:v>nicht Pilot</x:v>
      </x:c>
      <x:c r="G1587" s="5" t="str">
        <x:v>HQ</x:v>
      </x:c>
    </x:row>
    <x:row r="1588" ht="36" customHeight="1">
      <x:c r="A1588" s="5" t="str">
        <x:v>BM-0143</x:v>
      </x:c>
      <x:c r="B1588" s="5" t="str">
        <x:v>Betriebliches Management</x:v>
      </x:c>
      <x:c r="C1588" s="11" t="n">
        <x:v>1</x:v>
      </x:c>
      <x:c r="D1588" s="11" t="n">
        <x:f>COUNTIF('Einzel-ID-Zuordnung'!$A$7:$A$2692,A1588)</x:f>
        <x:v>1</x:v>
      </x:c>
      <x:c r="E1588" s="11" t="n">
        <x:f>D1588-C1588</x:f>
        <x:v>0</x:v>
      </x:c>
      <x:c r="F1588" s="5" t="str">
        <x:v>nicht Pilot</x:v>
      </x:c>
      <x:c r="G1588" s="5" t="str">
        <x:v>HQ</x:v>
      </x:c>
    </x:row>
    <x:row r="1589" ht="36" customHeight="1">
      <x:c r="A1589" s="5" t="str">
        <x:v>BM-0144</x:v>
      </x:c>
      <x:c r="B1589" s="5" t="str">
        <x:v>Betriebliches Management</x:v>
      </x:c>
      <x:c r="C1589" s="11" t="n">
        <x:v>1</x:v>
      </x:c>
      <x:c r="D1589" s="11" t="n">
        <x:f>COUNTIF('Einzel-ID-Zuordnung'!$A$7:$A$2692,A1589)</x:f>
        <x:v>1</x:v>
      </x:c>
      <x:c r="E1589" s="11" t="n">
        <x:f>D1589-C1589</x:f>
        <x:v>0</x:v>
      </x:c>
      <x:c r="F1589" s="5" t="str">
        <x:v>nicht Pilot</x:v>
      </x:c>
      <x:c r="G1589" s="5" t="str">
        <x:v>HQ</x:v>
      </x:c>
    </x:row>
    <x:row r="1590" ht="36" customHeight="1">
      <x:c r="A1590" s="5" t="str">
        <x:v>BM-0145</x:v>
      </x:c>
      <x:c r="B1590" s="5" t="str">
        <x:v>Betriebliches Management</x:v>
      </x:c>
      <x:c r="C1590" s="11" t="n">
        <x:v>1</x:v>
      </x:c>
      <x:c r="D1590" s="11" t="n">
        <x:f>COUNTIF('Einzel-ID-Zuordnung'!$A$7:$A$2692,A1590)</x:f>
        <x:v>1</x:v>
      </x:c>
      <x:c r="E1590" s="11" t="n">
        <x:f>D1590-C1590</x:f>
        <x:v>0</x:v>
      </x:c>
      <x:c r="F1590" s="5" t="str">
        <x:v>nicht Pilot</x:v>
      </x:c>
      <x:c r="G1590" s="5" t="str">
        <x:v>HQ</x:v>
      </x:c>
    </x:row>
    <x:row r="1591" ht="36" customHeight="1">
      <x:c r="A1591" s="5" t="str">
        <x:v>BM-0146</x:v>
      </x:c>
      <x:c r="B1591" s="5" t="str">
        <x:v>Betriebliches Management</x:v>
      </x:c>
      <x:c r="C1591" s="11" t="n">
        <x:v>1</x:v>
      </x:c>
      <x:c r="D1591" s="11" t="n">
        <x:f>COUNTIF('Einzel-ID-Zuordnung'!$A$7:$A$2692,A1591)</x:f>
        <x:v>1</x:v>
      </x:c>
      <x:c r="E1591" s="11" t="n">
        <x:f>D1591-C1591</x:f>
        <x:v>0</x:v>
      </x:c>
      <x:c r="F1591" s="5" t="str">
        <x:v>nicht Pilot</x:v>
      </x:c>
      <x:c r="G1591" s="5" t="str">
        <x:v>HQ</x:v>
      </x:c>
    </x:row>
    <x:row r="1592" ht="36" customHeight="1">
      <x:c r="A1592" s="5" t="str">
        <x:v>BM-0147</x:v>
      </x:c>
      <x:c r="B1592" s="5" t="str">
        <x:v>Betriebliches Management</x:v>
      </x:c>
      <x:c r="C1592" s="11" t="n">
        <x:v>1</x:v>
      </x:c>
      <x:c r="D1592" s="11" t="n">
        <x:f>COUNTIF('Einzel-ID-Zuordnung'!$A$7:$A$2692,A1592)</x:f>
        <x:v>1</x:v>
      </x:c>
      <x:c r="E1592" s="11" t="n">
        <x:f>D1592-C1592</x:f>
        <x:v>0</x:v>
      </x:c>
      <x:c r="F1592" s="5" t="str">
        <x:v>nicht Pilot</x:v>
      </x:c>
      <x:c r="G1592" s="5" t="str">
        <x:v>HQ</x:v>
      </x:c>
    </x:row>
    <x:row r="1593" ht="36" customHeight="1">
      <x:c r="A1593" s="5" t="str">
        <x:v>BM-0148</x:v>
      </x:c>
      <x:c r="B1593" s="5" t="str">
        <x:v>Betriebliches Management</x:v>
      </x:c>
      <x:c r="C1593" s="11" t="n">
        <x:v>1</x:v>
      </x:c>
      <x:c r="D1593" s="11" t="n">
        <x:f>COUNTIF('Einzel-ID-Zuordnung'!$A$7:$A$2692,A1593)</x:f>
        <x:v>1</x:v>
      </x:c>
      <x:c r="E1593" s="11" t="n">
        <x:f>D1593-C1593</x:f>
        <x:v>0</x:v>
      </x:c>
      <x:c r="F1593" s="5" t="str">
        <x:v>nicht Pilot</x:v>
      </x:c>
      <x:c r="G1593" s="5" t="str">
        <x:v>HQ</x:v>
      </x:c>
    </x:row>
    <x:row r="1594" ht="36" customHeight="1">
      <x:c r="A1594" s="5" t="str">
        <x:v>BM-0149</x:v>
      </x:c>
      <x:c r="B1594" s="5" t="str">
        <x:v>Betriebliches Management</x:v>
      </x:c>
      <x:c r="C1594" s="11" t="n">
        <x:v>1</x:v>
      </x:c>
      <x:c r="D1594" s="11" t="n">
        <x:f>COUNTIF('Einzel-ID-Zuordnung'!$A$7:$A$2692,A1594)</x:f>
        <x:v>1</x:v>
      </x:c>
      <x:c r="E1594" s="11" t="n">
        <x:f>D1594-C1594</x:f>
        <x:v>0</x:v>
      </x:c>
      <x:c r="F1594" s="5" t="str">
        <x:v>nicht Pilot</x:v>
      </x:c>
      <x:c r="G1594" s="5" t="str">
        <x:v>HQ</x:v>
      </x:c>
    </x:row>
    <x:row r="1595" ht="36" customHeight="1">
      <x:c r="A1595" s="5" t="str">
        <x:v>BM-0150</x:v>
      </x:c>
      <x:c r="B1595" s="5" t="str">
        <x:v>Betriebliches Management</x:v>
      </x:c>
      <x:c r="C1595" s="11" t="n">
        <x:v>1</x:v>
      </x:c>
      <x:c r="D1595" s="11" t="n">
        <x:f>COUNTIF('Einzel-ID-Zuordnung'!$A$7:$A$2692,A1595)</x:f>
        <x:v>1</x:v>
      </x:c>
      <x:c r="E1595" s="11" t="n">
        <x:f>D1595-C1595</x:f>
        <x:v>0</x:v>
      </x:c>
      <x:c r="F1595" s="5" t="str">
        <x:v>nicht Pilot</x:v>
      </x:c>
      <x:c r="G1595" s="5" t="str">
        <x:v>HQ</x:v>
      </x:c>
    </x:row>
    <x:row r="1596" ht="36" customHeight="1">
      <x:c r="A1596" s="5" t="str">
        <x:v>BM-0151</x:v>
      </x:c>
      <x:c r="B1596" s="5" t="str">
        <x:v>Betriebliches Management</x:v>
      </x:c>
      <x:c r="C1596" s="11" t="n">
        <x:v>1</x:v>
      </x:c>
      <x:c r="D1596" s="11" t="n">
        <x:f>COUNTIF('Einzel-ID-Zuordnung'!$A$7:$A$2692,A1596)</x:f>
        <x:v>1</x:v>
      </x:c>
      <x:c r="E1596" s="11" t="n">
        <x:f>D1596-C1596</x:f>
        <x:v>0</x:v>
      </x:c>
      <x:c r="F1596" s="5" t="str">
        <x:v>nicht Pilot</x:v>
      </x:c>
      <x:c r="G1596" s="5" t="str">
        <x:v>HQ</x:v>
      </x:c>
    </x:row>
    <x:row r="1597" ht="36" customHeight="1">
      <x:c r="A1597" s="5" t="str">
        <x:v>BM-0152</x:v>
      </x:c>
      <x:c r="B1597" s="5" t="str">
        <x:v>Betriebliches Management</x:v>
      </x:c>
      <x:c r="C1597" s="11" t="n">
        <x:v>1</x:v>
      </x:c>
      <x:c r="D1597" s="11" t="n">
        <x:f>COUNTIF('Einzel-ID-Zuordnung'!$A$7:$A$2692,A1597)</x:f>
        <x:v>1</x:v>
      </x:c>
      <x:c r="E1597" s="11" t="n">
        <x:f>D1597-C1597</x:f>
        <x:v>0</x:v>
      </x:c>
      <x:c r="F1597" s="5" t="str">
        <x:v>nicht Pilot</x:v>
      </x:c>
      <x:c r="G1597" s="5" t="str">
        <x:v>HQ</x:v>
      </x:c>
    </x:row>
    <x:row r="1598" ht="36" customHeight="1">
      <x:c r="A1598" s="5" t="str">
        <x:v>BM-0153</x:v>
      </x:c>
      <x:c r="B1598" s="5" t="str">
        <x:v>Betriebliches Management</x:v>
      </x:c>
      <x:c r="C1598" s="11" t="n">
        <x:v>1</x:v>
      </x:c>
      <x:c r="D1598" s="11" t="n">
        <x:f>COUNTIF('Einzel-ID-Zuordnung'!$A$7:$A$2692,A1598)</x:f>
        <x:v>1</x:v>
      </x:c>
      <x:c r="E1598" s="11" t="n">
        <x:f>D1598-C1598</x:f>
        <x:v>0</x:v>
      </x:c>
      <x:c r="F1598" s="5" t="str">
        <x:v>nicht Pilot</x:v>
      </x:c>
      <x:c r="G1598" s="5" t="str">
        <x:v>HQ</x:v>
      </x:c>
    </x:row>
    <x:row r="1599" ht="36" customHeight="1">
      <x:c r="A1599" s="5" t="str">
        <x:v>BM-0154</x:v>
      </x:c>
      <x:c r="B1599" s="5" t="str">
        <x:v>Betriebliches Management</x:v>
      </x:c>
      <x:c r="C1599" s="11" t="n">
        <x:v>1</x:v>
      </x:c>
      <x:c r="D1599" s="11" t="n">
        <x:f>COUNTIF('Einzel-ID-Zuordnung'!$A$7:$A$2692,A1599)</x:f>
        <x:v>1</x:v>
      </x:c>
      <x:c r="E1599" s="11" t="n">
        <x:f>D1599-C1599</x:f>
        <x:v>0</x:v>
      </x:c>
      <x:c r="F1599" s="5" t="str">
        <x:v>nicht Pilot</x:v>
      </x:c>
      <x:c r="G1599" s="5" t="str">
        <x:v>HQ</x:v>
      </x:c>
    </x:row>
    <x:row r="1600" ht="36" customHeight="1">
      <x:c r="A1600" s="5" t="str">
        <x:v>BM-0155</x:v>
      </x:c>
      <x:c r="B1600" s="5" t="str">
        <x:v>Betriebliches Management</x:v>
      </x:c>
      <x:c r="C1600" s="11" t="n">
        <x:v>1</x:v>
      </x:c>
      <x:c r="D1600" s="11" t="n">
        <x:f>COUNTIF('Einzel-ID-Zuordnung'!$A$7:$A$2692,A1600)</x:f>
        <x:v>1</x:v>
      </x:c>
      <x:c r="E1600" s="11" t="n">
        <x:f>D1600-C1600</x:f>
        <x:v>0</x:v>
      </x:c>
      <x:c r="F1600" s="5" t="str">
        <x:v>nicht Pilot</x:v>
      </x:c>
      <x:c r="G1600" s="5" t="str">
        <x:v>HQ</x:v>
      </x:c>
    </x:row>
    <x:row r="1601" ht="36" customHeight="1">
      <x:c r="A1601" s="5" t="str">
        <x:v>BM-0156</x:v>
      </x:c>
      <x:c r="B1601" s="5" t="str">
        <x:v>Betriebliches Management</x:v>
      </x:c>
      <x:c r="C1601" s="11" t="n">
        <x:v>1</x:v>
      </x:c>
      <x:c r="D1601" s="11" t="n">
        <x:f>COUNTIF('Einzel-ID-Zuordnung'!$A$7:$A$2692,A1601)</x:f>
        <x:v>1</x:v>
      </x:c>
      <x:c r="E1601" s="11" t="n">
        <x:f>D1601-C1601</x:f>
        <x:v>0</x:v>
      </x:c>
      <x:c r="F1601" s="5" t="str">
        <x:v>nicht Pilot</x:v>
      </x:c>
      <x:c r="G1601" s="5" t="str">
        <x:v>HQ</x:v>
      </x:c>
    </x:row>
    <x:row r="1602" ht="36" customHeight="1">
      <x:c r="A1602" s="5" t="str">
        <x:v>BM-0157</x:v>
      </x:c>
      <x:c r="B1602" s="5" t="str">
        <x:v>Betriebliches Management</x:v>
      </x:c>
      <x:c r="C1602" s="11" t="n">
        <x:v>1</x:v>
      </x:c>
      <x:c r="D1602" s="11" t="n">
        <x:f>COUNTIF('Einzel-ID-Zuordnung'!$A$7:$A$2692,A1602)</x:f>
        <x:v>1</x:v>
      </x:c>
      <x:c r="E1602" s="11" t="n">
        <x:f>D1602-C1602</x:f>
        <x:v>0</x:v>
      </x:c>
      <x:c r="F1602" s="5" t="str">
        <x:v>nicht Pilot</x:v>
      </x:c>
      <x:c r="G1602" s="5" t="str">
        <x:v>HQ</x:v>
      </x:c>
    </x:row>
    <x:row r="1603" ht="36" customHeight="1">
      <x:c r="A1603" s="5" t="str">
        <x:v>BM-0158</x:v>
      </x:c>
      <x:c r="B1603" s="5" t="str">
        <x:v>Betriebliches Management</x:v>
      </x:c>
      <x:c r="C1603" s="11" t="n">
        <x:v>1</x:v>
      </x:c>
      <x:c r="D1603" s="11" t="n">
        <x:f>COUNTIF('Einzel-ID-Zuordnung'!$A$7:$A$2692,A1603)</x:f>
        <x:v>1</x:v>
      </x:c>
      <x:c r="E1603" s="11" t="n">
        <x:f>D1603-C1603</x:f>
        <x:v>0</x:v>
      </x:c>
      <x:c r="F1603" s="5" t="str">
        <x:v>nicht Pilot</x:v>
      </x:c>
      <x:c r="G1603" s="5" t="str">
        <x:v>HQ</x:v>
      </x:c>
    </x:row>
    <x:row r="1604" ht="36" customHeight="1">
      <x:c r="A1604" s="5" t="str">
        <x:v>BM-0159</x:v>
      </x:c>
      <x:c r="B1604" s="5" t="str">
        <x:v>Betriebliches Management</x:v>
      </x:c>
      <x:c r="C1604" s="11" t="n">
        <x:v>1</x:v>
      </x:c>
      <x:c r="D1604" s="11" t="n">
        <x:f>COUNTIF('Einzel-ID-Zuordnung'!$A$7:$A$2692,A1604)</x:f>
        <x:v>1</x:v>
      </x:c>
      <x:c r="E1604" s="11" t="n">
        <x:f>D1604-C1604</x:f>
        <x:v>0</x:v>
      </x:c>
      <x:c r="F1604" s="5" t="str">
        <x:v>nicht Pilot</x:v>
      </x:c>
      <x:c r="G1604" s="5" t="str">
        <x:v>HQ</x:v>
      </x:c>
    </x:row>
    <x:row r="1605" ht="36" customHeight="1">
      <x:c r="A1605" s="5" t="str">
        <x:v>BM-0160</x:v>
      </x:c>
      <x:c r="B1605" s="5" t="str">
        <x:v>Betriebliches Management</x:v>
      </x:c>
      <x:c r="C1605" s="11" t="n">
        <x:v>1</x:v>
      </x:c>
      <x:c r="D1605" s="11" t="n">
        <x:f>COUNTIF('Einzel-ID-Zuordnung'!$A$7:$A$2692,A1605)</x:f>
        <x:v>1</x:v>
      </x:c>
      <x:c r="E1605" s="11" t="n">
        <x:f>D1605-C1605</x:f>
        <x:v>0</x:v>
      </x:c>
      <x:c r="F1605" s="5" t="str">
        <x:v>nicht Pilot</x:v>
      </x:c>
      <x:c r="G1605" s="5" t="str">
        <x:v>HQ</x:v>
      </x:c>
    </x:row>
    <x:row r="1606" ht="36" customHeight="1">
      <x:c r="A1606" s="5" t="str">
        <x:v>BM-0161</x:v>
      </x:c>
      <x:c r="B1606" s="5" t="str">
        <x:v>Betriebliches Management</x:v>
      </x:c>
      <x:c r="C1606" s="11" t="n">
        <x:v>1</x:v>
      </x:c>
      <x:c r="D1606" s="11" t="n">
        <x:f>COUNTIF('Einzel-ID-Zuordnung'!$A$7:$A$2692,A1606)</x:f>
        <x:v>1</x:v>
      </x:c>
      <x:c r="E1606" s="11" t="n">
        <x:f>D1606-C1606</x:f>
        <x:v>0</x:v>
      </x:c>
      <x:c r="F1606" s="5" t="str">
        <x:v>nicht Pilot</x:v>
      </x:c>
      <x:c r="G1606" s="5" t="str">
        <x:v>HQ</x:v>
      </x:c>
    </x:row>
    <x:row r="1607" ht="36" customHeight="1">
      <x:c r="A1607" s="5" t="str">
        <x:v>BM-0162</x:v>
      </x:c>
      <x:c r="B1607" s="5" t="str">
        <x:v>Betriebliches Management</x:v>
      </x:c>
      <x:c r="C1607" s="11" t="n">
        <x:v>1</x:v>
      </x:c>
      <x:c r="D1607" s="11" t="n">
        <x:f>COUNTIF('Einzel-ID-Zuordnung'!$A$7:$A$2692,A1607)</x:f>
        <x:v>1</x:v>
      </x:c>
      <x:c r="E1607" s="11" t="n">
        <x:f>D1607-C1607</x:f>
        <x:v>0</x:v>
      </x:c>
      <x:c r="F1607" s="5" t="str">
        <x:v>nicht Pilot</x:v>
      </x:c>
      <x:c r="G1607" s="5" t="str">
        <x:v>HQ</x:v>
      </x:c>
    </x:row>
    <x:row r="1608" ht="36" customHeight="1">
      <x:c r="A1608" s="5" t="str">
        <x:v>BM-0163</x:v>
      </x:c>
      <x:c r="B1608" s="5" t="str">
        <x:v>Betriebliches Management</x:v>
      </x:c>
      <x:c r="C1608" s="11" t="n">
        <x:v>1</x:v>
      </x:c>
      <x:c r="D1608" s="11" t="n">
        <x:f>COUNTIF('Einzel-ID-Zuordnung'!$A$7:$A$2692,A1608)</x:f>
        <x:v>1</x:v>
      </x:c>
      <x:c r="E1608" s="11" t="n">
        <x:f>D1608-C1608</x:f>
        <x:v>0</x:v>
      </x:c>
      <x:c r="F1608" s="5" t="str">
        <x:v>nicht Pilot</x:v>
      </x:c>
      <x:c r="G1608" s="5" t="str">
        <x:v>HQ</x:v>
      </x:c>
    </x:row>
    <x:row r="1609" ht="36" customHeight="1">
      <x:c r="A1609" s="5" t="str">
        <x:v>BM-0164</x:v>
      </x:c>
      <x:c r="B1609" s="5" t="str">
        <x:v>Betriebliches Management</x:v>
      </x:c>
      <x:c r="C1609" s="11" t="n">
        <x:v>1</x:v>
      </x:c>
      <x:c r="D1609" s="11" t="n">
        <x:f>COUNTIF('Einzel-ID-Zuordnung'!$A$7:$A$2692,A1609)</x:f>
        <x:v>1</x:v>
      </x:c>
      <x:c r="E1609" s="11" t="n">
        <x:f>D1609-C1609</x:f>
        <x:v>0</x:v>
      </x:c>
      <x:c r="F1609" s="5" t="str">
        <x:v>nicht Pilot</x:v>
      </x:c>
      <x:c r="G1609" s="5" t="str">
        <x:v>HQ</x:v>
      </x:c>
    </x:row>
    <x:row r="1610" ht="36" customHeight="1">
      <x:c r="A1610" s="5" t="str">
        <x:v>BM-0165</x:v>
      </x:c>
      <x:c r="B1610" s="5" t="str">
        <x:v>Betriebliches Management</x:v>
      </x:c>
      <x:c r="C1610" s="11" t="n">
        <x:v>1</x:v>
      </x:c>
      <x:c r="D1610" s="11" t="n">
        <x:f>COUNTIF('Einzel-ID-Zuordnung'!$A$7:$A$2692,A1610)</x:f>
        <x:v>1</x:v>
      </x:c>
      <x:c r="E1610" s="11" t="n">
        <x:f>D1610-C1610</x:f>
        <x:v>0</x:v>
      </x:c>
      <x:c r="F1610" s="5" t="str">
        <x:v>nicht Pilot</x:v>
      </x:c>
      <x:c r="G1610" s="5" t="str">
        <x:v>HQ</x:v>
      </x:c>
    </x:row>
    <x:row r="1611" ht="36" customHeight="1">
      <x:c r="A1611" s="5" t="str">
        <x:v>BM-0166</x:v>
      </x:c>
      <x:c r="B1611" s="5" t="str">
        <x:v>Betriebliches Management</x:v>
      </x:c>
      <x:c r="C1611" s="11" t="n">
        <x:v>1</x:v>
      </x:c>
      <x:c r="D1611" s="11" t="n">
        <x:f>COUNTIF('Einzel-ID-Zuordnung'!$A$7:$A$2692,A1611)</x:f>
        <x:v>1</x:v>
      </x:c>
      <x:c r="E1611" s="11" t="n">
        <x:f>D1611-C1611</x:f>
        <x:v>0</x:v>
      </x:c>
      <x:c r="F1611" s="5" t="str">
        <x:v>nicht Pilot</x:v>
      </x:c>
      <x:c r="G1611" s="5" t="str">
        <x:v>HQ</x:v>
      </x:c>
    </x:row>
    <x:row r="1612" ht="36" customHeight="1">
      <x:c r="A1612" s="5" t="str">
        <x:v>BM-0167</x:v>
      </x:c>
      <x:c r="B1612" s="5" t="str">
        <x:v>Betriebliches Management</x:v>
      </x:c>
      <x:c r="C1612" s="11" t="n">
        <x:v>1</x:v>
      </x:c>
      <x:c r="D1612" s="11" t="n">
        <x:f>COUNTIF('Einzel-ID-Zuordnung'!$A$7:$A$2692,A1612)</x:f>
        <x:v>1</x:v>
      </x:c>
      <x:c r="E1612" s="11" t="n">
        <x:f>D1612-C1612</x:f>
        <x:v>0</x:v>
      </x:c>
      <x:c r="F1612" s="5" t="str">
        <x:v>nicht Pilot</x:v>
      </x:c>
      <x:c r="G1612" s="5" t="str">
        <x:v>HQ</x:v>
      </x:c>
    </x:row>
    <x:row r="1613" ht="36" customHeight="1">
      <x:c r="A1613" s="5" t="str">
        <x:v>BM-0168</x:v>
      </x:c>
      <x:c r="B1613" s="5" t="str">
        <x:v>Betriebliches Management</x:v>
      </x:c>
      <x:c r="C1613" s="11" t="n">
        <x:v>1</x:v>
      </x:c>
      <x:c r="D1613" s="11" t="n">
        <x:f>COUNTIF('Einzel-ID-Zuordnung'!$A$7:$A$2692,A1613)</x:f>
        <x:v>1</x:v>
      </x:c>
      <x:c r="E1613" s="11" t="n">
        <x:f>D1613-C1613</x:f>
        <x:v>0</x:v>
      </x:c>
      <x:c r="F1613" s="5" t="str">
        <x:v>nicht Pilot</x:v>
      </x:c>
      <x:c r="G1613" s="5" t="str">
        <x:v>HQ</x:v>
      </x:c>
    </x:row>
    <x:row r="1614" ht="36" customHeight="1">
      <x:c r="A1614" s="5" t="str">
        <x:v>BM-0169</x:v>
      </x:c>
      <x:c r="B1614" s="5" t="str">
        <x:v>Betriebliches Management</x:v>
      </x:c>
      <x:c r="C1614" s="11" t="n">
        <x:v>1</x:v>
      </x:c>
      <x:c r="D1614" s="11" t="n">
        <x:f>COUNTIF('Einzel-ID-Zuordnung'!$A$7:$A$2692,A1614)</x:f>
        <x:v>1</x:v>
      </x:c>
      <x:c r="E1614" s="11" t="n">
        <x:f>D1614-C1614</x:f>
        <x:v>0</x:v>
      </x:c>
      <x:c r="F1614" s="5" t="str">
        <x:v>nicht Pilot</x:v>
      </x:c>
      <x:c r="G1614" s="5" t="str">
        <x:v>HQ</x:v>
      </x:c>
    </x:row>
    <x:row r="1615" ht="36" customHeight="1">
      <x:c r="A1615" s="5" t="str">
        <x:v>BM-0170</x:v>
      </x:c>
      <x:c r="B1615" s="5" t="str">
        <x:v>Betriebliches Management</x:v>
      </x:c>
      <x:c r="C1615" s="11" t="n">
        <x:v>1</x:v>
      </x:c>
      <x:c r="D1615" s="11" t="n">
        <x:f>COUNTIF('Einzel-ID-Zuordnung'!$A$7:$A$2692,A1615)</x:f>
        <x:v>1</x:v>
      </x:c>
      <x:c r="E1615" s="11" t="n">
        <x:f>D1615-C1615</x:f>
        <x:v>0</x:v>
      </x:c>
      <x:c r="F1615" s="5" t="str">
        <x:v>nicht Pilot</x:v>
      </x:c>
      <x:c r="G1615" s="5" t="str">
        <x:v>HQ</x:v>
      </x:c>
    </x:row>
    <x:row r="1616" ht="36" customHeight="1">
      <x:c r="A1616" s="5" t="str">
        <x:v>BM-0171</x:v>
      </x:c>
      <x:c r="B1616" s="5" t="str">
        <x:v>Betriebliches Management</x:v>
      </x:c>
      <x:c r="C1616" s="11" t="n">
        <x:v>1</x:v>
      </x:c>
      <x:c r="D1616" s="11" t="n">
        <x:f>COUNTIF('Einzel-ID-Zuordnung'!$A$7:$A$2692,A1616)</x:f>
        <x:v>1</x:v>
      </x:c>
      <x:c r="E1616" s="11" t="n">
        <x:f>D1616-C1616</x:f>
        <x:v>0</x:v>
      </x:c>
      <x:c r="F1616" s="5" t="str">
        <x:v>nicht Pilot</x:v>
      </x:c>
      <x:c r="G1616" s="5" t="str">
        <x:v>HQ</x:v>
      </x:c>
    </x:row>
    <x:row r="1617" ht="36" customHeight="1">
      <x:c r="A1617" s="5" t="str">
        <x:v>BM-0172</x:v>
      </x:c>
      <x:c r="B1617" s="5" t="str">
        <x:v>Betriebliches Management</x:v>
      </x:c>
      <x:c r="C1617" s="11" t="n">
        <x:v>1</x:v>
      </x:c>
      <x:c r="D1617" s="11" t="n">
        <x:f>COUNTIF('Einzel-ID-Zuordnung'!$A$7:$A$2692,A1617)</x:f>
        <x:v>1</x:v>
      </x:c>
      <x:c r="E1617" s="11" t="n">
        <x:f>D1617-C1617</x:f>
        <x:v>0</x:v>
      </x:c>
      <x:c r="F1617" s="5" t="str">
        <x:v>nicht Pilot</x:v>
      </x:c>
      <x:c r="G1617" s="5" t="str">
        <x:v>HQ</x:v>
      </x:c>
    </x:row>
    <x:row r="1618" ht="36" customHeight="1">
      <x:c r="A1618" s="5" t="str">
        <x:v>BM-0173</x:v>
      </x:c>
      <x:c r="B1618" s="5" t="str">
        <x:v>Betriebliches Management</x:v>
      </x:c>
      <x:c r="C1618" s="11" t="n">
        <x:v>1</x:v>
      </x:c>
      <x:c r="D1618" s="11" t="n">
        <x:f>COUNTIF('Einzel-ID-Zuordnung'!$A$7:$A$2692,A1618)</x:f>
        <x:v>1</x:v>
      </x:c>
      <x:c r="E1618" s="11" t="n">
        <x:f>D1618-C1618</x:f>
        <x:v>0</x:v>
      </x:c>
      <x:c r="F1618" s="5" t="str">
        <x:v>nicht Pilot</x:v>
      </x:c>
      <x:c r="G1618" s="5" t="str">
        <x:v>HQ</x:v>
      </x:c>
    </x:row>
    <x:row r="1619" ht="36" customHeight="1">
      <x:c r="A1619" s="5" t="str">
        <x:v>BM-0174</x:v>
      </x:c>
      <x:c r="B1619" s="5" t="str">
        <x:v>Betriebliches Management</x:v>
      </x:c>
      <x:c r="C1619" s="11" t="n">
        <x:v>1</x:v>
      </x:c>
      <x:c r="D1619" s="11" t="n">
        <x:f>COUNTIF('Einzel-ID-Zuordnung'!$A$7:$A$2692,A1619)</x:f>
        <x:v>1</x:v>
      </x:c>
      <x:c r="E1619" s="11" t="n">
        <x:f>D1619-C1619</x:f>
        <x:v>0</x:v>
      </x:c>
      <x:c r="F1619" s="5" t="str">
        <x:v>nicht Pilot</x:v>
      </x:c>
      <x:c r="G1619" s="5" t="str">
        <x:v>HQ</x:v>
      </x:c>
    </x:row>
    <x:row r="1620" ht="36" customHeight="1">
      <x:c r="A1620" s="5" t="str">
        <x:v>BM-0175</x:v>
      </x:c>
      <x:c r="B1620" s="5" t="str">
        <x:v>Betriebliches Management</x:v>
      </x:c>
      <x:c r="C1620" s="11" t="n">
        <x:v>1</x:v>
      </x:c>
      <x:c r="D1620" s="11" t="n">
        <x:f>COUNTIF('Einzel-ID-Zuordnung'!$A$7:$A$2692,A1620)</x:f>
        <x:v>1</x:v>
      </x:c>
      <x:c r="E1620" s="11" t="n">
        <x:f>D1620-C1620</x:f>
        <x:v>0</x:v>
      </x:c>
      <x:c r="F1620" s="5" t="str">
        <x:v>nicht Pilot</x:v>
      </x:c>
      <x:c r="G1620" s="5" t="str">
        <x:v>HQ</x:v>
      </x:c>
    </x:row>
    <x:row r="1621" ht="36" customHeight="1">
      <x:c r="A1621" s="5" t="str">
        <x:v>BM-0176</x:v>
      </x:c>
      <x:c r="B1621" s="5" t="str">
        <x:v>Betriebliches Management</x:v>
      </x:c>
      <x:c r="C1621" s="11" t="n">
        <x:v>1</x:v>
      </x:c>
      <x:c r="D1621" s="11" t="n">
        <x:f>COUNTIF('Einzel-ID-Zuordnung'!$A$7:$A$2692,A1621)</x:f>
        <x:v>1</x:v>
      </x:c>
      <x:c r="E1621" s="11" t="n">
        <x:f>D1621-C1621</x:f>
        <x:v>0</x:v>
      </x:c>
      <x:c r="F1621" s="5" t="str">
        <x:v>nicht Pilot</x:v>
      </x:c>
      <x:c r="G1621" s="5" t="str">
        <x:v>HQ</x:v>
      </x:c>
    </x:row>
    <x:row r="1622" ht="36" customHeight="1">
      <x:c r="A1622" s="5" t="str">
        <x:v>BM-0177</x:v>
      </x:c>
      <x:c r="B1622" s="5" t="str">
        <x:v>Betriebliches Management</x:v>
      </x:c>
      <x:c r="C1622" s="11" t="n">
        <x:v>1</x:v>
      </x:c>
      <x:c r="D1622" s="11" t="n">
        <x:f>COUNTIF('Einzel-ID-Zuordnung'!$A$7:$A$2692,A1622)</x:f>
        <x:v>1</x:v>
      </x:c>
      <x:c r="E1622" s="11" t="n">
        <x:f>D1622-C1622</x:f>
        <x:v>0</x:v>
      </x:c>
      <x:c r="F1622" s="5" t="str">
        <x:v>nicht Pilot</x:v>
      </x:c>
      <x:c r="G1622" s="5" t="str">
        <x:v>HQ</x:v>
      </x:c>
    </x:row>
    <x:row r="1623" ht="36" customHeight="1">
      <x:c r="A1623" s="5" t="str">
        <x:v>BM-0178</x:v>
      </x:c>
      <x:c r="B1623" s="5" t="str">
        <x:v>Betriebliches Management</x:v>
      </x:c>
      <x:c r="C1623" s="11" t="n">
        <x:v>1</x:v>
      </x:c>
      <x:c r="D1623" s="11" t="n">
        <x:f>COUNTIF('Einzel-ID-Zuordnung'!$A$7:$A$2692,A1623)</x:f>
        <x:v>1</x:v>
      </x:c>
      <x:c r="E1623" s="11" t="n">
        <x:f>D1623-C1623</x:f>
        <x:v>0</x:v>
      </x:c>
      <x:c r="F1623" s="5" t="str">
        <x:v>nicht Pilot</x:v>
      </x:c>
      <x:c r="G1623" s="5" t="str">
        <x:v>HQ</x:v>
      </x:c>
    </x:row>
    <x:row r="1624" ht="36" customHeight="1">
      <x:c r="A1624" s="5" t="str">
        <x:v>BM-0179</x:v>
      </x:c>
      <x:c r="B1624" s="5" t="str">
        <x:v>Betriebliches Management</x:v>
      </x:c>
      <x:c r="C1624" s="11" t="n">
        <x:v>1</x:v>
      </x:c>
      <x:c r="D1624" s="11" t="n">
        <x:f>COUNTIF('Einzel-ID-Zuordnung'!$A$7:$A$2692,A1624)</x:f>
        <x:v>1</x:v>
      </x:c>
      <x:c r="E1624" s="11" t="n">
        <x:f>D1624-C1624</x:f>
        <x:v>0</x:v>
      </x:c>
      <x:c r="F1624" s="5" t="str">
        <x:v>nicht Pilot</x:v>
      </x:c>
      <x:c r="G1624" s="5" t="str">
        <x:v>HQ</x:v>
      </x:c>
    </x:row>
    <x:row r="1625" ht="36" customHeight="1">
      <x:c r="A1625" s="5" t="str">
        <x:v>BM-0180</x:v>
      </x:c>
      <x:c r="B1625" s="5" t="str">
        <x:v>Betriebliches Management</x:v>
      </x:c>
      <x:c r="C1625" s="11" t="n">
        <x:v>1</x:v>
      </x:c>
      <x:c r="D1625" s="11" t="n">
        <x:f>COUNTIF('Einzel-ID-Zuordnung'!$A$7:$A$2692,A1625)</x:f>
        <x:v>1</x:v>
      </x:c>
      <x:c r="E1625" s="11" t="n">
        <x:f>D1625-C1625</x:f>
        <x:v>0</x:v>
      </x:c>
      <x:c r="F1625" s="5" t="str">
        <x:v>nicht Pilot</x:v>
      </x:c>
      <x:c r="G1625" s="5" t="str">
        <x:v>HQ</x:v>
      </x:c>
    </x:row>
    <x:row r="1626" ht="36" customHeight="1">
      <x:c r="A1626" s="5" t="str">
        <x:v>BM-0181</x:v>
      </x:c>
      <x:c r="B1626" s="5" t="str">
        <x:v>Betriebliches Management</x:v>
      </x:c>
      <x:c r="C1626" s="11" t="n">
        <x:v>1</x:v>
      </x:c>
      <x:c r="D1626" s="11" t="n">
        <x:f>COUNTIF('Einzel-ID-Zuordnung'!$A$7:$A$2692,A1626)</x:f>
        <x:v>1</x:v>
      </x:c>
      <x:c r="E1626" s="11" t="n">
        <x:f>D1626-C1626</x:f>
        <x:v>0</x:v>
      </x:c>
      <x:c r="F1626" s="5" t="str">
        <x:v>nicht Pilot</x:v>
      </x:c>
      <x:c r="G1626" s="5" t="str">
        <x:v>HQ</x:v>
      </x:c>
    </x:row>
    <x:row r="1627" ht="36" customHeight="1">
      <x:c r="A1627" s="5" t="str">
        <x:v>BM-0182</x:v>
      </x:c>
      <x:c r="B1627" s="5" t="str">
        <x:v>Betriebliches Management</x:v>
      </x:c>
      <x:c r="C1627" s="11" t="n">
        <x:v>1</x:v>
      </x:c>
      <x:c r="D1627" s="11" t="n">
        <x:f>COUNTIF('Einzel-ID-Zuordnung'!$A$7:$A$2692,A1627)</x:f>
        <x:v>1</x:v>
      </x:c>
      <x:c r="E1627" s="11" t="n">
        <x:f>D1627-C1627</x:f>
        <x:v>0</x:v>
      </x:c>
      <x:c r="F1627" s="5" t="str">
        <x:v>nicht Pilot</x:v>
      </x:c>
      <x:c r="G1627" s="5" t="str">
        <x:v>HQ</x:v>
      </x:c>
    </x:row>
    <x:row r="1628" ht="36" customHeight="1">
      <x:c r="A1628" s="5" t="str">
        <x:v>BM-0183</x:v>
      </x:c>
      <x:c r="B1628" s="5" t="str">
        <x:v>Betriebliches Management</x:v>
      </x:c>
      <x:c r="C1628" s="11" t="n">
        <x:v>1</x:v>
      </x:c>
      <x:c r="D1628" s="11" t="n">
        <x:f>COUNTIF('Einzel-ID-Zuordnung'!$A$7:$A$2692,A1628)</x:f>
        <x:v>1</x:v>
      </x:c>
      <x:c r="E1628" s="11" t="n">
        <x:f>D1628-C1628</x:f>
        <x:v>0</x:v>
      </x:c>
      <x:c r="F1628" s="5" t="str">
        <x:v>nicht Pilot</x:v>
      </x:c>
      <x:c r="G1628" s="5" t="str">
        <x:v>HQ</x:v>
      </x:c>
    </x:row>
    <x:row r="1629" ht="36" customHeight="1">
      <x:c r="A1629" s="5" t="str">
        <x:v>BM-0184</x:v>
      </x:c>
      <x:c r="B1629" s="5" t="str">
        <x:v>Betriebliches Management</x:v>
      </x:c>
      <x:c r="C1629" s="11" t="n">
        <x:v>1</x:v>
      </x:c>
      <x:c r="D1629" s="11" t="n">
        <x:f>COUNTIF('Einzel-ID-Zuordnung'!$A$7:$A$2692,A1629)</x:f>
        <x:v>1</x:v>
      </x:c>
      <x:c r="E1629" s="11" t="n">
        <x:f>D1629-C1629</x:f>
        <x:v>0</x:v>
      </x:c>
      <x:c r="F1629" s="5" t="str">
        <x:v>nicht Pilot</x:v>
      </x:c>
      <x:c r="G1629" s="5" t="str">
        <x:v>HQ</x:v>
      </x:c>
    </x:row>
    <x:row r="1630" ht="36" customHeight="1">
      <x:c r="A1630" s="5" t="str">
        <x:v>BM-0185</x:v>
      </x:c>
      <x:c r="B1630" s="5" t="str">
        <x:v>Betriebliches Management</x:v>
      </x:c>
      <x:c r="C1630" s="11" t="n">
        <x:v>1</x:v>
      </x:c>
      <x:c r="D1630" s="11" t="n">
        <x:f>COUNTIF('Einzel-ID-Zuordnung'!$A$7:$A$2692,A1630)</x:f>
        <x:v>1</x:v>
      </x:c>
      <x:c r="E1630" s="11" t="n">
        <x:f>D1630-C1630</x:f>
        <x:v>0</x:v>
      </x:c>
      <x:c r="F1630" s="5" t="str">
        <x:v>nicht Pilot</x:v>
      </x:c>
      <x:c r="G1630" s="5" t="str">
        <x:v>HQ</x:v>
      </x:c>
    </x:row>
    <x:row r="1631" ht="36" customHeight="1">
      <x:c r="A1631" s="5" t="str">
        <x:v>BM-0186</x:v>
      </x:c>
      <x:c r="B1631" s="5" t="str">
        <x:v>Betriebliches Management</x:v>
      </x:c>
      <x:c r="C1631" s="11" t="n">
        <x:v>1</x:v>
      </x:c>
      <x:c r="D1631" s="11" t="n">
        <x:f>COUNTIF('Einzel-ID-Zuordnung'!$A$7:$A$2692,A1631)</x:f>
        <x:v>1</x:v>
      </x:c>
      <x:c r="E1631" s="11" t="n">
        <x:f>D1631-C1631</x:f>
        <x:v>0</x:v>
      </x:c>
      <x:c r="F1631" s="5" t="str">
        <x:v>nicht Pilot</x:v>
      </x:c>
      <x:c r="G1631" s="5" t="str">
        <x:v>HQ</x:v>
      </x:c>
    </x:row>
    <x:row r="1632" ht="36" customHeight="1">
      <x:c r="A1632" s="5" t="str">
        <x:v>BM-0187</x:v>
      </x:c>
      <x:c r="B1632" s="5" t="str">
        <x:v>Betriebliches Management</x:v>
      </x:c>
      <x:c r="C1632" s="11" t="n">
        <x:v>1</x:v>
      </x:c>
      <x:c r="D1632" s="11" t="n">
        <x:f>COUNTIF('Einzel-ID-Zuordnung'!$A$7:$A$2692,A1632)</x:f>
        <x:v>1</x:v>
      </x:c>
      <x:c r="E1632" s="11" t="n">
        <x:f>D1632-C1632</x:f>
        <x:v>0</x:v>
      </x:c>
      <x:c r="F1632" s="5" t="str">
        <x:v>nicht Pilot</x:v>
      </x:c>
      <x:c r="G1632" s="5" t="str">
        <x:v>HQ</x:v>
      </x:c>
    </x:row>
    <x:row r="1633" ht="36" customHeight="1">
      <x:c r="A1633" s="5" t="str">
        <x:v>BM-0188</x:v>
      </x:c>
      <x:c r="B1633" s="5" t="str">
        <x:v>Betriebliches Management</x:v>
      </x:c>
      <x:c r="C1633" s="11" t="n">
        <x:v>1</x:v>
      </x:c>
      <x:c r="D1633" s="11" t="n">
        <x:f>COUNTIF('Einzel-ID-Zuordnung'!$A$7:$A$2692,A1633)</x:f>
        <x:v>1</x:v>
      </x:c>
      <x:c r="E1633" s="11" t="n">
        <x:f>D1633-C1633</x:f>
        <x:v>0</x:v>
      </x:c>
      <x:c r="F1633" s="5" t="str">
        <x:v>nicht Pilot</x:v>
      </x:c>
      <x:c r="G1633" s="5" t="str">
        <x:v>HQ</x:v>
      </x:c>
    </x:row>
    <x:row r="1634" ht="36" customHeight="1">
      <x:c r="A1634" s="5" t="str">
        <x:v>BM-0189</x:v>
      </x:c>
      <x:c r="B1634" s="5" t="str">
        <x:v>Betriebliches Management</x:v>
      </x:c>
      <x:c r="C1634" s="11" t="n">
        <x:v>1</x:v>
      </x:c>
      <x:c r="D1634" s="11" t="n">
        <x:f>COUNTIF('Einzel-ID-Zuordnung'!$A$7:$A$2692,A1634)</x:f>
        <x:v>1</x:v>
      </x:c>
      <x:c r="E1634" s="11" t="n">
        <x:f>D1634-C1634</x:f>
        <x:v>0</x:v>
      </x:c>
      <x:c r="F1634" s="5" t="str">
        <x:v>nicht Pilot</x:v>
      </x:c>
      <x:c r="G1634" s="5" t="str">
        <x:v>HQ</x:v>
      </x:c>
    </x:row>
    <x:row r="1635" ht="36" customHeight="1">
      <x:c r="A1635" s="5" t="str">
        <x:v>BM-0190</x:v>
      </x:c>
      <x:c r="B1635" s="5" t="str">
        <x:v>Betriebliches Management</x:v>
      </x:c>
      <x:c r="C1635" s="11" t="n">
        <x:v>1</x:v>
      </x:c>
      <x:c r="D1635" s="11" t="n">
        <x:f>COUNTIF('Einzel-ID-Zuordnung'!$A$7:$A$2692,A1635)</x:f>
        <x:v>1</x:v>
      </x:c>
      <x:c r="E1635" s="11" t="n">
        <x:f>D1635-C1635</x:f>
        <x:v>0</x:v>
      </x:c>
      <x:c r="F1635" s="5" t="str">
        <x:v>nicht Pilot</x:v>
      </x:c>
      <x:c r="G1635" s="5" t="str">
        <x:v>HQ</x:v>
      </x:c>
    </x:row>
    <x:row r="1636" ht="36" customHeight="1">
      <x:c r="A1636" s="5" t="str">
        <x:v>BM-0191</x:v>
      </x:c>
      <x:c r="B1636" s="5" t="str">
        <x:v>Betriebliches Management</x:v>
      </x:c>
      <x:c r="C1636" s="11" t="n">
        <x:v>1</x:v>
      </x:c>
      <x:c r="D1636" s="11" t="n">
        <x:f>COUNTIF('Einzel-ID-Zuordnung'!$A$7:$A$2692,A1636)</x:f>
        <x:v>1</x:v>
      </x:c>
      <x:c r="E1636" s="11" t="n">
        <x:f>D1636-C1636</x:f>
        <x:v>0</x:v>
      </x:c>
      <x:c r="F1636" s="5" t="str">
        <x:v>nicht Pilot</x:v>
      </x:c>
      <x:c r="G1636" s="5" t="str">
        <x:v>HQ</x:v>
      </x:c>
    </x:row>
    <x:row r="1637" ht="36" customHeight="1">
      <x:c r="A1637" s="5" t="str">
        <x:v>BM-0192</x:v>
      </x:c>
      <x:c r="B1637" s="5" t="str">
        <x:v>Betriebliches Management</x:v>
      </x:c>
      <x:c r="C1637" s="11" t="n">
        <x:v>1</x:v>
      </x:c>
      <x:c r="D1637" s="11" t="n">
        <x:f>COUNTIF('Einzel-ID-Zuordnung'!$A$7:$A$2692,A1637)</x:f>
        <x:v>1</x:v>
      </x:c>
      <x:c r="E1637" s="11" t="n">
        <x:f>D1637-C1637</x:f>
        <x:v>0</x:v>
      </x:c>
      <x:c r="F1637" s="5" t="str">
        <x:v>nicht Pilot</x:v>
      </x:c>
      <x:c r="G1637" s="5" t="str">
        <x:v>HQ</x:v>
      </x:c>
    </x:row>
    <x:row r="1638" ht="36" customHeight="1">
      <x:c r="A1638" s="5" t="str">
        <x:v>BM-0193</x:v>
      </x:c>
      <x:c r="B1638" s="5" t="str">
        <x:v>Betriebliches Management</x:v>
      </x:c>
      <x:c r="C1638" s="11" t="n">
        <x:v>1</x:v>
      </x:c>
      <x:c r="D1638" s="11" t="n">
        <x:f>COUNTIF('Einzel-ID-Zuordnung'!$A$7:$A$2692,A1638)</x:f>
        <x:v>1</x:v>
      </x:c>
      <x:c r="E1638" s="11" t="n">
        <x:f>D1638-C1638</x:f>
        <x:v>0</x:v>
      </x:c>
      <x:c r="F1638" s="5" t="str">
        <x:v>nicht Pilot</x:v>
      </x:c>
      <x:c r="G1638" s="5" t="str">
        <x:v>HQ</x:v>
      </x:c>
    </x:row>
    <x:row r="1639" ht="36" customHeight="1">
      <x:c r="A1639" s="5" t="str">
        <x:v>BM-0194</x:v>
      </x:c>
      <x:c r="B1639" s="5" t="str">
        <x:v>Betriebliches Management</x:v>
      </x:c>
      <x:c r="C1639" s="11" t="n">
        <x:v>1</x:v>
      </x:c>
      <x:c r="D1639" s="11" t="n">
        <x:f>COUNTIF('Einzel-ID-Zuordnung'!$A$7:$A$2692,A1639)</x:f>
        <x:v>1</x:v>
      </x:c>
      <x:c r="E1639" s="11" t="n">
        <x:f>D1639-C1639</x:f>
        <x:v>0</x:v>
      </x:c>
      <x:c r="F1639" s="5" t="str">
        <x:v>nicht Pilot</x:v>
      </x:c>
      <x:c r="G1639" s="5" t="str">
        <x:v>HQ</x:v>
      </x:c>
    </x:row>
    <x:row r="1640" ht="36" customHeight="1">
      <x:c r="A1640" s="5" t="str">
        <x:v>BM-0195</x:v>
      </x:c>
      <x:c r="B1640" s="5" t="str">
        <x:v>Betriebliches Management</x:v>
      </x:c>
      <x:c r="C1640" s="11" t="n">
        <x:v>1</x:v>
      </x:c>
      <x:c r="D1640" s="11" t="n">
        <x:f>COUNTIF('Einzel-ID-Zuordnung'!$A$7:$A$2692,A1640)</x:f>
        <x:v>1</x:v>
      </x:c>
      <x:c r="E1640" s="11" t="n">
        <x:f>D1640-C1640</x:f>
        <x:v>0</x:v>
      </x:c>
      <x:c r="F1640" s="5" t="str">
        <x:v>nicht Pilot</x:v>
      </x:c>
      <x:c r="G1640" s="5" t="str">
        <x:v>HQ</x:v>
      </x:c>
    </x:row>
    <x:row r="1641" ht="36" customHeight="1">
      <x:c r="A1641" s="5" t="str">
        <x:v>BM-0196</x:v>
      </x:c>
      <x:c r="B1641" s="5" t="str">
        <x:v>Betriebliches Management</x:v>
      </x:c>
      <x:c r="C1641" s="11" t="n">
        <x:v>1</x:v>
      </x:c>
      <x:c r="D1641" s="11" t="n">
        <x:f>COUNTIF('Einzel-ID-Zuordnung'!$A$7:$A$2692,A1641)</x:f>
        <x:v>1</x:v>
      </x:c>
      <x:c r="E1641" s="11" t="n">
        <x:f>D1641-C1641</x:f>
        <x:v>0</x:v>
      </x:c>
      <x:c r="F1641" s="5" t="str">
        <x:v>nicht Pilot</x:v>
      </x:c>
      <x:c r="G1641" s="5" t="str">
        <x:v>HQ</x:v>
      </x:c>
    </x:row>
    <x:row r="1642" ht="36" customHeight="1">
      <x:c r="A1642" s="5" t="str">
        <x:v>BM-0197</x:v>
      </x:c>
      <x:c r="B1642" s="5" t="str">
        <x:v>Betriebliches Management</x:v>
      </x:c>
      <x:c r="C1642" s="11" t="n">
        <x:v>1</x:v>
      </x:c>
      <x:c r="D1642" s="11" t="n">
        <x:f>COUNTIF('Einzel-ID-Zuordnung'!$A$7:$A$2692,A1642)</x:f>
        <x:v>1</x:v>
      </x:c>
      <x:c r="E1642" s="11" t="n">
        <x:f>D1642-C1642</x:f>
        <x:v>0</x:v>
      </x:c>
      <x:c r="F1642" s="5" t="str">
        <x:v>nicht Pilot</x:v>
      </x:c>
      <x:c r="G1642" s="5" t="str">
        <x:v>HQ</x:v>
      </x:c>
    </x:row>
    <x:row r="1643" ht="36" customHeight="1">
      <x:c r="A1643" s="5" t="str">
        <x:v>BM-0198</x:v>
      </x:c>
      <x:c r="B1643" s="5" t="str">
        <x:v>Betriebliches Management</x:v>
      </x:c>
      <x:c r="C1643" s="11" t="n">
        <x:v>1</x:v>
      </x:c>
      <x:c r="D1643" s="11" t="n">
        <x:f>COUNTIF('Einzel-ID-Zuordnung'!$A$7:$A$2692,A1643)</x:f>
        <x:v>1</x:v>
      </x:c>
      <x:c r="E1643" s="11" t="n">
        <x:f>D1643-C1643</x:f>
        <x:v>0</x:v>
      </x:c>
      <x:c r="F1643" s="5" t="str">
        <x:v>nicht Pilot</x:v>
      </x:c>
      <x:c r="G1643" s="5" t="str">
        <x:v>HQ</x:v>
      </x:c>
    </x:row>
    <x:row r="1644" ht="36" customHeight="1">
      <x:c r="A1644" s="5" t="str">
        <x:v>BM-0199</x:v>
      </x:c>
      <x:c r="B1644" s="5" t="str">
        <x:v>Betriebliches Management</x:v>
      </x:c>
      <x:c r="C1644" s="11" t="n">
        <x:v>1</x:v>
      </x:c>
      <x:c r="D1644" s="11" t="n">
        <x:f>COUNTIF('Einzel-ID-Zuordnung'!$A$7:$A$2692,A1644)</x:f>
        <x:v>1</x:v>
      </x:c>
      <x:c r="E1644" s="11" t="n">
        <x:f>D1644-C1644</x:f>
        <x:v>0</x:v>
      </x:c>
      <x:c r="F1644" s="5" t="str">
        <x:v>nicht Pilot</x:v>
      </x:c>
      <x:c r="G1644" s="5" t="str">
        <x:v>HQ</x:v>
      </x:c>
    </x:row>
    <x:row r="1645" ht="36" customHeight="1">
      <x:c r="A1645" s="5" t="str">
        <x:v>BM-0200</x:v>
      </x:c>
      <x:c r="B1645" s="5" t="str">
        <x:v>Betriebliches Management</x:v>
      </x:c>
      <x:c r="C1645" s="11" t="n">
        <x:v>1</x:v>
      </x:c>
      <x:c r="D1645" s="11" t="n">
        <x:f>COUNTIF('Einzel-ID-Zuordnung'!$A$7:$A$2692,A1645)</x:f>
        <x:v>1</x:v>
      </x:c>
      <x:c r="E1645" s="11" t="n">
        <x:f>D1645-C1645</x:f>
        <x:v>0</x:v>
      </x:c>
      <x:c r="F1645" s="5" t="str">
        <x:v>nicht Pilot</x:v>
      </x:c>
      <x:c r="G1645" s="5" t="str">
        <x:v>HQ</x:v>
      </x:c>
    </x:row>
    <x:row r="1646" ht="36" customHeight="1">
      <x:c r="A1646" s="5" t="str">
        <x:v>BM-0201</x:v>
      </x:c>
      <x:c r="B1646" s="5" t="str">
        <x:v>Betriebliches Management</x:v>
      </x:c>
      <x:c r="C1646" s="11" t="n">
        <x:v>1</x:v>
      </x:c>
      <x:c r="D1646" s="11" t="n">
        <x:f>COUNTIF('Einzel-ID-Zuordnung'!$A$7:$A$2692,A1646)</x:f>
        <x:v>1</x:v>
      </x:c>
      <x:c r="E1646" s="11" t="n">
        <x:f>D1646-C1646</x:f>
        <x:v>0</x:v>
      </x:c>
      <x:c r="F1646" s="5" t="str">
        <x:v>nicht Pilot</x:v>
      </x:c>
      <x:c r="G1646" s="5" t="str">
        <x:v>HQ</x:v>
      </x:c>
    </x:row>
    <x:row r="1647" ht="36" customHeight="1">
      <x:c r="A1647" s="5" t="str">
        <x:v>BM-0202</x:v>
      </x:c>
      <x:c r="B1647" s="5" t="str">
        <x:v>Betriebliches Management</x:v>
      </x:c>
      <x:c r="C1647" s="11" t="n">
        <x:v>1</x:v>
      </x:c>
      <x:c r="D1647" s="11" t="n">
        <x:f>COUNTIF('Einzel-ID-Zuordnung'!$A$7:$A$2692,A1647)</x:f>
        <x:v>1</x:v>
      </x:c>
      <x:c r="E1647" s="11" t="n">
        <x:f>D1647-C1647</x:f>
        <x:v>0</x:v>
      </x:c>
      <x:c r="F1647" s="5" t="str">
        <x:v>nicht Pilot</x:v>
      </x:c>
      <x:c r="G1647" s="5" t="str">
        <x:v>HQ</x:v>
      </x:c>
    </x:row>
    <x:row r="1648" ht="36" customHeight="1">
      <x:c r="A1648" s="5" t="str">
        <x:v>BM-0203</x:v>
      </x:c>
      <x:c r="B1648" s="5" t="str">
        <x:v>Betriebliches Management</x:v>
      </x:c>
      <x:c r="C1648" s="11" t="n">
        <x:v>1</x:v>
      </x:c>
      <x:c r="D1648" s="11" t="n">
        <x:f>COUNTIF('Einzel-ID-Zuordnung'!$A$7:$A$2692,A1648)</x:f>
        <x:v>1</x:v>
      </x:c>
      <x:c r="E1648" s="11" t="n">
        <x:f>D1648-C1648</x:f>
        <x:v>0</x:v>
      </x:c>
      <x:c r="F1648" s="5" t="str">
        <x:v>nicht Pilot</x:v>
      </x:c>
      <x:c r="G1648" s="5" t="str">
        <x:v>HQ</x:v>
      </x:c>
    </x:row>
    <x:row r="1649" ht="36" customHeight="1">
      <x:c r="A1649" s="5" t="str">
        <x:v>BM-0204</x:v>
      </x:c>
      <x:c r="B1649" s="5" t="str">
        <x:v>Betriebliches Management</x:v>
      </x:c>
      <x:c r="C1649" s="11" t="n">
        <x:v>1</x:v>
      </x:c>
      <x:c r="D1649" s="11" t="n">
        <x:f>COUNTIF('Einzel-ID-Zuordnung'!$A$7:$A$2692,A1649)</x:f>
        <x:v>1</x:v>
      </x:c>
      <x:c r="E1649" s="11" t="n">
        <x:f>D1649-C1649</x:f>
        <x:v>0</x:v>
      </x:c>
      <x:c r="F1649" s="5" t="str">
        <x:v>nicht Pilot</x:v>
      </x:c>
      <x:c r="G1649" s="5" t="str">
        <x:v>HQ</x:v>
      </x:c>
    </x:row>
    <x:row r="1650" ht="36" customHeight="1">
      <x:c r="A1650" s="5" t="str">
        <x:v>BM-0205</x:v>
      </x:c>
      <x:c r="B1650" s="5" t="str">
        <x:v>Betriebliches Management</x:v>
      </x:c>
      <x:c r="C1650" s="11" t="n">
        <x:v>1</x:v>
      </x:c>
      <x:c r="D1650" s="11" t="n">
        <x:f>COUNTIF('Einzel-ID-Zuordnung'!$A$7:$A$2692,A1650)</x:f>
        <x:v>1</x:v>
      </x:c>
      <x:c r="E1650" s="11" t="n">
        <x:f>D1650-C1650</x:f>
        <x:v>0</x:v>
      </x:c>
      <x:c r="F1650" s="5" t="str">
        <x:v>nicht Pilot</x:v>
      </x:c>
      <x:c r="G1650" s="5" t="str">
        <x:v>HQ</x:v>
      </x:c>
    </x:row>
    <x:row r="1651" ht="36" customHeight="1">
      <x:c r="A1651" s="5" t="str">
        <x:v>BM-0206</x:v>
      </x:c>
      <x:c r="B1651" s="5" t="str">
        <x:v>Betriebliches Management</x:v>
      </x:c>
      <x:c r="C1651" s="11" t="n">
        <x:v>1</x:v>
      </x:c>
      <x:c r="D1651" s="11" t="n">
        <x:f>COUNTIF('Einzel-ID-Zuordnung'!$A$7:$A$2692,A1651)</x:f>
        <x:v>1</x:v>
      </x:c>
      <x:c r="E1651" s="11" t="n">
        <x:f>D1651-C1651</x:f>
        <x:v>0</x:v>
      </x:c>
      <x:c r="F1651" s="5" t="str">
        <x:v>nicht Pilot</x:v>
      </x:c>
      <x:c r="G1651" s="5" t="str">
        <x:v>HQ</x:v>
      </x:c>
    </x:row>
    <x:row r="1652" ht="36" customHeight="1">
      <x:c r="A1652" s="5" t="str">
        <x:v>BM-0207</x:v>
      </x:c>
      <x:c r="B1652" s="5" t="str">
        <x:v>Betriebliches Management</x:v>
      </x:c>
      <x:c r="C1652" s="11" t="n">
        <x:v>1</x:v>
      </x:c>
      <x:c r="D1652" s="11" t="n">
        <x:f>COUNTIF('Einzel-ID-Zuordnung'!$A$7:$A$2692,A1652)</x:f>
        <x:v>1</x:v>
      </x:c>
      <x:c r="E1652" s="11" t="n">
        <x:f>D1652-C1652</x:f>
        <x:v>0</x:v>
      </x:c>
      <x:c r="F1652" s="5" t="str">
        <x:v>nicht Pilot</x:v>
      </x:c>
      <x:c r="G1652" s="5" t="str">
        <x:v>HQ</x:v>
      </x:c>
    </x:row>
    <x:row r="1653" ht="36" customHeight="1">
      <x:c r="A1653" s="5" t="str">
        <x:v>BM-0208</x:v>
      </x:c>
      <x:c r="B1653" s="5" t="str">
        <x:v>Betriebliches Management</x:v>
      </x:c>
      <x:c r="C1653" s="11" t="n">
        <x:v>1</x:v>
      </x:c>
      <x:c r="D1653" s="11" t="n">
        <x:f>COUNTIF('Einzel-ID-Zuordnung'!$A$7:$A$2692,A1653)</x:f>
        <x:v>1</x:v>
      </x:c>
      <x:c r="E1653" s="11" t="n">
        <x:f>D1653-C1653</x:f>
        <x:v>0</x:v>
      </x:c>
      <x:c r="F1653" s="5" t="str">
        <x:v>nicht Pilot</x:v>
      </x:c>
      <x:c r="G1653" s="5" t="str">
        <x:v>HQ</x:v>
      </x:c>
    </x:row>
    <x:row r="1654" ht="36" customHeight="1">
      <x:c r="A1654" s="5" t="str">
        <x:v>BM-0209</x:v>
      </x:c>
      <x:c r="B1654" s="5" t="str">
        <x:v>Betriebliches Management</x:v>
      </x:c>
      <x:c r="C1654" s="11" t="n">
        <x:v>1</x:v>
      </x:c>
      <x:c r="D1654" s="11" t="n">
        <x:f>COUNTIF('Einzel-ID-Zuordnung'!$A$7:$A$2692,A1654)</x:f>
        <x:v>1</x:v>
      </x:c>
      <x:c r="E1654" s="11" t="n">
        <x:f>D1654-C1654</x:f>
        <x:v>0</x:v>
      </x:c>
      <x:c r="F1654" s="5" t="str">
        <x:v>nicht Pilot</x:v>
      </x:c>
      <x:c r="G1654" s="5" t="str">
        <x:v>HQ</x:v>
      </x:c>
    </x:row>
    <x:row r="1655" ht="36" customHeight="1">
      <x:c r="A1655" s="5" t="str">
        <x:v>BM-0210</x:v>
      </x:c>
      <x:c r="B1655" s="5" t="str">
        <x:v>Betriebliches Management</x:v>
      </x:c>
      <x:c r="C1655" s="11" t="n">
        <x:v>1</x:v>
      </x:c>
      <x:c r="D1655" s="11" t="n">
        <x:f>COUNTIF('Einzel-ID-Zuordnung'!$A$7:$A$2692,A1655)</x:f>
        <x:v>1</x:v>
      </x:c>
      <x:c r="E1655" s="11" t="n">
        <x:f>D1655-C1655</x:f>
        <x:v>0</x:v>
      </x:c>
      <x:c r="F1655" s="5" t="str">
        <x:v>nicht Pilot</x:v>
      </x:c>
      <x:c r="G1655" s="5" t="str">
        <x:v>HQ</x:v>
      </x:c>
    </x:row>
    <x:row r="1656" ht="36" customHeight="1">
      <x:c r="A1656" s="5" t="str">
        <x:v>BM-0211</x:v>
      </x:c>
      <x:c r="B1656" s="5" t="str">
        <x:v>Betriebliches Management</x:v>
      </x:c>
      <x:c r="C1656" s="11" t="n">
        <x:v>1</x:v>
      </x:c>
      <x:c r="D1656" s="11" t="n">
        <x:f>COUNTIF('Einzel-ID-Zuordnung'!$A$7:$A$2692,A1656)</x:f>
        <x:v>1</x:v>
      </x:c>
      <x:c r="E1656" s="11" t="n">
        <x:f>D1656-C1656</x:f>
        <x:v>0</x:v>
      </x:c>
      <x:c r="F1656" s="5" t="str">
        <x:v>nicht Pilot</x:v>
      </x:c>
      <x:c r="G1656" s="5" t="str">
        <x:v>HQ</x:v>
      </x:c>
    </x:row>
    <x:row r="1657" ht="36" customHeight="1">
      <x:c r="A1657" s="5" t="str">
        <x:v>BM-0212</x:v>
      </x:c>
      <x:c r="B1657" s="5" t="str">
        <x:v>Betriebliches Management</x:v>
      </x:c>
      <x:c r="C1657" s="11" t="n">
        <x:v>1</x:v>
      </x:c>
      <x:c r="D1657" s="11" t="n">
        <x:f>COUNTIF('Einzel-ID-Zuordnung'!$A$7:$A$2692,A1657)</x:f>
        <x:v>1</x:v>
      </x:c>
      <x:c r="E1657" s="11" t="n">
        <x:f>D1657-C1657</x:f>
        <x:v>0</x:v>
      </x:c>
      <x:c r="F1657" s="5" t="str">
        <x:v>nicht Pilot</x:v>
      </x:c>
      <x:c r="G1657" s="5" t="str">
        <x:v>HQ</x:v>
      </x:c>
    </x:row>
    <x:row r="1658" ht="36" customHeight="1">
      <x:c r="A1658" s="5" t="str">
        <x:v>BM-0213</x:v>
      </x:c>
      <x:c r="B1658" s="5" t="str">
        <x:v>Betriebliches Management</x:v>
      </x:c>
      <x:c r="C1658" s="11" t="n">
        <x:v>1</x:v>
      </x:c>
      <x:c r="D1658" s="11" t="n">
        <x:f>COUNTIF('Einzel-ID-Zuordnung'!$A$7:$A$2692,A1658)</x:f>
        <x:v>1</x:v>
      </x:c>
      <x:c r="E1658" s="11" t="n">
        <x:f>D1658-C1658</x:f>
        <x:v>0</x:v>
      </x:c>
      <x:c r="F1658" s="5" t="str">
        <x:v>nicht Pilot</x:v>
      </x:c>
      <x:c r="G1658" s="5" t="str">
        <x:v>HQ</x:v>
      </x:c>
    </x:row>
    <x:row r="1659" ht="36" customHeight="1">
      <x:c r="A1659" s="5" t="str">
        <x:v>BM-0214</x:v>
      </x:c>
      <x:c r="B1659" s="5" t="str">
        <x:v>Betriebliches Management</x:v>
      </x:c>
      <x:c r="C1659" s="11" t="n">
        <x:v>1</x:v>
      </x:c>
      <x:c r="D1659" s="11" t="n">
        <x:f>COUNTIF('Einzel-ID-Zuordnung'!$A$7:$A$2692,A1659)</x:f>
        <x:v>1</x:v>
      </x:c>
      <x:c r="E1659" s="11" t="n">
        <x:f>D1659-C1659</x:f>
        <x:v>0</x:v>
      </x:c>
      <x:c r="F1659" s="5" t="str">
        <x:v>nicht Pilot</x:v>
      </x:c>
      <x:c r="G1659" s="5" t="str">
        <x:v>HQ</x:v>
      </x:c>
    </x:row>
    <x:row r="1660" ht="36" customHeight="1">
      <x:c r="A1660" s="5" t="str">
        <x:v>BM-0215</x:v>
      </x:c>
      <x:c r="B1660" s="5" t="str">
        <x:v>Betriebliches Management</x:v>
      </x:c>
      <x:c r="C1660" s="11" t="n">
        <x:v>1</x:v>
      </x:c>
      <x:c r="D1660" s="11" t="n">
        <x:f>COUNTIF('Einzel-ID-Zuordnung'!$A$7:$A$2692,A1660)</x:f>
        <x:v>1</x:v>
      </x:c>
      <x:c r="E1660" s="11" t="n">
        <x:f>D1660-C1660</x:f>
        <x:v>0</x:v>
      </x:c>
      <x:c r="F1660" s="5" t="str">
        <x:v>nicht Pilot</x:v>
      </x:c>
      <x:c r="G1660" s="5" t="str">
        <x:v>HQ</x:v>
      </x:c>
    </x:row>
    <x:row r="1661" ht="36" customHeight="1">
      <x:c r="A1661" s="5" t="str">
        <x:v>BM-0216</x:v>
      </x:c>
      <x:c r="B1661" s="5" t="str">
        <x:v>Betriebliches Management</x:v>
      </x:c>
      <x:c r="C1661" s="11" t="n">
        <x:v>1</x:v>
      </x:c>
      <x:c r="D1661" s="11" t="n">
        <x:f>COUNTIF('Einzel-ID-Zuordnung'!$A$7:$A$2692,A1661)</x:f>
        <x:v>1</x:v>
      </x:c>
      <x:c r="E1661" s="11" t="n">
        <x:f>D1661-C1661</x:f>
        <x:v>0</x:v>
      </x:c>
      <x:c r="F1661" s="5" t="str">
        <x:v>nicht Pilot</x:v>
      </x:c>
      <x:c r="G1661" s="5" t="str">
        <x:v>HQ</x:v>
      </x:c>
    </x:row>
    <x:row r="1662" ht="36" customHeight="1">
      <x:c r="A1662" s="5" t="str">
        <x:v>BM-0217</x:v>
      </x:c>
      <x:c r="B1662" s="5" t="str">
        <x:v>Betriebliches Management</x:v>
      </x:c>
      <x:c r="C1662" s="11" t="n">
        <x:v>1</x:v>
      </x:c>
      <x:c r="D1662" s="11" t="n">
        <x:f>COUNTIF('Einzel-ID-Zuordnung'!$A$7:$A$2692,A1662)</x:f>
        <x:v>1</x:v>
      </x:c>
      <x:c r="E1662" s="11" t="n">
        <x:f>D1662-C1662</x:f>
        <x:v>0</x:v>
      </x:c>
      <x:c r="F1662" s="5" t="str">
        <x:v>nicht Pilot</x:v>
      </x:c>
      <x:c r="G1662" s="5" t="str">
        <x:v>HQ</x:v>
      </x:c>
    </x:row>
    <x:row r="1663" ht="36" customHeight="1">
      <x:c r="A1663" s="5" t="str">
        <x:v>BM-0218</x:v>
      </x:c>
      <x:c r="B1663" s="5" t="str">
        <x:v>Betriebliches Management</x:v>
      </x:c>
      <x:c r="C1663" s="11" t="n">
        <x:v>1</x:v>
      </x:c>
      <x:c r="D1663" s="11" t="n">
        <x:f>COUNTIF('Einzel-ID-Zuordnung'!$A$7:$A$2692,A1663)</x:f>
        <x:v>1</x:v>
      </x:c>
      <x:c r="E1663" s="11" t="n">
        <x:f>D1663-C1663</x:f>
        <x:v>0</x:v>
      </x:c>
      <x:c r="F1663" s="5" t="str">
        <x:v>nicht Pilot</x:v>
      </x:c>
      <x:c r="G1663" s="5" t="str">
        <x:v>HQ</x:v>
      </x:c>
    </x:row>
    <x:row r="1664" ht="36" customHeight="1">
      <x:c r="A1664" s="5" t="str">
        <x:v>BM-0219</x:v>
      </x:c>
      <x:c r="B1664" s="5" t="str">
        <x:v>Betriebliches Management</x:v>
      </x:c>
      <x:c r="C1664" s="11" t="n">
        <x:v>1</x:v>
      </x:c>
      <x:c r="D1664" s="11" t="n">
        <x:f>COUNTIF('Einzel-ID-Zuordnung'!$A$7:$A$2692,A1664)</x:f>
        <x:v>1</x:v>
      </x:c>
      <x:c r="E1664" s="11" t="n">
        <x:f>D1664-C1664</x:f>
        <x:v>0</x:v>
      </x:c>
      <x:c r="F1664" s="5" t="str">
        <x:v>nicht Pilot</x:v>
      </x:c>
      <x:c r="G1664" s="5" t="str">
        <x:v>HQ</x:v>
      </x:c>
    </x:row>
    <x:row r="1665" ht="36" customHeight="1">
      <x:c r="A1665" s="5" t="str">
        <x:v>BM-0220</x:v>
      </x:c>
      <x:c r="B1665" s="5" t="str">
        <x:v>Betriebliches Management</x:v>
      </x:c>
      <x:c r="C1665" s="11" t="n">
        <x:v>1</x:v>
      </x:c>
      <x:c r="D1665" s="11" t="n">
        <x:f>COUNTIF('Einzel-ID-Zuordnung'!$A$7:$A$2692,A1665)</x:f>
        <x:v>1</x:v>
      </x:c>
      <x:c r="E1665" s="11" t="n">
        <x:f>D1665-C1665</x:f>
        <x:v>0</x:v>
      </x:c>
      <x:c r="F1665" s="5" t="str">
        <x:v>nicht Pilot</x:v>
      </x:c>
      <x:c r="G1665" s="5" t="str">
        <x:v>HQ</x:v>
      </x:c>
    </x:row>
    <x:row r="1666" ht="36" customHeight="1">
      <x:c r="A1666" s="5" t="str">
        <x:v>BM-0221</x:v>
      </x:c>
      <x:c r="B1666" s="5" t="str">
        <x:v>Betriebliches Management</x:v>
      </x:c>
      <x:c r="C1666" s="11" t="n">
        <x:v>1</x:v>
      </x:c>
      <x:c r="D1666" s="11" t="n">
        <x:f>COUNTIF('Einzel-ID-Zuordnung'!$A$7:$A$2692,A1666)</x:f>
        <x:v>1</x:v>
      </x:c>
      <x:c r="E1666" s="11" t="n">
        <x:f>D1666-C1666</x:f>
        <x:v>0</x:v>
      </x:c>
      <x:c r="F1666" s="5" t="str">
        <x:v>nicht Pilot</x:v>
      </x:c>
      <x:c r="G1666" s="5" t="str">
        <x:v>HQ</x:v>
      </x:c>
    </x:row>
    <x:row r="1667" ht="36" customHeight="1">
      <x:c r="A1667" s="5" t="str">
        <x:v>BM-0222</x:v>
      </x:c>
      <x:c r="B1667" s="5" t="str">
        <x:v>Betriebliches Management</x:v>
      </x:c>
      <x:c r="C1667" s="11" t="n">
        <x:v>1</x:v>
      </x:c>
      <x:c r="D1667" s="11" t="n">
        <x:f>COUNTIF('Einzel-ID-Zuordnung'!$A$7:$A$2692,A1667)</x:f>
        <x:v>1</x:v>
      </x:c>
      <x:c r="E1667" s="11" t="n">
        <x:f>D1667-C1667</x:f>
        <x:v>0</x:v>
      </x:c>
      <x:c r="F1667" s="5" t="str">
        <x:v>nicht Pilot</x:v>
      </x:c>
      <x:c r="G1667" s="5" t="str">
        <x:v>HQ</x:v>
      </x:c>
    </x:row>
    <x:row r="1668" ht="36" customHeight="1">
      <x:c r="A1668" s="5" t="str">
        <x:v>BM-0223</x:v>
      </x:c>
      <x:c r="B1668" s="5" t="str">
        <x:v>Betriebliches Management</x:v>
      </x:c>
      <x:c r="C1668" s="11" t="n">
        <x:v>1</x:v>
      </x:c>
      <x:c r="D1668" s="11" t="n">
        <x:f>COUNTIF('Einzel-ID-Zuordnung'!$A$7:$A$2692,A1668)</x:f>
        <x:v>1</x:v>
      </x:c>
      <x:c r="E1668" s="11" t="n">
        <x:f>D1668-C1668</x:f>
        <x:v>0</x:v>
      </x:c>
      <x:c r="F1668" s="5" t="str">
        <x:v>nicht Pilot</x:v>
      </x:c>
      <x:c r="G1668" s="5" t="str">
        <x:v>HQ</x:v>
      </x:c>
    </x:row>
    <x:row r="1669" ht="36" customHeight="1">
      <x:c r="A1669" s="5" t="str">
        <x:v>BM-0224</x:v>
      </x:c>
      <x:c r="B1669" s="5" t="str">
        <x:v>Betriebliches Management</x:v>
      </x:c>
      <x:c r="C1669" s="11" t="n">
        <x:v>1</x:v>
      </x:c>
      <x:c r="D1669" s="11" t="n">
        <x:f>COUNTIF('Einzel-ID-Zuordnung'!$A$7:$A$2692,A1669)</x:f>
        <x:v>1</x:v>
      </x:c>
      <x:c r="E1669" s="11" t="n">
        <x:f>D1669-C1669</x:f>
        <x:v>0</x:v>
      </x:c>
      <x:c r="F1669" s="5" t="str">
        <x:v>nicht Pilot</x:v>
      </x:c>
      <x:c r="G1669" s="5" t="str">
        <x:v>HQ</x:v>
      </x:c>
    </x:row>
    <x:row r="1670" ht="36" customHeight="1">
      <x:c r="A1670" s="5" t="str">
        <x:v>BM-0225</x:v>
      </x:c>
      <x:c r="B1670" s="5" t="str">
        <x:v>Betriebliches Management</x:v>
      </x:c>
      <x:c r="C1670" s="11" t="n">
        <x:v>1</x:v>
      </x:c>
      <x:c r="D1670" s="11" t="n">
        <x:f>COUNTIF('Einzel-ID-Zuordnung'!$A$7:$A$2692,A1670)</x:f>
        <x:v>1</x:v>
      </x:c>
      <x:c r="E1670" s="11" t="n">
        <x:f>D1670-C1670</x:f>
        <x:v>0</x:v>
      </x:c>
      <x:c r="F1670" s="5" t="str">
        <x:v>nicht Pilot</x:v>
      </x:c>
      <x:c r="G1670" s="5" t="str">
        <x:v>HQ</x:v>
      </x:c>
    </x:row>
    <x:row r="1671" ht="36" customHeight="1">
      <x:c r="A1671" s="5" t="str">
        <x:v>BM-0226</x:v>
      </x:c>
      <x:c r="B1671" s="5" t="str">
        <x:v>Betriebliches Management</x:v>
      </x:c>
      <x:c r="C1671" s="11" t="n">
        <x:v>1</x:v>
      </x:c>
      <x:c r="D1671" s="11" t="n">
        <x:f>COUNTIF('Einzel-ID-Zuordnung'!$A$7:$A$2692,A1671)</x:f>
        <x:v>1</x:v>
      </x:c>
      <x:c r="E1671" s="11" t="n">
        <x:f>D1671-C1671</x:f>
        <x:v>0</x:v>
      </x:c>
      <x:c r="F1671" s="5" t="str">
        <x:v>nicht Pilot</x:v>
      </x:c>
      <x:c r="G1671" s="5" t="str">
        <x:v>HQ</x:v>
      </x:c>
    </x:row>
    <x:row r="1672" ht="36" customHeight="1">
      <x:c r="A1672" s="5" t="str">
        <x:v>BM-0227</x:v>
      </x:c>
      <x:c r="B1672" s="5" t="str">
        <x:v>Betriebliches Management</x:v>
      </x:c>
      <x:c r="C1672" s="11" t="n">
        <x:v>1</x:v>
      </x:c>
      <x:c r="D1672" s="11" t="n">
        <x:f>COUNTIF('Einzel-ID-Zuordnung'!$A$7:$A$2692,A1672)</x:f>
        <x:v>1</x:v>
      </x:c>
      <x:c r="E1672" s="11" t="n">
        <x:f>D1672-C1672</x:f>
        <x:v>0</x:v>
      </x:c>
      <x:c r="F1672" s="5" t="str">
        <x:v>nicht Pilot</x:v>
      </x:c>
      <x:c r="G1672" s="5" t="str">
        <x:v>HQ</x:v>
      </x:c>
    </x:row>
    <x:row r="1673" ht="36" customHeight="1">
      <x:c r="A1673" s="5" t="str">
        <x:v>BM-0228</x:v>
      </x:c>
      <x:c r="B1673" s="5" t="str">
        <x:v>Betriebliches Management</x:v>
      </x:c>
      <x:c r="C1673" s="11" t="n">
        <x:v>1</x:v>
      </x:c>
      <x:c r="D1673" s="11" t="n">
        <x:f>COUNTIF('Einzel-ID-Zuordnung'!$A$7:$A$2692,A1673)</x:f>
        <x:v>1</x:v>
      </x:c>
      <x:c r="E1673" s="11" t="n">
        <x:f>D1673-C1673</x:f>
        <x:v>0</x:v>
      </x:c>
      <x:c r="F1673" s="5" t="str">
        <x:v>nicht Pilot</x:v>
      </x:c>
      <x:c r="G1673" s="5" t="str">
        <x:v>HQ</x:v>
      </x:c>
    </x:row>
    <x:row r="1674" ht="36" customHeight="1">
      <x:c r="A1674" s="5" t="str">
        <x:v>BM-0229</x:v>
      </x:c>
      <x:c r="B1674" s="5" t="str">
        <x:v>Betriebliches Management</x:v>
      </x:c>
      <x:c r="C1674" s="11" t="n">
        <x:v>1</x:v>
      </x:c>
      <x:c r="D1674" s="11" t="n">
        <x:f>COUNTIF('Einzel-ID-Zuordnung'!$A$7:$A$2692,A1674)</x:f>
        <x:v>1</x:v>
      </x:c>
      <x:c r="E1674" s="11" t="n">
        <x:f>D1674-C1674</x:f>
        <x:v>0</x:v>
      </x:c>
      <x:c r="F1674" s="5" t="str">
        <x:v>nicht Pilot</x:v>
      </x:c>
      <x:c r="G1674" s="5" t="str">
        <x:v>HQ</x:v>
      </x:c>
    </x:row>
    <x:row r="1675" ht="36" customHeight="1">
      <x:c r="A1675" s="5" t="str">
        <x:v>BM-0230</x:v>
      </x:c>
      <x:c r="B1675" s="5" t="str">
        <x:v>Betriebliches Management</x:v>
      </x:c>
      <x:c r="C1675" s="11" t="n">
        <x:v>1</x:v>
      </x:c>
      <x:c r="D1675" s="11" t="n">
        <x:f>COUNTIF('Einzel-ID-Zuordnung'!$A$7:$A$2692,A1675)</x:f>
        <x:v>1</x:v>
      </x:c>
      <x:c r="E1675" s="11" t="n">
        <x:f>D1675-C1675</x:f>
        <x:v>0</x:v>
      </x:c>
      <x:c r="F1675" s="5" t="str">
        <x:v>nicht Pilot</x:v>
      </x:c>
      <x:c r="G1675" s="5" t="str">
        <x:v>HQ</x:v>
      </x:c>
    </x:row>
    <x:row r="1676" ht="36" customHeight="1">
      <x:c r="A1676" s="5" t="str">
        <x:v>BM-0231</x:v>
      </x:c>
      <x:c r="B1676" s="5" t="str">
        <x:v>Betriebliches Management</x:v>
      </x:c>
      <x:c r="C1676" s="11" t="n">
        <x:v>1</x:v>
      </x:c>
      <x:c r="D1676" s="11" t="n">
        <x:f>COUNTIF('Einzel-ID-Zuordnung'!$A$7:$A$2692,A1676)</x:f>
        <x:v>1</x:v>
      </x:c>
      <x:c r="E1676" s="11" t="n">
        <x:f>D1676-C1676</x:f>
        <x:v>0</x:v>
      </x:c>
      <x:c r="F1676" s="5" t="str">
        <x:v>nicht Pilot</x:v>
      </x:c>
      <x:c r="G1676" s="5" t="str">
        <x:v>HQ</x:v>
      </x:c>
    </x:row>
    <x:row r="1677" ht="36" customHeight="1">
      <x:c r="A1677" s="5" t="str">
        <x:v>BM-0232</x:v>
      </x:c>
      <x:c r="B1677" s="5" t="str">
        <x:v>Betriebliches Management</x:v>
      </x:c>
      <x:c r="C1677" s="11" t="n">
        <x:v>1</x:v>
      </x:c>
      <x:c r="D1677" s="11" t="n">
        <x:f>COUNTIF('Einzel-ID-Zuordnung'!$A$7:$A$2692,A1677)</x:f>
        <x:v>1</x:v>
      </x:c>
      <x:c r="E1677" s="11" t="n">
        <x:f>D1677-C1677</x:f>
        <x:v>0</x:v>
      </x:c>
      <x:c r="F1677" s="5" t="str">
        <x:v>nicht Pilot</x:v>
      </x:c>
      <x:c r="G1677" s="5" t="str">
        <x:v>HQ</x:v>
      </x:c>
    </x:row>
    <x:row r="1678" ht="36" customHeight="1">
      <x:c r="A1678" s="5" t="str">
        <x:v>BM-0233</x:v>
      </x:c>
      <x:c r="B1678" s="5" t="str">
        <x:v>Betriebliches Management</x:v>
      </x:c>
      <x:c r="C1678" s="11" t="n">
        <x:v>1</x:v>
      </x:c>
      <x:c r="D1678" s="11" t="n">
        <x:f>COUNTIF('Einzel-ID-Zuordnung'!$A$7:$A$2692,A1678)</x:f>
        <x:v>1</x:v>
      </x:c>
      <x:c r="E1678" s="11" t="n">
        <x:f>D1678-C1678</x:f>
        <x:v>0</x:v>
      </x:c>
      <x:c r="F1678" s="5" t="str">
        <x:v>nicht Pilot</x:v>
      </x:c>
      <x:c r="G1678" s="5" t="str">
        <x:v>HQ</x:v>
      </x:c>
    </x:row>
    <x:row r="1679" ht="36" customHeight="1">
      <x:c r="A1679" s="5" t="str">
        <x:v>BM-0234</x:v>
      </x:c>
      <x:c r="B1679" s="5" t="str">
        <x:v>Betriebliches Management</x:v>
      </x:c>
      <x:c r="C1679" s="11" t="n">
        <x:v>1</x:v>
      </x:c>
      <x:c r="D1679" s="11" t="n">
        <x:f>COUNTIF('Einzel-ID-Zuordnung'!$A$7:$A$2692,A1679)</x:f>
        <x:v>1</x:v>
      </x:c>
      <x:c r="E1679" s="11" t="n">
        <x:f>D1679-C1679</x:f>
        <x:v>0</x:v>
      </x:c>
      <x:c r="F1679" s="5" t="str">
        <x:v>nicht Pilot</x:v>
      </x:c>
      <x:c r="G1679" s="5" t="str">
        <x:v>HQ</x:v>
      </x:c>
    </x:row>
    <x:row r="1680" ht="36" customHeight="1">
      <x:c r="A1680" s="5" t="str">
        <x:v>BM-0235</x:v>
      </x:c>
      <x:c r="B1680" s="5" t="str">
        <x:v>Betriebliches Management</x:v>
      </x:c>
      <x:c r="C1680" s="11" t="n">
        <x:v>1</x:v>
      </x:c>
      <x:c r="D1680" s="11" t="n">
        <x:f>COUNTIF('Einzel-ID-Zuordnung'!$A$7:$A$2692,A1680)</x:f>
        <x:v>1</x:v>
      </x:c>
      <x:c r="E1680" s="11" t="n">
        <x:f>D1680-C1680</x:f>
        <x:v>0</x:v>
      </x:c>
      <x:c r="F1680" s="5" t="str">
        <x:v>nicht Pilot</x:v>
      </x:c>
      <x:c r="G1680" s="5" t="str">
        <x:v>HQ</x:v>
      </x:c>
    </x:row>
    <x:row r="1681" ht="36" customHeight="1">
      <x:c r="A1681" s="5" t="str">
        <x:v>BM-0236</x:v>
      </x:c>
      <x:c r="B1681" s="5" t="str">
        <x:v>Betriebliches Management</x:v>
      </x:c>
      <x:c r="C1681" s="11" t="n">
        <x:v>1</x:v>
      </x:c>
      <x:c r="D1681" s="11" t="n">
        <x:f>COUNTIF('Einzel-ID-Zuordnung'!$A$7:$A$2692,A1681)</x:f>
        <x:v>1</x:v>
      </x:c>
      <x:c r="E1681" s="11" t="n">
        <x:f>D1681-C1681</x:f>
        <x:v>0</x:v>
      </x:c>
      <x:c r="F1681" s="5" t="str">
        <x:v>nicht Pilot</x:v>
      </x:c>
      <x:c r="G1681" s="5" t="str">
        <x:v>HQ</x:v>
      </x:c>
    </x:row>
    <x:row r="1682" ht="36" customHeight="1">
      <x:c r="A1682" s="5" t="str">
        <x:v>BM-0237</x:v>
      </x:c>
      <x:c r="B1682" s="5" t="str">
        <x:v>Betriebliches Management</x:v>
      </x:c>
      <x:c r="C1682" s="11" t="n">
        <x:v>1</x:v>
      </x:c>
      <x:c r="D1682" s="11" t="n">
        <x:f>COUNTIF('Einzel-ID-Zuordnung'!$A$7:$A$2692,A1682)</x:f>
        <x:v>1</x:v>
      </x:c>
      <x:c r="E1682" s="11" t="n">
        <x:f>D1682-C1682</x:f>
        <x:v>0</x:v>
      </x:c>
      <x:c r="F1682" s="5" t="str">
        <x:v>nicht Pilot</x:v>
      </x:c>
      <x:c r="G1682" s="5" t="str">
        <x:v>HQ</x:v>
      </x:c>
    </x:row>
    <x:row r="1683" ht="36" customHeight="1">
      <x:c r="A1683" s="5" t="str">
        <x:v>BM-0238</x:v>
      </x:c>
      <x:c r="B1683" s="5" t="str">
        <x:v>Betriebliches Management</x:v>
      </x:c>
      <x:c r="C1683" s="11" t="n">
        <x:v>1</x:v>
      </x:c>
      <x:c r="D1683" s="11" t="n">
        <x:f>COUNTIF('Einzel-ID-Zuordnung'!$A$7:$A$2692,A1683)</x:f>
        <x:v>1</x:v>
      </x:c>
      <x:c r="E1683" s="11" t="n">
        <x:f>D1683-C1683</x:f>
        <x:v>0</x:v>
      </x:c>
      <x:c r="F1683" s="5" t="str">
        <x:v>nicht Pilot</x:v>
      </x:c>
      <x:c r="G1683" s="5" t="str">
        <x:v>HQ</x:v>
      </x:c>
    </x:row>
    <x:row r="1684" ht="36" customHeight="1">
      <x:c r="A1684" s="5" t="str">
        <x:v>BM-0239</x:v>
      </x:c>
      <x:c r="B1684" s="5" t="str">
        <x:v>Betriebliches Management</x:v>
      </x:c>
      <x:c r="C1684" s="11" t="n">
        <x:v>1</x:v>
      </x:c>
      <x:c r="D1684" s="11" t="n">
        <x:f>COUNTIF('Einzel-ID-Zuordnung'!$A$7:$A$2692,A1684)</x:f>
        <x:v>1</x:v>
      </x:c>
      <x:c r="E1684" s="11" t="n">
        <x:f>D1684-C1684</x:f>
        <x:v>0</x:v>
      </x:c>
      <x:c r="F1684" s="5" t="str">
        <x:v>nicht Pilot</x:v>
      </x:c>
      <x:c r="G1684" s="5" t="str">
        <x:v>HQ</x:v>
      </x:c>
    </x:row>
    <x:row r="1685" ht="36" customHeight="1">
      <x:c r="A1685" s="5" t="str">
        <x:v>BM-0240</x:v>
      </x:c>
      <x:c r="B1685" s="5" t="str">
        <x:v>Betriebliches Management</x:v>
      </x:c>
      <x:c r="C1685" s="11" t="n">
        <x:v>1</x:v>
      </x:c>
      <x:c r="D1685" s="11" t="n">
        <x:f>COUNTIF('Einzel-ID-Zuordnung'!$A$7:$A$2692,A1685)</x:f>
        <x:v>1</x:v>
      </x:c>
      <x:c r="E1685" s="11" t="n">
        <x:f>D1685-C1685</x:f>
        <x:v>0</x:v>
      </x:c>
      <x:c r="F1685" s="5" t="str">
        <x:v>nicht Pilot</x:v>
      </x:c>
      <x:c r="G1685" s="5" t="str">
        <x:v>HQ</x:v>
      </x:c>
    </x:row>
    <x:row r="1686" ht="36" customHeight="1">
      <x:c r="A1686" s="5" t="str">
        <x:v>BM-0241</x:v>
      </x:c>
      <x:c r="B1686" s="5" t="str">
        <x:v>Betriebliches Management</x:v>
      </x:c>
      <x:c r="C1686" s="11" t="n">
        <x:v>1</x:v>
      </x:c>
      <x:c r="D1686" s="11" t="n">
        <x:f>COUNTIF('Einzel-ID-Zuordnung'!$A$7:$A$2692,A1686)</x:f>
        <x:v>1</x:v>
      </x:c>
      <x:c r="E1686" s="11" t="n">
        <x:f>D1686-C1686</x:f>
        <x:v>0</x:v>
      </x:c>
      <x:c r="F1686" s="5" t="str">
        <x:v>nicht Pilot</x:v>
      </x:c>
      <x:c r="G1686" s="5" t="str">
        <x:v>HQ</x:v>
      </x:c>
    </x:row>
    <x:row r="1687" ht="36" customHeight="1">
      <x:c r="A1687" s="5" t="str">
        <x:v>BM-0242</x:v>
      </x:c>
      <x:c r="B1687" s="5" t="str">
        <x:v>Betriebliches Management</x:v>
      </x:c>
      <x:c r="C1687" s="11" t="n">
        <x:v>1</x:v>
      </x:c>
      <x:c r="D1687" s="11" t="n">
        <x:f>COUNTIF('Einzel-ID-Zuordnung'!$A$7:$A$2692,A1687)</x:f>
        <x:v>1</x:v>
      </x:c>
      <x:c r="E1687" s="11" t="n">
        <x:f>D1687-C1687</x:f>
        <x:v>0</x:v>
      </x:c>
      <x:c r="F1687" s="5" t="str">
        <x:v>nicht Pilot</x:v>
      </x:c>
      <x:c r="G1687" s="5" t="str">
        <x:v>HQ</x:v>
      </x:c>
    </x:row>
    <x:row r="1688" ht="36" customHeight="1">
      <x:c r="A1688" s="5" t="str">
        <x:v>BM-0243</x:v>
      </x:c>
      <x:c r="B1688" s="5" t="str">
        <x:v>Betriebliches Management</x:v>
      </x:c>
      <x:c r="C1688" s="11" t="n">
        <x:v>1</x:v>
      </x:c>
      <x:c r="D1688" s="11" t="n">
        <x:f>COUNTIF('Einzel-ID-Zuordnung'!$A$7:$A$2692,A1688)</x:f>
        <x:v>1</x:v>
      </x:c>
      <x:c r="E1688" s="11" t="n">
        <x:f>D1688-C1688</x:f>
        <x:v>0</x:v>
      </x:c>
      <x:c r="F1688" s="5" t="str">
        <x:v>nicht Pilot</x:v>
      </x:c>
      <x:c r="G1688" s="5" t="str">
        <x:v>HQ</x:v>
      </x:c>
    </x:row>
    <x:row r="1689" ht="36" customHeight="1">
      <x:c r="A1689" s="5" t="str">
        <x:v>BM-0244</x:v>
      </x:c>
      <x:c r="B1689" s="5" t="str">
        <x:v>Betriebliches Management</x:v>
      </x:c>
      <x:c r="C1689" s="11" t="n">
        <x:v>1</x:v>
      </x:c>
      <x:c r="D1689" s="11" t="n">
        <x:f>COUNTIF('Einzel-ID-Zuordnung'!$A$7:$A$2692,A1689)</x:f>
        <x:v>1</x:v>
      </x:c>
      <x:c r="E1689" s="11" t="n">
        <x:f>D1689-C1689</x:f>
        <x:v>0</x:v>
      </x:c>
      <x:c r="F1689" s="5" t="str">
        <x:v>nicht Pilot</x:v>
      </x:c>
      <x:c r="G1689" s="5" t="str">
        <x:v>HQ</x:v>
      </x:c>
    </x:row>
    <x:row r="1690" ht="36" customHeight="1">
      <x:c r="A1690" s="5" t="str">
        <x:v>BM-0245</x:v>
      </x:c>
      <x:c r="B1690" s="5" t="str">
        <x:v>Betriebliches Management</x:v>
      </x:c>
      <x:c r="C1690" s="11" t="n">
        <x:v>1</x:v>
      </x:c>
      <x:c r="D1690" s="11" t="n">
        <x:f>COUNTIF('Einzel-ID-Zuordnung'!$A$7:$A$2692,A1690)</x:f>
        <x:v>1</x:v>
      </x:c>
      <x:c r="E1690" s="11" t="n">
        <x:f>D1690-C1690</x:f>
        <x:v>0</x:v>
      </x:c>
      <x:c r="F1690" s="5" t="str">
        <x:v>nicht Pilot</x:v>
      </x:c>
      <x:c r="G1690" s="5" t="str">
        <x:v>HQ</x:v>
      </x:c>
    </x:row>
    <x:row r="1691" ht="36" customHeight="1">
      <x:c r="A1691" s="5" t="str">
        <x:v>BM-0246</x:v>
      </x:c>
      <x:c r="B1691" s="5" t="str">
        <x:v>Betriebliches Management</x:v>
      </x:c>
      <x:c r="C1691" s="11" t="n">
        <x:v>1</x:v>
      </x:c>
      <x:c r="D1691" s="11" t="n">
        <x:f>COUNTIF('Einzel-ID-Zuordnung'!$A$7:$A$2692,A1691)</x:f>
        <x:v>1</x:v>
      </x:c>
      <x:c r="E1691" s="11" t="n">
        <x:f>D1691-C1691</x:f>
        <x:v>0</x:v>
      </x:c>
      <x:c r="F1691" s="5" t="str">
        <x:v>nicht Pilot</x:v>
      </x:c>
      <x:c r="G1691" s="5" t="str">
        <x:v>HQ</x:v>
      </x:c>
    </x:row>
    <x:row r="1692" ht="36" customHeight="1">
      <x:c r="A1692" s="5" t="str">
        <x:v>BM-0247</x:v>
      </x:c>
      <x:c r="B1692" s="5" t="str">
        <x:v>Betriebliches Management</x:v>
      </x:c>
      <x:c r="C1692" s="11" t="n">
        <x:v>1</x:v>
      </x:c>
      <x:c r="D1692" s="11" t="n">
        <x:f>COUNTIF('Einzel-ID-Zuordnung'!$A$7:$A$2692,A1692)</x:f>
        <x:v>1</x:v>
      </x:c>
      <x:c r="E1692" s="11" t="n">
        <x:f>D1692-C1692</x:f>
        <x:v>0</x:v>
      </x:c>
      <x:c r="F1692" s="5" t="str">
        <x:v>nicht Pilot</x:v>
      </x:c>
      <x:c r="G1692" s="5" t="str">
        <x:v>HQ</x:v>
      </x:c>
    </x:row>
    <x:row r="1693" ht="36" customHeight="1">
      <x:c r="A1693" s="5" t="str">
        <x:v>BM-0248</x:v>
      </x:c>
      <x:c r="B1693" s="5" t="str">
        <x:v>Betriebliches Management</x:v>
      </x:c>
      <x:c r="C1693" s="11" t="n">
        <x:v>1</x:v>
      </x:c>
      <x:c r="D1693" s="11" t="n">
        <x:f>COUNTIF('Einzel-ID-Zuordnung'!$A$7:$A$2692,A1693)</x:f>
        <x:v>1</x:v>
      </x:c>
      <x:c r="E1693" s="11" t="n">
        <x:f>D1693-C1693</x:f>
        <x:v>0</x:v>
      </x:c>
      <x:c r="F1693" s="5" t="str">
        <x:v>nicht Pilot</x:v>
      </x:c>
      <x:c r="G1693" s="5" t="str">
        <x:v>HQ</x:v>
      </x:c>
    </x:row>
    <x:row r="1694" ht="36" customHeight="1">
      <x:c r="A1694" s="5" t="str">
        <x:v>BM-0249</x:v>
      </x:c>
      <x:c r="B1694" s="5" t="str">
        <x:v>Betriebliches Management</x:v>
      </x:c>
      <x:c r="C1694" s="11" t="n">
        <x:v>1</x:v>
      </x:c>
      <x:c r="D1694" s="11" t="n">
        <x:f>COUNTIF('Einzel-ID-Zuordnung'!$A$7:$A$2692,A1694)</x:f>
        <x:v>1</x:v>
      </x:c>
      <x:c r="E1694" s="11" t="n">
        <x:f>D1694-C1694</x:f>
        <x:v>0</x:v>
      </x:c>
      <x:c r="F1694" s="5" t="str">
        <x:v>nicht Pilot</x:v>
      </x:c>
      <x:c r="G1694" s="5" t="str">
        <x:v>HQ</x:v>
      </x:c>
    </x:row>
    <x:row r="1695" ht="36" customHeight="1">
      <x:c r="A1695" s="5" t="str">
        <x:v>BM-0250</x:v>
      </x:c>
      <x:c r="B1695" s="5" t="str">
        <x:v>Betriebliches Management</x:v>
      </x:c>
      <x:c r="C1695" s="11" t="n">
        <x:v>1</x:v>
      </x:c>
      <x:c r="D1695" s="11" t="n">
        <x:f>COUNTIF('Einzel-ID-Zuordnung'!$A$7:$A$2692,A1695)</x:f>
        <x:v>1</x:v>
      </x:c>
      <x:c r="E1695" s="11" t="n">
        <x:f>D1695-C1695</x:f>
        <x:v>0</x:v>
      </x:c>
      <x:c r="F1695" s="5" t="str">
        <x:v>nicht Pilot</x:v>
      </x:c>
      <x:c r="G1695" s="5" t="str">
        <x:v>HQ</x:v>
      </x:c>
    </x:row>
    <x:row r="1696" ht="36" customHeight="1">
      <x:c r="A1696" s="5" t="str">
        <x:v>BM-0251</x:v>
      </x:c>
      <x:c r="B1696" s="5" t="str">
        <x:v>Betriebliches Management</x:v>
      </x:c>
      <x:c r="C1696" s="11" t="n">
        <x:v>1</x:v>
      </x:c>
      <x:c r="D1696" s="11" t="n">
        <x:f>COUNTIF('Einzel-ID-Zuordnung'!$A$7:$A$2692,A1696)</x:f>
        <x:v>1</x:v>
      </x:c>
      <x:c r="E1696" s="11" t="n">
        <x:f>D1696-C1696</x:f>
        <x:v>0</x:v>
      </x:c>
      <x:c r="F1696" s="5" t="str">
        <x:v>nicht Pilot</x:v>
      </x:c>
      <x:c r="G1696" s="5" t="str">
        <x:v>HQ</x:v>
      </x:c>
    </x:row>
    <x:row r="1697" ht="36" customHeight="1">
      <x:c r="A1697" s="5" t="str">
        <x:v>BM-0252</x:v>
      </x:c>
      <x:c r="B1697" s="5" t="str">
        <x:v>Betriebliches Management</x:v>
      </x:c>
      <x:c r="C1697" s="11" t="n">
        <x:v>1</x:v>
      </x:c>
      <x:c r="D1697" s="11" t="n">
        <x:f>COUNTIF('Einzel-ID-Zuordnung'!$A$7:$A$2692,A1697)</x:f>
        <x:v>1</x:v>
      </x:c>
      <x:c r="E1697" s="11" t="n">
        <x:f>D1697-C1697</x:f>
        <x:v>0</x:v>
      </x:c>
      <x:c r="F1697" s="5" t="str">
        <x:v>nicht Pilot</x:v>
      </x:c>
      <x:c r="G1697" s="5" t="str">
        <x:v>HQ</x:v>
      </x:c>
    </x:row>
    <x:row r="1698" ht="36" customHeight="1">
      <x:c r="A1698" s="5" t="str">
        <x:v>BM-0253</x:v>
      </x:c>
      <x:c r="B1698" s="5" t="str">
        <x:v>Betriebliches Management</x:v>
      </x:c>
      <x:c r="C1698" s="11" t="n">
        <x:v>1</x:v>
      </x:c>
      <x:c r="D1698" s="11" t="n">
        <x:f>COUNTIF('Einzel-ID-Zuordnung'!$A$7:$A$2692,A1698)</x:f>
        <x:v>1</x:v>
      </x:c>
      <x:c r="E1698" s="11" t="n">
        <x:f>D1698-C1698</x:f>
        <x:v>0</x:v>
      </x:c>
      <x:c r="F1698" s="5" t="str">
        <x:v>nicht Pilot</x:v>
      </x:c>
      <x:c r="G1698" s="5" t="str">
        <x:v>HQ</x:v>
      </x:c>
    </x:row>
    <x:row r="1699" ht="36" customHeight="1">
      <x:c r="A1699" s="5" t="str">
        <x:v>BM-0254</x:v>
      </x:c>
      <x:c r="B1699" s="5" t="str">
        <x:v>Betriebliches Management</x:v>
      </x:c>
      <x:c r="C1699" s="11" t="n">
        <x:v>1</x:v>
      </x:c>
      <x:c r="D1699" s="11" t="n">
        <x:f>COUNTIF('Einzel-ID-Zuordnung'!$A$7:$A$2692,A1699)</x:f>
        <x:v>1</x:v>
      </x:c>
      <x:c r="E1699" s="11" t="n">
        <x:f>D1699-C1699</x:f>
        <x:v>0</x:v>
      </x:c>
      <x:c r="F1699" s="5" t="str">
        <x:v>nicht Pilot</x:v>
      </x:c>
      <x:c r="G1699" s="5" t="str">
        <x:v>HQ</x:v>
      </x:c>
    </x:row>
    <x:row r="1700" ht="36" customHeight="1">
      <x:c r="A1700" s="5" t="str">
        <x:v>BM-0255</x:v>
      </x:c>
      <x:c r="B1700" s="5" t="str">
        <x:v>Betriebliches Management</x:v>
      </x:c>
      <x:c r="C1700" s="11" t="n">
        <x:v>1</x:v>
      </x:c>
      <x:c r="D1700" s="11" t="n">
        <x:f>COUNTIF('Einzel-ID-Zuordnung'!$A$7:$A$2692,A1700)</x:f>
        <x:v>1</x:v>
      </x:c>
      <x:c r="E1700" s="11" t="n">
        <x:f>D1700-C1700</x:f>
        <x:v>0</x:v>
      </x:c>
      <x:c r="F1700" s="5" t="str">
        <x:v>nicht Pilot</x:v>
      </x:c>
      <x:c r="G1700" s="5" t="str">
        <x:v>HQ</x:v>
      </x:c>
    </x:row>
    <x:row r="1701" ht="36" customHeight="1">
      <x:c r="A1701" s="5" t="str">
        <x:v>BM-0256</x:v>
      </x:c>
      <x:c r="B1701" s="5" t="str">
        <x:v>Betriebliches Management</x:v>
      </x:c>
      <x:c r="C1701" s="11" t="n">
        <x:v>1</x:v>
      </x:c>
      <x:c r="D1701" s="11" t="n">
        <x:f>COUNTIF('Einzel-ID-Zuordnung'!$A$7:$A$2692,A1701)</x:f>
        <x:v>1</x:v>
      </x:c>
      <x:c r="E1701" s="11" t="n">
        <x:f>D1701-C1701</x:f>
        <x:v>0</x:v>
      </x:c>
      <x:c r="F1701" s="5" t="str">
        <x:v>nicht Pilot</x:v>
      </x:c>
      <x:c r="G1701" s="5" t="str">
        <x:v>HQ</x:v>
      </x:c>
    </x:row>
    <x:row r="1702" ht="36" customHeight="1">
      <x:c r="A1702" s="5" t="str">
        <x:v>BM-0257</x:v>
      </x:c>
      <x:c r="B1702" s="5" t="str">
        <x:v>Betriebliches Management</x:v>
      </x:c>
      <x:c r="C1702" s="11" t="n">
        <x:v>1</x:v>
      </x:c>
      <x:c r="D1702" s="11" t="n">
        <x:f>COUNTIF('Einzel-ID-Zuordnung'!$A$7:$A$2692,A1702)</x:f>
        <x:v>1</x:v>
      </x:c>
      <x:c r="E1702" s="11" t="n">
        <x:f>D1702-C1702</x:f>
        <x:v>0</x:v>
      </x:c>
      <x:c r="F1702" s="5" t="str">
        <x:v>nicht Pilot</x:v>
      </x:c>
      <x:c r="G1702" s="5" t="str">
        <x:v>HQ</x:v>
      </x:c>
    </x:row>
    <x:row r="1703" ht="36" customHeight="1">
      <x:c r="A1703" s="5" t="str">
        <x:v>BM-0258</x:v>
      </x:c>
      <x:c r="B1703" s="5" t="str">
        <x:v>Betriebliches Management</x:v>
      </x:c>
      <x:c r="C1703" s="11" t="n">
        <x:v>1</x:v>
      </x:c>
      <x:c r="D1703" s="11" t="n">
        <x:f>COUNTIF('Einzel-ID-Zuordnung'!$A$7:$A$2692,A1703)</x:f>
        <x:v>1</x:v>
      </x:c>
      <x:c r="E1703" s="11" t="n">
        <x:f>D1703-C1703</x:f>
        <x:v>0</x:v>
      </x:c>
      <x:c r="F1703" s="5" t="str">
        <x:v>nicht Pilot</x:v>
      </x:c>
      <x:c r="G1703" s="5" t="str">
        <x:v>HQ</x:v>
      </x:c>
    </x:row>
    <x:row r="1704" ht="36" customHeight="1">
      <x:c r="A1704" s="5" t="str">
        <x:v>BM-0259</x:v>
      </x:c>
      <x:c r="B1704" s="5" t="str">
        <x:v>Betriebliches Management</x:v>
      </x:c>
      <x:c r="C1704" s="11" t="n">
        <x:v>1</x:v>
      </x:c>
      <x:c r="D1704" s="11" t="n">
        <x:f>COUNTIF('Einzel-ID-Zuordnung'!$A$7:$A$2692,A1704)</x:f>
        <x:v>1</x:v>
      </x:c>
      <x:c r="E1704" s="11" t="n">
        <x:f>D1704-C1704</x:f>
        <x:v>0</x:v>
      </x:c>
      <x:c r="F1704" s="5" t="str">
        <x:v>nicht Pilot</x:v>
      </x:c>
      <x:c r="G1704" s="5" t="str">
        <x:v>HQ</x:v>
      </x:c>
    </x:row>
    <x:row r="1705" ht="36" customHeight="1">
      <x:c r="A1705" s="5" t="str">
        <x:v>BM-0260</x:v>
      </x:c>
      <x:c r="B1705" s="5" t="str">
        <x:v>Betriebliches Management</x:v>
      </x:c>
      <x:c r="C1705" s="11" t="n">
        <x:v>1</x:v>
      </x:c>
      <x:c r="D1705" s="11" t="n">
        <x:f>COUNTIF('Einzel-ID-Zuordnung'!$A$7:$A$2692,A1705)</x:f>
        <x:v>1</x:v>
      </x:c>
      <x:c r="E1705" s="11" t="n">
        <x:f>D1705-C1705</x:f>
        <x:v>0</x:v>
      </x:c>
      <x:c r="F1705" s="5" t="str">
        <x:v>nicht Pilot</x:v>
      </x:c>
      <x:c r="G1705" s="5" t="str">
        <x:v>HQ</x:v>
      </x:c>
    </x:row>
    <x:row r="1706" ht="36" customHeight="1">
      <x:c r="A1706" s="5" t="str">
        <x:v>BM-0261</x:v>
      </x:c>
      <x:c r="B1706" s="5" t="str">
        <x:v>Betriebliches Management</x:v>
      </x:c>
      <x:c r="C1706" s="11" t="n">
        <x:v>1</x:v>
      </x:c>
      <x:c r="D1706" s="11" t="n">
        <x:f>COUNTIF('Einzel-ID-Zuordnung'!$A$7:$A$2692,A1706)</x:f>
        <x:v>1</x:v>
      </x:c>
      <x:c r="E1706" s="11" t="n">
        <x:f>D1706-C1706</x:f>
        <x:v>0</x:v>
      </x:c>
      <x:c r="F1706" s="5" t="str">
        <x:v>nicht Pilot</x:v>
      </x:c>
      <x:c r="G1706" s="5" t="str">
        <x:v>HQ</x:v>
      </x:c>
    </x:row>
    <x:row r="1707" ht="36" customHeight="1">
      <x:c r="A1707" s="5" t="str">
        <x:v>BM-0262</x:v>
      </x:c>
      <x:c r="B1707" s="5" t="str">
        <x:v>Betriebliches Management</x:v>
      </x:c>
      <x:c r="C1707" s="11" t="n">
        <x:v>1</x:v>
      </x:c>
      <x:c r="D1707" s="11" t="n">
        <x:f>COUNTIF('Einzel-ID-Zuordnung'!$A$7:$A$2692,A1707)</x:f>
        <x:v>1</x:v>
      </x:c>
      <x:c r="E1707" s="11" t="n">
        <x:f>D1707-C1707</x:f>
        <x:v>0</x:v>
      </x:c>
      <x:c r="F1707" s="5" t="str">
        <x:v>nicht Pilot</x:v>
      </x:c>
      <x:c r="G1707" s="5" t="str">
        <x:v>HQ</x:v>
      </x:c>
    </x:row>
    <x:row r="1708" ht="36" customHeight="1">
      <x:c r="A1708" s="5" t="str">
        <x:v>BM-0263</x:v>
      </x:c>
      <x:c r="B1708" s="5" t="str">
        <x:v>Betriebliches Management</x:v>
      </x:c>
      <x:c r="C1708" s="11" t="n">
        <x:v>1</x:v>
      </x:c>
      <x:c r="D1708" s="11" t="n">
        <x:f>COUNTIF('Einzel-ID-Zuordnung'!$A$7:$A$2692,A1708)</x:f>
        <x:v>1</x:v>
      </x:c>
      <x:c r="E1708" s="11" t="n">
        <x:f>D1708-C1708</x:f>
        <x:v>0</x:v>
      </x:c>
      <x:c r="F1708" s="5" t="str">
        <x:v>nicht Pilot</x:v>
      </x:c>
      <x:c r="G1708" s="5" t="str">
        <x:v>HQ</x:v>
      </x:c>
    </x:row>
    <x:row r="1709" ht="36" customHeight="1">
      <x:c r="A1709" s="5" t="str">
        <x:v>PF-0202</x:v>
      </x:c>
      <x:c r="B1709" s="5" t="str">
        <x:v>Führung und Zusammenarbeit</x:v>
      </x:c>
      <x:c r="C1709" s="11" t="n">
        <x:v>1</x:v>
      </x:c>
      <x:c r="D1709" s="11" t="n">
        <x:f>COUNTIF('Einzel-ID-Zuordnung'!$A$7:$A$2692,A1709)</x:f>
        <x:v>1</x:v>
      </x:c>
      <x:c r="E1709" s="11" t="n">
        <x:f>D1709-C1709</x:f>
        <x:v>0</x:v>
      </x:c>
      <x:c r="F1709" s="5" t="str">
        <x:v>nicht Pilot</x:v>
      </x:c>
      <x:c r="G1709" s="5" t="str">
        <x:v>HQ</x:v>
      </x:c>
    </x:row>
    <x:row r="1710" ht="36" customHeight="1">
      <x:c r="A1710" s="5" t="str">
        <x:v>PF-0203</x:v>
      </x:c>
      <x:c r="B1710" s="5" t="str">
        <x:v>Führung und Zusammenarbeit</x:v>
      </x:c>
      <x:c r="C1710" s="11" t="n">
        <x:v>1</x:v>
      </x:c>
      <x:c r="D1710" s="11" t="n">
        <x:f>COUNTIF('Einzel-ID-Zuordnung'!$A$7:$A$2692,A1710)</x:f>
        <x:v>1</x:v>
      </x:c>
      <x:c r="E1710" s="11" t="n">
        <x:f>D1710-C1710</x:f>
        <x:v>0</x:v>
      </x:c>
      <x:c r="F1710" s="5" t="str">
        <x:v>nicht Pilot</x:v>
      </x:c>
      <x:c r="G1710" s="5" t="str">
        <x:v>HQ</x:v>
      </x:c>
    </x:row>
    <x:row r="1711" ht="36" customHeight="1">
      <x:c r="A1711" s="5" t="str">
        <x:v>FC-0001</x:v>
      </x:c>
      <x:c r="B1711" s="5" t="str">
        <x:v>Betriebliches Rechnungswesen und Controlling</x:v>
      </x:c>
      <x:c r="C1711" s="11" t="n">
        <x:v>1</x:v>
      </x:c>
      <x:c r="D1711" s="11" t="n">
        <x:f>COUNTIF('Einzel-ID-Zuordnung'!$A$7:$A$2692,A1711)</x:f>
        <x:v>1</x:v>
      </x:c>
      <x:c r="E1711" s="11" t="n">
        <x:f>D1711-C1711</x:f>
        <x:v>0</x:v>
      </x:c>
      <x:c r="F1711" s="5" t="str">
        <x:v>nicht Pilot</x:v>
      </x:c>
      <x:c r="G1711" s="5" t="str">
        <x:v>HQ</x:v>
      </x:c>
    </x:row>
    <x:row r="1712" ht="36" customHeight="1">
      <x:c r="A1712" s="5" t="str">
        <x:v>FC-0002</x:v>
      </x:c>
      <x:c r="B1712" s="5" t="str">
        <x:v>Betriebliches Rechnungswesen und Controlling</x:v>
      </x:c>
      <x:c r="C1712" s="11" t="n">
        <x:v>1</x:v>
      </x:c>
      <x:c r="D1712" s="11" t="n">
        <x:f>COUNTIF('Einzel-ID-Zuordnung'!$A$7:$A$2692,A1712)</x:f>
        <x:v>1</x:v>
      </x:c>
      <x:c r="E1712" s="11" t="n">
        <x:f>D1712-C1712</x:f>
        <x:v>0</x:v>
      </x:c>
      <x:c r="F1712" s="5" t="str">
        <x:v>nicht Pilot</x:v>
      </x:c>
      <x:c r="G1712" s="5" t="str">
        <x:v>HQ</x:v>
      </x:c>
    </x:row>
    <x:row r="1713" ht="36" customHeight="1">
      <x:c r="A1713" s="5" t="str">
        <x:v>FC-0003</x:v>
      </x:c>
      <x:c r="B1713" s="5" t="str">
        <x:v>Betriebliches Rechnungswesen und Controlling</x:v>
      </x:c>
      <x:c r="C1713" s="11" t="n">
        <x:v>1</x:v>
      </x:c>
      <x:c r="D1713" s="11" t="n">
        <x:f>COUNTIF('Einzel-ID-Zuordnung'!$A$7:$A$2692,A1713)</x:f>
        <x:v>1</x:v>
      </x:c>
      <x:c r="E1713" s="11" t="n">
        <x:f>D1713-C1713</x:f>
        <x:v>0</x:v>
      </x:c>
      <x:c r="F1713" s="5" t="str">
        <x:v>nicht Pilot</x:v>
      </x:c>
      <x:c r="G1713" s="5" t="str">
        <x:v>HQ</x:v>
      </x:c>
    </x:row>
    <x:row r="1714" ht="36" customHeight="1">
      <x:c r="A1714" s="5" t="str">
        <x:v>FC-0004</x:v>
      </x:c>
      <x:c r="B1714" s="5" t="str">
        <x:v>Betriebliches Rechnungswesen und Controlling</x:v>
      </x:c>
      <x:c r="C1714" s="11" t="n">
        <x:v>1</x:v>
      </x:c>
      <x:c r="D1714" s="11" t="n">
        <x:f>COUNTIF('Einzel-ID-Zuordnung'!$A$7:$A$2692,A1714)</x:f>
        <x:v>1</x:v>
      </x:c>
      <x:c r="E1714" s="11" t="n">
        <x:f>D1714-C1714</x:f>
        <x:v>0</x:v>
      </x:c>
      <x:c r="F1714" s="5" t="str">
        <x:v>nicht Pilot</x:v>
      </x:c>
      <x:c r="G1714" s="5" t="str">
        <x:v>HQ</x:v>
      </x:c>
    </x:row>
    <x:row r="1715" ht="36" customHeight="1">
      <x:c r="A1715" s="5" t="str">
        <x:v>FC-0005</x:v>
      </x:c>
      <x:c r="B1715" s="5" t="str">
        <x:v>Betriebliches Rechnungswesen und Controlling</x:v>
      </x:c>
      <x:c r="C1715" s="11" t="n">
        <x:v>1</x:v>
      </x:c>
      <x:c r="D1715" s="11" t="n">
        <x:f>COUNTIF('Einzel-ID-Zuordnung'!$A$7:$A$2692,A1715)</x:f>
        <x:v>1</x:v>
      </x:c>
      <x:c r="E1715" s="11" t="n">
        <x:f>D1715-C1715</x:f>
        <x:v>0</x:v>
      </x:c>
      <x:c r="F1715" s="5" t="str">
        <x:v>nicht Pilot</x:v>
      </x:c>
      <x:c r="G1715" s="5" t="str">
        <x:v>HQ</x:v>
      </x:c>
    </x:row>
    <x:row r="1716" ht="36" customHeight="1">
      <x:c r="A1716" s="5" t="str">
        <x:v>FC-0006</x:v>
      </x:c>
      <x:c r="B1716" s="5" t="str">
        <x:v>Betriebliches Rechnungswesen und Controlling</x:v>
      </x:c>
      <x:c r="C1716" s="11" t="n">
        <x:v>1</x:v>
      </x:c>
      <x:c r="D1716" s="11" t="n">
        <x:f>COUNTIF('Einzel-ID-Zuordnung'!$A$7:$A$2692,A1716)</x:f>
        <x:v>1</x:v>
      </x:c>
      <x:c r="E1716" s="11" t="n">
        <x:f>D1716-C1716</x:f>
        <x:v>0</x:v>
      </x:c>
      <x:c r="F1716" s="5" t="str">
        <x:v>nicht Pilot</x:v>
      </x:c>
      <x:c r="G1716" s="5" t="str">
        <x:v>HQ</x:v>
      </x:c>
    </x:row>
    <x:row r="1717" ht="36" customHeight="1">
      <x:c r="A1717" s="5" t="str">
        <x:v>FC-0007</x:v>
      </x:c>
      <x:c r="B1717" s="5" t="str">
        <x:v>Betriebliches Rechnungswesen und Controlling</x:v>
      </x:c>
      <x:c r="C1717" s="11" t="n">
        <x:v>1</x:v>
      </x:c>
      <x:c r="D1717" s="11" t="n">
        <x:f>COUNTIF('Einzel-ID-Zuordnung'!$A$7:$A$2692,A1717)</x:f>
        <x:v>1</x:v>
      </x:c>
      <x:c r="E1717" s="11" t="n">
        <x:f>D1717-C1717</x:f>
        <x:v>0</x:v>
      </x:c>
      <x:c r="F1717" s="5" t="str">
        <x:v>nicht Pilot</x:v>
      </x:c>
      <x:c r="G1717" s="5" t="str">
        <x:v>HQ</x:v>
      </x:c>
    </x:row>
    <x:row r="1718" ht="36" customHeight="1">
      <x:c r="A1718" s="5" t="str">
        <x:v>FC-0008</x:v>
      </x:c>
      <x:c r="B1718" s="5" t="str">
        <x:v>Betriebliches Rechnungswesen und Controlling</x:v>
      </x:c>
      <x:c r="C1718" s="11" t="n">
        <x:v>1</x:v>
      </x:c>
      <x:c r="D1718" s="11" t="n">
        <x:f>COUNTIF('Einzel-ID-Zuordnung'!$A$7:$A$2692,A1718)</x:f>
        <x:v>1</x:v>
      </x:c>
      <x:c r="E1718" s="11" t="n">
        <x:f>D1718-C1718</x:f>
        <x:v>0</x:v>
      </x:c>
      <x:c r="F1718" s="5" t="str">
        <x:v>nicht Pilot</x:v>
      </x:c>
      <x:c r="G1718" s="5" t="str">
        <x:v>HQ</x:v>
      </x:c>
    </x:row>
    <x:row r="1719" ht="36" customHeight="1">
      <x:c r="A1719" s="5" t="str">
        <x:v>FC-0009</x:v>
      </x:c>
      <x:c r="B1719" s="5" t="str">
        <x:v>Betriebliches Rechnungswesen und Controlling</x:v>
      </x:c>
      <x:c r="C1719" s="11" t="n">
        <x:v>1</x:v>
      </x:c>
      <x:c r="D1719" s="11" t="n">
        <x:f>COUNTIF('Einzel-ID-Zuordnung'!$A$7:$A$2692,A1719)</x:f>
        <x:v>1</x:v>
      </x:c>
      <x:c r="E1719" s="11" t="n">
        <x:f>D1719-C1719</x:f>
        <x:v>0</x:v>
      </x:c>
      <x:c r="F1719" s="5" t="str">
        <x:v>nicht Pilot</x:v>
      </x:c>
      <x:c r="G1719" s="5" t="str">
        <x:v>HQ</x:v>
      </x:c>
    </x:row>
    <x:row r="1720" ht="36" customHeight="1">
      <x:c r="A1720" s="5" t="str">
        <x:v>FC-0010</x:v>
      </x:c>
      <x:c r="B1720" s="5" t="str">
        <x:v>Betriebliches Rechnungswesen und Controlling</x:v>
      </x:c>
      <x:c r="C1720" s="11" t="n">
        <x:v>1</x:v>
      </x:c>
      <x:c r="D1720" s="11" t="n">
        <x:f>COUNTIF('Einzel-ID-Zuordnung'!$A$7:$A$2692,A1720)</x:f>
        <x:v>1</x:v>
      </x:c>
      <x:c r="E1720" s="11" t="n">
        <x:f>D1720-C1720</x:f>
        <x:v>0</x:v>
      </x:c>
      <x:c r="F1720" s="5" t="str">
        <x:v>nicht Pilot</x:v>
      </x:c>
      <x:c r="G1720" s="5" t="str">
        <x:v>HQ</x:v>
      </x:c>
    </x:row>
    <x:row r="1721" ht="36" customHeight="1">
      <x:c r="A1721" s="5" t="str">
        <x:v>FC-0011</x:v>
      </x:c>
      <x:c r="B1721" s="5" t="str">
        <x:v>Betriebliches Rechnungswesen und Controlling</x:v>
      </x:c>
      <x:c r="C1721" s="11" t="n">
        <x:v>1</x:v>
      </x:c>
      <x:c r="D1721" s="11" t="n">
        <x:f>COUNTIF('Einzel-ID-Zuordnung'!$A$7:$A$2692,A1721)</x:f>
        <x:v>1</x:v>
      </x:c>
      <x:c r="E1721" s="11" t="n">
        <x:f>D1721-C1721</x:f>
        <x:v>0</x:v>
      </x:c>
      <x:c r="F1721" s="5" t="str">
        <x:v>nicht Pilot</x:v>
      </x:c>
      <x:c r="G1721" s="5" t="str">
        <x:v>HQ</x:v>
      </x:c>
    </x:row>
    <x:row r="1722" ht="36" customHeight="1">
      <x:c r="A1722" s="5" t="str">
        <x:v>FC-0012</x:v>
      </x:c>
      <x:c r="B1722" s="5" t="str">
        <x:v>Betriebliches Rechnungswesen und Controlling</x:v>
      </x:c>
      <x:c r="C1722" s="11" t="n">
        <x:v>1</x:v>
      </x:c>
      <x:c r="D1722" s="11" t="n">
        <x:f>COUNTIF('Einzel-ID-Zuordnung'!$A$7:$A$2692,A1722)</x:f>
        <x:v>1</x:v>
      </x:c>
      <x:c r="E1722" s="11" t="n">
        <x:f>D1722-C1722</x:f>
        <x:v>0</x:v>
      </x:c>
      <x:c r="F1722" s="5" t="str">
        <x:v>nicht Pilot</x:v>
      </x:c>
      <x:c r="G1722" s="5" t="str">
        <x:v>HQ</x:v>
      </x:c>
    </x:row>
    <x:row r="1723" ht="36" customHeight="1">
      <x:c r="A1723" s="5" t="str">
        <x:v>FC-0013</x:v>
      </x:c>
      <x:c r="B1723" s="5" t="str">
        <x:v>Betriebliches Rechnungswesen und Controlling</x:v>
      </x:c>
      <x:c r="C1723" s="11" t="n">
        <x:v>1</x:v>
      </x:c>
      <x:c r="D1723" s="11" t="n">
        <x:f>COUNTIF('Einzel-ID-Zuordnung'!$A$7:$A$2692,A1723)</x:f>
        <x:v>1</x:v>
      </x:c>
      <x:c r="E1723" s="11" t="n">
        <x:f>D1723-C1723</x:f>
        <x:v>0</x:v>
      </x:c>
      <x:c r="F1723" s="5" t="str">
        <x:v>nicht Pilot</x:v>
      </x:c>
      <x:c r="G1723" s="5" t="str">
        <x:v>HQ</x:v>
      </x:c>
    </x:row>
    <x:row r="1724" ht="36" customHeight="1">
      <x:c r="A1724" s="5" t="str">
        <x:v>FC-0014</x:v>
      </x:c>
      <x:c r="B1724" s="5" t="str">
        <x:v>Betriebliches Rechnungswesen und Controlling</x:v>
      </x:c>
      <x:c r="C1724" s="11" t="n">
        <x:v>1</x:v>
      </x:c>
      <x:c r="D1724" s="11" t="n">
        <x:f>COUNTIF('Einzel-ID-Zuordnung'!$A$7:$A$2692,A1724)</x:f>
        <x:v>1</x:v>
      </x:c>
      <x:c r="E1724" s="11" t="n">
        <x:f>D1724-C1724</x:f>
        <x:v>0</x:v>
      </x:c>
      <x:c r="F1724" s="5" t="str">
        <x:v>nicht Pilot</x:v>
      </x:c>
      <x:c r="G1724" s="5" t="str">
        <x:v>HQ</x:v>
      </x:c>
    </x:row>
    <x:row r="1725" ht="36" customHeight="1">
      <x:c r="A1725" s="5" t="str">
        <x:v>FC-0015</x:v>
      </x:c>
      <x:c r="B1725" s="5" t="str">
        <x:v>Betriebliches Rechnungswesen und Controlling</x:v>
      </x:c>
      <x:c r="C1725" s="11" t="n">
        <x:v>1</x:v>
      </x:c>
      <x:c r="D1725" s="11" t="n">
        <x:f>COUNTIF('Einzel-ID-Zuordnung'!$A$7:$A$2692,A1725)</x:f>
        <x:v>1</x:v>
      </x:c>
      <x:c r="E1725" s="11" t="n">
        <x:f>D1725-C1725</x:f>
        <x:v>0</x:v>
      </x:c>
      <x:c r="F1725" s="5" t="str">
        <x:v>nicht Pilot</x:v>
      </x:c>
      <x:c r="G1725" s="5" t="str">
        <x:v>HQ</x:v>
      </x:c>
    </x:row>
    <x:row r="1726" ht="36" customHeight="1">
      <x:c r="A1726" s="5" t="str">
        <x:v>FC-0016</x:v>
      </x:c>
      <x:c r="B1726" s="5" t="str">
        <x:v>Betriebliches Rechnungswesen und Controlling</x:v>
      </x:c>
      <x:c r="C1726" s="11" t="n">
        <x:v>1</x:v>
      </x:c>
      <x:c r="D1726" s="11" t="n">
        <x:f>COUNTIF('Einzel-ID-Zuordnung'!$A$7:$A$2692,A1726)</x:f>
        <x:v>1</x:v>
      </x:c>
      <x:c r="E1726" s="11" t="n">
        <x:f>D1726-C1726</x:f>
        <x:v>0</x:v>
      </x:c>
      <x:c r="F1726" s="5" t="str">
        <x:v>nicht Pilot</x:v>
      </x:c>
      <x:c r="G1726" s="5" t="str">
        <x:v>HQ</x:v>
      </x:c>
    </x:row>
    <x:row r="1727" ht="36" customHeight="1">
      <x:c r="A1727" s="5" t="str">
        <x:v>FC-0017</x:v>
      </x:c>
      <x:c r="B1727" s="5" t="str">
        <x:v>Betriebliches Rechnungswesen und Controlling</x:v>
      </x:c>
      <x:c r="C1727" s="11" t="n">
        <x:v>1</x:v>
      </x:c>
      <x:c r="D1727" s="11" t="n">
        <x:f>COUNTIF('Einzel-ID-Zuordnung'!$A$7:$A$2692,A1727)</x:f>
        <x:v>1</x:v>
      </x:c>
      <x:c r="E1727" s="11" t="n">
        <x:f>D1727-C1727</x:f>
        <x:v>0</x:v>
      </x:c>
      <x:c r="F1727" s="5" t="str">
        <x:v>nicht Pilot</x:v>
      </x:c>
      <x:c r="G1727" s="5" t="str">
        <x:v>HQ</x:v>
      </x:c>
    </x:row>
    <x:row r="1728" ht="36" customHeight="1">
      <x:c r="A1728" s="5" t="str">
        <x:v>FC-0018</x:v>
      </x:c>
      <x:c r="B1728" s="5" t="str">
        <x:v>Betriebliches Rechnungswesen und Controlling</x:v>
      </x:c>
      <x:c r="C1728" s="11" t="n">
        <x:v>1</x:v>
      </x:c>
      <x:c r="D1728" s="11" t="n">
        <x:f>COUNTIF('Einzel-ID-Zuordnung'!$A$7:$A$2692,A1728)</x:f>
        <x:v>1</x:v>
      </x:c>
      <x:c r="E1728" s="11" t="n">
        <x:f>D1728-C1728</x:f>
        <x:v>0</x:v>
      </x:c>
      <x:c r="F1728" s="5" t="str">
        <x:v>nicht Pilot</x:v>
      </x:c>
      <x:c r="G1728" s="5" t="str">
        <x:v>HQ</x:v>
      </x:c>
    </x:row>
    <x:row r="1729" ht="36" customHeight="1">
      <x:c r="A1729" s="5" t="str">
        <x:v>FC-0019</x:v>
      </x:c>
      <x:c r="B1729" s="5" t="str">
        <x:v>Betriebliches Rechnungswesen und Controlling</x:v>
      </x:c>
      <x:c r="C1729" s="11" t="n">
        <x:v>1</x:v>
      </x:c>
      <x:c r="D1729" s="11" t="n">
        <x:f>COUNTIF('Einzel-ID-Zuordnung'!$A$7:$A$2692,A1729)</x:f>
        <x:v>1</x:v>
      </x:c>
      <x:c r="E1729" s="11" t="n">
        <x:f>D1729-C1729</x:f>
        <x:v>0</x:v>
      </x:c>
      <x:c r="F1729" s="5" t="str">
        <x:v>nicht Pilot</x:v>
      </x:c>
      <x:c r="G1729" s="5" t="str">
        <x:v>HQ</x:v>
      </x:c>
    </x:row>
    <x:row r="1730" ht="36" customHeight="1">
      <x:c r="A1730" s="5" t="str">
        <x:v>FC-0020</x:v>
      </x:c>
      <x:c r="B1730" s="5" t="str">
        <x:v>Betriebliches Rechnungswesen und Controlling</x:v>
      </x:c>
      <x:c r="C1730" s="11" t="n">
        <x:v>1</x:v>
      </x:c>
      <x:c r="D1730" s="11" t="n">
        <x:f>COUNTIF('Einzel-ID-Zuordnung'!$A$7:$A$2692,A1730)</x:f>
        <x:v>1</x:v>
      </x:c>
      <x:c r="E1730" s="11" t="n">
        <x:f>D1730-C1730</x:f>
        <x:v>0</x:v>
      </x:c>
      <x:c r="F1730" s="5" t="str">
        <x:v>nicht Pilot</x:v>
      </x:c>
      <x:c r="G1730" s="5" t="str">
        <x:v>HQ</x:v>
      </x:c>
    </x:row>
    <x:row r="1731" ht="36" customHeight="1">
      <x:c r="A1731" s="5" t="str">
        <x:v>FC-0021</x:v>
      </x:c>
      <x:c r="B1731" s="5" t="str">
        <x:v>Betriebliches Rechnungswesen und Controlling</x:v>
      </x:c>
      <x:c r="C1731" s="11" t="n">
        <x:v>1</x:v>
      </x:c>
      <x:c r="D1731" s="11" t="n">
        <x:f>COUNTIF('Einzel-ID-Zuordnung'!$A$7:$A$2692,A1731)</x:f>
        <x:v>1</x:v>
      </x:c>
      <x:c r="E1731" s="11" t="n">
        <x:f>D1731-C1731</x:f>
        <x:v>0</x:v>
      </x:c>
      <x:c r="F1731" s="5" t="str">
        <x:v>nicht Pilot</x:v>
      </x:c>
      <x:c r="G1731" s="5" t="str">
        <x:v>HQ</x:v>
      </x:c>
    </x:row>
    <x:row r="1732" ht="36" customHeight="1">
      <x:c r="A1732" s="5" t="str">
        <x:v>FC-0022</x:v>
      </x:c>
      <x:c r="B1732" s="5" t="str">
        <x:v>Betriebliches Rechnungswesen und Controlling</x:v>
      </x:c>
      <x:c r="C1732" s="11" t="n">
        <x:v>1</x:v>
      </x:c>
      <x:c r="D1732" s="11" t="n">
        <x:f>COUNTIF('Einzel-ID-Zuordnung'!$A$7:$A$2692,A1732)</x:f>
        <x:v>1</x:v>
      </x:c>
      <x:c r="E1732" s="11" t="n">
        <x:f>D1732-C1732</x:f>
        <x:v>0</x:v>
      </x:c>
      <x:c r="F1732" s="5" t="str">
        <x:v>nicht Pilot</x:v>
      </x:c>
      <x:c r="G1732" s="5" t="str">
        <x:v>HQ</x:v>
      </x:c>
    </x:row>
    <x:row r="1733" ht="36" customHeight="1">
      <x:c r="A1733" s="5" t="str">
        <x:v>FC-0023</x:v>
      </x:c>
      <x:c r="B1733" s="5" t="str">
        <x:v>Betriebliches Rechnungswesen und Controlling</x:v>
      </x:c>
      <x:c r="C1733" s="11" t="n">
        <x:v>1</x:v>
      </x:c>
      <x:c r="D1733" s="11" t="n">
        <x:f>COUNTIF('Einzel-ID-Zuordnung'!$A$7:$A$2692,A1733)</x:f>
        <x:v>1</x:v>
      </x:c>
      <x:c r="E1733" s="11" t="n">
        <x:f>D1733-C1733</x:f>
        <x:v>0</x:v>
      </x:c>
      <x:c r="F1733" s="5" t="str">
        <x:v>nicht Pilot</x:v>
      </x:c>
      <x:c r="G1733" s="5" t="str">
        <x:v>HQ</x:v>
      </x:c>
    </x:row>
    <x:row r="1734" ht="36" customHeight="1">
      <x:c r="A1734" s="5" t="str">
        <x:v>FC-0024</x:v>
      </x:c>
      <x:c r="B1734" s="5" t="str">
        <x:v>Betriebliches Rechnungswesen und Controlling</x:v>
      </x:c>
      <x:c r="C1734" s="11" t="n">
        <x:v>1</x:v>
      </x:c>
      <x:c r="D1734" s="11" t="n">
        <x:f>COUNTIF('Einzel-ID-Zuordnung'!$A$7:$A$2692,A1734)</x:f>
        <x:v>1</x:v>
      </x:c>
      <x:c r="E1734" s="11" t="n">
        <x:f>D1734-C1734</x:f>
        <x:v>0</x:v>
      </x:c>
      <x:c r="F1734" s="5" t="str">
        <x:v>nicht Pilot</x:v>
      </x:c>
      <x:c r="G1734" s="5" t="str">
        <x:v>HQ</x:v>
      </x:c>
    </x:row>
    <x:row r="1735" ht="36" customHeight="1">
      <x:c r="A1735" s="5" t="str">
        <x:v>FC-0025</x:v>
      </x:c>
      <x:c r="B1735" s="5" t="str">
        <x:v>Betriebliches Rechnungswesen und Controlling</x:v>
      </x:c>
      <x:c r="C1735" s="11" t="n">
        <x:v>1</x:v>
      </x:c>
      <x:c r="D1735" s="11" t="n">
        <x:f>COUNTIF('Einzel-ID-Zuordnung'!$A$7:$A$2692,A1735)</x:f>
        <x:v>1</x:v>
      </x:c>
      <x:c r="E1735" s="11" t="n">
        <x:f>D1735-C1735</x:f>
        <x:v>0</x:v>
      </x:c>
      <x:c r="F1735" s="5" t="str">
        <x:v>nicht Pilot</x:v>
      </x:c>
      <x:c r="G1735" s="5" t="str">
        <x:v>HQ</x:v>
      </x:c>
    </x:row>
    <x:row r="1736" ht="36" customHeight="1">
      <x:c r="A1736" s="5" t="str">
        <x:v>FC-0026</x:v>
      </x:c>
      <x:c r="B1736" s="5" t="str">
        <x:v>Betriebliches Rechnungswesen und Controlling</x:v>
      </x:c>
      <x:c r="C1736" s="11" t="n">
        <x:v>1</x:v>
      </x:c>
      <x:c r="D1736" s="11" t="n">
        <x:f>COUNTIF('Einzel-ID-Zuordnung'!$A$7:$A$2692,A1736)</x:f>
        <x:v>1</x:v>
      </x:c>
      <x:c r="E1736" s="11" t="n">
        <x:f>D1736-C1736</x:f>
        <x:v>0</x:v>
      </x:c>
      <x:c r="F1736" s="5" t="str">
        <x:v>nicht Pilot</x:v>
      </x:c>
      <x:c r="G1736" s="5" t="str">
        <x:v>HQ</x:v>
      </x:c>
    </x:row>
    <x:row r="1737" ht="36" customHeight="1">
      <x:c r="A1737" s="5" t="str">
        <x:v>FC-0027</x:v>
      </x:c>
      <x:c r="B1737" s="5" t="str">
        <x:v>Betriebliches Rechnungswesen und Controlling</x:v>
      </x:c>
      <x:c r="C1737" s="11" t="n">
        <x:v>1</x:v>
      </x:c>
      <x:c r="D1737" s="11" t="n">
        <x:f>COUNTIF('Einzel-ID-Zuordnung'!$A$7:$A$2692,A1737)</x:f>
        <x:v>1</x:v>
      </x:c>
      <x:c r="E1737" s="11" t="n">
        <x:f>D1737-C1737</x:f>
        <x:v>0</x:v>
      </x:c>
      <x:c r="F1737" s="5" t="str">
        <x:v>nicht Pilot</x:v>
      </x:c>
      <x:c r="G1737" s="5" t="str">
        <x:v>HQ</x:v>
      </x:c>
    </x:row>
    <x:row r="1738" ht="36" customHeight="1">
      <x:c r="A1738" s="5" t="str">
        <x:v>FC-0028</x:v>
      </x:c>
      <x:c r="B1738" s="5" t="str">
        <x:v>Betriebliches Rechnungswesen und Controlling</x:v>
      </x:c>
      <x:c r="C1738" s="11" t="n">
        <x:v>1</x:v>
      </x:c>
      <x:c r="D1738" s="11" t="n">
        <x:f>COUNTIF('Einzel-ID-Zuordnung'!$A$7:$A$2692,A1738)</x:f>
        <x:v>1</x:v>
      </x:c>
      <x:c r="E1738" s="11" t="n">
        <x:f>D1738-C1738</x:f>
        <x:v>0</x:v>
      </x:c>
      <x:c r="F1738" s="5" t="str">
        <x:v>nicht Pilot</x:v>
      </x:c>
      <x:c r="G1738" s="5" t="str">
        <x:v>HQ</x:v>
      </x:c>
    </x:row>
    <x:row r="1739" ht="36" customHeight="1">
      <x:c r="A1739" s="5" t="str">
        <x:v>FC-0029</x:v>
      </x:c>
      <x:c r="B1739" s="5" t="str">
        <x:v>Betriebliches Rechnungswesen und Controlling</x:v>
      </x:c>
      <x:c r="C1739" s="11" t="n">
        <x:v>1</x:v>
      </x:c>
      <x:c r="D1739" s="11" t="n">
        <x:f>COUNTIF('Einzel-ID-Zuordnung'!$A$7:$A$2692,A1739)</x:f>
        <x:v>1</x:v>
      </x:c>
      <x:c r="E1739" s="11" t="n">
        <x:f>D1739-C1739</x:f>
        <x:v>0</x:v>
      </x:c>
      <x:c r="F1739" s="5" t="str">
        <x:v>nicht Pilot</x:v>
      </x:c>
      <x:c r="G1739" s="5" t="str">
        <x:v>HQ</x:v>
      </x:c>
    </x:row>
    <x:row r="1740" ht="36" customHeight="1">
      <x:c r="A1740" s="5" t="str">
        <x:v>FC-0030</x:v>
      </x:c>
      <x:c r="B1740" s="5" t="str">
        <x:v>Betriebliches Rechnungswesen und Controlling</x:v>
      </x:c>
      <x:c r="C1740" s="11" t="n">
        <x:v>1</x:v>
      </x:c>
      <x:c r="D1740" s="11" t="n">
        <x:f>COUNTIF('Einzel-ID-Zuordnung'!$A$7:$A$2692,A1740)</x:f>
        <x:v>1</x:v>
      </x:c>
      <x:c r="E1740" s="11" t="n">
        <x:f>D1740-C1740</x:f>
        <x:v>0</x:v>
      </x:c>
      <x:c r="F1740" s="5" t="str">
        <x:v>nicht Pilot</x:v>
      </x:c>
      <x:c r="G1740" s="5" t="str">
        <x:v>HQ</x:v>
      </x:c>
    </x:row>
    <x:row r="1741" ht="36" customHeight="1">
      <x:c r="A1741" s="5" t="str">
        <x:v>FC-0031</x:v>
      </x:c>
      <x:c r="B1741" s="5" t="str">
        <x:v>Betriebliches Rechnungswesen und Controlling</x:v>
      </x:c>
      <x:c r="C1741" s="11" t="n">
        <x:v>1</x:v>
      </x:c>
      <x:c r="D1741" s="11" t="n">
        <x:f>COUNTIF('Einzel-ID-Zuordnung'!$A$7:$A$2692,A1741)</x:f>
        <x:v>1</x:v>
      </x:c>
      <x:c r="E1741" s="11" t="n">
        <x:f>D1741-C1741</x:f>
        <x:v>0</x:v>
      </x:c>
      <x:c r="F1741" s="5" t="str">
        <x:v>nicht Pilot</x:v>
      </x:c>
      <x:c r="G1741" s="5" t="str">
        <x:v>HQ</x:v>
      </x:c>
    </x:row>
    <x:row r="1742" ht="36" customHeight="1">
      <x:c r="A1742" s="5" t="str">
        <x:v>FC-0032</x:v>
      </x:c>
      <x:c r="B1742" s="5" t="str">
        <x:v>Betriebliches Rechnungswesen und Controlling</x:v>
      </x:c>
      <x:c r="C1742" s="11" t="n">
        <x:v>1</x:v>
      </x:c>
      <x:c r="D1742" s="11" t="n">
        <x:f>COUNTIF('Einzel-ID-Zuordnung'!$A$7:$A$2692,A1742)</x:f>
        <x:v>1</x:v>
      </x:c>
      <x:c r="E1742" s="11" t="n">
        <x:f>D1742-C1742</x:f>
        <x:v>0</x:v>
      </x:c>
      <x:c r="F1742" s="5" t="str">
        <x:v>nicht Pilot</x:v>
      </x:c>
      <x:c r="G1742" s="5" t="str">
        <x:v>HQ</x:v>
      </x:c>
    </x:row>
    <x:row r="1743" ht="36" customHeight="1">
      <x:c r="A1743" s="5" t="str">
        <x:v>FC-0033</x:v>
      </x:c>
      <x:c r="B1743" s="5" t="str">
        <x:v>Betriebliches Rechnungswesen und Controlling</x:v>
      </x:c>
      <x:c r="C1743" s="11" t="n">
        <x:v>1</x:v>
      </x:c>
      <x:c r="D1743" s="11" t="n">
        <x:f>COUNTIF('Einzel-ID-Zuordnung'!$A$7:$A$2692,A1743)</x:f>
        <x:v>1</x:v>
      </x:c>
      <x:c r="E1743" s="11" t="n">
        <x:f>D1743-C1743</x:f>
        <x:v>0</x:v>
      </x:c>
      <x:c r="F1743" s="5" t="str">
        <x:v>nicht Pilot</x:v>
      </x:c>
      <x:c r="G1743" s="5" t="str">
        <x:v>HQ</x:v>
      </x:c>
    </x:row>
    <x:row r="1744" ht="36" customHeight="1">
      <x:c r="A1744" s="5" t="str">
        <x:v>FC-0034</x:v>
      </x:c>
      <x:c r="B1744" s="5" t="str">
        <x:v>Betriebliches Rechnungswesen und Controlling</x:v>
      </x:c>
      <x:c r="C1744" s="11" t="n">
        <x:v>1</x:v>
      </x:c>
      <x:c r="D1744" s="11" t="n">
        <x:f>COUNTIF('Einzel-ID-Zuordnung'!$A$7:$A$2692,A1744)</x:f>
        <x:v>1</x:v>
      </x:c>
      <x:c r="E1744" s="11" t="n">
        <x:f>D1744-C1744</x:f>
        <x:v>0</x:v>
      </x:c>
      <x:c r="F1744" s="5" t="str">
        <x:v>nicht Pilot</x:v>
      </x:c>
      <x:c r="G1744" s="5" t="str">
        <x:v>HQ</x:v>
      </x:c>
    </x:row>
    <x:row r="1745" ht="36" customHeight="1">
      <x:c r="A1745" s="5" t="str">
        <x:v>FC-0035</x:v>
      </x:c>
      <x:c r="B1745" s="5" t="str">
        <x:v>Betriebliches Rechnungswesen und Controlling</x:v>
      </x:c>
      <x:c r="C1745" s="11" t="n">
        <x:v>1</x:v>
      </x:c>
      <x:c r="D1745" s="11" t="n">
        <x:f>COUNTIF('Einzel-ID-Zuordnung'!$A$7:$A$2692,A1745)</x:f>
        <x:v>1</x:v>
      </x:c>
      <x:c r="E1745" s="11" t="n">
        <x:f>D1745-C1745</x:f>
        <x:v>0</x:v>
      </x:c>
      <x:c r="F1745" s="5" t="str">
        <x:v>nicht Pilot</x:v>
      </x:c>
      <x:c r="G1745" s="5" t="str">
        <x:v>HQ</x:v>
      </x:c>
    </x:row>
    <x:row r="1746" ht="36" customHeight="1">
      <x:c r="A1746" s="5" t="str">
        <x:v>FC-0036</x:v>
      </x:c>
      <x:c r="B1746" s="5" t="str">
        <x:v>Betriebliches Rechnungswesen und Controlling</x:v>
      </x:c>
      <x:c r="C1746" s="11" t="n">
        <x:v>1</x:v>
      </x:c>
      <x:c r="D1746" s="11" t="n">
        <x:f>COUNTIF('Einzel-ID-Zuordnung'!$A$7:$A$2692,A1746)</x:f>
        <x:v>1</x:v>
      </x:c>
      <x:c r="E1746" s="11" t="n">
        <x:f>D1746-C1746</x:f>
        <x:v>0</x:v>
      </x:c>
      <x:c r="F1746" s="5" t="str">
        <x:v>nicht Pilot</x:v>
      </x:c>
      <x:c r="G1746" s="5" t="str">
        <x:v>HQ</x:v>
      </x:c>
    </x:row>
    <x:row r="1747" ht="36" customHeight="1">
      <x:c r="A1747" s="5" t="str">
        <x:v>FC-0037</x:v>
      </x:c>
      <x:c r="B1747" s="5" t="str">
        <x:v>Betriebliches Rechnungswesen und Controlling</x:v>
      </x:c>
      <x:c r="C1747" s="11" t="n">
        <x:v>1</x:v>
      </x:c>
      <x:c r="D1747" s="11" t="n">
        <x:f>COUNTIF('Einzel-ID-Zuordnung'!$A$7:$A$2692,A1747)</x:f>
        <x:v>1</x:v>
      </x:c>
      <x:c r="E1747" s="11" t="n">
        <x:f>D1747-C1747</x:f>
        <x:v>0</x:v>
      </x:c>
      <x:c r="F1747" s="5" t="str">
        <x:v>nicht Pilot</x:v>
      </x:c>
      <x:c r="G1747" s="5" t="str">
        <x:v>HQ</x:v>
      </x:c>
    </x:row>
    <x:row r="1748" ht="36" customHeight="1">
      <x:c r="A1748" s="5" t="str">
        <x:v>FC-0038</x:v>
      </x:c>
      <x:c r="B1748" s="5" t="str">
        <x:v>Betriebliches Rechnungswesen und Controlling</x:v>
      </x:c>
      <x:c r="C1748" s="11" t="n">
        <x:v>1</x:v>
      </x:c>
      <x:c r="D1748" s="11" t="n">
        <x:f>COUNTIF('Einzel-ID-Zuordnung'!$A$7:$A$2692,A1748)</x:f>
        <x:v>1</x:v>
      </x:c>
      <x:c r="E1748" s="11" t="n">
        <x:f>D1748-C1748</x:f>
        <x:v>0</x:v>
      </x:c>
      <x:c r="F1748" s="5" t="str">
        <x:v>nicht Pilot</x:v>
      </x:c>
      <x:c r="G1748" s="5" t="str">
        <x:v>HQ</x:v>
      </x:c>
    </x:row>
    <x:row r="1749" ht="36" customHeight="1">
      <x:c r="A1749" s="5" t="str">
        <x:v>FC-0039</x:v>
      </x:c>
      <x:c r="B1749" s="5" t="str">
        <x:v>Betriebliches Rechnungswesen und Controlling</x:v>
      </x:c>
      <x:c r="C1749" s="11" t="n">
        <x:v>1</x:v>
      </x:c>
      <x:c r="D1749" s="11" t="n">
        <x:f>COUNTIF('Einzel-ID-Zuordnung'!$A$7:$A$2692,A1749)</x:f>
        <x:v>1</x:v>
      </x:c>
      <x:c r="E1749" s="11" t="n">
        <x:f>D1749-C1749</x:f>
        <x:v>0</x:v>
      </x:c>
      <x:c r="F1749" s="5" t="str">
        <x:v>nicht Pilot</x:v>
      </x:c>
      <x:c r="G1749" s="5" t="str">
        <x:v>HQ</x:v>
      </x:c>
    </x:row>
    <x:row r="1750" ht="36" customHeight="1">
      <x:c r="A1750" s="5" t="str">
        <x:v>FC-0040</x:v>
      </x:c>
      <x:c r="B1750" s="5" t="str">
        <x:v>Betriebliches Rechnungswesen und Controlling</x:v>
      </x:c>
      <x:c r="C1750" s="11" t="n">
        <x:v>1</x:v>
      </x:c>
      <x:c r="D1750" s="11" t="n">
        <x:f>COUNTIF('Einzel-ID-Zuordnung'!$A$7:$A$2692,A1750)</x:f>
        <x:v>1</x:v>
      </x:c>
      <x:c r="E1750" s="11" t="n">
        <x:f>D1750-C1750</x:f>
        <x:v>0</x:v>
      </x:c>
      <x:c r="F1750" s="5" t="str">
        <x:v>nicht Pilot</x:v>
      </x:c>
      <x:c r="G1750" s="5" t="str">
        <x:v>HQ</x:v>
      </x:c>
    </x:row>
    <x:row r="1751" ht="36" customHeight="1">
      <x:c r="A1751" s="5" t="str">
        <x:v>FC-0041</x:v>
      </x:c>
      <x:c r="B1751" s="5" t="str">
        <x:v>Betriebliches Rechnungswesen und Controlling</x:v>
      </x:c>
      <x:c r="C1751" s="11" t="n">
        <x:v>1</x:v>
      </x:c>
      <x:c r="D1751" s="11" t="n">
        <x:f>COUNTIF('Einzel-ID-Zuordnung'!$A$7:$A$2692,A1751)</x:f>
        <x:v>1</x:v>
      </x:c>
      <x:c r="E1751" s="11" t="n">
        <x:f>D1751-C1751</x:f>
        <x:v>0</x:v>
      </x:c>
      <x:c r="F1751" s="5" t="str">
        <x:v>nicht Pilot</x:v>
      </x:c>
      <x:c r="G1751" s="5" t="str">
        <x:v>HQ</x:v>
      </x:c>
    </x:row>
    <x:row r="1752" ht="36" customHeight="1">
      <x:c r="A1752" s="5" t="str">
        <x:v>FC-0042</x:v>
      </x:c>
      <x:c r="B1752" s="5" t="str">
        <x:v>Betriebliches Rechnungswesen und Controlling</x:v>
      </x:c>
      <x:c r="C1752" s="11" t="n">
        <x:v>1</x:v>
      </x:c>
      <x:c r="D1752" s="11" t="n">
        <x:f>COUNTIF('Einzel-ID-Zuordnung'!$A$7:$A$2692,A1752)</x:f>
        <x:v>1</x:v>
      </x:c>
      <x:c r="E1752" s="11" t="n">
        <x:f>D1752-C1752</x:f>
        <x:v>0</x:v>
      </x:c>
      <x:c r="F1752" s="5" t="str">
        <x:v>nicht Pilot</x:v>
      </x:c>
      <x:c r="G1752" s="5" t="str">
        <x:v>HQ</x:v>
      </x:c>
    </x:row>
    <x:row r="1753" ht="36" customHeight="1">
      <x:c r="A1753" s="5" t="str">
        <x:v>FC-0043</x:v>
      </x:c>
      <x:c r="B1753" s="5" t="str">
        <x:v>Betriebliches Rechnungswesen und Controlling</x:v>
      </x:c>
      <x:c r="C1753" s="11" t="n">
        <x:v>1</x:v>
      </x:c>
      <x:c r="D1753" s="11" t="n">
        <x:f>COUNTIF('Einzel-ID-Zuordnung'!$A$7:$A$2692,A1753)</x:f>
        <x:v>1</x:v>
      </x:c>
      <x:c r="E1753" s="11" t="n">
        <x:f>D1753-C1753</x:f>
        <x:v>0</x:v>
      </x:c>
      <x:c r="F1753" s="5" t="str">
        <x:v>nicht Pilot</x:v>
      </x:c>
      <x:c r="G1753" s="5" t="str">
        <x:v>HQ</x:v>
      </x:c>
    </x:row>
    <x:row r="1754" ht="36" customHeight="1">
      <x:c r="A1754" s="5" t="str">
        <x:v>FC-0044</x:v>
      </x:c>
      <x:c r="B1754" s="5" t="str">
        <x:v>Betriebliches Rechnungswesen und Controlling</x:v>
      </x:c>
      <x:c r="C1754" s="11" t="n">
        <x:v>1</x:v>
      </x:c>
      <x:c r="D1754" s="11" t="n">
        <x:f>COUNTIF('Einzel-ID-Zuordnung'!$A$7:$A$2692,A1754)</x:f>
        <x:v>1</x:v>
      </x:c>
      <x:c r="E1754" s="11" t="n">
        <x:f>D1754-C1754</x:f>
        <x:v>0</x:v>
      </x:c>
      <x:c r="F1754" s="5" t="str">
        <x:v>nicht Pilot</x:v>
      </x:c>
      <x:c r="G1754" s="5" t="str">
        <x:v>HQ</x:v>
      </x:c>
    </x:row>
    <x:row r="1755" ht="36" customHeight="1">
      <x:c r="A1755" s="5" t="str">
        <x:v>FC-0045</x:v>
      </x:c>
      <x:c r="B1755" s="5" t="str">
        <x:v>Betriebliches Rechnungswesen und Controlling</x:v>
      </x:c>
      <x:c r="C1755" s="11" t="n">
        <x:v>1</x:v>
      </x:c>
      <x:c r="D1755" s="11" t="n">
        <x:f>COUNTIF('Einzel-ID-Zuordnung'!$A$7:$A$2692,A1755)</x:f>
        <x:v>1</x:v>
      </x:c>
      <x:c r="E1755" s="11" t="n">
        <x:f>D1755-C1755</x:f>
        <x:v>0</x:v>
      </x:c>
      <x:c r="F1755" s="5" t="str">
        <x:v>nicht Pilot</x:v>
      </x:c>
      <x:c r="G1755" s="5" t="str">
        <x:v>HQ</x:v>
      </x:c>
    </x:row>
    <x:row r="1756" ht="36" customHeight="1">
      <x:c r="A1756" s="5" t="str">
        <x:v>FC-0046</x:v>
      </x:c>
      <x:c r="B1756" s="5" t="str">
        <x:v>Betriebliches Rechnungswesen und Controlling</x:v>
      </x:c>
      <x:c r="C1756" s="11" t="n">
        <x:v>1</x:v>
      </x:c>
      <x:c r="D1756" s="11" t="n">
        <x:f>COUNTIF('Einzel-ID-Zuordnung'!$A$7:$A$2692,A1756)</x:f>
        <x:v>1</x:v>
      </x:c>
      <x:c r="E1756" s="11" t="n">
        <x:f>D1756-C1756</x:f>
        <x:v>0</x:v>
      </x:c>
      <x:c r="F1756" s="5" t="str">
        <x:v>nicht Pilot</x:v>
      </x:c>
      <x:c r="G1756" s="5" t="str">
        <x:v>HQ</x:v>
      </x:c>
    </x:row>
    <x:row r="1757" ht="36" customHeight="1">
      <x:c r="A1757" s="5" t="str">
        <x:v>FC-0047</x:v>
      </x:c>
      <x:c r="B1757" s="5" t="str">
        <x:v>Betriebliches Rechnungswesen und Controlling</x:v>
      </x:c>
      <x:c r="C1757" s="11" t="n">
        <x:v>1</x:v>
      </x:c>
      <x:c r="D1757" s="11" t="n">
        <x:f>COUNTIF('Einzel-ID-Zuordnung'!$A$7:$A$2692,A1757)</x:f>
        <x:v>1</x:v>
      </x:c>
      <x:c r="E1757" s="11" t="n">
        <x:f>D1757-C1757</x:f>
        <x:v>0</x:v>
      </x:c>
      <x:c r="F1757" s="5" t="str">
        <x:v>nicht Pilot</x:v>
      </x:c>
      <x:c r="G1757" s="5" t="str">
        <x:v>HQ</x:v>
      </x:c>
    </x:row>
    <x:row r="1758" ht="36" customHeight="1">
      <x:c r="A1758" s="5" t="str">
        <x:v>FC-0048</x:v>
      </x:c>
      <x:c r="B1758" s="5" t="str">
        <x:v>Betriebliches Rechnungswesen und Controlling</x:v>
      </x:c>
      <x:c r="C1758" s="11" t="n">
        <x:v>1</x:v>
      </x:c>
      <x:c r="D1758" s="11" t="n">
        <x:f>COUNTIF('Einzel-ID-Zuordnung'!$A$7:$A$2692,A1758)</x:f>
        <x:v>1</x:v>
      </x:c>
      <x:c r="E1758" s="11" t="n">
        <x:f>D1758-C1758</x:f>
        <x:v>0</x:v>
      </x:c>
      <x:c r="F1758" s="5" t="str">
        <x:v>nicht Pilot</x:v>
      </x:c>
      <x:c r="G1758" s="5" t="str">
        <x:v>HQ</x:v>
      </x:c>
    </x:row>
    <x:row r="1759" ht="36" customHeight="1">
      <x:c r="A1759" s="5" t="str">
        <x:v>FC-0049</x:v>
      </x:c>
      <x:c r="B1759" s="5" t="str">
        <x:v>Betriebliches Rechnungswesen und Controlling</x:v>
      </x:c>
      <x:c r="C1759" s="11" t="n">
        <x:v>1</x:v>
      </x:c>
      <x:c r="D1759" s="11" t="n">
        <x:f>COUNTIF('Einzel-ID-Zuordnung'!$A$7:$A$2692,A1759)</x:f>
        <x:v>1</x:v>
      </x:c>
      <x:c r="E1759" s="11" t="n">
        <x:f>D1759-C1759</x:f>
        <x:v>0</x:v>
      </x:c>
      <x:c r="F1759" s="5" t="str">
        <x:v>nicht Pilot</x:v>
      </x:c>
      <x:c r="G1759" s="5" t="str">
        <x:v>HQ</x:v>
      </x:c>
    </x:row>
    <x:row r="1760" ht="36" customHeight="1">
      <x:c r="A1760" s="5" t="str">
        <x:v>FC-0050</x:v>
      </x:c>
      <x:c r="B1760" s="5" t="str">
        <x:v>Betriebliches Rechnungswesen und Controlling</x:v>
      </x:c>
      <x:c r="C1760" s="11" t="n">
        <x:v>1</x:v>
      </x:c>
      <x:c r="D1760" s="11" t="n">
        <x:f>COUNTIF('Einzel-ID-Zuordnung'!$A$7:$A$2692,A1760)</x:f>
        <x:v>1</x:v>
      </x:c>
      <x:c r="E1760" s="11" t="n">
        <x:f>D1760-C1760</x:f>
        <x:v>0</x:v>
      </x:c>
      <x:c r="F1760" s="5" t="str">
        <x:v>nicht Pilot</x:v>
      </x:c>
      <x:c r="G1760" s="5" t="str">
        <x:v>HQ</x:v>
      </x:c>
    </x:row>
    <x:row r="1761" ht="36" customHeight="1">
      <x:c r="A1761" s="5" t="str">
        <x:v>FC-0051</x:v>
      </x:c>
      <x:c r="B1761" s="5" t="str">
        <x:v>Betriebliches Rechnungswesen und Controlling</x:v>
      </x:c>
      <x:c r="C1761" s="11" t="n">
        <x:v>1</x:v>
      </x:c>
      <x:c r="D1761" s="11" t="n">
        <x:f>COUNTIF('Einzel-ID-Zuordnung'!$A$7:$A$2692,A1761)</x:f>
        <x:v>1</x:v>
      </x:c>
      <x:c r="E1761" s="11" t="n">
        <x:f>D1761-C1761</x:f>
        <x:v>0</x:v>
      </x:c>
      <x:c r="F1761" s="5" t="str">
        <x:v>nicht Pilot</x:v>
      </x:c>
      <x:c r="G1761" s="5" t="str">
        <x:v>HQ</x:v>
      </x:c>
    </x:row>
    <x:row r="1762" ht="36" customHeight="1">
      <x:c r="A1762" s="5" t="str">
        <x:v>FC-0052</x:v>
      </x:c>
      <x:c r="B1762" s="5" t="str">
        <x:v>Betriebliches Rechnungswesen und Controlling</x:v>
      </x:c>
      <x:c r="C1762" s="11" t="n">
        <x:v>1</x:v>
      </x:c>
      <x:c r="D1762" s="11" t="n">
        <x:f>COUNTIF('Einzel-ID-Zuordnung'!$A$7:$A$2692,A1762)</x:f>
        <x:v>1</x:v>
      </x:c>
      <x:c r="E1762" s="11" t="n">
        <x:f>D1762-C1762</x:f>
        <x:v>0</x:v>
      </x:c>
      <x:c r="F1762" s="5" t="str">
        <x:v>nicht Pilot</x:v>
      </x:c>
      <x:c r="G1762" s="5" t="str">
        <x:v>HQ</x:v>
      </x:c>
    </x:row>
    <x:row r="1763" ht="36" customHeight="1">
      <x:c r="A1763" s="5" t="str">
        <x:v>FC-0053</x:v>
      </x:c>
      <x:c r="B1763" s="5" t="str">
        <x:v>Betriebliches Rechnungswesen und Controlling</x:v>
      </x:c>
      <x:c r="C1763" s="11" t="n">
        <x:v>1</x:v>
      </x:c>
      <x:c r="D1763" s="11" t="n">
        <x:f>COUNTIF('Einzel-ID-Zuordnung'!$A$7:$A$2692,A1763)</x:f>
        <x:v>1</x:v>
      </x:c>
      <x:c r="E1763" s="11" t="n">
        <x:f>D1763-C1763</x:f>
        <x:v>0</x:v>
      </x:c>
      <x:c r="F1763" s="5" t="str">
        <x:v>nicht Pilot</x:v>
      </x:c>
      <x:c r="G1763" s="5" t="str">
        <x:v>HQ</x:v>
      </x:c>
    </x:row>
    <x:row r="1764" ht="36" customHeight="1">
      <x:c r="A1764" s="5" t="str">
        <x:v>FC-0054</x:v>
      </x:c>
      <x:c r="B1764" s="5" t="str">
        <x:v>Betriebliches Rechnungswesen und Controlling</x:v>
      </x:c>
      <x:c r="C1764" s="11" t="n">
        <x:v>1</x:v>
      </x:c>
      <x:c r="D1764" s="11" t="n">
        <x:f>COUNTIF('Einzel-ID-Zuordnung'!$A$7:$A$2692,A1764)</x:f>
        <x:v>1</x:v>
      </x:c>
      <x:c r="E1764" s="11" t="n">
        <x:f>D1764-C1764</x:f>
        <x:v>0</x:v>
      </x:c>
      <x:c r="F1764" s="5" t="str">
        <x:v>nicht Pilot</x:v>
      </x:c>
      <x:c r="G1764" s="5" t="str">
        <x:v>HQ</x:v>
      </x:c>
    </x:row>
    <x:row r="1765" ht="36" customHeight="1">
      <x:c r="A1765" s="5" t="str">
        <x:v>FC-0055</x:v>
      </x:c>
      <x:c r="B1765" s="5" t="str">
        <x:v>Betriebliches Rechnungswesen und Controlling</x:v>
      </x:c>
      <x:c r="C1765" s="11" t="n">
        <x:v>1</x:v>
      </x:c>
      <x:c r="D1765" s="11" t="n">
        <x:f>COUNTIF('Einzel-ID-Zuordnung'!$A$7:$A$2692,A1765)</x:f>
        <x:v>1</x:v>
      </x:c>
      <x:c r="E1765" s="11" t="n">
        <x:f>D1765-C1765</x:f>
        <x:v>0</x:v>
      </x:c>
      <x:c r="F1765" s="5" t="str">
        <x:v>nicht Pilot</x:v>
      </x:c>
      <x:c r="G1765" s="5" t="str">
        <x:v>HQ</x:v>
      </x:c>
    </x:row>
    <x:row r="1766" ht="36" customHeight="1">
      <x:c r="A1766" s="5" t="str">
        <x:v>FC-0056</x:v>
      </x:c>
      <x:c r="B1766" s="5" t="str">
        <x:v>Betriebliches Rechnungswesen und Controlling</x:v>
      </x:c>
      <x:c r="C1766" s="11" t="n">
        <x:v>1</x:v>
      </x:c>
      <x:c r="D1766" s="11" t="n">
        <x:f>COUNTIF('Einzel-ID-Zuordnung'!$A$7:$A$2692,A1766)</x:f>
        <x:v>1</x:v>
      </x:c>
      <x:c r="E1766" s="11" t="n">
        <x:f>D1766-C1766</x:f>
        <x:v>0</x:v>
      </x:c>
      <x:c r="F1766" s="5" t="str">
        <x:v>nicht Pilot</x:v>
      </x:c>
      <x:c r="G1766" s="5" t="str">
        <x:v>HQ</x:v>
      </x:c>
    </x:row>
    <x:row r="1767" ht="36" customHeight="1">
      <x:c r="A1767" s="5" t="str">
        <x:v>FC-0057</x:v>
      </x:c>
      <x:c r="B1767" s="5" t="str">
        <x:v>Betriebliches Rechnungswesen und Controlling</x:v>
      </x:c>
      <x:c r="C1767" s="11" t="n">
        <x:v>1</x:v>
      </x:c>
      <x:c r="D1767" s="11" t="n">
        <x:f>COUNTIF('Einzel-ID-Zuordnung'!$A$7:$A$2692,A1767)</x:f>
        <x:v>1</x:v>
      </x:c>
      <x:c r="E1767" s="11" t="n">
        <x:f>D1767-C1767</x:f>
        <x:v>0</x:v>
      </x:c>
      <x:c r="F1767" s="5" t="str">
        <x:v>nicht Pilot</x:v>
      </x:c>
      <x:c r="G1767" s="5" t="str">
        <x:v>HQ</x:v>
      </x:c>
    </x:row>
    <x:row r="1768" ht="36" customHeight="1">
      <x:c r="A1768" s="5" t="str">
        <x:v>FC-0058</x:v>
      </x:c>
      <x:c r="B1768" s="5" t="str">
        <x:v>Betriebliches Rechnungswesen und Controlling</x:v>
      </x:c>
      <x:c r="C1768" s="11" t="n">
        <x:v>1</x:v>
      </x:c>
      <x:c r="D1768" s="11" t="n">
        <x:f>COUNTIF('Einzel-ID-Zuordnung'!$A$7:$A$2692,A1768)</x:f>
        <x:v>1</x:v>
      </x:c>
      <x:c r="E1768" s="11" t="n">
        <x:f>D1768-C1768</x:f>
        <x:v>0</x:v>
      </x:c>
      <x:c r="F1768" s="5" t="str">
        <x:v>nicht Pilot</x:v>
      </x:c>
      <x:c r="G1768" s="5" t="str">
        <x:v>HQ</x:v>
      </x:c>
    </x:row>
    <x:row r="1769" ht="36" customHeight="1">
      <x:c r="A1769" s="5" t="str">
        <x:v>FC-0059</x:v>
      </x:c>
      <x:c r="B1769" s="5" t="str">
        <x:v>Betriebliches Rechnungswesen und Controlling</x:v>
      </x:c>
      <x:c r="C1769" s="11" t="n">
        <x:v>1</x:v>
      </x:c>
      <x:c r="D1769" s="11" t="n">
        <x:f>COUNTIF('Einzel-ID-Zuordnung'!$A$7:$A$2692,A1769)</x:f>
        <x:v>1</x:v>
      </x:c>
      <x:c r="E1769" s="11" t="n">
        <x:f>D1769-C1769</x:f>
        <x:v>0</x:v>
      </x:c>
      <x:c r="F1769" s="5" t="str">
        <x:v>nicht Pilot</x:v>
      </x:c>
      <x:c r="G1769" s="5" t="str">
        <x:v>HQ</x:v>
      </x:c>
    </x:row>
    <x:row r="1770" ht="36" customHeight="1">
      <x:c r="A1770" s="5" t="str">
        <x:v>FC-0060</x:v>
      </x:c>
      <x:c r="B1770" s="5" t="str">
        <x:v>Betriebliches Rechnungswesen und Controlling</x:v>
      </x:c>
      <x:c r="C1770" s="11" t="n">
        <x:v>1</x:v>
      </x:c>
      <x:c r="D1770" s="11" t="n">
        <x:f>COUNTIF('Einzel-ID-Zuordnung'!$A$7:$A$2692,A1770)</x:f>
        <x:v>1</x:v>
      </x:c>
      <x:c r="E1770" s="11" t="n">
        <x:f>D1770-C1770</x:f>
        <x:v>0</x:v>
      </x:c>
      <x:c r="F1770" s="5" t="str">
        <x:v>nicht Pilot</x:v>
      </x:c>
      <x:c r="G1770" s="5" t="str">
        <x:v>HQ</x:v>
      </x:c>
    </x:row>
    <x:row r="1771" ht="36" customHeight="1">
      <x:c r="A1771" s="5" t="str">
        <x:v>FC-0061</x:v>
      </x:c>
      <x:c r="B1771" s="5" t="str">
        <x:v>Betriebliches Rechnungswesen und Controlling</x:v>
      </x:c>
      <x:c r="C1771" s="11" t="n">
        <x:v>1</x:v>
      </x:c>
      <x:c r="D1771" s="11" t="n">
        <x:f>COUNTIF('Einzel-ID-Zuordnung'!$A$7:$A$2692,A1771)</x:f>
        <x:v>1</x:v>
      </x:c>
      <x:c r="E1771" s="11" t="n">
        <x:f>D1771-C1771</x:f>
        <x:v>0</x:v>
      </x:c>
      <x:c r="F1771" s="5" t="str">
        <x:v>nicht Pilot</x:v>
      </x:c>
      <x:c r="G1771" s="5" t="str">
        <x:v>HQ</x:v>
      </x:c>
    </x:row>
    <x:row r="1772" ht="36" customHeight="1">
      <x:c r="A1772" s="5" t="str">
        <x:v>FC-0062</x:v>
      </x:c>
      <x:c r="B1772" s="5" t="str">
        <x:v>Betriebliches Rechnungswesen und Controlling</x:v>
      </x:c>
      <x:c r="C1772" s="11" t="n">
        <x:v>1</x:v>
      </x:c>
      <x:c r="D1772" s="11" t="n">
        <x:f>COUNTIF('Einzel-ID-Zuordnung'!$A$7:$A$2692,A1772)</x:f>
        <x:v>1</x:v>
      </x:c>
      <x:c r="E1772" s="11" t="n">
        <x:f>D1772-C1772</x:f>
        <x:v>0</x:v>
      </x:c>
      <x:c r="F1772" s="5" t="str">
        <x:v>nicht Pilot</x:v>
      </x:c>
      <x:c r="G1772" s="5" t="str">
        <x:v>HQ</x:v>
      </x:c>
    </x:row>
    <x:row r="1773" ht="36" customHeight="1">
      <x:c r="A1773" s="5" t="str">
        <x:v>FC-0063</x:v>
      </x:c>
      <x:c r="B1773" s="5" t="str">
        <x:v>Betriebliches Rechnungswesen und Controlling</x:v>
      </x:c>
      <x:c r="C1773" s="11" t="n">
        <x:v>1</x:v>
      </x:c>
      <x:c r="D1773" s="11" t="n">
        <x:f>COUNTIF('Einzel-ID-Zuordnung'!$A$7:$A$2692,A1773)</x:f>
        <x:v>1</x:v>
      </x:c>
      <x:c r="E1773" s="11" t="n">
        <x:f>D1773-C1773</x:f>
        <x:v>0</x:v>
      </x:c>
      <x:c r="F1773" s="5" t="str">
        <x:v>nicht Pilot</x:v>
      </x:c>
      <x:c r="G1773" s="5" t="str">
        <x:v>HQ</x:v>
      </x:c>
    </x:row>
    <x:row r="1774" ht="36" customHeight="1">
      <x:c r="A1774" s="5" t="str">
        <x:v>FC-0064</x:v>
      </x:c>
      <x:c r="B1774" s="5" t="str">
        <x:v>Betriebliches Rechnungswesen und Controlling</x:v>
      </x:c>
      <x:c r="C1774" s="11" t="n">
        <x:v>1</x:v>
      </x:c>
      <x:c r="D1774" s="11" t="n">
        <x:f>COUNTIF('Einzel-ID-Zuordnung'!$A$7:$A$2692,A1774)</x:f>
        <x:v>1</x:v>
      </x:c>
      <x:c r="E1774" s="11" t="n">
        <x:f>D1774-C1774</x:f>
        <x:v>0</x:v>
      </x:c>
      <x:c r="F1774" s="5" t="str">
        <x:v>nicht Pilot</x:v>
      </x:c>
      <x:c r="G1774" s="5" t="str">
        <x:v>HQ</x:v>
      </x:c>
    </x:row>
    <x:row r="1775" ht="36" customHeight="1">
      <x:c r="A1775" s="5" t="str">
        <x:v>FC-0065</x:v>
      </x:c>
      <x:c r="B1775" s="5" t="str">
        <x:v>Betriebliches Rechnungswesen und Controlling</x:v>
      </x:c>
      <x:c r="C1775" s="11" t="n">
        <x:v>1</x:v>
      </x:c>
      <x:c r="D1775" s="11" t="n">
        <x:f>COUNTIF('Einzel-ID-Zuordnung'!$A$7:$A$2692,A1775)</x:f>
        <x:v>1</x:v>
      </x:c>
      <x:c r="E1775" s="11" t="n">
        <x:f>D1775-C1775</x:f>
        <x:v>0</x:v>
      </x:c>
      <x:c r="F1775" s="5" t="str">
        <x:v>nicht Pilot</x:v>
      </x:c>
      <x:c r="G1775" s="5" t="str">
        <x:v>HQ</x:v>
      </x:c>
    </x:row>
    <x:row r="1776" ht="36" customHeight="1">
      <x:c r="A1776" s="5" t="str">
        <x:v>FC-0066</x:v>
      </x:c>
      <x:c r="B1776" s="5" t="str">
        <x:v>Betriebliches Rechnungswesen und Controlling</x:v>
      </x:c>
      <x:c r="C1776" s="11" t="n">
        <x:v>1</x:v>
      </x:c>
      <x:c r="D1776" s="11" t="n">
        <x:f>COUNTIF('Einzel-ID-Zuordnung'!$A$7:$A$2692,A1776)</x:f>
        <x:v>1</x:v>
      </x:c>
      <x:c r="E1776" s="11" t="n">
        <x:f>D1776-C1776</x:f>
        <x:v>0</x:v>
      </x:c>
      <x:c r="F1776" s="5" t="str">
        <x:v>nicht Pilot</x:v>
      </x:c>
      <x:c r="G1776" s="5" t="str">
        <x:v>HQ</x:v>
      </x:c>
    </x:row>
    <x:row r="1777" ht="36" customHeight="1">
      <x:c r="A1777" s="5" t="str">
        <x:v>FC-0067</x:v>
      </x:c>
      <x:c r="B1777" s="5" t="str">
        <x:v>Betriebliches Rechnungswesen und Controlling</x:v>
      </x:c>
      <x:c r="C1777" s="11" t="n">
        <x:v>1</x:v>
      </x:c>
      <x:c r="D1777" s="11" t="n">
        <x:f>COUNTIF('Einzel-ID-Zuordnung'!$A$7:$A$2692,A1777)</x:f>
        <x:v>1</x:v>
      </x:c>
      <x:c r="E1777" s="11" t="n">
        <x:f>D1777-C1777</x:f>
        <x:v>0</x:v>
      </x:c>
      <x:c r="F1777" s="5" t="str">
        <x:v>nicht Pilot</x:v>
      </x:c>
      <x:c r="G1777" s="5" t="str">
        <x:v>HQ</x:v>
      </x:c>
    </x:row>
    <x:row r="1778" ht="36" customHeight="1">
      <x:c r="A1778" s="5" t="str">
        <x:v>FC-0068</x:v>
      </x:c>
      <x:c r="B1778" s="5" t="str">
        <x:v>Betriebliches Rechnungswesen und Controlling</x:v>
      </x:c>
      <x:c r="C1778" s="11" t="n">
        <x:v>1</x:v>
      </x:c>
      <x:c r="D1778" s="11" t="n">
        <x:f>COUNTIF('Einzel-ID-Zuordnung'!$A$7:$A$2692,A1778)</x:f>
        <x:v>1</x:v>
      </x:c>
      <x:c r="E1778" s="11" t="n">
        <x:f>D1778-C1778</x:f>
        <x:v>0</x:v>
      </x:c>
      <x:c r="F1778" s="5" t="str">
        <x:v>nicht Pilot</x:v>
      </x:c>
      <x:c r="G1778" s="5" t="str">
        <x:v>HQ</x:v>
      </x:c>
    </x:row>
    <x:row r="1779" ht="36" customHeight="1">
      <x:c r="A1779" s="5" t="str">
        <x:v>FC-0069</x:v>
      </x:c>
      <x:c r="B1779" s="5" t="str">
        <x:v>Betriebliches Rechnungswesen und Controlling</x:v>
      </x:c>
      <x:c r="C1779" s="11" t="n">
        <x:v>1</x:v>
      </x:c>
      <x:c r="D1779" s="11" t="n">
        <x:f>COUNTIF('Einzel-ID-Zuordnung'!$A$7:$A$2692,A1779)</x:f>
        <x:v>1</x:v>
      </x:c>
      <x:c r="E1779" s="11" t="n">
        <x:f>D1779-C1779</x:f>
        <x:v>0</x:v>
      </x:c>
      <x:c r="F1779" s="5" t="str">
        <x:v>nicht Pilot</x:v>
      </x:c>
      <x:c r="G1779" s="5" t="str">
        <x:v>HQ</x:v>
      </x:c>
    </x:row>
    <x:row r="1780" ht="36" customHeight="1">
      <x:c r="A1780" s="5" t="str">
        <x:v>FC-0070</x:v>
      </x:c>
      <x:c r="B1780" s="5" t="str">
        <x:v>Betriebliches Rechnungswesen und Controlling</x:v>
      </x:c>
      <x:c r="C1780" s="11" t="n">
        <x:v>1</x:v>
      </x:c>
      <x:c r="D1780" s="11" t="n">
        <x:f>COUNTIF('Einzel-ID-Zuordnung'!$A$7:$A$2692,A1780)</x:f>
        <x:v>1</x:v>
      </x:c>
      <x:c r="E1780" s="11" t="n">
        <x:f>D1780-C1780</x:f>
        <x:v>0</x:v>
      </x:c>
      <x:c r="F1780" s="5" t="str">
        <x:v>nicht Pilot</x:v>
      </x:c>
      <x:c r="G1780" s="5" t="str">
        <x:v>HQ</x:v>
      </x:c>
    </x:row>
    <x:row r="1781" ht="36" customHeight="1">
      <x:c r="A1781" s="5" t="str">
        <x:v>FC-0071</x:v>
      </x:c>
      <x:c r="B1781" s="5" t="str">
        <x:v>Betriebliches Rechnungswesen und Controlling</x:v>
      </x:c>
      <x:c r="C1781" s="11" t="n">
        <x:v>1</x:v>
      </x:c>
      <x:c r="D1781" s="11" t="n">
        <x:f>COUNTIF('Einzel-ID-Zuordnung'!$A$7:$A$2692,A1781)</x:f>
        <x:v>1</x:v>
      </x:c>
      <x:c r="E1781" s="11" t="n">
        <x:f>D1781-C1781</x:f>
        <x:v>0</x:v>
      </x:c>
      <x:c r="F1781" s="5" t="str">
        <x:v>nicht Pilot</x:v>
      </x:c>
      <x:c r="G1781" s="5" t="str">
        <x:v>HQ</x:v>
      </x:c>
    </x:row>
    <x:row r="1782" ht="36" customHeight="1">
      <x:c r="A1782" s="5" t="str">
        <x:v>FC-0072</x:v>
      </x:c>
      <x:c r="B1782" s="5" t="str">
        <x:v>Betriebliches Rechnungswesen und Controlling</x:v>
      </x:c>
      <x:c r="C1782" s="11" t="n">
        <x:v>1</x:v>
      </x:c>
      <x:c r="D1782" s="11" t="n">
        <x:f>COUNTIF('Einzel-ID-Zuordnung'!$A$7:$A$2692,A1782)</x:f>
        <x:v>1</x:v>
      </x:c>
      <x:c r="E1782" s="11" t="n">
        <x:f>D1782-C1782</x:f>
        <x:v>0</x:v>
      </x:c>
      <x:c r="F1782" s="5" t="str">
        <x:v>nicht Pilot</x:v>
      </x:c>
      <x:c r="G1782" s="5" t="str">
        <x:v>HQ</x:v>
      </x:c>
    </x:row>
    <x:row r="1783" ht="36" customHeight="1">
      <x:c r="A1783" s="5" t="str">
        <x:v>FC-0073</x:v>
      </x:c>
      <x:c r="B1783" s="5" t="str">
        <x:v>Betriebliches Rechnungswesen und Controlling</x:v>
      </x:c>
      <x:c r="C1783" s="11" t="n">
        <x:v>1</x:v>
      </x:c>
      <x:c r="D1783" s="11" t="n">
        <x:f>COUNTIF('Einzel-ID-Zuordnung'!$A$7:$A$2692,A1783)</x:f>
        <x:v>1</x:v>
      </x:c>
      <x:c r="E1783" s="11" t="n">
        <x:f>D1783-C1783</x:f>
        <x:v>0</x:v>
      </x:c>
      <x:c r="F1783" s="5" t="str">
        <x:v>nicht Pilot</x:v>
      </x:c>
      <x:c r="G1783" s="5" t="str">
        <x:v>HQ</x:v>
      </x:c>
    </x:row>
    <x:row r="1784" ht="36" customHeight="1">
      <x:c r="A1784" s="5" t="str">
        <x:v>FC-0074</x:v>
      </x:c>
      <x:c r="B1784" s="5" t="str">
        <x:v>Betriebliches Rechnungswesen und Controlling</x:v>
      </x:c>
      <x:c r="C1784" s="11" t="n">
        <x:v>1</x:v>
      </x:c>
      <x:c r="D1784" s="11" t="n">
        <x:f>COUNTIF('Einzel-ID-Zuordnung'!$A$7:$A$2692,A1784)</x:f>
        <x:v>1</x:v>
      </x:c>
      <x:c r="E1784" s="11" t="n">
        <x:f>D1784-C1784</x:f>
        <x:v>0</x:v>
      </x:c>
      <x:c r="F1784" s="5" t="str">
        <x:v>nicht Pilot</x:v>
      </x:c>
      <x:c r="G1784" s="5" t="str">
        <x:v>HQ</x:v>
      </x:c>
    </x:row>
    <x:row r="1785" ht="36" customHeight="1">
      <x:c r="A1785" s="5" t="str">
        <x:v>FC-0075</x:v>
      </x:c>
      <x:c r="B1785" s="5" t="str">
        <x:v>Betriebliches Rechnungswesen und Controlling</x:v>
      </x:c>
      <x:c r="C1785" s="11" t="n">
        <x:v>1</x:v>
      </x:c>
      <x:c r="D1785" s="11" t="n">
        <x:f>COUNTIF('Einzel-ID-Zuordnung'!$A$7:$A$2692,A1785)</x:f>
        <x:v>1</x:v>
      </x:c>
      <x:c r="E1785" s="11" t="n">
        <x:f>D1785-C1785</x:f>
        <x:v>0</x:v>
      </x:c>
      <x:c r="F1785" s="5" t="str">
        <x:v>nicht Pilot</x:v>
      </x:c>
      <x:c r="G1785" s="5" t="str">
        <x:v>HQ</x:v>
      </x:c>
    </x:row>
    <x:row r="1786" ht="36" customHeight="1">
      <x:c r="A1786" s="5" t="str">
        <x:v>FC-0076</x:v>
      </x:c>
      <x:c r="B1786" s="5" t="str">
        <x:v>Betriebliches Rechnungswesen und Controlling</x:v>
      </x:c>
      <x:c r="C1786" s="11" t="n">
        <x:v>1</x:v>
      </x:c>
      <x:c r="D1786" s="11" t="n">
        <x:f>COUNTIF('Einzel-ID-Zuordnung'!$A$7:$A$2692,A1786)</x:f>
        <x:v>1</x:v>
      </x:c>
      <x:c r="E1786" s="11" t="n">
        <x:f>D1786-C1786</x:f>
        <x:v>0</x:v>
      </x:c>
      <x:c r="F1786" s="5" t="str">
        <x:v>nicht Pilot</x:v>
      </x:c>
      <x:c r="G1786" s="5" t="str">
        <x:v>HQ</x:v>
      </x:c>
    </x:row>
    <x:row r="1787" ht="36" customHeight="1">
      <x:c r="A1787" s="5" t="str">
        <x:v>FC-0077</x:v>
      </x:c>
      <x:c r="B1787" s="5" t="str">
        <x:v>Betriebliches Rechnungswesen und Controlling</x:v>
      </x:c>
      <x:c r="C1787" s="11" t="n">
        <x:v>1</x:v>
      </x:c>
      <x:c r="D1787" s="11" t="n">
        <x:f>COUNTIF('Einzel-ID-Zuordnung'!$A$7:$A$2692,A1787)</x:f>
        <x:v>1</x:v>
      </x:c>
      <x:c r="E1787" s="11" t="n">
        <x:f>D1787-C1787</x:f>
        <x:v>0</x:v>
      </x:c>
      <x:c r="F1787" s="5" t="str">
        <x:v>nicht Pilot</x:v>
      </x:c>
      <x:c r="G1787" s="5" t="str">
        <x:v>HQ</x:v>
      </x:c>
    </x:row>
    <x:row r="1788" ht="36" customHeight="1">
      <x:c r="A1788" s="5" t="str">
        <x:v>FC-0078</x:v>
      </x:c>
      <x:c r="B1788" s="5" t="str">
        <x:v>Betriebliches Rechnungswesen und Controlling</x:v>
      </x:c>
      <x:c r="C1788" s="11" t="n">
        <x:v>1</x:v>
      </x:c>
      <x:c r="D1788" s="11" t="n">
        <x:f>COUNTIF('Einzel-ID-Zuordnung'!$A$7:$A$2692,A1788)</x:f>
        <x:v>1</x:v>
      </x:c>
      <x:c r="E1788" s="11" t="n">
        <x:f>D1788-C1788</x:f>
        <x:v>0</x:v>
      </x:c>
      <x:c r="F1788" s="5" t="str">
        <x:v>nicht Pilot</x:v>
      </x:c>
      <x:c r="G1788" s="5" t="str">
        <x:v>HQ</x:v>
      </x:c>
    </x:row>
    <x:row r="1789" ht="36" customHeight="1">
      <x:c r="A1789" s="5" t="str">
        <x:v>FC-0079</x:v>
      </x:c>
      <x:c r="B1789" s="5" t="str">
        <x:v>Betriebliches Rechnungswesen und Controlling</x:v>
      </x:c>
      <x:c r="C1789" s="11" t="n">
        <x:v>1</x:v>
      </x:c>
      <x:c r="D1789" s="11" t="n">
        <x:f>COUNTIF('Einzel-ID-Zuordnung'!$A$7:$A$2692,A1789)</x:f>
        <x:v>1</x:v>
      </x:c>
      <x:c r="E1789" s="11" t="n">
        <x:f>D1789-C1789</x:f>
        <x:v>0</x:v>
      </x:c>
      <x:c r="F1789" s="5" t="str">
        <x:v>nicht Pilot</x:v>
      </x:c>
      <x:c r="G1789" s="5" t="str">
        <x:v>HQ</x:v>
      </x:c>
    </x:row>
    <x:row r="1790" ht="36" customHeight="1">
      <x:c r="A1790" s="5" t="str">
        <x:v>FC-0080</x:v>
      </x:c>
      <x:c r="B1790" s="5" t="str">
        <x:v>Betriebliches Rechnungswesen und Controlling</x:v>
      </x:c>
      <x:c r="C1790" s="11" t="n">
        <x:v>1</x:v>
      </x:c>
      <x:c r="D1790" s="11" t="n">
        <x:f>COUNTIF('Einzel-ID-Zuordnung'!$A$7:$A$2692,A1790)</x:f>
        <x:v>1</x:v>
      </x:c>
      <x:c r="E1790" s="11" t="n">
        <x:f>D1790-C1790</x:f>
        <x:v>0</x:v>
      </x:c>
      <x:c r="F1790" s="5" t="str">
        <x:v>nicht Pilot</x:v>
      </x:c>
      <x:c r="G1790" s="5" t="str">
        <x:v>HQ</x:v>
      </x:c>
    </x:row>
    <x:row r="1791" ht="36" customHeight="1">
      <x:c r="A1791" s="5" t="str">
        <x:v>FC-0081</x:v>
      </x:c>
      <x:c r="B1791" s="5" t="str">
        <x:v>Betriebliches Rechnungswesen und Controlling</x:v>
      </x:c>
      <x:c r="C1791" s="11" t="n">
        <x:v>1</x:v>
      </x:c>
      <x:c r="D1791" s="11" t="n">
        <x:f>COUNTIF('Einzel-ID-Zuordnung'!$A$7:$A$2692,A1791)</x:f>
        <x:v>1</x:v>
      </x:c>
      <x:c r="E1791" s="11" t="n">
        <x:f>D1791-C1791</x:f>
        <x:v>0</x:v>
      </x:c>
      <x:c r="F1791" s="5" t="str">
        <x:v>nicht Pilot</x:v>
      </x:c>
      <x:c r="G1791" s="5" t="str">
        <x:v>HQ</x:v>
      </x:c>
    </x:row>
    <x:row r="1792" ht="36" customHeight="1">
      <x:c r="A1792" s="5" t="str">
        <x:v>FC-0082</x:v>
      </x:c>
      <x:c r="B1792" s="5" t="str">
        <x:v>Betriebliches Rechnungswesen und Controlling</x:v>
      </x:c>
      <x:c r="C1792" s="11" t="n">
        <x:v>1</x:v>
      </x:c>
      <x:c r="D1792" s="11" t="n">
        <x:f>COUNTIF('Einzel-ID-Zuordnung'!$A$7:$A$2692,A1792)</x:f>
        <x:v>1</x:v>
      </x:c>
      <x:c r="E1792" s="11" t="n">
        <x:f>D1792-C1792</x:f>
        <x:v>0</x:v>
      </x:c>
      <x:c r="F1792" s="5" t="str">
        <x:v>nicht Pilot</x:v>
      </x:c>
      <x:c r="G1792" s="5" t="str">
        <x:v>HQ</x:v>
      </x:c>
    </x:row>
    <x:row r="1793" ht="36" customHeight="1">
      <x:c r="A1793" s="5" t="str">
        <x:v>FC-0083</x:v>
      </x:c>
      <x:c r="B1793" s="5" t="str">
        <x:v>Betriebliches Rechnungswesen und Controlling</x:v>
      </x:c>
      <x:c r="C1793" s="11" t="n">
        <x:v>1</x:v>
      </x:c>
      <x:c r="D1793" s="11" t="n">
        <x:f>COUNTIF('Einzel-ID-Zuordnung'!$A$7:$A$2692,A1793)</x:f>
        <x:v>1</x:v>
      </x:c>
      <x:c r="E1793" s="11" t="n">
        <x:f>D1793-C1793</x:f>
        <x:v>0</x:v>
      </x:c>
      <x:c r="F1793" s="5" t="str">
        <x:v>nicht Pilot</x:v>
      </x:c>
      <x:c r="G1793" s="5" t="str">
        <x:v>HQ</x:v>
      </x:c>
    </x:row>
    <x:row r="1794" ht="36" customHeight="1">
      <x:c r="A1794" s="5" t="str">
        <x:v>FC-0084</x:v>
      </x:c>
      <x:c r="B1794" s="5" t="str">
        <x:v>Betriebliches Rechnungswesen und Controlling</x:v>
      </x:c>
      <x:c r="C1794" s="11" t="n">
        <x:v>1</x:v>
      </x:c>
      <x:c r="D1794" s="11" t="n">
        <x:f>COUNTIF('Einzel-ID-Zuordnung'!$A$7:$A$2692,A1794)</x:f>
        <x:v>1</x:v>
      </x:c>
      <x:c r="E1794" s="11" t="n">
        <x:f>D1794-C1794</x:f>
        <x:v>0</x:v>
      </x:c>
      <x:c r="F1794" s="5" t="str">
        <x:v>nicht Pilot</x:v>
      </x:c>
      <x:c r="G1794" s="5" t="str">
        <x:v>HQ</x:v>
      </x:c>
    </x:row>
    <x:row r="1795" ht="36" customHeight="1">
      <x:c r="A1795" s="5" t="str">
        <x:v>FC-0085</x:v>
      </x:c>
      <x:c r="B1795" s="5" t="str">
        <x:v>Betriebliches Rechnungswesen und Controlling</x:v>
      </x:c>
      <x:c r="C1795" s="11" t="n">
        <x:v>1</x:v>
      </x:c>
      <x:c r="D1795" s="11" t="n">
        <x:f>COUNTIF('Einzel-ID-Zuordnung'!$A$7:$A$2692,A1795)</x:f>
        <x:v>1</x:v>
      </x:c>
      <x:c r="E1795" s="11" t="n">
        <x:f>D1795-C1795</x:f>
        <x:v>0</x:v>
      </x:c>
      <x:c r="F1795" s="5" t="str">
        <x:v>nicht Pilot</x:v>
      </x:c>
      <x:c r="G1795" s="5" t="str">
        <x:v>HQ</x:v>
      </x:c>
    </x:row>
    <x:row r="1796" ht="36" customHeight="1">
      <x:c r="A1796" s="5" t="str">
        <x:v>FC-0086</x:v>
      </x:c>
      <x:c r="B1796" s="5" t="str">
        <x:v>Betriebliches Rechnungswesen und Controlling</x:v>
      </x:c>
      <x:c r="C1796" s="11" t="n">
        <x:v>1</x:v>
      </x:c>
      <x:c r="D1796" s="11" t="n">
        <x:f>COUNTIF('Einzel-ID-Zuordnung'!$A$7:$A$2692,A1796)</x:f>
        <x:v>1</x:v>
      </x:c>
      <x:c r="E1796" s="11" t="n">
        <x:f>D1796-C1796</x:f>
        <x:v>0</x:v>
      </x:c>
      <x:c r="F1796" s="5" t="str">
        <x:v>nicht Pilot</x:v>
      </x:c>
      <x:c r="G1796" s="5" t="str">
        <x:v>HQ</x:v>
      </x:c>
    </x:row>
    <x:row r="1797" ht="36" customHeight="1">
      <x:c r="A1797" s="5" t="str">
        <x:v>FC-0087</x:v>
      </x:c>
      <x:c r="B1797" s="5" t="str">
        <x:v>Betriebliches Rechnungswesen und Controlling</x:v>
      </x:c>
      <x:c r="C1797" s="11" t="n">
        <x:v>1</x:v>
      </x:c>
      <x:c r="D1797" s="11" t="n">
        <x:f>COUNTIF('Einzel-ID-Zuordnung'!$A$7:$A$2692,A1797)</x:f>
        <x:v>1</x:v>
      </x:c>
      <x:c r="E1797" s="11" t="n">
        <x:f>D1797-C1797</x:f>
        <x:v>0</x:v>
      </x:c>
      <x:c r="F1797" s="5" t="str">
        <x:v>nicht Pilot</x:v>
      </x:c>
      <x:c r="G1797" s="5" t="str">
        <x:v>HQ</x:v>
      </x:c>
    </x:row>
    <x:row r="1798" ht="36" customHeight="1">
      <x:c r="A1798" s="5" t="str">
        <x:v>FC-0088</x:v>
      </x:c>
      <x:c r="B1798" s="5" t="str">
        <x:v>Betriebliches Rechnungswesen und Controlling</x:v>
      </x:c>
      <x:c r="C1798" s="11" t="n">
        <x:v>1</x:v>
      </x:c>
      <x:c r="D1798" s="11" t="n">
        <x:f>COUNTIF('Einzel-ID-Zuordnung'!$A$7:$A$2692,A1798)</x:f>
        <x:v>1</x:v>
      </x:c>
      <x:c r="E1798" s="11" t="n">
        <x:f>D1798-C1798</x:f>
        <x:v>0</x:v>
      </x:c>
      <x:c r="F1798" s="5" t="str">
        <x:v>nicht Pilot</x:v>
      </x:c>
      <x:c r="G1798" s="5" t="str">
        <x:v>HQ</x:v>
      </x:c>
    </x:row>
    <x:row r="1799" ht="36" customHeight="1">
      <x:c r="A1799" s="5" t="str">
        <x:v>FC-0089</x:v>
      </x:c>
      <x:c r="B1799" s="5" t="str">
        <x:v>Betriebliches Rechnungswesen und Controlling</x:v>
      </x:c>
      <x:c r="C1799" s="11" t="n">
        <x:v>1</x:v>
      </x:c>
      <x:c r="D1799" s="11" t="n">
        <x:f>COUNTIF('Einzel-ID-Zuordnung'!$A$7:$A$2692,A1799)</x:f>
        <x:v>1</x:v>
      </x:c>
      <x:c r="E1799" s="11" t="n">
        <x:f>D1799-C1799</x:f>
        <x:v>0</x:v>
      </x:c>
      <x:c r="F1799" s="5" t="str">
        <x:v>nicht Pilot</x:v>
      </x:c>
      <x:c r="G1799" s="5" t="str">
        <x:v>HQ</x:v>
      </x:c>
    </x:row>
    <x:row r="1800" ht="36" customHeight="1">
      <x:c r="A1800" s="5" t="str">
        <x:v>FC-0090</x:v>
      </x:c>
      <x:c r="B1800" s="5" t="str">
        <x:v>Betriebliches Rechnungswesen und Controlling</x:v>
      </x:c>
      <x:c r="C1800" s="11" t="n">
        <x:v>1</x:v>
      </x:c>
      <x:c r="D1800" s="11" t="n">
        <x:f>COUNTIF('Einzel-ID-Zuordnung'!$A$7:$A$2692,A1800)</x:f>
        <x:v>1</x:v>
      </x:c>
      <x:c r="E1800" s="11" t="n">
        <x:f>D1800-C1800</x:f>
        <x:v>0</x:v>
      </x:c>
      <x:c r="F1800" s="5" t="str">
        <x:v>nicht Pilot</x:v>
      </x:c>
      <x:c r="G1800" s="5" t="str">
        <x:v>HQ</x:v>
      </x:c>
    </x:row>
    <x:row r="1801" ht="36" customHeight="1">
      <x:c r="A1801" s="5" t="str">
        <x:v>FC-0091</x:v>
      </x:c>
      <x:c r="B1801" s="5" t="str">
        <x:v>Betriebliches Rechnungswesen und Controlling</x:v>
      </x:c>
      <x:c r="C1801" s="11" t="n">
        <x:v>1</x:v>
      </x:c>
      <x:c r="D1801" s="11" t="n">
        <x:f>COUNTIF('Einzel-ID-Zuordnung'!$A$7:$A$2692,A1801)</x:f>
        <x:v>1</x:v>
      </x:c>
      <x:c r="E1801" s="11" t="n">
        <x:f>D1801-C1801</x:f>
        <x:v>0</x:v>
      </x:c>
      <x:c r="F1801" s="5" t="str">
        <x:v>nicht Pilot</x:v>
      </x:c>
      <x:c r="G1801" s="5" t="str">
        <x:v>HQ</x:v>
      </x:c>
    </x:row>
    <x:row r="1802" ht="36" customHeight="1">
      <x:c r="A1802" s="5" t="str">
        <x:v>FC-0092</x:v>
      </x:c>
      <x:c r="B1802" s="5" t="str">
        <x:v>Betriebliches Rechnungswesen und Controlling</x:v>
      </x:c>
      <x:c r="C1802" s="11" t="n">
        <x:v>1</x:v>
      </x:c>
      <x:c r="D1802" s="11" t="n">
        <x:f>COUNTIF('Einzel-ID-Zuordnung'!$A$7:$A$2692,A1802)</x:f>
        <x:v>1</x:v>
      </x:c>
      <x:c r="E1802" s="11" t="n">
        <x:f>D1802-C1802</x:f>
        <x:v>0</x:v>
      </x:c>
      <x:c r="F1802" s="5" t="str">
        <x:v>nicht Pilot</x:v>
      </x:c>
      <x:c r="G1802" s="5" t="str">
        <x:v>HQ</x:v>
      </x:c>
    </x:row>
    <x:row r="1803" ht="36" customHeight="1">
      <x:c r="A1803" s="5" t="str">
        <x:v>FC-0093</x:v>
      </x:c>
      <x:c r="B1803" s="5" t="str">
        <x:v>Betriebliches Rechnungswesen und Controlling</x:v>
      </x:c>
      <x:c r="C1803" s="11" t="n">
        <x:v>1</x:v>
      </x:c>
      <x:c r="D1803" s="11" t="n">
        <x:f>COUNTIF('Einzel-ID-Zuordnung'!$A$7:$A$2692,A1803)</x:f>
        <x:v>1</x:v>
      </x:c>
      <x:c r="E1803" s="11" t="n">
        <x:f>D1803-C1803</x:f>
        <x:v>0</x:v>
      </x:c>
      <x:c r="F1803" s="5" t="str">
        <x:v>nicht Pilot</x:v>
      </x:c>
      <x:c r="G1803" s="5" t="str">
        <x:v>HQ</x:v>
      </x:c>
    </x:row>
    <x:row r="1804" ht="36" customHeight="1">
      <x:c r="A1804" s="5" t="str">
        <x:v>FC-0094</x:v>
      </x:c>
      <x:c r="B1804" s="5" t="str">
        <x:v>Betriebliches Rechnungswesen und Controlling</x:v>
      </x:c>
      <x:c r="C1804" s="11" t="n">
        <x:v>1</x:v>
      </x:c>
      <x:c r="D1804" s="11" t="n">
        <x:f>COUNTIF('Einzel-ID-Zuordnung'!$A$7:$A$2692,A1804)</x:f>
        <x:v>1</x:v>
      </x:c>
      <x:c r="E1804" s="11" t="n">
        <x:f>D1804-C1804</x:f>
        <x:v>0</x:v>
      </x:c>
      <x:c r="F1804" s="5" t="str">
        <x:v>nicht Pilot</x:v>
      </x:c>
      <x:c r="G1804" s="5" t="str">
        <x:v>HQ</x:v>
      </x:c>
    </x:row>
    <x:row r="1805" ht="36" customHeight="1">
      <x:c r="A1805" s="5" t="str">
        <x:v>FC-0095</x:v>
      </x:c>
      <x:c r="B1805" s="5" t="str">
        <x:v>Betriebliches Rechnungswesen und Controlling</x:v>
      </x:c>
      <x:c r="C1805" s="11" t="n">
        <x:v>1</x:v>
      </x:c>
      <x:c r="D1805" s="11" t="n">
        <x:f>COUNTIF('Einzel-ID-Zuordnung'!$A$7:$A$2692,A1805)</x:f>
        <x:v>1</x:v>
      </x:c>
      <x:c r="E1805" s="11" t="n">
        <x:f>D1805-C1805</x:f>
        <x:v>0</x:v>
      </x:c>
      <x:c r="F1805" s="5" t="str">
        <x:v>nicht Pilot</x:v>
      </x:c>
      <x:c r="G1805" s="5" t="str">
        <x:v>HQ</x:v>
      </x:c>
    </x:row>
    <x:row r="1806" ht="36" customHeight="1">
      <x:c r="A1806" s="5" t="str">
        <x:v>FC-0096</x:v>
      </x:c>
      <x:c r="B1806" s="5" t="str">
        <x:v>Betriebliches Rechnungswesen und Controlling</x:v>
      </x:c>
      <x:c r="C1806" s="11" t="n">
        <x:v>1</x:v>
      </x:c>
      <x:c r="D1806" s="11" t="n">
        <x:f>COUNTIF('Einzel-ID-Zuordnung'!$A$7:$A$2692,A1806)</x:f>
        <x:v>1</x:v>
      </x:c>
      <x:c r="E1806" s="11" t="n">
        <x:f>D1806-C1806</x:f>
        <x:v>0</x:v>
      </x:c>
      <x:c r="F1806" s="5" t="str">
        <x:v>nicht Pilot</x:v>
      </x:c>
      <x:c r="G1806" s="5" t="str">
        <x:v>HQ</x:v>
      </x:c>
    </x:row>
    <x:row r="1807" ht="36" customHeight="1">
      <x:c r="A1807" s="5" t="str">
        <x:v>FC-0097</x:v>
      </x:c>
      <x:c r="B1807" s="5" t="str">
        <x:v>Betriebliches Rechnungswesen und Controlling</x:v>
      </x:c>
      <x:c r="C1807" s="11" t="n">
        <x:v>1</x:v>
      </x:c>
      <x:c r="D1807" s="11" t="n">
        <x:f>COUNTIF('Einzel-ID-Zuordnung'!$A$7:$A$2692,A1807)</x:f>
        <x:v>1</x:v>
      </x:c>
      <x:c r="E1807" s="11" t="n">
        <x:f>D1807-C1807</x:f>
        <x:v>0</x:v>
      </x:c>
      <x:c r="F1807" s="5" t="str">
        <x:v>nicht Pilot</x:v>
      </x:c>
      <x:c r="G1807" s="5" t="str">
        <x:v>HQ</x:v>
      </x:c>
    </x:row>
    <x:row r="1808" ht="36" customHeight="1">
      <x:c r="A1808" s="5" t="str">
        <x:v>FC-0098</x:v>
      </x:c>
      <x:c r="B1808" s="5" t="str">
        <x:v>Betriebliches Rechnungswesen und Controlling</x:v>
      </x:c>
      <x:c r="C1808" s="11" t="n">
        <x:v>1</x:v>
      </x:c>
      <x:c r="D1808" s="11" t="n">
        <x:f>COUNTIF('Einzel-ID-Zuordnung'!$A$7:$A$2692,A1808)</x:f>
        <x:v>1</x:v>
      </x:c>
      <x:c r="E1808" s="11" t="n">
        <x:f>D1808-C1808</x:f>
        <x:v>0</x:v>
      </x:c>
      <x:c r="F1808" s="5" t="str">
        <x:v>nicht Pilot</x:v>
      </x:c>
      <x:c r="G1808" s="5" t="str">
        <x:v>HQ</x:v>
      </x:c>
    </x:row>
    <x:row r="1809" ht="36" customHeight="1">
      <x:c r="A1809" s="5" t="str">
        <x:v>FC-0099</x:v>
      </x:c>
      <x:c r="B1809" s="5" t="str">
        <x:v>Betriebliches Rechnungswesen und Controlling</x:v>
      </x:c>
      <x:c r="C1809" s="11" t="n">
        <x:v>1</x:v>
      </x:c>
      <x:c r="D1809" s="11" t="n">
        <x:f>COUNTIF('Einzel-ID-Zuordnung'!$A$7:$A$2692,A1809)</x:f>
        <x:v>1</x:v>
      </x:c>
      <x:c r="E1809" s="11" t="n">
        <x:f>D1809-C1809</x:f>
        <x:v>0</x:v>
      </x:c>
      <x:c r="F1809" s="5" t="str">
        <x:v>nicht Pilot</x:v>
      </x:c>
      <x:c r="G1809" s="5" t="str">
        <x:v>HQ</x:v>
      </x:c>
    </x:row>
    <x:row r="1810" ht="36" customHeight="1">
      <x:c r="A1810" s="5" t="str">
        <x:v>FC-0101</x:v>
      </x:c>
      <x:c r="B1810" s="5" t="str">
        <x:v>Betriebliches Rechnungswesen und Controlling</x:v>
      </x:c>
      <x:c r="C1810" s="11" t="n">
        <x:v>1</x:v>
      </x:c>
      <x:c r="D1810" s="11" t="n">
        <x:f>COUNTIF('Einzel-ID-Zuordnung'!$A$7:$A$2692,A1810)</x:f>
        <x:v>1</x:v>
      </x:c>
      <x:c r="E1810" s="11" t="n">
        <x:f>D1810-C1810</x:f>
        <x:v>0</x:v>
      </x:c>
      <x:c r="F1810" s="5" t="str">
        <x:v>nicht Pilot</x:v>
      </x:c>
      <x:c r="G1810" s="5" t="str">
        <x:v>HQ</x:v>
      </x:c>
    </x:row>
    <x:row r="1811" ht="36" customHeight="1">
      <x:c r="A1811" s="5" t="str">
        <x:v>FC-0102</x:v>
      </x:c>
      <x:c r="B1811" s="5" t="str">
        <x:v>Betriebliches Rechnungswesen und Controlling</x:v>
      </x:c>
      <x:c r="C1811" s="11" t="n">
        <x:v>1</x:v>
      </x:c>
      <x:c r="D1811" s="11" t="n">
        <x:f>COUNTIF('Einzel-ID-Zuordnung'!$A$7:$A$2692,A1811)</x:f>
        <x:v>1</x:v>
      </x:c>
      <x:c r="E1811" s="11" t="n">
        <x:f>D1811-C1811</x:f>
        <x:v>0</x:v>
      </x:c>
      <x:c r="F1811" s="5" t="str">
        <x:v>nicht Pilot</x:v>
      </x:c>
      <x:c r="G1811" s="5" t="str">
        <x:v>HQ</x:v>
      </x:c>
    </x:row>
    <x:row r="1812" ht="36" customHeight="1">
      <x:c r="A1812" s="5" t="str">
        <x:v>FC-0103</x:v>
      </x:c>
      <x:c r="B1812" s="5" t="str">
        <x:v>Betriebliches Rechnungswesen und Controlling</x:v>
      </x:c>
      <x:c r="C1812" s="11" t="n">
        <x:v>1</x:v>
      </x:c>
      <x:c r="D1812" s="11" t="n">
        <x:f>COUNTIF('Einzel-ID-Zuordnung'!$A$7:$A$2692,A1812)</x:f>
        <x:v>1</x:v>
      </x:c>
      <x:c r="E1812" s="11" t="n">
        <x:f>D1812-C1812</x:f>
        <x:v>0</x:v>
      </x:c>
      <x:c r="F1812" s="5" t="str">
        <x:v>nicht Pilot</x:v>
      </x:c>
      <x:c r="G1812" s="5" t="str">
        <x:v>HQ</x:v>
      </x:c>
    </x:row>
    <x:row r="1813" ht="36" customHeight="1">
      <x:c r="A1813" s="5" t="str">
        <x:v>FC-0104</x:v>
      </x:c>
      <x:c r="B1813" s="5" t="str">
        <x:v>Betriebliches Rechnungswesen und Controlling</x:v>
      </x:c>
      <x:c r="C1813" s="11" t="n">
        <x:v>1</x:v>
      </x:c>
      <x:c r="D1813" s="11" t="n">
        <x:f>COUNTIF('Einzel-ID-Zuordnung'!$A$7:$A$2692,A1813)</x:f>
        <x:v>1</x:v>
      </x:c>
      <x:c r="E1813" s="11" t="n">
        <x:f>D1813-C1813</x:f>
        <x:v>0</x:v>
      </x:c>
      <x:c r="F1813" s="5" t="str">
        <x:v>nicht Pilot</x:v>
      </x:c>
      <x:c r="G1813" s="5" t="str">
        <x:v>HQ</x:v>
      </x:c>
    </x:row>
    <x:row r="1814" ht="36" customHeight="1">
      <x:c r="A1814" s="5" t="str">
        <x:v>IF-0001</x:v>
      </x:c>
      <x:c r="B1814" s="5" t="str">
        <x:v>Investition und Finanzierung</x:v>
      </x:c>
      <x:c r="C1814" s="11" t="n">
        <x:v>1</x:v>
      </x:c>
      <x:c r="D1814" s="11" t="n">
        <x:f>COUNTIF('Einzel-ID-Zuordnung'!$A$7:$A$2692,A1814)</x:f>
        <x:v>1</x:v>
      </x:c>
      <x:c r="E1814" s="11" t="n">
        <x:f>D1814-C1814</x:f>
        <x:v>0</x:v>
      </x:c>
      <x:c r="F1814" s="5" t="str">
        <x:v>nicht Pilot</x:v>
      </x:c>
      <x:c r="G1814" s="5" t="str">
        <x:v>HQ</x:v>
      </x:c>
    </x:row>
    <x:row r="1815" ht="36" customHeight="1">
      <x:c r="A1815" s="5" t="str">
        <x:v>IF-0002</x:v>
      </x:c>
      <x:c r="B1815" s="5" t="str">
        <x:v>Investition und Finanzierung</x:v>
      </x:c>
      <x:c r="C1815" s="11" t="n">
        <x:v>1</x:v>
      </x:c>
      <x:c r="D1815" s="11" t="n">
        <x:f>COUNTIF('Einzel-ID-Zuordnung'!$A$7:$A$2692,A1815)</x:f>
        <x:v>1</x:v>
      </x:c>
      <x:c r="E1815" s="11" t="n">
        <x:f>D1815-C1815</x:f>
        <x:v>0</x:v>
      </x:c>
      <x:c r="F1815" s="5" t="str">
        <x:v>nicht Pilot</x:v>
      </x:c>
      <x:c r="G1815" s="5" t="str">
        <x:v>HQ</x:v>
      </x:c>
    </x:row>
    <x:row r="1816" ht="36" customHeight="1">
      <x:c r="A1816" s="5" t="str">
        <x:v>IF-0003</x:v>
      </x:c>
      <x:c r="B1816" s="5" t="str">
        <x:v>Investition und Finanzierung</x:v>
      </x:c>
      <x:c r="C1816" s="11" t="n">
        <x:v>1</x:v>
      </x:c>
      <x:c r="D1816" s="11" t="n">
        <x:f>COUNTIF('Einzel-ID-Zuordnung'!$A$7:$A$2692,A1816)</x:f>
        <x:v>1</x:v>
      </x:c>
      <x:c r="E1816" s="11" t="n">
        <x:f>D1816-C1816</x:f>
        <x:v>0</x:v>
      </x:c>
      <x:c r="F1816" s="5" t="str">
        <x:v>nicht Pilot</x:v>
      </x:c>
      <x:c r="G1816" s="5" t="str">
        <x:v>HQ</x:v>
      </x:c>
    </x:row>
    <x:row r="1817" ht="36" customHeight="1">
      <x:c r="A1817" s="5" t="str">
        <x:v>IF-0004</x:v>
      </x:c>
      <x:c r="B1817" s="5" t="str">
        <x:v>Investition und Finanzierung</x:v>
      </x:c>
      <x:c r="C1817" s="11" t="n">
        <x:v>1</x:v>
      </x:c>
      <x:c r="D1817" s="11" t="n">
        <x:f>COUNTIF('Einzel-ID-Zuordnung'!$A$7:$A$2692,A1817)</x:f>
        <x:v>1</x:v>
      </x:c>
      <x:c r="E1817" s="11" t="n">
        <x:f>D1817-C1817</x:f>
        <x:v>0</x:v>
      </x:c>
      <x:c r="F1817" s="5" t="str">
        <x:v>nicht Pilot</x:v>
      </x:c>
      <x:c r="G1817" s="5" t="str">
        <x:v>HQ</x:v>
      </x:c>
    </x:row>
    <x:row r="1818" ht="36" customHeight="1">
      <x:c r="A1818" s="5" t="str">
        <x:v>IF-0005</x:v>
      </x:c>
      <x:c r="B1818" s="5" t="str">
        <x:v>Investition und Finanzierung</x:v>
      </x:c>
      <x:c r="C1818" s="11" t="n">
        <x:v>1</x:v>
      </x:c>
      <x:c r="D1818" s="11" t="n">
        <x:f>COUNTIF('Einzel-ID-Zuordnung'!$A$7:$A$2692,A1818)</x:f>
        <x:v>1</x:v>
      </x:c>
      <x:c r="E1818" s="11" t="n">
        <x:f>D1818-C1818</x:f>
        <x:v>0</x:v>
      </x:c>
      <x:c r="F1818" s="5" t="str">
        <x:v>nicht Pilot</x:v>
      </x:c>
      <x:c r="G1818" s="5" t="str">
        <x:v>HQ</x:v>
      </x:c>
    </x:row>
    <x:row r="1819" ht="36" customHeight="1">
      <x:c r="A1819" s="5" t="str">
        <x:v>IF-0006</x:v>
      </x:c>
      <x:c r="B1819" s="5" t="str">
        <x:v>Investition und Finanzierung</x:v>
      </x:c>
      <x:c r="C1819" s="11" t="n">
        <x:v>1</x:v>
      </x:c>
      <x:c r="D1819" s="11" t="n">
        <x:f>COUNTIF('Einzel-ID-Zuordnung'!$A$7:$A$2692,A1819)</x:f>
        <x:v>1</x:v>
      </x:c>
      <x:c r="E1819" s="11" t="n">
        <x:f>D1819-C1819</x:f>
        <x:v>0</x:v>
      </x:c>
      <x:c r="F1819" s="5" t="str">
        <x:v>nicht Pilot</x:v>
      </x:c>
      <x:c r="G1819" s="5" t="str">
        <x:v>HQ</x:v>
      </x:c>
    </x:row>
    <x:row r="1820" ht="36" customHeight="1">
      <x:c r="A1820" s="5" t="str">
        <x:v>IF-0007</x:v>
      </x:c>
      <x:c r="B1820" s="5" t="str">
        <x:v>Investition und Finanzierung</x:v>
      </x:c>
      <x:c r="C1820" s="11" t="n">
        <x:v>1</x:v>
      </x:c>
      <x:c r="D1820" s="11" t="n">
        <x:f>COUNTIF('Einzel-ID-Zuordnung'!$A$7:$A$2692,A1820)</x:f>
        <x:v>1</x:v>
      </x:c>
      <x:c r="E1820" s="11" t="n">
        <x:f>D1820-C1820</x:f>
        <x:v>0</x:v>
      </x:c>
      <x:c r="F1820" s="5" t="str">
        <x:v>nicht Pilot</x:v>
      </x:c>
      <x:c r="G1820" s="5" t="str">
        <x:v>HQ</x:v>
      </x:c>
    </x:row>
    <x:row r="1821" ht="36" customHeight="1">
      <x:c r="A1821" s="5" t="str">
        <x:v>IF-0008</x:v>
      </x:c>
      <x:c r="B1821" s="5" t="str">
        <x:v>Investition und Finanzierung</x:v>
      </x:c>
      <x:c r="C1821" s="11" t="n">
        <x:v>1</x:v>
      </x:c>
      <x:c r="D1821" s="11" t="n">
        <x:f>COUNTIF('Einzel-ID-Zuordnung'!$A$7:$A$2692,A1821)</x:f>
        <x:v>1</x:v>
      </x:c>
      <x:c r="E1821" s="11" t="n">
        <x:f>D1821-C1821</x:f>
        <x:v>0</x:v>
      </x:c>
      <x:c r="F1821" s="5" t="str">
        <x:v>nicht Pilot</x:v>
      </x:c>
      <x:c r="G1821" s="5" t="str">
        <x:v>HQ</x:v>
      </x:c>
    </x:row>
    <x:row r="1822" ht="36" customHeight="1">
      <x:c r="A1822" s="5" t="str">
        <x:v>IF-0009</x:v>
      </x:c>
      <x:c r="B1822" s="5" t="str">
        <x:v>Investition und Finanzierung</x:v>
      </x:c>
      <x:c r="C1822" s="11" t="n">
        <x:v>1</x:v>
      </x:c>
      <x:c r="D1822" s="11" t="n">
        <x:f>COUNTIF('Einzel-ID-Zuordnung'!$A$7:$A$2692,A1822)</x:f>
        <x:v>1</x:v>
      </x:c>
      <x:c r="E1822" s="11" t="n">
        <x:f>D1822-C1822</x:f>
        <x:v>0</x:v>
      </x:c>
      <x:c r="F1822" s="5" t="str">
        <x:v>nicht Pilot</x:v>
      </x:c>
      <x:c r="G1822" s="5" t="str">
        <x:v>HQ</x:v>
      </x:c>
    </x:row>
    <x:row r="1823" ht="36" customHeight="1">
      <x:c r="A1823" s="5" t="str">
        <x:v>IF-0010</x:v>
      </x:c>
      <x:c r="B1823" s="5" t="str">
        <x:v>Investition und Finanzierung</x:v>
      </x:c>
      <x:c r="C1823" s="11" t="n">
        <x:v>1</x:v>
      </x:c>
      <x:c r="D1823" s="11" t="n">
        <x:f>COUNTIF('Einzel-ID-Zuordnung'!$A$7:$A$2692,A1823)</x:f>
        <x:v>1</x:v>
      </x:c>
      <x:c r="E1823" s="11" t="n">
        <x:f>D1823-C1823</x:f>
        <x:v>0</x:v>
      </x:c>
      <x:c r="F1823" s="5" t="str">
        <x:v>nicht Pilot</x:v>
      </x:c>
      <x:c r="G1823" s="5" t="str">
        <x:v>HQ</x:v>
      </x:c>
    </x:row>
    <x:row r="1824" ht="36" customHeight="1">
      <x:c r="A1824" s="5" t="str">
        <x:v>IF-0011</x:v>
      </x:c>
      <x:c r="B1824" s="5" t="str">
        <x:v>Investition und Finanzierung</x:v>
      </x:c>
      <x:c r="C1824" s="11" t="n">
        <x:v>1</x:v>
      </x:c>
      <x:c r="D1824" s="11" t="n">
        <x:f>COUNTIF('Einzel-ID-Zuordnung'!$A$7:$A$2692,A1824)</x:f>
        <x:v>1</x:v>
      </x:c>
      <x:c r="E1824" s="11" t="n">
        <x:f>D1824-C1824</x:f>
        <x:v>0</x:v>
      </x:c>
      <x:c r="F1824" s="5" t="str">
        <x:v>nicht Pilot</x:v>
      </x:c>
      <x:c r="G1824" s="5" t="str">
        <x:v>HQ</x:v>
      </x:c>
    </x:row>
    <x:row r="1825" ht="36" customHeight="1">
      <x:c r="A1825" s="5" t="str">
        <x:v>IF-0012</x:v>
      </x:c>
      <x:c r="B1825" s="5" t="str">
        <x:v>Investition und Finanzierung</x:v>
      </x:c>
      <x:c r="C1825" s="11" t="n">
        <x:v>1</x:v>
      </x:c>
      <x:c r="D1825" s="11" t="n">
        <x:f>COUNTIF('Einzel-ID-Zuordnung'!$A$7:$A$2692,A1825)</x:f>
        <x:v>1</x:v>
      </x:c>
      <x:c r="E1825" s="11" t="n">
        <x:f>D1825-C1825</x:f>
        <x:v>0</x:v>
      </x:c>
      <x:c r="F1825" s="5" t="str">
        <x:v>nicht Pilot</x:v>
      </x:c>
      <x:c r="G1825" s="5" t="str">
        <x:v>HQ</x:v>
      </x:c>
    </x:row>
    <x:row r="1826" ht="36" customHeight="1">
      <x:c r="A1826" s="5" t="str">
        <x:v>IF-0013</x:v>
      </x:c>
      <x:c r="B1826" s="5" t="str">
        <x:v>Investition und Finanzierung</x:v>
      </x:c>
      <x:c r="C1826" s="11" t="n">
        <x:v>1</x:v>
      </x:c>
      <x:c r="D1826" s="11" t="n">
        <x:f>COUNTIF('Einzel-ID-Zuordnung'!$A$7:$A$2692,A1826)</x:f>
        <x:v>1</x:v>
      </x:c>
      <x:c r="E1826" s="11" t="n">
        <x:f>D1826-C1826</x:f>
        <x:v>0</x:v>
      </x:c>
      <x:c r="F1826" s="5" t="str">
        <x:v>nicht Pilot</x:v>
      </x:c>
      <x:c r="G1826" s="5" t="str">
        <x:v>HQ</x:v>
      </x:c>
    </x:row>
    <x:row r="1827" ht="36" customHeight="1">
      <x:c r="A1827" s="5" t="str">
        <x:v>IF-0014</x:v>
      </x:c>
      <x:c r="B1827" s="5" t="str">
        <x:v>Investition und Finanzierung</x:v>
      </x:c>
      <x:c r="C1827" s="11" t="n">
        <x:v>1</x:v>
      </x:c>
      <x:c r="D1827" s="11" t="n">
        <x:f>COUNTIF('Einzel-ID-Zuordnung'!$A$7:$A$2692,A1827)</x:f>
        <x:v>1</x:v>
      </x:c>
      <x:c r="E1827" s="11" t="n">
        <x:f>D1827-C1827</x:f>
        <x:v>0</x:v>
      </x:c>
      <x:c r="F1827" s="5" t="str">
        <x:v>nicht Pilot</x:v>
      </x:c>
      <x:c r="G1827" s="5" t="str">
        <x:v>HQ</x:v>
      </x:c>
    </x:row>
    <x:row r="1828" ht="36" customHeight="1">
      <x:c r="A1828" s="5" t="str">
        <x:v>IF-0015</x:v>
      </x:c>
      <x:c r="B1828" s="5" t="str">
        <x:v>Investition und Finanzierung</x:v>
      </x:c>
      <x:c r="C1828" s="11" t="n">
        <x:v>1</x:v>
      </x:c>
      <x:c r="D1828" s="11" t="n">
        <x:f>COUNTIF('Einzel-ID-Zuordnung'!$A$7:$A$2692,A1828)</x:f>
        <x:v>1</x:v>
      </x:c>
      <x:c r="E1828" s="11" t="n">
        <x:f>D1828-C1828</x:f>
        <x:v>0</x:v>
      </x:c>
      <x:c r="F1828" s="5" t="str">
        <x:v>nicht Pilot</x:v>
      </x:c>
      <x:c r="G1828" s="5" t="str">
        <x:v>HQ</x:v>
      </x:c>
    </x:row>
    <x:row r="1829" ht="36" customHeight="1">
      <x:c r="A1829" s="5" t="str">
        <x:v>IF-0016</x:v>
      </x:c>
      <x:c r="B1829" s="5" t="str">
        <x:v>Investition und Finanzierung</x:v>
      </x:c>
      <x:c r="C1829" s="11" t="n">
        <x:v>1</x:v>
      </x:c>
      <x:c r="D1829" s="11" t="n">
        <x:f>COUNTIF('Einzel-ID-Zuordnung'!$A$7:$A$2692,A1829)</x:f>
        <x:v>1</x:v>
      </x:c>
      <x:c r="E1829" s="11" t="n">
        <x:f>D1829-C1829</x:f>
        <x:v>0</x:v>
      </x:c>
      <x:c r="F1829" s="5" t="str">
        <x:v>nicht Pilot</x:v>
      </x:c>
      <x:c r="G1829" s="5" t="str">
        <x:v>HQ</x:v>
      </x:c>
    </x:row>
    <x:row r="1830" ht="36" customHeight="1">
      <x:c r="A1830" s="5" t="str">
        <x:v>IF-0017</x:v>
      </x:c>
      <x:c r="B1830" s="5" t="str">
        <x:v>Investition und Finanzierung</x:v>
      </x:c>
      <x:c r="C1830" s="11" t="n">
        <x:v>1</x:v>
      </x:c>
      <x:c r="D1830" s="11" t="n">
        <x:f>COUNTIF('Einzel-ID-Zuordnung'!$A$7:$A$2692,A1830)</x:f>
        <x:v>1</x:v>
      </x:c>
      <x:c r="E1830" s="11" t="n">
        <x:f>D1830-C1830</x:f>
        <x:v>0</x:v>
      </x:c>
      <x:c r="F1830" s="5" t="str">
        <x:v>nicht Pilot</x:v>
      </x:c>
      <x:c r="G1830" s="5" t="str">
        <x:v>HQ</x:v>
      </x:c>
    </x:row>
    <x:row r="1831" ht="36" customHeight="1">
      <x:c r="A1831" s="5" t="str">
        <x:v>IF-0018</x:v>
      </x:c>
      <x:c r="B1831" s="5" t="str">
        <x:v>Investition und Finanzierung</x:v>
      </x:c>
      <x:c r="C1831" s="11" t="n">
        <x:v>1</x:v>
      </x:c>
      <x:c r="D1831" s="11" t="n">
        <x:f>COUNTIF('Einzel-ID-Zuordnung'!$A$7:$A$2692,A1831)</x:f>
        <x:v>1</x:v>
      </x:c>
      <x:c r="E1831" s="11" t="n">
        <x:f>D1831-C1831</x:f>
        <x:v>0</x:v>
      </x:c>
      <x:c r="F1831" s="5" t="str">
        <x:v>nicht Pilot</x:v>
      </x:c>
      <x:c r="G1831" s="5" t="str">
        <x:v>HQ</x:v>
      </x:c>
    </x:row>
    <x:row r="1832" ht="36" customHeight="1">
      <x:c r="A1832" s="5" t="str">
        <x:v>IF-0019</x:v>
      </x:c>
      <x:c r="B1832" s="5" t="str">
        <x:v>Investition und Finanzierung</x:v>
      </x:c>
      <x:c r="C1832" s="11" t="n">
        <x:v>1</x:v>
      </x:c>
      <x:c r="D1832" s="11" t="n">
        <x:f>COUNTIF('Einzel-ID-Zuordnung'!$A$7:$A$2692,A1832)</x:f>
        <x:v>1</x:v>
      </x:c>
      <x:c r="E1832" s="11" t="n">
        <x:f>D1832-C1832</x:f>
        <x:v>0</x:v>
      </x:c>
      <x:c r="F1832" s="5" t="str">
        <x:v>nicht Pilot</x:v>
      </x:c>
      <x:c r="G1832" s="5" t="str">
        <x:v>HQ</x:v>
      </x:c>
    </x:row>
    <x:row r="1833" ht="36" customHeight="1">
      <x:c r="A1833" s="5" t="str">
        <x:v>IF-0020</x:v>
      </x:c>
      <x:c r="B1833" s="5" t="str">
        <x:v>Investition und Finanzierung</x:v>
      </x:c>
      <x:c r="C1833" s="11" t="n">
        <x:v>1</x:v>
      </x:c>
      <x:c r="D1833" s="11" t="n">
        <x:f>COUNTIF('Einzel-ID-Zuordnung'!$A$7:$A$2692,A1833)</x:f>
        <x:v>1</x:v>
      </x:c>
      <x:c r="E1833" s="11" t="n">
        <x:f>D1833-C1833</x:f>
        <x:v>0</x:v>
      </x:c>
      <x:c r="F1833" s="5" t="str">
        <x:v>nicht Pilot</x:v>
      </x:c>
      <x:c r="G1833" s="5" t="str">
        <x:v>HQ</x:v>
      </x:c>
    </x:row>
    <x:row r="1834" ht="36" customHeight="1">
      <x:c r="A1834" s="5" t="str">
        <x:v>IF-0021</x:v>
      </x:c>
      <x:c r="B1834" s="5" t="str">
        <x:v>Investition und Finanzierung</x:v>
      </x:c>
      <x:c r="C1834" s="11" t="n">
        <x:v>1</x:v>
      </x:c>
      <x:c r="D1834" s="11" t="n">
        <x:f>COUNTIF('Einzel-ID-Zuordnung'!$A$7:$A$2692,A1834)</x:f>
        <x:v>1</x:v>
      </x:c>
      <x:c r="E1834" s="11" t="n">
        <x:f>D1834-C1834</x:f>
        <x:v>0</x:v>
      </x:c>
      <x:c r="F1834" s="5" t="str">
        <x:v>nicht Pilot</x:v>
      </x:c>
      <x:c r="G1834" s="5" t="str">
        <x:v>HQ</x:v>
      </x:c>
    </x:row>
    <x:row r="1835" ht="36" customHeight="1">
      <x:c r="A1835" s="5" t="str">
        <x:v>IF-0022</x:v>
      </x:c>
      <x:c r="B1835" s="5" t="str">
        <x:v>Investition und Finanzierung</x:v>
      </x:c>
      <x:c r="C1835" s="11" t="n">
        <x:v>1</x:v>
      </x:c>
      <x:c r="D1835" s="11" t="n">
        <x:f>COUNTIF('Einzel-ID-Zuordnung'!$A$7:$A$2692,A1835)</x:f>
        <x:v>1</x:v>
      </x:c>
      <x:c r="E1835" s="11" t="n">
        <x:f>D1835-C1835</x:f>
        <x:v>0</x:v>
      </x:c>
      <x:c r="F1835" s="5" t="str">
        <x:v>nicht Pilot</x:v>
      </x:c>
      <x:c r="G1835" s="5" t="str">
        <x:v>HQ</x:v>
      </x:c>
    </x:row>
    <x:row r="1836" ht="36" customHeight="1">
      <x:c r="A1836" s="5" t="str">
        <x:v>IF-0023</x:v>
      </x:c>
      <x:c r="B1836" s="5" t="str">
        <x:v>Investition und Finanzierung</x:v>
      </x:c>
      <x:c r="C1836" s="11" t="n">
        <x:v>1</x:v>
      </x:c>
      <x:c r="D1836" s="11" t="n">
        <x:f>COUNTIF('Einzel-ID-Zuordnung'!$A$7:$A$2692,A1836)</x:f>
        <x:v>1</x:v>
      </x:c>
      <x:c r="E1836" s="11" t="n">
        <x:f>D1836-C1836</x:f>
        <x:v>0</x:v>
      </x:c>
      <x:c r="F1836" s="5" t="str">
        <x:v>nicht Pilot</x:v>
      </x:c>
      <x:c r="G1836" s="5" t="str">
        <x:v>HQ</x:v>
      </x:c>
    </x:row>
    <x:row r="1837" ht="36" customHeight="1">
      <x:c r="A1837" s="5" t="str">
        <x:v>IF-0024</x:v>
      </x:c>
      <x:c r="B1837" s="5" t="str">
        <x:v>Investition und Finanzierung</x:v>
      </x:c>
      <x:c r="C1837" s="11" t="n">
        <x:v>1</x:v>
      </x:c>
      <x:c r="D1837" s="11" t="n">
        <x:f>COUNTIF('Einzel-ID-Zuordnung'!$A$7:$A$2692,A1837)</x:f>
        <x:v>1</x:v>
      </x:c>
      <x:c r="E1837" s="11" t="n">
        <x:f>D1837-C1837</x:f>
        <x:v>0</x:v>
      </x:c>
      <x:c r="F1837" s="5" t="str">
        <x:v>nicht Pilot</x:v>
      </x:c>
      <x:c r="G1837" s="5" t="str">
        <x:v>HQ</x:v>
      </x:c>
    </x:row>
    <x:row r="1838" ht="36" customHeight="1">
      <x:c r="A1838" s="5" t="str">
        <x:v>IF-0025</x:v>
      </x:c>
      <x:c r="B1838" s="5" t="str">
        <x:v>Investition und Finanzierung</x:v>
      </x:c>
      <x:c r="C1838" s="11" t="n">
        <x:v>1</x:v>
      </x:c>
      <x:c r="D1838" s="11" t="n">
        <x:f>COUNTIF('Einzel-ID-Zuordnung'!$A$7:$A$2692,A1838)</x:f>
        <x:v>1</x:v>
      </x:c>
      <x:c r="E1838" s="11" t="n">
        <x:f>D1838-C1838</x:f>
        <x:v>0</x:v>
      </x:c>
      <x:c r="F1838" s="5" t="str">
        <x:v>nicht Pilot</x:v>
      </x:c>
      <x:c r="G1838" s="5" t="str">
        <x:v>HQ</x:v>
      </x:c>
    </x:row>
    <x:row r="1839" ht="36" customHeight="1">
      <x:c r="A1839" s="5" t="str">
        <x:v>IF-0026</x:v>
      </x:c>
      <x:c r="B1839" s="5" t="str">
        <x:v>Investition und Finanzierung</x:v>
      </x:c>
      <x:c r="C1839" s="11" t="n">
        <x:v>1</x:v>
      </x:c>
      <x:c r="D1839" s="11" t="n">
        <x:f>COUNTIF('Einzel-ID-Zuordnung'!$A$7:$A$2692,A1839)</x:f>
        <x:v>1</x:v>
      </x:c>
      <x:c r="E1839" s="11" t="n">
        <x:f>D1839-C1839</x:f>
        <x:v>0</x:v>
      </x:c>
      <x:c r="F1839" s="5" t="str">
        <x:v>nicht Pilot</x:v>
      </x:c>
      <x:c r="G1839" s="5" t="str">
        <x:v>HQ</x:v>
      </x:c>
    </x:row>
    <x:row r="1840" ht="36" customHeight="1">
      <x:c r="A1840" s="5" t="str">
        <x:v>IF-0027</x:v>
      </x:c>
      <x:c r="B1840" s="5" t="str">
        <x:v>Investition und Finanzierung</x:v>
      </x:c>
      <x:c r="C1840" s="11" t="n">
        <x:v>1</x:v>
      </x:c>
      <x:c r="D1840" s="11" t="n">
        <x:f>COUNTIF('Einzel-ID-Zuordnung'!$A$7:$A$2692,A1840)</x:f>
        <x:v>1</x:v>
      </x:c>
      <x:c r="E1840" s="11" t="n">
        <x:f>D1840-C1840</x:f>
        <x:v>0</x:v>
      </x:c>
      <x:c r="F1840" s="5" t="str">
        <x:v>nicht Pilot</x:v>
      </x:c>
      <x:c r="G1840" s="5" t="str">
        <x:v>HQ</x:v>
      </x:c>
    </x:row>
    <x:row r="1841" ht="36" customHeight="1">
      <x:c r="A1841" s="5" t="str">
        <x:v>IF-0028</x:v>
      </x:c>
      <x:c r="B1841" s="5" t="str">
        <x:v>Investition und Finanzierung</x:v>
      </x:c>
      <x:c r="C1841" s="11" t="n">
        <x:v>1</x:v>
      </x:c>
      <x:c r="D1841" s="11" t="n">
        <x:f>COUNTIF('Einzel-ID-Zuordnung'!$A$7:$A$2692,A1841)</x:f>
        <x:v>1</x:v>
      </x:c>
      <x:c r="E1841" s="11" t="n">
        <x:f>D1841-C1841</x:f>
        <x:v>0</x:v>
      </x:c>
      <x:c r="F1841" s="5" t="str">
        <x:v>nicht Pilot</x:v>
      </x:c>
      <x:c r="G1841" s="5" t="str">
        <x:v>HQ</x:v>
      </x:c>
    </x:row>
    <x:row r="1842" ht="36" customHeight="1">
      <x:c r="A1842" s="5" t="str">
        <x:v>IF-0029</x:v>
      </x:c>
      <x:c r="B1842" s="5" t="str">
        <x:v>Investition und Finanzierung</x:v>
      </x:c>
      <x:c r="C1842" s="11" t="n">
        <x:v>1</x:v>
      </x:c>
      <x:c r="D1842" s="11" t="n">
        <x:f>COUNTIF('Einzel-ID-Zuordnung'!$A$7:$A$2692,A1842)</x:f>
        <x:v>1</x:v>
      </x:c>
      <x:c r="E1842" s="11" t="n">
        <x:f>D1842-C1842</x:f>
        <x:v>0</x:v>
      </x:c>
      <x:c r="F1842" s="5" t="str">
        <x:v>nicht Pilot</x:v>
      </x:c>
      <x:c r="G1842" s="5" t="str">
        <x:v>HQ</x:v>
      </x:c>
    </x:row>
    <x:row r="1843" ht="36" customHeight="1">
      <x:c r="A1843" s="5" t="str">
        <x:v>IF-0030</x:v>
      </x:c>
      <x:c r="B1843" s="5" t="str">
        <x:v>Investition und Finanzierung</x:v>
      </x:c>
      <x:c r="C1843" s="11" t="n">
        <x:v>1</x:v>
      </x:c>
      <x:c r="D1843" s="11" t="n">
        <x:f>COUNTIF('Einzel-ID-Zuordnung'!$A$7:$A$2692,A1843)</x:f>
        <x:v>1</x:v>
      </x:c>
      <x:c r="E1843" s="11" t="n">
        <x:f>D1843-C1843</x:f>
        <x:v>0</x:v>
      </x:c>
      <x:c r="F1843" s="5" t="str">
        <x:v>nicht Pilot</x:v>
      </x:c>
      <x:c r="G1843" s="5" t="str">
        <x:v>HQ</x:v>
      </x:c>
    </x:row>
    <x:row r="1844" ht="36" customHeight="1">
      <x:c r="A1844" s="5" t="str">
        <x:v>IF-0031</x:v>
      </x:c>
      <x:c r="B1844" s="5" t="str">
        <x:v>Investition und Finanzierung</x:v>
      </x:c>
      <x:c r="C1844" s="11" t="n">
        <x:v>1</x:v>
      </x:c>
      <x:c r="D1844" s="11" t="n">
        <x:f>COUNTIF('Einzel-ID-Zuordnung'!$A$7:$A$2692,A1844)</x:f>
        <x:v>1</x:v>
      </x:c>
      <x:c r="E1844" s="11" t="n">
        <x:f>D1844-C1844</x:f>
        <x:v>0</x:v>
      </x:c>
      <x:c r="F1844" s="5" t="str">
        <x:v>nicht Pilot</x:v>
      </x:c>
      <x:c r="G1844" s="5" t="str">
        <x:v>HQ</x:v>
      </x:c>
    </x:row>
    <x:row r="1845" ht="36" customHeight="1">
      <x:c r="A1845" s="5" t="str">
        <x:v>IF-0032</x:v>
      </x:c>
      <x:c r="B1845" s="5" t="str">
        <x:v>Investition und Finanzierung</x:v>
      </x:c>
      <x:c r="C1845" s="11" t="n">
        <x:v>1</x:v>
      </x:c>
      <x:c r="D1845" s="11" t="n">
        <x:f>COUNTIF('Einzel-ID-Zuordnung'!$A$7:$A$2692,A1845)</x:f>
        <x:v>1</x:v>
      </x:c>
      <x:c r="E1845" s="11" t="n">
        <x:f>D1845-C1845</x:f>
        <x:v>0</x:v>
      </x:c>
      <x:c r="F1845" s="5" t="str">
        <x:v>nicht Pilot</x:v>
      </x:c>
      <x:c r="G1845" s="5" t="str">
        <x:v>HQ</x:v>
      </x:c>
    </x:row>
    <x:row r="1846" ht="36" customHeight="1">
      <x:c r="A1846" s="5" t="str">
        <x:v>IF-0033</x:v>
      </x:c>
      <x:c r="B1846" s="5" t="str">
        <x:v>Investition und Finanzierung</x:v>
      </x:c>
      <x:c r="C1846" s="11" t="n">
        <x:v>1</x:v>
      </x:c>
      <x:c r="D1846" s="11" t="n">
        <x:f>COUNTIF('Einzel-ID-Zuordnung'!$A$7:$A$2692,A1846)</x:f>
        <x:v>1</x:v>
      </x:c>
      <x:c r="E1846" s="11" t="n">
        <x:f>D1846-C1846</x:f>
        <x:v>0</x:v>
      </x:c>
      <x:c r="F1846" s="5" t="str">
        <x:v>nicht Pilot</x:v>
      </x:c>
      <x:c r="G1846" s="5" t="str">
        <x:v>HQ</x:v>
      </x:c>
    </x:row>
    <x:row r="1847" ht="36" customHeight="1">
      <x:c r="A1847" s="5" t="str">
        <x:v>IF-0034</x:v>
      </x:c>
      <x:c r="B1847" s="5" t="str">
        <x:v>Investition und Finanzierung</x:v>
      </x:c>
      <x:c r="C1847" s="11" t="n">
        <x:v>1</x:v>
      </x:c>
      <x:c r="D1847" s="11" t="n">
        <x:f>COUNTIF('Einzel-ID-Zuordnung'!$A$7:$A$2692,A1847)</x:f>
        <x:v>1</x:v>
      </x:c>
      <x:c r="E1847" s="11" t="n">
        <x:f>D1847-C1847</x:f>
        <x:v>0</x:v>
      </x:c>
      <x:c r="F1847" s="5" t="str">
        <x:v>nicht Pilot</x:v>
      </x:c>
      <x:c r="G1847" s="5" t="str">
        <x:v>HQ</x:v>
      </x:c>
    </x:row>
    <x:row r="1848" ht="36" customHeight="1">
      <x:c r="A1848" s="5" t="str">
        <x:v>IF-0035</x:v>
      </x:c>
      <x:c r="B1848" s="5" t="str">
        <x:v>Investition und Finanzierung</x:v>
      </x:c>
      <x:c r="C1848" s="11" t="n">
        <x:v>1</x:v>
      </x:c>
      <x:c r="D1848" s="11" t="n">
        <x:f>COUNTIF('Einzel-ID-Zuordnung'!$A$7:$A$2692,A1848)</x:f>
        <x:v>1</x:v>
      </x:c>
      <x:c r="E1848" s="11" t="n">
        <x:f>D1848-C1848</x:f>
        <x:v>0</x:v>
      </x:c>
      <x:c r="F1848" s="5" t="str">
        <x:v>nicht Pilot</x:v>
      </x:c>
      <x:c r="G1848" s="5" t="str">
        <x:v>HQ</x:v>
      </x:c>
    </x:row>
    <x:row r="1849" ht="36" customHeight="1">
      <x:c r="A1849" s="5" t="str">
        <x:v>IF-0036</x:v>
      </x:c>
      <x:c r="B1849" s="5" t="str">
        <x:v>Investition und Finanzierung</x:v>
      </x:c>
      <x:c r="C1849" s="11" t="n">
        <x:v>1</x:v>
      </x:c>
      <x:c r="D1849" s="11" t="n">
        <x:f>COUNTIF('Einzel-ID-Zuordnung'!$A$7:$A$2692,A1849)</x:f>
        <x:v>1</x:v>
      </x:c>
      <x:c r="E1849" s="11" t="n">
        <x:f>D1849-C1849</x:f>
        <x:v>0</x:v>
      </x:c>
      <x:c r="F1849" s="5" t="str">
        <x:v>nicht Pilot</x:v>
      </x:c>
      <x:c r="G1849" s="5" t="str">
        <x:v>HQ</x:v>
      </x:c>
    </x:row>
    <x:row r="1850" ht="36" customHeight="1">
      <x:c r="A1850" s="5" t="str">
        <x:v>IF-0037</x:v>
      </x:c>
      <x:c r="B1850" s="5" t="str">
        <x:v>Investition und Finanzierung</x:v>
      </x:c>
      <x:c r="C1850" s="11" t="n">
        <x:v>1</x:v>
      </x:c>
      <x:c r="D1850" s="11" t="n">
        <x:f>COUNTIF('Einzel-ID-Zuordnung'!$A$7:$A$2692,A1850)</x:f>
        <x:v>1</x:v>
      </x:c>
      <x:c r="E1850" s="11" t="n">
        <x:f>D1850-C1850</x:f>
        <x:v>0</x:v>
      </x:c>
      <x:c r="F1850" s="5" t="str">
        <x:v>nicht Pilot</x:v>
      </x:c>
      <x:c r="G1850" s="5" t="str">
        <x:v>HQ</x:v>
      </x:c>
    </x:row>
    <x:row r="1851" ht="36" customHeight="1">
      <x:c r="A1851" s="5" t="str">
        <x:v>IF-0038</x:v>
      </x:c>
      <x:c r="B1851" s="5" t="str">
        <x:v>Investition und Finanzierung</x:v>
      </x:c>
      <x:c r="C1851" s="11" t="n">
        <x:v>1</x:v>
      </x:c>
      <x:c r="D1851" s="11" t="n">
        <x:f>COUNTIF('Einzel-ID-Zuordnung'!$A$7:$A$2692,A1851)</x:f>
        <x:v>1</x:v>
      </x:c>
      <x:c r="E1851" s="11" t="n">
        <x:f>D1851-C1851</x:f>
        <x:v>0</x:v>
      </x:c>
      <x:c r="F1851" s="5" t="str">
        <x:v>nicht Pilot</x:v>
      </x:c>
      <x:c r="G1851" s="5" t="str">
        <x:v>HQ</x:v>
      </x:c>
    </x:row>
    <x:row r="1852" ht="36" customHeight="1">
      <x:c r="A1852" s="5" t="str">
        <x:v>IF-0039</x:v>
      </x:c>
      <x:c r="B1852" s="5" t="str">
        <x:v>Investition und Finanzierung</x:v>
      </x:c>
      <x:c r="C1852" s="11" t="n">
        <x:v>1</x:v>
      </x:c>
      <x:c r="D1852" s="11" t="n">
        <x:f>COUNTIF('Einzel-ID-Zuordnung'!$A$7:$A$2692,A1852)</x:f>
        <x:v>1</x:v>
      </x:c>
      <x:c r="E1852" s="11" t="n">
        <x:f>D1852-C1852</x:f>
        <x:v>0</x:v>
      </x:c>
      <x:c r="F1852" s="5" t="str">
        <x:v>nicht Pilot</x:v>
      </x:c>
      <x:c r="G1852" s="5" t="str">
        <x:v>HQ</x:v>
      </x:c>
    </x:row>
    <x:row r="1853" ht="36" customHeight="1">
      <x:c r="A1853" s="5" t="str">
        <x:v>IF-0040</x:v>
      </x:c>
      <x:c r="B1853" s="5" t="str">
        <x:v>Investition und Finanzierung</x:v>
      </x:c>
      <x:c r="C1853" s="11" t="n">
        <x:v>1</x:v>
      </x:c>
      <x:c r="D1853" s="11" t="n">
        <x:f>COUNTIF('Einzel-ID-Zuordnung'!$A$7:$A$2692,A1853)</x:f>
        <x:v>1</x:v>
      </x:c>
      <x:c r="E1853" s="11" t="n">
        <x:f>D1853-C1853</x:f>
        <x:v>0</x:v>
      </x:c>
      <x:c r="F1853" s="5" t="str">
        <x:v>nicht Pilot</x:v>
      </x:c>
      <x:c r="G1853" s="5" t="str">
        <x:v>HQ</x:v>
      </x:c>
    </x:row>
    <x:row r="1854" ht="36" customHeight="1">
      <x:c r="A1854" s="5" t="str">
        <x:v>IF-0041</x:v>
      </x:c>
      <x:c r="B1854" s="5" t="str">
        <x:v>Investition und Finanzierung</x:v>
      </x:c>
      <x:c r="C1854" s="11" t="n">
        <x:v>1</x:v>
      </x:c>
      <x:c r="D1854" s="11" t="n">
        <x:f>COUNTIF('Einzel-ID-Zuordnung'!$A$7:$A$2692,A1854)</x:f>
        <x:v>1</x:v>
      </x:c>
      <x:c r="E1854" s="11" t="n">
        <x:f>D1854-C1854</x:f>
        <x:v>0</x:v>
      </x:c>
      <x:c r="F1854" s="5" t="str">
        <x:v>nicht Pilot</x:v>
      </x:c>
      <x:c r="G1854" s="5" t="str">
        <x:v>HQ</x:v>
      </x:c>
    </x:row>
    <x:row r="1855" ht="36" customHeight="1">
      <x:c r="A1855" s="5" t="str">
        <x:v>IF-0042</x:v>
      </x:c>
      <x:c r="B1855" s="5" t="str">
        <x:v>Investition und Finanzierung</x:v>
      </x:c>
      <x:c r="C1855" s="11" t="n">
        <x:v>1</x:v>
      </x:c>
      <x:c r="D1855" s="11" t="n">
        <x:f>COUNTIF('Einzel-ID-Zuordnung'!$A$7:$A$2692,A1855)</x:f>
        <x:v>1</x:v>
      </x:c>
      <x:c r="E1855" s="11" t="n">
        <x:f>D1855-C1855</x:f>
        <x:v>0</x:v>
      </x:c>
      <x:c r="F1855" s="5" t="str">
        <x:v>nicht Pilot</x:v>
      </x:c>
      <x:c r="G1855" s="5" t="str">
        <x:v>HQ</x:v>
      </x:c>
    </x:row>
    <x:row r="1856" ht="36" customHeight="1">
      <x:c r="A1856" s="5" t="str">
        <x:v>IF-0043</x:v>
      </x:c>
      <x:c r="B1856" s="5" t="str">
        <x:v>Investition und Finanzierung</x:v>
      </x:c>
      <x:c r="C1856" s="11" t="n">
        <x:v>1</x:v>
      </x:c>
      <x:c r="D1856" s="11" t="n">
        <x:f>COUNTIF('Einzel-ID-Zuordnung'!$A$7:$A$2692,A1856)</x:f>
        <x:v>1</x:v>
      </x:c>
      <x:c r="E1856" s="11" t="n">
        <x:f>D1856-C1856</x:f>
        <x:v>0</x:v>
      </x:c>
      <x:c r="F1856" s="5" t="str">
        <x:v>nicht Pilot</x:v>
      </x:c>
      <x:c r="G1856" s="5" t="str">
        <x:v>HQ</x:v>
      </x:c>
    </x:row>
    <x:row r="1857" ht="36" customHeight="1">
      <x:c r="A1857" s="5" t="str">
        <x:v>IF-0044</x:v>
      </x:c>
      <x:c r="B1857" s="5" t="str">
        <x:v>Investition und Finanzierung</x:v>
      </x:c>
      <x:c r="C1857" s="11" t="n">
        <x:v>1</x:v>
      </x:c>
      <x:c r="D1857" s="11" t="n">
        <x:f>COUNTIF('Einzel-ID-Zuordnung'!$A$7:$A$2692,A1857)</x:f>
        <x:v>1</x:v>
      </x:c>
      <x:c r="E1857" s="11" t="n">
        <x:f>D1857-C1857</x:f>
        <x:v>0</x:v>
      </x:c>
      <x:c r="F1857" s="5" t="str">
        <x:v>nicht Pilot</x:v>
      </x:c>
      <x:c r="G1857" s="5" t="str">
        <x:v>HQ</x:v>
      </x:c>
    </x:row>
    <x:row r="1858" ht="36" customHeight="1">
      <x:c r="A1858" s="5" t="str">
        <x:v>IF-0045</x:v>
      </x:c>
      <x:c r="B1858" s="5" t="str">
        <x:v>Investition und Finanzierung</x:v>
      </x:c>
      <x:c r="C1858" s="11" t="n">
        <x:v>1</x:v>
      </x:c>
      <x:c r="D1858" s="11" t="n">
        <x:f>COUNTIF('Einzel-ID-Zuordnung'!$A$7:$A$2692,A1858)</x:f>
        <x:v>1</x:v>
      </x:c>
      <x:c r="E1858" s="11" t="n">
        <x:f>D1858-C1858</x:f>
        <x:v>0</x:v>
      </x:c>
      <x:c r="F1858" s="5" t="str">
        <x:v>nicht Pilot</x:v>
      </x:c>
      <x:c r="G1858" s="5" t="str">
        <x:v>HQ</x:v>
      </x:c>
    </x:row>
    <x:row r="1859" ht="36" customHeight="1">
      <x:c r="A1859" s="5" t="str">
        <x:v>IF-0046</x:v>
      </x:c>
      <x:c r="B1859" s="5" t="str">
        <x:v>Investition und Finanzierung</x:v>
      </x:c>
      <x:c r="C1859" s="11" t="n">
        <x:v>1</x:v>
      </x:c>
      <x:c r="D1859" s="11" t="n">
        <x:f>COUNTIF('Einzel-ID-Zuordnung'!$A$7:$A$2692,A1859)</x:f>
        <x:v>1</x:v>
      </x:c>
      <x:c r="E1859" s="11" t="n">
        <x:f>D1859-C1859</x:f>
        <x:v>0</x:v>
      </x:c>
      <x:c r="F1859" s="5" t="str">
        <x:v>nicht Pilot</x:v>
      </x:c>
      <x:c r="G1859" s="5" t="str">
        <x:v>HQ</x:v>
      </x:c>
    </x:row>
    <x:row r="1860" ht="36" customHeight="1">
      <x:c r="A1860" s="5" t="str">
        <x:v>IF-0047</x:v>
      </x:c>
      <x:c r="B1860" s="5" t="str">
        <x:v>Investition und Finanzierung</x:v>
      </x:c>
      <x:c r="C1860" s="11" t="n">
        <x:v>1</x:v>
      </x:c>
      <x:c r="D1860" s="11" t="n">
        <x:f>COUNTIF('Einzel-ID-Zuordnung'!$A$7:$A$2692,A1860)</x:f>
        <x:v>1</x:v>
      </x:c>
      <x:c r="E1860" s="11" t="n">
        <x:f>D1860-C1860</x:f>
        <x:v>0</x:v>
      </x:c>
      <x:c r="F1860" s="5" t="str">
        <x:v>nicht Pilot</x:v>
      </x:c>
      <x:c r="G1860" s="5" t="str">
        <x:v>HQ</x:v>
      </x:c>
    </x:row>
    <x:row r="1861" ht="36" customHeight="1">
      <x:c r="A1861" s="5" t="str">
        <x:v>IF-0048</x:v>
      </x:c>
      <x:c r="B1861" s="5" t="str">
        <x:v>Investition und Finanzierung</x:v>
      </x:c>
      <x:c r="C1861" s="11" t="n">
        <x:v>1</x:v>
      </x:c>
      <x:c r="D1861" s="11" t="n">
        <x:f>COUNTIF('Einzel-ID-Zuordnung'!$A$7:$A$2692,A1861)</x:f>
        <x:v>1</x:v>
      </x:c>
      <x:c r="E1861" s="11" t="n">
        <x:f>D1861-C1861</x:f>
        <x:v>0</x:v>
      </x:c>
      <x:c r="F1861" s="5" t="str">
        <x:v>nicht Pilot</x:v>
      </x:c>
      <x:c r="G1861" s="5" t="str">
        <x:v>HQ</x:v>
      </x:c>
    </x:row>
    <x:row r="1862" ht="36" customHeight="1">
      <x:c r="A1862" s="5" t="str">
        <x:v>IF-0049</x:v>
      </x:c>
      <x:c r="B1862" s="5" t="str">
        <x:v>Investition und Finanzierung</x:v>
      </x:c>
      <x:c r="C1862" s="11" t="n">
        <x:v>1</x:v>
      </x:c>
      <x:c r="D1862" s="11" t="n">
        <x:f>COUNTIF('Einzel-ID-Zuordnung'!$A$7:$A$2692,A1862)</x:f>
        <x:v>1</x:v>
      </x:c>
      <x:c r="E1862" s="11" t="n">
        <x:f>D1862-C1862</x:f>
        <x:v>0</x:v>
      </x:c>
      <x:c r="F1862" s="5" t="str">
        <x:v>nicht Pilot</x:v>
      </x:c>
      <x:c r="G1862" s="5" t="str">
        <x:v>HQ</x:v>
      </x:c>
    </x:row>
    <x:row r="1863" ht="36" customHeight="1">
      <x:c r="A1863" s="5" t="str">
        <x:v>IF-0050</x:v>
      </x:c>
      <x:c r="B1863" s="5" t="str">
        <x:v>Investition und Finanzierung</x:v>
      </x:c>
      <x:c r="C1863" s="11" t="n">
        <x:v>1</x:v>
      </x:c>
      <x:c r="D1863" s="11" t="n">
        <x:f>COUNTIF('Einzel-ID-Zuordnung'!$A$7:$A$2692,A1863)</x:f>
        <x:v>1</x:v>
      </x:c>
      <x:c r="E1863" s="11" t="n">
        <x:f>D1863-C1863</x:f>
        <x:v>0</x:v>
      </x:c>
      <x:c r="F1863" s="5" t="str">
        <x:v>nicht Pilot</x:v>
      </x:c>
      <x:c r="G1863" s="5" t="str">
        <x:v>HQ</x:v>
      </x:c>
    </x:row>
    <x:row r="1864" ht="36" customHeight="1">
      <x:c r="A1864" s="5" t="str">
        <x:v>IF-0051</x:v>
      </x:c>
      <x:c r="B1864" s="5" t="str">
        <x:v>Investition und Finanzierung</x:v>
      </x:c>
      <x:c r="C1864" s="11" t="n">
        <x:v>1</x:v>
      </x:c>
      <x:c r="D1864" s="11" t="n">
        <x:f>COUNTIF('Einzel-ID-Zuordnung'!$A$7:$A$2692,A1864)</x:f>
        <x:v>1</x:v>
      </x:c>
      <x:c r="E1864" s="11" t="n">
        <x:f>D1864-C1864</x:f>
        <x:v>0</x:v>
      </x:c>
      <x:c r="F1864" s="5" t="str">
        <x:v>nicht Pilot</x:v>
      </x:c>
      <x:c r="G1864" s="5" t="str">
        <x:v>HQ</x:v>
      </x:c>
    </x:row>
    <x:row r="1865" ht="36" customHeight="1">
      <x:c r="A1865" s="5" t="str">
        <x:v>IF-0052</x:v>
      </x:c>
      <x:c r="B1865" s="5" t="str">
        <x:v>Investition und Finanzierung</x:v>
      </x:c>
      <x:c r="C1865" s="11" t="n">
        <x:v>1</x:v>
      </x:c>
      <x:c r="D1865" s="11" t="n">
        <x:f>COUNTIF('Einzel-ID-Zuordnung'!$A$7:$A$2692,A1865)</x:f>
        <x:v>1</x:v>
      </x:c>
      <x:c r="E1865" s="11" t="n">
        <x:f>D1865-C1865</x:f>
        <x:v>0</x:v>
      </x:c>
      <x:c r="F1865" s="5" t="str">
        <x:v>nicht Pilot</x:v>
      </x:c>
      <x:c r="G1865" s="5" t="str">
        <x:v>HQ</x:v>
      </x:c>
    </x:row>
    <x:row r="1866" ht="36" customHeight="1">
      <x:c r="A1866" s="5" t="str">
        <x:v>IF-0053</x:v>
      </x:c>
      <x:c r="B1866" s="5" t="str">
        <x:v>Investition und Finanzierung</x:v>
      </x:c>
      <x:c r="C1866" s="11" t="n">
        <x:v>1</x:v>
      </x:c>
      <x:c r="D1866" s="11" t="n">
        <x:f>COUNTIF('Einzel-ID-Zuordnung'!$A$7:$A$2692,A1866)</x:f>
        <x:v>1</x:v>
      </x:c>
      <x:c r="E1866" s="11" t="n">
        <x:f>D1866-C1866</x:f>
        <x:v>0</x:v>
      </x:c>
      <x:c r="F1866" s="5" t="str">
        <x:v>nicht Pilot</x:v>
      </x:c>
      <x:c r="G1866" s="5" t="str">
        <x:v>HQ</x:v>
      </x:c>
    </x:row>
    <x:row r="1867" ht="36" customHeight="1">
      <x:c r="A1867" s="5" t="str">
        <x:v>IF-0054</x:v>
      </x:c>
      <x:c r="B1867" s="5" t="str">
        <x:v>Investition und Finanzierung</x:v>
      </x:c>
      <x:c r="C1867" s="11" t="n">
        <x:v>1</x:v>
      </x:c>
      <x:c r="D1867" s="11" t="n">
        <x:f>COUNTIF('Einzel-ID-Zuordnung'!$A$7:$A$2692,A1867)</x:f>
        <x:v>1</x:v>
      </x:c>
      <x:c r="E1867" s="11" t="n">
        <x:f>D1867-C1867</x:f>
        <x:v>0</x:v>
      </x:c>
      <x:c r="F1867" s="5" t="str">
        <x:v>nicht Pilot</x:v>
      </x:c>
      <x:c r="G1867" s="5" t="str">
        <x:v>HQ</x:v>
      </x:c>
    </x:row>
    <x:row r="1868" ht="36" customHeight="1">
      <x:c r="A1868" s="5" t="str">
        <x:v>IF-0055</x:v>
      </x:c>
      <x:c r="B1868" s="5" t="str">
        <x:v>Investition und Finanzierung</x:v>
      </x:c>
      <x:c r="C1868" s="11" t="n">
        <x:v>1</x:v>
      </x:c>
      <x:c r="D1868" s="11" t="n">
        <x:f>COUNTIF('Einzel-ID-Zuordnung'!$A$7:$A$2692,A1868)</x:f>
        <x:v>1</x:v>
      </x:c>
      <x:c r="E1868" s="11" t="n">
        <x:f>D1868-C1868</x:f>
        <x:v>0</x:v>
      </x:c>
      <x:c r="F1868" s="5" t="str">
        <x:v>nicht Pilot</x:v>
      </x:c>
      <x:c r="G1868" s="5" t="str">
        <x:v>HQ</x:v>
      </x:c>
    </x:row>
    <x:row r="1869" ht="36" customHeight="1">
      <x:c r="A1869" s="5" t="str">
        <x:v>IF-0056</x:v>
      </x:c>
      <x:c r="B1869" s="5" t="str">
        <x:v>Investition und Finanzierung</x:v>
      </x:c>
      <x:c r="C1869" s="11" t="n">
        <x:v>1</x:v>
      </x:c>
      <x:c r="D1869" s="11" t="n">
        <x:f>COUNTIF('Einzel-ID-Zuordnung'!$A$7:$A$2692,A1869)</x:f>
        <x:v>1</x:v>
      </x:c>
      <x:c r="E1869" s="11" t="n">
        <x:f>D1869-C1869</x:f>
        <x:v>0</x:v>
      </x:c>
      <x:c r="F1869" s="5" t="str">
        <x:v>nicht Pilot</x:v>
      </x:c>
      <x:c r="G1869" s="5" t="str">
        <x:v>HQ</x:v>
      </x:c>
    </x:row>
    <x:row r="1870" ht="36" customHeight="1">
      <x:c r="A1870" s="5" t="str">
        <x:v>IF-0057</x:v>
      </x:c>
      <x:c r="B1870" s="5" t="str">
        <x:v>Investition und Finanzierung</x:v>
      </x:c>
      <x:c r="C1870" s="11" t="n">
        <x:v>1</x:v>
      </x:c>
      <x:c r="D1870" s="11" t="n">
        <x:f>COUNTIF('Einzel-ID-Zuordnung'!$A$7:$A$2692,A1870)</x:f>
        <x:v>1</x:v>
      </x:c>
      <x:c r="E1870" s="11" t="n">
        <x:f>D1870-C1870</x:f>
        <x:v>0</x:v>
      </x:c>
      <x:c r="F1870" s="5" t="str">
        <x:v>nicht Pilot</x:v>
      </x:c>
      <x:c r="G1870" s="5" t="str">
        <x:v>HQ</x:v>
      </x:c>
    </x:row>
    <x:row r="1871" ht="36" customHeight="1">
      <x:c r="A1871" s="5" t="str">
        <x:v>IF-0058</x:v>
      </x:c>
      <x:c r="B1871" s="5" t="str">
        <x:v>Investition und Finanzierung</x:v>
      </x:c>
      <x:c r="C1871" s="11" t="n">
        <x:v>1</x:v>
      </x:c>
      <x:c r="D1871" s="11" t="n">
        <x:f>COUNTIF('Einzel-ID-Zuordnung'!$A$7:$A$2692,A1871)</x:f>
        <x:v>1</x:v>
      </x:c>
      <x:c r="E1871" s="11" t="n">
        <x:f>D1871-C1871</x:f>
        <x:v>0</x:v>
      </x:c>
      <x:c r="F1871" s="5" t="str">
        <x:v>nicht Pilot</x:v>
      </x:c>
      <x:c r="G1871" s="5" t="str">
        <x:v>HQ</x:v>
      </x:c>
    </x:row>
    <x:row r="1872" ht="36" customHeight="1">
      <x:c r="A1872" s="5" t="str">
        <x:v>IF-0059</x:v>
      </x:c>
      <x:c r="B1872" s="5" t="str">
        <x:v>Investition und Finanzierung</x:v>
      </x:c>
      <x:c r="C1872" s="11" t="n">
        <x:v>1</x:v>
      </x:c>
      <x:c r="D1872" s="11" t="n">
        <x:f>COUNTIF('Einzel-ID-Zuordnung'!$A$7:$A$2692,A1872)</x:f>
        <x:v>1</x:v>
      </x:c>
      <x:c r="E1872" s="11" t="n">
        <x:f>D1872-C1872</x:f>
        <x:v>0</x:v>
      </x:c>
      <x:c r="F1872" s="5" t="str">
        <x:v>nicht Pilot</x:v>
      </x:c>
      <x:c r="G1872" s="5" t="str">
        <x:v>HQ</x:v>
      </x:c>
    </x:row>
    <x:row r="1873" ht="36" customHeight="1">
      <x:c r="A1873" s="5" t="str">
        <x:v>IF-0060</x:v>
      </x:c>
      <x:c r="B1873" s="5" t="str">
        <x:v>Investition und Finanzierung</x:v>
      </x:c>
      <x:c r="C1873" s="11" t="n">
        <x:v>1</x:v>
      </x:c>
      <x:c r="D1873" s="11" t="n">
        <x:f>COUNTIF('Einzel-ID-Zuordnung'!$A$7:$A$2692,A1873)</x:f>
        <x:v>1</x:v>
      </x:c>
      <x:c r="E1873" s="11" t="n">
        <x:f>D1873-C1873</x:f>
        <x:v>0</x:v>
      </x:c>
      <x:c r="F1873" s="5" t="str">
        <x:v>nicht Pilot</x:v>
      </x:c>
      <x:c r="G1873" s="5" t="str">
        <x:v>HQ</x:v>
      </x:c>
    </x:row>
    <x:row r="1874" ht="36" customHeight="1">
      <x:c r="A1874" s="5" t="str">
        <x:v>IF-0061</x:v>
      </x:c>
      <x:c r="B1874" s="5" t="str">
        <x:v>Investition und Finanzierung</x:v>
      </x:c>
      <x:c r="C1874" s="11" t="n">
        <x:v>1</x:v>
      </x:c>
      <x:c r="D1874" s="11" t="n">
        <x:f>COUNTIF('Einzel-ID-Zuordnung'!$A$7:$A$2692,A1874)</x:f>
        <x:v>1</x:v>
      </x:c>
      <x:c r="E1874" s="11" t="n">
        <x:f>D1874-C1874</x:f>
        <x:v>0</x:v>
      </x:c>
      <x:c r="F1874" s="5" t="str">
        <x:v>nicht Pilot</x:v>
      </x:c>
      <x:c r="G1874" s="5" t="str">
        <x:v>HQ</x:v>
      </x:c>
    </x:row>
    <x:row r="1875" ht="36" customHeight="1">
      <x:c r="A1875" s="5" t="str">
        <x:v>IF-0062</x:v>
      </x:c>
      <x:c r="B1875" s="5" t="str">
        <x:v>Investition und Finanzierung</x:v>
      </x:c>
      <x:c r="C1875" s="11" t="n">
        <x:v>1</x:v>
      </x:c>
      <x:c r="D1875" s="11" t="n">
        <x:f>COUNTIF('Einzel-ID-Zuordnung'!$A$7:$A$2692,A1875)</x:f>
        <x:v>1</x:v>
      </x:c>
      <x:c r="E1875" s="11" t="n">
        <x:f>D1875-C1875</x:f>
        <x:v>0</x:v>
      </x:c>
      <x:c r="F1875" s="5" t="str">
        <x:v>nicht Pilot</x:v>
      </x:c>
      <x:c r="G1875" s="5" t="str">
        <x:v>HQ</x:v>
      </x:c>
    </x:row>
    <x:row r="1876" ht="36" customHeight="1">
      <x:c r="A1876" s="5" t="str">
        <x:v>IF-0063</x:v>
      </x:c>
      <x:c r="B1876" s="5" t="str">
        <x:v>Investition und Finanzierung</x:v>
      </x:c>
      <x:c r="C1876" s="11" t="n">
        <x:v>1</x:v>
      </x:c>
      <x:c r="D1876" s="11" t="n">
        <x:f>COUNTIF('Einzel-ID-Zuordnung'!$A$7:$A$2692,A1876)</x:f>
        <x:v>1</x:v>
      </x:c>
      <x:c r="E1876" s="11" t="n">
        <x:f>D1876-C1876</x:f>
        <x:v>0</x:v>
      </x:c>
      <x:c r="F1876" s="5" t="str">
        <x:v>nicht Pilot</x:v>
      </x:c>
      <x:c r="G1876" s="5" t="str">
        <x:v>HQ</x:v>
      </x:c>
    </x:row>
    <x:row r="1877" ht="36" customHeight="1">
      <x:c r="A1877" s="5" t="str">
        <x:v>IF-0064</x:v>
      </x:c>
      <x:c r="B1877" s="5" t="str">
        <x:v>Investition und Finanzierung</x:v>
      </x:c>
      <x:c r="C1877" s="11" t="n">
        <x:v>1</x:v>
      </x:c>
      <x:c r="D1877" s="11" t="n">
        <x:f>COUNTIF('Einzel-ID-Zuordnung'!$A$7:$A$2692,A1877)</x:f>
        <x:v>1</x:v>
      </x:c>
      <x:c r="E1877" s="11" t="n">
        <x:f>D1877-C1877</x:f>
        <x:v>0</x:v>
      </x:c>
      <x:c r="F1877" s="5" t="str">
        <x:v>nicht Pilot</x:v>
      </x:c>
      <x:c r="G1877" s="5" t="str">
        <x:v>HQ</x:v>
      </x:c>
    </x:row>
    <x:row r="1878" ht="36" customHeight="1">
      <x:c r="A1878" s="5" t="str">
        <x:v>IF-0065</x:v>
      </x:c>
      <x:c r="B1878" s="5" t="str">
        <x:v>Investition und Finanzierung</x:v>
      </x:c>
      <x:c r="C1878" s="11" t="n">
        <x:v>1</x:v>
      </x:c>
      <x:c r="D1878" s="11" t="n">
        <x:f>COUNTIF('Einzel-ID-Zuordnung'!$A$7:$A$2692,A1878)</x:f>
        <x:v>1</x:v>
      </x:c>
      <x:c r="E1878" s="11" t="n">
        <x:f>D1878-C1878</x:f>
        <x:v>0</x:v>
      </x:c>
      <x:c r="F1878" s="5" t="str">
        <x:v>nicht Pilot</x:v>
      </x:c>
      <x:c r="G1878" s="5" t="str">
        <x:v>HQ</x:v>
      </x:c>
    </x:row>
    <x:row r="1879" ht="36" customHeight="1">
      <x:c r="A1879" s="5" t="str">
        <x:v>IF-0066</x:v>
      </x:c>
      <x:c r="B1879" s="5" t="str">
        <x:v>Investition und Finanzierung</x:v>
      </x:c>
      <x:c r="C1879" s="11" t="n">
        <x:v>1</x:v>
      </x:c>
      <x:c r="D1879" s="11" t="n">
        <x:f>COUNTIF('Einzel-ID-Zuordnung'!$A$7:$A$2692,A1879)</x:f>
        <x:v>1</x:v>
      </x:c>
      <x:c r="E1879" s="11" t="n">
        <x:f>D1879-C1879</x:f>
        <x:v>0</x:v>
      </x:c>
      <x:c r="F1879" s="5" t="str">
        <x:v>nicht Pilot</x:v>
      </x:c>
      <x:c r="G1879" s="5" t="str">
        <x:v>HQ</x:v>
      </x:c>
    </x:row>
    <x:row r="1880" ht="36" customHeight="1">
      <x:c r="A1880" s="5" t="str">
        <x:v>IF-0067</x:v>
      </x:c>
      <x:c r="B1880" s="5" t="str">
        <x:v>Investition und Finanzierung</x:v>
      </x:c>
      <x:c r="C1880" s="11" t="n">
        <x:v>1</x:v>
      </x:c>
      <x:c r="D1880" s="11" t="n">
        <x:f>COUNTIF('Einzel-ID-Zuordnung'!$A$7:$A$2692,A1880)</x:f>
        <x:v>1</x:v>
      </x:c>
      <x:c r="E1880" s="11" t="n">
        <x:f>D1880-C1880</x:f>
        <x:v>0</x:v>
      </x:c>
      <x:c r="F1880" s="5" t="str">
        <x:v>nicht Pilot</x:v>
      </x:c>
      <x:c r="G1880" s="5" t="str">
        <x:v>HQ</x:v>
      </x:c>
    </x:row>
    <x:row r="1881" ht="36" customHeight="1">
      <x:c r="A1881" s="5" t="str">
        <x:v>IF-0068</x:v>
      </x:c>
      <x:c r="B1881" s="5" t="str">
        <x:v>Investition und Finanzierung</x:v>
      </x:c>
      <x:c r="C1881" s="11" t="n">
        <x:v>1</x:v>
      </x:c>
      <x:c r="D1881" s="11" t="n">
        <x:f>COUNTIF('Einzel-ID-Zuordnung'!$A$7:$A$2692,A1881)</x:f>
        <x:v>1</x:v>
      </x:c>
      <x:c r="E1881" s="11" t="n">
        <x:f>D1881-C1881</x:f>
        <x:v>0</x:v>
      </x:c>
      <x:c r="F1881" s="5" t="str">
        <x:v>nicht Pilot</x:v>
      </x:c>
      <x:c r="G1881" s="5" t="str">
        <x:v>HQ</x:v>
      </x:c>
    </x:row>
    <x:row r="1882" ht="36" customHeight="1">
      <x:c r="A1882" s="5" t="str">
        <x:v>IF-0069</x:v>
      </x:c>
      <x:c r="B1882" s="5" t="str">
        <x:v>Investition und Finanzierung</x:v>
      </x:c>
      <x:c r="C1882" s="11" t="n">
        <x:v>1</x:v>
      </x:c>
      <x:c r="D1882" s="11" t="n">
        <x:f>COUNTIF('Einzel-ID-Zuordnung'!$A$7:$A$2692,A1882)</x:f>
        <x:v>1</x:v>
      </x:c>
      <x:c r="E1882" s="11" t="n">
        <x:f>D1882-C1882</x:f>
        <x:v>0</x:v>
      </x:c>
      <x:c r="F1882" s="5" t="str">
        <x:v>nicht Pilot</x:v>
      </x:c>
      <x:c r="G1882" s="5" t="str">
        <x:v>HQ</x:v>
      </x:c>
    </x:row>
    <x:row r="1883" ht="36" customHeight="1">
      <x:c r="A1883" s="5" t="str">
        <x:v>IF-0070</x:v>
      </x:c>
      <x:c r="B1883" s="5" t="str">
        <x:v>Investition und Finanzierung</x:v>
      </x:c>
      <x:c r="C1883" s="11" t="n">
        <x:v>1</x:v>
      </x:c>
      <x:c r="D1883" s="11" t="n">
        <x:f>COUNTIF('Einzel-ID-Zuordnung'!$A$7:$A$2692,A1883)</x:f>
        <x:v>1</x:v>
      </x:c>
      <x:c r="E1883" s="11" t="n">
        <x:f>D1883-C1883</x:f>
        <x:v>0</x:v>
      </x:c>
      <x:c r="F1883" s="5" t="str">
        <x:v>nicht Pilot</x:v>
      </x:c>
      <x:c r="G1883" s="5" t="str">
        <x:v>HQ</x:v>
      </x:c>
    </x:row>
    <x:row r="1884" ht="36" customHeight="1">
      <x:c r="A1884" s="5" t="str">
        <x:v>IF-0071</x:v>
      </x:c>
      <x:c r="B1884" s="5" t="str">
        <x:v>Investition und Finanzierung</x:v>
      </x:c>
      <x:c r="C1884" s="11" t="n">
        <x:v>1</x:v>
      </x:c>
      <x:c r="D1884" s="11" t="n">
        <x:f>COUNTIF('Einzel-ID-Zuordnung'!$A$7:$A$2692,A1884)</x:f>
        <x:v>1</x:v>
      </x:c>
      <x:c r="E1884" s="11" t="n">
        <x:f>D1884-C1884</x:f>
        <x:v>0</x:v>
      </x:c>
      <x:c r="F1884" s="5" t="str">
        <x:v>nicht Pilot</x:v>
      </x:c>
      <x:c r="G1884" s="5" t="str">
        <x:v>HQ</x:v>
      </x:c>
    </x:row>
    <x:row r="1885" ht="36" customHeight="1">
      <x:c r="A1885" s="5" t="str">
        <x:v>IF-0072</x:v>
      </x:c>
      <x:c r="B1885" s="5" t="str">
        <x:v>Investition und Finanzierung</x:v>
      </x:c>
      <x:c r="C1885" s="11" t="n">
        <x:v>1</x:v>
      </x:c>
      <x:c r="D1885" s="11" t="n">
        <x:f>COUNTIF('Einzel-ID-Zuordnung'!$A$7:$A$2692,A1885)</x:f>
        <x:v>1</x:v>
      </x:c>
      <x:c r="E1885" s="11" t="n">
        <x:f>D1885-C1885</x:f>
        <x:v>0</x:v>
      </x:c>
      <x:c r="F1885" s="5" t="str">
        <x:v>nicht Pilot</x:v>
      </x:c>
      <x:c r="G1885" s="5" t="str">
        <x:v>HQ</x:v>
      </x:c>
    </x:row>
    <x:row r="1886" ht="36" customHeight="1">
      <x:c r="A1886" s="5" t="str">
        <x:v>IF-0073</x:v>
      </x:c>
      <x:c r="B1886" s="5" t="str">
        <x:v>Investition und Finanzierung</x:v>
      </x:c>
      <x:c r="C1886" s="11" t="n">
        <x:v>1</x:v>
      </x:c>
      <x:c r="D1886" s="11" t="n">
        <x:f>COUNTIF('Einzel-ID-Zuordnung'!$A$7:$A$2692,A1886)</x:f>
        <x:v>1</x:v>
      </x:c>
      <x:c r="E1886" s="11" t="n">
        <x:f>D1886-C1886</x:f>
        <x:v>0</x:v>
      </x:c>
      <x:c r="F1886" s="5" t="str">
        <x:v>nicht Pilot</x:v>
      </x:c>
      <x:c r="G1886" s="5" t="str">
        <x:v>HQ</x:v>
      </x:c>
    </x:row>
    <x:row r="1887" ht="36" customHeight="1">
      <x:c r="A1887" s="5" t="str">
        <x:v>IF-0074</x:v>
      </x:c>
      <x:c r="B1887" s="5" t="str">
        <x:v>Investition und Finanzierung</x:v>
      </x:c>
      <x:c r="C1887" s="11" t="n">
        <x:v>1</x:v>
      </x:c>
      <x:c r="D1887" s="11" t="n">
        <x:f>COUNTIF('Einzel-ID-Zuordnung'!$A$7:$A$2692,A1887)</x:f>
        <x:v>1</x:v>
      </x:c>
      <x:c r="E1887" s="11" t="n">
        <x:f>D1887-C1887</x:f>
        <x:v>0</x:v>
      </x:c>
      <x:c r="F1887" s="5" t="str">
        <x:v>nicht Pilot</x:v>
      </x:c>
      <x:c r="G1887" s="5" t="str">
        <x:v>HQ</x:v>
      </x:c>
    </x:row>
    <x:row r="1888" ht="36" customHeight="1">
      <x:c r="A1888" s="5" t="str">
        <x:v>IF-0075</x:v>
      </x:c>
      <x:c r="B1888" s="5" t="str">
        <x:v>Investition und Finanzierung</x:v>
      </x:c>
      <x:c r="C1888" s="11" t="n">
        <x:v>1</x:v>
      </x:c>
      <x:c r="D1888" s="11" t="n">
        <x:f>COUNTIF('Einzel-ID-Zuordnung'!$A$7:$A$2692,A1888)</x:f>
        <x:v>1</x:v>
      </x:c>
      <x:c r="E1888" s="11" t="n">
        <x:f>D1888-C1888</x:f>
        <x:v>0</x:v>
      </x:c>
      <x:c r="F1888" s="5" t="str">
        <x:v>nicht Pilot</x:v>
      </x:c>
      <x:c r="G1888" s="5" t="str">
        <x:v>HQ</x:v>
      </x:c>
    </x:row>
    <x:row r="1889" ht="36" customHeight="1">
      <x:c r="A1889" s="5" t="str">
        <x:v>IF-0076</x:v>
      </x:c>
      <x:c r="B1889" s="5" t="str">
        <x:v>Investition und Finanzierung</x:v>
      </x:c>
      <x:c r="C1889" s="11" t="n">
        <x:v>1</x:v>
      </x:c>
      <x:c r="D1889" s="11" t="n">
        <x:f>COUNTIF('Einzel-ID-Zuordnung'!$A$7:$A$2692,A1889)</x:f>
        <x:v>1</x:v>
      </x:c>
      <x:c r="E1889" s="11" t="n">
        <x:f>D1889-C1889</x:f>
        <x:v>0</x:v>
      </x:c>
      <x:c r="F1889" s="5" t="str">
        <x:v>nicht Pilot</x:v>
      </x:c>
      <x:c r="G1889" s="5" t="str">
        <x:v>HQ</x:v>
      </x:c>
    </x:row>
    <x:row r="1890" ht="36" customHeight="1">
      <x:c r="A1890" s="5" t="str">
        <x:v>IF-0077</x:v>
      </x:c>
      <x:c r="B1890" s="5" t="str">
        <x:v>Investition und Finanzierung</x:v>
      </x:c>
      <x:c r="C1890" s="11" t="n">
        <x:v>1</x:v>
      </x:c>
      <x:c r="D1890" s="11" t="n">
        <x:f>COUNTIF('Einzel-ID-Zuordnung'!$A$7:$A$2692,A1890)</x:f>
        <x:v>1</x:v>
      </x:c>
      <x:c r="E1890" s="11" t="n">
        <x:f>D1890-C1890</x:f>
        <x:v>0</x:v>
      </x:c>
      <x:c r="F1890" s="5" t="str">
        <x:v>nicht Pilot</x:v>
      </x:c>
      <x:c r="G1890" s="5" t="str">
        <x:v>HQ</x:v>
      </x:c>
    </x:row>
    <x:row r="1891" ht="36" customHeight="1">
      <x:c r="A1891" s="5" t="str">
        <x:v>IF-0078</x:v>
      </x:c>
      <x:c r="B1891" s="5" t="str">
        <x:v>Investition und Finanzierung</x:v>
      </x:c>
      <x:c r="C1891" s="11" t="n">
        <x:v>1</x:v>
      </x:c>
      <x:c r="D1891" s="11" t="n">
        <x:f>COUNTIF('Einzel-ID-Zuordnung'!$A$7:$A$2692,A1891)</x:f>
        <x:v>1</x:v>
      </x:c>
      <x:c r="E1891" s="11" t="n">
        <x:f>D1891-C1891</x:f>
        <x:v>0</x:v>
      </x:c>
      <x:c r="F1891" s="5" t="str">
        <x:v>nicht Pilot</x:v>
      </x:c>
      <x:c r="G1891" s="5" t="str">
        <x:v>HQ</x:v>
      </x:c>
    </x:row>
    <x:row r="1892" ht="36" customHeight="1">
      <x:c r="A1892" s="5" t="str">
        <x:v>IF-0079</x:v>
      </x:c>
      <x:c r="B1892" s="5" t="str">
        <x:v>Investition und Finanzierung</x:v>
      </x:c>
      <x:c r="C1892" s="11" t="n">
        <x:v>1</x:v>
      </x:c>
      <x:c r="D1892" s="11" t="n">
        <x:f>COUNTIF('Einzel-ID-Zuordnung'!$A$7:$A$2692,A1892)</x:f>
        <x:v>1</x:v>
      </x:c>
      <x:c r="E1892" s="11" t="n">
        <x:f>D1892-C1892</x:f>
        <x:v>0</x:v>
      </x:c>
      <x:c r="F1892" s="5" t="str">
        <x:v>nicht Pilot</x:v>
      </x:c>
      <x:c r="G1892" s="5" t="str">
        <x:v>HQ</x:v>
      </x:c>
    </x:row>
    <x:row r="1893" ht="36" customHeight="1">
      <x:c r="A1893" s="5" t="str">
        <x:v>IF-0080</x:v>
      </x:c>
      <x:c r="B1893" s="5" t="str">
        <x:v>Investition und Finanzierung</x:v>
      </x:c>
      <x:c r="C1893" s="11" t="n">
        <x:v>1</x:v>
      </x:c>
      <x:c r="D1893" s="11" t="n">
        <x:f>COUNTIF('Einzel-ID-Zuordnung'!$A$7:$A$2692,A1893)</x:f>
        <x:v>1</x:v>
      </x:c>
      <x:c r="E1893" s="11" t="n">
        <x:f>D1893-C1893</x:f>
        <x:v>0</x:v>
      </x:c>
      <x:c r="F1893" s="5" t="str">
        <x:v>nicht Pilot</x:v>
      </x:c>
      <x:c r="G1893" s="5" t="str">
        <x:v>HQ</x:v>
      </x:c>
    </x:row>
    <x:row r="1894" ht="36" customHeight="1">
      <x:c r="A1894" s="5" t="str">
        <x:v>IF-0081</x:v>
      </x:c>
      <x:c r="B1894" s="5" t="str">
        <x:v>Investition und Finanzierung</x:v>
      </x:c>
      <x:c r="C1894" s="11" t="n">
        <x:v>1</x:v>
      </x:c>
      <x:c r="D1894" s="11" t="n">
        <x:f>COUNTIF('Einzel-ID-Zuordnung'!$A$7:$A$2692,A1894)</x:f>
        <x:v>1</x:v>
      </x:c>
      <x:c r="E1894" s="11" t="n">
        <x:f>D1894-C1894</x:f>
        <x:v>0</x:v>
      </x:c>
      <x:c r="F1894" s="5" t="str">
        <x:v>nicht Pilot</x:v>
      </x:c>
      <x:c r="G1894" s="5" t="str">
        <x:v>HQ</x:v>
      </x:c>
    </x:row>
    <x:row r="1895" ht="36" customHeight="1">
      <x:c r="A1895" s="5" t="str">
        <x:v>IF-0082</x:v>
      </x:c>
      <x:c r="B1895" s="5" t="str">
        <x:v>Investition und Finanzierung</x:v>
      </x:c>
      <x:c r="C1895" s="11" t="n">
        <x:v>1</x:v>
      </x:c>
      <x:c r="D1895" s="11" t="n">
        <x:f>COUNTIF('Einzel-ID-Zuordnung'!$A$7:$A$2692,A1895)</x:f>
        <x:v>1</x:v>
      </x:c>
      <x:c r="E1895" s="11" t="n">
        <x:f>D1895-C1895</x:f>
        <x:v>0</x:v>
      </x:c>
      <x:c r="F1895" s="5" t="str">
        <x:v>nicht Pilot</x:v>
      </x:c>
      <x:c r="G1895" s="5" t="str">
        <x:v>HQ</x:v>
      </x:c>
    </x:row>
    <x:row r="1896" ht="36" customHeight="1">
      <x:c r="A1896" s="5" t="str">
        <x:v>IF-0083</x:v>
      </x:c>
      <x:c r="B1896" s="5" t="str">
        <x:v>Investition und Finanzierung</x:v>
      </x:c>
      <x:c r="C1896" s="11" t="n">
        <x:v>1</x:v>
      </x:c>
      <x:c r="D1896" s="11" t="n">
        <x:f>COUNTIF('Einzel-ID-Zuordnung'!$A$7:$A$2692,A1896)</x:f>
        <x:v>1</x:v>
      </x:c>
      <x:c r="E1896" s="11" t="n">
        <x:f>D1896-C1896</x:f>
        <x:v>0</x:v>
      </x:c>
      <x:c r="F1896" s="5" t="str">
        <x:v>nicht Pilot</x:v>
      </x:c>
      <x:c r="G1896" s="5" t="str">
        <x:v>HQ</x:v>
      </x:c>
    </x:row>
    <x:row r="1897" ht="36" customHeight="1">
      <x:c r="A1897" s="5" t="str">
        <x:v>IF-0084</x:v>
      </x:c>
      <x:c r="B1897" s="5" t="str">
        <x:v>Investition und Finanzierung</x:v>
      </x:c>
      <x:c r="C1897" s="11" t="n">
        <x:v>1</x:v>
      </x:c>
      <x:c r="D1897" s="11" t="n">
        <x:f>COUNTIF('Einzel-ID-Zuordnung'!$A$7:$A$2692,A1897)</x:f>
        <x:v>1</x:v>
      </x:c>
      <x:c r="E1897" s="11" t="n">
        <x:f>D1897-C1897</x:f>
        <x:v>0</x:v>
      </x:c>
      <x:c r="F1897" s="5" t="str">
        <x:v>nicht Pilot</x:v>
      </x:c>
      <x:c r="G1897" s="5" t="str">
        <x:v>HQ</x:v>
      </x:c>
    </x:row>
    <x:row r="1898" ht="36" customHeight="1">
      <x:c r="A1898" s="5" t="str">
        <x:v>IF-0085</x:v>
      </x:c>
      <x:c r="B1898" s="5" t="str">
        <x:v>Investition und Finanzierung</x:v>
      </x:c>
      <x:c r="C1898" s="11" t="n">
        <x:v>1</x:v>
      </x:c>
      <x:c r="D1898" s="11" t="n">
        <x:f>COUNTIF('Einzel-ID-Zuordnung'!$A$7:$A$2692,A1898)</x:f>
        <x:v>1</x:v>
      </x:c>
      <x:c r="E1898" s="11" t="n">
        <x:f>D1898-C1898</x:f>
        <x:v>0</x:v>
      </x:c>
      <x:c r="F1898" s="5" t="str">
        <x:v>nicht Pilot</x:v>
      </x:c>
      <x:c r="G1898" s="5" t="str">
        <x:v>HQ</x:v>
      </x:c>
    </x:row>
    <x:row r="1899" ht="36" customHeight="1">
      <x:c r="A1899" s="5" t="str">
        <x:v>IF-0086</x:v>
      </x:c>
      <x:c r="B1899" s="5" t="str">
        <x:v>Investition und Finanzierung</x:v>
      </x:c>
      <x:c r="C1899" s="11" t="n">
        <x:v>1</x:v>
      </x:c>
      <x:c r="D1899" s="11" t="n">
        <x:f>COUNTIF('Einzel-ID-Zuordnung'!$A$7:$A$2692,A1899)</x:f>
        <x:v>1</x:v>
      </x:c>
      <x:c r="E1899" s="11" t="n">
        <x:f>D1899-C1899</x:f>
        <x:v>0</x:v>
      </x:c>
      <x:c r="F1899" s="5" t="str">
        <x:v>nicht Pilot</x:v>
      </x:c>
      <x:c r="G1899" s="5" t="str">
        <x:v>HQ</x:v>
      </x:c>
    </x:row>
    <x:row r="1900" ht="36" customHeight="1">
      <x:c r="A1900" s="5" t="str">
        <x:v>IF-0087</x:v>
      </x:c>
      <x:c r="B1900" s="5" t="str">
        <x:v>Investition und Finanzierung</x:v>
      </x:c>
      <x:c r="C1900" s="11" t="n">
        <x:v>1</x:v>
      </x:c>
      <x:c r="D1900" s="11" t="n">
        <x:f>COUNTIF('Einzel-ID-Zuordnung'!$A$7:$A$2692,A1900)</x:f>
        <x:v>1</x:v>
      </x:c>
      <x:c r="E1900" s="11" t="n">
        <x:f>D1900-C1900</x:f>
        <x:v>0</x:v>
      </x:c>
      <x:c r="F1900" s="5" t="str">
        <x:v>nicht Pilot</x:v>
      </x:c>
      <x:c r="G1900" s="5" t="str">
        <x:v>HQ</x:v>
      </x:c>
    </x:row>
    <x:row r="1901" ht="36" customHeight="1">
      <x:c r="A1901" s="5" t="str">
        <x:v>IF-0088</x:v>
      </x:c>
      <x:c r="B1901" s="5" t="str">
        <x:v>Investition und Finanzierung</x:v>
      </x:c>
      <x:c r="C1901" s="11" t="n">
        <x:v>1</x:v>
      </x:c>
      <x:c r="D1901" s="11" t="n">
        <x:f>COUNTIF('Einzel-ID-Zuordnung'!$A$7:$A$2692,A1901)</x:f>
        <x:v>1</x:v>
      </x:c>
      <x:c r="E1901" s="11" t="n">
        <x:f>D1901-C1901</x:f>
        <x:v>0</x:v>
      </x:c>
      <x:c r="F1901" s="5" t="str">
        <x:v>nicht Pilot</x:v>
      </x:c>
      <x:c r="G1901" s="5" t="str">
        <x:v>HQ</x:v>
      </x:c>
    </x:row>
    <x:row r="1902" ht="36" customHeight="1">
      <x:c r="A1902" s="5" t="str">
        <x:v>IF-0089</x:v>
      </x:c>
      <x:c r="B1902" s="5" t="str">
        <x:v>Investition und Finanzierung</x:v>
      </x:c>
      <x:c r="C1902" s="11" t="n">
        <x:v>1</x:v>
      </x:c>
      <x:c r="D1902" s="11" t="n">
        <x:f>COUNTIF('Einzel-ID-Zuordnung'!$A$7:$A$2692,A1902)</x:f>
        <x:v>1</x:v>
      </x:c>
      <x:c r="E1902" s="11" t="n">
        <x:f>D1902-C1902</x:f>
        <x:v>0</x:v>
      </x:c>
      <x:c r="F1902" s="5" t="str">
        <x:v>nicht Pilot</x:v>
      </x:c>
      <x:c r="G1902" s="5" t="str">
        <x:v>HQ</x:v>
      </x:c>
    </x:row>
    <x:row r="1903" ht="36" customHeight="1">
      <x:c r="A1903" s="5" t="str">
        <x:v>IF-0090</x:v>
      </x:c>
      <x:c r="B1903" s="5" t="str">
        <x:v>Investition und Finanzierung</x:v>
      </x:c>
      <x:c r="C1903" s="11" t="n">
        <x:v>1</x:v>
      </x:c>
      <x:c r="D1903" s="11" t="n">
        <x:f>COUNTIF('Einzel-ID-Zuordnung'!$A$7:$A$2692,A1903)</x:f>
        <x:v>1</x:v>
      </x:c>
      <x:c r="E1903" s="11" t="n">
        <x:f>D1903-C1903</x:f>
        <x:v>0</x:v>
      </x:c>
      <x:c r="F1903" s="5" t="str">
        <x:v>nicht Pilot</x:v>
      </x:c>
      <x:c r="G1903" s="5" t="str">
        <x:v>HQ</x:v>
      </x:c>
    </x:row>
    <x:row r="1904" ht="36" customHeight="1">
      <x:c r="A1904" s="5" t="str">
        <x:v>IF-0091</x:v>
      </x:c>
      <x:c r="B1904" s="5" t="str">
        <x:v>Investition und Finanzierung</x:v>
      </x:c>
      <x:c r="C1904" s="11" t="n">
        <x:v>1</x:v>
      </x:c>
      <x:c r="D1904" s="11" t="n">
        <x:f>COUNTIF('Einzel-ID-Zuordnung'!$A$7:$A$2692,A1904)</x:f>
        <x:v>1</x:v>
      </x:c>
      <x:c r="E1904" s="11" t="n">
        <x:f>D1904-C1904</x:f>
        <x:v>0</x:v>
      </x:c>
      <x:c r="F1904" s="5" t="str">
        <x:v>nicht Pilot</x:v>
      </x:c>
      <x:c r="G1904" s="5" t="str">
        <x:v>HQ</x:v>
      </x:c>
    </x:row>
    <x:row r="1905" ht="36" customHeight="1">
      <x:c r="A1905" s="5" t="str">
        <x:v>IF-0092</x:v>
      </x:c>
      <x:c r="B1905" s="5" t="str">
        <x:v>Investition und Finanzierung</x:v>
      </x:c>
      <x:c r="C1905" s="11" t="n">
        <x:v>1</x:v>
      </x:c>
      <x:c r="D1905" s="11" t="n">
        <x:f>COUNTIF('Einzel-ID-Zuordnung'!$A$7:$A$2692,A1905)</x:f>
        <x:v>1</x:v>
      </x:c>
      <x:c r="E1905" s="11" t="n">
        <x:f>D1905-C1905</x:f>
        <x:v>0</x:v>
      </x:c>
      <x:c r="F1905" s="5" t="str">
        <x:v>nicht Pilot</x:v>
      </x:c>
      <x:c r="G1905" s="5" t="str">
        <x:v>HQ</x:v>
      </x:c>
    </x:row>
    <x:row r="1906" ht="36" customHeight="1">
      <x:c r="A1906" s="5" t="str">
        <x:v>IF-0093</x:v>
      </x:c>
      <x:c r="B1906" s="5" t="str">
        <x:v>Investition und Finanzierung</x:v>
      </x:c>
      <x:c r="C1906" s="11" t="n">
        <x:v>1</x:v>
      </x:c>
      <x:c r="D1906" s="11" t="n">
        <x:f>COUNTIF('Einzel-ID-Zuordnung'!$A$7:$A$2692,A1906)</x:f>
        <x:v>1</x:v>
      </x:c>
      <x:c r="E1906" s="11" t="n">
        <x:f>D1906-C1906</x:f>
        <x:v>0</x:v>
      </x:c>
      <x:c r="F1906" s="5" t="str">
        <x:v>nicht Pilot</x:v>
      </x:c>
      <x:c r="G1906" s="5" t="str">
        <x:v>HQ</x:v>
      </x:c>
    </x:row>
    <x:row r="1907" ht="36" customHeight="1">
      <x:c r="A1907" s="5" t="str">
        <x:v>IF-0094</x:v>
      </x:c>
      <x:c r="B1907" s="5" t="str">
        <x:v>Investition und Finanzierung</x:v>
      </x:c>
      <x:c r="C1907" s="11" t="n">
        <x:v>1</x:v>
      </x:c>
      <x:c r="D1907" s="11" t="n">
        <x:f>COUNTIF('Einzel-ID-Zuordnung'!$A$7:$A$2692,A1907)</x:f>
        <x:v>1</x:v>
      </x:c>
      <x:c r="E1907" s="11" t="n">
        <x:f>D1907-C1907</x:f>
        <x:v>0</x:v>
      </x:c>
      <x:c r="F1907" s="5" t="str">
        <x:v>nicht Pilot</x:v>
      </x:c>
      <x:c r="G1907" s="5" t="str">
        <x:v>HQ</x:v>
      </x:c>
    </x:row>
    <x:row r="1908" ht="36" customHeight="1">
      <x:c r="A1908" s="5" t="str">
        <x:v>IF-0095</x:v>
      </x:c>
      <x:c r="B1908" s="5" t="str">
        <x:v>Investition und Finanzierung</x:v>
      </x:c>
      <x:c r="C1908" s="11" t="n">
        <x:v>1</x:v>
      </x:c>
      <x:c r="D1908" s="11" t="n">
        <x:f>COUNTIF('Einzel-ID-Zuordnung'!$A$7:$A$2692,A1908)</x:f>
        <x:v>1</x:v>
      </x:c>
      <x:c r="E1908" s="11" t="n">
        <x:f>D1908-C1908</x:f>
        <x:v>0</x:v>
      </x:c>
      <x:c r="F1908" s="5" t="str">
        <x:v>nicht Pilot</x:v>
      </x:c>
      <x:c r="G1908" s="5" t="str">
        <x:v>HQ</x:v>
      </x:c>
    </x:row>
    <x:row r="1909" ht="36" customHeight="1">
      <x:c r="A1909" s="5" t="str">
        <x:v>IF-0096</x:v>
      </x:c>
      <x:c r="B1909" s="5" t="str">
        <x:v>Investition und Finanzierung</x:v>
      </x:c>
      <x:c r="C1909" s="11" t="n">
        <x:v>1</x:v>
      </x:c>
      <x:c r="D1909" s="11" t="n">
        <x:f>COUNTIF('Einzel-ID-Zuordnung'!$A$7:$A$2692,A1909)</x:f>
        <x:v>1</x:v>
      </x:c>
      <x:c r="E1909" s="11" t="n">
        <x:f>D1909-C1909</x:f>
        <x:v>0</x:v>
      </x:c>
      <x:c r="F1909" s="5" t="str">
        <x:v>nicht Pilot</x:v>
      </x:c>
      <x:c r="G1909" s="5" t="str">
        <x:v>HQ</x:v>
      </x:c>
    </x:row>
    <x:row r="1910" ht="36" customHeight="1">
      <x:c r="A1910" s="5" t="str">
        <x:v>IF-0097</x:v>
      </x:c>
      <x:c r="B1910" s="5" t="str">
        <x:v>Investition und Finanzierung</x:v>
      </x:c>
      <x:c r="C1910" s="11" t="n">
        <x:v>1</x:v>
      </x:c>
      <x:c r="D1910" s="11" t="n">
        <x:f>COUNTIF('Einzel-ID-Zuordnung'!$A$7:$A$2692,A1910)</x:f>
        <x:v>1</x:v>
      </x:c>
      <x:c r="E1910" s="11" t="n">
        <x:f>D1910-C1910</x:f>
        <x:v>0</x:v>
      </x:c>
      <x:c r="F1910" s="5" t="str">
        <x:v>nicht Pilot</x:v>
      </x:c>
      <x:c r="G1910" s="5" t="str">
        <x:v>HQ</x:v>
      </x:c>
    </x:row>
    <x:row r="1911" ht="36" customHeight="1">
      <x:c r="A1911" s="5" t="str">
        <x:v>IF-0098</x:v>
      </x:c>
      <x:c r="B1911" s="5" t="str">
        <x:v>Investition und Finanzierung</x:v>
      </x:c>
      <x:c r="C1911" s="11" t="n">
        <x:v>1</x:v>
      </x:c>
      <x:c r="D1911" s="11" t="n">
        <x:f>COUNTIF('Einzel-ID-Zuordnung'!$A$7:$A$2692,A1911)</x:f>
        <x:v>1</x:v>
      </x:c>
      <x:c r="E1911" s="11" t="n">
        <x:f>D1911-C1911</x:f>
        <x:v>0</x:v>
      </x:c>
      <x:c r="F1911" s="5" t="str">
        <x:v>nicht Pilot</x:v>
      </x:c>
      <x:c r="G1911" s="5" t="str">
        <x:v>HQ</x:v>
      </x:c>
    </x:row>
    <x:row r="1912" ht="36" customHeight="1">
      <x:c r="A1912" s="5" t="str">
        <x:v>IF-0099</x:v>
      </x:c>
      <x:c r="B1912" s="5" t="str">
        <x:v>Investition und Finanzierung</x:v>
      </x:c>
      <x:c r="C1912" s="11" t="n">
        <x:v>1</x:v>
      </x:c>
      <x:c r="D1912" s="11" t="n">
        <x:f>COUNTIF('Einzel-ID-Zuordnung'!$A$7:$A$2692,A1912)</x:f>
        <x:v>1</x:v>
      </x:c>
      <x:c r="E1912" s="11" t="n">
        <x:f>D1912-C1912</x:f>
        <x:v>0</x:v>
      </x:c>
      <x:c r="F1912" s="5" t="str">
        <x:v>nicht Pilot</x:v>
      </x:c>
      <x:c r="G1912" s="5" t="str">
        <x:v>HQ</x:v>
      </x:c>
    </x:row>
    <x:row r="1913" ht="36" customHeight="1">
      <x:c r="A1913" s="5" t="str">
        <x:v>IF-0100</x:v>
      </x:c>
      <x:c r="B1913" s="5" t="str">
        <x:v>Investition und Finanzierung</x:v>
      </x:c>
      <x:c r="C1913" s="11" t="n">
        <x:v>1</x:v>
      </x:c>
      <x:c r="D1913" s="11" t="n">
        <x:f>COUNTIF('Einzel-ID-Zuordnung'!$A$7:$A$2692,A1913)</x:f>
        <x:v>1</x:v>
      </x:c>
      <x:c r="E1913" s="11" t="n">
        <x:f>D1913-C1913</x:f>
        <x:v>0</x:v>
      </x:c>
      <x:c r="F1913" s="5" t="str">
        <x:v>nicht Pilot</x:v>
      </x:c>
      <x:c r="G1913" s="5" t="str">
        <x:v>HQ</x:v>
      </x:c>
    </x:row>
    <x:row r="1914" ht="36" customHeight="1">
      <x:c r="A1914" s="5" t="str">
        <x:v>IF-0101</x:v>
      </x:c>
      <x:c r="B1914" s="5" t="str">
        <x:v>Investition und Finanzierung</x:v>
      </x:c>
      <x:c r="C1914" s="11" t="n">
        <x:v>1</x:v>
      </x:c>
      <x:c r="D1914" s="11" t="n">
        <x:f>COUNTIF('Einzel-ID-Zuordnung'!$A$7:$A$2692,A1914)</x:f>
        <x:v>1</x:v>
      </x:c>
      <x:c r="E1914" s="11" t="n">
        <x:f>D1914-C1914</x:f>
        <x:v>0</x:v>
      </x:c>
      <x:c r="F1914" s="5" t="str">
        <x:v>nicht Pilot</x:v>
      </x:c>
      <x:c r="G1914" s="5" t="str">
        <x:v>HQ</x:v>
      </x:c>
    </x:row>
    <x:row r="1915" ht="36" customHeight="1">
      <x:c r="A1915" s="5" t="str">
        <x:v>IF-0102</x:v>
      </x:c>
      <x:c r="B1915" s="5" t="str">
        <x:v>Investition und Finanzierung</x:v>
      </x:c>
      <x:c r="C1915" s="11" t="n">
        <x:v>1</x:v>
      </x:c>
      <x:c r="D1915" s="11" t="n">
        <x:f>COUNTIF('Einzel-ID-Zuordnung'!$A$7:$A$2692,A1915)</x:f>
        <x:v>1</x:v>
      </x:c>
      <x:c r="E1915" s="11" t="n">
        <x:f>D1915-C1915</x:f>
        <x:v>0</x:v>
      </x:c>
      <x:c r="F1915" s="5" t="str">
        <x:v>nicht Pilot</x:v>
      </x:c>
      <x:c r="G1915" s="5" t="str">
        <x:v>HQ</x:v>
      </x:c>
    </x:row>
    <x:row r="1916" ht="36" customHeight="1">
      <x:c r="A1916" s="5" t="str">
        <x:v>IF-0103</x:v>
      </x:c>
      <x:c r="B1916" s="5" t="str">
        <x:v>Investition und Finanzierung</x:v>
      </x:c>
      <x:c r="C1916" s="11" t="n">
        <x:v>1</x:v>
      </x:c>
      <x:c r="D1916" s="11" t="n">
        <x:f>COUNTIF('Einzel-ID-Zuordnung'!$A$7:$A$2692,A1916)</x:f>
        <x:v>1</x:v>
      </x:c>
      <x:c r="E1916" s="11" t="n">
        <x:f>D1916-C1916</x:f>
        <x:v>0</x:v>
      </x:c>
      <x:c r="F1916" s="5" t="str">
        <x:v>nicht Pilot</x:v>
      </x:c>
      <x:c r="G1916" s="5" t="str">
        <x:v>HQ</x:v>
      </x:c>
    </x:row>
    <x:row r="1917" ht="36" customHeight="1">
      <x:c r="A1917" s="5" t="str">
        <x:v>IF-0104</x:v>
      </x:c>
      <x:c r="B1917" s="5" t="str">
        <x:v>Investition und Finanzierung</x:v>
      </x:c>
      <x:c r="C1917" s="11" t="n">
        <x:v>1</x:v>
      </x:c>
      <x:c r="D1917" s="11" t="n">
        <x:f>COUNTIF('Einzel-ID-Zuordnung'!$A$7:$A$2692,A1917)</x:f>
        <x:v>1</x:v>
      </x:c>
      <x:c r="E1917" s="11" t="n">
        <x:f>D1917-C1917</x:f>
        <x:v>0</x:v>
      </x:c>
      <x:c r="F1917" s="5" t="str">
        <x:v>nicht Pilot</x:v>
      </x:c>
      <x:c r="G1917" s="5" t="str">
        <x:v>HQ</x:v>
      </x:c>
    </x:row>
    <x:row r="1918" ht="36" customHeight="1">
      <x:c r="A1918" s="5" t="str">
        <x:v>IF-0105</x:v>
      </x:c>
      <x:c r="B1918" s="5" t="str">
        <x:v>Investition und Finanzierung</x:v>
      </x:c>
      <x:c r="C1918" s="11" t="n">
        <x:v>1</x:v>
      </x:c>
      <x:c r="D1918" s="11" t="n">
        <x:f>COUNTIF('Einzel-ID-Zuordnung'!$A$7:$A$2692,A1918)</x:f>
        <x:v>1</x:v>
      </x:c>
      <x:c r="E1918" s="11" t="n">
        <x:f>D1918-C1918</x:f>
        <x:v>0</x:v>
      </x:c>
      <x:c r="F1918" s="5" t="str">
        <x:v>nicht Pilot</x:v>
      </x:c>
      <x:c r="G1918" s="5" t="str">
        <x:v>HQ</x:v>
      </x:c>
    </x:row>
    <x:row r="1919" ht="36" customHeight="1">
      <x:c r="A1919" s="5" t="str">
        <x:v>IF-0106</x:v>
      </x:c>
      <x:c r="B1919" s="5" t="str">
        <x:v>Investition und Finanzierung</x:v>
      </x:c>
      <x:c r="C1919" s="11" t="n">
        <x:v>1</x:v>
      </x:c>
      <x:c r="D1919" s="11" t="n">
        <x:f>COUNTIF('Einzel-ID-Zuordnung'!$A$7:$A$2692,A1919)</x:f>
        <x:v>1</x:v>
      </x:c>
      <x:c r="E1919" s="11" t="n">
        <x:f>D1919-C1919</x:f>
        <x:v>0</x:v>
      </x:c>
      <x:c r="F1919" s="5" t="str">
        <x:v>nicht Pilot</x:v>
      </x:c>
      <x:c r="G1919" s="5" t="str">
        <x:v>HQ</x:v>
      </x:c>
    </x:row>
    <x:row r="1920" ht="36" customHeight="1">
      <x:c r="A1920" s="5" t="str">
        <x:v>IF-0107</x:v>
      </x:c>
      <x:c r="B1920" s="5" t="str">
        <x:v>Investition und Finanzierung</x:v>
      </x:c>
      <x:c r="C1920" s="11" t="n">
        <x:v>1</x:v>
      </x:c>
      <x:c r="D1920" s="11" t="n">
        <x:f>COUNTIF('Einzel-ID-Zuordnung'!$A$7:$A$2692,A1920)</x:f>
        <x:v>1</x:v>
      </x:c>
      <x:c r="E1920" s="11" t="n">
        <x:f>D1920-C1920</x:f>
        <x:v>0</x:v>
      </x:c>
      <x:c r="F1920" s="5" t="str">
        <x:v>nicht Pilot</x:v>
      </x:c>
      <x:c r="G1920" s="5" t="str">
        <x:v>HQ</x:v>
      </x:c>
    </x:row>
    <x:row r="1921" ht="36" customHeight="1">
      <x:c r="A1921" s="5" t="str">
        <x:v>IF-0108</x:v>
      </x:c>
      <x:c r="B1921" s="5" t="str">
        <x:v>Investition und Finanzierung</x:v>
      </x:c>
      <x:c r="C1921" s="11" t="n">
        <x:v>1</x:v>
      </x:c>
      <x:c r="D1921" s="11" t="n">
        <x:f>COUNTIF('Einzel-ID-Zuordnung'!$A$7:$A$2692,A1921)</x:f>
        <x:v>1</x:v>
      </x:c>
      <x:c r="E1921" s="11" t="n">
        <x:f>D1921-C1921</x:f>
        <x:v>0</x:v>
      </x:c>
      <x:c r="F1921" s="5" t="str">
        <x:v>nicht Pilot</x:v>
      </x:c>
      <x:c r="G1921" s="5" t="str">
        <x:v>HQ</x:v>
      </x:c>
    </x:row>
    <x:row r="1922" ht="36" customHeight="1">
      <x:c r="A1922" s="5" t="str">
        <x:v>IF-0109</x:v>
      </x:c>
      <x:c r="B1922" s="5" t="str">
        <x:v>Investition und Finanzierung</x:v>
      </x:c>
      <x:c r="C1922" s="11" t="n">
        <x:v>1</x:v>
      </x:c>
      <x:c r="D1922" s="11" t="n">
        <x:f>COUNTIF('Einzel-ID-Zuordnung'!$A$7:$A$2692,A1922)</x:f>
        <x:v>1</x:v>
      </x:c>
      <x:c r="E1922" s="11" t="n">
        <x:f>D1922-C1922</x:f>
        <x:v>0</x:v>
      </x:c>
      <x:c r="F1922" s="5" t="str">
        <x:v>nicht Pilot</x:v>
      </x:c>
      <x:c r="G1922" s="5" t="str">
        <x:v>HQ</x:v>
      </x:c>
    </x:row>
    <x:row r="1923" ht="36" customHeight="1">
      <x:c r="A1923" s="5" t="str">
        <x:v>IF-0110</x:v>
      </x:c>
      <x:c r="B1923" s="5" t="str">
        <x:v>Investition und Finanzierung</x:v>
      </x:c>
      <x:c r="C1923" s="11" t="n">
        <x:v>1</x:v>
      </x:c>
      <x:c r="D1923" s="11" t="n">
        <x:f>COUNTIF('Einzel-ID-Zuordnung'!$A$7:$A$2692,A1923)</x:f>
        <x:v>1</x:v>
      </x:c>
      <x:c r="E1923" s="11" t="n">
        <x:f>D1923-C1923</x:f>
        <x:v>0</x:v>
      </x:c>
      <x:c r="F1923" s="5" t="str">
        <x:v>nicht Pilot</x:v>
      </x:c>
      <x:c r="G1923" s="5" t="str">
        <x:v>HQ</x:v>
      </x:c>
    </x:row>
    <x:row r="1924" ht="36" customHeight="1">
      <x:c r="A1924" s="5" t="str">
        <x:v>IF-0111</x:v>
      </x:c>
      <x:c r="B1924" s="5" t="str">
        <x:v>Investition und Finanzierung</x:v>
      </x:c>
      <x:c r="C1924" s="11" t="n">
        <x:v>1</x:v>
      </x:c>
      <x:c r="D1924" s="11" t="n">
        <x:f>COUNTIF('Einzel-ID-Zuordnung'!$A$7:$A$2692,A1924)</x:f>
        <x:v>1</x:v>
      </x:c>
      <x:c r="E1924" s="11" t="n">
        <x:f>D1924-C1924</x:f>
        <x:v>0</x:v>
      </x:c>
      <x:c r="F1924" s="5" t="str">
        <x:v>nicht Pilot</x:v>
      </x:c>
      <x:c r="G1924" s="5" t="str">
        <x:v>HQ</x:v>
      </x:c>
    </x:row>
    <x:row r="1925" ht="36" customHeight="1">
      <x:c r="A1925" s="5" t="str">
        <x:v>IF-0112</x:v>
      </x:c>
      <x:c r="B1925" s="5" t="str">
        <x:v>Investition und Finanzierung</x:v>
      </x:c>
      <x:c r="C1925" s="11" t="n">
        <x:v>1</x:v>
      </x:c>
      <x:c r="D1925" s="11" t="n">
        <x:f>COUNTIF('Einzel-ID-Zuordnung'!$A$7:$A$2692,A1925)</x:f>
        <x:v>1</x:v>
      </x:c>
      <x:c r="E1925" s="11" t="n">
        <x:f>D1925-C1925</x:f>
        <x:v>0</x:v>
      </x:c>
      <x:c r="F1925" s="5" t="str">
        <x:v>nicht Pilot</x:v>
      </x:c>
      <x:c r="G1925" s="5" t="str">
        <x:v>HQ</x:v>
      </x:c>
    </x:row>
    <x:row r="1926" ht="36" customHeight="1">
      <x:c r="A1926" s="5" t="str">
        <x:v>IF-0113</x:v>
      </x:c>
      <x:c r="B1926" s="5" t="str">
        <x:v>Investition und Finanzierung</x:v>
      </x:c>
      <x:c r="C1926" s="11" t="n">
        <x:v>1</x:v>
      </x:c>
      <x:c r="D1926" s="11" t="n">
        <x:f>COUNTIF('Einzel-ID-Zuordnung'!$A$7:$A$2692,A1926)</x:f>
        <x:v>1</x:v>
      </x:c>
      <x:c r="E1926" s="11" t="n">
        <x:f>D1926-C1926</x:f>
        <x:v>0</x:v>
      </x:c>
      <x:c r="F1926" s="5" t="str">
        <x:v>nicht Pilot</x:v>
      </x:c>
      <x:c r="G1926" s="5" t="str">
        <x:v>HQ</x:v>
      </x:c>
    </x:row>
    <x:row r="1927" ht="36" customHeight="1">
      <x:c r="A1927" s="5" t="str">
        <x:v>IF-0114</x:v>
      </x:c>
      <x:c r="B1927" s="5" t="str">
        <x:v>Investition und Finanzierung</x:v>
      </x:c>
      <x:c r="C1927" s="11" t="n">
        <x:v>1</x:v>
      </x:c>
      <x:c r="D1927" s="11" t="n">
        <x:f>COUNTIF('Einzel-ID-Zuordnung'!$A$7:$A$2692,A1927)</x:f>
        <x:v>1</x:v>
      </x:c>
      <x:c r="E1927" s="11" t="n">
        <x:f>D1927-C1927</x:f>
        <x:v>0</x:v>
      </x:c>
      <x:c r="F1927" s="5" t="str">
        <x:v>nicht Pilot</x:v>
      </x:c>
      <x:c r="G1927" s="5" t="str">
        <x:v>HQ</x:v>
      </x:c>
    </x:row>
    <x:row r="1928" ht="36" customHeight="1">
      <x:c r="A1928" s="5" t="str">
        <x:v>IF-0115</x:v>
      </x:c>
      <x:c r="B1928" s="5" t="str">
        <x:v>Investition und Finanzierung</x:v>
      </x:c>
      <x:c r="C1928" s="11" t="n">
        <x:v>1</x:v>
      </x:c>
      <x:c r="D1928" s="11" t="n">
        <x:f>COUNTIF('Einzel-ID-Zuordnung'!$A$7:$A$2692,A1928)</x:f>
        <x:v>1</x:v>
      </x:c>
      <x:c r="E1928" s="11" t="n">
        <x:f>D1928-C1928</x:f>
        <x:v>0</x:v>
      </x:c>
      <x:c r="F1928" s="5" t="str">
        <x:v>nicht Pilot</x:v>
      </x:c>
      <x:c r="G1928" s="5" t="str">
        <x:v>HQ</x:v>
      </x:c>
    </x:row>
    <x:row r="1929" ht="36" customHeight="1">
      <x:c r="A1929" s="5" t="str">
        <x:v>IF-0116</x:v>
      </x:c>
      <x:c r="B1929" s="5" t="str">
        <x:v>Investition und Finanzierung</x:v>
      </x:c>
      <x:c r="C1929" s="11" t="n">
        <x:v>1</x:v>
      </x:c>
      <x:c r="D1929" s="11" t="n">
        <x:f>COUNTIF('Einzel-ID-Zuordnung'!$A$7:$A$2692,A1929)</x:f>
        <x:v>1</x:v>
      </x:c>
      <x:c r="E1929" s="11" t="n">
        <x:f>D1929-C1929</x:f>
        <x:v>0</x:v>
      </x:c>
      <x:c r="F1929" s="5" t="str">
        <x:v>nicht Pilot</x:v>
      </x:c>
      <x:c r="G1929" s="5" t="str">
        <x:v>HQ</x:v>
      </x:c>
    </x:row>
    <x:row r="1930" ht="36" customHeight="1">
      <x:c r="A1930" s="5" t="str">
        <x:v>IF-0117</x:v>
      </x:c>
      <x:c r="B1930" s="5" t="str">
        <x:v>Investition und Finanzierung</x:v>
      </x:c>
      <x:c r="C1930" s="11" t="n">
        <x:v>1</x:v>
      </x:c>
      <x:c r="D1930" s="11" t="n">
        <x:f>COUNTIF('Einzel-ID-Zuordnung'!$A$7:$A$2692,A1930)</x:f>
        <x:v>1</x:v>
      </x:c>
      <x:c r="E1930" s="11" t="n">
        <x:f>D1930-C1930</x:f>
        <x:v>0</x:v>
      </x:c>
      <x:c r="F1930" s="5" t="str">
        <x:v>nicht Pilot</x:v>
      </x:c>
      <x:c r="G1930" s="5" t="str">
        <x:v>HQ</x:v>
      </x:c>
    </x:row>
    <x:row r="1931" ht="36" customHeight="1">
      <x:c r="A1931" s="5" t="str">
        <x:v>IF-0118</x:v>
      </x:c>
      <x:c r="B1931" s="5" t="str">
        <x:v>Investition und Finanzierung</x:v>
      </x:c>
      <x:c r="C1931" s="11" t="n">
        <x:v>1</x:v>
      </x:c>
      <x:c r="D1931" s="11" t="n">
        <x:f>COUNTIF('Einzel-ID-Zuordnung'!$A$7:$A$2692,A1931)</x:f>
        <x:v>1</x:v>
      </x:c>
      <x:c r="E1931" s="11" t="n">
        <x:f>D1931-C1931</x:f>
        <x:v>0</x:v>
      </x:c>
      <x:c r="F1931" s="5" t="str">
        <x:v>nicht Pilot</x:v>
      </x:c>
      <x:c r="G1931" s="5" t="str">
        <x:v>HQ</x:v>
      </x:c>
    </x:row>
    <x:row r="1932" ht="36" customHeight="1">
      <x:c r="A1932" s="5" t="str">
        <x:v>IF-0119</x:v>
      </x:c>
      <x:c r="B1932" s="5" t="str">
        <x:v>Investition und Finanzierung</x:v>
      </x:c>
      <x:c r="C1932" s="11" t="n">
        <x:v>1</x:v>
      </x:c>
      <x:c r="D1932" s="11" t="n">
        <x:f>COUNTIF('Einzel-ID-Zuordnung'!$A$7:$A$2692,A1932)</x:f>
        <x:v>1</x:v>
      </x:c>
      <x:c r="E1932" s="11" t="n">
        <x:f>D1932-C1932</x:f>
        <x:v>0</x:v>
      </x:c>
      <x:c r="F1932" s="5" t="str">
        <x:v>nicht Pilot</x:v>
      </x:c>
      <x:c r="G1932" s="5" t="str">
        <x:v>HQ</x:v>
      </x:c>
    </x:row>
    <x:row r="1933" ht="36" customHeight="1">
      <x:c r="A1933" s="5" t="str">
        <x:v>IF-0120</x:v>
      </x:c>
      <x:c r="B1933" s="5" t="str">
        <x:v>Investition und Finanzierung</x:v>
      </x:c>
      <x:c r="C1933" s="11" t="n">
        <x:v>1</x:v>
      </x:c>
      <x:c r="D1933" s="11" t="n">
        <x:f>COUNTIF('Einzel-ID-Zuordnung'!$A$7:$A$2692,A1933)</x:f>
        <x:v>1</x:v>
      </x:c>
      <x:c r="E1933" s="11" t="n">
        <x:f>D1933-C1933</x:f>
        <x:v>0</x:v>
      </x:c>
      <x:c r="F1933" s="5" t="str">
        <x:v>nicht Pilot</x:v>
      </x:c>
      <x:c r="G1933" s="5" t="str">
        <x:v>HQ</x:v>
      </x:c>
    </x:row>
    <x:row r="1934" ht="36" customHeight="1">
      <x:c r="A1934" s="5" t="str">
        <x:v>IF-0121</x:v>
      </x:c>
      <x:c r="B1934" s="5" t="str">
        <x:v>Investition und Finanzierung</x:v>
      </x:c>
      <x:c r="C1934" s="11" t="n">
        <x:v>1</x:v>
      </x:c>
      <x:c r="D1934" s="11" t="n">
        <x:f>COUNTIF('Einzel-ID-Zuordnung'!$A$7:$A$2692,A1934)</x:f>
        <x:v>1</x:v>
      </x:c>
      <x:c r="E1934" s="11" t="n">
        <x:f>D1934-C1934</x:f>
        <x:v>0</x:v>
      </x:c>
      <x:c r="F1934" s="5" t="str">
        <x:v>nicht Pilot</x:v>
      </x:c>
      <x:c r="G1934" s="5" t="str">
        <x:v>HQ</x:v>
      </x:c>
    </x:row>
    <x:row r="1935" ht="36" customHeight="1">
      <x:c r="A1935" s="5" t="str">
        <x:v>IF-0122</x:v>
      </x:c>
      <x:c r="B1935" s="5" t="str">
        <x:v>Investition und Finanzierung</x:v>
      </x:c>
      <x:c r="C1935" s="11" t="n">
        <x:v>1</x:v>
      </x:c>
      <x:c r="D1935" s="11" t="n">
        <x:f>COUNTIF('Einzel-ID-Zuordnung'!$A$7:$A$2692,A1935)</x:f>
        <x:v>1</x:v>
      </x:c>
      <x:c r="E1935" s="11" t="n">
        <x:f>D1935-C1935</x:f>
        <x:v>0</x:v>
      </x:c>
      <x:c r="F1935" s="5" t="str">
        <x:v>nicht Pilot</x:v>
      </x:c>
      <x:c r="G1935" s="5" t="str">
        <x:v>HQ</x:v>
      </x:c>
    </x:row>
    <x:row r="1936" ht="36" customHeight="1">
      <x:c r="A1936" s="5" t="str">
        <x:v>IF-0123</x:v>
      </x:c>
      <x:c r="B1936" s="5" t="str">
        <x:v>Investition und Finanzierung</x:v>
      </x:c>
      <x:c r="C1936" s="11" t="n">
        <x:v>1</x:v>
      </x:c>
      <x:c r="D1936" s="11" t="n">
        <x:f>COUNTIF('Einzel-ID-Zuordnung'!$A$7:$A$2692,A1936)</x:f>
        <x:v>1</x:v>
      </x:c>
      <x:c r="E1936" s="11" t="n">
        <x:f>D1936-C1936</x:f>
        <x:v>0</x:v>
      </x:c>
      <x:c r="F1936" s="5" t="str">
        <x:v>nicht Pilot</x:v>
      </x:c>
      <x:c r="G1936" s="5" t="str">
        <x:v>HQ</x:v>
      </x:c>
    </x:row>
    <x:row r="1937" ht="36" customHeight="1">
      <x:c r="A1937" s="5" t="str">
        <x:v>IF-0124</x:v>
      </x:c>
      <x:c r="B1937" s="5" t="str">
        <x:v>Investition und Finanzierung</x:v>
      </x:c>
      <x:c r="C1937" s="11" t="n">
        <x:v>1</x:v>
      </x:c>
      <x:c r="D1937" s="11" t="n">
        <x:f>COUNTIF('Einzel-ID-Zuordnung'!$A$7:$A$2692,A1937)</x:f>
        <x:v>1</x:v>
      </x:c>
      <x:c r="E1937" s="11" t="n">
        <x:f>D1937-C1937</x:f>
        <x:v>0</x:v>
      </x:c>
      <x:c r="F1937" s="5" t="str">
        <x:v>nicht Pilot</x:v>
      </x:c>
      <x:c r="G1937" s="5" t="str">
        <x:v>HQ</x:v>
      </x:c>
    </x:row>
    <x:row r="1938" ht="36" customHeight="1">
      <x:c r="A1938" s="5" t="str">
        <x:v>IF-0125</x:v>
      </x:c>
      <x:c r="B1938" s="5" t="str">
        <x:v>Investition und Finanzierung</x:v>
      </x:c>
      <x:c r="C1938" s="11" t="n">
        <x:v>1</x:v>
      </x:c>
      <x:c r="D1938" s="11" t="n">
        <x:f>COUNTIF('Einzel-ID-Zuordnung'!$A$7:$A$2692,A1938)</x:f>
        <x:v>1</x:v>
      </x:c>
      <x:c r="E1938" s="11" t="n">
        <x:f>D1938-C1938</x:f>
        <x:v>0</x:v>
      </x:c>
      <x:c r="F1938" s="5" t="str">
        <x:v>nicht Pilot</x:v>
      </x:c>
      <x:c r="G1938" s="5" t="str">
        <x:v>HQ</x:v>
      </x:c>
    </x:row>
    <x:row r="1939" ht="36" customHeight="1">
      <x:c r="A1939" s="5" t="str">
        <x:v>IF-0126</x:v>
      </x:c>
      <x:c r="B1939" s="5" t="str">
        <x:v>Investition und Finanzierung</x:v>
      </x:c>
      <x:c r="C1939" s="11" t="n">
        <x:v>1</x:v>
      </x:c>
      <x:c r="D1939" s="11" t="n">
        <x:f>COUNTIF('Einzel-ID-Zuordnung'!$A$7:$A$2692,A1939)</x:f>
        <x:v>1</x:v>
      </x:c>
      <x:c r="E1939" s="11" t="n">
        <x:f>D1939-C1939</x:f>
        <x:v>0</x:v>
      </x:c>
      <x:c r="F1939" s="5" t="str">
        <x:v>nicht Pilot</x:v>
      </x:c>
      <x:c r="G1939" s="5" t="str">
        <x:v>HQ</x:v>
      </x:c>
    </x:row>
    <x:row r="1940" ht="36" customHeight="1">
      <x:c r="A1940" s="5" t="str">
        <x:v>IF-0127</x:v>
      </x:c>
      <x:c r="B1940" s="5" t="str">
        <x:v>Investition und Finanzierung</x:v>
      </x:c>
      <x:c r="C1940" s="11" t="n">
        <x:v>1</x:v>
      </x:c>
      <x:c r="D1940" s="11" t="n">
        <x:f>COUNTIF('Einzel-ID-Zuordnung'!$A$7:$A$2692,A1940)</x:f>
        <x:v>1</x:v>
      </x:c>
      <x:c r="E1940" s="11" t="n">
        <x:f>D1940-C1940</x:f>
        <x:v>0</x:v>
      </x:c>
      <x:c r="F1940" s="5" t="str">
        <x:v>nicht Pilot</x:v>
      </x:c>
      <x:c r="G1940" s="5" t="str">
        <x:v>HQ</x:v>
      </x:c>
    </x:row>
    <x:row r="1941" ht="36" customHeight="1">
      <x:c r="A1941" s="5" t="str">
        <x:v>IF-0128</x:v>
      </x:c>
      <x:c r="B1941" s="5" t="str">
        <x:v>Investition und Finanzierung</x:v>
      </x:c>
      <x:c r="C1941" s="11" t="n">
        <x:v>1</x:v>
      </x:c>
      <x:c r="D1941" s="11" t="n">
        <x:f>COUNTIF('Einzel-ID-Zuordnung'!$A$7:$A$2692,A1941)</x:f>
        <x:v>1</x:v>
      </x:c>
      <x:c r="E1941" s="11" t="n">
        <x:f>D1941-C1941</x:f>
        <x:v>0</x:v>
      </x:c>
      <x:c r="F1941" s="5" t="str">
        <x:v>nicht Pilot</x:v>
      </x:c>
      <x:c r="G1941" s="5" t="str">
        <x:v>HQ</x:v>
      </x:c>
    </x:row>
    <x:row r="1942" ht="36" customHeight="1">
      <x:c r="A1942" s="5" t="str">
        <x:v>IF-0129</x:v>
      </x:c>
      <x:c r="B1942" s="5" t="str">
        <x:v>Investition und Finanzierung</x:v>
      </x:c>
      <x:c r="C1942" s="11" t="n">
        <x:v>1</x:v>
      </x:c>
      <x:c r="D1942" s="11" t="n">
        <x:f>COUNTIF('Einzel-ID-Zuordnung'!$A$7:$A$2692,A1942)</x:f>
        <x:v>1</x:v>
      </x:c>
      <x:c r="E1942" s="11" t="n">
        <x:f>D1942-C1942</x:f>
        <x:v>0</x:v>
      </x:c>
      <x:c r="F1942" s="5" t="str">
        <x:v>nicht Pilot</x:v>
      </x:c>
      <x:c r="G1942" s="5" t="str">
        <x:v>HQ</x:v>
      </x:c>
    </x:row>
    <x:row r="1943" ht="36" customHeight="1">
      <x:c r="A1943" s="5" t="str">
        <x:v>IF-0130</x:v>
      </x:c>
      <x:c r="B1943" s="5" t="str">
        <x:v>Investition und Finanzierung</x:v>
      </x:c>
      <x:c r="C1943" s="11" t="n">
        <x:v>1</x:v>
      </x:c>
      <x:c r="D1943" s="11" t="n">
        <x:f>COUNTIF('Einzel-ID-Zuordnung'!$A$7:$A$2692,A1943)</x:f>
        <x:v>1</x:v>
      </x:c>
      <x:c r="E1943" s="11" t="n">
        <x:f>D1943-C1943</x:f>
        <x:v>0</x:v>
      </x:c>
      <x:c r="F1943" s="5" t="str">
        <x:v>nicht Pilot</x:v>
      </x:c>
      <x:c r="G1943" s="5" t="str">
        <x:v>HQ</x:v>
      </x:c>
    </x:row>
    <x:row r="1944" ht="36" customHeight="1">
      <x:c r="A1944" s="5" t="str">
        <x:v>IF-0131</x:v>
      </x:c>
      <x:c r="B1944" s="5" t="str">
        <x:v>Investition und Finanzierung</x:v>
      </x:c>
      <x:c r="C1944" s="11" t="n">
        <x:v>1</x:v>
      </x:c>
      <x:c r="D1944" s="11" t="n">
        <x:f>COUNTIF('Einzel-ID-Zuordnung'!$A$7:$A$2692,A1944)</x:f>
        <x:v>1</x:v>
      </x:c>
      <x:c r="E1944" s="11" t="n">
        <x:f>D1944-C1944</x:f>
        <x:v>0</x:v>
      </x:c>
      <x:c r="F1944" s="5" t="str">
        <x:v>nicht Pilot</x:v>
      </x:c>
      <x:c r="G1944" s="5" t="str">
        <x:v>HQ</x:v>
      </x:c>
    </x:row>
    <x:row r="1945" ht="36" customHeight="1">
      <x:c r="A1945" s="5" t="str">
        <x:v>IF-0132</x:v>
      </x:c>
      <x:c r="B1945" s="5" t="str">
        <x:v>Investition und Finanzierung</x:v>
      </x:c>
      <x:c r="C1945" s="11" t="n">
        <x:v>1</x:v>
      </x:c>
      <x:c r="D1945" s="11" t="n">
        <x:f>COUNTIF('Einzel-ID-Zuordnung'!$A$7:$A$2692,A1945)</x:f>
        <x:v>1</x:v>
      </x:c>
      <x:c r="E1945" s="11" t="n">
        <x:f>D1945-C1945</x:f>
        <x:v>0</x:v>
      </x:c>
      <x:c r="F1945" s="5" t="str">
        <x:v>nicht Pilot</x:v>
      </x:c>
      <x:c r="G1945" s="5" t="str">
        <x:v>HQ</x:v>
      </x:c>
    </x:row>
    <x:row r="1946" ht="36" customHeight="1">
      <x:c r="A1946" s="5" t="str">
        <x:v>IF-0133</x:v>
      </x:c>
      <x:c r="B1946" s="5" t="str">
        <x:v>Investition und Finanzierung</x:v>
      </x:c>
      <x:c r="C1946" s="11" t="n">
        <x:v>1</x:v>
      </x:c>
      <x:c r="D1946" s="11" t="n">
        <x:f>COUNTIF('Einzel-ID-Zuordnung'!$A$7:$A$2692,A1946)</x:f>
        <x:v>1</x:v>
      </x:c>
      <x:c r="E1946" s="11" t="n">
        <x:f>D1946-C1946</x:f>
        <x:v>0</x:v>
      </x:c>
      <x:c r="F1946" s="5" t="str">
        <x:v>nicht Pilot</x:v>
      </x:c>
      <x:c r="G1946" s="5" t="str">
        <x:v>HQ</x:v>
      </x:c>
    </x:row>
    <x:row r="1947" ht="36" customHeight="1">
      <x:c r="A1947" s="5" t="str">
        <x:v>IF-0134</x:v>
      </x:c>
      <x:c r="B1947" s="5" t="str">
        <x:v>Investition und Finanzierung</x:v>
      </x:c>
      <x:c r="C1947" s="11" t="n">
        <x:v>1</x:v>
      </x:c>
      <x:c r="D1947" s="11" t="n">
        <x:f>COUNTIF('Einzel-ID-Zuordnung'!$A$7:$A$2692,A1947)</x:f>
        <x:v>1</x:v>
      </x:c>
      <x:c r="E1947" s="11" t="n">
        <x:f>D1947-C1947</x:f>
        <x:v>0</x:v>
      </x:c>
      <x:c r="F1947" s="5" t="str">
        <x:v>nicht Pilot</x:v>
      </x:c>
      <x:c r="G1947" s="5" t="str">
        <x:v>HQ</x:v>
      </x:c>
    </x:row>
    <x:row r="1948" ht="36" customHeight="1">
      <x:c r="A1948" s="5" t="str">
        <x:v>IF-0135</x:v>
      </x:c>
      <x:c r="B1948" s="5" t="str">
        <x:v>Investition und Finanzierung</x:v>
      </x:c>
      <x:c r="C1948" s="11" t="n">
        <x:v>1</x:v>
      </x:c>
      <x:c r="D1948" s="11" t="n">
        <x:f>COUNTIF('Einzel-ID-Zuordnung'!$A$7:$A$2692,A1948)</x:f>
        <x:v>1</x:v>
      </x:c>
      <x:c r="E1948" s="11" t="n">
        <x:f>D1948-C1948</x:f>
        <x:v>0</x:v>
      </x:c>
      <x:c r="F1948" s="5" t="str">
        <x:v>nicht Pilot</x:v>
      </x:c>
      <x:c r="G1948" s="5" t="str">
        <x:v>HQ</x:v>
      </x:c>
    </x:row>
    <x:row r="1949" ht="36" customHeight="1">
      <x:c r="A1949" s="5" t="str">
        <x:v>IF-0136</x:v>
      </x:c>
      <x:c r="B1949" s="5" t="str">
        <x:v>Investition und Finanzierung</x:v>
      </x:c>
      <x:c r="C1949" s="11" t="n">
        <x:v>1</x:v>
      </x:c>
      <x:c r="D1949" s="11" t="n">
        <x:f>COUNTIF('Einzel-ID-Zuordnung'!$A$7:$A$2692,A1949)</x:f>
        <x:v>1</x:v>
      </x:c>
      <x:c r="E1949" s="11" t="n">
        <x:f>D1949-C1949</x:f>
        <x:v>0</x:v>
      </x:c>
      <x:c r="F1949" s="5" t="str">
        <x:v>nicht Pilot</x:v>
      </x:c>
      <x:c r="G1949" s="5" t="str">
        <x:v>HQ</x:v>
      </x:c>
    </x:row>
    <x:row r="1950" ht="36" customHeight="1">
      <x:c r="A1950" s="5" t="str">
        <x:v>IF-0137</x:v>
      </x:c>
      <x:c r="B1950" s="5" t="str">
        <x:v>Investition und Finanzierung</x:v>
      </x:c>
      <x:c r="C1950" s="11" t="n">
        <x:v>1</x:v>
      </x:c>
      <x:c r="D1950" s="11" t="n">
        <x:f>COUNTIF('Einzel-ID-Zuordnung'!$A$7:$A$2692,A1950)</x:f>
        <x:v>1</x:v>
      </x:c>
      <x:c r="E1950" s="11" t="n">
        <x:f>D1950-C1950</x:f>
        <x:v>0</x:v>
      </x:c>
      <x:c r="F1950" s="5" t="str">
        <x:v>nicht Pilot</x:v>
      </x:c>
      <x:c r="G1950" s="5" t="str">
        <x:v>HQ</x:v>
      </x:c>
    </x:row>
    <x:row r="1951" ht="36" customHeight="1">
      <x:c r="A1951" s="5" t="str">
        <x:v>IF-0138</x:v>
      </x:c>
      <x:c r="B1951" s="5" t="str">
        <x:v>Investition und Finanzierung</x:v>
      </x:c>
      <x:c r="C1951" s="11" t="n">
        <x:v>1</x:v>
      </x:c>
      <x:c r="D1951" s="11" t="n">
        <x:f>COUNTIF('Einzel-ID-Zuordnung'!$A$7:$A$2692,A1951)</x:f>
        <x:v>1</x:v>
      </x:c>
      <x:c r="E1951" s="11" t="n">
        <x:f>D1951-C1951</x:f>
        <x:v>0</x:v>
      </x:c>
      <x:c r="F1951" s="5" t="str">
        <x:v>nicht Pilot</x:v>
      </x:c>
      <x:c r="G1951" s="5" t="str">
        <x:v>HQ</x:v>
      </x:c>
    </x:row>
    <x:row r="1952" ht="36" customHeight="1">
      <x:c r="A1952" s="5" t="str">
        <x:v>IF-0139</x:v>
      </x:c>
      <x:c r="B1952" s="5" t="str">
        <x:v>Investition und Finanzierung</x:v>
      </x:c>
      <x:c r="C1952" s="11" t="n">
        <x:v>1</x:v>
      </x:c>
      <x:c r="D1952" s="11" t="n">
        <x:f>COUNTIF('Einzel-ID-Zuordnung'!$A$7:$A$2692,A1952)</x:f>
        <x:v>1</x:v>
      </x:c>
      <x:c r="E1952" s="11" t="n">
        <x:f>D1952-C1952</x:f>
        <x:v>0</x:v>
      </x:c>
      <x:c r="F1952" s="5" t="str">
        <x:v>nicht Pilot</x:v>
      </x:c>
      <x:c r="G1952" s="5" t="str">
        <x:v>HQ</x:v>
      </x:c>
    </x:row>
    <x:row r="1953" ht="36" customHeight="1">
      <x:c r="A1953" s="5" t="str">
        <x:v>IF-0140</x:v>
      </x:c>
      <x:c r="B1953" s="5" t="str">
        <x:v>Investition und Finanzierung</x:v>
      </x:c>
      <x:c r="C1953" s="11" t="n">
        <x:v>1</x:v>
      </x:c>
      <x:c r="D1953" s="11" t="n">
        <x:f>COUNTIF('Einzel-ID-Zuordnung'!$A$7:$A$2692,A1953)</x:f>
        <x:v>1</x:v>
      </x:c>
      <x:c r="E1953" s="11" t="n">
        <x:f>D1953-C1953</x:f>
        <x:v>0</x:v>
      </x:c>
      <x:c r="F1953" s="5" t="str">
        <x:v>nicht Pilot</x:v>
      </x:c>
      <x:c r="G1953" s="5" t="str">
        <x:v>HQ</x:v>
      </x:c>
    </x:row>
    <x:row r="1954" ht="36" customHeight="1">
      <x:c r="A1954" s="5" t="str">
        <x:v>IF-0141</x:v>
      </x:c>
      <x:c r="B1954" s="5" t="str">
        <x:v>Investition und Finanzierung</x:v>
      </x:c>
      <x:c r="C1954" s="11" t="n">
        <x:v>1</x:v>
      </x:c>
      <x:c r="D1954" s="11" t="n">
        <x:f>COUNTIF('Einzel-ID-Zuordnung'!$A$7:$A$2692,A1954)</x:f>
        <x:v>1</x:v>
      </x:c>
      <x:c r="E1954" s="11" t="n">
        <x:f>D1954-C1954</x:f>
        <x:v>0</x:v>
      </x:c>
      <x:c r="F1954" s="5" t="str">
        <x:v>nicht Pilot</x:v>
      </x:c>
      <x:c r="G1954" s="5" t="str">
        <x:v>HQ</x:v>
      </x:c>
    </x:row>
    <x:row r="1955" ht="36" customHeight="1">
      <x:c r="A1955" s="5" t="str">
        <x:v>IF-0142</x:v>
      </x:c>
      <x:c r="B1955" s="5" t="str">
        <x:v>Investition und Finanzierung</x:v>
      </x:c>
      <x:c r="C1955" s="11" t="n">
        <x:v>1</x:v>
      </x:c>
      <x:c r="D1955" s="11" t="n">
        <x:f>COUNTIF('Einzel-ID-Zuordnung'!$A$7:$A$2692,A1955)</x:f>
        <x:v>1</x:v>
      </x:c>
      <x:c r="E1955" s="11" t="n">
        <x:f>D1955-C1955</x:f>
        <x:v>0</x:v>
      </x:c>
      <x:c r="F1955" s="5" t="str">
        <x:v>nicht Pilot</x:v>
      </x:c>
      <x:c r="G1955" s="5" t="str">
        <x:v>HQ</x:v>
      </x:c>
    </x:row>
    <x:row r="1956" ht="36" customHeight="1">
      <x:c r="A1956" s="5" t="str">
        <x:v>IF-0143</x:v>
      </x:c>
      <x:c r="B1956" s="5" t="str">
        <x:v>Investition und Finanzierung</x:v>
      </x:c>
      <x:c r="C1956" s="11" t="n">
        <x:v>1</x:v>
      </x:c>
      <x:c r="D1956" s="11" t="n">
        <x:f>COUNTIF('Einzel-ID-Zuordnung'!$A$7:$A$2692,A1956)</x:f>
        <x:v>1</x:v>
      </x:c>
      <x:c r="E1956" s="11" t="n">
        <x:f>D1956-C1956</x:f>
        <x:v>0</x:v>
      </x:c>
      <x:c r="F1956" s="5" t="str">
        <x:v>nicht Pilot</x:v>
      </x:c>
      <x:c r="G1956" s="5" t="str">
        <x:v>HQ</x:v>
      </x:c>
    </x:row>
    <x:row r="1957" ht="36" customHeight="1">
      <x:c r="A1957" s="5" t="str">
        <x:v>IF-0144</x:v>
      </x:c>
      <x:c r="B1957" s="5" t="str">
        <x:v>Investition und Finanzierung</x:v>
      </x:c>
      <x:c r="C1957" s="11" t="n">
        <x:v>1</x:v>
      </x:c>
      <x:c r="D1957" s="11" t="n">
        <x:f>COUNTIF('Einzel-ID-Zuordnung'!$A$7:$A$2692,A1957)</x:f>
        <x:v>1</x:v>
      </x:c>
      <x:c r="E1957" s="11" t="n">
        <x:f>D1957-C1957</x:f>
        <x:v>0</x:v>
      </x:c>
      <x:c r="F1957" s="5" t="str">
        <x:v>nicht Pilot</x:v>
      </x:c>
      <x:c r="G1957" s="5" t="str">
        <x:v>HQ</x:v>
      </x:c>
    </x:row>
    <x:row r="1958" ht="36" customHeight="1">
      <x:c r="A1958" s="5" t="str">
        <x:v>IF-0145</x:v>
      </x:c>
      <x:c r="B1958" s="5" t="str">
        <x:v>Investition und Finanzierung</x:v>
      </x:c>
      <x:c r="C1958" s="11" t="n">
        <x:v>1</x:v>
      </x:c>
      <x:c r="D1958" s="11" t="n">
        <x:f>COUNTIF('Einzel-ID-Zuordnung'!$A$7:$A$2692,A1958)</x:f>
        <x:v>1</x:v>
      </x:c>
      <x:c r="E1958" s="11" t="n">
        <x:f>D1958-C1958</x:f>
        <x:v>0</x:v>
      </x:c>
      <x:c r="F1958" s="5" t="str">
        <x:v>nicht Pilot</x:v>
      </x:c>
      <x:c r="G1958" s="5" t="str">
        <x:v>HQ</x:v>
      </x:c>
    </x:row>
    <x:row r="1959" ht="36" customHeight="1">
      <x:c r="A1959" s="5" t="str">
        <x:v>IF-0146</x:v>
      </x:c>
      <x:c r="B1959" s="5" t="str">
        <x:v>Investition und Finanzierung</x:v>
      </x:c>
      <x:c r="C1959" s="11" t="n">
        <x:v>1</x:v>
      </x:c>
      <x:c r="D1959" s="11" t="n">
        <x:f>COUNTIF('Einzel-ID-Zuordnung'!$A$7:$A$2692,A1959)</x:f>
        <x:v>1</x:v>
      </x:c>
      <x:c r="E1959" s="11" t="n">
        <x:f>D1959-C1959</x:f>
        <x:v>0</x:v>
      </x:c>
      <x:c r="F1959" s="5" t="str">
        <x:v>nicht Pilot</x:v>
      </x:c>
      <x:c r="G1959" s="5" t="str">
        <x:v>HQ</x:v>
      </x:c>
    </x:row>
    <x:row r="1960" ht="36" customHeight="1">
      <x:c r="A1960" s="5" t="str">
        <x:v>IF-0147</x:v>
      </x:c>
      <x:c r="B1960" s="5" t="str">
        <x:v>Investition und Finanzierung</x:v>
      </x:c>
      <x:c r="C1960" s="11" t="n">
        <x:v>1</x:v>
      </x:c>
      <x:c r="D1960" s="11" t="n">
        <x:f>COUNTIF('Einzel-ID-Zuordnung'!$A$7:$A$2692,A1960)</x:f>
        <x:v>1</x:v>
      </x:c>
      <x:c r="E1960" s="11" t="n">
        <x:f>D1960-C1960</x:f>
        <x:v>0</x:v>
      </x:c>
      <x:c r="F1960" s="5" t="str">
        <x:v>nicht Pilot</x:v>
      </x:c>
      <x:c r="G1960" s="5" t="str">
        <x:v>HQ</x:v>
      </x:c>
    </x:row>
    <x:row r="1961" ht="36" customHeight="1">
      <x:c r="A1961" s="5" t="str">
        <x:v>IF-0148</x:v>
      </x:c>
      <x:c r="B1961" s="5" t="str">
        <x:v>Investition und Finanzierung</x:v>
      </x:c>
      <x:c r="C1961" s="11" t="n">
        <x:v>1</x:v>
      </x:c>
      <x:c r="D1961" s="11" t="n">
        <x:f>COUNTIF('Einzel-ID-Zuordnung'!$A$7:$A$2692,A1961)</x:f>
        <x:v>1</x:v>
      </x:c>
      <x:c r="E1961" s="11" t="n">
        <x:f>D1961-C1961</x:f>
        <x:v>0</x:v>
      </x:c>
      <x:c r="F1961" s="5" t="str">
        <x:v>nicht Pilot</x:v>
      </x:c>
      <x:c r="G1961" s="5" t="str">
        <x:v>HQ</x:v>
      </x:c>
    </x:row>
    <x:row r="1962" ht="36" customHeight="1">
      <x:c r="A1962" s="5" t="str">
        <x:v>IF-0149</x:v>
      </x:c>
      <x:c r="B1962" s="5" t="str">
        <x:v>Investition und Finanzierung</x:v>
      </x:c>
      <x:c r="C1962" s="11" t="n">
        <x:v>1</x:v>
      </x:c>
      <x:c r="D1962" s="11" t="n">
        <x:f>COUNTIF('Einzel-ID-Zuordnung'!$A$7:$A$2692,A1962)</x:f>
        <x:v>1</x:v>
      </x:c>
      <x:c r="E1962" s="11" t="n">
        <x:f>D1962-C1962</x:f>
        <x:v>0</x:v>
      </x:c>
      <x:c r="F1962" s="5" t="str">
        <x:v>nicht Pilot</x:v>
      </x:c>
      <x:c r="G1962" s="5" t="str">
        <x:v>HQ</x:v>
      </x:c>
    </x:row>
    <x:row r="1963" ht="36" customHeight="1">
      <x:c r="A1963" s="5" t="str">
        <x:v>IF-0150</x:v>
      </x:c>
      <x:c r="B1963" s="5" t="str">
        <x:v>Investition und Finanzierung</x:v>
      </x:c>
      <x:c r="C1963" s="11" t="n">
        <x:v>1</x:v>
      </x:c>
      <x:c r="D1963" s="11" t="n">
        <x:f>COUNTIF('Einzel-ID-Zuordnung'!$A$7:$A$2692,A1963)</x:f>
        <x:v>1</x:v>
      </x:c>
      <x:c r="E1963" s="11" t="n">
        <x:f>D1963-C1963</x:f>
        <x:v>0</x:v>
      </x:c>
      <x:c r="F1963" s="5" t="str">
        <x:v>nicht Pilot</x:v>
      </x:c>
      <x:c r="G1963" s="5" t="str">
        <x:v>HQ</x:v>
      </x:c>
    </x:row>
    <x:row r="1964" ht="36" customHeight="1">
      <x:c r="A1964" s="5" t="str">
        <x:v>IF-0151</x:v>
      </x:c>
      <x:c r="B1964" s="5" t="str">
        <x:v>Investition und Finanzierung</x:v>
      </x:c>
      <x:c r="C1964" s="11" t="n">
        <x:v>1</x:v>
      </x:c>
      <x:c r="D1964" s="11" t="n">
        <x:f>COUNTIF('Einzel-ID-Zuordnung'!$A$7:$A$2692,A1964)</x:f>
        <x:v>1</x:v>
      </x:c>
      <x:c r="E1964" s="11" t="n">
        <x:f>D1964-C1964</x:f>
        <x:v>0</x:v>
      </x:c>
      <x:c r="F1964" s="5" t="str">
        <x:v>nicht Pilot</x:v>
      </x:c>
      <x:c r="G1964" s="5" t="str">
        <x:v>HQ</x:v>
      </x:c>
    </x:row>
    <x:row r="1965" ht="36" customHeight="1">
      <x:c r="A1965" s="5" t="str">
        <x:v>IF-0152</x:v>
      </x:c>
      <x:c r="B1965" s="5" t="str">
        <x:v>Investition und Finanzierung</x:v>
      </x:c>
      <x:c r="C1965" s="11" t="n">
        <x:v>1</x:v>
      </x:c>
      <x:c r="D1965" s="11" t="n">
        <x:f>COUNTIF('Einzel-ID-Zuordnung'!$A$7:$A$2692,A1965)</x:f>
        <x:v>1</x:v>
      </x:c>
      <x:c r="E1965" s="11" t="n">
        <x:f>D1965-C1965</x:f>
        <x:v>0</x:v>
      </x:c>
      <x:c r="F1965" s="5" t="str">
        <x:v>nicht Pilot</x:v>
      </x:c>
      <x:c r="G1965" s="5" t="str">
        <x:v>HQ</x:v>
      </x:c>
    </x:row>
    <x:row r="1966" ht="36" customHeight="1">
      <x:c r="A1966" s="5" t="str">
        <x:v>IF-0153</x:v>
      </x:c>
      <x:c r="B1966" s="5" t="str">
        <x:v>Investition und Finanzierung</x:v>
      </x:c>
      <x:c r="C1966" s="11" t="n">
        <x:v>1</x:v>
      </x:c>
      <x:c r="D1966" s="11" t="n">
        <x:f>COUNTIF('Einzel-ID-Zuordnung'!$A$7:$A$2692,A1966)</x:f>
        <x:v>1</x:v>
      </x:c>
      <x:c r="E1966" s="11" t="n">
        <x:f>D1966-C1966</x:f>
        <x:v>0</x:v>
      </x:c>
      <x:c r="F1966" s="5" t="str">
        <x:v>nicht Pilot</x:v>
      </x:c>
      <x:c r="G1966" s="5" t="str">
        <x:v>HQ</x:v>
      </x:c>
    </x:row>
    <x:row r="1967" ht="36" customHeight="1">
      <x:c r="A1967" s="5" t="str">
        <x:v>IF-0154</x:v>
      </x:c>
      <x:c r="B1967" s="5" t="str">
        <x:v>Investition und Finanzierung</x:v>
      </x:c>
      <x:c r="C1967" s="11" t="n">
        <x:v>1</x:v>
      </x:c>
      <x:c r="D1967" s="11" t="n">
        <x:f>COUNTIF('Einzel-ID-Zuordnung'!$A$7:$A$2692,A1967)</x:f>
        <x:v>1</x:v>
      </x:c>
      <x:c r="E1967" s="11" t="n">
        <x:f>D1967-C1967</x:f>
        <x:v>0</x:v>
      </x:c>
      <x:c r="F1967" s="5" t="str">
        <x:v>nicht Pilot</x:v>
      </x:c>
      <x:c r="G1967" s="5" t="str">
        <x:v>HQ</x:v>
      </x:c>
    </x:row>
    <x:row r="1968" ht="36" customHeight="1">
      <x:c r="A1968" s="5" t="str">
        <x:v>IF-0155</x:v>
      </x:c>
      <x:c r="B1968" s="5" t="str">
        <x:v>Investition und Finanzierung</x:v>
      </x:c>
      <x:c r="C1968" s="11" t="n">
        <x:v>1</x:v>
      </x:c>
      <x:c r="D1968" s="11" t="n">
        <x:f>COUNTIF('Einzel-ID-Zuordnung'!$A$7:$A$2692,A1968)</x:f>
        <x:v>1</x:v>
      </x:c>
      <x:c r="E1968" s="11" t="n">
        <x:f>D1968-C1968</x:f>
        <x:v>0</x:v>
      </x:c>
      <x:c r="F1968" s="5" t="str">
        <x:v>nicht Pilot</x:v>
      </x:c>
      <x:c r="G1968" s="5" t="str">
        <x:v>HQ</x:v>
      </x:c>
    </x:row>
    <x:row r="1969" ht="36" customHeight="1">
      <x:c r="A1969" s="5" t="str">
        <x:v>IF-0156</x:v>
      </x:c>
      <x:c r="B1969" s="5" t="str">
        <x:v>Investition und Finanzierung</x:v>
      </x:c>
      <x:c r="C1969" s="11" t="n">
        <x:v>1</x:v>
      </x:c>
      <x:c r="D1969" s="11" t="n">
        <x:f>COUNTIF('Einzel-ID-Zuordnung'!$A$7:$A$2692,A1969)</x:f>
        <x:v>1</x:v>
      </x:c>
      <x:c r="E1969" s="11" t="n">
        <x:f>D1969-C1969</x:f>
        <x:v>0</x:v>
      </x:c>
      <x:c r="F1969" s="5" t="str">
        <x:v>nicht Pilot</x:v>
      </x:c>
      <x:c r="G1969" s="5" t="str">
        <x:v>HQ</x:v>
      </x:c>
    </x:row>
    <x:row r="1970" ht="36" customHeight="1">
      <x:c r="A1970" s="5" t="str">
        <x:v>IF-0157</x:v>
      </x:c>
      <x:c r="B1970" s="5" t="str">
        <x:v>Investition und Finanzierung</x:v>
      </x:c>
      <x:c r="C1970" s="11" t="n">
        <x:v>1</x:v>
      </x:c>
      <x:c r="D1970" s="11" t="n">
        <x:f>COUNTIF('Einzel-ID-Zuordnung'!$A$7:$A$2692,A1970)</x:f>
        <x:v>1</x:v>
      </x:c>
      <x:c r="E1970" s="11" t="n">
        <x:f>D1970-C1970</x:f>
        <x:v>0</x:v>
      </x:c>
      <x:c r="F1970" s="5" t="str">
        <x:v>nicht Pilot</x:v>
      </x:c>
      <x:c r="G1970" s="5" t="str">
        <x:v>HQ</x:v>
      </x:c>
    </x:row>
    <x:row r="1971" ht="36" customHeight="1">
      <x:c r="A1971" s="5" t="str">
        <x:v>IF-0158</x:v>
      </x:c>
      <x:c r="B1971" s="5" t="str">
        <x:v>Investition und Finanzierung</x:v>
      </x:c>
      <x:c r="C1971" s="11" t="n">
        <x:v>1</x:v>
      </x:c>
      <x:c r="D1971" s="11" t="n">
        <x:f>COUNTIF('Einzel-ID-Zuordnung'!$A$7:$A$2692,A1971)</x:f>
        <x:v>1</x:v>
      </x:c>
      <x:c r="E1971" s="11" t="n">
        <x:f>D1971-C1971</x:f>
        <x:v>0</x:v>
      </x:c>
      <x:c r="F1971" s="5" t="str">
        <x:v>nicht Pilot</x:v>
      </x:c>
      <x:c r="G1971" s="5" t="str">
        <x:v>HQ</x:v>
      </x:c>
    </x:row>
    <x:row r="1972" ht="36" customHeight="1">
      <x:c r="A1972" s="5" t="str">
        <x:v>IF-0159</x:v>
      </x:c>
      <x:c r="B1972" s="5" t="str">
        <x:v>Investition und Finanzierung</x:v>
      </x:c>
      <x:c r="C1972" s="11" t="n">
        <x:v>1</x:v>
      </x:c>
      <x:c r="D1972" s="11" t="n">
        <x:f>COUNTIF('Einzel-ID-Zuordnung'!$A$7:$A$2692,A1972)</x:f>
        <x:v>1</x:v>
      </x:c>
      <x:c r="E1972" s="11" t="n">
        <x:f>D1972-C1972</x:f>
        <x:v>0</x:v>
      </x:c>
      <x:c r="F1972" s="5" t="str">
        <x:v>nicht Pilot</x:v>
      </x:c>
      <x:c r="G1972" s="5" t="str">
        <x:v>HQ</x:v>
      </x:c>
    </x:row>
    <x:row r="1973" ht="36" customHeight="1">
      <x:c r="A1973" s="5" t="str">
        <x:v>IF-0160</x:v>
      </x:c>
      <x:c r="B1973" s="5" t="str">
        <x:v>Investition und Finanzierung</x:v>
      </x:c>
      <x:c r="C1973" s="11" t="n">
        <x:v>1</x:v>
      </x:c>
      <x:c r="D1973" s="11" t="n">
        <x:f>COUNTIF('Einzel-ID-Zuordnung'!$A$7:$A$2692,A1973)</x:f>
        <x:v>1</x:v>
      </x:c>
      <x:c r="E1973" s="11" t="n">
        <x:f>D1973-C1973</x:f>
        <x:v>0</x:v>
      </x:c>
      <x:c r="F1973" s="5" t="str">
        <x:v>nicht Pilot</x:v>
      </x:c>
      <x:c r="G1973" s="5" t="str">
        <x:v>HQ</x:v>
      </x:c>
    </x:row>
    <x:row r="1974" ht="36" customHeight="1">
      <x:c r="A1974" s="5" t="str">
        <x:v>IF-0161</x:v>
      </x:c>
      <x:c r="B1974" s="5" t="str">
        <x:v>Investition und Finanzierung</x:v>
      </x:c>
      <x:c r="C1974" s="11" t="n">
        <x:v>1</x:v>
      </x:c>
      <x:c r="D1974" s="11" t="n">
        <x:f>COUNTIF('Einzel-ID-Zuordnung'!$A$7:$A$2692,A1974)</x:f>
        <x:v>1</x:v>
      </x:c>
      <x:c r="E1974" s="11" t="n">
        <x:f>D1974-C1974</x:f>
        <x:v>0</x:v>
      </x:c>
      <x:c r="F1974" s="5" t="str">
        <x:v>nicht Pilot</x:v>
      </x:c>
      <x:c r="G1974" s="5" t="str">
        <x:v>HQ</x:v>
      </x:c>
    </x:row>
    <x:row r="1975" ht="36" customHeight="1">
      <x:c r="A1975" s="5" t="str">
        <x:v>IF-0162</x:v>
      </x:c>
      <x:c r="B1975" s="5" t="str">
        <x:v>Investition und Finanzierung</x:v>
      </x:c>
      <x:c r="C1975" s="11" t="n">
        <x:v>1</x:v>
      </x:c>
      <x:c r="D1975" s="11" t="n">
        <x:f>COUNTIF('Einzel-ID-Zuordnung'!$A$7:$A$2692,A1975)</x:f>
        <x:v>1</x:v>
      </x:c>
      <x:c r="E1975" s="11" t="n">
        <x:f>D1975-C1975</x:f>
        <x:v>0</x:v>
      </x:c>
      <x:c r="F1975" s="5" t="str">
        <x:v>nicht Pilot</x:v>
      </x:c>
      <x:c r="G1975" s="5" t="str">
        <x:v>HQ</x:v>
      </x:c>
    </x:row>
    <x:row r="1976" ht="36" customHeight="1">
      <x:c r="A1976" s="5" t="str">
        <x:v>IF-0163</x:v>
      </x:c>
      <x:c r="B1976" s="5" t="str">
        <x:v>Investition und Finanzierung</x:v>
      </x:c>
      <x:c r="C1976" s="11" t="n">
        <x:v>1</x:v>
      </x:c>
      <x:c r="D1976" s="11" t="n">
        <x:f>COUNTIF('Einzel-ID-Zuordnung'!$A$7:$A$2692,A1976)</x:f>
        <x:v>1</x:v>
      </x:c>
      <x:c r="E1976" s="11" t="n">
        <x:f>D1976-C1976</x:f>
        <x:v>0</x:v>
      </x:c>
      <x:c r="F1976" s="5" t="str">
        <x:v>nicht Pilot</x:v>
      </x:c>
      <x:c r="G1976" s="5" t="str">
        <x:v>HQ</x:v>
      </x:c>
    </x:row>
    <x:row r="1977" ht="36" customHeight="1">
      <x:c r="A1977" s="5" t="str">
        <x:v>IF-0164</x:v>
      </x:c>
      <x:c r="B1977" s="5" t="str">
        <x:v>Investition und Finanzierung</x:v>
      </x:c>
      <x:c r="C1977" s="11" t="n">
        <x:v>1</x:v>
      </x:c>
      <x:c r="D1977" s="11" t="n">
        <x:f>COUNTIF('Einzel-ID-Zuordnung'!$A$7:$A$2692,A1977)</x:f>
        <x:v>1</x:v>
      </x:c>
      <x:c r="E1977" s="11" t="n">
        <x:f>D1977-C1977</x:f>
        <x:v>0</x:v>
      </x:c>
      <x:c r="F1977" s="5" t="str">
        <x:v>nicht Pilot</x:v>
      </x:c>
      <x:c r="G1977" s="5" t="str">
        <x:v>HQ</x:v>
      </x:c>
    </x:row>
    <x:row r="1978" ht="36" customHeight="1">
      <x:c r="A1978" s="5" t="str">
        <x:v>IF-0165</x:v>
      </x:c>
      <x:c r="B1978" s="5" t="str">
        <x:v>Investition und Finanzierung</x:v>
      </x:c>
      <x:c r="C1978" s="11" t="n">
        <x:v>1</x:v>
      </x:c>
      <x:c r="D1978" s="11" t="n">
        <x:f>COUNTIF('Einzel-ID-Zuordnung'!$A$7:$A$2692,A1978)</x:f>
        <x:v>1</x:v>
      </x:c>
      <x:c r="E1978" s="11" t="n">
        <x:f>D1978-C1978</x:f>
        <x:v>0</x:v>
      </x:c>
      <x:c r="F1978" s="5" t="str">
        <x:v>nicht Pilot</x:v>
      </x:c>
      <x:c r="G1978" s="5" t="str">
        <x:v>HQ</x:v>
      </x:c>
    </x:row>
    <x:row r="1979" ht="36" customHeight="1">
      <x:c r="A1979" s="5" t="str">
        <x:v>IF-0166</x:v>
      </x:c>
      <x:c r="B1979" s="5" t="str">
        <x:v>Investition und Finanzierung</x:v>
      </x:c>
      <x:c r="C1979" s="11" t="n">
        <x:v>1</x:v>
      </x:c>
      <x:c r="D1979" s="11" t="n">
        <x:f>COUNTIF('Einzel-ID-Zuordnung'!$A$7:$A$2692,A1979)</x:f>
        <x:v>1</x:v>
      </x:c>
      <x:c r="E1979" s="11" t="n">
        <x:f>D1979-C1979</x:f>
        <x:v>0</x:v>
      </x:c>
      <x:c r="F1979" s="5" t="str">
        <x:v>nicht Pilot</x:v>
      </x:c>
      <x:c r="G1979" s="5" t="str">
        <x:v>HQ</x:v>
      </x:c>
    </x:row>
    <x:row r="1980" ht="36" customHeight="1">
      <x:c r="A1980" s="5" t="str">
        <x:v>L-0001</x:v>
      </x:c>
      <x:c r="B1980" s="5" t="str">
        <x:v>Logistik</x:v>
      </x:c>
      <x:c r="C1980" s="11" t="n">
        <x:v>1</x:v>
      </x:c>
      <x:c r="D1980" s="11" t="n">
        <x:f>COUNTIF('Einzel-ID-Zuordnung'!$A$7:$A$2692,A1980)</x:f>
        <x:v>1</x:v>
      </x:c>
      <x:c r="E1980" s="11" t="n">
        <x:f>D1980-C1980</x:f>
        <x:v>0</x:v>
      </x:c>
      <x:c r="F1980" s="5" t="str">
        <x:v>nicht Pilot</x:v>
      </x:c>
      <x:c r="G1980" s="5" t="str">
        <x:v>HQ</x:v>
      </x:c>
    </x:row>
    <x:row r="1981" ht="36" customHeight="1">
      <x:c r="A1981" s="5" t="str">
        <x:v>L-0002</x:v>
      </x:c>
      <x:c r="B1981" s="5" t="str">
        <x:v>Logistik</x:v>
      </x:c>
      <x:c r="C1981" s="11" t="n">
        <x:v>1</x:v>
      </x:c>
      <x:c r="D1981" s="11" t="n">
        <x:f>COUNTIF('Einzel-ID-Zuordnung'!$A$7:$A$2692,A1981)</x:f>
        <x:v>1</x:v>
      </x:c>
      <x:c r="E1981" s="11" t="n">
        <x:f>D1981-C1981</x:f>
        <x:v>0</x:v>
      </x:c>
      <x:c r="F1981" s="5" t="str">
        <x:v>nicht Pilot</x:v>
      </x:c>
      <x:c r="G1981" s="5" t="str">
        <x:v>HQ</x:v>
      </x:c>
    </x:row>
    <x:row r="1982" ht="36" customHeight="1">
      <x:c r="A1982" s="5" t="str">
        <x:v>L-0003</x:v>
      </x:c>
      <x:c r="B1982" s="5" t="str">
        <x:v>Logistik</x:v>
      </x:c>
      <x:c r="C1982" s="11" t="n">
        <x:v>1</x:v>
      </x:c>
      <x:c r="D1982" s="11" t="n">
        <x:f>COUNTIF('Einzel-ID-Zuordnung'!$A$7:$A$2692,A1982)</x:f>
        <x:v>1</x:v>
      </x:c>
      <x:c r="E1982" s="11" t="n">
        <x:f>D1982-C1982</x:f>
        <x:v>0</x:v>
      </x:c>
      <x:c r="F1982" s="5" t="str">
        <x:v>nicht Pilot</x:v>
      </x:c>
      <x:c r="G1982" s="5" t="str">
        <x:v>HQ</x:v>
      </x:c>
    </x:row>
    <x:row r="1983" ht="36" customHeight="1">
      <x:c r="A1983" s="5" t="str">
        <x:v>L-0004</x:v>
      </x:c>
      <x:c r="B1983" s="5" t="str">
        <x:v>Logistik</x:v>
      </x:c>
      <x:c r="C1983" s="11" t="n">
        <x:v>1</x:v>
      </x:c>
      <x:c r="D1983" s="11" t="n">
        <x:f>COUNTIF('Einzel-ID-Zuordnung'!$A$7:$A$2692,A1983)</x:f>
        <x:v>1</x:v>
      </x:c>
      <x:c r="E1983" s="11" t="n">
        <x:f>D1983-C1983</x:f>
        <x:v>0</x:v>
      </x:c>
      <x:c r="F1983" s="5" t="str">
        <x:v>nicht Pilot</x:v>
      </x:c>
      <x:c r="G1983" s="5" t="str">
        <x:v>HQ</x:v>
      </x:c>
    </x:row>
    <x:row r="1984" ht="36" customHeight="1">
      <x:c r="A1984" s="5" t="str">
        <x:v>L-0005</x:v>
      </x:c>
      <x:c r="B1984" s="5" t="str">
        <x:v>Logistik</x:v>
      </x:c>
      <x:c r="C1984" s="11" t="n">
        <x:v>1</x:v>
      </x:c>
      <x:c r="D1984" s="11" t="n">
        <x:f>COUNTIF('Einzel-ID-Zuordnung'!$A$7:$A$2692,A1984)</x:f>
        <x:v>1</x:v>
      </x:c>
      <x:c r="E1984" s="11" t="n">
        <x:f>D1984-C1984</x:f>
        <x:v>0</x:v>
      </x:c>
      <x:c r="F1984" s="5" t="str">
        <x:v>nicht Pilot</x:v>
      </x:c>
      <x:c r="G1984" s="5" t="str">
        <x:v>HQ</x:v>
      </x:c>
    </x:row>
    <x:row r="1985" ht="36" customHeight="1">
      <x:c r="A1985" s="5" t="str">
        <x:v>L-0006</x:v>
      </x:c>
      <x:c r="B1985" s="5" t="str">
        <x:v>Logistik</x:v>
      </x:c>
      <x:c r="C1985" s="11" t="n">
        <x:v>1</x:v>
      </x:c>
      <x:c r="D1985" s="11" t="n">
        <x:f>COUNTIF('Einzel-ID-Zuordnung'!$A$7:$A$2692,A1985)</x:f>
        <x:v>1</x:v>
      </x:c>
      <x:c r="E1985" s="11" t="n">
        <x:f>D1985-C1985</x:f>
        <x:v>0</x:v>
      </x:c>
      <x:c r="F1985" s="5" t="str">
        <x:v>nicht Pilot</x:v>
      </x:c>
      <x:c r="G1985" s="5" t="str">
        <x:v>HQ</x:v>
      </x:c>
    </x:row>
    <x:row r="1986" ht="36" customHeight="1">
      <x:c r="A1986" s="5" t="str">
        <x:v>L-0007</x:v>
      </x:c>
      <x:c r="B1986" s="5" t="str">
        <x:v>Logistik</x:v>
      </x:c>
      <x:c r="C1986" s="11" t="n">
        <x:v>1</x:v>
      </x:c>
      <x:c r="D1986" s="11" t="n">
        <x:f>COUNTIF('Einzel-ID-Zuordnung'!$A$7:$A$2692,A1986)</x:f>
        <x:v>1</x:v>
      </x:c>
      <x:c r="E1986" s="11" t="n">
        <x:f>D1986-C1986</x:f>
        <x:v>0</x:v>
      </x:c>
      <x:c r="F1986" s="5" t="str">
        <x:v>nicht Pilot</x:v>
      </x:c>
      <x:c r="G1986" s="5" t="str">
        <x:v>HQ</x:v>
      </x:c>
    </x:row>
    <x:row r="1987" ht="36" customHeight="1">
      <x:c r="A1987" s="5" t="str">
        <x:v>L-0008</x:v>
      </x:c>
      <x:c r="B1987" s="5" t="str">
        <x:v>Logistik</x:v>
      </x:c>
      <x:c r="C1987" s="11" t="n">
        <x:v>1</x:v>
      </x:c>
      <x:c r="D1987" s="11" t="n">
        <x:f>COUNTIF('Einzel-ID-Zuordnung'!$A$7:$A$2692,A1987)</x:f>
        <x:v>1</x:v>
      </x:c>
      <x:c r="E1987" s="11" t="n">
        <x:f>D1987-C1987</x:f>
        <x:v>0</x:v>
      </x:c>
      <x:c r="F1987" s="5" t="str">
        <x:v>nicht Pilot</x:v>
      </x:c>
      <x:c r="G1987" s="5" t="str">
        <x:v>HQ</x:v>
      </x:c>
    </x:row>
    <x:row r="1988" ht="36" customHeight="1">
      <x:c r="A1988" s="5" t="str">
        <x:v>L-0009</x:v>
      </x:c>
      <x:c r="B1988" s="5" t="str">
        <x:v>Logistik</x:v>
      </x:c>
      <x:c r="C1988" s="11" t="n">
        <x:v>1</x:v>
      </x:c>
      <x:c r="D1988" s="11" t="n">
        <x:f>COUNTIF('Einzel-ID-Zuordnung'!$A$7:$A$2692,A1988)</x:f>
        <x:v>1</x:v>
      </x:c>
      <x:c r="E1988" s="11" t="n">
        <x:f>D1988-C1988</x:f>
        <x:v>0</x:v>
      </x:c>
      <x:c r="F1988" s="5" t="str">
        <x:v>nicht Pilot</x:v>
      </x:c>
      <x:c r="G1988" s="5" t="str">
        <x:v>HQ</x:v>
      </x:c>
    </x:row>
    <x:row r="1989" ht="36" customHeight="1">
      <x:c r="A1989" s="5" t="str">
        <x:v>L-0010</x:v>
      </x:c>
      <x:c r="B1989" s="5" t="str">
        <x:v>Logistik</x:v>
      </x:c>
      <x:c r="C1989" s="11" t="n">
        <x:v>1</x:v>
      </x:c>
      <x:c r="D1989" s="11" t="n">
        <x:f>COUNTIF('Einzel-ID-Zuordnung'!$A$7:$A$2692,A1989)</x:f>
        <x:v>1</x:v>
      </x:c>
      <x:c r="E1989" s="11" t="n">
        <x:f>D1989-C1989</x:f>
        <x:v>0</x:v>
      </x:c>
      <x:c r="F1989" s="5" t="str">
        <x:v>nicht Pilot</x:v>
      </x:c>
      <x:c r="G1989" s="5" t="str">
        <x:v>HQ</x:v>
      </x:c>
    </x:row>
    <x:row r="1990" ht="36" customHeight="1">
      <x:c r="A1990" s="5" t="str">
        <x:v>L-0011</x:v>
      </x:c>
      <x:c r="B1990" s="5" t="str">
        <x:v>Logistik</x:v>
      </x:c>
      <x:c r="C1990" s="11" t="n">
        <x:v>1</x:v>
      </x:c>
      <x:c r="D1990" s="11" t="n">
        <x:f>COUNTIF('Einzel-ID-Zuordnung'!$A$7:$A$2692,A1990)</x:f>
        <x:v>1</x:v>
      </x:c>
      <x:c r="E1990" s="11" t="n">
        <x:f>D1990-C1990</x:f>
        <x:v>0</x:v>
      </x:c>
      <x:c r="F1990" s="5" t="str">
        <x:v>nicht Pilot</x:v>
      </x:c>
      <x:c r="G1990" s="5" t="str">
        <x:v>HQ</x:v>
      </x:c>
    </x:row>
    <x:row r="1991" ht="36" customHeight="1">
      <x:c r="A1991" s="5" t="str">
        <x:v>L-0012</x:v>
      </x:c>
      <x:c r="B1991" s="5" t="str">
        <x:v>Logistik</x:v>
      </x:c>
      <x:c r="C1991" s="11" t="n">
        <x:v>1</x:v>
      </x:c>
      <x:c r="D1991" s="11" t="n">
        <x:f>COUNTIF('Einzel-ID-Zuordnung'!$A$7:$A$2692,A1991)</x:f>
        <x:v>1</x:v>
      </x:c>
      <x:c r="E1991" s="11" t="n">
        <x:f>D1991-C1991</x:f>
        <x:v>0</x:v>
      </x:c>
      <x:c r="F1991" s="5" t="str">
        <x:v>nicht Pilot</x:v>
      </x:c>
      <x:c r="G1991" s="5" t="str">
        <x:v>HQ</x:v>
      </x:c>
    </x:row>
    <x:row r="1992" ht="36" customHeight="1">
      <x:c r="A1992" s="5" t="str">
        <x:v>L-0013</x:v>
      </x:c>
      <x:c r="B1992" s="5" t="str">
        <x:v>Logistik</x:v>
      </x:c>
      <x:c r="C1992" s="11" t="n">
        <x:v>1</x:v>
      </x:c>
      <x:c r="D1992" s="11" t="n">
        <x:f>COUNTIF('Einzel-ID-Zuordnung'!$A$7:$A$2692,A1992)</x:f>
        <x:v>1</x:v>
      </x:c>
      <x:c r="E1992" s="11" t="n">
        <x:f>D1992-C1992</x:f>
        <x:v>0</x:v>
      </x:c>
      <x:c r="F1992" s="5" t="str">
        <x:v>nicht Pilot</x:v>
      </x:c>
      <x:c r="G1992" s="5" t="str">
        <x:v>HQ</x:v>
      </x:c>
    </x:row>
    <x:row r="1993" ht="36" customHeight="1">
      <x:c r="A1993" s="5" t="str">
        <x:v>L-0014</x:v>
      </x:c>
      <x:c r="B1993" s="5" t="str">
        <x:v>Logistik</x:v>
      </x:c>
      <x:c r="C1993" s="11" t="n">
        <x:v>1</x:v>
      </x:c>
      <x:c r="D1993" s="11" t="n">
        <x:f>COUNTIF('Einzel-ID-Zuordnung'!$A$7:$A$2692,A1993)</x:f>
        <x:v>1</x:v>
      </x:c>
      <x:c r="E1993" s="11" t="n">
        <x:f>D1993-C1993</x:f>
        <x:v>0</x:v>
      </x:c>
      <x:c r="F1993" s="5" t="str">
        <x:v>nicht Pilot</x:v>
      </x:c>
      <x:c r="G1993" s="5" t="str">
        <x:v>HQ</x:v>
      </x:c>
    </x:row>
    <x:row r="1994" ht="36" customHeight="1">
      <x:c r="A1994" s="5" t="str">
        <x:v>L-0015</x:v>
      </x:c>
      <x:c r="B1994" s="5" t="str">
        <x:v>Logistik</x:v>
      </x:c>
      <x:c r="C1994" s="11" t="n">
        <x:v>1</x:v>
      </x:c>
      <x:c r="D1994" s="11" t="n">
        <x:f>COUNTIF('Einzel-ID-Zuordnung'!$A$7:$A$2692,A1994)</x:f>
        <x:v>1</x:v>
      </x:c>
      <x:c r="E1994" s="11" t="n">
        <x:f>D1994-C1994</x:f>
        <x:v>0</x:v>
      </x:c>
      <x:c r="F1994" s="5" t="str">
        <x:v>nicht Pilot</x:v>
      </x:c>
      <x:c r="G1994" s="5" t="str">
        <x:v>HQ</x:v>
      </x:c>
    </x:row>
    <x:row r="1995" ht="36" customHeight="1">
      <x:c r="A1995" s="5" t="str">
        <x:v>L-0016</x:v>
      </x:c>
      <x:c r="B1995" s="5" t="str">
        <x:v>Logistik</x:v>
      </x:c>
      <x:c r="C1995" s="11" t="n">
        <x:v>1</x:v>
      </x:c>
      <x:c r="D1995" s="11" t="n">
        <x:f>COUNTIF('Einzel-ID-Zuordnung'!$A$7:$A$2692,A1995)</x:f>
        <x:v>1</x:v>
      </x:c>
      <x:c r="E1995" s="11" t="n">
        <x:f>D1995-C1995</x:f>
        <x:v>0</x:v>
      </x:c>
      <x:c r="F1995" s="5" t="str">
        <x:v>nicht Pilot</x:v>
      </x:c>
      <x:c r="G1995" s="5" t="str">
        <x:v>HQ</x:v>
      </x:c>
    </x:row>
    <x:row r="1996" ht="36" customHeight="1">
      <x:c r="A1996" s="5" t="str">
        <x:v>L-0017</x:v>
      </x:c>
      <x:c r="B1996" s="5" t="str">
        <x:v>Logistik</x:v>
      </x:c>
      <x:c r="C1996" s="11" t="n">
        <x:v>1</x:v>
      </x:c>
      <x:c r="D1996" s="11" t="n">
        <x:f>COUNTIF('Einzel-ID-Zuordnung'!$A$7:$A$2692,A1996)</x:f>
        <x:v>1</x:v>
      </x:c>
      <x:c r="E1996" s="11" t="n">
        <x:f>D1996-C1996</x:f>
        <x:v>0</x:v>
      </x:c>
      <x:c r="F1996" s="5" t="str">
        <x:v>nicht Pilot</x:v>
      </x:c>
      <x:c r="G1996" s="5" t="str">
        <x:v>HQ</x:v>
      </x:c>
    </x:row>
    <x:row r="1997" ht="36" customHeight="1">
      <x:c r="A1997" s="5" t="str">
        <x:v>L-0018</x:v>
      </x:c>
      <x:c r="B1997" s="5" t="str">
        <x:v>Logistik</x:v>
      </x:c>
      <x:c r="C1997" s="11" t="n">
        <x:v>1</x:v>
      </x:c>
      <x:c r="D1997" s="11" t="n">
        <x:f>COUNTIF('Einzel-ID-Zuordnung'!$A$7:$A$2692,A1997)</x:f>
        <x:v>1</x:v>
      </x:c>
      <x:c r="E1997" s="11" t="n">
        <x:f>D1997-C1997</x:f>
        <x:v>0</x:v>
      </x:c>
      <x:c r="F1997" s="5" t="str">
        <x:v>nicht Pilot</x:v>
      </x:c>
      <x:c r="G1997" s="5" t="str">
        <x:v>HQ</x:v>
      </x:c>
    </x:row>
    <x:row r="1998" ht="36" customHeight="1">
      <x:c r="A1998" s="5" t="str">
        <x:v>L-0019</x:v>
      </x:c>
      <x:c r="B1998" s="5" t="str">
        <x:v>Logistik</x:v>
      </x:c>
      <x:c r="C1998" s="11" t="n">
        <x:v>1</x:v>
      </x:c>
      <x:c r="D1998" s="11" t="n">
        <x:f>COUNTIF('Einzel-ID-Zuordnung'!$A$7:$A$2692,A1998)</x:f>
        <x:v>1</x:v>
      </x:c>
      <x:c r="E1998" s="11" t="n">
        <x:f>D1998-C1998</x:f>
        <x:v>0</x:v>
      </x:c>
      <x:c r="F1998" s="5" t="str">
        <x:v>nicht Pilot</x:v>
      </x:c>
      <x:c r="G1998" s="5" t="str">
        <x:v>HQ</x:v>
      </x:c>
    </x:row>
    <x:row r="1999" ht="36" customHeight="1">
      <x:c r="A1999" s="5" t="str">
        <x:v>L-0020</x:v>
      </x:c>
      <x:c r="B1999" s="5" t="str">
        <x:v>Logistik</x:v>
      </x:c>
      <x:c r="C1999" s="11" t="n">
        <x:v>1</x:v>
      </x:c>
      <x:c r="D1999" s="11" t="n">
        <x:f>COUNTIF('Einzel-ID-Zuordnung'!$A$7:$A$2692,A1999)</x:f>
        <x:v>1</x:v>
      </x:c>
      <x:c r="E1999" s="11" t="n">
        <x:f>D1999-C1999</x:f>
        <x:v>0</x:v>
      </x:c>
      <x:c r="F1999" s="5" t="str">
        <x:v>nicht Pilot</x:v>
      </x:c>
      <x:c r="G1999" s="5" t="str">
        <x:v>HQ</x:v>
      </x:c>
    </x:row>
    <x:row r="2000" ht="36" customHeight="1">
      <x:c r="A2000" s="5" t="str">
        <x:v>L-0021</x:v>
      </x:c>
      <x:c r="B2000" s="5" t="str">
        <x:v>Logistik</x:v>
      </x:c>
      <x:c r="C2000" s="11" t="n">
        <x:v>1</x:v>
      </x:c>
      <x:c r="D2000" s="11" t="n">
        <x:f>COUNTIF('Einzel-ID-Zuordnung'!$A$7:$A$2692,A2000)</x:f>
        <x:v>1</x:v>
      </x:c>
      <x:c r="E2000" s="11" t="n">
        <x:f>D2000-C2000</x:f>
        <x:v>0</x:v>
      </x:c>
      <x:c r="F2000" s="5" t="str">
        <x:v>nicht Pilot</x:v>
      </x:c>
      <x:c r="G2000" s="5" t="str">
        <x:v>HQ</x:v>
      </x:c>
    </x:row>
    <x:row r="2001" ht="36" customHeight="1">
      <x:c r="A2001" s="5" t="str">
        <x:v>L-0022</x:v>
      </x:c>
      <x:c r="B2001" s="5" t="str">
        <x:v>Logistik</x:v>
      </x:c>
      <x:c r="C2001" s="11" t="n">
        <x:v>1</x:v>
      </x:c>
      <x:c r="D2001" s="11" t="n">
        <x:f>COUNTIF('Einzel-ID-Zuordnung'!$A$7:$A$2692,A2001)</x:f>
        <x:v>1</x:v>
      </x:c>
      <x:c r="E2001" s="11" t="n">
        <x:f>D2001-C2001</x:f>
        <x:v>0</x:v>
      </x:c>
      <x:c r="F2001" s="5" t="str">
        <x:v>nicht Pilot</x:v>
      </x:c>
      <x:c r="G2001" s="5" t="str">
        <x:v>HQ</x:v>
      </x:c>
    </x:row>
    <x:row r="2002" ht="36" customHeight="1">
      <x:c r="A2002" s="5" t="str">
        <x:v>L-0023</x:v>
      </x:c>
      <x:c r="B2002" s="5" t="str">
        <x:v>Logistik</x:v>
      </x:c>
      <x:c r="C2002" s="11" t="n">
        <x:v>1</x:v>
      </x:c>
      <x:c r="D2002" s="11" t="n">
        <x:f>COUNTIF('Einzel-ID-Zuordnung'!$A$7:$A$2692,A2002)</x:f>
        <x:v>1</x:v>
      </x:c>
      <x:c r="E2002" s="11" t="n">
        <x:f>D2002-C2002</x:f>
        <x:v>0</x:v>
      </x:c>
      <x:c r="F2002" s="5" t="str">
        <x:v>nicht Pilot</x:v>
      </x:c>
      <x:c r="G2002" s="5" t="str">
        <x:v>HQ</x:v>
      </x:c>
    </x:row>
    <x:row r="2003" ht="36" customHeight="1">
      <x:c r="A2003" s="5" t="str">
        <x:v>L-0024</x:v>
      </x:c>
      <x:c r="B2003" s="5" t="str">
        <x:v>Logistik</x:v>
      </x:c>
      <x:c r="C2003" s="11" t="n">
        <x:v>1</x:v>
      </x:c>
      <x:c r="D2003" s="11" t="n">
        <x:f>COUNTIF('Einzel-ID-Zuordnung'!$A$7:$A$2692,A2003)</x:f>
        <x:v>1</x:v>
      </x:c>
      <x:c r="E2003" s="11" t="n">
        <x:f>D2003-C2003</x:f>
        <x:v>0</x:v>
      </x:c>
      <x:c r="F2003" s="5" t="str">
        <x:v>nicht Pilot</x:v>
      </x:c>
      <x:c r="G2003" s="5" t="str">
        <x:v>HQ</x:v>
      </x:c>
    </x:row>
    <x:row r="2004" ht="36" customHeight="1">
      <x:c r="A2004" s="5" t="str">
        <x:v>L-0025</x:v>
      </x:c>
      <x:c r="B2004" s="5" t="str">
        <x:v>Logistik</x:v>
      </x:c>
      <x:c r="C2004" s="11" t="n">
        <x:v>1</x:v>
      </x:c>
      <x:c r="D2004" s="11" t="n">
        <x:f>COUNTIF('Einzel-ID-Zuordnung'!$A$7:$A$2692,A2004)</x:f>
        <x:v>1</x:v>
      </x:c>
      <x:c r="E2004" s="11" t="n">
        <x:f>D2004-C2004</x:f>
        <x:v>0</x:v>
      </x:c>
      <x:c r="F2004" s="5" t="str">
        <x:v>nicht Pilot</x:v>
      </x:c>
      <x:c r="G2004" s="5" t="str">
        <x:v>HQ</x:v>
      </x:c>
    </x:row>
    <x:row r="2005" ht="36" customHeight="1">
      <x:c r="A2005" s="5" t="str">
        <x:v>L-0026</x:v>
      </x:c>
      <x:c r="B2005" s="5" t="str">
        <x:v>Logistik</x:v>
      </x:c>
      <x:c r="C2005" s="11" t="n">
        <x:v>1</x:v>
      </x:c>
      <x:c r="D2005" s="11" t="n">
        <x:f>COUNTIF('Einzel-ID-Zuordnung'!$A$7:$A$2692,A2005)</x:f>
        <x:v>1</x:v>
      </x:c>
      <x:c r="E2005" s="11" t="n">
        <x:f>D2005-C2005</x:f>
        <x:v>0</x:v>
      </x:c>
      <x:c r="F2005" s="5" t="str">
        <x:v>nicht Pilot</x:v>
      </x:c>
      <x:c r="G2005" s="5" t="str">
        <x:v>HQ</x:v>
      </x:c>
    </x:row>
    <x:row r="2006" ht="36" customHeight="1">
      <x:c r="A2006" s="5" t="str">
        <x:v>L-0027</x:v>
      </x:c>
      <x:c r="B2006" s="5" t="str">
        <x:v>Logistik</x:v>
      </x:c>
      <x:c r="C2006" s="11" t="n">
        <x:v>1</x:v>
      </x:c>
      <x:c r="D2006" s="11" t="n">
        <x:f>COUNTIF('Einzel-ID-Zuordnung'!$A$7:$A$2692,A2006)</x:f>
        <x:v>1</x:v>
      </x:c>
      <x:c r="E2006" s="11" t="n">
        <x:f>D2006-C2006</x:f>
        <x:v>0</x:v>
      </x:c>
      <x:c r="F2006" s="5" t="str">
        <x:v>nicht Pilot</x:v>
      </x:c>
      <x:c r="G2006" s="5" t="str">
        <x:v>HQ</x:v>
      </x:c>
    </x:row>
    <x:row r="2007" ht="36" customHeight="1">
      <x:c r="A2007" s="5" t="str">
        <x:v>L-0028</x:v>
      </x:c>
      <x:c r="B2007" s="5" t="str">
        <x:v>Logistik</x:v>
      </x:c>
      <x:c r="C2007" s="11" t="n">
        <x:v>1</x:v>
      </x:c>
      <x:c r="D2007" s="11" t="n">
        <x:f>COUNTIF('Einzel-ID-Zuordnung'!$A$7:$A$2692,A2007)</x:f>
        <x:v>1</x:v>
      </x:c>
      <x:c r="E2007" s="11" t="n">
        <x:f>D2007-C2007</x:f>
        <x:v>0</x:v>
      </x:c>
      <x:c r="F2007" s="5" t="str">
        <x:v>nicht Pilot</x:v>
      </x:c>
      <x:c r="G2007" s="5" t="str">
        <x:v>HQ</x:v>
      </x:c>
    </x:row>
    <x:row r="2008" ht="36" customHeight="1">
      <x:c r="A2008" s="5" t="str">
        <x:v>L-0029</x:v>
      </x:c>
      <x:c r="B2008" s="5" t="str">
        <x:v>Logistik</x:v>
      </x:c>
      <x:c r="C2008" s="11" t="n">
        <x:v>1</x:v>
      </x:c>
      <x:c r="D2008" s="11" t="n">
        <x:f>COUNTIF('Einzel-ID-Zuordnung'!$A$7:$A$2692,A2008)</x:f>
        <x:v>1</x:v>
      </x:c>
      <x:c r="E2008" s="11" t="n">
        <x:f>D2008-C2008</x:f>
        <x:v>0</x:v>
      </x:c>
      <x:c r="F2008" s="5" t="str">
        <x:v>nicht Pilot</x:v>
      </x:c>
      <x:c r="G2008" s="5" t="str">
        <x:v>HQ</x:v>
      </x:c>
    </x:row>
    <x:row r="2009" ht="36" customHeight="1">
      <x:c r="A2009" s="5" t="str">
        <x:v>L-0030</x:v>
      </x:c>
      <x:c r="B2009" s="5" t="str">
        <x:v>Logistik</x:v>
      </x:c>
      <x:c r="C2009" s="11" t="n">
        <x:v>1</x:v>
      </x:c>
      <x:c r="D2009" s="11" t="n">
        <x:f>COUNTIF('Einzel-ID-Zuordnung'!$A$7:$A$2692,A2009)</x:f>
        <x:v>1</x:v>
      </x:c>
      <x:c r="E2009" s="11" t="n">
        <x:f>D2009-C2009</x:f>
        <x:v>0</x:v>
      </x:c>
      <x:c r="F2009" s="5" t="str">
        <x:v>nicht Pilot</x:v>
      </x:c>
      <x:c r="G2009" s="5" t="str">
        <x:v>HQ</x:v>
      </x:c>
    </x:row>
    <x:row r="2010" ht="36" customHeight="1">
      <x:c r="A2010" s="5" t="str">
        <x:v>L-0031</x:v>
      </x:c>
      <x:c r="B2010" s="5" t="str">
        <x:v>Logistik</x:v>
      </x:c>
      <x:c r="C2010" s="11" t="n">
        <x:v>1</x:v>
      </x:c>
      <x:c r="D2010" s="11" t="n">
        <x:f>COUNTIF('Einzel-ID-Zuordnung'!$A$7:$A$2692,A2010)</x:f>
        <x:v>1</x:v>
      </x:c>
      <x:c r="E2010" s="11" t="n">
        <x:f>D2010-C2010</x:f>
        <x:v>0</x:v>
      </x:c>
      <x:c r="F2010" s="5" t="str">
        <x:v>nicht Pilot</x:v>
      </x:c>
      <x:c r="G2010" s="5" t="str">
        <x:v>HQ</x:v>
      </x:c>
    </x:row>
    <x:row r="2011" ht="36" customHeight="1">
      <x:c r="A2011" s="5" t="str">
        <x:v>L-0032</x:v>
      </x:c>
      <x:c r="B2011" s="5" t="str">
        <x:v>Logistik</x:v>
      </x:c>
      <x:c r="C2011" s="11" t="n">
        <x:v>1</x:v>
      </x:c>
      <x:c r="D2011" s="11" t="n">
        <x:f>COUNTIF('Einzel-ID-Zuordnung'!$A$7:$A$2692,A2011)</x:f>
        <x:v>1</x:v>
      </x:c>
      <x:c r="E2011" s="11" t="n">
        <x:f>D2011-C2011</x:f>
        <x:v>0</x:v>
      </x:c>
      <x:c r="F2011" s="5" t="str">
        <x:v>nicht Pilot</x:v>
      </x:c>
      <x:c r="G2011" s="5" t="str">
        <x:v>HQ</x:v>
      </x:c>
    </x:row>
    <x:row r="2012" ht="36" customHeight="1">
      <x:c r="A2012" s="5" t="str">
        <x:v>L-0033</x:v>
      </x:c>
      <x:c r="B2012" s="5" t="str">
        <x:v>Logistik</x:v>
      </x:c>
      <x:c r="C2012" s="11" t="n">
        <x:v>1</x:v>
      </x:c>
      <x:c r="D2012" s="11" t="n">
        <x:f>COUNTIF('Einzel-ID-Zuordnung'!$A$7:$A$2692,A2012)</x:f>
        <x:v>1</x:v>
      </x:c>
      <x:c r="E2012" s="11" t="n">
        <x:f>D2012-C2012</x:f>
        <x:v>0</x:v>
      </x:c>
      <x:c r="F2012" s="5" t="str">
        <x:v>nicht Pilot</x:v>
      </x:c>
      <x:c r="G2012" s="5" t="str">
        <x:v>HQ</x:v>
      </x:c>
    </x:row>
    <x:row r="2013" ht="36" customHeight="1">
      <x:c r="A2013" s="5" t="str">
        <x:v>L-0034</x:v>
      </x:c>
      <x:c r="B2013" s="5" t="str">
        <x:v>Logistik</x:v>
      </x:c>
      <x:c r="C2013" s="11" t="n">
        <x:v>1</x:v>
      </x:c>
      <x:c r="D2013" s="11" t="n">
        <x:f>COUNTIF('Einzel-ID-Zuordnung'!$A$7:$A$2692,A2013)</x:f>
        <x:v>1</x:v>
      </x:c>
      <x:c r="E2013" s="11" t="n">
        <x:f>D2013-C2013</x:f>
        <x:v>0</x:v>
      </x:c>
      <x:c r="F2013" s="5" t="str">
        <x:v>nicht Pilot</x:v>
      </x:c>
      <x:c r="G2013" s="5" t="str">
        <x:v>HQ</x:v>
      </x:c>
    </x:row>
    <x:row r="2014" ht="36" customHeight="1">
      <x:c r="A2014" s="5" t="str">
        <x:v>L-0035</x:v>
      </x:c>
      <x:c r="B2014" s="5" t="str">
        <x:v>Logistik</x:v>
      </x:c>
      <x:c r="C2014" s="11" t="n">
        <x:v>1</x:v>
      </x:c>
      <x:c r="D2014" s="11" t="n">
        <x:f>COUNTIF('Einzel-ID-Zuordnung'!$A$7:$A$2692,A2014)</x:f>
        <x:v>1</x:v>
      </x:c>
      <x:c r="E2014" s="11" t="n">
        <x:f>D2014-C2014</x:f>
        <x:v>0</x:v>
      </x:c>
      <x:c r="F2014" s="5" t="str">
        <x:v>nicht Pilot</x:v>
      </x:c>
      <x:c r="G2014" s="5" t="str">
        <x:v>HQ</x:v>
      </x:c>
    </x:row>
    <x:row r="2015" ht="36" customHeight="1">
      <x:c r="A2015" s="5" t="str">
        <x:v>L-0036</x:v>
      </x:c>
      <x:c r="B2015" s="5" t="str">
        <x:v>Logistik</x:v>
      </x:c>
      <x:c r="C2015" s="11" t="n">
        <x:v>1</x:v>
      </x:c>
      <x:c r="D2015" s="11" t="n">
        <x:f>COUNTIF('Einzel-ID-Zuordnung'!$A$7:$A$2692,A2015)</x:f>
        <x:v>1</x:v>
      </x:c>
      <x:c r="E2015" s="11" t="n">
        <x:f>D2015-C2015</x:f>
        <x:v>0</x:v>
      </x:c>
      <x:c r="F2015" s="5" t="str">
        <x:v>nicht Pilot</x:v>
      </x:c>
      <x:c r="G2015" s="5" t="str">
        <x:v>HQ</x:v>
      </x:c>
    </x:row>
    <x:row r="2016" ht="36" customHeight="1">
      <x:c r="A2016" s="5" t="str">
        <x:v>L-0037</x:v>
      </x:c>
      <x:c r="B2016" s="5" t="str">
        <x:v>Logistik</x:v>
      </x:c>
      <x:c r="C2016" s="11" t="n">
        <x:v>1</x:v>
      </x:c>
      <x:c r="D2016" s="11" t="n">
        <x:f>COUNTIF('Einzel-ID-Zuordnung'!$A$7:$A$2692,A2016)</x:f>
        <x:v>1</x:v>
      </x:c>
      <x:c r="E2016" s="11" t="n">
        <x:f>D2016-C2016</x:f>
        <x:v>0</x:v>
      </x:c>
      <x:c r="F2016" s="5" t="str">
        <x:v>nicht Pilot</x:v>
      </x:c>
      <x:c r="G2016" s="5" t="str">
        <x:v>HQ</x:v>
      </x:c>
    </x:row>
    <x:row r="2017" ht="36" customHeight="1">
      <x:c r="A2017" s="5" t="str">
        <x:v>L-0038</x:v>
      </x:c>
      <x:c r="B2017" s="5" t="str">
        <x:v>Logistik</x:v>
      </x:c>
      <x:c r="C2017" s="11" t="n">
        <x:v>1</x:v>
      </x:c>
      <x:c r="D2017" s="11" t="n">
        <x:f>COUNTIF('Einzel-ID-Zuordnung'!$A$7:$A$2692,A2017)</x:f>
        <x:v>1</x:v>
      </x:c>
      <x:c r="E2017" s="11" t="n">
        <x:f>D2017-C2017</x:f>
        <x:v>0</x:v>
      </x:c>
      <x:c r="F2017" s="5" t="str">
        <x:v>nicht Pilot</x:v>
      </x:c>
      <x:c r="G2017" s="5" t="str">
        <x:v>HQ</x:v>
      </x:c>
    </x:row>
    <x:row r="2018" ht="36" customHeight="1">
      <x:c r="A2018" s="5" t="str">
        <x:v>L-0039</x:v>
      </x:c>
      <x:c r="B2018" s="5" t="str">
        <x:v>Logistik</x:v>
      </x:c>
      <x:c r="C2018" s="11" t="n">
        <x:v>1</x:v>
      </x:c>
      <x:c r="D2018" s="11" t="n">
        <x:f>COUNTIF('Einzel-ID-Zuordnung'!$A$7:$A$2692,A2018)</x:f>
        <x:v>1</x:v>
      </x:c>
      <x:c r="E2018" s="11" t="n">
        <x:f>D2018-C2018</x:f>
        <x:v>0</x:v>
      </x:c>
      <x:c r="F2018" s="5" t="str">
        <x:v>nicht Pilot</x:v>
      </x:c>
      <x:c r="G2018" s="5" t="str">
        <x:v>HQ</x:v>
      </x:c>
    </x:row>
    <x:row r="2019" ht="36" customHeight="1">
      <x:c r="A2019" s="5" t="str">
        <x:v>L-0040</x:v>
      </x:c>
      <x:c r="B2019" s="5" t="str">
        <x:v>Logistik</x:v>
      </x:c>
      <x:c r="C2019" s="11" t="n">
        <x:v>1</x:v>
      </x:c>
      <x:c r="D2019" s="11" t="n">
        <x:f>COUNTIF('Einzel-ID-Zuordnung'!$A$7:$A$2692,A2019)</x:f>
        <x:v>1</x:v>
      </x:c>
      <x:c r="E2019" s="11" t="n">
        <x:f>D2019-C2019</x:f>
        <x:v>0</x:v>
      </x:c>
      <x:c r="F2019" s="5" t="str">
        <x:v>nicht Pilot</x:v>
      </x:c>
      <x:c r="G2019" s="5" t="str">
        <x:v>HQ</x:v>
      </x:c>
    </x:row>
    <x:row r="2020" ht="36" customHeight="1">
      <x:c r="A2020" s="5" t="str">
        <x:v>L-0041</x:v>
      </x:c>
      <x:c r="B2020" s="5" t="str">
        <x:v>Logistik</x:v>
      </x:c>
      <x:c r="C2020" s="11" t="n">
        <x:v>1</x:v>
      </x:c>
      <x:c r="D2020" s="11" t="n">
        <x:f>COUNTIF('Einzel-ID-Zuordnung'!$A$7:$A$2692,A2020)</x:f>
        <x:v>1</x:v>
      </x:c>
      <x:c r="E2020" s="11" t="n">
        <x:f>D2020-C2020</x:f>
        <x:v>0</x:v>
      </x:c>
      <x:c r="F2020" s="5" t="str">
        <x:v>nicht Pilot</x:v>
      </x:c>
      <x:c r="G2020" s="5" t="str">
        <x:v>HQ</x:v>
      </x:c>
    </x:row>
    <x:row r="2021" ht="36" customHeight="1">
      <x:c r="A2021" s="5" t="str">
        <x:v>L-0042</x:v>
      </x:c>
      <x:c r="B2021" s="5" t="str">
        <x:v>Logistik</x:v>
      </x:c>
      <x:c r="C2021" s="11" t="n">
        <x:v>1</x:v>
      </x:c>
      <x:c r="D2021" s="11" t="n">
        <x:f>COUNTIF('Einzel-ID-Zuordnung'!$A$7:$A$2692,A2021)</x:f>
        <x:v>1</x:v>
      </x:c>
      <x:c r="E2021" s="11" t="n">
        <x:f>D2021-C2021</x:f>
        <x:v>0</x:v>
      </x:c>
      <x:c r="F2021" s="5" t="str">
        <x:v>nicht Pilot</x:v>
      </x:c>
      <x:c r="G2021" s="5" t="str">
        <x:v>HQ</x:v>
      </x:c>
    </x:row>
    <x:row r="2022" ht="36" customHeight="1">
      <x:c r="A2022" s="5" t="str">
        <x:v>L-0043</x:v>
      </x:c>
      <x:c r="B2022" s="5" t="str">
        <x:v>Logistik</x:v>
      </x:c>
      <x:c r="C2022" s="11" t="n">
        <x:v>1</x:v>
      </x:c>
      <x:c r="D2022" s="11" t="n">
        <x:f>COUNTIF('Einzel-ID-Zuordnung'!$A$7:$A$2692,A2022)</x:f>
        <x:v>1</x:v>
      </x:c>
      <x:c r="E2022" s="11" t="n">
        <x:f>D2022-C2022</x:f>
        <x:v>0</x:v>
      </x:c>
      <x:c r="F2022" s="5" t="str">
        <x:v>nicht Pilot</x:v>
      </x:c>
      <x:c r="G2022" s="5" t="str">
        <x:v>HQ</x:v>
      </x:c>
    </x:row>
    <x:row r="2023" ht="36" customHeight="1">
      <x:c r="A2023" s="5" t="str">
        <x:v>L-0044</x:v>
      </x:c>
      <x:c r="B2023" s="5" t="str">
        <x:v>Logistik</x:v>
      </x:c>
      <x:c r="C2023" s="11" t="n">
        <x:v>1</x:v>
      </x:c>
      <x:c r="D2023" s="11" t="n">
        <x:f>COUNTIF('Einzel-ID-Zuordnung'!$A$7:$A$2692,A2023)</x:f>
        <x:v>1</x:v>
      </x:c>
      <x:c r="E2023" s="11" t="n">
        <x:f>D2023-C2023</x:f>
        <x:v>0</x:v>
      </x:c>
      <x:c r="F2023" s="5" t="str">
        <x:v>nicht Pilot</x:v>
      </x:c>
      <x:c r="G2023" s="5" t="str">
        <x:v>HQ</x:v>
      </x:c>
    </x:row>
    <x:row r="2024" ht="36" customHeight="1">
      <x:c r="A2024" s="5" t="str">
        <x:v>L-0045</x:v>
      </x:c>
      <x:c r="B2024" s="5" t="str">
        <x:v>Logistik</x:v>
      </x:c>
      <x:c r="C2024" s="11" t="n">
        <x:v>1</x:v>
      </x:c>
      <x:c r="D2024" s="11" t="n">
        <x:f>COUNTIF('Einzel-ID-Zuordnung'!$A$7:$A$2692,A2024)</x:f>
        <x:v>1</x:v>
      </x:c>
      <x:c r="E2024" s="11" t="n">
        <x:f>D2024-C2024</x:f>
        <x:v>0</x:v>
      </x:c>
      <x:c r="F2024" s="5" t="str">
        <x:v>nicht Pilot</x:v>
      </x:c>
      <x:c r="G2024" s="5" t="str">
        <x:v>HQ</x:v>
      </x:c>
    </x:row>
    <x:row r="2025" ht="36" customHeight="1">
      <x:c r="A2025" s="5" t="str">
        <x:v>L-0046</x:v>
      </x:c>
      <x:c r="B2025" s="5" t="str">
        <x:v>Logistik</x:v>
      </x:c>
      <x:c r="C2025" s="11" t="n">
        <x:v>1</x:v>
      </x:c>
      <x:c r="D2025" s="11" t="n">
        <x:f>COUNTIF('Einzel-ID-Zuordnung'!$A$7:$A$2692,A2025)</x:f>
        <x:v>1</x:v>
      </x:c>
      <x:c r="E2025" s="11" t="n">
        <x:f>D2025-C2025</x:f>
        <x:v>0</x:v>
      </x:c>
      <x:c r="F2025" s="5" t="str">
        <x:v>nicht Pilot</x:v>
      </x:c>
      <x:c r="G2025" s="5" t="str">
        <x:v>HQ</x:v>
      </x:c>
    </x:row>
    <x:row r="2026" ht="36" customHeight="1">
      <x:c r="A2026" s="5" t="str">
        <x:v>L-0047</x:v>
      </x:c>
      <x:c r="B2026" s="5" t="str">
        <x:v>Logistik</x:v>
      </x:c>
      <x:c r="C2026" s="11" t="n">
        <x:v>1</x:v>
      </x:c>
      <x:c r="D2026" s="11" t="n">
        <x:f>COUNTIF('Einzel-ID-Zuordnung'!$A$7:$A$2692,A2026)</x:f>
        <x:v>1</x:v>
      </x:c>
      <x:c r="E2026" s="11" t="n">
        <x:f>D2026-C2026</x:f>
        <x:v>0</x:v>
      </x:c>
      <x:c r="F2026" s="5" t="str">
        <x:v>nicht Pilot</x:v>
      </x:c>
      <x:c r="G2026" s="5" t="str">
        <x:v>HQ</x:v>
      </x:c>
    </x:row>
    <x:row r="2027" ht="36" customHeight="1">
      <x:c r="A2027" s="5" t="str">
        <x:v>L-0048</x:v>
      </x:c>
      <x:c r="B2027" s="5" t="str">
        <x:v>Logistik</x:v>
      </x:c>
      <x:c r="C2027" s="11" t="n">
        <x:v>1</x:v>
      </x:c>
      <x:c r="D2027" s="11" t="n">
        <x:f>COUNTIF('Einzel-ID-Zuordnung'!$A$7:$A$2692,A2027)</x:f>
        <x:v>1</x:v>
      </x:c>
      <x:c r="E2027" s="11" t="n">
        <x:f>D2027-C2027</x:f>
        <x:v>0</x:v>
      </x:c>
      <x:c r="F2027" s="5" t="str">
        <x:v>nicht Pilot</x:v>
      </x:c>
      <x:c r="G2027" s="5" t="str">
        <x:v>HQ</x:v>
      </x:c>
    </x:row>
    <x:row r="2028" ht="36" customHeight="1">
      <x:c r="A2028" s="5" t="str">
        <x:v>L-0049</x:v>
      </x:c>
      <x:c r="B2028" s="5" t="str">
        <x:v>Logistik</x:v>
      </x:c>
      <x:c r="C2028" s="11" t="n">
        <x:v>1</x:v>
      </x:c>
      <x:c r="D2028" s="11" t="n">
        <x:f>COUNTIF('Einzel-ID-Zuordnung'!$A$7:$A$2692,A2028)</x:f>
        <x:v>1</x:v>
      </x:c>
      <x:c r="E2028" s="11" t="n">
        <x:f>D2028-C2028</x:f>
        <x:v>0</x:v>
      </x:c>
      <x:c r="F2028" s="5" t="str">
        <x:v>nicht Pilot</x:v>
      </x:c>
      <x:c r="G2028" s="5" t="str">
        <x:v>HQ</x:v>
      </x:c>
    </x:row>
    <x:row r="2029" ht="36" customHeight="1">
      <x:c r="A2029" s="5" t="str">
        <x:v>L-0050</x:v>
      </x:c>
      <x:c r="B2029" s="5" t="str">
        <x:v>Logistik</x:v>
      </x:c>
      <x:c r="C2029" s="11" t="n">
        <x:v>1</x:v>
      </x:c>
      <x:c r="D2029" s="11" t="n">
        <x:f>COUNTIF('Einzel-ID-Zuordnung'!$A$7:$A$2692,A2029)</x:f>
        <x:v>1</x:v>
      </x:c>
      <x:c r="E2029" s="11" t="n">
        <x:f>D2029-C2029</x:f>
        <x:v>0</x:v>
      </x:c>
      <x:c r="F2029" s="5" t="str">
        <x:v>nicht Pilot</x:v>
      </x:c>
      <x:c r="G2029" s="5" t="str">
        <x:v>HQ</x:v>
      </x:c>
    </x:row>
    <x:row r="2030" ht="36" customHeight="1">
      <x:c r="A2030" s="5" t="str">
        <x:v>L-0051</x:v>
      </x:c>
      <x:c r="B2030" s="5" t="str">
        <x:v>Logistik</x:v>
      </x:c>
      <x:c r="C2030" s="11" t="n">
        <x:v>1</x:v>
      </x:c>
      <x:c r="D2030" s="11" t="n">
        <x:f>COUNTIF('Einzel-ID-Zuordnung'!$A$7:$A$2692,A2030)</x:f>
        <x:v>1</x:v>
      </x:c>
      <x:c r="E2030" s="11" t="n">
        <x:f>D2030-C2030</x:f>
        <x:v>0</x:v>
      </x:c>
      <x:c r="F2030" s="5" t="str">
        <x:v>nicht Pilot</x:v>
      </x:c>
      <x:c r="G2030" s="5" t="str">
        <x:v>HQ</x:v>
      </x:c>
    </x:row>
    <x:row r="2031" ht="36" customHeight="1">
      <x:c r="A2031" s="5" t="str">
        <x:v>L-0052</x:v>
      </x:c>
      <x:c r="B2031" s="5" t="str">
        <x:v>Logistik</x:v>
      </x:c>
      <x:c r="C2031" s="11" t="n">
        <x:v>1</x:v>
      </x:c>
      <x:c r="D2031" s="11" t="n">
        <x:f>COUNTIF('Einzel-ID-Zuordnung'!$A$7:$A$2692,A2031)</x:f>
        <x:v>1</x:v>
      </x:c>
      <x:c r="E2031" s="11" t="n">
        <x:f>D2031-C2031</x:f>
        <x:v>0</x:v>
      </x:c>
      <x:c r="F2031" s="5" t="str">
        <x:v>nicht Pilot</x:v>
      </x:c>
      <x:c r="G2031" s="5" t="str">
        <x:v>HQ</x:v>
      </x:c>
    </x:row>
    <x:row r="2032" ht="36" customHeight="1">
      <x:c r="A2032" s="5" t="str">
        <x:v>L-0053</x:v>
      </x:c>
      <x:c r="B2032" s="5" t="str">
        <x:v>Logistik</x:v>
      </x:c>
      <x:c r="C2032" s="11" t="n">
        <x:v>1</x:v>
      </x:c>
      <x:c r="D2032" s="11" t="n">
        <x:f>COUNTIF('Einzel-ID-Zuordnung'!$A$7:$A$2692,A2032)</x:f>
        <x:v>1</x:v>
      </x:c>
      <x:c r="E2032" s="11" t="n">
        <x:f>D2032-C2032</x:f>
        <x:v>0</x:v>
      </x:c>
      <x:c r="F2032" s="5" t="str">
        <x:v>nicht Pilot</x:v>
      </x:c>
      <x:c r="G2032" s="5" t="str">
        <x:v>HQ</x:v>
      </x:c>
    </x:row>
    <x:row r="2033" ht="36" customHeight="1">
      <x:c r="A2033" s="5" t="str">
        <x:v>L-0054</x:v>
      </x:c>
      <x:c r="B2033" s="5" t="str">
        <x:v>Logistik</x:v>
      </x:c>
      <x:c r="C2033" s="11" t="n">
        <x:v>1</x:v>
      </x:c>
      <x:c r="D2033" s="11" t="n">
        <x:f>COUNTIF('Einzel-ID-Zuordnung'!$A$7:$A$2692,A2033)</x:f>
        <x:v>1</x:v>
      </x:c>
      <x:c r="E2033" s="11" t="n">
        <x:f>D2033-C2033</x:f>
        <x:v>0</x:v>
      </x:c>
      <x:c r="F2033" s="5" t="str">
        <x:v>nicht Pilot</x:v>
      </x:c>
      <x:c r="G2033" s="5" t="str">
        <x:v>HQ</x:v>
      </x:c>
    </x:row>
    <x:row r="2034" ht="36" customHeight="1">
      <x:c r="A2034" s="5" t="str">
        <x:v>L-0055</x:v>
      </x:c>
      <x:c r="B2034" s="5" t="str">
        <x:v>Logistik</x:v>
      </x:c>
      <x:c r="C2034" s="11" t="n">
        <x:v>1</x:v>
      </x:c>
      <x:c r="D2034" s="11" t="n">
        <x:f>COUNTIF('Einzel-ID-Zuordnung'!$A$7:$A$2692,A2034)</x:f>
        <x:v>1</x:v>
      </x:c>
      <x:c r="E2034" s="11" t="n">
        <x:f>D2034-C2034</x:f>
        <x:v>0</x:v>
      </x:c>
      <x:c r="F2034" s="5" t="str">
        <x:v>nicht Pilot</x:v>
      </x:c>
      <x:c r="G2034" s="5" t="str">
        <x:v>HQ</x:v>
      </x:c>
    </x:row>
    <x:row r="2035" ht="36" customHeight="1">
      <x:c r="A2035" s="5" t="str">
        <x:v>L-0056</x:v>
      </x:c>
      <x:c r="B2035" s="5" t="str">
        <x:v>Logistik</x:v>
      </x:c>
      <x:c r="C2035" s="11" t="n">
        <x:v>1</x:v>
      </x:c>
      <x:c r="D2035" s="11" t="n">
        <x:f>COUNTIF('Einzel-ID-Zuordnung'!$A$7:$A$2692,A2035)</x:f>
        <x:v>1</x:v>
      </x:c>
      <x:c r="E2035" s="11" t="n">
        <x:f>D2035-C2035</x:f>
        <x:v>0</x:v>
      </x:c>
      <x:c r="F2035" s="5" t="str">
        <x:v>nicht Pilot</x:v>
      </x:c>
      <x:c r="G2035" s="5" t="str">
        <x:v>HQ</x:v>
      </x:c>
    </x:row>
    <x:row r="2036" ht="36" customHeight="1">
      <x:c r="A2036" s="5" t="str">
        <x:v>L-0057</x:v>
      </x:c>
      <x:c r="B2036" s="5" t="str">
        <x:v>Logistik</x:v>
      </x:c>
      <x:c r="C2036" s="11" t="n">
        <x:v>1</x:v>
      </x:c>
      <x:c r="D2036" s="11" t="n">
        <x:f>COUNTIF('Einzel-ID-Zuordnung'!$A$7:$A$2692,A2036)</x:f>
        <x:v>1</x:v>
      </x:c>
      <x:c r="E2036" s="11" t="n">
        <x:f>D2036-C2036</x:f>
        <x:v>0</x:v>
      </x:c>
      <x:c r="F2036" s="5" t="str">
        <x:v>nicht Pilot</x:v>
      </x:c>
      <x:c r="G2036" s="5" t="str">
        <x:v>HQ</x:v>
      </x:c>
    </x:row>
    <x:row r="2037" ht="36" customHeight="1">
      <x:c r="A2037" s="5" t="str">
        <x:v>L-0058</x:v>
      </x:c>
      <x:c r="B2037" s="5" t="str">
        <x:v>Logistik</x:v>
      </x:c>
      <x:c r="C2037" s="11" t="n">
        <x:v>1</x:v>
      </x:c>
      <x:c r="D2037" s="11" t="n">
        <x:f>COUNTIF('Einzel-ID-Zuordnung'!$A$7:$A$2692,A2037)</x:f>
        <x:v>1</x:v>
      </x:c>
      <x:c r="E2037" s="11" t="n">
        <x:f>D2037-C2037</x:f>
        <x:v>0</x:v>
      </x:c>
      <x:c r="F2037" s="5" t="str">
        <x:v>nicht Pilot</x:v>
      </x:c>
      <x:c r="G2037" s="5" t="str">
        <x:v>HQ</x:v>
      </x:c>
    </x:row>
    <x:row r="2038" ht="36" customHeight="1">
      <x:c r="A2038" s="5" t="str">
        <x:v>L-0059</x:v>
      </x:c>
      <x:c r="B2038" s="5" t="str">
        <x:v>Logistik</x:v>
      </x:c>
      <x:c r="C2038" s="11" t="n">
        <x:v>1</x:v>
      </x:c>
      <x:c r="D2038" s="11" t="n">
        <x:f>COUNTIF('Einzel-ID-Zuordnung'!$A$7:$A$2692,A2038)</x:f>
        <x:v>1</x:v>
      </x:c>
      <x:c r="E2038" s="11" t="n">
        <x:f>D2038-C2038</x:f>
        <x:v>0</x:v>
      </x:c>
      <x:c r="F2038" s="5" t="str">
        <x:v>nicht Pilot</x:v>
      </x:c>
      <x:c r="G2038" s="5" t="str">
        <x:v>HQ</x:v>
      </x:c>
    </x:row>
    <x:row r="2039" ht="36" customHeight="1">
      <x:c r="A2039" s="5" t="str">
        <x:v>L-0060</x:v>
      </x:c>
      <x:c r="B2039" s="5" t="str">
        <x:v>Logistik</x:v>
      </x:c>
      <x:c r="C2039" s="11" t="n">
        <x:v>1</x:v>
      </x:c>
      <x:c r="D2039" s="11" t="n">
        <x:f>COUNTIF('Einzel-ID-Zuordnung'!$A$7:$A$2692,A2039)</x:f>
        <x:v>1</x:v>
      </x:c>
      <x:c r="E2039" s="11" t="n">
        <x:f>D2039-C2039</x:f>
        <x:v>0</x:v>
      </x:c>
      <x:c r="F2039" s="5" t="str">
        <x:v>nicht Pilot</x:v>
      </x:c>
      <x:c r="G2039" s="5" t="str">
        <x:v>HQ</x:v>
      </x:c>
    </x:row>
    <x:row r="2040" ht="36" customHeight="1">
      <x:c r="A2040" s="5" t="str">
        <x:v>L-0061</x:v>
      </x:c>
      <x:c r="B2040" s="5" t="str">
        <x:v>Logistik</x:v>
      </x:c>
      <x:c r="C2040" s="11" t="n">
        <x:v>1</x:v>
      </x:c>
      <x:c r="D2040" s="11" t="n">
        <x:f>COUNTIF('Einzel-ID-Zuordnung'!$A$7:$A$2692,A2040)</x:f>
        <x:v>1</x:v>
      </x:c>
      <x:c r="E2040" s="11" t="n">
        <x:f>D2040-C2040</x:f>
        <x:v>0</x:v>
      </x:c>
      <x:c r="F2040" s="5" t="str">
        <x:v>nicht Pilot</x:v>
      </x:c>
      <x:c r="G2040" s="5" t="str">
        <x:v>HQ</x:v>
      </x:c>
    </x:row>
    <x:row r="2041" ht="36" customHeight="1">
      <x:c r="A2041" s="5" t="str">
        <x:v>L-0062</x:v>
      </x:c>
      <x:c r="B2041" s="5" t="str">
        <x:v>Logistik</x:v>
      </x:c>
      <x:c r="C2041" s="11" t="n">
        <x:v>1</x:v>
      </x:c>
      <x:c r="D2041" s="11" t="n">
        <x:f>COUNTIF('Einzel-ID-Zuordnung'!$A$7:$A$2692,A2041)</x:f>
        <x:v>1</x:v>
      </x:c>
      <x:c r="E2041" s="11" t="n">
        <x:f>D2041-C2041</x:f>
        <x:v>0</x:v>
      </x:c>
      <x:c r="F2041" s="5" t="str">
        <x:v>nicht Pilot</x:v>
      </x:c>
      <x:c r="G2041" s="5" t="str">
        <x:v>HQ</x:v>
      </x:c>
    </x:row>
    <x:row r="2042" ht="36" customHeight="1">
      <x:c r="A2042" s="5" t="str">
        <x:v>L-0063</x:v>
      </x:c>
      <x:c r="B2042" s="5" t="str">
        <x:v>Logistik</x:v>
      </x:c>
      <x:c r="C2042" s="11" t="n">
        <x:v>1</x:v>
      </x:c>
      <x:c r="D2042" s="11" t="n">
        <x:f>COUNTIF('Einzel-ID-Zuordnung'!$A$7:$A$2692,A2042)</x:f>
        <x:v>1</x:v>
      </x:c>
      <x:c r="E2042" s="11" t="n">
        <x:f>D2042-C2042</x:f>
        <x:v>0</x:v>
      </x:c>
      <x:c r="F2042" s="5" t="str">
        <x:v>nicht Pilot</x:v>
      </x:c>
      <x:c r="G2042" s="5" t="str">
        <x:v>HQ</x:v>
      </x:c>
    </x:row>
    <x:row r="2043" ht="36" customHeight="1">
      <x:c r="A2043" s="5" t="str">
        <x:v>L-0064</x:v>
      </x:c>
      <x:c r="B2043" s="5" t="str">
        <x:v>Logistik</x:v>
      </x:c>
      <x:c r="C2043" s="11" t="n">
        <x:v>1</x:v>
      </x:c>
      <x:c r="D2043" s="11" t="n">
        <x:f>COUNTIF('Einzel-ID-Zuordnung'!$A$7:$A$2692,A2043)</x:f>
        <x:v>1</x:v>
      </x:c>
      <x:c r="E2043" s="11" t="n">
        <x:f>D2043-C2043</x:f>
        <x:v>0</x:v>
      </x:c>
      <x:c r="F2043" s="5" t="str">
        <x:v>nicht Pilot</x:v>
      </x:c>
      <x:c r="G2043" s="5" t="str">
        <x:v>HQ</x:v>
      </x:c>
    </x:row>
    <x:row r="2044" ht="36" customHeight="1">
      <x:c r="A2044" s="5" t="str">
        <x:v>L-0065</x:v>
      </x:c>
      <x:c r="B2044" s="5" t="str">
        <x:v>Logistik</x:v>
      </x:c>
      <x:c r="C2044" s="11" t="n">
        <x:v>1</x:v>
      </x:c>
      <x:c r="D2044" s="11" t="n">
        <x:f>COUNTIF('Einzel-ID-Zuordnung'!$A$7:$A$2692,A2044)</x:f>
        <x:v>1</x:v>
      </x:c>
      <x:c r="E2044" s="11" t="n">
        <x:f>D2044-C2044</x:f>
        <x:v>0</x:v>
      </x:c>
      <x:c r="F2044" s="5" t="str">
        <x:v>nicht Pilot</x:v>
      </x:c>
      <x:c r="G2044" s="5" t="str">
        <x:v>HQ</x:v>
      </x:c>
    </x:row>
    <x:row r="2045" ht="36" customHeight="1">
      <x:c r="A2045" s="5" t="str">
        <x:v>L-0066</x:v>
      </x:c>
      <x:c r="B2045" s="5" t="str">
        <x:v>Logistik</x:v>
      </x:c>
      <x:c r="C2045" s="11" t="n">
        <x:v>1</x:v>
      </x:c>
      <x:c r="D2045" s="11" t="n">
        <x:f>COUNTIF('Einzel-ID-Zuordnung'!$A$7:$A$2692,A2045)</x:f>
        <x:v>1</x:v>
      </x:c>
      <x:c r="E2045" s="11" t="n">
        <x:f>D2045-C2045</x:f>
        <x:v>0</x:v>
      </x:c>
      <x:c r="F2045" s="5" t="str">
        <x:v>nicht Pilot</x:v>
      </x:c>
      <x:c r="G2045" s="5" t="str">
        <x:v>HQ</x:v>
      </x:c>
    </x:row>
    <x:row r="2046" ht="36" customHeight="1">
      <x:c r="A2046" s="5" t="str">
        <x:v>L-0067</x:v>
      </x:c>
      <x:c r="B2046" s="5" t="str">
        <x:v>Logistik</x:v>
      </x:c>
      <x:c r="C2046" s="11" t="n">
        <x:v>1</x:v>
      </x:c>
      <x:c r="D2046" s="11" t="n">
        <x:f>COUNTIF('Einzel-ID-Zuordnung'!$A$7:$A$2692,A2046)</x:f>
        <x:v>1</x:v>
      </x:c>
      <x:c r="E2046" s="11" t="n">
        <x:f>D2046-C2046</x:f>
        <x:v>0</x:v>
      </x:c>
      <x:c r="F2046" s="5" t="str">
        <x:v>nicht Pilot</x:v>
      </x:c>
      <x:c r="G2046" s="5" t="str">
        <x:v>HQ</x:v>
      </x:c>
    </x:row>
    <x:row r="2047" ht="36" customHeight="1">
      <x:c r="A2047" s="5" t="str">
        <x:v>L-0068</x:v>
      </x:c>
      <x:c r="B2047" s="5" t="str">
        <x:v>Logistik</x:v>
      </x:c>
      <x:c r="C2047" s="11" t="n">
        <x:v>1</x:v>
      </x:c>
      <x:c r="D2047" s="11" t="n">
        <x:f>COUNTIF('Einzel-ID-Zuordnung'!$A$7:$A$2692,A2047)</x:f>
        <x:v>1</x:v>
      </x:c>
      <x:c r="E2047" s="11" t="n">
        <x:f>D2047-C2047</x:f>
        <x:v>0</x:v>
      </x:c>
      <x:c r="F2047" s="5" t="str">
        <x:v>nicht Pilot</x:v>
      </x:c>
      <x:c r="G2047" s="5" t="str">
        <x:v>HQ</x:v>
      </x:c>
    </x:row>
    <x:row r="2048" ht="36" customHeight="1">
      <x:c r="A2048" s="5" t="str">
        <x:v>L-0069</x:v>
      </x:c>
      <x:c r="B2048" s="5" t="str">
        <x:v>Logistik</x:v>
      </x:c>
      <x:c r="C2048" s="11" t="n">
        <x:v>1</x:v>
      </x:c>
      <x:c r="D2048" s="11" t="n">
        <x:f>COUNTIF('Einzel-ID-Zuordnung'!$A$7:$A$2692,A2048)</x:f>
        <x:v>1</x:v>
      </x:c>
      <x:c r="E2048" s="11" t="n">
        <x:f>D2048-C2048</x:f>
        <x:v>0</x:v>
      </x:c>
      <x:c r="F2048" s="5" t="str">
        <x:v>nicht Pilot</x:v>
      </x:c>
      <x:c r="G2048" s="5" t="str">
        <x:v>HQ</x:v>
      </x:c>
    </x:row>
    <x:row r="2049" ht="36" customHeight="1">
      <x:c r="A2049" s="5" t="str">
        <x:v>L-0070</x:v>
      </x:c>
      <x:c r="B2049" s="5" t="str">
        <x:v>Logistik</x:v>
      </x:c>
      <x:c r="C2049" s="11" t="n">
        <x:v>1</x:v>
      </x:c>
      <x:c r="D2049" s="11" t="n">
        <x:f>COUNTIF('Einzel-ID-Zuordnung'!$A$7:$A$2692,A2049)</x:f>
        <x:v>1</x:v>
      </x:c>
      <x:c r="E2049" s="11" t="n">
        <x:f>D2049-C2049</x:f>
        <x:v>0</x:v>
      </x:c>
      <x:c r="F2049" s="5" t="str">
        <x:v>nicht Pilot</x:v>
      </x:c>
      <x:c r="G2049" s="5" t="str">
        <x:v>HQ</x:v>
      </x:c>
    </x:row>
    <x:row r="2050" ht="36" customHeight="1">
      <x:c r="A2050" s="5" t="str">
        <x:v>L-0071</x:v>
      </x:c>
      <x:c r="B2050" s="5" t="str">
        <x:v>Logistik</x:v>
      </x:c>
      <x:c r="C2050" s="11" t="n">
        <x:v>1</x:v>
      </x:c>
      <x:c r="D2050" s="11" t="n">
        <x:f>COUNTIF('Einzel-ID-Zuordnung'!$A$7:$A$2692,A2050)</x:f>
        <x:v>1</x:v>
      </x:c>
      <x:c r="E2050" s="11" t="n">
        <x:f>D2050-C2050</x:f>
        <x:v>0</x:v>
      </x:c>
      <x:c r="F2050" s="5" t="str">
        <x:v>nicht Pilot</x:v>
      </x:c>
      <x:c r="G2050" s="5" t="str">
        <x:v>HQ</x:v>
      </x:c>
    </x:row>
    <x:row r="2051" ht="36" customHeight="1">
      <x:c r="A2051" s="5" t="str">
        <x:v>L-0072</x:v>
      </x:c>
      <x:c r="B2051" s="5" t="str">
        <x:v>Logistik</x:v>
      </x:c>
      <x:c r="C2051" s="11" t="n">
        <x:v>1</x:v>
      </x:c>
      <x:c r="D2051" s="11" t="n">
        <x:f>COUNTIF('Einzel-ID-Zuordnung'!$A$7:$A$2692,A2051)</x:f>
        <x:v>1</x:v>
      </x:c>
      <x:c r="E2051" s="11" t="n">
        <x:f>D2051-C2051</x:f>
        <x:v>0</x:v>
      </x:c>
      <x:c r="F2051" s="5" t="str">
        <x:v>nicht Pilot</x:v>
      </x:c>
      <x:c r="G2051" s="5" t="str">
        <x:v>HQ</x:v>
      </x:c>
    </x:row>
    <x:row r="2052" ht="36" customHeight="1">
      <x:c r="A2052" s="5" t="str">
        <x:v>L-0073</x:v>
      </x:c>
      <x:c r="B2052" s="5" t="str">
        <x:v>Logistik</x:v>
      </x:c>
      <x:c r="C2052" s="11" t="n">
        <x:v>1</x:v>
      </x:c>
      <x:c r="D2052" s="11" t="n">
        <x:f>COUNTIF('Einzel-ID-Zuordnung'!$A$7:$A$2692,A2052)</x:f>
        <x:v>1</x:v>
      </x:c>
      <x:c r="E2052" s="11" t="n">
        <x:f>D2052-C2052</x:f>
        <x:v>0</x:v>
      </x:c>
      <x:c r="F2052" s="5" t="str">
        <x:v>nicht Pilot</x:v>
      </x:c>
      <x:c r="G2052" s="5" t="str">
        <x:v>HQ</x:v>
      </x:c>
    </x:row>
    <x:row r="2053" ht="36" customHeight="1">
      <x:c r="A2053" s="5" t="str">
        <x:v>L-0074</x:v>
      </x:c>
      <x:c r="B2053" s="5" t="str">
        <x:v>Logistik</x:v>
      </x:c>
      <x:c r="C2053" s="11" t="n">
        <x:v>1</x:v>
      </x:c>
      <x:c r="D2053" s="11" t="n">
        <x:f>COUNTIF('Einzel-ID-Zuordnung'!$A$7:$A$2692,A2053)</x:f>
        <x:v>1</x:v>
      </x:c>
      <x:c r="E2053" s="11" t="n">
        <x:f>D2053-C2053</x:f>
        <x:v>0</x:v>
      </x:c>
      <x:c r="F2053" s="5" t="str">
        <x:v>nicht Pilot</x:v>
      </x:c>
      <x:c r="G2053" s="5" t="str">
        <x:v>HQ</x:v>
      </x:c>
    </x:row>
    <x:row r="2054" ht="36" customHeight="1">
      <x:c r="A2054" s="5" t="str">
        <x:v>L-0075</x:v>
      </x:c>
      <x:c r="B2054" s="5" t="str">
        <x:v>Logistik</x:v>
      </x:c>
      <x:c r="C2054" s="11" t="n">
        <x:v>1</x:v>
      </x:c>
      <x:c r="D2054" s="11" t="n">
        <x:f>COUNTIF('Einzel-ID-Zuordnung'!$A$7:$A$2692,A2054)</x:f>
        <x:v>1</x:v>
      </x:c>
      <x:c r="E2054" s="11" t="n">
        <x:f>D2054-C2054</x:f>
        <x:v>0</x:v>
      </x:c>
      <x:c r="F2054" s="5" t="str">
        <x:v>nicht Pilot</x:v>
      </x:c>
      <x:c r="G2054" s="5" t="str">
        <x:v>HQ</x:v>
      </x:c>
    </x:row>
    <x:row r="2055" ht="36" customHeight="1">
      <x:c r="A2055" s="5" t="str">
        <x:v>L-0076</x:v>
      </x:c>
      <x:c r="B2055" s="5" t="str">
        <x:v>Logistik</x:v>
      </x:c>
      <x:c r="C2055" s="11" t="n">
        <x:v>1</x:v>
      </x:c>
      <x:c r="D2055" s="11" t="n">
        <x:f>COUNTIF('Einzel-ID-Zuordnung'!$A$7:$A$2692,A2055)</x:f>
        <x:v>1</x:v>
      </x:c>
      <x:c r="E2055" s="11" t="n">
        <x:f>D2055-C2055</x:f>
        <x:v>0</x:v>
      </x:c>
      <x:c r="F2055" s="5" t="str">
        <x:v>nicht Pilot</x:v>
      </x:c>
      <x:c r="G2055" s="5" t="str">
        <x:v>HQ</x:v>
      </x:c>
    </x:row>
    <x:row r="2056" ht="36" customHeight="1">
      <x:c r="A2056" s="5" t="str">
        <x:v>L-0077</x:v>
      </x:c>
      <x:c r="B2056" s="5" t="str">
        <x:v>Logistik</x:v>
      </x:c>
      <x:c r="C2056" s="11" t="n">
        <x:v>1</x:v>
      </x:c>
      <x:c r="D2056" s="11" t="n">
        <x:f>COUNTIF('Einzel-ID-Zuordnung'!$A$7:$A$2692,A2056)</x:f>
        <x:v>1</x:v>
      </x:c>
      <x:c r="E2056" s="11" t="n">
        <x:f>D2056-C2056</x:f>
        <x:v>0</x:v>
      </x:c>
      <x:c r="F2056" s="5" t="str">
        <x:v>nicht Pilot</x:v>
      </x:c>
      <x:c r="G2056" s="5" t="str">
        <x:v>HQ</x:v>
      </x:c>
    </x:row>
    <x:row r="2057" ht="36" customHeight="1">
      <x:c r="A2057" s="5" t="str">
        <x:v>L-0078</x:v>
      </x:c>
      <x:c r="B2057" s="5" t="str">
        <x:v>Logistik</x:v>
      </x:c>
      <x:c r="C2057" s="11" t="n">
        <x:v>1</x:v>
      </x:c>
      <x:c r="D2057" s="11" t="n">
        <x:f>COUNTIF('Einzel-ID-Zuordnung'!$A$7:$A$2692,A2057)</x:f>
        <x:v>1</x:v>
      </x:c>
      <x:c r="E2057" s="11" t="n">
        <x:f>D2057-C2057</x:f>
        <x:v>0</x:v>
      </x:c>
      <x:c r="F2057" s="5" t="str">
        <x:v>nicht Pilot</x:v>
      </x:c>
      <x:c r="G2057" s="5" t="str">
        <x:v>HQ</x:v>
      </x:c>
    </x:row>
    <x:row r="2058" ht="36" customHeight="1">
      <x:c r="A2058" s="5" t="str">
        <x:v>L-0079</x:v>
      </x:c>
      <x:c r="B2058" s="5" t="str">
        <x:v>Logistik</x:v>
      </x:c>
      <x:c r="C2058" s="11" t="n">
        <x:v>1</x:v>
      </x:c>
      <x:c r="D2058" s="11" t="n">
        <x:f>COUNTIF('Einzel-ID-Zuordnung'!$A$7:$A$2692,A2058)</x:f>
        <x:v>1</x:v>
      </x:c>
      <x:c r="E2058" s="11" t="n">
        <x:f>D2058-C2058</x:f>
        <x:v>0</x:v>
      </x:c>
      <x:c r="F2058" s="5" t="str">
        <x:v>nicht Pilot</x:v>
      </x:c>
      <x:c r="G2058" s="5" t="str">
        <x:v>HQ</x:v>
      </x:c>
    </x:row>
    <x:row r="2059" ht="36" customHeight="1">
      <x:c r="A2059" s="5" t="str">
        <x:v>L-0080</x:v>
      </x:c>
      <x:c r="B2059" s="5" t="str">
        <x:v>Logistik</x:v>
      </x:c>
      <x:c r="C2059" s="11" t="n">
        <x:v>1</x:v>
      </x:c>
      <x:c r="D2059" s="11" t="n">
        <x:f>COUNTIF('Einzel-ID-Zuordnung'!$A$7:$A$2692,A2059)</x:f>
        <x:v>1</x:v>
      </x:c>
      <x:c r="E2059" s="11" t="n">
        <x:f>D2059-C2059</x:f>
        <x:v>0</x:v>
      </x:c>
      <x:c r="F2059" s="5" t="str">
        <x:v>nicht Pilot</x:v>
      </x:c>
      <x:c r="G2059" s="5" t="str">
        <x:v>HQ</x:v>
      </x:c>
    </x:row>
    <x:row r="2060" ht="36" customHeight="1">
      <x:c r="A2060" s="5" t="str">
        <x:v>L-0081</x:v>
      </x:c>
      <x:c r="B2060" s="5" t="str">
        <x:v>Logistik</x:v>
      </x:c>
      <x:c r="C2060" s="11" t="n">
        <x:v>1</x:v>
      </x:c>
      <x:c r="D2060" s="11" t="n">
        <x:f>COUNTIF('Einzel-ID-Zuordnung'!$A$7:$A$2692,A2060)</x:f>
        <x:v>1</x:v>
      </x:c>
      <x:c r="E2060" s="11" t="n">
        <x:f>D2060-C2060</x:f>
        <x:v>0</x:v>
      </x:c>
      <x:c r="F2060" s="5" t="str">
        <x:v>nicht Pilot</x:v>
      </x:c>
      <x:c r="G2060" s="5" t="str">
        <x:v>HQ</x:v>
      </x:c>
    </x:row>
    <x:row r="2061" ht="36" customHeight="1">
      <x:c r="A2061" s="5" t="str">
        <x:v>L-0082</x:v>
      </x:c>
      <x:c r="B2061" s="5" t="str">
        <x:v>Logistik</x:v>
      </x:c>
      <x:c r="C2061" s="11" t="n">
        <x:v>1</x:v>
      </x:c>
      <x:c r="D2061" s="11" t="n">
        <x:f>COUNTIF('Einzel-ID-Zuordnung'!$A$7:$A$2692,A2061)</x:f>
        <x:v>1</x:v>
      </x:c>
      <x:c r="E2061" s="11" t="n">
        <x:f>D2061-C2061</x:f>
        <x:v>0</x:v>
      </x:c>
      <x:c r="F2061" s="5" t="str">
        <x:v>nicht Pilot</x:v>
      </x:c>
      <x:c r="G2061" s="5" t="str">
        <x:v>HQ</x:v>
      </x:c>
    </x:row>
    <x:row r="2062" ht="36" customHeight="1">
      <x:c r="A2062" s="5" t="str">
        <x:v>L-0083</x:v>
      </x:c>
      <x:c r="B2062" s="5" t="str">
        <x:v>Logistik</x:v>
      </x:c>
      <x:c r="C2062" s="11" t="n">
        <x:v>1</x:v>
      </x:c>
      <x:c r="D2062" s="11" t="n">
        <x:f>COUNTIF('Einzel-ID-Zuordnung'!$A$7:$A$2692,A2062)</x:f>
        <x:v>1</x:v>
      </x:c>
      <x:c r="E2062" s="11" t="n">
        <x:f>D2062-C2062</x:f>
        <x:v>0</x:v>
      </x:c>
      <x:c r="F2062" s="5" t="str">
        <x:v>nicht Pilot</x:v>
      </x:c>
      <x:c r="G2062" s="5" t="str">
        <x:v>HQ</x:v>
      </x:c>
    </x:row>
    <x:row r="2063" ht="36" customHeight="1">
      <x:c r="A2063" s="5" t="str">
        <x:v>L-0084</x:v>
      </x:c>
      <x:c r="B2063" s="5" t="str">
        <x:v>Logistik</x:v>
      </x:c>
      <x:c r="C2063" s="11" t="n">
        <x:v>1</x:v>
      </x:c>
      <x:c r="D2063" s="11" t="n">
        <x:f>COUNTIF('Einzel-ID-Zuordnung'!$A$7:$A$2692,A2063)</x:f>
        <x:v>1</x:v>
      </x:c>
      <x:c r="E2063" s="11" t="n">
        <x:f>D2063-C2063</x:f>
        <x:v>0</x:v>
      </x:c>
      <x:c r="F2063" s="5" t="str">
        <x:v>nicht Pilot</x:v>
      </x:c>
      <x:c r="G2063" s="5" t="str">
        <x:v>HQ</x:v>
      </x:c>
    </x:row>
    <x:row r="2064" ht="36" customHeight="1">
      <x:c r="A2064" s="5" t="str">
        <x:v>L-0085</x:v>
      </x:c>
      <x:c r="B2064" s="5" t="str">
        <x:v>Logistik</x:v>
      </x:c>
      <x:c r="C2064" s="11" t="n">
        <x:v>1</x:v>
      </x:c>
      <x:c r="D2064" s="11" t="n">
        <x:f>COUNTIF('Einzel-ID-Zuordnung'!$A$7:$A$2692,A2064)</x:f>
        <x:v>1</x:v>
      </x:c>
      <x:c r="E2064" s="11" t="n">
        <x:f>D2064-C2064</x:f>
        <x:v>0</x:v>
      </x:c>
      <x:c r="F2064" s="5" t="str">
        <x:v>nicht Pilot</x:v>
      </x:c>
      <x:c r="G2064" s="5" t="str">
        <x:v>HQ</x:v>
      </x:c>
    </x:row>
    <x:row r="2065" ht="36" customHeight="1">
      <x:c r="A2065" s="5" t="str">
        <x:v>L-0086</x:v>
      </x:c>
      <x:c r="B2065" s="5" t="str">
        <x:v>Logistik</x:v>
      </x:c>
      <x:c r="C2065" s="11" t="n">
        <x:v>1</x:v>
      </x:c>
      <x:c r="D2065" s="11" t="n">
        <x:f>COUNTIF('Einzel-ID-Zuordnung'!$A$7:$A$2692,A2065)</x:f>
        <x:v>1</x:v>
      </x:c>
      <x:c r="E2065" s="11" t="n">
        <x:f>D2065-C2065</x:f>
        <x:v>0</x:v>
      </x:c>
      <x:c r="F2065" s="5" t="str">
        <x:v>nicht Pilot</x:v>
      </x:c>
      <x:c r="G2065" s="5" t="str">
        <x:v>HQ</x:v>
      </x:c>
    </x:row>
    <x:row r="2066" ht="36" customHeight="1">
      <x:c r="A2066" s="5" t="str">
        <x:v>L-0087</x:v>
      </x:c>
      <x:c r="B2066" s="5" t="str">
        <x:v>Logistik</x:v>
      </x:c>
      <x:c r="C2066" s="11" t="n">
        <x:v>1</x:v>
      </x:c>
      <x:c r="D2066" s="11" t="n">
        <x:f>COUNTIF('Einzel-ID-Zuordnung'!$A$7:$A$2692,A2066)</x:f>
        <x:v>1</x:v>
      </x:c>
      <x:c r="E2066" s="11" t="n">
        <x:f>D2066-C2066</x:f>
        <x:v>0</x:v>
      </x:c>
      <x:c r="F2066" s="5" t="str">
        <x:v>nicht Pilot</x:v>
      </x:c>
      <x:c r="G2066" s="5" t="str">
        <x:v>HQ</x:v>
      </x:c>
    </x:row>
    <x:row r="2067" ht="36" customHeight="1">
      <x:c r="A2067" s="5" t="str">
        <x:v>L-0088</x:v>
      </x:c>
      <x:c r="B2067" s="5" t="str">
        <x:v>Logistik</x:v>
      </x:c>
      <x:c r="C2067" s="11" t="n">
        <x:v>1</x:v>
      </x:c>
      <x:c r="D2067" s="11" t="n">
        <x:f>COUNTIF('Einzel-ID-Zuordnung'!$A$7:$A$2692,A2067)</x:f>
        <x:v>1</x:v>
      </x:c>
      <x:c r="E2067" s="11" t="n">
        <x:f>D2067-C2067</x:f>
        <x:v>0</x:v>
      </x:c>
      <x:c r="F2067" s="5" t="str">
        <x:v>nicht Pilot</x:v>
      </x:c>
      <x:c r="G2067" s="5" t="str">
        <x:v>HQ</x:v>
      </x:c>
    </x:row>
    <x:row r="2068" ht="36" customHeight="1">
      <x:c r="A2068" s="5" t="str">
        <x:v>L-0089</x:v>
      </x:c>
      <x:c r="B2068" s="5" t="str">
        <x:v>Logistik</x:v>
      </x:c>
      <x:c r="C2068" s="11" t="n">
        <x:v>1</x:v>
      </x:c>
      <x:c r="D2068" s="11" t="n">
        <x:f>COUNTIF('Einzel-ID-Zuordnung'!$A$7:$A$2692,A2068)</x:f>
        <x:v>1</x:v>
      </x:c>
      <x:c r="E2068" s="11" t="n">
        <x:f>D2068-C2068</x:f>
        <x:v>0</x:v>
      </x:c>
      <x:c r="F2068" s="5" t="str">
        <x:v>nicht Pilot</x:v>
      </x:c>
      <x:c r="G2068" s="5" t="str">
        <x:v>HQ</x:v>
      </x:c>
    </x:row>
    <x:row r="2069" ht="36" customHeight="1">
      <x:c r="A2069" s="5" t="str">
        <x:v>L-0090</x:v>
      </x:c>
      <x:c r="B2069" s="5" t="str">
        <x:v>Logistik</x:v>
      </x:c>
      <x:c r="C2069" s="11" t="n">
        <x:v>1</x:v>
      </x:c>
      <x:c r="D2069" s="11" t="n">
        <x:f>COUNTIF('Einzel-ID-Zuordnung'!$A$7:$A$2692,A2069)</x:f>
        <x:v>1</x:v>
      </x:c>
      <x:c r="E2069" s="11" t="n">
        <x:f>D2069-C2069</x:f>
        <x:v>0</x:v>
      </x:c>
      <x:c r="F2069" s="5" t="str">
        <x:v>nicht Pilot</x:v>
      </x:c>
      <x:c r="G2069" s="5" t="str">
        <x:v>HQ</x:v>
      </x:c>
    </x:row>
    <x:row r="2070" ht="36" customHeight="1">
      <x:c r="A2070" s="5" t="str">
        <x:v>L-0091</x:v>
      </x:c>
      <x:c r="B2070" s="5" t="str">
        <x:v>Logistik</x:v>
      </x:c>
      <x:c r="C2070" s="11" t="n">
        <x:v>1</x:v>
      </x:c>
      <x:c r="D2070" s="11" t="n">
        <x:f>COUNTIF('Einzel-ID-Zuordnung'!$A$7:$A$2692,A2070)</x:f>
        <x:v>1</x:v>
      </x:c>
      <x:c r="E2070" s="11" t="n">
        <x:f>D2070-C2070</x:f>
        <x:v>0</x:v>
      </x:c>
      <x:c r="F2070" s="5" t="str">
        <x:v>nicht Pilot</x:v>
      </x:c>
      <x:c r="G2070" s="5" t="str">
        <x:v>HQ</x:v>
      </x:c>
    </x:row>
    <x:row r="2071" ht="36" customHeight="1">
      <x:c r="A2071" s="5" t="str">
        <x:v>L-0092</x:v>
      </x:c>
      <x:c r="B2071" s="5" t="str">
        <x:v>Logistik</x:v>
      </x:c>
      <x:c r="C2071" s="11" t="n">
        <x:v>1</x:v>
      </x:c>
      <x:c r="D2071" s="11" t="n">
        <x:f>COUNTIF('Einzel-ID-Zuordnung'!$A$7:$A$2692,A2071)</x:f>
        <x:v>1</x:v>
      </x:c>
      <x:c r="E2071" s="11" t="n">
        <x:f>D2071-C2071</x:f>
        <x:v>0</x:v>
      </x:c>
      <x:c r="F2071" s="5" t="str">
        <x:v>nicht Pilot</x:v>
      </x:c>
      <x:c r="G2071" s="5" t="str">
        <x:v>HQ</x:v>
      </x:c>
    </x:row>
    <x:row r="2072" ht="36" customHeight="1">
      <x:c r="A2072" s="5" t="str">
        <x:v>L-0093</x:v>
      </x:c>
      <x:c r="B2072" s="5" t="str">
        <x:v>Logistik</x:v>
      </x:c>
      <x:c r="C2072" s="11" t="n">
        <x:v>1</x:v>
      </x:c>
      <x:c r="D2072" s="11" t="n">
        <x:f>COUNTIF('Einzel-ID-Zuordnung'!$A$7:$A$2692,A2072)</x:f>
        <x:v>1</x:v>
      </x:c>
      <x:c r="E2072" s="11" t="n">
        <x:f>D2072-C2072</x:f>
        <x:v>0</x:v>
      </x:c>
      <x:c r="F2072" s="5" t="str">
        <x:v>nicht Pilot</x:v>
      </x:c>
      <x:c r="G2072" s="5" t="str">
        <x:v>HQ</x:v>
      </x:c>
    </x:row>
    <x:row r="2073" ht="36" customHeight="1">
      <x:c r="A2073" s="5" t="str">
        <x:v>L-0094</x:v>
      </x:c>
      <x:c r="B2073" s="5" t="str">
        <x:v>Logistik</x:v>
      </x:c>
      <x:c r="C2073" s="11" t="n">
        <x:v>1</x:v>
      </x:c>
      <x:c r="D2073" s="11" t="n">
        <x:f>COUNTIF('Einzel-ID-Zuordnung'!$A$7:$A$2692,A2073)</x:f>
        <x:v>1</x:v>
      </x:c>
      <x:c r="E2073" s="11" t="n">
        <x:f>D2073-C2073</x:f>
        <x:v>0</x:v>
      </x:c>
      <x:c r="F2073" s="5" t="str">
        <x:v>nicht Pilot</x:v>
      </x:c>
      <x:c r="G2073" s="5" t="str">
        <x:v>HQ</x:v>
      </x:c>
    </x:row>
    <x:row r="2074" ht="36" customHeight="1">
      <x:c r="A2074" s="5" t="str">
        <x:v>L-0095</x:v>
      </x:c>
      <x:c r="B2074" s="5" t="str">
        <x:v>Logistik</x:v>
      </x:c>
      <x:c r="C2074" s="11" t="n">
        <x:v>1</x:v>
      </x:c>
      <x:c r="D2074" s="11" t="n">
        <x:f>COUNTIF('Einzel-ID-Zuordnung'!$A$7:$A$2692,A2074)</x:f>
        <x:v>1</x:v>
      </x:c>
      <x:c r="E2074" s="11" t="n">
        <x:f>D2074-C2074</x:f>
        <x:v>0</x:v>
      </x:c>
      <x:c r="F2074" s="5" t="str">
        <x:v>nicht Pilot</x:v>
      </x:c>
      <x:c r="G2074" s="5" t="str">
        <x:v>HQ</x:v>
      </x:c>
    </x:row>
    <x:row r="2075" ht="36" customHeight="1">
      <x:c r="A2075" s="5" t="str">
        <x:v>L-0096</x:v>
      </x:c>
      <x:c r="B2075" s="5" t="str">
        <x:v>Logistik</x:v>
      </x:c>
      <x:c r="C2075" s="11" t="n">
        <x:v>1</x:v>
      </x:c>
      <x:c r="D2075" s="11" t="n">
        <x:f>COUNTIF('Einzel-ID-Zuordnung'!$A$7:$A$2692,A2075)</x:f>
        <x:v>1</x:v>
      </x:c>
      <x:c r="E2075" s="11" t="n">
        <x:f>D2075-C2075</x:f>
        <x:v>0</x:v>
      </x:c>
      <x:c r="F2075" s="5" t="str">
        <x:v>nicht Pilot</x:v>
      </x:c>
      <x:c r="G2075" s="5" t="str">
        <x:v>HQ</x:v>
      </x:c>
    </x:row>
    <x:row r="2076" ht="36" customHeight="1">
      <x:c r="A2076" s="5" t="str">
        <x:v>L-0097</x:v>
      </x:c>
      <x:c r="B2076" s="5" t="str">
        <x:v>Logistik</x:v>
      </x:c>
      <x:c r="C2076" s="11" t="n">
        <x:v>1</x:v>
      </x:c>
      <x:c r="D2076" s="11" t="n">
        <x:f>COUNTIF('Einzel-ID-Zuordnung'!$A$7:$A$2692,A2076)</x:f>
        <x:v>1</x:v>
      </x:c>
      <x:c r="E2076" s="11" t="n">
        <x:f>D2076-C2076</x:f>
        <x:v>0</x:v>
      </x:c>
      <x:c r="F2076" s="5" t="str">
        <x:v>nicht Pilot</x:v>
      </x:c>
      <x:c r="G2076" s="5" t="str">
        <x:v>HQ</x:v>
      </x:c>
    </x:row>
    <x:row r="2077" ht="36" customHeight="1">
      <x:c r="A2077" s="5" t="str">
        <x:v>L-0098</x:v>
      </x:c>
      <x:c r="B2077" s="5" t="str">
        <x:v>Logistik</x:v>
      </x:c>
      <x:c r="C2077" s="11" t="n">
        <x:v>1</x:v>
      </x:c>
      <x:c r="D2077" s="11" t="n">
        <x:f>COUNTIF('Einzel-ID-Zuordnung'!$A$7:$A$2692,A2077)</x:f>
        <x:v>1</x:v>
      </x:c>
      <x:c r="E2077" s="11" t="n">
        <x:f>D2077-C2077</x:f>
        <x:v>0</x:v>
      </x:c>
      <x:c r="F2077" s="5" t="str">
        <x:v>nicht Pilot</x:v>
      </x:c>
      <x:c r="G2077" s="5" t="str">
        <x:v>HQ</x:v>
      </x:c>
    </x:row>
    <x:row r="2078" ht="36" customHeight="1">
      <x:c r="A2078" s="5" t="str">
        <x:v>L-0099</x:v>
      </x:c>
      <x:c r="B2078" s="5" t="str">
        <x:v>Logistik</x:v>
      </x:c>
      <x:c r="C2078" s="11" t="n">
        <x:v>1</x:v>
      </x:c>
      <x:c r="D2078" s="11" t="n">
        <x:f>COUNTIF('Einzel-ID-Zuordnung'!$A$7:$A$2692,A2078)</x:f>
        <x:v>1</x:v>
      </x:c>
      <x:c r="E2078" s="11" t="n">
        <x:f>D2078-C2078</x:f>
        <x:v>0</x:v>
      </x:c>
      <x:c r="F2078" s="5" t="str">
        <x:v>nicht Pilot</x:v>
      </x:c>
      <x:c r="G2078" s="5" t="str">
        <x:v>HQ</x:v>
      </x:c>
    </x:row>
    <x:row r="2079" ht="36" customHeight="1">
      <x:c r="A2079" s="5" t="str">
        <x:v>L-0100</x:v>
      </x:c>
      <x:c r="B2079" s="5" t="str">
        <x:v>Logistik</x:v>
      </x:c>
      <x:c r="C2079" s="11" t="n">
        <x:v>1</x:v>
      </x:c>
      <x:c r="D2079" s="11" t="n">
        <x:f>COUNTIF('Einzel-ID-Zuordnung'!$A$7:$A$2692,A2079)</x:f>
        <x:v>1</x:v>
      </x:c>
      <x:c r="E2079" s="11" t="n">
        <x:f>D2079-C2079</x:f>
        <x:v>0</x:v>
      </x:c>
      <x:c r="F2079" s="5" t="str">
        <x:v>nicht Pilot</x:v>
      </x:c>
      <x:c r="G2079" s="5" t="str">
        <x:v>HQ</x:v>
      </x:c>
    </x:row>
    <x:row r="2080" ht="36" customHeight="1">
      <x:c r="A2080" s="5" t="str">
        <x:v>L-0101</x:v>
      </x:c>
      <x:c r="B2080" s="5" t="str">
        <x:v>Logistik</x:v>
      </x:c>
      <x:c r="C2080" s="11" t="n">
        <x:v>1</x:v>
      </x:c>
      <x:c r="D2080" s="11" t="n">
        <x:f>COUNTIF('Einzel-ID-Zuordnung'!$A$7:$A$2692,A2080)</x:f>
        <x:v>1</x:v>
      </x:c>
      <x:c r="E2080" s="11" t="n">
        <x:f>D2080-C2080</x:f>
        <x:v>0</x:v>
      </x:c>
      <x:c r="F2080" s="5" t="str">
        <x:v>nicht Pilot</x:v>
      </x:c>
      <x:c r="G2080" s="5" t="str">
        <x:v>HQ</x:v>
      </x:c>
    </x:row>
    <x:row r="2081" ht="36" customHeight="1">
      <x:c r="A2081" s="5" t="str">
        <x:v>L-0102</x:v>
      </x:c>
      <x:c r="B2081" s="5" t="str">
        <x:v>Logistik</x:v>
      </x:c>
      <x:c r="C2081" s="11" t="n">
        <x:v>1</x:v>
      </x:c>
      <x:c r="D2081" s="11" t="n">
        <x:f>COUNTIF('Einzel-ID-Zuordnung'!$A$7:$A$2692,A2081)</x:f>
        <x:v>1</x:v>
      </x:c>
      <x:c r="E2081" s="11" t="n">
        <x:f>D2081-C2081</x:f>
        <x:v>0</x:v>
      </x:c>
      <x:c r="F2081" s="5" t="str">
        <x:v>nicht Pilot</x:v>
      </x:c>
      <x:c r="G2081" s="5" t="str">
        <x:v>HQ</x:v>
      </x:c>
    </x:row>
    <x:row r="2082" ht="36" customHeight="1">
      <x:c r="A2082" s="5" t="str">
        <x:v>L-0103</x:v>
      </x:c>
      <x:c r="B2082" s="5" t="str">
        <x:v>Logistik</x:v>
      </x:c>
      <x:c r="C2082" s="11" t="n">
        <x:v>1</x:v>
      </x:c>
      <x:c r="D2082" s="11" t="n">
        <x:f>COUNTIF('Einzel-ID-Zuordnung'!$A$7:$A$2692,A2082)</x:f>
        <x:v>1</x:v>
      </x:c>
      <x:c r="E2082" s="11" t="n">
        <x:f>D2082-C2082</x:f>
        <x:v>0</x:v>
      </x:c>
      <x:c r="F2082" s="5" t="str">
        <x:v>nicht Pilot</x:v>
      </x:c>
      <x:c r="G2082" s="5" t="str">
        <x:v>HQ</x:v>
      </x:c>
    </x:row>
    <x:row r="2083" ht="36" customHeight="1">
      <x:c r="A2083" s="5" t="str">
        <x:v>L-0104</x:v>
      </x:c>
      <x:c r="B2083" s="5" t="str">
        <x:v>Logistik</x:v>
      </x:c>
      <x:c r="C2083" s="11" t="n">
        <x:v>1</x:v>
      </x:c>
      <x:c r="D2083" s="11" t="n">
        <x:f>COUNTIF('Einzel-ID-Zuordnung'!$A$7:$A$2692,A2083)</x:f>
        <x:v>1</x:v>
      </x:c>
      <x:c r="E2083" s="11" t="n">
        <x:f>D2083-C2083</x:f>
        <x:v>0</x:v>
      </x:c>
      <x:c r="F2083" s="5" t="str">
        <x:v>nicht Pilot</x:v>
      </x:c>
      <x:c r="G2083" s="5" t="str">
        <x:v>HQ</x:v>
      </x:c>
    </x:row>
    <x:row r="2084" ht="36" customHeight="1">
      <x:c r="A2084" s="5" t="str">
        <x:v>L-0105</x:v>
      </x:c>
      <x:c r="B2084" s="5" t="str">
        <x:v>Logistik</x:v>
      </x:c>
      <x:c r="C2084" s="11" t="n">
        <x:v>1</x:v>
      </x:c>
      <x:c r="D2084" s="11" t="n">
        <x:f>COUNTIF('Einzel-ID-Zuordnung'!$A$7:$A$2692,A2084)</x:f>
        <x:v>1</x:v>
      </x:c>
      <x:c r="E2084" s="11" t="n">
        <x:f>D2084-C2084</x:f>
        <x:v>0</x:v>
      </x:c>
      <x:c r="F2084" s="5" t="str">
        <x:v>nicht Pilot</x:v>
      </x:c>
      <x:c r="G2084" s="5" t="str">
        <x:v>HQ</x:v>
      </x:c>
    </x:row>
    <x:row r="2085" ht="36" customHeight="1">
      <x:c r="A2085" s="5" t="str">
        <x:v>L-0106</x:v>
      </x:c>
      <x:c r="B2085" s="5" t="str">
        <x:v>Logistik</x:v>
      </x:c>
      <x:c r="C2085" s="11" t="n">
        <x:v>1</x:v>
      </x:c>
      <x:c r="D2085" s="11" t="n">
        <x:f>COUNTIF('Einzel-ID-Zuordnung'!$A$7:$A$2692,A2085)</x:f>
        <x:v>1</x:v>
      </x:c>
      <x:c r="E2085" s="11" t="n">
        <x:f>D2085-C2085</x:f>
        <x:v>0</x:v>
      </x:c>
      <x:c r="F2085" s="5" t="str">
        <x:v>nicht Pilot</x:v>
      </x:c>
      <x:c r="G2085" s="5" t="str">
        <x:v>HQ</x:v>
      </x:c>
    </x:row>
    <x:row r="2086" ht="36" customHeight="1">
      <x:c r="A2086" s="5" t="str">
        <x:v>L-0107</x:v>
      </x:c>
      <x:c r="B2086" s="5" t="str">
        <x:v>Logistik</x:v>
      </x:c>
      <x:c r="C2086" s="11" t="n">
        <x:v>1</x:v>
      </x:c>
      <x:c r="D2086" s="11" t="n">
        <x:f>COUNTIF('Einzel-ID-Zuordnung'!$A$7:$A$2692,A2086)</x:f>
        <x:v>1</x:v>
      </x:c>
      <x:c r="E2086" s="11" t="n">
        <x:f>D2086-C2086</x:f>
        <x:v>0</x:v>
      </x:c>
      <x:c r="F2086" s="5" t="str">
        <x:v>nicht Pilot</x:v>
      </x:c>
      <x:c r="G2086" s="5" t="str">
        <x:v>HQ</x:v>
      </x:c>
    </x:row>
    <x:row r="2087" ht="36" customHeight="1">
      <x:c r="A2087" s="5" t="str">
        <x:v>L-0108</x:v>
      </x:c>
      <x:c r="B2087" s="5" t="str">
        <x:v>Logistik</x:v>
      </x:c>
      <x:c r="C2087" s="11" t="n">
        <x:v>1</x:v>
      </x:c>
      <x:c r="D2087" s="11" t="n">
        <x:f>COUNTIF('Einzel-ID-Zuordnung'!$A$7:$A$2692,A2087)</x:f>
        <x:v>1</x:v>
      </x:c>
      <x:c r="E2087" s="11" t="n">
        <x:f>D2087-C2087</x:f>
        <x:v>0</x:v>
      </x:c>
      <x:c r="F2087" s="5" t="str">
        <x:v>nicht Pilot</x:v>
      </x:c>
      <x:c r="G2087" s="5" t="str">
        <x:v>HQ</x:v>
      </x:c>
    </x:row>
    <x:row r="2088" ht="36" customHeight="1">
      <x:c r="A2088" s="5" t="str">
        <x:v>L-0109</x:v>
      </x:c>
      <x:c r="B2088" s="5" t="str">
        <x:v>Logistik</x:v>
      </x:c>
      <x:c r="C2088" s="11" t="n">
        <x:v>1</x:v>
      </x:c>
      <x:c r="D2088" s="11" t="n">
        <x:f>COUNTIF('Einzel-ID-Zuordnung'!$A$7:$A$2692,A2088)</x:f>
        <x:v>1</x:v>
      </x:c>
      <x:c r="E2088" s="11" t="n">
        <x:f>D2088-C2088</x:f>
        <x:v>0</x:v>
      </x:c>
      <x:c r="F2088" s="5" t="str">
        <x:v>nicht Pilot</x:v>
      </x:c>
      <x:c r="G2088" s="5" t="str">
        <x:v>HQ</x:v>
      </x:c>
    </x:row>
    <x:row r="2089" ht="36" customHeight="1">
      <x:c r="A2089" s="5" t="str">
        <x:v>L-0110</x:v>
      </x:c>
      <x:c r="B2089" s="5" t="str">
        <x:v>Logistik</x:v>
      </x:c>
      <x:c r="C2089" s="11" t="n">
        <x:v>1</x:v>
      </x:c>
      <x:c r="D2089" s="11" t="n">
        <x:f>COUNTIF('Einzel-ID-Zuordnung'!$A$7:$A$2692,A2089)</x:f>
        <x:v>1</x:v>
      </x:c>
      <x:c r="E2089" s="11" t="n">
        <x:f>D2089-C2089</x:f>
        <x:v>0</x:v>
      </x:c>
      <x:c r="F2089" s="5" t="str">
        <x:v>nicht Pilot</x:v>
      </x:c>
      <x:c r="G2089" s="5" t="str">
        <x:v>HQ</x:v>
      </x:c>
    </x:row>
    <x:row r="2090" ht="36" customHeight="1">
      <x:c r="A2090" s="5" t="str">
        <x:v>L-0111</x:v>
      </x:c>
      <x:c r="B2090" s="5" t="str">
        <x:v>Logistik</x:v>
      </x:c>
      <x:c r="C2090" s="11" t="n">
        <x:v>1</x:v>
      </x:c>
      <x:c r="D2090" s="11" t="n">
        <x:f>COUNTIF('Einzel-ID-Zuordnung'!$A$7:$A$2692,A2090)</x:f>
        <x:v>1</x:v>
      </x:c>
      <x:c r="E2090" s="11" t="n">
        <x:f>D2090-C2090</x:f>
        <x:v>0</x:v>
      </x:c>
      <x:c r="F2090" s="5" t="str">
        <x:v>nicht Pilot</x:v>
      </x:c>
      <x:c r="G2090" s="5" t="str">
        <x:v>HQ</x:v>
      </x:c>
    </x:row>
    <x:row r="2091" ht="36" customHeight="1">
      <x:c r="A2091" s="5" t="str">
        <x:v>L-0112</x:v>
      </x:c>
      <x:c r="B2091" s="5" t="str">
        <x:v>Logistik</x:v>
      </x:c>
      <x:c r="C2091" s="11" t="n">
        <x:v>1</x:v>
      </x:c>
      <x:c r="D2091" s="11" t="n">
        <x:f>COUNTIF('Einzel-ID-Zuordnung'!$A$7:$A$2692,A2091)</x:f>
        <x:v>1</x:v>
      </x:c>
      <x:c r="E2091" s="11" t="n">
        <x:f>D2091-C2091</x:f>
        <x:v>0</x:v>
      </x:c>
      <x:c r="F2091" s="5" t="str">
        <x:v>nicht Pilot</x:v>
      </x:c>
      <x:c r="G2091" s="5" t="str">
        <x:v>HQ</x:v>
      </x:c>
    </x:row>
    <x:row r="2092" ht="36" customHeight="1">
      <x:c r="A2092" s="5" t="str">
        <x:v>L-0113</x:v>
      </x:c>
      <x:c r="B2092" s="5" t="str">
        <x:v>Logistik</x:v>
      </x:c>
      <x:c r="C2092" s="11" t="n">
        <x:v>1</x:v>
      </x:c>
      <x:c r="D2092" s="11" t="n">
        <x:f>COUNTIF('Einzel-ID-Zuordnung'!$A$7:$A$2692,A2092)</x:f>
        <x:v>1</x:v>
      </x:c>
      <x:c r="E2092" s="11" t="n">
        <x:f>D2092-C2092</x:f>
        <x:v>0</x:v>
      </x:c>
      <x:c r="F2092" s="5" t="str">
        <x:v>nicht Pilot</x:v>
      </x:c>
      <x:c r="G2092" s="5" t="str">
        <x:v>HQ</x:v>
      </x:c>
    </x:row>
    <x:row r="2093" ht="36" customHeight="1">
      <x:c r="A2093" s="5" t="str">
        <x:v>L-0114</x:v>
      </x:c>
      <x:c r="B2093" s="5" t="str">
        <x:v>Logistik</x:v>
      </x:c>
      <x:c r="C2093" s="11" t="n">
        <x:v>1</x:v>
      </x:c>
      <x:c r="D2093" s="11" t="n">
        <x:f>COUNTIF('Einzel-ID-Zuordnung'!$A$7:$A$2692,A2093)</x:f>
        <x:v>1</x:v>
      </x:c>
      <x:c r="E2093" s="11" t="n">
        <x:f>D2093-C2093</x:f>
        <x:v>0</x:v>
      </x:c>
      <x:c r="F2093" s="5" t="str">
        <x:v>nicht Pilot</x:v>
      </x:c>
      <x:c r="G2093" s="5" t="str">
        <x:v>HQ</x:v>
      </x:c>
    </x:row>
    <x:row r="2094" ht="36" customHeight="1">
      <x:c r="A2094" s="5" t="str">
        <x:v>L-0115</x:v>
      </x:c>
      <x:c r="B2094" s="5" t="str">
        <x:v>Logistik</x:v>
      </x:c>
      <x:c r="C2094" s="11" t="n">
        <x:v>1</x:v>
      </x:c>
      <x:c r="D2094" s="11" t="n">
        <x:f>COUNTIF('Einzel-ID-Zuordnung'!$A$7:$A$2692,A2094)</x:f>
        <x:v>1</x:v>
      </x:c>
      <x:c r="E2094" s="11" t="n">
        <x:f>D2094-C2094</x:f>
        <x:v>0</x:v>
      </x:c>
      <x:c r="F2094" s="5" t="str">
        <x:v>nicht Pilot</x:v>
      </x:c>
      <x:c r="G2094" s="5" t="str">
        <x:v>HQ</x:v>
      </x:c>
    </x:row>
    <x:row r="2095" ht="36" customHeight="1">
      <x:c r="A2095" s="5" t="str">
        <x:v>L-0116</x:v>
      </x:c>
      <x:c r="B2095" s="5" t="str">
        <x:v>Logistik</x:v>
      </x:c>
      <x:c r="C2095" s="11" t="n">
        <x:v>1</x:v>
      </x:c>
      <x:c r="D2095" s="11" t="n">
        <x:f>COUNTIF('Einzel-ID-Zuordnung'!$A$7:$A$2692,A2095)</x:f>
        <x:v>1</x:v>
      </x:c>
      <x:c r="E2095" s="11" t="n">
        <x:f>D2095-C2095</x:f>
        <x:v>0</x:v>
      </x:c>
      <x:c r="F2095" s="5" t="str">
        <x:v>nicht Pilot</x:v>
      </x:c>
      <x:c r="G2095" s="5" t="str">
        <x:v>HQ</x:v>
      </x:c>
    </x:row>
    <x:row r="2096" ht="36" customHeight="1">
      <x:c r="A2096" s="5" t="str">
        <x:v>L-0117</x:v>
      </x:c>
      <x:c r="B2096" s="5" t="str">
        <x:v>Logistik</x:v>
      </x:c>
      <x:c r="C2096" s="11" t="n">
        <x:v>1</x:v>
      </x:c>
      <x:c r="D2096" s="11" t="n">
        <x:f>COUNTIF('Einzel-ID-Zuordnung'!$A$7:$A$2692,A2096)</x:f>
        <x:v>1</x:v>
      </x:c>
      <x:c r="E2096" s="11" t="n">
        <x:f>D2096-C2096</x:f>
        <x:v>0</x:v>
      </x:c>
      <x:c r="F2096" s="5" t="str">
        <x:v>nicht Pilot</x:v>
      </x:c>
      <x:c r="G2096" s="5" t="str">
        <x:v>HQ</x:v>
      </x:c>
    </x:row>
    <x:row r="2097" ht="36" customHeight="1">
      <x:c r="A2097" s="5" t="str">
        <x:v>L-0118</x:v>
      </x:c>
      <x:c r="B2097" s="5" t="str">
        <x:v>Logistik</x:v>
      </x:c>
      <x:c r="C2097" s="11" t="n">
        <x:v>1</x:v>
      </x:c>
      <x:c r="D2097" s="11" t="n">
        <x:f>COUNTIF('Einzel-ID-Zuordnung'!$A$7:$A$2692,A2097)</x:f>
        <x:v>1</x:v>
      </x:c>
      <x:c r="E2097" s="11" t="n">
        <x:f>D2097-C2097</x:f>
        <x:v>0</x:v>
      </x:c>
      <x:c r="F2097" s="5" t="str">
        <x:v>nicht Pilot</x:v>
      </x:c>
      <x:c r="G2097" s="5" t="str">
        <x:v>HQ</x:v>
      </x:c>
    </x:row>
    <x:row r="2098" ht="36" customHeight="1">
      <x:c r="A2098" s="5" t="str">
        <x:v>L-0119</x:v>
      </x:c>
      <x:c r="B2098" s="5" t="str">
        <x:v>Logistik</x:v>
      </x:c>
      <x:c r="C2098" s="11" t="n">
        <x:v>1</x:v>
      </x:c>
      <x:c r="D2098" s="11" t="n">
        <x:f>COUNTIF('Einzel-ID-Zuordnung'!$A$7:$A$2692,A2098)</x:f>
        <x:v>1</x:v>
      </x:c>
      <x:c r="E2098" s="11" t="n">
        <x:f>D2098-C2098</x:f>
        <x:v>0</x:v>
      </x:c>
      <x:c r="F2098" s="5" t="str">
        <x:v>nicht Pilot</x:v>
      </x:c>
      <x:c r="G2098" s="5" t="str">
        <x:v>HQ</x:v>
      </x:c>
    </x:row>
    <x:row r="2099" ht="36" customHeight="1">
      <x:c r="A2099" s="5" t="str">
        <x:v>L-0120</x:v>
      </x:c>
      <x:c r="B2099" s="5" t="str">
        <x:v>Logistik</x:v>
      </x:c>
      <x:c r="C2099" s="11" t="n">
        <x:v>1</x:v>
      </x:c>
      <x:c r="D2099" s="11" t="n">
        <x:f>COUNTIF('Einzel-ID-Zuordnung'!$A$7:$A$2692,A2099)</x:f>
        <x:v>1</x:v>
      </x:c>
      <x:c r="E2099" s="11" t="n">
        <x:f>D2099-C2099</x:f>
        <x:v>0</x:v>
      </x:c>
      <x:c r="F2099" s="5" t="str">
        <x:v>nicht Pilot</x:v>
      </x:c>
      <x:c r="G2099" s="5" t="str">
        <x:v>HQ</x:v>
      </x:c>
    </x:row>
    <x:row r="2100" ht="36" customHeight="1">
      <x:c r="A2100" s="5" t="str">
        <x:v>L-0121</x:v>
      </x:c>
      <x:c r="B2100" s="5" t="str">
        <x:v>Logistik</x:v>
      </x:c>
      <x:c r="C2100" s="11" t="n">
        <x:v>1</x:v>
      </x:c>
      <x:c r="D2100" s="11" t="n">
        <x:f>COUNTIF('Einzel-ID-Zuordnung'!$A$7:$A$2692,A2100)</x:f>
        <x:v>1</x:v>
      </x:c>
      <x:c r="E2100" s="11" t="n">
        <x:f>D2100-C2100</x:f>
        <x:v>0</x:v>
      </x:c>
      <x:c r="F2100" s="5" t="str">
        <x:v>nicht Pilot</x:v>
      </x:c>
      <x:c r="G2100" s="5" t="str">
        <x:v>HQ</x:v>
      </x:c>
    </x:row>
    <x:row r="2101" ht="36" customHeight="1">
      <x:c r="A2101" s="5" t="str">
        <x:v>L-0122</x:v>
      </x:c>
      <x:c r="B2101" s="5" t="str">
        <x:v>Logistik</x:v>
      </x:c>
      <x:c r="C2101" s="11" t="n">
        <x:v>1</x:v>
      </x:c>
      <x:c r="D2101" s="11" t="n">
        <x:f>COUNTIF('Einzel-ID-Zuordnung'!$A$7:$A$2692,A2101)</x:f>
        <x:v>1</x:v>
      </x:c>
      <x:c r="E2101" s="11" t="n">
        <x:f>D2101-C2101</x:f>
        <x:v>0</x:v>
      </x:c>
      <x:c r="F2101" s="5" t="str">
        <x:v>nicht Pilot</x:v>
      </x:c>
      <x:c r="G2101" s="5" t="str">
        <x:v>HQ</x:v>
      </x:c>
    </x:row>
    <x:row r="2102" ht="36" customHeight="1">
      <x:c r="A2102" s="5" t="str">
        <x:v>L-0123</x:v>
      </x:c>
      <x:c r="B2102" s="5" t="str">
        <x:v>Logistik</x:v>
      </x:c>
      <x:c r="C2102" s="11" t="n">
        <x:v>1</x:v>
      </x:c>
      <x:c r="D2102" s="11" t="n">
        <x:f>COUNTIF('Einzel-ID-Zuordnung'!$A$7:$A$2692,A2102)</x:f>
        <x:v>1</x:v>
      </x:c>
      <x:c r="E2102" s="11" t="n">
        <x:f>D2102-C2102</x:f>
        <x:v>0</x:v>
      </x:c>
      <x:c r="F2102" s="5" t="str">
        <x:v>nicht Pilot</x:v>
      </x:c>
      <x:c r="G2102" s="5" t="str">
        <x:v>HQ</x:v>
      </x:c>
    </x:row>
    <x:row r="2103" ht="36" customHeight="1">
      <x:c r="A2103" s="5" t="str">
        <x:v>L-0124</x:v>
      </x:c>
      <x:c r="B2103" s="5" t="str">
        <x:v>Logistik</x:v>
      </x:c>
      <x:c r="C2103" s="11" t="n">
        <x:v>1</x:v>
      </x:c>
      <x:c r="D2103" s="11" t="n">
        <x:f>COUNTIF('Einzel-ID-Zuordnung'!$A$7:$A$2692,A2103)</x:f>
        <x:v>1</x:v>
      </x:c>
      <x:c r="E2103" s="11" t="n">
        <x:f>D2103-C2103</x:f>
        <x:v>0</x:v>
      </x:c>
      <x:c r="F2103" s="5" t="str">
        <x:v>nicht Pilot</x:v>
      </x:c>
      <x:c r="G2103" s="5" t="str">
        <x:v>HQ</x:v>
      </x:c>
    </x:row>
    <x:row r="2104" ht="36" customHeight="1">
      <x:c r="A2104" s="5" t="str">
        <x:v>L-0125</x:v>
      </x:c>
      <x:c r="B2104" s="5" t="str">
        <x:v>Logistik</x:v>
      </x:c>
      <x:c r="C2104" s="11" t="n">
        <x:v>1</x:v>
      </x:c>
      <x:c r="D2104" s="11" t="n">
        <x:f>COUNTIF('Einzel-ID-Zuordnung'!$A$7:$A$2692,A2104)</x:f>
        <x:v>1</x:v>
      </x:c>
      <x:c r="E2104" s="11" t="n">
        <x:f>D2104-C2104</x:f>
        <x:v>0</x:v>
      </x:c>
      <x:c r="F2104" s="5" t="str">
        <x:v>nicht Pilot</x:v>
      </x:c>
      <x:c r="G2104" s="5" t="str">
        <x:v>HQ</x:v>
      </x:c>
    </x:row>
    <x:row r="2105" ht="36" customHeight="1">
      <x:c r="A2105" s="5" t="str">
        <x:v>L-0126</x:v>
      </x:c>
      <x:c r="B2105" s="5" t="str">
        <x:v>Logistik</x:v>
      </x:c>
      <x:c r="C2105" s="11" t="n">
        <x:v>1</x:v>
      </x:c>
      <x:c r="D2105" s="11" t="n">
        <x:f>COUNTIF('Einzel-ID-Zuordnung'!$A$7:$A$2692,A2105)</x:f>
        <x:v>1</x:v>
      </x:c>
      <x:c r="E2105" s="11" t="n">
        <x:f>D2105-C2105</x:f>
        <x:v>0</x:v>
      </x:c>
      <x:c r="F2105" s="5" t="str">
        <x:v>nicht Pilot</x:v>
      </x:c>
      <x:c r="G2105" s="5" t="str">
        <x:v>HQ</x:v>
      </x:c>
    </x:row>
    <x:row r="2106" ht="36" customHeight="1">
      <x:c r="A2106" s="5" t="str">
        <x:v>L-0127</x:v>
      </x:c>
      <x:c r="B2106" s="5" t="str">
        <x:v>Logistik</x:v>
      </x:c>
      <x:c r="C2106" s="11" t="n">
        <x:v>1</x:v>
      </x:c>
      <x:c r="D2106" s="11" t="n">
        <x:f>COUNTIF('Einzel-ID-Zuordnung'!$A$7:$A$2692,A2106)</x:f>
        <x:v>1</x:v>
      </x:c>
      <x:c r="E2106" s="11" t="n">
        <x:f>D2106-C2106</x:f>
        <x:v>0</x:v>
      </x:c>
      <x:c r="F2106" s="5" t="str">
        <x:v>nicht Pilot</x:v>
      </x:c>
      <x:c r="G2106" s="5" t="str">
        <x:v>HQ</x:v>
      </x:c>
    </x:row>
    <x:row r="2107" ht="36" customHeight="1">
      <x:c r="A2107" s="5" t="str">
        <x:v>L-0128</x:v>
      </x:c>
      <x:c r="B2107" s="5" t="str">
        <x:v>Logistik</x:v>
      </x:c>
      <x:c r="C2107" s="11" t="n">
        <x:v>1</x:v>
      </x:c>
      <x:c r="D2107" s="11" t="n">
        <x:f>COUNTIF('Einzel-ID-Zuordnung'!$A$7:$A$2692,A2107)</x:f>
        <x:v>1</x:v>
      </x:c>
      <x:c r="E2107" s="11" t="n">
        <x:f>D2107-C2107</x:f>
        <x:v>0</x:v>
      </x:c>
      <x:c r="F2107" s="5" t="str">
        <x:v>nicht Pilot</x:v>
      </x:c>
      <x:c r="G2107" s="5" t="str">
        <x:v>HQ</x:v>
      </x:c>
    </x:row>
    <x:row r="2108" ht="36" customHeight="1">
      <x:c r="A2108" s="5" t="str">
        <x:v>L-0129</x:v>
      </x:c>
      <x:c r="B2108" s="5" t="str">
        <x:v>Logistik</x:v>
      </x:c>
      <x:c r="C2108" s="11" t="n">
        <x:v>1</x:v>
      </x:c>
      <x:c r="D2108" s="11" t="n">
        <x:f>COUNTIF('Einzel-ID-Zuordnung'!$A$7:$A$2692,A2108)</x:f>
        <x:v>1</x:v>
      </x:c>
      <x:c r="E2108" s="11" t="n">
        <x:f>D2108-C2108</x:f>
        <x:v>0</x:v>
      </x:c>
      <x:c r="F2108" s="5" t="str">
        <x:v>nicht Pilot</x:v>
      </x:c>
      <x:c r="G2108" s="5" t="str">
        <x:v>HQ</x:v>
      </x:c>
    </x:row>
    <x:row r="2109" ht="36" customHeight="1">
      <x:c r="A2109" s="5" t="str">
        <x:v>L-0130</x:v>
      </x:c>
      <x:c r="B2109" s="5" t="str">
        <x:v>Logistik</x:v>
      </x:c>
      <x:c r="C2109" s="11" t="n">
        <x:v>1</x:v>
      </x:c>
      <x:c r="D2109" s="11" t="n">
        <x:f>COUNTIF('Einzel-ID-Zuordnung'!$A$7:$A$2692,A2109)</x:f>
        <x:v>1</x:v>
      </x:c>
      <x:c r="E2109" s="11" t="n">
        <x:f>D2109-C2109</x:f>
        <x:v>0</x:v>
      </x:c>
      <x:c r="F2109" s="5" t="str">
        <x:v>nicht Pilot</x:v>
      </x:c>
      <x:c r="G2109" s="5" t="str">
        <x:v>HQ</x:v>
      </x:c>
    </x:row>
    <x:row r="2110" ht="36" customHeight="1">
      <x:c r="A2110" s="5" t="str">
        <x:v>L-0131</x:v>
      </x:c>
      <x:c r="B2110" s="5" t="str">
        <x:v>Logistik</x:v>
      </x:c>
      <x:c r="C2110" s="11" t="n">
        <x:v>1</x:v>
      </x:c>
      <x:c r="D2110" s="11" t="n">
        <x:f>COUNTIF('Einzel-ID-Zuordnung'!$A$7:$A$2692,A2110)</x:f>
        <x:v>1</x:v>
      </x:c>
      <x:c r="E2110" s="11" t="n">
        <x:f>D2110-C2110</x:f>
        <x:v>0</x:v>
      </x:c>
      <x:c r="F2110" s="5" t="str">
        <x:v>nicht Pilot</x:v>
      </x:c>
      <x:c r="G2110" s="5" t="str">
        <x:v>HQ</x:v>
      </x:c>
    </x:row>
    <x:row r="2111" ht="36" customHeight="1">
      <x:c r="A2111" s="5" t="str">
        <x:v>L-0132</x:v>
      </x:c>
      <x:c r="B2111" s="5" t="str">
        <x:v>Logistik</x:v>
      </x:c>
      <x:c r="C2111" s="11" t="n">
        <x:v>1</x:v>
      </x:c>
      <x:c r="D2111" s="11" t="n">
        <x:f>COUNTIF('Einzel-ID-Zuordnung'!$A$7:$A$2692,A2111)</x:f>
        <x:v>1</x:v>
      </x:c>
      <x:c r="E2111" s="11" t="n">
        <x:f>D2111-C2111</x:f>
        <x:v>0</x:v>
      </x:c>
      <x:c r="F2111" s="5" t="str">
        <x:v>nicht Pilot</x:v>
      </x:c>
      <x:c r="G2111" s="5" t="str">
        <x:v>HQ</x:v>
      </x:c>
    </x:row>
    <x:row r="2112" ht="36" customHeight="1">
      <x:c r="A2112" s="5" t="str">
        <x:v>L-0133</x:v>
      </x:c>
      <x:c r="B2112" s="5" t="str">
        <x:v>Logistik</x:v>
      </x:c>
      <x:c r="C2112" s="11" t="n">
        <x:v>1</x:v>
      </x:c>
      <x:c r="D2112" s="11" t="n">
        <x:f>COUNTIF('Einzel-ID-Zuordnung'!$A$7:$A$2692,A2112)</x:f>
        <x:v>1</x:v>
      </x:c>
      <x:c r="E2112" s="11" t="n">
        <x:f>D2112-C2112</x:f>
        <x:v>0</x:v>
      </x:c>
      <x:c r="F2112" s="5" t="str">
        <x:v>nicht Pilot</x:v>
      </x:c>
      <x:c r="G2112" s="5" t="str">
        <x:v>HQ</x:v>
      </x:c>
    </x:row>
    <x:row r="2113" ht="36" customHeight="1">
      <x:c r="A2113" s="5" t="str">
        <x:v>L-0134</x:v>
      </x:c>
      <x:c r="B2113" s="5" t="str">
        <x:v>Logistik</x:v>
      </x:c>
      <x:c r="C2113" s="11" t="n">
        <x:v>1</x:v>
      </x:c>
      <x:c r="D2113" s="11" t="n">
        <x:f>COUNTIF('Einzel-ID-Zuordnung'!$A$7:$A$2692,A2113)</x:f>
        <x:v>1</x:v>
      </x:c>
      <x:c r="E2113" s="11" t="n">
        <x:f>D2113-C2113</x:f>
        <x:v>0</x:v>
      </x:c>
      <x:c r="F2113" s="5" t="str">
        <x:v>nicht Pilot</x:v>
      </x:c>
      <x:c r="G2113" s="5" t="str">
        <x:v>HQ</x:v>
      </x:c>
    </x:row>
    <x:row r="2114" ht="36" customHeight="1">
      <x:c r="A2114" s="5" t="str">
        <x:v>L-0135</x:v>
      </x:c>
      <x:c r="B2114" s="5" t="str">
        <x:v>Logistik</x:v>
      </x:c>
      <x:c r="C2114" s="11" t="n">
        <x:v>1</x:v>
      </x:c>
      <x:c r="D2114" s="11" t="n">
        <x:f>COUNTIF('Einzel-ID-Zuordnung'!$A$7:$A$2692,A2114)</x:f>
        <x:v>1</x:v>
      </x:c>
      <x:c r="E2114" s="11" t="n">
        <x:f>D2114-C2114</x:f>
        <x:v>0</x:v>
      </x:c>
      <x:c r="F2114" s="5" t="str">
        <x:v>nicht Pilot</x:v>
      </x:c>
      <x:c r="G2114" s="5" t="str">
        <x:v>HQ</x:v>
      </x:c>
    </x:row>
    <x:row r="2115" ht="36" customHeight="1">
      <x:c r="A2115" s="5" t="str">
        <x:v>L-0136</x:v>
      </x:c>
      <x:c r="B2115" s="5" t="str">
        <x:v>Logistik</x:v>
      </x:c>
      <x:c r="C2115" s="11" t="n">
        <x:v>1</x:v>
      </x:c>
      <x:c r="D2115" s="11" t="n">
        <x:f>COUNTIF('Einzel-ID-Zuordnung'!$A$7:$A$2692,A2115)</x:f>
        <x:v>1</x:v>
      </x:c>
      <x:c r="E2115" s="11" t="n">
        <x:f>D2115-C2115</x:f>
        <x:v>0</x:v>
      </x:c>
      <x:c r="F2115" s="5" t="str">
        <x:v>nicht Pilot</x:v>
      </x:c>
      <x:c r="G2115" s="5" t="str">
        <x:v>HQ</x:v>
      </x:c>
    </x:row>
    <x:row r="2116" ht="36" customHeight="1">
      <x:c r="A2116" s="5" t="str">
        <x:v>L-0137</x:v>
      </x:c>
      <x:c r="B2116" s="5" t="str">
        <x:v>Logistik</x:v>
      </x:c>
      <x:c r="C2116" s="11" t="n">
        <x:v>1</x:v>
      </x:c>
      <x:c r="D2116" s="11" t="n">
        <x:f>COUNTIF('Einzel-ID-Zuordnung'!$A$7:$A$2692,A2116)</x:f>
        <x:v>1</x:v>
      </x:c>
      <x:c r="E2116" s="11" t="n">
        <x:f>D2116-C2116</x:f>
        <x:v>0</x:v>
      </x:c>
      <x:c r="F2116" s="5" t="str">
        <x:v>nicht Pilot</x:v>
      </x:c>
      <x:c r="G2116" s="5" t="str">
        <x:v>HQ</x:v>
      </x:c>
    </x:row>
    <x:row r="2117" ht="36" customHeight="1">
      <x:c r="A2117" s="5" t="str">
        <x:v>L-0138</x:v>
      </x:c>
      <x:c r="B2117" s="5" t="str">
        <x:v>Logistik</x:v>
      </x:c>
      <x:c r="C2117" s="11" t="n">
        <x:v>1</x:v>
      </x:c>
      <x:c r="D2117" s="11" t="n">
        <x:f>COUNTIF('Einzel-ID-Zuordnung'!$A$7:$A$2692,A2117)</x:f>
        <x:v>1</x:v>
      </x:c>
      <x:c r="E2117" s="11" t="n">
        <x:f>D2117-C2117</x:f>
        <x:v>0</x:v>
      </x:c>
      <x:c r="F2117" s="5" t="str">
        <x:v>nicht Pilot</x:v>
      </x:c>
      <x:c r="G2117" s="5" t="str">
        <x:v>HQ</x:v>
      </x:c>
    </x:row>
    <x:row r="2118" ht="36" customHeight="1">
      <x:c r="A2118" s="5" t="str">
        <x:v>L-0139</x:v>
      </x:c>
      <x:c r="B2118" s="5" t="str">
        <x:v>Logistik</x:v>
      </x:c>
      <x:c r="C2118" s="11" t="n">
        <x:v>1</x:v>
      </x:c>
      <x:c r="D2118" s="11" t="n">
        <x:f>COUNTIF('Einzel-ID-Zuordnung'!$A$7:$A$2692,A2118)</x:f>
        <x:v>1</x:v>
      </x:c>
      <x:c r="E2118" s="11" t="n">
        <x:f>D2118-C2118</x:f>
        <x:v>0</x:v>
      </x:c>
      <x:c r="F2118" s="5" t="str">
        <x:v>nicht Pilot</x:v>
      </x:c>
      <x:c r="G2118" s="5" t="str">
        <x:v>HQ</x:v>
      </x:c>
    </x:row>
    <x:row r="2119" ht="36" customHeight="1">
      <x:c r="A2119" s="5" t="str">
        <x:v>L-0140</x:v>
      </x:c>
      <x:c r="B2119" s="5" t="str">
        <x:v>Logistik</x:v>
      </x:c>
      <x:c r="C2119" s="11" t="n">
        <x:v>1</x:v>
      </x:c>
      <x:c r="D2119" s="11" t="n">
        <x:f>COUNTIF('Einzel-ID-Zuordnung'!$A$7:$A$2692,A2119)</x:f>
        <x:v>1</x:v>
      </x:c>
      <x:c r="E2119" s="11" t="n">
        <x:f>D2119-C2119</x:f>
        <x:v>0</x:v>
      </x:c>
      <x:c r="F2119" s="5" t="str">
        <x:v>nicht Pilot</x:v>
      </x:c>
      <x:c r="G2119" s="5" t="str">
        <x:v>HQ</x:v>
      </x:c>
    </x:row>
    <x:row r="2120" ht="36" customHeight="1">
      <x:c r="A2120" s="5" t="str">
        <x:v>L-0141</x:v>
      </x:c>
      <x:c r="B2120" s="5" t="str">
        <x:v>Logistik</x:v>
      </x:c>
      <x:c r="C2120" s="11" t="n">
        <x:v>1</x:v>
      </x:c>
      <x:c r="D2120" s="11" t="n">
        <x:f>COUNTIF('Einzel-ID-Zuordnung'!$A$7:$A$2692,A2120)</x:f>
        <x:v>1</x:v>
      </x:c>
      <x:c r="E2120" s="11" t="n">
        <x:f>D2120-C2120</x:f>
        <x:v>0</x:v>
      </x:c>
      <x:c r="F2120" s="5" t="str">
        <x:v>nicht Pilot</x:v>
      </x:c>
      <x:c r="G2120" s="5" t="str">
        <x:v>HQ</x:v>
      </x:c>
    </x:row>
    <x:row r="2121" ht="36" customHeight="1">
      <x:c r="A2121" s="5" t="str">
        <x:v>L-0142</x:v>
      </x:c>
      <x:c r="B2121" s="5" t="str">
        <x:v>Logistik</x:v>
      </x:c>
      <x:c r="C2121" s="11" t="n">
        <x:v>1</x:v>
      </x:c>
      <x:c r="D2121" s="11" t="n">
        <x:f>COUNTIF('Einzel-ID-Zuordnung'!$A$7:$A$2692,A2121)</x:f>
        <x:v>1</x:v>
      </x:c>
      <x:c r="E2121" s="11" t="n">
        <x:f>D2121-C2121</x:f>
        <x:v>0</x:v>
      </x:c>
      <x:c r="F2121" s="5" t="str">
        <x:v>nicht Pilot</x:v>
      </x:c>
      <x:c r="G2121" s="5" t="str">
        <x:v>HQ</x:v>
      </x:c>
    </x:row>
    <x:row r="2122" ht="36" customHeight="1">
      <x:c r="A2122" s="5" t="str">
        <x:v>L-0143</x:v>
      </x:c>
      <x:c r="B2122" s="5" t="str">
        <x:v>Logistik</x:v>
      </x:c>
      <x:c r="C2122" s="11" t="n">
        <x:v>1</x:v>
      </x:c>
      <x:c r="D2122" s="11" t="n">
        <x:f>COUNTIF('Einzel-ID-Zuordnung'!$A$7:$A$2692,A2122)</x:f>
        <x:v>1</x:v>
      </x:c>
      <x:c r="E2122" s="11" t="n">
        <x:f>D2122-C2122</x:f>
        <x:v>0</x:v>
      </x:c>
      <x:c r="F2122" s="5" t="str">
        <x:v>nicht Pilot</x:v>
      </x:c>
      <x:c r="G2122" s="5" t="str">
        <x:v>HQ</x:v>
      </x:c>
    </x:row>
    <x:row r="2123" ht="36" customHeight="1">
      <x:c r="A2123" s="5" t="str">
        <x:v>L-0144</x:v>
      </x:c>
      <x:c r="B2123" s="5" t="str">
        <x:v>Logistik</x:v>
      </x:c>
      <x:c r="C2123" s="11" t="n">
        <x:v>1</x:v>
      </x:c>
      <x:c r="D2123" s="11" t="n">
        <x:f>COUNTIF('Einzel-ID-Zuordnung'!$A$7:$A$2692,A2123)</x:f>
        <x:v>1</x:v>
      </x:c>
      <x:c r="E2123" s="11" t="n">
        <x:f>D2123-C2123</x:f>
        <x:v>0</x:v>
      </x:c>
      <x:c r="F2123" s="5" t="str">
        <x:v>nicht Pilot</x:v>
      </x:c>
      <x:c r="G2123" s="5" t="str">
        <x:v>HQ</x:v>
      </x:c>
    </x:row>
    <x:row r="2124" ht="36" customHeight="1">
      <x:c r="A2124" s="5" t="str">
        <x:v>L-0145</x:v>
      </x:c>
      <x:c r="B2124" s="5" t="str">
        <x:v>Logistik</x:v>
      </x:c>
      <x:c r="C2124" s="11" t="n">
        <x:v>1</x:v>
      </x:c>
      <x:c r="D2124" s="11" t="n">
        <x:f>COUNTIF('Einzel-ID-Zuordnung'!$A$7:$A$2692,A2124)</x:f>
        <x:v>1</x:v>
      </x:c>
      <x:c r="E2124" s="11" t="n">
        <x:f>D2124-C2124</x:f>
        <x:v>0</x:v>
      </x:c>
      <x:c r="F2124" s="5" t="str">
        <x:v>nicht Pilot</x:v>
      </x:c>
      <x:c r="G2124" s="5" t="str">
        <x:v>HQ</x:v>
      </x:c>
    </x:row>
    <x:row r="2125" ht="36" customHeight="1">
      <x:c r="A2125" s="5" t="str">
        <x:v>L-0146</x:v>
      </x:c>
      <x:c r="B2125" s="5" t="str">
        <x:v>Logistik</x:v>
      </x:c>
      <x:c r="C2125" s="11" t="n">
        <x:v>1</x:v>
      </x:c>
      <x:c r="D2125" s="11" t="n">
        <x:f>COUNTIF('Einzel-ID-Zuordnung'!$A$7:$A$2692,A2125)</x:f>
        <x:v>1</x:v>
      </x:c>
      <x:c r="E2125" s="11" t="n">
        <x:f>D2125-C2125</x:f>
        <x:v>0</x:v>
      </x:c>
      <x:c r="F2125" s="5" t="str">
        <x:v>nicht Pilot</x:v>
      </x:c>
      <x:c r="G2125" s="5" t="str">
        <x:v>HQ</x:v>
      </x:c>
    </x:row>
    <x:row r="2126" ht="36" customHeight="1">
      <x:c r="A2126" s="5" t="str">
        <x:v>L-0147</x:v>
      </x:c>
      <x:c r="B2126" s="5" t="str">
        <x:v>Logistik</x:v>
      </x:c>
      <x:c r="C2126" s="11" t="n">
        <x:v>1</x:v>
      </x:c>
      <x:c r="D2126" s="11" t="n">
        <x:f>COUNTIF('Einzel-ID-Zuordnung'!$A$7:$A$2692,A2126)</x:f>
        <x:v>1</x:v>
      </x:c>
      <x:c r="E2126" s="11" t="n">
        <x:f>D2126-C2126</x:f>
        <x:v>0</x:v>
      </x:c>
      <x:c r="F2126" s="5" t="str">
        <x:v>nicht Pilot</x:v>
      </x:c>
      <x:c r="G2126" s="5" t="str">
        <x:v>HQ</x:v>
      </x:c>
    </x:row>
    <x:row r="2127" ht="36" customHeight="1">
      <x:c r="A2127" s="5" t="str">
        <x:v>L-0148</x:v>
      </x:c>
      <x:c r="B2127" s="5" t="str">
        <x:v>Logistik</x:v>
      </x:c>
      <x:c r="C2127" s="11" t="n">
        <x:v>1</x:v>
      </x:c>
      <x:c r="D2127" s="11" t="n">
        <x:f>COUNTIF('Einzel-ID-Zuordnung'!$A$7:$A$2692,A2127)</x:f>
        <x:v>1</x:v>
      </x:c>
      <x:c r="E2127" s="11" t="n">
        <x:f>D2127-C2127</x:f>
        <x:v>0</x:v>
      </x:c>
      <x:c r="F2127" s="5" t="str">
        <x:v>nicht Pilot</x:v>
      </x:c>
      <x:c r="G2127" s="5" t="str">
        <x:v>HQ</x:v>
      </x:c>
    </x:row>
    <x:row r="2128" ht="36" customHeight="1">
      <x:c r="A2128" s="5" t="str">
        <x:v>L-0149</x:v>
      </x:c>
      <x:c r="B2128" s="5" t="str">
        <x:v>Logistik</x:v>
      </x:c>
      <x:c r="C2128" s="11" t="n">
        <x:v>1</x:v>
      </x:c>
      <x:c r="D2128" s="11" t="n">
        <x:f>COUNTIF('Einzel-ID-Zuordnung'!$A$7:$A$2692,A2128)</x:f>
        <x:v>1</x:v>
      </x:c>
      <x:c r="E2128" s="11" t="n">
        <x:f>D2128-C2128</x:f>
        <x:v>0</x:v>
      </x:c>
      <x:c r="F2128" s="5" t="str">
        <x:v>nicht Pilot</x:v>
      </x:c>
      <x:c r="G2128" s="5" t="str">
        <x:v>HQ</x:v>
      </x:c>
    </x:row>
    <x:row r="2129" ht="36" customHeight="1">
      <x:c r="A2129" s="5" t="str">
        <x:v>L-0150</x:v>
      </x:c>
      <x:c r="B2129" s="5" t="str">
        <x:v>Logistik</x:v>
      </x:c>
      <x:c r="C2129" s="11" t="n">
        <x:v>1</x:v>
      </x:c>
      <x:c r="D2129" s="11" t="n">
        <x:f>COUNTIF('Einzel-ID-Zuordnung'!$A$7:$A$2692,A2129)</x:f>
        <x:v>1</x:v>
      </x:c>
      <x:c r="E2129" s="11" t="n">
        <x:f>D2129-C2129</x:f>
        <x:v>0</x:v>
      </x:c>
      <x:c r="F2129" s="5" t="str">
        <x:v>nicht Pilot</x:v>
      </x:c>
      <x:c r="G2129" s="5" t="str">
        <x:v>HQ</x:v>
      </x:c>
    </x:row>
    <x:row r="2130" ht="36" customHeight="1">
      <x:c r="A2130" s="5" t="str">
        <x:v>L-0151</x:v>
      </x:c>
      <x:c r="B2130" s="5" t="str">
        <x:v>Logistik</x:v>
      </x:c>
      <x:c r="C2130" s="11" t="n">
        <x:v>1</x:v>
      </x:c>
      <x:c r="D2130" s="11" t="n">
        <x:f>COUNTIF('Einzel-ID-Zuordnung'!$A$7:$A$2692,A2130)</x:f>
        <x:v>1</x:v>
      </x:c>
      <x:c r="E2130" s="11" t="n">
        <x:f>D2130-C2130</x:f>
        <x:v>0</x:v>
      </x:c>
      <x:c r="F2130" s="5" t="str">
        <x:v>nicht Pilot</x:v>
      </x:c>
      <x:c r="G2130" s="5" t="str">
        <x:v>HQ</x:v>
      </x:c>
    </x:row>
    <x:row r="2131" ht="36" customHeight="1">
      <x:c r="A2131" s="5" t="str">
        <x:v>L-0152</x:v>
      </x:c>
      <x:c r="B2131" s="5" t="str">
        <x:v>Logistik</x:v>
      </x:c>
      <x:c r="C2131" s="11" t="n">
        <x:v>1</x:v>
      </x:c>
      <x:c r="D2131" s="11" t="n">
        <x:f>COUNTIF('Einzel-ID-Zuordnung'!$A$7:$A$2692,A2131)</x:f>
        <x:v>1</x:v>
      </x:c>
      <x:c r="E2131" s="11" t="n">
        <x:f>D2131-C2131</x:f>
        <x:v>0</x:v>
      </x:c>
      <x:c r="F2131" s="5" t="str">
        <x:v>nicht Pilot</x:v>
      </x:c>
      <x:c r="G2131" s="5" t="str">
        <x:v>HQ</x:v>
      </x:c>
    </x:row>
    <x:row r="2132" ht="36" customHeight="1">
      <x:c r="A2132" s="5" t="str">
        <x:v>L-0153</x:v>
      </x:c>
      <x:c r="B2132" s="5" t="str">
        <x:v>Logistik</x:v>
      </x:c>
      <x:c r="C2132" s="11" t="n">
        <x:v>1</x:v>
      </x:c>
      <x:c r="D2132" s="11" t="n">
        <x:f>COUNTIF('Einzel-ID-Zuordnung'!$A$7:$A$2692,A2132)</x:f>
        <x:v>1</x:v>
      </x:c>
      <x:c r="E2132" s="11" t="n">
        <x:f>D2132-C2132</x:f>
        <x:v>0</x:v>
      </x:c>
      <x:c r="F2132" s="5" t="str">
        <x:v>nicht Pilot</x:v>
      </x:c>
      <x:c r="G2132" s="5" t="str">
        <x:v>HQ</x:v>
      </x:c>
    </x:row>
    <x:row r="2133" ht="36" customHeight="1">
      <x:c r="A2133" s="5" t="str">
        <x:v>L-0154</x:v>
      </x:c>
      <x:c r="B2133" s="5" t="str">
        <x:v>Logistik</x:v>
      </x:c>
      <x:c r="C2133" s="11" t="n">
        <x:v>1</x:v>
      </x:c>
      <x:c r="D2133" s="11" t="n">
        <x:f>COUNTIF('Einzel-ID-Zuordnung'!$A$7:$A$2692,A2133)</x:f>
        <x:v>1</x:v>
      </x:c>
      <x:c r="E2133" s="11" t="n">
        <x:f>D2133-C2133</x:f>
        <x:v>0</x:v>
      </x:c>
      <x:c r="F2133" s="5" t="str">
        <x:v>nicht Pilot</x:v>
      </x:c>
      <x:c r="G2133" s="5" t="str">
        <x:v>HQ</x:v>
      </x:c>
    </x:row>
    <x:row r="2134" ht="36" customHeight="1">
      <x:c r="A2134" s="5" t="str">
        <x:v>L-0155</x:v>
      </x:c>
      <x:c r="B2134" s="5" t="str">
        <x:v>Logistik</x:v>
      </x:c>
      <x:c r="C2134" s="11" t="n">
        <x:v>1</x:v>
      </x:c>
      <x:c r="D2134" s="11" t="n">
        <x:f>COUNTIF('Einzel-ID-Zuordnung'!$A$7:$A$2692,A2134)</x:f>
        <x:v>1</x:v>
      </x:c>
      <x:c r="E2134" s="11" t="n">
        <x:f>D2134-C2134</x:f>
        <x:v>0</x:v>
      </x:c>
      <x:c r="F2134" s="5" t="str">
        <x:v>nicht Pilot</x:v>
      </x:c>
      <x:c r="G2134" s="5" t="str">
        <x:v>HQ</x:v>
      </x:c>
    </x:row>
    <x:row r="2135" ht="36" customHeight="1">
      <x:c r="A2135" s="5" t="str">
        <x:v>L-0156</x:v>
      </x:c>
      <x:c r="B2135" s="5" t="str">
        <x:v>Logistik</x:v>
      </x:c>
      <x:c r="C2135" s="11" t="n">
        <x:v>1</x:v>
      </x:c>
      <x:c r="D2135" s="11" t="n">
        <x:f>COUNTIF('Einzel-ID-Zuordnung'!$A$7:$A$2692,A2135)</x:f>
        <x:v>1</x:v>
      </x:c>
      <x:c r="E2135" s="11" t="n">
        <x:f>D2135-C2135</x:f>
        <x:v>0</x:v>
      </x:c>
      <x:c r="F2135" s="5" t="str">
        <x:v>nicht Pilot</x:v>
      </x:c>
      <x:c r="G2135" s="5" t="str">
        <x:v>HQ</x:v>
      </x:c>
    </x:row>
    <x:row r="2136" ht="36" customHeight="1">
      <x:c r="A2136" s="5" t="str">
        <x:v>L-0157</x:v>
      </x:c>
      <x:c r="B2136" s="5" t="str">
        <x:v>Logistik</x:v>
      </x:c>
      <x:c r="C2136" s="11" t="n">
        <x:v>1</x:v>
      </x:c>
      <x:c r="D2136" s="11" t="n">
        <x:f>COUNTIF('Einzel-ID-Zuordnung'!$A$7:$A$2692,A2136)</x:f>
        <x:v>1</x:v>
      </x:c>
      <x:c r="E2136" s="11" t="n">
        <x:f>D2136-C2136</x:f>
        <x:v>0</x:v>
      </x:c>
      <x:c r="F2136" s="5" t="str">
        <x:v>nicht Pilot</x:v>
      </x:c>
      <x:c r="G2136" s="5" t="str">
        <x:v>HQ</x:v>
      </x:c>
    </x:row>
    <x:row r="2137" ht="36" customHeight="1">
      <x:c r="A2137" s="5" t="str">
        <x:v>L-0158</x:v>
      </x:c>
      <x:c r="B2137" s="5" t="str">
        <x:v>Logistik</x:v>
      </x:c>
      <x:c r="C2137" s="11" t="n">
        <x:v>1</x:v>
      </x:c>
      <x:c r="D2137" s="11" t="n">
        <x:f>COUNTIF('Einzel-ID-Zuordnung'!$A$7:$A$2692,A2137)</x:f>
        <x:v>1</x:v>
      </x:c>
      <x:c r="E2137" s="11" t="n">
        <x:f>D2137-C2137</x:f>
        <x:v>0</x:v>
      </x:c>
      <x:c r="F2137" s="5" t="str">
        <x:v>nicht Pilot</x:v>
      </x:c>
      <x:c r="G2137" s="5" t="str">
        <x:v>HQ</x:v>
      </x:c>
    </x:row>
    <x:row r="2138" ht="36" customHeight="1">
      <x:c r="A2138" s="5" t="str">
        <x:v>L-0159</x:v>
      </x:c>
      <x:c r="B2138" s="5" t="str">
        <x:v>Logistik</x:v>
      </x:c>
      <x:c r="C2138" s="11" t="n">
        <x:v>1</x:v>
      </x:c>
      <x:c r="D2138" s="11" t="n">
        <x:f>COUNTIF('Einzel-ID-Zuordnung'!$A$7:$A$2692,A2138)</x:f>
        <x:v>1</x:v>
      </x:c>
      <x:c r="E2138" s="11" t="n">
        <x:f>D2138-C2138</x:f>
        <x:v>0</x:v>
      </x:c>
      <x:c r="F2138" s="5" t="str">
        <x:v>nicht Pilot</x:v>
      </x:c>
      <x:c r="G2138" s="5" t="str">
        <x:v>HQ</x:v>
      </x:c>
    </x:row>
    <x:row r="2139" ht="36" customHeight="1">
      <x:c r="A2139" s="5" t="str">
        <x:v>L-0160</x:v>
      </x:c>
      <x:c r="B2139" s="5" t="str">
        <x:v>Logistik</x:v>
      </x:c>
      <x:c r="C2139" s="11" t="n">
        <x:v>1</x:v>
      </x:c>
      <x:c r="D2139" s="11" t="n">
        <x:f>COUNTIF('Einzel-ID-Zuordnung'!$A$7:$A$2692,A2139)</x:f>
        <x:v>1</x:v>
      </x:c>
      <x:c r="E2139" s="11" t="n">
        <x:f>D2139-C2139</x:f>
        <x:v>0</x:v>
      </x:c>
      <x:c r="F2139" s="5" t="str">
        <x:v>nicht Pilot</x:v>
      </x:c>
      <x:c r="G2139" s="5" t="str">
        <x:v>HQ</x:v>
      </x:c>
    </x:row>
    <x:row r="2140" ht="36" customHeight="1">
      <x:c r="A2140" s="5" t="str">
        <x:v>L-0161</x:v>
      </x:c>
      <x:c r="B2140" s="5" t="str">
        <x:v>Logistik</x:v>
      </x:c>
      <x:c r="C2140" s="11" t="n">
        <x:v>1</x:v>
      </x:c>
      <x:c r="D2140" s="11" t="n">
        <x:f>COUNTIF('Einzel-ID-Zuordnung'!$A$7:$A$2692,A2140)</x:f>
        <x:v>1</x:v>
      </x:c>
      <x:c r="E2140" s="11" t="n">
        <x:f>D2140-C2140</x:f>
        <x:v>0</x:v>
      </x:c>
      <x:c r="F2140" s="5" t="str">
        <x:v>nicht Pilot</x:v>
      </x:c>
      <x:c r="G2140" s="5" t="str">
        <x:v>HQ</x:v>
      </x:c>
    </x:row>
    <x:row r="2141" ht="36" customHeight="1">
      <x:c r="A2141" s="5" t="str">
        <x:v>L-0162</x:v>
      </x:c>
      <x:c r="B2141" s="5" t="str">
        <x:v>Logistik</x:v>
      </x:c>
      <x:c r="C2141" s="11" t="n">
        <x:v>1</x:v>
      </x:c>
      <x:c r="D2141" s="11" t="n">
        <x:f>COUNTIF('Einzel-ID-Zuordnung'!$A$7:$A$2692,A2141)</x:f>
        <x:v>1</x:v>
      </x:c>
      <x:c r="E2141" s="11" t="n">
        <x:f>D2141-C2141</x:f>
        <x:v>0</x:v>
      </x:c>
      <x:c r="F2141" s="5" t="str">
        <x:v>nicht Pilot</x:v>
      </x:c>
      <x:c r="G2141" s="5" t="str">
        <x:v>HQ</x:v>
      </x:c>
    </x:row>
    <x:row r="2142" ht="36" customHeight="1">
      <x:c r="A2142" s="5" t="str">
        <x:v>L-0163</x:v>
      </x:c>
      <x:c r="B2142" s="5" t="str">
        <x:v>Logistik</x:v>
      </x:c>
      <x:c r="C2142" s="11" t="n">
        <x:v>1</x:v>
      </x:c>
      <x:c r="D2142" s="11" t="n">
        <x:f>COUNTIF('Einzel-ID-Zuordnung'!$A$7:$A$2692,A2142)</x:f>
        <x:v>1</x:v>
      </x:c>
      <x:c r="E2142" s="11" t="n">
        <x:f>D2142-C2142</x:f>
        <x:v>0</x:v>
      </x:c>
      <x:c r="F2142" s="5" t="str">
        <x:v>nicht Pilot</x:v>
      </x:c>
      <x:c r="G2142" s="5" t="str">
        <x:v>HQ</x:v>
      </x:c>
    </x:row>
    <x:row r="2143" ht="36" customHeight="1">
      <x:c r="A2143" s="5" t="str">
        <x:v>L-0164</x:v>
      </x:c>
      <x:c r="B2143" s="5" t="str">
        <x:v>Logistik</x:v>
      </x:c>
      <x:c r="C2143" s="11" t="n">
        <x:v>1</x:v>
      </x:c>
      <x:c r="D2143" s="11" t="n">
        <x:f>COUNTIF('Einzel-ID-Zuordnung'!$A$7:$A$2692,A2143)</x:f>
        <x:v>1</x:v>
      </x:c>
      <x:c r="E2143" s="11" t="n">
        <x:f>D2143-C2143</x:f>
        <x:v>0</x:v>
      </x:c>
      <x:c r="F2143" s="5" t="str">
        <x:v>nicht Pilot</x:v>
      </x:c>
      <x:c r="G2143" s="5" t="str">
        <x:v>HQ</x:v>
      </x:c>
    </x:row>
    <x:row r="2144" ht="36" customHeight="1">
      <x:c r="A2144" s="5" t="str">
        <x:v>L-0165</x:v>
      </x:c>
      <x:c r="B2144" s="5" t="str">
        <x:v>Logistik</x:v>
      </x:c>
      <x:c r="C2144" s="11" t="n">
        <x:v>1</x:v>
      </x:c>
      <x:c r="D2144" s="11" t="n">
        <x:f>COUNTIF('Einzel-ID-Zuordnung'!$A$7:$A$2692,A2144)</x:f>
        <x:v>1</x:v>
      </x:c>
      <x:c r="E2144" s="11" t="n">
        <x:f>D2144-C2144</x:f>
        <x:v>0</x:v>
      </x:c>
      <x:c r="F2144" s="5" t="str">
        <x:v>nicht Pilot</x:v>
      </x:c>
      <x:c r="G2144" s="5" t="str">
        <x:v>HQ</x:v>
      </x:c>
    </x:row>
    <x:row r="2145" ht="36" customHeight="1">
      <x:c r="A2145" s="5" t="str">
        <x:v>L-0166</x:v>
      </x:c>
      <x:c r="B2145" s="5" t="str">
        <x:v>Logistik</x:v>
      </x:c>
      <x:c r="C2145" s="11" t="n">
        <x:v>1</x:v>
      </x:c>
      <x:c r="D2145" s="11" t="n">
        <x:f>COUNTIF('Einzel-ID-Zuordnung'!$A$7:$A$2692,A2145)</x:f>
        <x:v>1</x:v>
      </x:c>
      <x:c r="E2145" s="11" t="n">
        <x:f>D2145-C2145</x:f>
        <x:v>0</x:v>
      </x:c>
      <x:c r="F2145" s="5" t="str">
        <x:v>nicht Pilot</x:v>
      </x:c>
      <x:c r="G2145" s="5" t="str">
        <x:v>HQ</x:v>
      </x:c>
    </x:row>
    <x:row r="2146" ht="36" customHeight="1">
      <x:c r="A2146" s="5" t="str">
        <x:v>L-0167</x:v>
      </x:c>
      <x:c r="B2146" s="5" t="str">
        <x:v>Logistik</x:v>
      </x:c>
      <x:c r="C2146" s="11" t="n">
        <x:v>1</x:v>
      </x:c>
      <x:c r="D2146" s="11" t="n">
        <x:f>COUNTIF('Einzel-ID-Zuordnung'!$A$7:$A$2692,A2146)</x:f>
        <x:v>1</x:v>
      </x:c>
      <x:c r="E2146" s="11" t="n">
        <x:f>D2146-C2146</x:f>
        <x:v>0</x:v>
      </x:c>
      <x:c r="F2146" s="5" t="str">
        <x:v>nicht Pilot</x:v>
      </x:c>
      <x:c r="G2146" s="5" t="str">
        <x:v>HQ</x:v>
      </x:c>
    </x:row>
    <x:row r="2147" ht="36" customHeight="1">
      <x:c r="A2147" s="5" t="str">
        <x:v>L-0168</x:v>
      </x:c>
      <x:c r="B2147" s="5" t="str">
        <x:v>Logistik</x:v>
      </x:c>
      <x:c r="C2147" s="11" t="n">
        <x:v>1</x:v>
      </x:c>
      <x:c r="D2147" s="11" t="n">
        <x:f>COUNTIF('Einzel-ID-Zuordnung'!$A$7:$A$2692,A2147)</x:f>
        <x:v>1</x:v>
      </x:c>
      <x:c r="E2147" s="11" t="n">
        <x:f>D2147-C2147</x:f>
        <x:v>0</x:v>
      </x:c>
      <x:c r="F2147" s="5" t="str">
        <x:v>nicht Pilot</x:v>
      </x:c>
      <x:c r="G2147" s="5" t="str">
        <x:v>HQ</x:v>
      </x:c>
    </x:row>
    <x:row r="2148" ht="36" customHeight="1">
      <x:c r="A2148" s="5" t="str">
        <x:v>L-0169</x:v>
      </x:c>
      <x:c r="B2148" s="5" t="str">
        <x:v>Logistik</x:v>
      </x:c>
      <x:c r="C2148" s="11" t="n">
        <x:v>1</x:v>
      </x:c>
      <x:c r="D2148" s="11" t="n">
        <x:f>COUNTIF('Einzel-ID-Zuordnung'!$A$7:$A$2692,A2148)</x:f>
        <x:v>1</x:v>
      </x:c>
      <x:c r="E2148" s="11" t="n">
        <x:f>D2148-C2148</x:f>
        <x:v>0</x:v>
      </x:c>
      <x:c r="F2148" s="5" t="str">
        <x:v>nicht Pilot</x:v>
      </x:c>
      <x:c r="G2148" s="5" t="str">
        <x:v>HQ</x:v>
      </x:c>
    </x:row>
    <x:row r="2149" ht="36" customHeight="1">
      <x:c r="A2149" s="5" t="str">
        <x:v>L-0170</x:v>
      </x:c>
      <x:c r="B2149" s="5" t="str">
        <x:v>Logistik</x:v>
      </x:c>
      <x:c r="C2149" s="11" t="n">
        <x:v>1</x:v>
      </x:c>
      <x:c r="D2149" s="11" t="n">
        <x:f>COUNTIF('Einzel-ID-Zuordnung'!$A$7:$A$2692,A2149)</x:f>
        <x:v>1</x:v>
      </x:c>
      <x:c r="E2149" s="11" t="n">
        <x:f>D2149-C2149</x:f>
        <x:v>0</x:v>
      </x:c>
      <x:c r="F2149" s="5" t="str">
        <x:v>nicht Pilot</x:v>
      </x:c>
      <x:c r="G2149" s="5" t="str">
        <x:v>HQ</x:v>
      </x:c>
    </x:row>
    <x:row r="2150" ht="36" customHeight="1">
      <x:c r="A2150" s="5" t="str">
        <x:v>L-0171</x:v>
      </x:c>
      <x:c r="B2150" s="5" t="str">
        <x:v>Logistik</x:v>
      </x:c>
      <x:c r="C2150" s="11" t="n">
        <x:v>1</x:v>
      </x:c>
      <x:c r="D2150" s="11" t="n">
        <x:f>COUNTIF('Einzel-ID-Zuordnung'!$A$7:$A$2692,A2150)</x:f>
        <x:v>1</x:v>
      </x:c>
      <x:c r="E2150" s="11" t="n">
        <x:f>D2150-C2150</x:f>
        <x:v>0</x:v>
      </x:c>
      <x:c r="F2150" s="5" t="str">
        <x:v>nicht Pilot</x:v>
      </x:c>
      <x:c r="G2150" s="5" t="str">
        <x:v>HQ</x:v>
      </x:c>
    </x:row>
    <x:row r="2151" ht="36" customHeight="1">
      <x:c r="A2151" s="5" t="str">
        <x:v>L-0172</x:v>
      </x:c>
      <x:c r="B2151" s="5" t="str">
        <x:v>Logistik</x:v>
      </x:c>
      <x:c r="C2151" s="11" t="n">
        <x:v>1</x:v>
      </x:c>
      <x:c r="D2151" s="11" t="n">
        <x:f>COUNTIF('Einzel-ID-Zuordnung'!$A$7:$A$2692,A2151)</x:f>
        <x:v>1</x:v>
      </x:c>
      <x:c r="E2151" s="11" t="n">
        <x:f>D2151-C2151</x:f>
        <x:v>0</x:v>
      </x:c>
      <x:c r="F2151" s="5" t="str">
        <x:v>nicht Pilot</x:v>
      </x:c>
      <x:c r="G2151" s="5" t="str">
        <x:v>HQ</x:v>
      </x:c>
    </x:row>
    <x:row r="2152" ht="36" customHeight="1">
      <x:c r="A2152" s="5" t="str">
        <x:v>L-0173</x:v>
      </x:c>
      <x:c r="B2152" s="5" t="str">
        <x:v>Logistik</x:v>
      </x:c>
      <x:c r="C2152" s="11" t="n">
        <x:v>1</x:v>
      </x:c>
      <x:c r="D2152" s="11" t="n">
        <x:f>COUNTIF('Einzel-ID-Zuordnung'!$A$7:$A$2692,A2152)</x:f>
        <x:v>1</x:v>
      </x:c>
      <x:c r="E2152" s="11" t="n">
        <x:f>D2152-C2152</x:f>
        <x:v>0</x:v>
      </x:c>
      <x:c r="F2152" s="5" t="str">
        <x:v>nicht Pilot</x:v>
      </x:c>
      <x:c r="G2152" s="5" t="str">
        <x:v>HQ</x:v>
      </x:c>
    </x:row>
    <x:row r="2153" ht="36" customHeight="1">
      <x:c r="A2153" s="5" t="str">
        <x:v>L-0174</x:v>
      </x:c>
      <x:c r="B2153" s="5" t="str">
        <x:v>Logistik</x:v>
      </x:c>
      <x:c r="C2153" s="11" t="n">
        <x:v>1</x:v>
      </x:c>
      <x:c r="D2153" s="11" t="n">
        <x:f>COUNTIF('Einzel-ID-Zuordnung'!$A$7:$A$2692,A2153)</x:f>
        <x:v>1</x:v>
      </x:c>
      <x:c r="E2153" s="11" t="n">
        <x:f>D2153-C2153</x:f>
        <x:v>0</x:v>
      </x:c>
      <x:c r="F2153" s="5" t="str">
        <x:v>nicht Pilot</x:v>
      </x:c>
      <x:c r="G2153" s="5" t="str">
        <x:v>HQ</x:v>
      </x:c>
    </x:row>
    <x:row r="2154" ht="36" customHeight="1">
      <x:c r="A2154" s="5" t="str">
        <x:v>L-0175</x:v>
      </x:c>
      <x:c r="B2154" s="5" t="str">
        <x:v>Logistik</x:v>
      </x:c>
      <x:c r="C2154" s="11" t="n">
        <x:v>1</x:v>
      </x:c>
      <x:c r="D2154" s="11" t="n">
        <x:f>COUNTIF('Einzel-ID-Zuordnung'!$A$7:$A$2692,A2154)</x:f>
        <x:v>1</x:v>
      </x:c>
      <x:c r="E2154" s="11" t="n">
        <x:f>D2154-C2154</x:f>
        <x:v>0</x:v>
      </x:c>
      <x:c r="F2154" s="5" t="str">
        <x:v>nicht Pilot</x:v>
      </x:c>
      <x:c r="G2154" s="5" t="str">
        <x:v>HQ</x:v>
      </x:c>
    </x:row>
    <x:row r="2155" ht="36" customHeight="1">
      <x:c r="A2155" s="5" t="str">
        <x:v>L-0176</x:v>
      </x:c>
      <x:c r="B2155" s="5" t="str">
        <x:v>Logistik</x:v>
      </x:c>
      <x:c r="C2155" s="11" t="n">
        <x:v>1</x:v>
      </x:c>
      <x:c r="D2155" s="11" t="n">
        <x:f>COUNTIF('Einzel-ID-Zuordnung'!$A$7:$A$2692,A2155)</x:f>
        <x:v>1</x:v>
      </x:c>
      <x:c r="E2155" s="11" t="n">
        <x:f>D2155-C2155</x:f>
        <x:v>0</x:v>
      </x:c>
      <x:c r="F2155" s="5" t="str">
        <x:v>nicht Pilot</x:v>
      </x:c>
      <x:c r="G2155" s="5" t="str">
        <x:v>HQ</x:v>
      </x:c>
    </x:row>
    <x:row r="2156" ht="36" customHeight="1">
      <x:c r="A2156" s="5" t="str">
        <x:v>L-0177</x:v>
      </x:c>
      <x:c r="B2156" s="5" t="str">
        <x:v>Logistik</x:v>
      </x:c>
      <x:c r="C2156" s="11" t="n">
        <x:v>1</x:v>
      </x:c>
      <x:c r="D2156" s="11" t="n">
        <x:f>COUNTIF('Einzel-ID-Zuordnung'!$A$7:$A$2692,A2156)</x:f>
        <x:v>1</x:v>
      </x:c>
      <x:c r="E2156" s="11" t="n">
        <x:f>D2156-C2156</x:f>
        <x:v>0</x:v>
      </x:c>
      <x:c r="F2156" s="5" t="str">
        <x:v>nicht Pilot</x:v>
      </x:c>
      <x:c r="G2156" s="5" t="str">
        <x:v>HQ</x:v>
      </x:c>
    </x:row>
    <x:row r="2157" ht="36" customHeight="1">
      <x:c r="A2157" s="5" t="str">
        <x:v>L-0178</x:v>
      </x:c>
      <x:c r="B2157" s="5" t="str">
        <x:v>Logistik</x:v>
      </x:c>
      <x:c r="C2157" s="11" t="n">
        <x:v>1</x:v>
      </x:c>
      <x:c r="D2157" s="11" t="n">
        <x:f>COUNTIF('Einzel-ID-Zuordnung'!$A$7:$A$2692,A2157)</x:f>
        <x:v>1</x:v>
      </x:c>
      <x:c r="E2157" s="11" t="n">
        <x:f>D2157-C2157</x:f>
        <x:v>0</x:v>
      </x:c>
      <x:c r="F2157" s="5" t="str">
        <x:v>nicht Pilot</x:v>
      </x:c>
      <x:c r="G2157" s="5" t="str">
        <x:v>HQ</x:v>
      </x:c>
    </x:row>
    <x:row r="2158" ht="36" customHeight="1">
      <x:c r="A2158" s="5" t="str">
        <x:v>L-0179</x:v>
      </x:c>
      <x:c r="B2158" s="5" t="str">
        <x:v>Logistik</x:v>
      </x:c>
      <x:c r="C2158" s="11" t="n">
        <x:v>1</x:v>
      </x:c>
      <x:c r="D2158" s="11" t="n">
        <x:f>COUNTIF('Einzel-ID-Zuordnung'!$A$7:$A$2692,A2158)</x:f>
        <x:v>1</x:v>
      </x:c>
      <x:c r="E2158" s="11" t="n">
        <x:f>D2158-C2158</x:f>
        <x:v>0</x:v>
      </x:c>
      <x:c r="F2158" s="5" t="str">
        <x:v>nicht Pilot</x:v>
      </x:c>
      <x:c r="G2158" s="5" t="str">
        <x:v>HQ</x:v>
      </x:c>
    </x:row>
    <x:row r="2159" ht="36" customHeight="1">
      <x:c r="A2159" s="5" t="str">
        <x:v>L-0180</x:v>
      </x:c>
      <x:c r="B2159" s="5" t="str">
        <x:v>Logistik</x:v>
      </x:c>
      <x:c r="C2159" s="11" t="n">
        <x:v>1</x:v>
      </x:c>
      <x:c r="D2159" s="11" t="n">
        <x:f>COUNTIF('Einzel-ID-Zuordnung'!$A$7:$A$2692,A2159)</x:f>
        <x:v>1</x:v>
      </x:c>
      <x:c r="E2159" s="11" t="n">
        <x:f>D2159-C2159</x:f>
        <x:v>0</x:v>
      </x:c>
      <x:c r="F2159" s="5" t="str">
        <x:v>nicht Pilot</x:v>
      </x:c>
      <x:c r="G2159" s="5" t="str">
        <x:v>HQ</x:v>
      </x:c>
    </x:row>
    <x:row r="2160" ht="36" customHeight="1">
      <x:c r="A2160" s="5" t="str">
        <x:v>L-0181</x:v>
      </x:c>
      <x:c r="B2160" s="5" t="str">
        <x:v>Logistik</x:v>
      </x:c>
      <x:c r="C2160" s="11" t="n">
        <x:v>1</x:v>
      </x:c>
      <x:c r="D2160" s="11" t="n">
        <x:f>COUNTIF('Einzel-ID-Zuordnung'!$A$7:$A$2692,A2160)</x:f>
        <x:v>1</x:v>
      </x:c>
      <x:c r="E2160" s="11" t="n">
        <x:f>D2160-C2160</x:f>
        <x:v>0</x:v>
      </x:c>
      <x:c r="F2160" s="5" t="str">
        <x:v>nicht Pilot</x:v>
      </x:c>
      <x:c r="G2160" s="5" t="str">
        <x:v>HQ</x:v>
      </x:c>
    </x:row>
    <x:row r="2161" ht="36" customHeight="1">
      <x:c r="A2161" s="5" t="str">
        <x:v>L-0182</x:v>
      </x:c>
      <x:c r="B2161" s="5" t="str">
        <x:v>Logistik</x:v>
      </x:c>
      <x:c r="C2161" s="11" t="n">
        <x:v>1</x:v>
      </x:c>
      <x:c r="D2161" s="11" t="n">
        <x:f>COUNTIF('Einzel-ID-Zuordnung'!$A$7:$A$2692,A2161)</x:f>
        <x:v>1</x:v>
      </x:c>
      <x:c r="E2161" s="11" t="n">
        <x:f>D2161-C2161</x:f>
        <x:v>0</x:v>
      </x:c>
      <x:c r="F2161" s="5" t="str">
        <x:v>nicht Pilot</x:v>
      </x:c>
      <x:c r="G2161" s="5" t="str">
        <x:v>HQ</x:v>
      </x:c>
    </x:row>
    <x:row r="2162" ht="36" customHeight="1">
      <x:c r="A2162" s="5" t="str">
        <x:v>L-0183</x:v>
      </x:c>
      <x:c r="B2162" s="5" t="str">
        <x:v>Logistik</x:v>
      </x:c>
      <x:c r="C2162" s="11" t="n">
        <x:v>1</x:v>
      </x:c>
      <x:c r="D2162" s="11" t="n">
        <x:f>COUNTIF('Einzel-ID-Zuordnung'!$A$7:$A$2692,A2162)</x:f>
        <x:v>1</x:v>
      </x:c>
      <x:c r="E2162" s="11" t="n">
        <x:f>D2162-C2162</x:f>
        <x:v>0</x:v>
      </x:c>
      <x:c r="F2162" s="5" t="str">
        <x:v>nicht Pilot</x:v>
      </x:c>
      <x:c r="G2162" s="5" t="str">
        <x:v>HQ</x:v>
      </x:c>
    </x:row>
    <x:row r="2163" ht="36" customHeight="1">
      <x:c r="A2163" s="5" t="str">
        <x:v>L-0184</x:v>
      </x:c>
      <x:c r="B2163" s="5" t="str">
        <x:v>Logistik</x:v>
      </x:c>
      <x:c r="C2163" s="11" t="n">
        <x:v>1</x:v>
      </x:c>
      <x:c r="D2163" s="11" t="n">
        <x:f>COUNTIF('Einzel-ID-Zuordnung'!$A$7:$A$2692,A2163)</x:f>
        <x:v>1</x:v>
      </x:c>
      <x:c r="E2163" s="11" t="n">
        <x:f>D2163-C2163</x:f>
        <x:v>0</x:v>
      </x:c>
      <x:c r="F2163" s="5" t="str">
        <x:v>nicht Pilot</x:v>
      </x:c>
      <x:c r="G2163" s="5" t="str">
        <x:v>HQ</x:v>
      </x:c>
    </x:row>
    <x:row r="2164" ht="36" customHeight="1">
      <x:c r="A2164" s="5" t="str">
        <x:v>L-0185</x:v>
      </x:c>
      <x:c r="B2164" s="5" t="str">
        <x:v>Logistik</x:v>
      </x:c>
      <x:c r="C2164" s="11" t="n">
        <x:v>1</x:v>
      </x:c>
      <x:c r="D2164" s="11" t="n">
        <x:f>COUNTIF('Einzel-ID-Zuordnung'!$A$7:$A$2692,A2164)</x:f>
        <x:v>1</x:v>
      </x:c>
      <x:c r="E2164" s="11" t="n">
        <x:f>D2164-C2164</x:f>
        <x:v>0</x:v>
      </x:c>
      <x:c r="F2164" s="5" t="str">
        <x:v>nicht Pilot</x:v>
      </x:c>
      <x:c r="G2164" s="5" t="str">
        <x:v>HQ</x:v>
      </x:c>
    </x:row>
    <x:row r="2165" ht="36" customHeight="1">
      <x:c r="A2165" s="5" t="str">
        <x:v>L-0186</x:v>
      </x:c>
      <x:c r="B2165" s="5" t="str">
        <x:v>Logistik</x:v>
      </x:c>
      <x:c r="C2165" s="11" t="n">
        <x:v>1</x:v>
      </x:c>
      <x:c r="D2165" s="11" t="n">
        <x:f>COUNTIF('Einzel-ID-Zuordnung'!$A$7:$A$2692,A2165)</x:f>
        <x:v>1</x:v>
      </x:c>
      <x:c r="E2165" s="11" t="n">
        <x:f>D2165-C2165</x:f>
        <x:v>0</x:v>
      </x:c>
      <x:c r="F2165" s="5" t="str">
        <x:v>nicht Pilot</x:v>
      </x:c>
      <x:c r="G2165" s="5" t="str">
        <x:v>HQ</x:v>
      </x:c>
    </x:row>
    <x:row r="2166" ht="36" customHeight="1">
      <x:c r="A2166" s="5" t="str">
        <x:v>L-0187</x:v>
      </x:c>
      <x:c r="B2166" s="5" t="str">
        <x:v>Logistik</x:v>
      </x:c>
      <x:c r="C2166" s="11" t="n">
        <x:v>1</x:v>
      </x:c>
      <x:c r="D2166" s="11" t="n">
        <x:f>COUNTIF('Einzel-ID-Zuordnung'!$A$7:$A$2692,A2166)</x:f>
        <x:v>1</x:v>
      </x:c>
      <x:c r="E2166" s="11" t="n">
        <x:f>D2166-C2166</x:f>
        <x:v>0</x:v>
      </x:c>
      <x:c r="F2166" s="5" t="str">
        <x:v>nicht Pilot</x:v>
      </x:c>
      <x:c r="G2166" s="5" t="str">
        <x:v>HQ</x:v>
      </x:c>
    </x:row>
    <x:row r="2167" ht="36" customHeight="1">
      <x:c r="A2167" s="5" t="str">
        <x:v>L-0188</x:v>
      </x:c>
      <x:c r="B2167" s="5" t="str">
        <x:v>Logistik</x:v>
      </x:c>
      <x:c r="C2167" s="11" t="n">
        <x:v>1</x:v>
      </x:c>
      <x:c r="D2167" s="11" t="n">
        <x:f>COUNTIF('Einzel-ID-Zuordnung'!$A$7:$A$2692,A2167)</x:f>
        <x:v>1</x:v>
      </x:c>
      <x:c r="E2167" s="11" t="n">
        <x:f>D2167-C2167</x:f>
        <x:v>0</x:v>
      </x:c>
      <x:c r="F2167" s="5" t="str">
        <x:v>nicht Pilot</x:v>
      </x:c>
      <x:c r="G2167" s="5" t="str">
        <x:v>HQ</x:v>
      </x:c>
    </x:row>
    <x:row r="2168" ht="36" customHeight="1">
      <x:c r="A2168" s="5" t="str">
        <x:v>L-0189</x:v>
      </x:c>
      <x:c r="B2168" s="5" t="str">
        <x:v>Logistik</x:v>
      </x:c>
      <x:c r="C2168" s="11" t="n">
        <x:v>1</x:v>
      </x:c>
      <x:c r="D2168" s="11" t="n">
        <x:f>COUNTIF('Einzel-ID-Zuordnung'!$A$7:$A$2692,A2168)</x:f>
        <x:v>1</x:v>
      </x:c>
      <x:c r="E2168" s="11" t="n">
        <x:f>D2168-C2168</x:f>
        <x:v>0</x:v>
      </x:c>
      <x:c r="F2168" s="5" t="str">
        <x:v>nicht Pilot</x:v>
      </x:c>
      <x:c r="G2168" s="5" t="str">
        <x:v>HQ</x:v>
      </x:c>
    </x:row>
    <x:row r="2169" ht="36" customHeight="1">
      <x:c r="A2169" s="5" t="str">
        <x:v>L-0190</x:v>
      </x:c>
      <x:c r="B2169" s="5" t="str">
        <x:v>Logistik</x:v>
      </x:c>
      <x:c r="C2169" s="11" t="n">
        <x:v>1</x:v>
      </x:c>
      <x:c r="D2169" s="11" t="n">
        <x:f>COUNTIF('Einzel-ID-Zuordnung'!$A$7:$A$2692,A2169)</x:f>
        <x:v>1</x:v>
      </x:c>
      <x:c r="E2169" s="11" t="n">
        <x:f>D2169-C2169</x:f>
        <x:v>0</x:v>
      </x:c>
      <x:c r="F2169" s="5" t="str">
        <x:v>nicht Pilot</x:v>
      </x:c>
      <x:c r="G2169" s="5" t="str">
        <x:v>HQ</x:v>
      </x:c>
    </x:row>
    <x:row r="2170" ht="36" customHeight="1">
      <x:c r="A2170" s="5" t="str">
        <x:v>L-0191</x:v>
      </x:c>
      <x:c r="B2170" s="5" t="str">
        <x:v>Logistik</x:v>
      </x:c>
      <x:c r="C2170" s="11" t="n">
        <x:v>1</x:v>
      </x:c>
      <x:c r="D2170" s="11" t="n">
        <x:f>COUNTIF('Einzel-ID-Zuordnung'!$A$7:$A$2692,A2170)</x:f>
        <x:v>1</x:v>
      </x:c>
      <x:c r="E2170" s="11" t="n">
        <x:f>D2170-C2170</x:f>
        <x:v>0</x:v>
      </x:c>
      <x:c r="F2170" s="5" t="str">
        <x:v>nicht Pilot</x:v>
      </x:c>
      <x:c r="G2170" s="5" t="str">
        <x:v>HQ</x:v>
      </x:c>
    </x:row>
    <x:row r="2171" ht="36" customHeight="1">
      <x:c r="A2171" s="5" t="str">
        <x:v>L-0192</x:v>
      </x:c>
      <x:c r="B2171" s="5" t="str">
        <x:v>Logistik</x:v>
      </x:c>
      <x:c r="C2171" s="11" t="n">
        <x:v>1</x:v>
      </x:c>
      <x:c r="D2171" s="11" t="n">
        <x:f>COUNTIF('Einzel-ID-Zuordnung'!$A$7:$A$2692,A2171)</x:f>
        <x:v>1</x:v>
      </x:c>
      <x:c r="E2171" s="11" t="n">
        <x:f>D2171-C2171</x:f>
        <x:v>0</x:v>
      </x:c>
      <x:c r="F2171" s="5" t="str">
        <x:v>nicht Pilot</x:v>
      </x:c>
      <x:c r="G2171" s="5" t="str">
        <x:v>HQ</x:v>
      </x:c>
    </x:row>
    <x:row r="2172" ht="36" customHeight="1">
      <x:c r="A2172" s="5" t="str">
        <x:v>L-0193</x:v>
      </x:c>
      <x:c r="B2172" s="5" t="str">
        <x:v>Logistik</x:v>
      </x:c>
      <x:c r="C2172" s="11" t="n">
        <x:v>1</x:v>
      </x:c>
      <x:c r="D2172" s="11" t="n">
        <x:f>COUNTIF('Einzel-ID-Zuordnung'!$A$7:$A$2692,A2172)</x:f>
        <x:v>1</x:v>
      </x:c>
      <x:c r="E2172" s="11" t="n">
        <x:f>D2172-C2172</x:f>
        <x:v>0</x:v>
      </x:c>
      <x:c r="F2172" s="5" t="str">
        <x:v>nicht Pilot</x:v>
      </x:c>
      <x:c r="G2172" s="5" t="str">
        <x:v>HQ</x:v>
      </x:c>
    </x:row>
    <x:row r="2173" ht="36" customHeight="1">
      <x:c r="A2173" s="5" t="str">
        <x:v>L-0194</x:v>
      </x:c>
      <x:c r="B2173" s="5" t="str">
        <x:v>Logistik</x:v>
      </x:c>
      <x:c r="C2173" s="11" t="n">
        <x:v>1</x:v>
      </x:c>
      <x:c r="D2173" s="11" t="n">
        <x:f>COUNTIF('Einzel-ID-Zuordnung'!$A$7:$A$2692,A2173)</x:f>
        <x:v>1</x:v>
      </x:c>
      <x:c r="E2173" s="11" t="n">
        <x:f>D2173-C2173</x:f>
        <x:v>0</x:v>
      </x:c>
      <x:c r="F2173" s="5" t="str">
        <x:v>nicht Pilot</x:v>
      </x:c>
      <x:c r="G2173" s="5" t="str">
        <x:v>HQ</x:v>
      </x:c>
    </x:row>
    <x:row r="2174" ht="36" customHeight="1">
      <x:c r="A2174" s="5" t="str">
        <x:v>L-0195</x:v>
      </x:c>
      <x:c r="B2174" s="5" t="str">
        <x:v>Logistik</x:v>
      </x:c>
      <x:c r="C2174" s="11" t="n">
        <x:v>1</x:v>
      </x:c>
      <x:c r="D2174" s="11" t="n">
        <x:f>COUNTIF('Einzel-ID-Zuordnung'!$A$7:$A$2692,A2174)</x:f>
        <x:v>1</x:v>
      </x:c>
      <x:c r="E2174" s="11" t="n">
        <x:f>D2174-C2174</x:f>
        <x:v>0</x:v>
      </x:c>
      <x:c r="F2174" s="5" t="str">
        <x:v>nicht Pilot</x:v>
      </x:c>
      <x:c r="G2174" s="5" t="str">
        <x:v>HQ</x:v>
      </x:c>
    </x:row>
    <x:row r="2175" ht="36" customHeight="1">
      <x:c r="A2175" s="5" t="str">
        <x:v>L-0196</x:v>
      </x:c>
      <x:c r="B2175" s="5" t="str">
        <x:v>Logistik</x:v>
      </x:c>
      <x:c r="C2175" s="11" t="n">
        <x:v>1</x:v>
      </x:c>
      <x:c r="D2175" s="11" t="n">
        <x:f>COUNTIF('Einzel-ID-Zuordnung'!$A$7:$A$2692,A2175)</x:f>
        <x:v>1</x:v>
      </x:c>
      <x:c r="E2175" s="11" t="n">
        <x:f>D2175-C2175</x:f>
        <x:v>0</x:v>
      </x:c>
      <x:c r="F2175" s="5" t="str">
        <x:v>nicht Pilot</x:v>
      </x:c>
      <x:c r="G2175" s="5" t="str">
        <x:v>HQ</x:v>
      </x:c>
    </x:row>
    <x:row r="2176" ht="36" customHeight="1">
      <x:c r="A2176" s="5" t="str">
        <x:v>L-0197</x:v>
      </x:c>
      <x:c r="B2176" s="5" t="str">
        <x:v>Logistik</x:v>
      </x:c>
      <x:c r="C2176" s="11" t="n">
        <x:v>1</x:v>
      </x:c>
      <x:c r="D2176" s="11" t="n">
        <x:f>COUNTIF('Einzel-ID-Zuordnung'!$A$7:$A$2692,A2176)</x:f>
        <x:v>1</x:v>
      </x:c>
      <x:c r="E2176" s="11" t="n">
        <x:f>D2176-C2176</x:f>
        <x:v>0</x:v>
      </x:c>
      <x:c r="F2176" s="5" t="str">
        <x:v>nicht Pilot</x:v>
      </x:c>
      <x:c r="G2176" s="5" t="str">
        <x:v>HQ</x:v>
      </x:c>
    </x:row>
    <x:row r="2177" ht="36" customHeight="1">
      <x:c r="A2177" s="5" t="str">
        <x:v>L-0198</x:v>
      </x:c>
      <x:c r="B2177" s="5" t="str">
        <x:v>Logistik</x:v>
      </x:c>
      <x:c r="C2177" s="11" t="n">
        <x:v>1</x:v>
      </x:c>
      <x:c r="D2177" s="11" t="n">
        <x:f>COUNTIF('Einzel-ID-Zuordnung'!$A$7:$A$2692,A2177)</x:f>
        <x:v>1</x:v>
      </x:c>
      <x:c r="E2177" s="11" t="n">
        <x:f>D2177-C2177</x:f>
        <x:v>0</x:v>
      </x:c>
      <x:c r="F2177" s="5" t="str">
        <x:v>nicht Pilot</x:v>
      </x:c>
      <x:c r="G2177" s="5" t="str">
        <x:v>HQ</x:v>
      </x:c>
    </x:row>
    <x:row r="2178" ht="36" customHeight="1">
      <x:c r="A2178" s="5" t="str">
        <x:v>L-0199</x:v>
      </x:c>
      <x:c r="B2178" s="5" t="str">
        <x:v>Logistik</x:v>
      </x:c>
      <x:c r="C2178" s="11" t="n">
        <x:v>1</x:v>
      </x:c>
      <x:c r="D2178" s="11" t="n">
        <x:f>COUNTIF('Einzel-ID-Zuordnung'!$A$7:$A$2692,A2178)</x:f>
        <x:v>1</x:v>
      </x:c>
      <x:c r="E2178" s="11" t="n">
        <x:f>D2178-C2178</x:f>
        <x:v>0</x:v>
      </x:c>
      <x:c r="F2178" s="5" t="str">
        <x:v>nicht Pilot</x:v>
      </x:c>
      <x:c r="G2178" s="5" t="str">
        <x:v>HQ</x:v>
      </x:c>
    </x:row>
    <x:row r="2179" ht="36" customHeight="1">
      <x:c r="A2179" s="5" t="str">
        <x:v>L-0200</x:v>
      </x:c>
      <x:c r="B2179" s="5" t="str">
        <x:v>Logistik</x:v>
      </x:c>
      <x:c r="C2179" s="11" t="n">
        <x:v>1</x:v>
      </x:c>
      <x:c r="D2179" s="11" t="n">
        <x:f>COUNTIF('Einzel-ID-Zuordnung'!$A$7:$A$2692,A2179)</x:f>
        <x:v>1</x:v>
      </x:c>
      <x:c r="E2179" s="11" t="n">
        <x:f>D2179-C2179</x:f>
        <x:v>0</x:v>
      </x:c>
      <x:c r="F2179" s="5" t="str">
        <x:v>nicht Pilot</x:v>
      </x:c>
      <x:c r="G2179" s="5" t="str">
        <x:v>HQ</x:v>
      </x:c>
    </x:row>
    <x:row r="2180" ht="36" customHeight="1">
      <x:c r="A2180" s="5" t="str">
        <x:v>L-0201</x:v>
      </x:c>
      <x:c r="B2180" s="5" t="str">
        <x:v>Logistik</x:v>
      </x:c>
      <x:c r="C2180" s="11" t="n">
        <x:v>1</x:v>
      </x:c>
      <x:c r="D2180" s="11" t="n">
        <x:f>COUNTIF('Einzel-ID-Zuordnung'!$A$7:$A$2692,A2180)</x:f>
        <x:v>1</x:v>
      </x:c>
      <x:c r="E2180" s="11" t="n">
        <x:f>D2180-C2180</x:f>
        <x:v>0</x:v>
      </x:c>
      <x:c r="F2180" s="5" t="str">
        <x:v>nicht Pilot</x:v>
      </x:c>
      <x:c r="G2180" s="5" t="str">
        <x:v>HQ</x:v>
      </x:c>
    </x:row>
    <x:row r="2181" ht="36" customHeight="1">
      <x:c r="A2181" s="5" t="str">
        <x:v>L-0202</x:v>
      </x:c>
      <x:c r="B2181" s="5" t="str">
        <x:v>Logistik</x:v>
      </x:c>
      <x:c r="C2181" s="11" t="n">
        <x:v>1</x:v>
      </x:c>
      <x:c r="D2181" s="11" t="n">
        <x:f>COUNTIF('Einzel-ID-Zuordnung'!$A$7:$A$2692,A2181)</x:f>
        <x:v>1</x:v>
      </x:c>
      <x:c r="E2181" s="11" t="n">
        <x:f>D2181-C2181</x:f>
        <x:v>0</x:v>
      </x:c>
      <x:c r="F2181" s="5" t="str">
        <x:v>nicht Pilot</x:v>
      </x:c>
      <x:c r="G2181" s="5" t="str">
        <x:v>HQ</x:v>
      </x:c>
    </x:row>
    <x:row r="2182" ht="36" customHeight="1">
      <x:c r="A2182" s="5" t="str">
        <x:v>L-0203</x:v>
      </x:c>
      <x:c r="B2182" s="5" t="str">
        <x:v>Logistik</x:v>
      </x:c>
      <x:c r="C2182" s="11" t="n">
        <x:v>1</x:v>
      </x:c>
      <x:c r="D2182" s="11" t="n">
        <x:f>COUNTIF('Einzel-ID-Zuordnung'!$A$7:$A$2692,A2182)</x:f>
        <x:v>1</x:v>
      </x:c>
      <x:c r="E2182" s="11" t="n">
        <x:f>D2182-C2182</x:f>
        <x:v>0</x:v>
      </x:c>
      <x:c r="F2182" s="5" t="str">
        <x:v>nicht Pilot</x:v>
      </x:c>
      <x:c r="G2182" s="5" t="str">
        <x:v>HQ</x:v>
      </x:c>
    </x:row>
    <x:row r="2183" ht="36" customHeight="1">
      <x:c r="A2183" s="5" t="str">
        <x:v>L-0204</x:v>
      </x:c>
      <x:c r="B2183" s="5" t="str">
        <x:v>Logistik</x:v>
      </x:c>
      <x:c r="C2183" s="11" t="n">
        <x:v>1</x:v>
      </x:c>
      <x:c r="D2183" s="11" t="n">
        <x:f>COUNTIF('Einzel-ID-Zuordnung'!$A$7:$A$2692,A2183)</x:f>
        <x:v>1</x:v>
      </x:c>
      <x:c r="E2183" s="11" t="n">
        <x:f>D2183-C2183</x:f>
        <x:v>0</x:v>
      </x:c>
      <x:c r="F2183" s="5" t="str">
        <x:v>nicht Pilot</x:v>
      </x:c>
      <x:c r="G2183" s="5" t="str">
        <x:v>HQ</x:v>
      </x:c>
    </x:row>
    <x:row r="2184" ht="36" customHeight="1">
      <x:c r="A2184" s="5" t="str">
        <x:v>L-0205</x:v>
      </x:c>
      <x:c r="B2184" s="5" t="str">
        <x:v>Logistik</x:v>
      </x:c>
      <x:c r="C2184" s="11" t="n">
        <x:v>1</x:v>
      </x:c>
      <x:c r="D2184" s="11" t="n">
        <x:f>COUNTIF('Einzel-ID-Zuordnung'!$A$7:$A$2692,A2184)</x:f>
        <x:v>1</x:v>
      </x:c>
      <x:c r="E2184" s="11" t="n">
        <x:f>D2184-C2184</x:f>
        <x:v>0</x:v>
      </x:c>
      <x:c r="F2184" s="5" t="str">
        <x:v>nicht Pilot</x:v>
      </x:c>
      <x:c r="G2184" s="5" t="str">
        <x:v>HQ</x:v>
      </x:c>
    </x:row>
    <x:row r="2185" ht="36" customHeight="1">
      <x:c r="A2185" s="5" t="str">
        <x:v>L-0206</x:v>
      </x:c>
      <x:c r="B2185" s="5" t="str">
        <x:v>Logistik</x:v>
      </x:c>
      <x:c r="C2185" s="11" t="n">
        <x:v>1</x:v>
      </x:c>
      <x:c r="D2185" s="11" t="n">
        <x:f>COUNTIF('Einzel-ID-Zuordnung'!$A$7:$A$2692,A2185)</x:f>
        <x:v>1</x:v>
      </x:c>
      <x:c r="E2185" s="11" t="n">
        <x:f>D2185-C2185</x:f>
        <x:v>0</x:v>
      </x:c>
      <x:c r="F2185" s="5" t="str">
        <x:v>nicht Pilot</x:v>
      </x:c>
      <x:c r="G2185" s="5" t="str">
        <x:v>HQ</x:v>
      </x:c>
    </x:row>
    <x:row r="2186" ht="36" customHeight="1">
      <x:c r="A2186" s="5" t="str">
        <x:v>L-0207</x:v>
      </x:c>
      <x:c r="B2186" s="5" t="str">
        <x:v>Logistik</x:v>
      </x:c>
      <x:c r="C2186" s="11" t="n">
        <x:v>1</x:v>
      </x:c>
      <x:c r="D2186" s="11" t="n">
        <x:f>COUNTIF('Einzel-ID-Zuordnung'!$A$7:$A$2692,A2186)</x:f>
        <x:v>1</x:v>
      </x:c>
      <x:c r="E2186" s="11" t="n">
        <x:f>D2186-C2186</x:f>
        <x:v>0</x:v>
      </x:c>
      <x:c r="F2186" s="5" t="str">
        <x:v>nicht Pilot</x:v>
      </x:c>
      <x:c r="G2186" s="5" t="str">
        <x:v>HQ</x:v>
      </x:c>
    </x:row>
    <x:row r="2187" ht="36" customHeight="1">
      <x:c r="A2187" s="5" t="str">
        <x:v>L-0208</x:v>
      </x:c>
      <x:c r="B2187" s="5" t="str">
        <x:v>Logistik</x:v>
      </x:c>
      <x:c r="C2187" s="11" t="n">
        <x:v>1</x:v>
      </x:c>
      <x:c r="D2187" s="11" t="n">
        <x:f>COUNTIF('Einzel-ID-Zuordnung'!$A$7:$A$2692,A2187)</x:f>
        <x:v>1</x:v>
      </x:c>
      <x:c r="E2187" s="11" t="n">
        <x:f>D2187-C2187</x:f>
        <x:v>0</x:v>
      </x:c>
      <x:c r="F2187" s="5" t="str">
        <x:v>nicht Pilot</x:v>
      </x:c>
      <x:c r="G2187" s="5" t="str">
        <x:v>HQ</x:v>
      </x:c>
    </x:row>
    <x:row r="2188" ht="36" customHeight="1">
      <x:c r="A2188" s="5" t="str">
        <x:v>L-0209</x:v>
      </x:c>
      <x:c r="B2188" s="5" t="str">
        <x:v>Logistik</x:v>
      </x:c>
      <x:c r="C2188" s="11" t="n">
        <x:v>1</x:v>
      </x:c>
      <x:c r="D2188" s="11" t="n">
        <x:f>COUNTIF('Einzel-ID-Zuordnung'!$A$7:$A$2692,A2188)</x:f>
        <x:v>1</x:v>
      </x:c>
      <x:c r="E2188" s="11" t="n">
        <x:f>D2188-C2188</x:f>
        <x:v>0</x:v>
      </x:c>
      <x:c r="F2188" s="5" t="str">
        <x:v>nicht Pilot</x:v>
      </x:c>
      <x:c r="G2188" s="5" t="str">
        <x:v>HQ</x:v>
      </x:c>
    </x:row>
    <x:row r="2189" ht="36" customHeight="1">
      <x:c r="A2189" s="5" t="str">
        <x:v>L-0212</x:v>
      </x:c>
      <x:c r="B2189" s="5" t="str">
        <x:v>Logistik</x:v>
      </x:c>
      <x:c r="C2189" s="11" t="n">
        <x:v>1</x:v>
      </x:c>
      <x:c r="D2189" s="11" t="n">
        <x:f>COUNTIF('Einzel-ID-Zuordnung'!$A$7:$A$2692,A2189)</x:f>
        <x:v>1</x:v>
      </x:c>
      <x:c r="E2189" s="11" t="n">
        <x:f>D2189-C2189</x:f>
        <x:v>0</x:v>
      </x:c>
      <x:c r="F2189" s="5" t="str">
        <x:v>nicht Pilot</x:v>
      </x:c>
      <x:c r="G2189" s="5" t="str">
        <x:v>HQ</x:v>
      </x:c>
    </x:row>
    <x:row r="2190" ht="36" customHeight="1">
      <x:c r="A2190" s="5" t="str">
        <x:v>L-0213</x:v>
      </x:c>
      <x:c r="B2190" s="5" t="str">
        <x:v>Logistik</x:v>
      </x:c>
      <x:c r="C2190" s="11" t="n">
        <x:v>1</x:v>
      </x:c>
      <x:c r="D2190" s="11" t="n">
        <x:f>COUNTIF('Einzel-ID-Zuordnung'!$A$7:$A$2692,A2190)</x:f>
        <x:v>1</x:v>
      </x:c>
      <x:c r="E2190" s="11" t="n">
        <x:f>D2190-C2190</x:f>
        <x:v>0</x:v>
      </x:c>
      <x:c r="F2190" s="5" t="str">
        <x:v>nicht Pilot</x:v>
      </x:c>
      <x:c r="G2190" s="5" t="str">
        <x:v>HQ</x:v>
      </x:c>
    </x:row>
    <x:row r="2191" ht="36" customHeight="1">
      <x:c r="A2191" s="5" t="str">
        <x:v>L-0214</x:v>
      </x:c>
      <x:c r="B2191" s="5" t="str">
        <x:v>Logistik</x:v>
      </x:c>
      <x:c r="C2191" s="11" t="n">
        <x:v>1</x:v>
      </x:c>
      <x:c r="D2191" s="11" t="n">
        <x:f>COUNTIF('Einzel-ID-Zuordnung'!$A$7:$A$2692,A2191)</x:f>
        <x:v>1</x:v>
      </x:c>
      <x:c r="E2191" s="11" t="n">
        <x:f>D2191-C2191</x:f>
        <x:v>0</x:v>
      </x:c>
      <x:c r="F2191" s="5" t="str">
        <x:v>nicht Pilot</x:v>
      </x:c>
      <x:c r="G2191" s="5" t="str">
        <x:v>HQ</x:v>
      </x:c>
    </x:row>
    <x:row r="2192" ht="36" customHeight="1">
      <x:c r="A2192" s="5" t="str">
        <x:v>L-0215</x:v>
      </x:c>
      <x:c r="B2192" s="5" t="str">
        <x:v>Logistik</x:v>
      </x:c>
      <x:c r="C2192" s="11" t="n">
        <x:v>1</x:v>
      </x:c>
      <x:c r="D2192" s="11" t="n">
        <x:f>COUNTIF('Einzel-ID-Zuordnung'!$A$7:$A$2692,A2192)</x:f>
        <x:v>1</x:v>
      </x:c>
      <x:c r="E2192" s="11" t="n">
        <x:f>D2192-C2192</x:f>
        <x:v>0</x:v>
      </x:c>
      <x:c r="F2192" s="5" t="str">
        <x:v>nicht Pilot</x:v>
      </x:c>
      <x:c r="G2192" s="5" t="str">
        <x:v>HQ</x:v>
      </x:c>
    </x:row>
    <x:row r="2193" ht="36" customHeight="1">
      <x:c r="A2193" s="5" t="str">
        <x:v>L-0216</x:v>
      </x:c>
      <x:c r="B2193" s="5" t="str">
        <x:v>Logistik</x:v>
      </x:c>
      <x:c r="C2193" s="11" t="n">
        <x:v>1</x:v>
      </x:c>
      <x:c r="D2193" s="11" t="n">
        <x:f>COUNTIF('Einzel-ID-Zuordnung'!$A$7:$A$2692,A2193)</x:f>
        <x:v>1</x:v>
      </x:c>
      <x:c r="E2193" s="11" t="n">
        <x:f>D2193-C2193</x:f>
        <x:v>0</x:v>
      </x:c>
      <x:c r="F2193" s="5" t="str">
        <x:v>nicht Pilot</x:v>
      </x:c>
      <x:c r="G2193" s="5" t="str">
        <x:v>HQ</x:v>
      </x:c>
    </x:row>
    <x:row r="2194" ht="36" customHeight="1">
      <x:c r="A2194" s="5" t="str">
        <x:v>L-0217</x:v>
      </x:c>
      <x:c r="B2194" s="5" t="str">
        <x:v>Logistik</x:v>
      </x:c>
      <x:c r="C2194" s="11" t="n">
        <x:v>1</x:v>
      </x:c>
      <x:c r="D2194" s="11" t="n">
        <x:f>COUNTIF('Einzel-ID-Zuordnung'!$A$7:$A$2692,A2194)</x:f>
        <x:v>1</x:v>
      </x:c>
      <x:c r="E2194" s="11" t="n">
        <x:f>D2194-C2194</x:f>
        <x:v>0</x:v>
      </x:c>
      <x:c r="F2194" s="5" t="str">
        <x:v>nicht Pilot</x:v>
      </x:c>
      <x:c r="G2194" s="5" t="str">
        <x:v>HQ</x:v>
      </x:c>
    </x:row>
    <x:row r="2195" ht="36" customHeight="1">
      <x:c r="A2195" s="5" t="str">
        <x:v>L-0218</x:v>
      </x:c>
      <x:c r="B2195" s="5" t="str">
        <x:v>Logistik</x:v>
      </x:c>
      <x:c r="C2195" s="11" t="n">
        <x:v>1</x:v>
      </x:c>
      <x:c r="D2195" s="11" t="n">
        <x:f>COUNTIF('Einzel-ID-Zuordnung'!$A$7:$A$2692,A2195)</x:f>
        <x:v>1</x:v>
      </x:c>
      <x:c r="E2195" s="11" t="n">
        <x:f>D2195-C2195</x:f>
        <x:v>0</x:v>
      </x:c>
      <x:c r="F2195" s="5" t="str">
        <x:v>nicht Pilot</x:v>
      </x:c>
      <x:c r="G2195" s="5" t="str">
        <x:v>HQ</x:v>
      </x:c>
    </x:row>
    <x:row r="2196" ht="36" customHeight="1">
      <x:c r="A2196" s="5" t="str">
        <x:v>L-0219</x:v>
      </x:c>
      <x:c r="B2196" s="5" t="str">
        <x:v>Logistik</x:v>
      </x:c>
      <x:c r="C2196" s="11" t="n">
        <x:v>1</x:v>
      </x:c>
      <x:c r="D2196" s="11" t="n">
        <x:f>COUNTIF('Einzel-ID-Zuordnung'!$A$7:$A$2692,A2196)</x:f>
        <x:v>1</x:v>
      </x:c>
      <x:c r="E2196" s="11" t="n">
        <x:f>D2196-C2196</x:f>
        <x:v>0</x:v>
      </x:c>
      <x:c r="F2196" s="5" t="str">
        <x:v>nicht Pilot</x:v>
      </x:c>
      <x:c r="G2196" s="5" t="str">
        <x:v>HQ</x:v>
      </x:c>
    </x:row>
    <x:row r="2197" ht="36" customHeight="1">
      <x:c r="A2197" s="5" t="str">
        <x:v>L-0220</x:v>
      </x:c>
      <x:c r="B2197" s="5" t="str">
        <x:v>Logistik</x:v>
      </x:c>
      <x:c r="C2197" s="11" t="n">
        <x:v>1</x:v>
      </x:c>
      <x:c r="D2197" s="11" t="n">
        <x:f>COUNTIF('Einzel-ID-Zuordnung'!$A$7:$A$2692,A2197)</x:f>
        <x:v>1</x:v>
      </x:c>
      <x:c r="E2197" s="11" t="n">
        <x:f>D2197-C2197</x:f>
        <x:v>0</x:v>
      </x:c>
      <x:c r="F2197" s="5" t="str">
        <x:v>nicht Pilot</x:v>
      </x:c>
      <x:c r="G2197" s="5" t="str">
        <x:v>HQ</x:v>
      </x:c>
    </x:row>
    <x:row r="2198" ht="36" customHeight="1">
      <x:c r="A2198" s="5" t="str">
        <x:v>L-0222</x:v>
      </x:c>
      <x:c r="B2198" s="5" t="str">
        <x:v>Logistik</x:v>
      </x:c>
      <x:c r="C2198" s="11" t="n">
        <x:v>1</x:v>
      </x:c>
      <x:c r="D2198" s="11" t="n">
        <x:f>COUNTIF('Einzel-ID-Zuordnung'!$A$7:$A$2692,A2198)</x:f>
        <x:v>1</x:v>
      </x:c>
      <x:c r="E2198" s="11" t="n">
        <x:f>D2198-C2198</x:f>
        <x:v>0</x:v>
      </x:c>
      <x:c r="F2198" s="5" t="str">
        <x:v>nicht Pilot</x:v>
      </x:c>
      <x:c r="G2198" s="5" t="str">
        <x:v>HQ</x:v>
      </x:c>
    </x:row>
    <x:row r="2199" ht="36" customHeight="1">
      <x:c r="A2199" s="5" t="str">
        <x:v>L-0223</x:v>
      </x:c>
      <x:c r="B2199" s="5" t="str">
        <x:v>Logistik</x:v>
      </x:c>
      <x:c r="C2199" s="11" t="n">
        <x:v>1</x:v>
      </x:c>
      <x:c r="D2199" s="11" t="n">
        <x:f>COUNTIF('Einzel-ID-Zuordnung'!$A$7:$A$2692,A2199)</x:f>
        <x:v>1</x:v>
      </x:c>
      <x:c r="E2199" s="11" t="n">
        <x:f>D2199-C2199</x:f>
        <x:v>0</x:v>
      </x:c>
      <x:c r="F2199" s="5" t="str">
        <x:v>nicht Pilot</x:v>
      </x:c>
      <x:c r="G2199" s="5" t="str">
        <x:v>HQ</x:v>
      </x:c>
    </x:row>
    <x:row r="2200" ht="36" customHeight="1">
      <x:c r="A2200" s="5" t="str">
        <x:v>L-0224</x:v>
      </x:c>
      <x:c r="B2200" s="5" t="str">
        <x:v>Logistik</x:v>
      </x:c>
      <x:c r="C2200" s="11" t="n">
        <x:v>1</x:v>
      </x:c>
      <x:c r="D2200" s="11" t="n">
        <x:f>COUNTIF('Einzel-ID-Zuordnung'!$A$7:$A$2692,A2200)</x:f>
        <x:v>1</x:v>
      </x:c>
      <x:c r="E2200" s="11" t="n">
        <x:f>D2200-C2200</x:f>
        <x:v>0</x:v>
      </x:c>
      <x:c r="F2200" s="5" t="str">
        <x:v>nicht Pilot</x:v>
      </x:c>
      <x:c r="G2200" s="5" t="str">
        <x:v>HQ</x:v>
      </x:c>
    </x:row>
    <x:row r="2201" ht="36" customHeight="1">
      <x:c r="A2201" s="5" t="str">
        <x:v>L-0225</x:v>
      </x:c>
      <x:c r="B2201" s="5" t="str">
        <x:v>Logistik</x:v>
      </x:c>
      <x:c r="C2201" s="11" t="n">
        <x:v>1</x:v>
      </x:c>
      <x:c r="D2201" s="11" t="n">
        <x:f>COUNTIF('Einzel-ID-Zuordnung'!$A$7:$A$2692,A2201)</x:f>
        <x:v>1</x:v>
      </x:c>
      <x:c r="E2201" s="11" t="n">
        <x:f>D2201-C2201</x:f>
        <x:v>0</x:v>
      </x:c>
      <x:c r="F2201" s="5" t="str">
        <x:v>nicht Pilot</x:v>
      </x:c>
      <x:c r="G2201" s="5" t="str">
        <x:v>HQ</x:v>
      </x:c>
    </x:row>
    <x:row r="2202" ht="36" customHeight="1">
      <x:c r="A2202" s="5" t="str">
        <x:v>L-0226</x:v>
      </x:c>
      <x:c r="B2202" s="5" t="str">
        <x:v>Logistik</x:v>
      </x:c>
      <x:c r="C2202" s="11" t="n">
        <x:v>1</x:v>
      </x:c>
      <x:c r="D2202" s="11" t="n">
        <x:f>COUNTIF('Einzel-ID-Zuordnung'!$A$7:$A$2692,A2202)</x:f>
        <x:v>1</x:v>
      </x:c>
      <x:c r="E2202" s="11" t="n">
        <x:f>D2202-C2202</x:f>
        <x:v>0</x:v>
      </x:c>
      <x:c r="F2202" s="5" t="str">
        <x:v>nicht Pilot</x:v>
      </x:c>
      <x:c r="G2202" s="5" t="str">
        <x:v>HQ</x:v>
      </x:c>
    </x:row>
    <x:row r="2203" ht="36" customHeight="1">
      <x:c r="A2203" s="5" t="str">
        <x:v>L-0227</x:v>
      </x:c>
      <x:c r="B2203" s="5" t="str">
        <x:v>Logistik</x:v>
      </x:c>
      <x:c r="C2203" s="11" t="n">
        <x:v>1</x:v>
      </x:c>
      <x:c r="D2203" s="11" t="n">
        <x:f>COUNTIF('Einzel-ID-Zuordnung'!$A$7:$A$2692,A2203)</x:f>
        <x:v>1</x:v>
      </x:c>
      <x:c r="E2203" s="11" t="n">
        <x:f>D2203-C2203</x:f>
        <x:v>0</x:v>
      </x:c>
      <x:c r="F2203" s="5" t="str">
        <x:v>nicht Pilot</x:v>
      </x:c>
      <x:c r="G2203" s="5" t="str">
        <x:v>HQ</x:v>
      </x:c>
    </x:row>
    <x:row r="2204" ht="36" customHeight="1">
      <x:c r="A2204" s="5" t="str">
        <x:v>L-0228</x:v>
      </x:c>
      <x:c r="B2204" s="5" t="str">
        <x:v>Logistik</x:v>
      </x:c>
      <x:c r="C2204" s="11" t="n">
        <x:v>1</x:v>
      </x:c>
      <x:c r="D2204" s="11" t="n">
        <x:f>COUNTIF('Einzel-ID-Zuordnung'!$A$7:$A$2692,A2204)</x:f>
        <x:v>1</x:v>
      </x:c>
      <x:c r="E2204" s="11" t="n">
        <x:f>D2204-C2204</x:f>
        <x:v>0</x:v>
      </x:c>
      <x:c r="F2204" s="5" t="str">
        <x:v>nicht Pilot</x:v>
      </x:c>
      <x:c r="G2204" s="5" t="str">
        <x:v>HQ</x:v>
      </x:c>
    </x:row>
    <x:row r="2205" ht="36" customHeight="1">
      <x:c r="A2205" s="5" t="str">
        <x:v>L-0229</x:v>
      </x:c>
      <x:c r="B2205" s="5" t="str">
        <x:v>Logistik</x:v>
      </x:c>
      <x:c r="C2205" s="11" t="n">
        <x:v>1</x:v>
      </x:c>
      <x:c r="D2205" s="11" t="n">
        <x:f>COUNTIF('Einzel-ID-Zuordnung'!$A$7:$A$2692,A2205)</x:f>
        <x:v>1</x:v>
      </x:c>
      <x:c r="E2205" s="11" t="n">
        <x:f>D2205-C2205</x:f>
        <x:v>0</x:v>
      </x:c>
      <x:c r="F2205" s="5" t="str">
        <x:v>nicht Pilot</x:v>
      </x:c>
      <x:c r="G2205" s="5" t="str">
        <x:v>HQ</x:v>
      </x:c>
    </x:row>
    <x:row r="2206" ht="36" customHeight="1">
      <x:c r="A2206" s="5" t="str">
        <x:v>L-0230</x:v>
      </x:c>
      <x:c r="B2206" s="5" t="str">
        <x:v>Logistik</x:v>
      </x:c>
      <x:c r="C2206" s="11" t="n">
        <x:v>1</x:v>
      </x:c>
      <x:c r="D2206" s="11" t="n">
        <x:f>COUNTIF('Einzel-ID-Zuordnung'!$A$7:$A$2692,A2206)</x:f>
        <x:v>1</x:v>
      </x:c>
      <x:c r="E2206" s="11" t="n">
        <x:f>D2206-C2206</x:f>
        <x:v>0</x:v>
      </x:c>
      <x:c r="F2206" s="5" t="str">
        <x:v>nicht Pilot</x:v>
      </x:c>
      <x:c r="G2206" s="5" t="str">
        <x:v>HQ</x:v>
      </x:c>
    </x:row>
    <x:row r="2207" ht="36" customHeight="1">
      <x:c r="A2207" s="5" t="str">
        <x:v>L-0231</x:v>
      </x:c>
      <x:c r="B2207" s="5" t="str">
        <x:v>Logistik</x:v>
      </x:c>
      <x:c r="C2207" s="11" t="n">
        <x:v>1</x:v>
      </x:c>
      <x:c r="D2207" s="11" t="n">
        <x:f>COUNTIF('Einzel-ID-Zuordnung'!$A$7:$A$2692,A2207)</x:f>
        <x:v>1</x:v>
      </x:c>
      <x:c r="E2207" s="11" t="n">
        <x:f>D2207-C2207</x:f>
        <x:v>0</x:v>
      </x:c>
      <x:c r="F2207" s="5" t="str">
        <x:v>nicht Pilot</x:v>
      </x:c>
      <x:c r="G2207" s="5" t="str">
        <x:v>HQ</x:v>
      </x:c>
    </x:row>
    <x:row r="2208" ht="36" customHeight="1">
      <x:c r="A2208" s="5" t="str">
        <x:v>L-0232</x:v>
      </x:c>
      <x:c r="B2208" s="5" t="str">
        <x:v>Logistik</x:v>
      </x:c>
      <x:c r="C2208" s="11" t="n">
        <x:v>1</x:v>
      </x:c>
      <x:c r="D2208" s="11" t="n">
        <x:f>COUNTIF('Einzel-ID-Zuordnung'!$A$7:$A$2692,A2208)</x:f>
        <x:v>1</x:v>
      </x:c>
      <x:c r="E2208" s="11" t="n">
        <x:f>D2208-C2208</x:f>
        <x:v>0</x:v>
      </x:c>
      <x:c r="F2208" s="5" t="str">
        <x:v>nicht Pilot</x:v>
      </x:c>
      <x:c r="G2208" s="5" t="str">
        <x:v>HQ</x:v>
      </x:c>
    </x:row>
    <x:row r="2209" ht="36" customHeight="1">
      <x:c r="A2209" s="5" t="str">
        <x:v>L-0233</x:v>
      </x:c>
      <x:c r="B2209" s="5" t="str">
        <x:v>Logistik</x:v>
      </x:c>
      <x:c r="C2209" s="11" t="n">
        <x:v>1</x:v>
      </x:c>
      <x:c r="D2209" s="11" t="n">
        <x:f>COUNTIF('Einzel-ID-Zuordnung'!$A$7:$A$2692,A2209)</x:f>
        <x:v>1</x:v>
      </x:c>
      <x:c r="E2209" s="11" t="n">
        <x:f>D2209-C2209</x:f>
        <x:v>0</x:v>
      </x:c>
      <x:c r="F2209" s="5" t="str">
        <x:v>nicht Pilot</x:v>
      </x:c>
      <x:c r="G2209" s="5" t="str">
        <x:v>HQ</x:v>
      </x:c>
    </x:row>
    <x:row r="2210" ht="36" customHeight="1">
      <x:c r="A2210" s="5" t="str">
        <x:v>L-0234</x:v>
      </x:c>
      <x:c r="B2210" s="5" t="str">
        <x:v>Logistik</x:v>
      </x:c>
      <x:c r="C2210" s="11" t="n">
        <x:v>1</x:v>
      </x:c>
      <x:c r="D2210" s="11" t="n">
        <x:f>COUNTIF('Einzel-ID-Zuordnung'!$A$7:$A$2692,A2210)</x:f>
        <x:v>1</x:v>
      </x:c>
      <x:c r="E2210" s="11" t="n">
        <x:f>D2210-C2210</x:f>
        <x:v>0</x:v>
      </x:c>
      <x:c r="F2210" s="5" t="str">
        <x:v>nicht Pilot</x:v>
      </x:c>
      <x:c r="G2210" s="5" t="str">
        <x:v>HQ</x:v>
      </x:c>
    </x:row>
    <x:row r="2211" ht="36" customHeight="1">
      <x:c r="A2211" s="5" t="str">
        <x:v>L-0235</x:v>
      </x:c>
      <x:c r="B2211" s="5" t="str">
        <x:v>Logistik</x:v>
      </x:c>
      <x:c r="C2211" s="11" t="n">
        <x:v>1</x:v>
      </x:c>
      <x:c r="D2211" s="11" t="n">
        <x:f>COUNTIF('Einzel-ID-Zuordnung'!$A$7:$A$2692,A2211)</x:f>
        <x:v>1</x:v>
      </x:c>
      <x:c r="E2211" s="11" t="n">
        <x:f>D2211-C2211</x:f>
        <x:v>0</x:v>
      </x:c>
      <x:c r="F2211" s="5" t="str">
        <x:v>nicht Pilot</x:v>
      </x:c>
      <x:c r="G2211" s="5" t="str">
        <x:v>HQ</x:v>
      </x:c>
    </x:row>
    <x:row r="2212" ht="36" customHeight="1">
      <x:c r="A2212" s="5" t="str">
        <x:v>L-0236</x:v>
      </x:c>
      <x:c r="B2212" s="5" t="str">
        <x:v>Logistik</x:v>
      </x:c>
      <x:c r="C2212" s="11" t="n">
        <x:v>1</x:v>
      </x:c>
      <x:c r="D2212" s="11" t="n">
        <x:f>COUNTIF('Einzel-ID-Zuordnung'!$A$7:$A$2692,A2212)</x:f>
        <x:v>1</x:v>
      </x:c>
      <x:c r="E2212" s="11" t="n">
        <x:f>D2212-C2212</x:f>
        <x:v>0</x:v>
      </x:c>
      <x:c r="F2212" s="5" t="str">
        <x:v>nicht Pilot</x:v>
      </x:c>
      <x:c r="G2212" s="5" t="str">
        <x:v>HQ</x:v>
      </x:c>
    </x:row>
    <x:row r="2213" ht="36" customHeight="1">
      <x:c r="A2213" s="5" t="str">
        <x:v>L-0237</x:v>
      </x:c>
      <x:c r="B2213" s="5" t="str">
        <x:v>Logistik</x:v>
      </x:c>
      <x:c r="C2213" s="11" t="n">
        <x:v>1</x:v>
      </x:c>
      <x:c r="D2213" s="11" t="n">
        <x:f>COUNTIF('Einzel-ID-Zuordnung'!$A$7:$A$2692,A2213)</x:f>
        <x:v>1</x:v>
      </x:c>
      <x:c r="E2213" s="11" t="n">
        <x:f>D2213-C2213</x:f>
        <x:v>0</x:v>
      </x:c>
      <x:c r="F2213" s="5" t="str">
        <x:v>nicht Pilot</x:v>
      </x:c>
      <x:c r="G2213" s="5" t="str">
        <x:v>HQ</x:v>
      </x:c>
    </x:row>
    <x:row r="2214" ht="36" customHeight="1">
      <x:c r="A2214" s="5" t="str">
        <x:v>L-0238</x:v>
      </x:c>
      <x:c r="B2214" s="5" t="str">
        <x:v>Logistik</x:v>
      </x:c>
      <x:c r="C2214" s="11" t="n">
        <x:v>1</x:v>
      </x:c>
      <x:c r="D2214" s="11" t="n">
        <x:f>COUNTIF('Einzel-ID-Zuordnung'!$A$7:$A$2692,A2214)</x:f>
        <x:v>1</x:v>
      </x:c>
      <x:c r="E2214" s="11" t="n">
        <x:f>D2214-C2214</x:f>
        <x:v>0</x:v>
      </x:c>
      <x:c r="F2214" s="5" t="str">
        <x:v>nicht Pilot</x:v>
      </x:c>
      <x:c r="G2214" s="5" t="str">
        <x:v>HQ</x:v>
      </x:c>
    </x:row>
    <x:row r="2215" ht="36" customHeight="1">
      <x:c r="A2215" s="5" t="str">
        <x:v>L-0239</x:v>
      </x:c>
      <x:c r="B2215" s="5" t="str">
        <x:v>Logistik</x:v>
      </x:c>
      <x:c r="C2215" s="11" t="n">
        <x:v>1</x:v>
      </x:c>
      <x:c r="D2215" s="11" t="n">
        <x:f>COUNTIF('Einzel-ID-Zuordnung'!$A$7:$A$2692,A2215)</x:f>
        <x:v>1</x:v>
      </x:c>
      <x:c r="E2215" s="11" t="n">
        <x:f>D2215-C2215</x:f>
        <x:v>0</x:v>
      </x:c>
      <x:c r="F2215" s="5" t="str">
        <x:v>nicht Pilot</x:v>
      </x:c>
      <x:c r="G2215" s="5" t="str">
        <x:v>HQ</x:v>
      </x:c>
    </x:row>
    <x:row r="2216" ht="36" customHeight="1">
      <x:c r="A2216" s="5" t="str">
        <x:v>L-0240</x:v>
      </x:c>
      <x:c r="B2216" s="5" t="str">
        <x:v>Logistik</x:v>
      </x:c>
      <x:c r="C2216" s="11" t="n">
        <x:v>1</x:v>
      </x:c>
      <x:c r="D2216" s="11" t="n">
        <x:f>COUNTIF('Einzel-ID-Zuordnung'!$A$7:$A$2692,A2216)</x:f>
        <x:v>1</x:v>
      </x:c>
      <x:c r="E2216" s="11" t="n">
        <x:f>D2216-C2216</x:f>
        <x:v>0</x:v>
      </x:c>
      <x:c r="F2216" s="5" t="str">
        <x:v>nicht Pilot</x:v>
      </x:c>
      <x:c r="G2216" s="5" t="str">
        <x:v>HQ</x:v>
      </x:c>
    </x:row>
    <x:row r="2217" ht="36" customHeight="1">
      <x:c r="A2217" s="5" t="str">
        <x:v>L-0241</x:v>
      </x:c>
      <x:c r="B2217" s="5" t="str">
        <x:v>Logistik</x:v>
      </x:c>
      <x:c r="C2217" s="11" t="n">
        <x:v>1</x:v>
      </x:c>
      <x:c r="D2217" s="11" t="n">
        <x:f>COUNTIF('Einzel-ID-Zuordnung'!$A$7:$A$2692,A2217)</x:f>
        <x:v>1</x:v>
      </x:c>
      <x:c r="E2217" s="11" t="n">
        <x:f>D2217-C2217</x:f>
        <x:v>0</x:v>
      </x:c>
      <x:c r="F2217" s="5" t="str">
        <x:v>nicht Pilot</x:v>
      </x:c>
      <x:c r="G2217" s="5" t="str">
        <x:v>HQ</x:v>
      </x:c>
    </x:row>
    <x:row r="2218" ht="36" customHeight="1">
      <x:c r="A2218" s="5" t="str">
        <x:v>L-0242</x:v>
      </x:c>
      <x:c r="B2218" s="5" t="str">
        <x:v>Logistik</x:v>
      </x:c>
      <x:c r="C2218" s="11" t="n">
        <x:v>1</x:v>
      </x:c>
      <x:c r="D2218" s="11" t="n">
        <x:f>COUNTIF('Einzel-ID-Zuordnung'!$A$7:$A$2692,A2218)</x:f>
        <x:v>1</x:v>
      </x:c>
      <x:c r="E2218" s="11" t="n">
        <x:f>D2218-C2218</x:f>
        <x:v>0</x:v>
      </x:c>
      <x:c r="F2218" s="5" t="str">
        <x:v>nicht Pilot</x:v>
      </x:c>
      <x:c r="G2218" s="5" t="str">
        <x:v>HQ</x:v>
      </x:c>
    </x:row>
    <x:row r="2219" ht="36" customHeight="1">
      <x:c r="A2219" s="5" t="str">
        <x:v>L-0243</x:v>
      </x:c>
      <x:c r="B2219" s="5" t="str">
        <x:v>Logistik</x:v>
      </x:c>
      <x:c r="C2219" s="11" t="n">
        <x:v>1</x:v>
      </x:c>
      <x:c r="D2219" s="11" t="n">
        <x:f>COUNTIF('Einzel-ID-Zuordnung'!$A$7:$A$2692,A2219)</x:f>
        <x:v>1</x:v>
      </x:c>
      <x:c r="E2219" s="11" t="n">
        <x:f>D2219-C2219</x:f>
        <x:v>0</x:v>
      </x:c>
      <x:c r="F2219" s="5" t="str">
        <x:v>nicht Pilot</x:v>
      </x:c>
      <x:c r="G2219" s="5" t="str">
        <x:v>HQ</x:v>
      </x:c>
    </x:row>
    <x:row r="2220" ht="36" customHeight="1">
      <x:c r="A2220" s="5" t="str">
        <x:v>L-0244</x:v>
      </x:c>
      <x:c r="B2220" s="5" t="str">
        <x:v>Logistik</x:v>
      </x:c>
      <x:c r="C2220" s="11" t="n">
        <x:v>1</x:v>
      </x:c>
      <x:c r="D2220" s="11" t="n">
        <x:f>COUNTIF('Einzel-ID-Zuordnung'!$A$7:$A$2692,A2220)</x:f>
        <x:v>1</x:v>
      </x:c>
      <x:c r="E2220" s="11" t="n">
        <x:f>D2220-C2220</x:f>
        <x:v>0</x:v>
      </x:c>
      <x:c r="F2220" s="5" t="str">
        <x:v>nicht Pilot</x:v>
      </x:c>
      <x:c r="G2220" s="5" t="str">
        <x:v>HQ</x:v>
      </x:c>
    </x:row>
    <x:row r="2221" ht="36" customHeight="1">
      <x:c r="A2221" s="5" t="str">
        <x:v>L-0245</x:v>
      </x:c>
      <x:c r="B2221" s="5" t="str">
        <x:v>Logistik</x:v>
      </x:c>
      <x:c r="C2221" s="11" t="n">
        <x:v>1</x:v>
      </x:c>
      <x:c r="D2221" s="11" t="n">
        <x:f>COUNTIF('Einzel-ID-Zuordnung'!$A$7:$A$2692,A2221)</x:f>
        <x:v>1</x:v>
      </x:c>
      <x:c r="E2221" s="11" t="n">
        <x:f>D2221-C2221</x:f>
        <x:v>0</x:v>
      </x:c>
      <x:c r="F2221" s="5" t="str">
        <x:v>nicht Pilot</x:v>
      </x:c>
      <x:c r="G2221" s="5" t="str">
        <x:v>HQ</x:v>
      </x:c>
    </x:row>
    <x:row r="2222" ht="36" customHeight="1">
      <x:c r="A2222" s="5" t="str">
        <x:v>L-0246</x:v>
      </x:c>
      <x:c r="B2222" s="5" t="str">
        <x:v>Logistik</x:v>
      </x:c>
      <x:c r="C2222" s="11" t="n">
        <x:v>1</x:v>
      </x:c>
      <x:c r="D2222" s="11" t="n">
        <x:f>COUNTIF('Einzel-ID-Zuordnung'!$A$7:$A$2692,A2222)</x:f>
        <x:v>1</x:v>
      </x:c>
      <x:c r="E2222" s="11" t="n">
        <x:f>D2222-C2222</x:f>
        <x:v>0</x:v>
      </x:c>
      <x:c r="F2222" s="5" t="str">
        <x:v>nicht Pilot</x:v>
      </x:c>
      <x:c r="G2222" s="5" t="str">
        <x:v>HQ</x:v>
      </x:c>
    </x:row>
    <x:row r="2223" ht="36" customHeight="1">
      <x:c r="A2223" s="5" t="str">
        <x:v>L-0247</x:v>
      </x:c>
      <x:c r="B2223" s="5" t="str">
        <x:v>Logistik</x:v>
      </x:c>
      <x:c r="C2223" s="11" t="n">
        <x:v>1</x:v>
      </x:c>
      <x:c r="D2223" s="11" t="n">
        <x:f>COUNTIF('Einzel-ID-Zuordnung'!$A$7:$A$2692,A2223)</x:f>
        <x:v>1</x:v>
      </x:c>
      <x:c r="E2223" s="11" t="n">
        <x:f>D2223-C2223</x:f>
        <x:v>0</x:v>
      </x:c>
      <x:c r="F2223" s="5" t="str">
        <x:v>nicht Pilot</x:v>
      </x:c>
      <x:c r="G2223" s="5" t="str">
        <x:v>HQ</x:v>
      </x:c>
    </x:row>
    <x:row r="2224" ht="36" customHeight="1">
      <x:c r="A2224" s="5" t="str">
        <x:v>L-0248</x:v>
      </x:c>
      <x:c r="B2224" s="5" t="str">
        <x:v>Logistik</x:v>
      </x:c>
      <x:c r="C2224" s="11" t="n">
        <x:v>1</x:v>
      </x:c>
      <x:c r="D2224" s="11" t="n">
        <x:f>COUNTIF('Einzel-ID-Zuordnung'!$A$7:$A$2692,A2224)</x:f>
        <x:v>1</x:v>
      </x:c>
      <x:c r="E2224" s="11" t="n">
        <x:f>D2224-C2224</x:f>
        <x:v>0</x:v>
      </x:c>
      <x:c r="F2224" s="5" t="str">
        <x:v>nicht Pilot</x:v>
      </x:c>
      <x:c r="G2224" s="5" t="str">
        <x:v>HQ</x:v>
      </x:c>
    </x:row>
    <x:row r="2225" ht="36" customHeight="1">
      <x:c r="A2225" s="5" t="str">
        <x:v>L-0249</x:v>
      </x:c>
      <x:c r="B2225" s="5" t="str">
        <x:v>Logistik</x:v>
      </x:c>
      <x:c r="C2225" s="11" t="n">
        <x:v>1</x:v>
      </x:c>
      <x:c r="D2225" s="11" t="n">
        <x:f>COUNTIF('Einzel-ID-Zuordnung'!$A$7:$A$2692,A2225)</x:f>
        <x:v>1</x:v>
      </x:c>
      <x:c r="E2225" s="11" t="n">
        <x:f>D2225-C2225</x:f>
        <x:v>0</x:v>
      </x:c>
      <x:c r="F2225" s="5" t="str">
        <x:v>nicht Pilot</x:v>
      </x:c>
      <x:c r="G2225" s="5" t="str">
        <x:v>HQ</x:v>
      </x:c>
    </x:row>
    <x:row r="2226" ht="36" customHeight="1">
      <x:c r="A2226" s="5" t="str">
        <x:v>L-0250</x:v>
      </x:c>
      <x:c r="B2226" s="5" t="str">
        <x:v>Logistik</x:v>
      </x:c>
      <x:c r="C2226" s="11" t="n">
        <x:v>1</x:v>
      </x:c>
      <x:c r="D2226" s="11" t="n">
        <x:f>COUNTIF('Einzel-ID-Zuordnung'!$A$7:$A$2692,A2226)</x:f>
        <x:v>1</x:v>
      </x:c>
      <x:c r="E2226" s="11" t="n">
        <x:f>D2226-C2226</x:f>
        <x:v>0</x:v>
      </x:c>
      <x:c r="F2226" s="5" t="str">
        <x:v>nicht Pilot</x:v>
      </x:c>
      <x:c r="G2226" s="5" t="str">
        <x:v>HQ</x:v>
      </x:c>
    </x:row>
    <x:row r="2227" ht="36" customHeight="1">
      <x:c r="A2227" s="5" t="str">
        <x:v>L-0251</x:v>
      </x:c>
      <x:c r="B2227" s="5" t="str">
        <x:v>Logistik</x:v>
      </x:c>
      <x:c r="C2227" s="11" t="n">
        <x:v>1</x:v>
      </x:c>
      <x:c r="D2227" s="11" t="n">
        <x:f>COUNTIF('Einzel-ID-Zuordnung'!$A$7:$A$2692,A2227)</x:f>
        <x:v>1</x:v>
      </x:c>
      <x:c r="E2227" s="11" t="n">
        <x:f>D2227-C2227</x:f>
        <x:v>0</x:v>
      </x:c>
      <x:c r="F2227" s="5" t="str">
        <x:v>nicht Pilot</x:v>
      </x:c>
      <x:c r="G2227" s="5" t="str">
        <x:v>HQ</x:v>
      </x:c>
    </x:row>
    <x:row r="2228" ht="36" customHeight="1">
      <x:c r="A2228" s="5" t="str">
        <x:v>L-0252</x:v>
      </x:c>
      <x:c r="B2228" s="5" t="str">
        <x:v>Logistik</x:v>
      </x:c>
      <x:c r="C2228" s="11" t="n">
        <x:v>1</x:v>
      </x:c>
      <x:c r="D2228" s="11" t="n">
        <x:f>COUNTIF('Einzel-ID-Zuordnung'!$A$7:$A$2692,A2228)</x:f>
        <x:v>1</x:v>
      </x:c>
      <x:c r="E2228" s="11" t="n">
        <x:f>D2228-C2228</x:f>
        <x:v>0</x:v>
      </x:c>
      <x:c r="F2228" s="5" t="str">
        <x:v>nicht Pilot</x:v>
      </x:c>
      <x:c r="G2228" s="5" t="str">
        <x:v>HQ</x:v>
      </x:c>
    </x:row>
    <x:row r="2229" ht="36" customHeight="1">
      <x:c r="A2229" s="5" t="str">
        <x:v>L-0253</x:v>
      </x:c>
      <x:c r="B2229" s="5" t="str">
        <x:v>Logistik</x:v>
      </x:c>
      <x:c r="C2229" s="11" t="n">
        <x:v>1</x:v>
      </x:c>
      <x:c r="D2229" s="11" t="n">
        <x:f>COUNTIF('Einzel-ID-Zuordnung'!$A$7:$A$2692,A2229)</x:f>
        <x:v>1</x:v>
      </x:c>
      <x:c r="E2229" s="11" t="n">
        <x:f>D2229-C2229</x:f>
        <x:v>0</x:v>
      </x:c>
      <x:c r="F2229" s="5" t="str">
        <x:v>nicht Pilot</x:v>
      </x:c>
      <x:c r="G2229" s="5" t="str">
        <x:v>HQ</x:v>
      </x:c>
    </x:row>
    <x:row r="2230" ht="36" customHeight="1">
      <x:c r="A2230" s="5" t="str">
        <x:v>L-0254</x:v>
      </x:c>
      <x:c r="B2230" s="5" t="str">
        <x:v>Logistik</x:v>
      </x:c>
      <x:c r="C2230" s="11" t="n">
        <x:v>1</x:v>
      </x:c>
      <x:c r="D2230" s="11" t="n">
        <x:f>COUNTIF('Einzel-ID-Zuordnung'!$A$7:$A$2692,A2230)</x:f>
        <x:v>1</x:v>
      </x:c>
      <x:c r="E2230" s="11" t="n">
        <x:f>D2230-C2230</x:f>
        <x:v>0</x:v>
      </x:c>
      <x:c r="F2230" s="5" t="str">
        <x:v>nicht Pilot</x:v>
      </x:c>
      <x:c r="G2230" s="5" t="str">
        <x:v>HQ</x:v>
      </x:c>
    </x:row>
    <x:row r="2231" ht="36" customHeight="1">
      <x:c r="A2231" s="5" t="str">
        <x:v>L-0255</x:v>
      </x:c>
      <x:c r="B2231" s="5" t="str">
        <x:v>Logistik</x:v>
      </x:c>
      <x:c r="C2231" s="11" t="n">
        <x:v>1</x:v>
      </x:c>
      <x:c r="D2231" s="11" t="n">
        <x:f>COUNTIF('Einzel-ID-Zuordnung'!$A$7:$A$2692,A2231)</x:f>
        <x:v>1</x:v>
      </x:c>
      <x:c r="E2231" s="11" t="n">
        <x:f>D2231-C2231</x:f>
        <x:v>0</x:v>
      </x:c>
      <x:c r="F2231" s="5" t="str">
        <x:v>nicht Pilot</x:v>
      </x:c>
      <x:c r="G2231" s="5" t="str">
        <x:v>HQ</x:v>
      </x:c>
    </x:row>
    <x:row r="2232" ht="36" customHeight="1">
      <x:c r="A2232" s="5" t="str">
        <x:v>L-0256</x:v>
      </x:c>
      <x:c r="B2232" s="5" t="str">
        <x:v>Logistik</x:v>
      </x:c>
      <x:c r="C2232" s="11" t="n">
        <x:v>1</x:v>
      </x:c>
      <x:c r="D2232" s="11" t="n">
        <x:f>COUNTIF('Einzel-ID-Zuordnung'!$A$7:$A$2692,A2232)</x:f>
        <x:v>1</x:v>
      </x:c>
      <x:c r="E2232" s="11" t="n">
        <x:f>D2232-C2232</x:f>
        <x:v>0</x:v>
      </x:c>
      <x:c r="F2232" s="5" t="str">
        <x:v>nicht Pilot</x:v>
      </x:c>
      <x:c r="G2232" s="5" t="str">
        <x:v>HQ</x:v>
      </x:c>
    </x:row>
    <x:row r="2233" ht="36" customHeight="1">
      <x:c r="A2233" s="5" t="str">
        <x:v>L-0257</x:v>
      </x:c>
      <x:c r="B2233" s="5" t="str">
        <x:v>Logistik</x:v>
      </x:c>
      <x:c r="C2233" s="11" t="n">
        <x:v>1</x:v>
      </x:c>
      <x:c r="D2233" s="11" t="n">
        <x:f>COUNTIF('Einzel-ID-Zuordnung'!$A$7:$A$2692,A2233)</x:f>
        <x:v>1</x:v>
      </x:c>
      <x:c r="E2233" s="11" t="n">
        <x:f>D2233-C2233</x:f>
        <x:v>0</x:v>
      </x:c>
      <x:c r="F2233" s="5" t="str">
        <x:v>nicht Pilot</x:v>
      </x:c>
      <x:c r="G2233" s="5" t="str">
        <x:v>HQ</x:v>
      </x:c>
    </x:row>
    <x:row r="2234" ht="36" customHeight="1">
      <x:c r="A2234" s="5" t="str">
        <x:v>L-0258</x:v>
      </x:c>
      <x:c r="B2234" s="5" t="str">
        <x:v>Logistik</x:v>
      </x:c>
      <x:c r="C2234" s="11" t="n">
        <x:v>1</x:v>
      </x:c>
      <x:c r="D2234" s="11" t="n">
        <x:f>COUNTIF('Einzel-ID-Zuordnung'!$A$7:$A$2692,A2234)</x:f>
        <x:v>1</x:v>
      </x:c>
      <x:c r="E2234" s="11" t="n">
        <x:f>D2234-C2234</x:f>
        <x:v>0</x:v>
      </x:c>
      <x:c r="F2234" s="5" t="str">
        <x:v>nicht Pilot</x:v>
      </x:c>
      <x:c r="G2234" s="5" t="str">
        <x:v>HQ</x:v>
      </x:c>
    </x:row>
    <x:row r="2235" ht="36" customHeight="1">
      <x:c r="A2235" s="5" t="str">
        <x:v>L-0259</x:v>
      </x:c>
      <x:c r="B2235" s="5" t="str">
        <x:v>Logistik</x:v>
      </x:c>
      <x:c r="C2235" s="11" t="n">
        <x:v>1</x:v>
      </x:c>
      <x:c r="D2235" s="11" t="n">
        <x:f>COUNTIF('Einzel-ID-Zuordnung'!$A$7:$A$2692,A2235)</x:f>
        <x:v>1</x:v>
      </x:c>
      <x:c r="E2235" s="11" t="n">
        <x:f>D2235-C2235</x:f>
        <x:v>0</x:v>
      </x:c>
      <x:c r="F2235" s="5" t="str">
        <x:v>nicht Pilot</x:v>
      </x:c>
      <x:c r="G2235" s="5" t="str">
        <x:v>HQ</x:v>
      </x:c>
    </x:row>
    <x:row r="2236" ht="36" customHeight="1">
      <x:c r="A2236" s="5" t="str">
        <x:v>L-0260</x:v>
      </x:c>
      <x:c r="B2236" s="5" t="str">
        <x:v>Logistik</x:v>
      </x:c>
      <x:c r="C2236" s="11" t="n">
        <x:v>1</x:v>
      </x:c>
      <x:c r="D2236" s="11" t="n">
        <x:f>COUNTIF('Einzel-ID-Zuordnung'!$A$7:$A$2692,A2236)</x:f>
        <x:v>1</x:v>
      </x:c>
      <x:c r="E2236" s="11" t="n">
        <x:f>D2236-C2236</x:f>
        <x:v>0</x:v>
      </x:c>
      <x:c r="F2236" s="5" t="str">
        <x:v>nicht Pilot</x:v>
      </x:c>
      <x:c r="G2236" s="5" t="str">
        <x:v>HQ</x:v>
      </x:c>
    </x:row>
    <x:row r="2237" ht="36" customHeight="1">
      <x:c r="A2237" s="5" t="str">
        <x:v>L-0261</x:v>
      </x:c>
      <x:c r="B2237" s="5" t="str">
        <x:v>Logistik</x:v>
      </x:c>
      <x:c r="C2237" s="11" t="n">
        <x:v>1</x:v>
      </x:c>
      <x:c r="D2237" s="11" t="n">
        <x:f>COUNTIF('Einzel-ID-Zuordnung'!$A$7:$A$2692,A2237)</x:f>
        <x:v>1</x:v>
      </x:c>
      <x:c r="E2237" s="11" t="n">
        <x:f>D2237-C2237</x:f>
        <x:v>0</x:v>
      </x:c>
      <x:c r="F2237" s="5" t="str">
        <x:v>nicht Pilot</x:v>
      </x:c>
      <x:c r="G2237" s="5" t="str">
        <x:v>HQ</x:v>
      </x:c>
    </x:row>
    <x:row r="2238" ht="36" customHeight="1">
      <x:c r="A2238" s="5" t="str">
        <x:v>L-0262</x:v>
      </x:c>
      <x:c r="B2238" s="5" t="str">
        <x:v>Logistik</x:v>
      </x:c>
      <x:c r="C2238" s="11" t="n">
        <x:v>1</x:v>
      </x:c>
      <x:c r="D2238" s="11" t="n">
        <x:f>COUNTIF('Einzel-ID-Zuordnung'!$A$7:$A$2692,A2238)</x:f>
        <x:v>1</x:v>
      </x:c>
      <x:c r="E2238" s="11" t="n">
        <x:f>D2238-C2238</x:f>
        <x:v>0</x:v>
      </x:c>
      <x:c r="F2238" s="5" t="str">
        <x:v>nicht Pilot</x:v>
      </x:c>
      <x:c r="G2238" s="5" t="str">
        <x:v>HQ</x:v>
      </x:c>
    </x:row>
    <x:row r="2239" ht="36" customHeight="1">
      <x:c r="A2239" s="5" t="str">
        <x:v>L-0263</x:v>
      </x:c>
      <x:c r="B2239" s="5" t="str">
        <x:v>Logistik</x:v>
      </x:c>
      <x:c r="C2239" s="11" t="n">
        <x:v>1</x:v>
      </x:c>
      <x:c r="D2239" s="11" t="n">
        <x:f>COUNTIF('Einzel-ID-Zuordnung'!$A$7:$A$2692,A2239)</x:f>
        <x:v>1</x:v>
      </x:c>
      <x:c r="E2239" s="11" t="n">
        <x:f>D2239-C2239</x:f>
        <x:v>0</x:v>
      </x:c>
      <x:c r="F2239" s="5" t="str">
        <x:v>nicht Pilot</x:v>
      </x:c>
      <x:c r="G2239" s="5" t="str">
        <x:v>HQ</x:v>
      </x:c>
    </x:row>
    <x:row r="2240" ht="36" customHeight="1">
      <x:c r="A2240" s="5" t="str">
        <x:v>L-0264</x:v>
      </x:c>
      <x:c r="B2240" s="5" t="str">
        <x:v>Logistik</x:v>
      </x:c>
      <x:c r="C2240" s="11" t="n">
        <x:v>1</x:v>
      </x:c>
      <x:c r="D2240" s="11" t="n">
        <x:f>COUNTIF('Einzel-ID-Zuordnung'!$A$7:$A$2692,A2240)</x:f>
        <x:v>1</x:v>
      </x:c>
      <x:c r="E2240" s="11" t="n">
        <x:f>D2240-C2240</x:f>
        <x:v>0</x:v>
      </x:c>
      <x:c r="F2240" s="5" t="str">
        <x:v>nicht Pilot</x:v>
      </x:c>
      <x:c r="G2240" s="5" t="str">
        <x:v>HQ</x:v>
      </x:c>
    </x:row>
    <x:row r="2241" ht="36" customHeight="1">
      <x:c r="A2241" s="5" t="str">
        <x:v>L-0265</x:v>
      </x:c>
      <x:c r="B2241" s="5" t="str">
        <x:v>Logistik</x:v>
      </x:c>
      <x:c r="C2241" s="11" t="n">
        <x:v>1</x:v>
      </x:c>
      <x:c r="D2241" s="11" t="n">
        <x:f>COUNTIF('Einzel-ID-Zuordnung'!$A$7:$A$2692,A2241)</x:f>
        <x:v>1</x:v>
      </x:c>
      <x:c r="E2241" s="11" t="n">
        <x:f>D2241-C2241</x:f>
        <x:v>0</x:v>
      </x:c>
      <x:c r="F2241" s="5" t="str">
        <x:v>nicht Pilot</x:v>
      </x:c>
      <x:c r="G2241" s="5" t="str">
        <x:v>HQ</x:v>
      </x:c>
    </x:row>
    <x:row r="2242" ht="36" customHeight="1">
      <x:c r="A2242" s="5" t="str">
        <x:v>L-0266</x:v>
      </x:c>
      <x:c r="B2242" s="5" t="str">
        <x:v>Logistik</x:v>
      </x:c>
      <x:c r="C2242" s="11" t="n">
        <x:v>1</x:v>
      </x:c>
      <x:c r="D2242" s="11" t="n">
        <x:f>COUNTIF('Einzel-ID-Zuordnung'!$A$7:$A$2692,A2242)</x:f>
        <x:v>1</x:v>
      </x:c>
      <x:c r="E2242" s="11" t="n">
        <x:f>D2242-C2242</x:f>
        <x:v>0</x:v>
      </x:c>
      <x:c r="F2242" s="5" t="str">
        <x:v>nicht Pilot</x:v>
      </x:c>
      <x:c r="G2242" s="5" t="str">
        <x:v>HQ</x:v>
      </x:c>
    </x:row>
    <x:row r="2243" ht="36" customHeight="1">
      <x:c r="A2243" s="5" t="str">
        <x:v>L-0267</x:v>
      </x:c>
      <x:c r="B2243" s="5" t="str">
        <x:v>Logistik</x:v>
      </x:c>
      <x:c r="C2243" s="11" t="n">
        <x:v>1</x:v>
      </x:c>
      <x:c r="D2243" s="11" t="n">
        <x:f>COUNTIF('Einzel-ID-Zuordnung'!$A$7:$A$2692,A2243)</x:f>
        <x:v>1</x:v>
      </x:c>
      <x:c r="E2243" s="11" t="n">
        <x:f>D2243-C2243</x:f>
        <x:v>0</x:v>
      </x:c>
      <x:c r="F2243" s="5" t="str">
        <x:v>nicht Pilot</x:v>
      </x:c>
      <x:c r="G2243" s="5" t="str">
        <x:v>HQ</x:v>
      </x:c>
    </x:row>
    <x:row r="2244" ht="36" customHeight="1">
      <x:c r="A2244" s="5" t="str">
        <x:v>L-0268</x:v>
      </x:c>
      <x:c r="B2244" s="5" t="str">
        <x:v>Logistik</x:v>
      </x:c>
      <x:c r="C2244" s="11" t="n">
        <x:v>1</x:v>
      </x:c>
      <x:c r="D2244" s="11" t="n">
        <x:f>COUNTIF('Einzel-ID-Zuordnung'!$A$7:$A$2692,A2244)</x:f>
        <x:v>1</x:v>
      </x:c>
      <x:c r="E2244" s="11" t="n">
        <x:f>D2244-C2244</x:f>
        <x:v>0</x:v>
      </x:c>
      <x:c r="F2244" s="5" t="str">
        <x:v>nicht Pilot</x:v>
      </x:c>
      <x:c r="G2244" s="5" t="str">
        <x:v>HQ</x:v>
      </x:c>
    </x:row>
    <x:row r="2245" ht="36" customHeight="1">
      <x:c r="A2245" s="5" t="str">
        <x:v>L-0269</x:v>
      </x:c>
      <x:c r="B2245" s="5" t="str">
        <x:v>Logistik</x:v>
      </x:c>
      <x:c r="C2245" s="11" t="n">
        <x:v>1</x:v>
      </x:c>
      <x:c r="D2245" s="11" t="n">
        <x:f>COUNTIF('Einzel-ID-Zuordnung'!$A$7:$A$2692,A2245)</x:f>
        <x:v>1</x:v>
      </x:c>
      <x:c r="E2245" s="11" t="n">
        <x:f>D2245-C2245</x:f>
        <x:v>0</x:v>
      </x:c>
      <x:c r="F2245" s="5" t="str">
        <x:v>nicht Pilot</x:v>
      </x:c>
      <x:c r="G2245" s="5" t="str">
        <x:v>HQ</x:v>
      </x:c>
    </x:row>
    <x:row r="2246" ht="36" customHeight="1">
      <x:c r="A2246" s="5" t="str">
        <x:v>L-0270</x:v>
      </x:c>
      <x:c r="B2246" s="5" t="str">
        <x:v>Logistik</x:v>
      </x:c>
      <x:c r="C2246" s="11" t="n">
        <x:v>1</x:v>
      </x:c>
      <x:c r="D2246" s="11" t="n">
        <x:f>COUNTIF('Einzel-ID-Zuordnung'!$A$7:$A$2692,A2246)</x:f>
        <x:v>1</x:v>
      </x:c>
      <x:c r="E2246" s="11" t="n">
        <x:f>D2246-C2246</x:f>
        <x:v>0</x:v>
      </x:c>
      <x:c r="F2246" s="5" t="str">
        <x:v>nicht Pilot</x:v>
      </x:c>
      <x:c r="G2246" s="5" t="str">
        <x:v>HQ</x:v>
      </x:c>
    </x:row>
    <x:row r="2247" ht="36" customHeight="1">
      <x:c r="A2247" s="5" t="str">
        <x:v>L-0271</x:v>
      </x:c>
      <x:c r="B2247" s="5" t="str">
        <x:v>Logistik</x:v>
      </x:c>
      <x:c r="C2247" s="11" t="n">
        <x:v>1</x:v>
      </x:c>
      <x:c r="D2247" s="11" t="n">
        <x:f>COUNTIF('Einzel-ID-Zuordnung'!$A$7:$A$2692,A2247)</x:f>
        <x:v>1</x:v>
      </x:c>
      <x:c r="E2247" s="11" t="n">
        <x:f>D2247-C2247</x:f>
        <x:v>0</x:v>
      </x:c>
      <x:c r="F2247" s="5" t="str">
        <x:v>nicht Pilot</x:v>
      </x:c>
      <x:c r="G2247" s="5" t="str">
        <x:v>HQ</x:v>
      </x:c>
    </x:row>
    <x:row r="2248" ht="36" customHeight="1">
      <x:c r="A2248" s="5" t="str">
        <x:v>L-0272</x:v>
      </x:c>
      <x:c r="B2248" s="5" t="str">
        <x:v>Logistik</x:v>
      </x:c>
      <x:c r="C2248" s="11" t="n">
        <x:v>1</x:v>
      </x:c>
      <x:c r="D2248" s="11" t="n">
        <x:f>COUNTIF('Einzel-ID-Zuordnung'!$A$7:$A$2692,A2248)</x:f>
        <x:v>1</x:v>
      </x:c>
      <x:c r="E2248" s="11" t="n">
        <x:f>D2248-C2248</x:f>
        <x:v>0</x:v>
      </x:c>
      <x:c r="F2248" s="5" t="str">
        <x:v>nicht Pilot</x:v>
      </x:c>
      <x:c r="G2248" s="5" t="str">
        <x:v>HQ</x:v>
      </x:c>
    </x:row>
    <x:row r="2249" ht="36" customHeight="1">
      <x:c r="A2249" s="5" t="str">
        <x:v>L-0273</x:v>
      </x:c>
      <x:c r="B2249" s="5" t="str">
        <x:v>Logistik</x:v>
      </x:c>
      <x:c r="C2249" s="11" t="n">
        <x:v>1</x:v>
      </x:c>
      <x:c r="D2249" s="11" t="n">
        <x:f>COUNTIF('Einzel-ID-Zuordnung'!$A$7:$A$2692,A2249)</x:f>
        <x:v>1</x:v>
      </x:c>
      <x:c r="E2249" s="11" t="n">
        <x:f>D2249-C2249</x:f>
        <x:v>0</x:v>
      </x:c>
      <x:c r="F2249" s="5" t="str">
        <x:v>nicht Pilot</x:v>
      </x:c>
      <x:c r="G2249" s="5" t="str">
        <x:v>HQ</x:v>
      </x:c>
    </x:row>
    <x:row r="2250" ht="36" customHeight="1">
      <x:c r="A2250" s="5" t="str">
        <x:v>L-0274</x:v>
      </x:c>
      <x:c r="B2250" s="5" t="str">
        <x:v>Logistik</x:v>
      </x:c>
      <x:c r="C2250" s="11" t="n">
        <x:v>1</x:v>
      </x:c>
      <x:c r="D2250" s="11" t="n">
        <x:f>COUNTIF('Einzel-ID-Zuordnung'!$A$7:$A$2692,A2250)</x:f>
        <x:v>1</x:v>
      </x:c>
      <x:c r="E2250" s="11" t="n">
        <x:f>D2250-C2250</x:f>
        <x:v>0</x:v>
      </x:c>
      <x:c r="F2250" s="5" t="str">
        <x:v>nicht Pilot</x:v>
      </x:c>
      <x:c r="G2250" s="5" t="str">
        <x:v>HQ</x:v>
      </x:c>
    </x:row>
    <x:row r="2251" ht="36" customHeight="1">
      <x:c r="A2251" s="5" t="str">
        <x:v>L-0275</x:v>
      </x:c>
      <x:c r="B2251" s="5" t="str">
        <x:v>Logistik</x:v>
      </x:c>
      <x:c r="C2251" s="11" t="n">
        <x:v>1</x:v>
      </x:c>
      <x:c r="D2251" s="11" t="n">
        <x:f>COUNTIF('Einzel-ID-Zuordnung'!$A$7:$A$2692,A2251)</x:f>
        <x:v>1</x:v>
      </x:c>
      <x:c r="E2251" s="11" t="n">
        <x:f>D2251-C2251</x:f>
        <x:v>0</x:v>
      </x:c>
      <x:c r="F2251" s="5" t="str">
        <x:v>nicht Pilot</x:v>
      </x:c>
      <x:c r="G2251" s="5" t="str">
        <x:v>HQ</x:v>
      </x:c>
    </x:row>
    <x:row r="2252" ht="36" customHeight="1">
      <x:c r="A2252" s="5" t="str">
        <x:v>L-0276</x:v>
      </x:c>
      <x:c r="B2252" s="5" t="str">
        <x:v>Logistik</x:v>
      </x:c>
      <x:c r="C2252" s="11" t="n">
        <x:v>1</x:v>
      </x:c>
      <x:c r="D2252" s="11" t="n">
        <x:f>COUNTIF('Einzel-ID-Zuordnung'!$A$7:$A$2692,A2252)</x:f>
        <x:v>1</x:v>
      </x:c>
      <x:c r="E2252" s="11" t="n">
        <x:f>D2252-C2252</x:f>
        <x:v>0</x:v>
      </x:c>
      <x:c r="F2252" s="5" t="str">
        <x:v>nicht Pilot</x:v>
      </x:c>
      <x:c r="G2252" s="5" t="str">
        <x:v>HQ</x:v>
      </x:c>
    </x:row>
    <x:row r="2253" ht="36" customHeight="1">
      <x:c r="A2253" s="5" t="str">
        <x:v>L-0277</x:v>
      </x:c>
      <x:c r="B2253" s="5" t="str">
        <x:v>Logistik</x:v>
      </x:c>
      <x:c r="C2253" s="11" t="n">
        <x:v>1</x:v>
      </x:c>
      <x:c r="D2253" s="11" t="n">
        <x:f>COUNTIF('Einzel-ID-Zuordnung'!$A$7:$A$2692,A2253)</x:f>
        <x:v>1</x:v>
      </x:c>
      <x:c r="E2253" s="11" t="n">
        <x:f>D2253-C2253</x:f>
        <x:v>0</x:v>
      </x:c>
      <x:c r="F2253" s="5" t="str">
        <x:v>nicht Pilot</x:v>
      </x:c>
      <x:c r="G2253" s="5" t="str">
        <x:v>HQ</x:v>
      </x:c>
    </x:row>
    <x:row r="2254" ht="36" customHeight="1">
      <x:c r="A2254" s="5" t="str">
        <x:v>L-0278</x:v>
      </x:c>
      <x:c r="B2254" s="5" t="str">
        <x:v>Logistik</x:v>
      </x:c>
      <x:c r="C2254" s="11" t="n">
        <x:v>1</x:v>
      </x:c>
      <x:c r="D2254" s="11" t="n">
        <x:f>COUNTIF('Einzel-ID-Zuordnung'!$A$7:$A$2692,A2254)</x:f>
        <x:v>1</x:v>
      </x:c>
      <x:c r="E2254" s="11" t="n">
        <x:f>D2254-C2254</x:f>
        <x:v>0</x:v>
      </x:c>
      <x:c r="F2254" s="5" t="str">
        <x:v>nicht Pilot</x:v>
      </x:c>
      <x:c r="G2254" s="5" t="str">
        <x:v>HQ</x:v>
      </x:c>
    </x:row>
    <x:row r="2255" ht="36" customHeight="1">
      <x:c r="A2255" s="5" t="str">
        <x:v>L-0279</x:v>
      </x:c>
      <x:c r="B2255" s="5" t="str">
        <x:v>Logistik</x:v>
      </x:c>
      <x:c r="C2255" s="11" t="n">
        <x:v>1</x:v>
      </x:c>
      <x:c r="D2255" s="11" t="n">
        <x:f>COUNTIF('Einzel-ID-Zuordnung'!$A$7:$A$2692,A2255)</x:f>
        <x:v>1</x:v>
      </x:c>
      <x:c r="E2255" s="11" t="n">
        <x:f>D2255-C2255</x:f>
        <x:v>0</x:v>
      </x:c>
      <x:c r="F2255" s="5" t="str">
        <x:v>nicht Pilot</x:v>
      </x:c>
      <x:c r="G2255" s="5" t="str">
        <x:v>HQ</x:v>
      </x:c>
    </x:row>
    <x:row r="2256" ht="36" customHeight="1">
      <x:c r="A2256" s="5" t="str">
        <x:v>L-0280</x:v>
      </x:c>
      <x:c r="B2256" s="5" t="str">
        <x:v>Logistik</x:v>
      </x:c>
      <x:c r="C2256" s="11" t="n">
        <x:v>1</x:v>
      </x:c>
      <x:c r="D2256" s="11" t="n">
        <x:f>COUNTIF('Einzel-ID-Zuordnung'!$A$7:$A$2692,A2256)</x:f>
        <x:v>1</x:v>
      </x:c>
      <x:c r="E2256" s="11" t="n">
        <x:f>D2256-C2256</x:f>
        <x:v>0</x:v>
      </x:c>
      <x:c r="F2256" s="5" t="str">
        <x:v>nicht Pilot</x:v>
      </x:c>
      <x:c r="G2256" s="5" t="str">
        <x:v>HQ</x:v>
      </x:c>
    </x:row>
    <x:row r="2257" ht="36" customHeight="1">
      <x:c r="A2257" s="5" t="str">
        <x:v>L-0281</x:v>
      </x:c>
      <x:c r="B2257" s="5" t="str">
        <x:v>Logistik</x:v>
      </x:c>
      <x:c r="C2257" s="11" t="n">
        <x:v>1</x:v>
      </x:c>
      <x:c r="D2257" s="11" t="n">
        <x:f>COUNTIF('Einzel-ID-Zuordnung'!$A$7:$A$2692,A2257)</x:f>
        <x:v>1</x:v>
      </x:c>
      <x:c r="E2257" s="11" t="n">
        <x:f>D2257-C2257</x:f>
        <x:v>0</x:v>
      </x:c>
      <x:c r="F2257" s="5" t="str">
        <x:v>nicht Pilot</x:v>
      </x:c>
      <x:c r="G2257" s="5" t="str">
        <x:v>HQ</x:v>
      </x:c>
    </x:row>
    <x:row r="2258" ht="36" customHeight="1">
      <x:c r="A2258" s="5" t="str">
        <x:v>L-0282</x:v>
      </x:c>
      <x:c r="B2258" s="5" t="str">
        <x:v>Logistik</x:v>
      </x:c>
      <x:c r="C2258" s="11" t="n">
        <x:v>1</x:v>
      </x:c>
      <x:c r="D2258" s="11" t="n">
        <x:f>COUNTIF('Einzel-ID-Zuordnung'!$A$7:$A$2692,A2258)</x:f>
        <x:v>1</x:v>
      </x:c>
      <x:c r="E2258" s="11" t="n">
        <x:f>D2258-C2258</x:f>
        <x:v>0</x:v>
      </x:c>
      <x:c r="F2258" s="5" t="str">
        <x:v>nicht Pilot</x:v>
      </x:c>
      <x:c r="G2258" s="5" t="str">
        <x:v>HQ</x:v>
      </x:c>
    </x:row>
    <x:row r="2259" ht="36" customHeight="1">
      <x:c r="A2259" s="5" t="str">
        <x:v>L-0283</x:v>
      </x:c>
      <x:c r="B2259" s="5" t="str">
        <x:v>Logistik</x:v>
      </x:c>
      <x:c r="C2259" s="11" t="n">
        <x:v>1</x:v>
      </x:c>
      <x:c r="D2259" s="11" t="n">
        <x:f>COUNTIF('Einzel-ID-Zuordnung'!$A$7:$A$2692,A2259)</x:f>
        <x:v>1</x:v>
      </x:c>
      <x:c r="E2259" s="11" t="n">
        <x:f>D2259-C2259</x:f>
        <x:v>0</x:v>
      </x:c>
      <x:c r="F2259" s="5" t="str">
        <x:v>nicht Pilot</x:v>
      </x:c>
      <x:c r="G2259" s="5" t="str">
        <x:v>HQ</x:v>
      </x:c>
    </x:row>
    <x:row r="2260" ht="36" customHeight="1">
      <x:c r="A2260" s="5" t="str">
        <x:v>L-0284</x:v>
      </x:c>
      <x:c r="B2260" s="5" t="str">
        <x:v>Logistik</x:v>
      </x:c>
      <x:c r="C2260" s="11" t="n">
        <x:v>1</x:v>
      </x:c>
      <x:c r="D2260" s="11" t="n">
        <x:f>COUNTIF('Einzel-ID-Zuordnung'!$A$7:$A$2692,A2260)</x:f>
        <x:v>1</x:v>
      </x:c>
      <x:c r="E2260" s="11" t="n">
        <x:f>D2260-C2260</x:f>
        <x:v>0</x:v>
      </x:c>
      <x:c r="F2260" s="5" t="str">
        <x:v>nicht Pilot</x:v>
      </x:c>
      <x:c r="G2260" s="5" t="str">
        <x:v>HQ</x:v>
      </x:c>
    </x:row>
    <x:row r="2261" ht="36" customHeight="1">
      <x:c r="A2261" s="5" t="str">
        <x:v>L-0285</x:v>
      </x:c>
      <x:c r="B2261" s="5" t="str">
        <x:v>Logistik</x:v>
      </x:c>
      <x:c r="C2261" s="11" t="n">
        <x:v>1</x:v>
      </x:c>
      <x:c r="D2261" s="11" t="n">
        <x:f>COUNTIF('Einzel-ID-Zuordnung'!$A$7:$A$2692,A2261)</x:f>
        <x:v>1</x:v>
      </x:c>
      <x:c r="E2261" s="11" t="n">
        <x:f>D2261-C2261</x:f>
        <x:v>0</x:v>
      </x:c>
      <x:c r="F2261" s="5" t="str">
        <x:v>nicht Pilot</x:v>
      </x:c>
      <x:c r="G2261" s="5" t="str">
        <x:v>HQ</x:v>
      </x:c>
    </x:row>
    <x:row r="2262" ht="36" customHeight="1">
      <x:c r="A2262" s="5" t="str">
        <x:v>L-0286</x:v>
      </x:c>
      <x:c r="B2262" s="5" t="str">
        <x:v>Logistik</x:v>
      </x:c>
      <x:c r="C2262" s="11" t="n">
        <x:v>1</x:v>
      </x:c>
      <x:c r="D2262" s="11" t="n">
        <x:f>COUNTIF('Einzel-ID-Zuordnung'!$A$7:$A$2692,A2262)</x:f>
        <x:v>1</x:v>
      </x:c>
      <x:c r="E2262" s="11" t="n">
        <x:f>D2262-C2262</x:f>
        <x:v>0</x:v>
      </x:c>
      <x:c r="F2262" s="5" t="str">
        <x:v>nicht Pilot</x:v>
      </x:c>
      <x:c r="G2262" s="5" t="str">
        <x:v>HQ</x:v>
      </x:c>
    </x:row>
    <x:row r="2263" ht="36" customHeight="1">
      <x:c r="A2263" s="5" t="str">
        <x:v>L-0287</x:v>
      </x:c>
      <x:c r="B2263" s="5" t="str">
        <x:v>Logistik</x:v>
      </x:c>
      <x:c r="C2263" s="11" t="n">
        <x:v>1</x:v>
      </x:c>
      <x:c r="D2263" s="11" t="n">
        <x:f>COUNTIF('Einzel-ID-Zuordnung'!$A$7:$A$2692,A2263)</x:f>
        <x:v>1</x:v>
      </x:c>
      <x:c r="E2263" s="11" t="n">
        <x:f>D2263-C2263</x:f>
        <x:v>0</x:v>
      </x:c>
      <x:c r="F2263" s="5" t="str">
        <x:v>nicht Pilot</x:v>
      </x:c>
      <x:c r="G2263" s="5" t="str">
        <x:v>HQ</x:v>
      </x:c>
    </x:row>
    <x:row r="2264" ht="36" customHeight="1">
      <x:c r="A2264" s="5" t="str">
        <x:v>L-0288</x:v>
      </x:c>
      <x:c r="B2264" s="5" t="str">
        <x:v>Logistik</x:v>
      </x:c>
      <x:c r="C2264" s="11" t="n">
        <x:v>1</x:v>
      </x:c>
      <x:c r="D2264" s="11" t="n">
        <x:f>COUNTIF('Einzel-ID-Zuordnung'!$A$7:$A$2692,A2264)</x:f>
        <x:v>1</x:v>
      </x:c>
      <x:c r="E2264" s="11" t="n">
        <x:f>D2264-C2264</x:f>
        <x:v>0</x:v>
      </x:c>
      <x:c r="F2264" s="5" t="str">
        <x:v>nicht Pilot</x:v>
      </x:c>
      <x:c r="G2264" s="5" t="str">
        <x:v>HQ</x:v>
      </x:c>
    </x:row>
    <x:row r="2265" ht="36" customHeight="1">
      <x:c r="A2265" s="5" t="str">
        <x:v>L-0289</x:v>
      </x:c>
      <x:c r="B2265" s="5" t="str">
        <x:v>Logistik</x:v>
      </x:c>
      <x:c r="C2265" s="11" t="n">
        <x:v>1</x:v>
      </x:c>
      <x:c r="D2265" s="11" t="n">
        <x:f>COUNTIF('Einzel-ID-Zuordnung'!$A$7:$A$2692,A2265)</x:f>
        <x:v>1</x:v>
      </x:c>
      <x:c r="E2265" s="11" t="n">
        <x:f>D2265-C2265</x:f>
        <x:v>0</x:v>
      </x:c>
      <x:c r="F2265" s="5" t="str">
        <x:v>nicht Pilot</x:v>
      </x:c>
      <x:c r="G2265" s="5" t="str">
        <x:v>HQ</x:v>
      </x:c>
    </x:row>
    <x:row r="2266" ht="36" customHeight="1">
      <x:c r="A2266" s="5" t="str">
        <x:v>L-0290</x:v>
      </x:c>
      <x:c r="B2266" s="5" t="str">
        <x:v>Logistik</x:v>
      </x:c>
      <x:c r="C2266" s="11" t="n">
        <x:v>1</x:v>
      </x:c>
      <x:c r="D2266" s="11" t="n">
        <x:f>COUNTIF('Einzel-ID-Zuordnung'!$A$7:$A$2692,A2266)</x:f>
        <x:v>1</x:v>
      </x:c>
      <x:c r="E2266" s="11" t="n">
        <x:f>D2266-C2266</x:f>
        <x:v>0</x:v>
      </x:c>
      <x:c r="F2266" s="5" t="str">
        <x:v>nicht Pilot</x:v>
      </x:c>
      <x:c r="G2266" s="5" t="str">
        <x:v>HQ</x:v>
      </x:c>
    </x:row>
    <x:row r="2267" ht="36" customHeight="1">
      <x:c r="A2267" s="5" t="str">
        <x:v>L-0291</x:v>
      </x:c>
      <x:c r="B2267" s="5" t="str">
        <x:v>Logistik</x:v>
      </x:c>
      <x:c r="C2267" s="11" t="n">
        <x:v>1</x:v>
      </x:c>
      <x:c r="D2267" s="11" t="n">
        <x:f>COUNTIF('Einzel-ID-Zuordnung'!$A$7:$A$2692,A2267)</x:f>
        <x:v>1</x:v>
      </x:c>
      <x:c r="E2267" s="11" t="n">
        <x:f>D2267-C2267</x:f>
        <x:v>0</x:v>
      </x:c>
      <x:c r="F2267" s="5" t="str">
        <x:v>nicht Pilot</x:v>
      </x:c>
      <x:c r="G2267" s="5" t="str">
        <x:v>HQ</x:v>
      </x:c>
    </x:row>
    <x:row r="2268" ht="36" customHeight="1">
      <x:c r="A2268" s="5" t="str">
        <x:v>L-0292</x:v>
      </x:c>
      <x:c r="B2268" s="5" t="str">
        <x:v>Logistik</x:v>
      </x:c>
      <x:c r="C2268" s="11" t="n">
        <x:v>1</x:v>
      </x:c>
      <x:c r="D2268" s="11" t="n">
        <x:f>COUNTIF('Einzel-ID-Zuordnung'!$A$7:$A$2692,A2268)</x:f>
        <x:v>1</x:v>
      </x:c>
      <x:c r="E2268" s="11" t="n">
        <x:f>D2268-C2268</x:f>
        <x:v>0</x:v>
      </x:c>
      <x:c r="F2268" s="5" t="str">
        <x:v>nicht Pilot</x:v>
      </x:c>
      <x:c r="G2268" s="5" t="str">
        <x:v>HQ</x:v>
      </x:c>
    </x:row>
    <x:row r="2269" ht="36" customHeight="1">
      <x:c r="A2269" s="5" t="str">
        <x:v>L-0293</x:v>
      </x:c>
      <x:c r="B2269" s="5" t="str">
        <x:v>Logistik</x:v>
      </x:c>
      <x:c r="C2269" s="11" t="n">
        <x:v>1</x:v>
      </x:c>
      <x:c r="D2269" s="11" t="n">
        <x:f>COUNTIF('Einzel-ID-Zuordnung'!$A$7:$A$2692,A2269)</x:f>
        <x:v>1</x:v>
      </x:c>
      <x:c r="E2269" s="11" t="n">
        <x:f>D2269-C2269</x:f>
        <x:v>0</x:v>
      </x:c>
      <x:c r="F2269" s="5" t="str">
        <x:v>nicht Pilot</x:v>
      </x:c>
      <x:c r="G2269" s="5" t="str">
        <x:v>HQ</x:v>
      </x:c>
    </x:row>
    <x:row r="2270" ht="36" customHeight="1">
      <x:c r="A2270" s="5" t="str">
        <x:v>L-0294</x:v>
      </x:c>
      <x:c r="B2270" s="5" t="str">
        <x:v>Logistik</x:v>
      </x:c>
      <x:c r="C2270" s="11" t="n">
        <x:v>1</x:v>
      </x:c>
      <x:c r="D2270" s="11" t="n">
        <x:f>COUNTIF('Einzel-ID-Zuordnung'!$A$7:$A$2692,A2270)</x:f>
        <x:v>1</x:v>
      </x:c>
      <x:c r="E2270" s="11" t="n">
        <x:f>D2270-C2270</x:f>
        <x:v>0</x:v>
      </x:c>
      <x:c r="F2270" s="5" t="str">
        <x:v>nicht Pilot</x:v>
      </x:c>
      <x:c r="G2270" s="5" t="str">
        <x:v>HQ</x:v>
      </x:c>
    </x:row>
    <x:row r="2271" ht="36" customHeight="1">
      <x:c r="A2271" s="5" t="str">
        <x:v>L-0295</x:v>
      </x:c>
      <x:c r="B2271" s="5" t="str">
        <x:v>Logistik</x:v>
      </x:c>
      <x:c r="C2271" s="11" t="n">
        <x:v>1</x:v>
      </x:c>
      <x:c r="D2271" s="11" t="n">
        <x:f>COUNTIF('Einzel-ID-Zuordnung'!$A$7:$A$2692,A2271)</x:f>
        <x:v>1</x:v>
      </x:c>
      <x:c r="E2271" s="11" t="n">
        <x:f>D2271-C2271</x:f>
        <x:v>0</x:v>
      </x:c>
      <x:c r="F2271" s="5" t="str">
        <x:v>nicht Pilot</x:v>
      </x:c>
      <x:c r="G2271" s="5" t="str">
        <x:v>HQ</x:v>
      </x:c>
    </x:row>
    <x:row r="2272" ht="36" customHeight="1">
      <x:c r="A2272" s="5" t="str">
        <x:v>L-0296</x:v>
      </x:c>
      <x:c r="B2272" s="5" t="str">
        <x:v>Logistik</x:v>
      </x:c>
      <x:c r="C2272" s="11" t="n">
        <x:v>1</x:v>
      </x:c>
      <x:c r="D2272" s="11" t="n">
        <x:f>COUNTIF('Einzel-ID-Zuordnung'!$A$7:$A$2692,A2272)</x:f>
        <x:v>1</x:v>
      </x:c>
      <x:c r="E2272" s="11" t="n">
        <x:f>D2272-C2272</x:f>
        <x:v>0</x:v>
      </x:c>
      <x:c r="F2272" s="5" t="str">
        <x:v>nicht Pilot</x:v>
      </x:c>
      <x:c r="G2272" s="5" t="str">
        <x:v>HQ</x:v>
      </x:c>
    </x:row>
    <x:row r="2273" ht="36" customHeight="1">
      <x:c r="A2273" s="5" t="str">
        <x:v>L-0297</x:v>
      </x:c>
      <x:c r="B2273" s="5" t="str">
        <x:v>Logistik</x:v>
      </x:c>
      <x:c r="C2273" s="11" t="n">
        <x:v>1</x:v>
      </x:c>
      <x:c r="D2273" s="11" t="n">
        <x:f>COUNTIF('Einzel-ID-Zuordnung'!$A$7:$A$2692,A2273)</x:f>
        <x:v>1</x:v>
      </x:c>
      <x:c r="E2273" s="11" t="n">
        <x:f>D2273-C2273</x:f>
        <x:v>0</x:v>
      </x:c>
      <x:c r="F2273" s="5" t="str">
        <x:v>nicht Pilot</x:v>
      </x:c>
      <x:c r="G2273" s="5" t="str">
        <x:v>HQ</x:v>
      </x:c>
    </x:row>
    <x:row r="2274" ht="36" customHeight="1">
      <x:c r="A2274" s="5" t="str">
        <x:v>L-0298</x:v>
      </x:c>
      <x:c r="B2274" s="5" t="str">
        <x:v>Logistik</x:v>
      </x:c>
      <x:c r="C2274" s="11" t="n">
        <x:v>1</x:v>
      </x:c>
      <x:c r="D2274" s="11" t="n">
        <x:f>COUNTIF('Einzel-ID-Zuordnung'!$A$7:$A$2692,A2274)</x:f>
        <x:v>1</x:v>
      </x:c>
      <x:c r="E2274" s="11" t="n">
        <x:f>D2274-C2274</x:f>
        <x:v>0</x:v>
      </x:c>
      <x:c r="F2274" s="5" t="str">
        <x:v>nicht Pilot</x:v>
      </x:c>
      <x:c r="G2274" s="5" t="str">
        <x:v>HQ</x:v>
      </x:c>
    </x:row>
    <x:row r="2275" ht="36" customHeight="1">
      <x:c r="A2275" s="5" t="str">
        <x:v>L-0299</x:v>
      </x:c>
      <x:c r="B2275" s="5" t="str">
        <x:v>Logistik</x:v>
      </x:c>
      <x:c r="C2275" s="11" t="n">
        <x:v>1</x:v>
      </x:c>
      <x:c r="D2275" s="11" t="n">
        <x:f>COUNTIF('Einzel-ID-Zuordnung'!$A$7:$A$2692,A2275)</x:f>
        <x:v>1</x:v>
      </x:c>
      <x:c r="E2275" s="11" t="n">
        <x:f>D2275-C2275</x:f>
        <x:v>0</x:v>
      </x:c>
      <x:c r="F2275" s="5" t="str">
        <x:v>nicht Pilot</x:v>
      </x:c>
      <x:c r="G2275" s="5" t="str">
        <x:v>HQ</x:v>
      </x:c>
    </x:row>
    <x:row r="2276" ht="36" customHeight="1">
      <x:c r="A2276" s="5" t="str">
        <x:v>L-0300</x:v>
      </x:c>
      <x:c r="B2276" s="5" t="str">
        <x:v>Logistik</x:v>
      </x:c>
      <x:c r="C2276" s="11" t="n">
        <x:v>1</x:v>
      </x:c>
      <x:c r="D2276" s="11" t="n">
        <x:f>COUNTIF('Einzel-ID-Zuordnung'!$A$7:$A$2692,A2276)</x:f>
        <x:v>1</x:v>
      </x:c>
      <x:c r="E2276" s="11" t="n">
        <x:f>D2276-C2276</x:f>
        <x:v>0</x:v>
      </x:c>
      <x:c r="F2276" s="5" t="str">
        <x:v>nicht Pilot</x:v>
      </x:c>
      <x:c r="G2276" s="5" t="str">
        <x:v>HQ</x:v>
      </x:c>
    </x:row>
    <x:row r="2277" ht="36" customHeight="1">
      <x:c r="A2277" s="5" t="str">
        <x:v>L-0301</x:v>
      </x:c>
      <x:c r="B2277" s="5" t="str">
        <x:v>Logistik</x:v>
      </x:c>
      <x:c r="C2277" s="11" t="n">
        <x:v>1</x:v>
      </x:c>
      <x:c r="D2277" s="11" t="n">
        <x:f>COUNTIF('Einzel-ID-Zuordnung'!$A$7:$A$2692,A2277)</x:f>
        <x:v>1</x:v>
      </x:c>
      <x:c r="E2277" s="11" t="n">
        <x:f>D2277-C2277</x:f>
        <x:v>0</x:v>
      </x:c>
      <x:c r="F2277" s="5" t="str">
        <x:v>nicht Pilot</x:v>
      </x:c>
      <x:c r="G2277" s="5" t="str">
        <x:v>HQ</x:v>
      </x:c>
    </x:row>
    <x:row r="2278" ht="36" customHeight="1">
      <x:c r="A2278" s="5" t="str">
        <x:v>L-0302</x:v>
      </x:c>
      <x:c r="B2278" s="5" t="str">
        <x:v>Logistik</x:v>
      </x:c>
      <x:c r="C2278" s="11" t="n">
        <x:v>1</x:v>
      </x:c>
      <x:c r="D2278" s="11" t="n">
        <x:f>COUNTIF('Einzel-ID-Zuordnung'!$A$7:$A$2692,A2278)</x:f>
        <x:v>1</x:v>
      </x:c>
      <x:c r="E2278" s="11" t="n">
        <x:f>D2278-C2278</x:f>
        <x:v>0</x:v>
      </x:c>
      <x:c r="F2278" s="5" t="str">
        <x:v>nicht Pilot</x:v>
      </x:c>
      <x:c r="G2278" s="5" t="str">
        <x:v>HQ</x:v>
      </x:c>
    </x:row>
    <x:row r="2279" ht="36" customHeight="1">
      <x:c r="A2279" s="5" t="str">
        <x:v>L-0303</x:v>
      </x:c>
      <x:c r="B2279" s="5" t="str">
        <x:v>Logistik</x:v>
      </x:c>
      <x:c r="C2279" s="11" t="n">
        <x:v>1</x:v>
      </x:c>
      <x:c r="D2279" s="11" t="n">
        <x:f>COUNTIF('Einzel-ID-Zuordnung'!$A$7:$A$2692,A2279)</x:f>
        <x:v>1</x:v>
      </x:c>
      <x:c r="E2279" s="11" t="n">
        <x:f>D2279-C2279</x:f>
        <x:v>0</x:v>
      </x:c>
      <x:c r="F2279" s="5" t="str">
        <x:v>nicht Pilot</x:v>
      </x:c>
      <x:c r="G2279" s="5" t="str">
        <x:v>HQ</x:v>
      </x:c>
    </x:row>
    <x:row r="2280" ht="36" customHeight="1">
      <x:c r="A2280" s="5" t="str">
        <x:v>L-0304</x:v>
      </x:c>
      <x:c r="B2280" s="5" t="str">
        <x:v>Logistik</x:v>
      </x:c>
      <x:c r="C2280" s="11" t="n">
        <x:v>1</x:v>
      </x:c>
      <x:c r="D2280" s="11" t="n">
        <x:f>COUNTIF('Einzel-ID-Zuordnung'!$A$7:$A$2692,A2280)</x:f>
        <x:v>1</x:v>
      </x:c>
      <x:c r="E2280" s="11" t="n">
        <x:f>D2280-C2280</x:f>
        <x:v>0</x:v>
      </x:c>
      <x:c r="F2280" s="5" t="str">
        <x:v>nicht Pilot</x:v>
      </x:c>
      <x:c r="G2280" s="5" t="str">
        <x:v>HQ</x:v>
      </x:c>
    </x:row>
    <x:row r="2281" ht="36" customHeight="1">
      <x:c r="A2281" s="5" t="str">
        <x:v>L-0305</x:v>
      </x:c>
      <x:c r="B2281" s="5" t="str">
        <x:v>Logistik</x:v>
      </x:c>
      <x:c r="C2281" s="11" t="n">
        <x:v>1</x:v>
      </x:c>
      <x:c r="D2281" s="11" t="n">
        <x:f>COUNTIF('Einzel-ID-Zuordnung'!$A$7:$A$2692,A2281)</x:f>
        <x:v>1</x:v>
      </x:c>
      <x:c r="E2281" s="11" t="n">
        <x:f>D2281-C2281</x:f>
        <x:v>0</x:v>
      </x:c>
      <x:c r="F2281" s="5" t="str">
        <x:v>nicht Pilot</x:v>
      </x:c>
      <x:c r="G2281" s="5" t="str">
        <x:v>HQ</x:v>
      </x:c>
    </x:row>
    <x:row r="2282" ht="36" customHeight="1">
      <x:c r="A2282" s="5" t="str">
        <x:v>L-0306</x:v>
      </x:c>
      <x:c r="B2282" s="5" t="str">
        <x:v>Logistik</x:v>
      </x:c>
      <x:c r="C2282" s="11" t="n">
        <x:v>1</x:v>
      </x:c>
      <x:c r="D2282" s="11" t="n">
        <x:f>COUNTIF('Einzel-ID-Zuordnung'!$A$7:$A$2692,A2282)</x:f>
        <x:v>1</x:v>
      </x:c>
      <x:c r="E2282" s="11" t="n">
        <x:f>D2282-C2282</x:f>
        <x:v>0</x:v>
      </x:c>
      <x:c r="F2282" s="5" t="str">
        <x:v>nicht Pilot</x:v>
      </x:c>
      <x:c r="G2282" s="5" t="str">
        <x:v>HQ</x:v>
      </x:c>
    </x:row>
    <x:row r="2283" ht="36" customHeight="1">
      <x:c r="A2283" s="5" t="str">
        <x:v>L-0307</x:v>
      </x:c>
      <x:c r="B2283" s="5" t="str">
        <x:v>Logistik</x:v>
      </x:c>
      <x:c r="C2283" s="11" t="n">
        <x:v>1</x:v>
      </x:c>
      <x:c r="D2283" s="11" t="n">
        <x:f>COUNTIF('Einzel-ID-Zuordnung'!$A$7:$A$2692,A2283)</x:f>
        <x:v>1</x:v>
      </x:c>
      <x:c r="E2283" s="11" t="n">
        <x:f>D2283-C2283</x:f>
        <x:v>0</x:v>
      </x:c>
      <x:c r="F2283" s="5" t="str">
        <x:v>nicht Pilot</x:v>
      </x:c>
      <x:c r="G2283" s="5" t="str">
        <x:v>HQ</x:v>
      </x:c>
    </x:row>
    <x:row r="2284" ht="36" customHeight="1">
      <x:c r="A2284" s="5" t="str">
        <x:v>L-0308</x:v>
      </x:c>
      <x:c r="B2284" s="5" t="str">
        <x:v>Logistik</x:v>
      </x:c>
      <x:c r="C2284" s="11" t="n">
        <x:v>1</x:v>
      </x:c>
      <x:c r="D2284" s="11" t="n">
        <x:f>COUNTIF('Einzel-ID-Zuordnung'!$A$7:$A$2692,A2284)</x:f>
        <x:v>1</x:v>
      </x:c>
      <x:c r="E2284" s="11" t="n">
        <x:f>D2284-C2284</x:f>
        <x:v>0</x:v>
      </x:c>
      <x:c r="F2284" s="5" t="str">
        <x:v>nicht Pilot</x:v>
      </x:c>
      <x:c r="G2284" s="5" t="str">
        <x:v>HQ</x:v>
      </x:c>
    </x:row>
    <x:row r="2285" ht="36" customHeight="1">
      <x:c r="A2285" s="5" t="str">
        <x:v>L-0309</x:v>
      </x:c>
      <x:c r="B2285" s="5" t="str">
        <x:v>Logistik</x:v>
      </x:c>
      <x:c r="C2285" s="11" t="n">
        <x:v>1</x:v>
      </x:c>
      <x:c r="D2285" s="11" t="n">
        <x:f>COUNTIF('Einzel-ID-Zuordnung'!$A$7:$A$2692,A2285)</x:f>
        <x:v>1</x:v>
      </x:c>
      <x:c r="E2285" s="11" t="n">
        <x:f>D2285-C2285</x:f>
        <x:v>0</x:v>
      </x:c>
      <x:c r="F2285" s="5" t="str">
        <x:v>nicht Pilot</x:v>
      </x:c>
      <x:c r="G2285" s="5" t="str">
        <x:v>HQ</x:v>
      </x:c>
    </x:row>
    <x:row r="2286" ht="36" customHeight="1">
      <x:c r="A2286" s="5" t="str">
        <x:v>L-0310</x:v>
      </x:c>
      <x:c r="B2286" s="5" t="str">
        <x:v>Logistik</x:v>
      </x:c>
      <x:c r="C2286" s="11" t="n">
        <x:v>1</x:v>
      </x:c>
      <x:c r="D2286" s="11" t="n">
        <x:f>COUNTIF('Einzel-ID-Zuordnung'!$A$7:$A$2692,A2286)</x:f>
        <x:v>1</x:v>
      </x:c>
      <x:c r="E2286" s="11" t="n">
        <x:f>D2286-C2286</x:f>
        <x:v>0</x:v>
      </x:c>
      <x:c r="F2286" s="5" t="str">
        <x:v>nicht Pilot</x:v>
      </x:c>
      <x:c r="G2286" s="5" t="str">
        <x:v>HQ</x:v>
      </x:c>
    </x:row>
    <x:row r="2287" ht="36" customHeight="1">
      <x:c r="A2287" s="5" t="str">
        <x:v>L-0311</x:v>
      </x:c>
      <x:c r="B2287" s="5" t="str">
        <x:v>Logistik</x:v>
      </x:c>
      <x:c r="C2287" s="11" t="n">
        <x:v>1</x:v>
      </x:c>
      <x:c r="D2287" s="11" t="n">
        <x:f>COUNTIF('Einzel-ID-Zuordnung'!$A$7:$A$2692,A2287)</x:f>
        <x:v>1</x:v>
      </x:c>
      <x:c r="E2287" s="11" t="n">
        <x:f>D2287-C2287</x:f>
        <x:v>0</x:v>
      </x:c>
      <x:c r="F2287" s="5" t="str">
        <x:v>nicht Pilot</x:v>
      </x:c>
      <x:c r="G2287" s="5" t="str">
        <x:v>HQ</x:v>
      </x:c>
    </x:row>
    <x:row r="2288" ht="36" customHeight="1">
      <x:c r="A2288" s="5" t="str">
        <x:v>L-0312</x:v>
      </x:c>
      <x:c r="B2288" s="5" t="str">
        <x:v>Logistik</x:v>
      </x:c>
      <x:c r="C2288" s="11" t="n">
        <x:v>1</x:v>
      </x:c>
      <x:c r="D2288" s="11" t="n">
        <x:f>COUNTIF('Einzel-ID-Zuordnung'!$A$7:$A$2692,A2288)</x:f>
        <x:v>1</x:v>
      </x:c>
      <x:c r="E2288" s="11" t="n">
        <x:f>D2288-C2288</x:f>
        <x:v>0</x:v>
      </x:c>
      <x:c r="F2288" s="5" t="str">
        <x:v>nicht Pilot</x:v>
      </x:c>
      <x:c r="G2288" s="5" t="str">
        <x:v>HQ</x:v>
      </x:c>
    </x:row>
    <x:row r="2289" ht="36" customHeight="1">
      <x:c r="A2289" s="5" t="str">
        <x:v>L-0313</x:v>
      </x:c>
      <x:c r="B2289" s="5" t="str">
        <x:v>Logistik</x:v>
      </x:c>
      <x:c r="C2289" s="11" t="n">
        <x:v>1</x:v>
      </x:c>
      <x:c r="D2289" s="11" t="n">
        <x:f>COUNTIF('Einzel-ID-Zuordnung'!$A$7:$A$2692,A2289)</x:f>
        <x:v>1</x:v>
      </x:c>
      <x:c r="E2289" s="11" t="n">
        <x:f>D2289-C2289</x:f>
        <x:v>0</x:v>
      </x:c>
      <x:c r="F2289" s="5" t="str">
        <x:v>nicht Pilot</x:v>
      </x:c>
      <x:c r="G2289" s="5" t="str">
        <x:v>HQ</x:v>
      </x:c>
    </x:row>
    <x:row r="2290" ht="36" customHeight="1">
      <x:c r="A2290" s="5" t="str">
        <x:v>L-0314</x:v>
      </x:c>
      <x:c r="B2290" s="5" t="str">
        <x:v>Logistik</x:v>
      </x:c>
      <x:c r="C2290" s="11" t="n">
        <x:v>1</x:v>
      </x:c>
      <x:c r="D2290" s="11" t="n">
        <x:f>COUNTIF('Einzel-ID-Zuordnung'!$A$7:$A$2692,A2290)</x:f>
        <x:v>1</x:v>
      </x:c>
      <x:c r="E2290" s="11" t="n">
        <x:f>D2290-C2290</x:f>
        <x:v>0</x:v>
      </x:c>
      <x:c r="F2290" s="5" t="str">
        <x:v>nicht Pilot</x:v>
      </x:c>
      <x:c r="G2290" s="5" t="str">
        <x:v>HQ</x:v>
      </x:c>
    </x:row>
    <x:row r="2291" ht="36" customHeight="1">
      <x:c r="A2291" s="5" t="str">
        <x:v>L-0315</x:v>
      </x:c>
      <x:c r="B2291" s="5" t="str">
        <x:v>Logistik</x:v>
      </x:c>
      <x:c r="C2291" s="11" t="n">
        <x:v>1</x:v>
      </x:c>
      <x:c r="D2291" s="11" t="n">
        <x:f>COUNTIF('Einzel-ID-Zuordnung'!$A$7:$A$2692,A2291)</x:f>
        <x:v>1</x:v>
      </x:c>
      <x:c r="E2291" s="11" t="n">
        <x:f>D2291-C2291</x:f>
        <x:v>0</x:v>
      </x:c>
      <x:c r="F2291" s="5" t="str">
        <x:v>nicht Pilot</x:v>
      </x:c>
      <x:c r="G2291" s="5" t="str">
        <x:v>HQ</x:v>
      </x:c>
    </x:row>
    <x:row r="2292" ht="36" customHeight="1">
      <x:c r="A2292" s="5" t="str">
        <x:v>L-0316</x:v>
      </x:c>
      <x:c r="B2292" s="5" t="str">
        <x:v>Logistik</x:v>
      </x:c>
      <x:c r="C2292" s="11" t="n">
        <x:v>1</x:v>
      </x:c>
      <x:c r="D2292" s="11" t="n">
        <x:f>COUNTIF('Einzel-ID-Zuordnung'!$A$7:$A$2692,A2292)</x:f>
        <x:v>1</x:v>
      </x:c>
      <x:c r="E2292" s="11" t="n">
        <x:f>D2292-C2292</x:f>
        <x:v>0</x:v>
      </x:c>
      <x:c r="F2292" s="5" t="str">
        <x:v>nicht Pilot</x:v>
      </x:c>
      <x:c r="G2292" s="5" t="str">
        <x:v>HQ</x:v>
      </x:c>
    </x:row>
    <x:row r="2293" ht="36" customHeight="1">
      <x:c r="A2293" s="5" t="str">
        <x:v>L-0317</x:v>
      </x:c>
      <x:c r="B2293" s="5" t="str">
        <x:v>Logistik</x:v>
      </x:c>
      <x:c r="C2293" s="11" t="n">
        <x:v>1</x:v>
      </x:c>
      <x:c r="D2293" s="11" t="n">
        <x:f>COUNTIF('Einzel-ID-Zuordnung'!$A$7:$A$2692,A2293)</x:f>
        <x:v>1</x:v>
      </x:c>
      <x:c r="E2293" s="11" t="n">
        <x:f>D2293-C2293</x:f>
        <x:v>0</x:v>
      </x:c>
      <x:c r="F2293" s="5" t="str">
        <x:v>nicht Pilot</x:v>
      </x:c>
      <x:c r="G2293" s="5" t="str">
        <x:v>HQ</x:v>
      </x:c>
    </x:row>
    <x:row r="2294" ht="36" customHeight="1">
      <x:c r="A2294" s="5" t="str">
        <x:v>L-0318</x:v>
      </x:c>
      <x:c r="B2294" s="5" t="str">
        <x:v>Logistik</x:v>
      </x:c>
      <x:c r="C2294" s="11" t="n">
        <x:v>1</x:v>
      </x:c>
      <x:c r="D2294" s="11" t="n">
        <x:f>COUNTIF('Einzel-ID-Zuordnung'!$A$7:$A$2692,A2294)</x:f>
        <x:v>1</x:v>
      </x:c>
      <x:c r="E2294" s="11" t="n">
        <x:f>D2294-C2294</x:f>
        <x:v>0</x:v>
      </x:c>
      <x:c r="F2294" s="5" t="str">
        <x:v>nicht Pilot</x:v>
      </x:c>
      <x:c r="G2294" s="5" t="str">
        <x:v>HQ</x:v>
      </x:c>
    </x:row>
    <x:row r="2295" ht="36" customHeight="1">
      <x:c r="A2295" s="5" t="str">
        <x:v>L-0319</x:v>
      </x:c>
      <x:c r="B2295" s="5" t="str">
        <x:v>Logistik</x:v>
      </x:c>
      <x:c r="C2295" s="11" t="n">
        <x:v>1</x:v>
      </x:c>
      <x:c r="D2295" s="11" t="n">
        <x:f>COUNTIF('Einzel-ID-Zuordnung'!$A$7:$A$2692,A2295)</x:f>
        <x:v>1</x:v>
      </x:c>
      <x:c r="E2295" s="11" t="n">
        <x:f>D2295-C2295</x:f>
        <x:v>0</x:v>
      </x:c>
      <x:c r="F2295" s="5" t="str">
        <x:v>nicht Pilot</x:v>
      </x:c>
      <x:c r="G2295" s="5" t="str">
        <x:v>HQ</x:v>
      </x:c>
    </x:row>
    <x:row r="2296" ht="36" customHeight="1">
      <x:c r="A2296" s="5" t="str">
        <x:v>L-0320</x:v>
      </x:c>
      <x:c r="B2296" s="5" t="str">
        <x:v>Logistik</x:v>
      </x:c>
      <x:c r="C2296" s="11" t="n">
        <x:v>1</x:v>
      </x:c>
      <x:c r="D2296" s="11" t="n">
        <x:f>COUNTIF('Einzel-ID-Zuordnung'!$A$7:$A$2692,A2296)</x:f>
        <x:v>1</x:v>
      </x:c>
      <x:c r="E2296" s="11" t="n">
        <x:f>D2296-C2296</x:f>
        <x:v>0</x:v>
      </x:c>
      <x:c r="F2296" s="5" t="str">
        <x:v>nicht Pilot</x:v>
      </x:c>
      <x:c r="G2296" s="5" t="str">
        <x:v>HQ</x:v>
      </x:c>
    </x:row>
    <x:row r="2297" ht="36" customHeight="1">
      <x:c r="A2297" s="5" t="str">
        <x:v>M-0001</x:v>
      </x:c>
      <x:c r="B2297" s="5" t="str">
        <x:v>Marketing</x:v>
      </x:c>
      <x:c r="C2297" s="11" t="n">
        <x:v>1</x:v>
      </x:c>
      <x:c r="D2297" s="11" t="n">
        <x:f>COUNTIF('Einzel-ID-Zuordnung'!$A$7:$A$2692,A2297)</x:f>
        <x:v>1</x:v>
      </x:c>
      <x:c r="E2297" s="11" t="n">
        <x:f>D2297-C2297</x:f>
        <x:v>0</x:v>
      </x:c>
      <x:c r="F2297" s="5" t="str">
        <x:v>nicht Pilot</x:v>
      </x:c>
      <x:c r="G2297" s="5" t="str">
        <x:v>HQ</x:v>
      </x:c>
    </x:row>
    <x:row r="2298" ht="36" customHeight="1">
      <x:c r="A2298" s="5" t="str">
        <x:v>M-0002</x:v>
      </x:c>
      <x:c r="B2298" s="5" t="str">
        <x:v>Marketing</x:v>
      </x:c>
      <x:c r="C2298" s="11" t="n">
        <x:v>1</x:v>
      </x:c>
      <x:c r="D2298" s="11" t="n">
        <x:f>COUNTIF('Einzel-ID-Zuordnung'!$A$7:$A$2692,A2298)</x:f>
        <x:v>1</x:v>
      </x:c>
      <x:c r="E2298" s="11" t="n">
        <x:f>D2298-C2298</x:f>
        <x:v>0</x:v>
      </x:c>
      <x:c r="F2298" s="5" t="str">
        <x:v>nicht Pilot</x:v>
      </x:c>
      <x:c r="G2298" s="5" t="str">
        <x:v>HQ</x:v>
      </x:c>
    </x:row>
    <x:row r="2299" ht="36" customHeight="1">
      <x:c r="A2299" s="5" t="str">
        <x:v>M-0003</x:v>
      </x:c>
      <x:c r="B2299" s="5" t="str">
        <x:v>Marketing</x:v>
      </x:c>
      <x:c r="C2299" s="11" t="n">
        <x:v>1</x:v>
      </x:c>
      <x:c r="D2299" s="11" t="n">
        <x:f>COUNTIF('Einzel-ID-Zuordnung'!$A$7:$A$2692,A2299)</x:f>
        <x:v>1</x:v>
      </x:c>
      <x:c r="E2299" s="11" t="n">
        <x:f>D2299-C2299</x:f>
        <x:v>0</x:v>
      </x:c>
      <x:c r="F2299" s="5" t="str">
        <x:v>nicht Pilot</x:v>
      </x:c>
      <x:c r="G2299" s="5" t="str">
        <x:v>HQ</x:v>
      </x:c>
    </x:row>
    <x:row r="2300" ht="36" customHeight="1">
      <x:c r="A2300" s="5" t="str">
        <x:v>M-0004</x:v>
      </x:c>
      <x:c r="B2300" s="5" t="str">
        <x:v>Marketing</x:v>
      </x:c>
      <x:c r="C2300" s="11" t="n">
        <x:v>1</x:v>
      </x:c>
      <x:c r="D2300" s="11" t="n">
        <x:f>COUNTIF('Einzel-ID-Zuordnung'!$A$7:$A$2692,A2300)</x:f>
        <x:v>1</x:v>
      </x:c>
      <x:c r="E2300" s="11" t="n">
        <x:f>D2300-C2300</x:f>
        <x:v>0</x:v>
      </x:c>
      <x:c r="F2300" s="5" t="str">
        <x:v>nicht Pilot</x:v>
      </x:c>
      <x:c r="G2300" s="5" t="str">
        <x:v>HQ</x:v>
      </x:c>
    </x:row>
    <x:row r="2301" ht="36" customHeight="1">
      <x:c r="A2301" s="5" t="str">
        <x:v>M-0005</x:v>
      </x:c>
      <x:c r="B2301" s="5" t="str">
        <x:v>Marketing</x:v>
      </x:c>
      <x:c r="C2301" s="11" t="n">
        <x:v>1</x:v>
      </x:c>
      <x:c r="D2301" s="11" t="n">
        <x:f>COUNTIF('Einzel-ID-Zuordnung'!$A$7:$A$2692,A2301)</x:f>
        <x:v>1</x:v>
      </x:c>
      <x:c r="E2301" s="11" t="n">
        <x:f>D2301-C2301</x:f>
        <x:v>0</x:v>
      </x:c>
      <x:c r="F2301" s="5" t="str">
        <x:v>nicht Pilot</x:v>
      </x:c>
      <x:c r="G2301" s="5" t="str">
        <x:v>HQ</x:v>
      </x:c>
    </x:row>
    <x:row r="2302" ht="36" customHeight="1">
      <x:c r="A2302" s="5" t="str">
        <x:v>M-0006</x:v>
      </x:c>
      <x:c r="B2302" s="5" t="str">
        <x:v>Marketing</x:v>
      </x:c>
      <x:c r="C2302" s="11" t="n">
        <x:v>1</x:v>
      </x:c>
      <x:c r="D2302" s="11" t="n">
        <x:f>COUNTIF('Einzel-ID-Zuordnung'!$A$7:$A$2692,A2302)</x:f>
        <x:v>1</x:v>
      </x:c>
      <x:c r="E2302" s="11" t="n">
        <x:f>D2302-C2302</x:f>
        <x:v>0</x:v>
      </x:c>
      <x:c r="F2302" s="5" t="str">
        <x:v>nicht Pilot</x:v>
      </x:c>
      <x:c r="G2302" s="5" t="str">
        <x:v>HQ</x:v>
      </x:c>
    </x:row>
    <x:row r="2303" ht="36" customHeight="1">
      <x:c r="A2303" s="5" t="str">
        <x:v>M-0007</x:v>
      </x:c>
      <x:c r="B2303" s="5" t="str">
        <x:v>Marketing</x:v>
      </x:c>
      <x:c r="C2303" s="11" t="n">
        <x:v>1</x:v>
      </x:c>
      <x:c r="D2303" s="11" t="n">
        <x:f>COUNTIF('Einzel-ID-Zuordnung'!$A$7:$A$2692,A2303)</x:f>
        <x:v>1</x:v>
      </x:c>
      <x:c r="E2303" s="11" t="n">
        <x:f>D2303-C2303</x:f>
        <x:v>0</x:v>
      </x:c>
      <x:c r="F2303" s="5" t="str">
        <x:v>nicht Pilot</x:v>
      </x:c>
      <x:c r="G2303" s="5" t="str">
        <x:v>HQ</x:v>
      </x:c>
    </x:row>
    <x:row r="2304" ht="36" customHeight="1">
      <x:c r="A2304" s="5" t="str">
        <x:v>M-0008</x:v>
      </x:c>
      <x:c r="B2304" s="5" t="str">
        <x:v>Marketing</x:v>
      </x:c>
      <x:c r="C2304" s="11" t="n">
        <x:v>1</x:v>
      </x:c>
      <x:c r="D2304" s="11" t="n">
        <x:f>COUNTIF('Einzel-ID-Zuordnung'!$A$7:$A$2692,A2304)</x:f>
        <x:v>1</x:v>
      </x:c>
      <x:c r="E2304" s="11" t="n">
        <x:f>D2304-C2304</x:f>
        <x:v>0</x:v>
      </x:c>
      <x:c r="F2304" s="5" t="str">
        <x:v>nicht Pilot</x:v>
      </x:c>
      <x:c r="G2304" s="5" t="str">
        <x:v>HQ</x:v>
      </x:c>
    </x:row>
    <x:row r="2305" ht="36" customHeight="1">
      <x:c r="A2305" s="5" t="str">
        <x:v>M-0009</x:v>
      </x:c>
      <x:c r="B2305" s="5" t="str">
        <x:v>Marketing</x:v>
      </x:c>
      <x:c r="C2305" s="11" t="n">
        <x:v>1</x:v>
      </x:c>
      <x:c r="D2305" s="11" t="n">
        <x:f>COUNTIF('Einzel-ID-Zuordnung'!$A$7:$A$2692,A2305)</x:f>
        <x:v>1</x:v>
      </x:c>
      <x:c r="E2305" s="11" t="n">
        <x:f>D2305-C2305</x:f>
        <x:v>0</x:v>
      </x:c>
      <x:c r="F2305" s="5" t="str">
        <x:v>nicht Pilot</x:v>
      </x:c>
      <x:c r="G2305" s="5" t="str">
        <x:v>HQ</x:v>
      </x:c>
    </x:row>
    <x:row r="2306" ht="36" customHeight="1">
      <x:c r="A2306" s="5" t="str">
        <x:v>M-0010</x:v>
      </x:c>
      <x:c r="B2306" s="5" t="str">
        <x:v>Marketing</x:v>
      </x:c>
      <x:c r="C2306" s="11" t="n">
        <x:v>1</x:v>
      </x:c>
      <x:c r="D2306" s="11" t="n">
        <x:f>COUNTIF('Einzel-ID-Zuordnung'!$A$7:$A$2692,A2306)</x:f>
        <x:v>1</x:v>
      </x:c>
      <x:c r="E2306" s="11" t="n">
        <x:f>D2306-C2306</x:f>
        <x:v>0</x:v>
      </x:c>
      <x:c r="F2306" s="5" t="str">
        <x:v>nicht Pilot</x:v>
      </x:c>
      <x:c r="G2306" s="5" t="str">
        <x:v>HQ</x:v>
      </x:c>
    </x:row>
    <x:row r="2307" ht="36" customHeight="1">
      <x:c r="A2307" s="5" t="str">
        <x:v>M-0011</x:v>
      </x:c>
      <x:c r="B2307" s="5" t="str">
        <x:v>Marketing</x:v>
      </x:c>
      <x:c r="C2307" s="11" t="n">
        <x:v>1</x:v>
      </x:c>
      <x:c r="D2307" s="11" t="n">
        <x:f>COUNTIF('Einzel-ID-Zuordnung'!$A$7:$A$2692,A2307)</x:f>
        <x:v>1</x:v>
      </x:c>
      <x:c r="E2307" s="11" t="n">
        <x:f>D2307-C2307</x:f>
        <x:v>0</x:v>
      </x:c>
      <x:c r="F2307" s="5" t="str">
        <x:v>nicht Pilot</x:v>
      </x:c>
      <x:c r="G2307" s="5" t="str">
        <x:v>HQ</x:v>
      </x:c>
    </x:row>
    <x:row r="2308" ht="36" customHeight="1">
      <x:c r="A2308" s="5" t="str">
        <x:v>M-0012</x:v>
      </x:c>
      <x:c r="B2308" s="5" t="str">
        <x:v>Marketing</x:v>
      </x:c>
      <x:c r="C2308" s="11" t="n">
        <x:v>1</x:v>
      </x:c>
      <x:c r="D2308" s="11" t="n">
        <x:f>COUNTIF('Einzel-ID-Zuordnung'!$A$7:$A$2692,A2308)</x:f>
        <x:v>1</x:v>
      </x:c>
      <x:c r="E2308" s="11" t="n">
        <x:f>D2308-C2308</x:f>
        <x:v>0</x:v>
      </x:c>
      <x:c r="F2308" s="5" t="str">
        <x:v>nicht Pilot</x:v>
      </x:c>
      <x:c r="G2308" s="5" t="str">
        <x:v>HQ</x:v>
      </x:c>
    </x:row>
    <x:row r="2309" ht="36" customHeight="1">
      <x:c r="A2309" s="5" t="str">
        <x:v>M-0013</x:v>
      </x:c>
      <x:c r="B2309" s="5" t="str">
        <x:v>Marketing</x:v>
      </x:c>
      <x:c r="C2309" s="11" t="n">
        <x:v>1</x:v>
      </x:c>
      <x:c r="D2309" s="11" t="n">
        <x:f>COUNTIF('Einzel-ID-Zuordnung'!$A$7:$A$2692,A2309)</x:f>
        <x:v>1</x:v>
      </x:c>
      <x:c r="E2309" s="11" t="n">
        <x:f>D2309-C2309</x:f>
        <x:v>0</x:v>
      </x:c>
      <x:c r="F2309" s="5" t="str">
        <x:v>nicht Pilot</x:v>
      </x:c>
      <x:c r="G2309" s="5" t="str">
        <x:v>HQ</x:v>
      </x:c>
    </x:row>
    <x:row r="2310" ht="36" customHeight="1">
      <x:c r="A2310" s="5" t="str">
        <x:v>M-0014</x:v>
      </x:c>
      <x:c r="B2310" s="5" t="str">
        <x:v>Marketing</x:v>
      </x:c>
      <x:c r="C2310" s="11" t="n">
        <x:v>1</x:v>
      </x:c>
      <x:c r="D2310" s="11" t="n">
        <x:f>COUNTIF('Einzel-ID-Zuordnung'!$A$7:$A$2692,A2310)</x:f>
        <x:v>1</x:v>
      </x:c>
      <x:c r="E2310" s="11" t="n">
        <x:f>D2310-C2310</x:f>
        <x:v>0</x:v>
      </x:c>
      <x:c r="F2310" s="5" t="str">
        <x:v>nicht Pilot</x:v>
      </x:c>
      <x:c r="G2310" s="5" t="str">
        <x:v>HQ</x:v>
      </x:c>
    </x:row>
    <x:row r="2311" ht="36" customHeight="1">
      <x:c r="A2311" s="5" t="str">
        <x:v>M-0015</x:v>
      </x:c>
      <x:c r="B2311" s="5" t="str">
        <x:v>Marketing</x:v>
      </x:c>
      <x:c r="C2311" s="11" t="n">
        <x:v>1</x:v>
      </x:c>
      <x:c r="D2311" s="11" t="n">
        <x:f>COUNTIF('Einzel-ID-Zuordnung'!$A$7:$A$2692,A2311)</x:f>
        <x:v>1</x:v>
      </x:c>
      <x:c r="E2311" s="11" t="n">
        <x:f>D2311-C2311</x:f>
        <x:v>0</x:v>
      </x:c>
      <x:c r="F2311" s="5" t="str">
        <x:v>nicht Pilot</x:v>
      </x:c>
      <x:c r="G2311" s="5" t="str">
        <x:v>HQ</x:v>
      </x:c>
    </x:row>
    <x:row r="2312" ht="36" customHeight="1">
      <x:c r="A2312" s="5" t="str">
        <x:v>M-0016</x:v>
      </x:c>
      <x:c r="B2312" s="5" t="str">
        <x:v>Marketing</x:v>
      </x:c>
      <x:c r="C2312" s="11" t="n">
        <x:v>1</x:v>
      </x:c>
      <x:c r="D2312" s="11" t="n">
        <x:f>COUNTIF('Einzel-ID-Zuordnung'!$A$7:$A$2692,A2312)</x:f>
        <x:v>1</x:v>
      </x:c>
      <x:c r="E2312" s="11" t="n">
        <x:f>D2312-C2312</x:f>
        <x:v>0</x:v>
      </x:c>
      <x:c r="F2312" s="5" t="str">
        <x:v>nicht Pilot</x:v>
      </x:c>
      <x:c r="G2312" s="5" t="str">
        <x:v>HQ</x:v>
      </x:c>
    </x:row>
    <x:row r="2313" ht="36" customHeight="1">
      <x:c r="A2313" s="5" t="str">
        <x:v>M-0017</x:v>
      </x:c>
      <x:c r="B2313" s="5" t="str">
        <x:v>Marketing</x:v>
      </x:c>
      <x:c r="C2313" s="11" t="n">
        <x:v>1</x:v>
      </x:c>
      <x:c r="D2313" s="11" t="n">
        <x:f>COUNTIF('Einzel-ID-Zuordnung'!$A$7:$A$2692,A2313)</x:f>
        <x:v>1</x:v>
      </x:c>
      <x:c r="E2313" s="11" t="n">
        <x:f>D2313-C2313</x:f>
        <x:v>0</x:v>
      </x:c>
      <x:c r="F2313" s="5" t="str">
        <x:v>nicht Pilot</x:v>
      </x:c>
      <x:c r="G2313" s="5" t="str">
        <x:v>HQ</x:v>
      </x:c>
    </x:row>
    <x:row r="2314" ht="36" customHeight="1">
      <x:c r="A2314" s="5" t="str">
        <x:v>M-0018</x:v>
      </x:c>
      <x:c r="B2314" s="5" t="str">
        <x:v>Marketing</x:v>
      </x:c>
      <x:c r="C2314" s="11" t="n">
        <x:v>1</x:v>
      </x:c>
      <x:c r="D2314" s="11" t="n">
        <x:f>COUNTIF('Einzel-ID-Zuordnung'!$A$7:$A$2692,A2314)</x:f>
        <x:v>1</x:v>
      </x:c>
      <x:c r="E2314" s="11" t="n">
        <x:f>D2314-C2314</x:f>
        <x:v>0</x:v>
      </x:c>
      <x:c r="F2314" s="5" t="str">
        <x:v>nicht Pilot</x:v>
      </x:c>
      <x:c r="G2314" s="5" t="str">
        <x:v>HQ</x:v>
      </x:c>
    </x:row>
    <x:row r="2315" ht="36" customHeight="1">
      <x:c r="A2315" s="5" t="str">
        <x:v>M-0019</x:v>
      </x:c>
      <x:c r="B2315" s="5" t="str">
        <x:v>Marketing</x:v>
      </x:c>
      <x:c r="C2315" s="11" t="n">
        <x:v>1</x:v>
      </x:c>
      <x:c r="D2315" s="11" t="n">
        <x:f>COUNTIF('Einzel-ID-Zuordnung'!$A$7:$A$2692,A2315)</x:f>
        <x:v>1</x:v>
      </x:c>
      <x:c r="E2315" s="11" t="n">
        <x:f>D2315-C2315</x:f>
        <x:v>0</x:v>
      </x:c>
      <x:c r="F2315" s="5" t="str">
        <x:v>nicht Pilot</x:v>
      </x:c>
      <x:c r="G2315" s="5" t="str">
        <x:v>HQ</x:v>
      </x:c>
    </x:row>
    <x:row r="2316" ht="36" customHeight="1">
      <x:c r="A2316" s="5" t="str">
        <x:v>M-0020</x:v>
      </x:c>
      <x:c r="B2316" s="5" t="str">
        <x:v>Marketing</x:v>
      </x:c>
      <x:c r="C2316" s="11" t="n">
        <x:v>1</x:v>
      </x:c>
      <x:c r="D2316" s="11" t="n">
        <x:f>COUNTIF('Einzel-ID-Zuordnung'!$A$7:$A$2692,A2316)</x:f>
        <x:v>1</x:v>
      </x:c>
      <x:c r="E2316" s="11" t="n">
        <x:f>D2316-C2316</x:f>
        <x:v>0</x:v>
      </x:c>
      <x:c r="F2316" s="5" t="str">
        <x:v>nicht Pilot</x:v>
      </x:c>
      <x:c r="G2316" s="5" t="str">
        <x:v>HQ</x:v>
      </x:c>
    </x:row>
    <x:row r="2317" ht="36" customHeight="1">
      <x:c r="A2317" s="5" t="str">
        <x:v>M-0021</x:v>
      </x:c>
      <x:c r="B2317" s="5" t="str">
        <x:v>Marketing</x:v>
      </x:c>
      <x:c r="C2317" s="11" t="n">
        <x:v>1</x:v>
      </x:c>
      <x:c r="D2317" s="11" t="n">
        <x:f>COUNTIF('Einzel-ID-Zuordnung'!$A$7:$A$2692,A2317)</x:f>
        <x:v>1</x:v>
      </x:c>
      <x:c r="E2317" s="11" t="n">
        <x:f>D2317-C2317</x:f>
        <x:v>0</x:v>
      </x:c>
      <x:c r="F2317" s="5" t="str">
        <x:v>nicht Pilot</x:v>
      </x:c>
      <x:c r="G2317" s="5" t="str">
        <x:v>HQ</x:v>
      </x:c>
    </x:row>
    <x:row r="2318" ht="36" customHeight="1">
      <x:c r="A2318" s="5" t="str">
        <x:v>M-0022</x:v>
      </x:c>
      <x:c r="B2318" s="5" t="str">
        <x:v>Marketing</x:v>
      </x:c>
      <x:c r="C2318" s="11" t="n">
        <x:v>1</x:v>
      </x:c>
      <x:c r="D2318" s="11" t="n">
        <x:f>COUNTIF('Einzel-ID-Zuordnung'!$A$7:$A$2692,A2318)</x:f>
        <x:v>1</x:v>
      </x:c>
      <x:c r="E2318" s="11" t="n">
        <x:f>D2318-C2318</x:f>
        <x:v>0</x:v>
      </x:c>
      <x:c r="F2318" s="5" t="str">
        <x:v>nicht Pilot</x:v>
      </x:c>
      <x:c r="G2318" s="5" t="str">
        <x:v>HQ</x:v>
      </x:c>
    </x:row>
    <x:row r="2319" ht="36" customHeight="1">
      <x:c r="A2319" s="5" t="str">
        <x:v>M-0023</x:v>
      </x:c>
      <x:c r="B2319" s="5" t="str">
        <x:v>Marketing</x:v>
      </x:c>
      <x:c r="C2319" s="11" t="n">
        <x:v>1</x:v>
      </x:c>
      <x:c r="D2319" s="11" t="n">
        <x:f>COUNTIF('Einzel-ID-Zuordnung'!$A$7:$A$2692,A2319)</x:f>
        <x:v>1</x:v>
      </x:c>
      <x:c r="E2319" s="11" t="n">
        <x:f>D2319-C2319</x:f>
        <x:v>0</x:v>
      </x:c>
      <x:c r="F2319" s="5" t="str">
        <x:v>nicht Pilot</x:v>
      </x:c>
      <x:c r="G2319" s="5" t="str">
        <x:v>HQ</x:v>
      </x:c>
    </x:row>
    <x:row r="2320" ht="36" customHeight="1">
      <x:c r="A2320" s="5" t="str">
        <x:v>M-0024</x:v>
      </x:c>
      <x:c r="B2320" s="5" t="str">
        <x:v>Marketing</x:v>
      </x:c>
      <x:c r="C2320" s="11" t="n">
        <x:v>1</x:v>
      </x:c>
      <x:c r="D2320" s="11" t="n">
        <x:f>COUNTIF('Einzel-ID-Zuordnung'!$A$7:$A$2692,A2320)</x:f>
        <x:v>1</x:v>
      </x:c>
      <x:c r="E2320" s="11" t="n">
        <x:f>D2320-C2320</x:f>
        <x:v>0</x:v>
      </x:c>
      <x:c r="F2320" s="5" t="str">
        <x:v>nicht Pilot</x:v>
      </x:c>
      <x:c r="G2320" s="5" t="str">
        <x:v>HQ</x:v>
      </x:c>
    </x:row>
    <x:row r="2321" ht="36" customHeight="1">
      <x:c r="A2321" s="5" t="str">
        <x:v>M-0025</x:v>
      </x:c>
      <x:c r="B2321" s="5" t="str">
        <x:v>Marketing</x:v>
      </x:c>
      <x:c r="C2321" s="11" t="n">
        <x:v>1</x:v>
      </x:c>
      <x:c r="D2321" s="11" t="n">
        <x:f>COUNTIF('Einzel-ID-Zuordnung'!$A$7:$A$2692,A2321)</x:f>
        <x:v>1</x:v>
      </x:c>
      <x:c r="E2321" s="11" t="n">
        <x:f>D2321-C2321</x:f>
        <x:v>0</x:v>
      </x:c>
      <x:c r="F2321" s="5" t="str">
        <x:v>nicht Pilot</x:v>
      </x:c>
      <x:c r="G2321" s="5" t="str">
        <x:v>HQ</x:v>
      </x:c>
    </x:row>
    <x:row r="2322" ht="36" customHeight="1">
      <x:c r="A2322" s="5" t="str">
        <x:v>M-0026</x:v>
      </x:c>
      <x:c r="B2322" s="5" t="str">
        <x:v>Marketing</x:v>
      </x:c>
      <x:c r="C2322" s="11" t="n">
        <x:v>1</x:v>
      </x:c>
      <x:c r="D2322" s="11" t="n">
        <x:f>COUNTIF('Einzel-ID-Zuordnung'!$A$7:$A$2692,A2322)</x:f>
        <x:v>1</x:v>
      </x:c>
      <x:c r="E2322" s="11" t="n">
        <x:f>D2322-C2322</x:f>
        <x:v>0</x:v>
      </x:c>
      <x:c r="F2322" s="5" t="str">
        <x:v>nicht Pilot</x:v>
      </x:c>
      <x:c r="G2322" s="5" t="str">
        <x:v>HQ</x:v>
      </x:c>
    </x:row>
    <x:row r="2323" ht="36" customHeight="1">
      <x:c r="A2323" s="5" t="str">
        <x:v>M-0027</x:v>
      </x:c>
      <x:c r="B2323" s="5" t="str">
        <x:v>Marketing</x:v>
      </x:c>
      <x:c r="C2323" s="11" t="n">
        <x:v>1</x:v>
      </x:c>
      <x:c r="D2323" s="11" t="n">
        <x:f>COUNTIF('Einzel-ID-Zuordnung'!$A$7:$A$2692,A2323)</x:f>
        <x:v>1</x:v>
      </x:c>
      <x:c r="E2323" s="11" t="n">
        <x:f>D2323-C2323</x:f>
        <x:v>0</x:v>
      </x:c>
      <x:c r="F2323" s="5" t="str">
        <x:v>nicht Pilot</x:v>
      </x:c>
      <x:c r="G2323" s="5" t="str">
        <x:v>HQ</x:v>
      </x:c>
    </x:row>
    <x:row r="2324" ht="36" customHeight="1">
      <x:c r="A2324" s="5" t="str">
        <x:v>M-0028</x:v>
      </x:c>
      <x:c r="B2324" s="5" t="str">
        <x:v>Marketing</x:v>
      </x:c>
      <x:c r="C2324" s="11" t="n">
        <x:v>1</x:v>
      </x:c>
      <x:c r="D2324" s="11" t="n">
        <x:f>COUNTIF('Einzel-ID-Zuordnung'!$A$7:$A$2692,A2324)</x:f>
        <x:v>1</x:v>
      </x:c>
      <x:c r="E2324" s="11" t="n">
        <x:f>D2324-C2324</x:f>
        <x:v>0</x:v>
      </x:c>
      <x:c r="F2324" s="5" t="str">
        <x:v>nicht Pilot</x:v>
      </x:c>
      <x:c r="G2324" s="5" t="str">
        <x:v>HQ</x:v>
      </x:c>
    </x:row>
    <x:row r="2325" ht="36" customHeight="1">
      <x:c r="A2325" s="5" t="str">
        <x:v>M-0029</x:v>
      </x:c>
      <x:c r="B2325" s="5" t="str">
        <x:v>Marketing</x:v>
      </x:c>
      <x:c r="C2325" s="11" t="n">
        <x:v>1</x:v>
      </x:c>
      <x:c r="D2325" s="11" t="n">
        <x:f>COUNTIF('Einzel-ID-Zuordnung'!$A$7:$A$2692,A2325)</x:f>
        <x:v>1</x:v>
      </x:c>
      <x:c r="E2325" s="11" t="n">
        <x:f>D2325-C2325</x:f>
        <x:v>0</x:v>
      </x:c>
      <x:c r="F2325" s="5" t="str">
        <x:v>nicht Pilot</x:v>
      </x:c>
      <x:c r="G2325" s="5" t="str">
        <x:v>HQ</x:v>
      </x:c>
    </x:row>
    <x:row r="2326" ht="36" customHeight="1">
      <x:c r="A2326" s="5" t="str">
        <x:v>M-0030</x:v>
      </x:c>
      <x:c r="B2326" s="5" t="str">
        <x:v>Marketing</x:v>
      </x:c>
      <x:c r="C2326" s="11" t="n">
        <x:v>1</x:v>
      </x:c>
      <x:c r="D2326" s="11" t="n">
        <x:f>COUNTIF('Einzel-ID-Zuordnung'!$A$7:$A$2692,A2326)</x:f>
        <x:v>1</x:v>
      </x:c>
      <x:c r="E2326" s="11" t="n">
        <x:f>D2326-C2326</x:f>
        <x:v>0</x:v>
      </x:c>
      <x:c r="F2326" s="5" t="str">
        <x:v>nicht Pilot</x:v>
      </x:c>
      <x:c r="G2326" s="5" t="str">
        <x:v>HQ</x:v>
      </x:c>
    </x:row>
    <x:row r="2327" ht="36" customHeight="1">
      <x:c r="A2327" s="5" t="str">
        <x:v>M-0031</x:v>
      </x:c>
      <x:c r="B2327" s="5" t="str">
        <x:v>Marketing</x:v>
      </x:c>
      <x:c r="C2327" s="11" t="n">
        <x:v>1</x:v>
      </x:c>
      <x:c r="D2327" s="11" t="n">
        <x:f>COUNTIF('Einzel-ID-Zuordnung'!$A$7:$A$2692,A2327)</x:f>
        <x:v>1</x:v>
      </x:c>
      <x:c r="E2327" s="11" t="n">
        <x:f>D2327-C2327</x:f>
        <x:v>0</x:v>
      </x:c>
      <x:c r="F2327" s="5" t="str">
        <x:v>nicht Pilot</x:v>
      </x:c>
      <x:c r="G2327" s="5" t="str">
        <x:v>HQ</x:v>
      </x:c>
    </x:row>
    <x:row r="2328" ht="36" customHeight="1">
      <x:c r="A2328" s="5" t="str">
        <x:v>M-0032</x:v>
      </x:c>
      <x:c r="B2328" s="5" t="str">
        <x:v>Marketing</x:v>
      </x:c>
      <x:c r="C2328" s="11" t="n">
        <x:v>1</x:v>
      </x:c>
      <x:c r="D2328" s="11" t="n">
        <x:f>COUNTIF('Einzel-ID-Zuordnung'!$A$7:$A$2692,A2328)</x:f>
        <x:v>1</x:v>
      </x:c>
      <x:c r="E2328" s="11" t="n">
        <x:f>D2328-C2328</x:f>
        <x:v>0</x:v>
      </x:c>
      <x:c r="F2328" s="5" t="str">
        <x:v>nicht Pilot</x:v>
      </x:c>
      <x:c r="G2328" s="5" t="str">
        <x:v>HQ</x:v>
      </x:c>
    </x:row>
    <x:row r="2329" ht="36" customHeight="1">
      <x:c r="A2329" s="5" t="str">
        <x:v>M-0033</x:v>
      </x:c>
      <x:c r="B2329" s="5" t="str">
        <x:v>Marketing</x:v>
      </x:c>
      <x:c r="C2329" s="11" t="n">
        <x:v>1</x:v>
      </x:c>
      <x:c r="D2329" s="11" t="n">
        <x:f>COUNTIF('Einzel-ID-Zuordnung'!$A$7:$A$2692,A2329)</x:f>
        <x:v>1</x:v>
      </x:c>
      <x:c r="E2329" s="11" t="n">
        <x:f>D2329-C2329</x:f>
        <x:v>0</x:v>
      </x:c>
      <x:c r="F2329" s="5" t="str">
        <x:v>nicht Pilot</x:v>
      </x:c>
      <x:c r="G2329" s="5" t="str">
        <x:v>HQ</x:v>
      </x:c>
    </x:row>
    <x:row r="2330" ht="36" customHeight="1">
      <x:c r="A2330" s="5" t="str">
        <x:v>M-0034</x:v>
      </x:c>
      <x:c r="B2330" s="5" t="str">
        <x:v>Marketing</x:v>
      </x:c>
      <x:c r="C2330" s="11" t="n">
        <x:v>1</x:v>
      </x:c>
      <x:c r="D2330" s="11" t="n">
        <x:f>COUNTIF('Einzel-ID-Zuordnung'!$A$7:$A$2692,A2330)</x:f>
        <x:v>1</x:v>
      </x:c>
      <x:c r="E2330" s="11" t="n">
        <x:f>D2330-C2330</x:f>
        <x:v>0</x:v>
      </x:c>
      <x:c r="F2330" s="5" t="str">
        <x:v>nicht Pilot</x:v>
      </x:c>
      <x:c r="G2330" s="5" t="str">
        <x:v>HQ</x:v>
      </x:c>
    </x:row>
    <x:row r="2331" ht="36" customHeight="1">
      <x:c r="A2331" s="5" t="str">
        <x:v>M-0035</x:v>
      </x:c>
      <x:c r="B2331" s="5" t="str">
        <x:v>Marketing</x:v>
      </x:c>
      <x:c r="C2331" s="11" t="n">
        <x:v>1</x:v>
      </x:c>
      <x:c r="D2331" s="11" t="n">
        <x:f>COUNTIF('Einzel-ID-Zuordnung'!$A$7:$A$2692,A2331)</x:f>
        <x:v>1</x:v>
      </x:c>
      <x:c r="E2331" s="11" t="n">
        <x:f>D2331-C2331</x:f>
        <x:v>0</x:v>
      </x:c>
      <x:c r="F2331" s="5" t="str">
        <x:v>nicht Pilot</x:v>
      </x:c>
      <x:c r="G2331" s="5" t="str">
        <x:v>HQ</x:v>
      </x:c>
    </x:row>
    <x:row r="2332" ht="36" customHeight="1">
      <x:c r="A2332" s="5" t="str">
        <x:v>M-0036</x:v>
      </x:c>
      <x:c r="B2332" s="5" t="str">
        <x:v>Marketing</x:v>
      </x:c>
      <x:c r="C2332" s="11" t="n">
        <x:v>1</x:v>
      </x:c>
      <x:c r="D2332" s="11" t="n">
        <x:f>COUNTIF('Einzel-ID-Zuordnung'!$A$7:$A$2692,A2332)</x:f>
        <x:v>1</x:v>
      </x:c>
      <x:c r="E2332" s="11" t="n">
        <x:f>D2332-C2332</x:f>
        <x:v>0</x:v>
      </x:c>
      <x:c r="F2332" s="5" t="str">
        <x:v>nicht Pilot</x:v>
      </x:c>
      <x:c r="G2332" s="5" t="str">
        <x:v>HQ</x:v>
      </x:c>
    </x:row>
    <x:row r="2333" ht="36" customHeight="1">
      <x:c r="A2333" s="5" t="str">
        <x:v>M-0037</x:v>
      </x:c>
      <x:c r="B2333" s="5" t="str">
        <x:v>Marketing</x:v>
      </x:c>
      <x:c r="C2333" s="11" t="n">
        <x:v>1</x:v>
      </x:c>
      <x:c r="D2333" s="11" t="n">
        <x:f>COUNTIF('Einzel-ID-Zuordnung'!$A$7:$A$2692,A2333)</x:f>
        <x:v>1</x:v>
      </x:c>
      <x:c r="E2333" s="11" t="n">
        <x:f>D2333-C2333</x:f>
        <x:v>0</x:v>
      </x:c>
      <x:c r="F2333" s="5" t="str">
        <x:v>nicht Pilot</x:v>
      </x:c>
      <x:c r="G2333" s="5" t="str">
        <x:v>HQ</x:v>
      </x:c>
    </x:row>
    <x:row r="2334" ht="36" customHeight="1">
      <x:c r="A2334" s="5" t="str">
        <x:v>M-0038</x:v>
      </x:c>
      <x:c r="B2334" s="5" t="str">
        <x:v>Marketing</x:v>
      </x:c>
      <x:c r="C2334" s="11" t="n">
        <x:v>1</x:v>
      </x:c>
      <x:c r="D2334" s="11" t="n">
        <x:f>COUNTIF('Einzel-ID-Zuordnung'!$A$7:$A$2692,A2334)</x:f>
        <x:v>1</x:v>
      </x:c>
      <x:c r="E2334" s="11" t="n">
        <x:f>D2334-C2334</x:f>
        <x:v>0</x:v>
      </x:c>
      <x:c r="F2334" s="5" t="str">
        <x:v>nicht Pilot</x:v>
      </x:c>
      <x:c r="G2334" s="5" t="str">
        <x:v>HQ</x:v>
      </x:c>
    </x:row>
    <x:row r="2335" ht="36" customHeight="1">
      <x:c r="A2335" s="5" t="str">
        <x:v>M-0039</x:v>
      </x:c>
      <x:c r="B2335" s="5" t="str">
        <x:v>Marketing</x:v>
      </x:c>
      <x:c r="C2335" s="11" t="n">
        <x:v>1</x:v>
      </x:c>
      <x:c r="D2335" s="11" t="n">
        <x:f>COUNTIF('Einzel-ID-Zuordnung'!$A$7:$A$2692,A2335)</x:f>
        <x:v>1</x:v>
      </x:c>
      <x:c r="E2335" s="11" t="n">
        <x:f>D2335-C2335</x:f>
        <x:v>0</x:v>
      </x:c>
      <x:c r="F2335" s="5" t="str">
        <x:v>nicht Pilot</x:v>
      </x:c>
      <x:c r="G2335" s="5" t="str">
        <x:v>HQ</x:v>
      </x:c>
    </x:row>
    <x:row r="2336" ht="36" customHeight="1">
      <x:c r="A2336" s="5" t="str">
        <x:v>M-0040</x:v>
      </x:c>
      <x:c r="B2336" s="5" t="str">
        <x:v>Marketing</x:v>
      </x:c>
      <x:c r="C2336" s="11" t="n">
        <x:v>1</x:v>
      </x:c>
      <x:c r="D2336" s="11" t="n">
        <x:f>COUNTIF('Einzel-ID-Zuordnung'!$A$7:$A$2692,A2336)</x:f>
        <x:v>1</x:v>
      </x:c>
      <x:c r="E2336" s="11" t="n">
        <x:f>D2336-C2336</x:f>
        <x:v>0</x:v>
      </x:c>
      <x:c r="F2336" s="5" t="str">
        <x:v>nicht Pilot</x:v>
      </x:c>
      <x:c r="G2336" s="5" t="str">
        <x:v>HQ</x:v>
      </x:c>
    </x:row>
    <x:row r="2337" ht="36" customHeight="1">
      <x:c r="A2337" s="5" t="str">
        <x:v>M-0041</x:v>
      </x:c>
      <x:c r="B2337" s="5" t="str">
        <x:v>Marketing</x:v>
      </x:c>
      <x:c r="C2337" s="11" t="n">
        <x:v>1</x:v>
      </x:c>
      <x:c r="D2337" s="11" t="n">
        <x:f>COUNTIF('Einzel-ID-Zuordnung'!$A$7:$A$2692,A2337)</x:f>
        <x:v>1</x:v>
      </x:c>
      <x:c r="E2337" s="11" t="n">
        <x:f>D2337-C2337</x:f>
        <x:v>0</x:v>
      </x:c>
      <x:c r="F2337" s="5" t="str">
        <x:v>nicht Pilot</x:v>
      </x:c>
      <x:c r="G2337" s="5" t="str">
        <x:v>HQ</x:v>
      </x:c>
    </x:row>
    <x:row r="2338" ht="36" customHeight="1">
      <x:c r="A2338" s="5" t="str">
        <x:v>M-0042</x:v>
      </x:c>
      <x:c r="B2338" s="5" t="str">
        <x:v>Marketing</x:v>
      </x:c>
      <x:c r="C2338" s="11" t="n">
        <x:v>1</x:v>
      </x:c>
      <x:c r="D2338" s="11" t="n">
        <x:f>COUNTIF('Einzel-ID-Zuordnung'!$A$7:$A$2692,A2338)</x:f>
        <x:v>1</x:v>
      </x:c>
      <x:c r="E2338" s="11" t="n">
        <x:f>D2338-C2338</x:f>
        <x:v>0</x:v>
      </x:c>
      <x:c r="F2338" s="5" t="str">
        <x:v>nicht Pilot</x:v>
      </x:c>
      <x:c r="G2338" s="5" t="str">
        <x:v>HQ</x:v>
      </x:c>
    </x:row>
    <x:row r="2339" ht="36" customHeight="1">
      <x:c r="A2339" s="5" t="str">
        <x:v>M-0043</x:v>
      </x:c>
      <x:c r="B2339" s="5" t="str">
        <x:v>Marketing</x:v>
      </x:c>
      <x:c r="C2339" s="11" t="n">
        <x:v>1</x:v>
      </x:c>
      <x:c r="D2339" s="11" t="n">
        <x:f>COUNTIF('Einzel-ID-Zuordnung'!$A$7:$A$2692,A2339)</x:f>
        <x:v>1</x:v>
      </x:c>
      <x:c r="E2339" s="11" t="n">
        <x:f>D2339-C2339</x:f>
        <x:v>0</x:v>
      </x:c>
      <x:c r="F2339" s="5" t="str">
        <x:v>nicht Pilot</x:v>
      </x:c>
      <x:c r="G2339" s="5" t="str">
        <x:v>HQ</x:v>
      </x:c>
    </x:row>
    <x:row r="2340" ht="36" customHeight="1">
      <x:c r="A2340" s="5" t="str">
        <x:v>M-0044</x:v>
      </x:c>
      <x:c r="B2340" s="5" t="str">
        <x:v>Marketing</x:v>
      </x:c>
      <x:c r="C2340" s="11" t="n">
        <x:v>1</x:v>
      </x:c>
      <x:c r="D2340" s="11" t="n">
        <x:f>COUNTIF('Einzel-ID-Zuordnung'!$A$7:$A$2692,A2340)</x:f>
        <x:v>1</x:v>
      </x:c>
      <x:c r="E2340" s="11" t="n">
        <x:f>D2340-C2340</x:f>
        <x:v>0</x:v>
      </x:c>
      <x:c r="F2340" s="5" t="str">
        <x:v>nicht Pilot</x:v>
      </x:c>
      <x:c r="G2340" s="5" t="str">
        <x:v>HQ</x:v>
      </x:c>
    </x:row>
    <x:row r="2341" ht="36" customHeight="1">
      <x:c r="A2341" s="5" t="str">
        <x:v>M-0045</x:v>
      </x:c>
      <x:c r="B2341" s="5" t="str">
        <x:v>Marketing</x:v>
      </x:c>
      <x:c r="C2341" s="11" t="n">
        <x:v>1</x:v>
      </x:c>
      <x:c r="D2341" s="11" t="n">
        <x:f>COUNTIF('Einzel-ID-Zuordnung'!$A$7:$A$2692,A2341)</x:f>
        <x:v>1</x:v>
      </x:c>
      <x:c r="E2341" s="11" t="n">
        <x:f>D2341-C2341</x:f>
        <x:v>0</x:v>
      </x:c>
      <x:c r="F2341" s="5" t="str">
        <x:v>nicht Pilot</x:v>
      </x:c>
      <x:c r="G2341" s="5" t="str">
        <x:v>HQ</x:v>
      </x:c>
    </x:row>
    <x:row r="2342" ht="36" customHeight="1">
      <x:c r="A2342" s="5" t="str">
        <x:v>M-0046</x:v>
      </x:c>
      <x:c r="B2342" s="5" t="str">
        <x:v>Marketing</x:v>
      </x:c>
      <x:c r="C2342" s="11" t="n">
        <x:v>1</x:v>
      </x:c>
      <x:c r="D2342" s="11" t="n">
        <x:f>COUNTIF('Einzel-ID-Zuordnung'!$A$7:$A$2692,A2342)</x:f>
        <x:v>1</x:v>
      </x:c>
      <x:c r="E2342" s="11" t="n">
        <x:f>D2342-C2342</x:f>
        <x:v>0</x:v>
      </x:c>
      <x:c r="F2342" s="5" t="str">
        <x:v>nicht Pilot</x:v>
      </x:c>
      <x:c r="G2342" s="5" t="str">
        <x:v>HQ</x:v>
      </x:c>
    </x:row>
    <x:row r="2343" ht="36" customHeight="1">
      <x:c r="A2343" s="5" t="str">
        <x:v>M-0047</x:v>
      </x:c>
      <x:c r="B2343" s="5" t="str">
        <x:v>Marketing</x:v>
      </x:c>
      <x:c r="C2343" s="11" t="n">
        <x:v>1</x:v>
      </x:c>
      <x:c r="D2343" s="11" t="n">
        <x:f>COUNTIF('Einzel-ID-Zuordnung'!$A$7:$A$2692,A2343)</x:f>
        <x:v>1</x:v>
      </x:c>
      <x:c r="E2343" s="11" t="n">
        <x:f>D2343-C2343</x:f>
        <x:v>0</x:v>
      </x:c>
      <x:c r="F2343" s="5" t="str">
        <x:v>nicht Pilot</x:v>
      </x:c>
      <x:c r="G2343" s="5" t="str">
        <x:v>HQ</x:v>
      </x:c>
    </x:row>
    <x:row r="2344" ht="36" customHeight="1">
      <x:c r="A2344" s="5" t="str">
        <x:v>M-0048</x:v>
      </x:c>
      <x:c r="B2344" s="5" t="str">
        <x:v>Marketing</x:v>
      </x:c>
      <x:c r="C2344" s="11" t="n">
        <x:v>1</x:v>
      </x:c>
      <x:c r="D2344" s="11" t="n">
        <x:f>COUNTIF('Einzel-ID-Zuordnung'!$A$7:$A$2692,A2344)</x:f>
        <x:v>1</x:v>
      </x:c>
      <x:c r="E2344" s="11" t="n">
        <x:f>D2344-C2344</x:f>
        <x:v>0</x:v>
      </x:c>
      <x:c r="F2344" s="5" t="str">
        <x:v>nicht Pilot</x:v>
      </x:c>
      <x:c r="G2344" s="5" t="str">
        <x:v>HQ</x:v>
      </x:c>
    </x:row>
    <x:row r="2345" ht="36" customHeight="1">
      <x:c r="A2345" s="5" t="str">
        <x:v>M-0049</x:v>
      </x:c>
      <x:c r="B2345" s="5" t="str">
        <x:v>Marketing</x:v>
      </x:c>
      <x:c r="C2345" s="11" t="n">
        <x:v>1</x:v>
      </x:c>
      <x:c r="D2345" s="11" t="n">
        <x:f>COUNTIF('Einzel-ID-Zuordnung'!$A$7:$A$2692,A2345)</x:f>
        <x:v>1</x:v>
      </x:c>
      <x:c r="E2345" s="11" t="n">
        <x:f>D2345-C2345</x:f>
        <x:v>0</x:v>
      </x:c>
      <x:c r="F2345" s="5" t="str">
        <x:v>nicht Pilot</x:v>
      </x:c>
      <x:c r="G2345" s="5" t="str">
        <x:v>HQ</x:v>
      </x:c>
    </x:row>
    <x:row r="2346" ht="36" customHeight="1">
      <x:c r="A2346" s="5" t="str">
        <x:v>M-0050</x:v>
      </x:c>
      <x:c r="B2346" s="5" t="str">
        <x:v>Marketing</x:v>
      </x:c>
      <x:c r="C2346" s="11" t="n">
        <x:v>1</x:v>
      </x:c>
      <x:c r="D2346" s="11" t="n">
        <x:f>COUNTIF('Einzel-ID-Zuordnung'!$A$7:$A$2692,A2346)</x:f>
        <x:v>1</x:v>
      </x:c>
      <x:c r="E2346" s="11" t="n">
        <x:f>D2346-C2346</x:f>
        <x:v>0</x:v>
      </x:c>
      <x:c r="F2346" s="5" t="str">
        <x:v>nicht Pilot</x:v>
      </x:c>
      <x:c r="G2346" s="5" t="str">
        <x:v>HQ</x:v>
      </x:c>
    </x:row>
    <x:row r="2347" ht="36" customHeight="1">
      <x:c r="A2347" s="5" t="str">
        <x:v>M-0051</x:v>
      </x:c>
      <x:c r="B2347" s="5" t="str">
        <x:v>Marketing</x:v>
      </x:c>
      <x:c r="C2347" s="11" t="n">
        <x:v>1</x:v>
      </x:c>
      <x:c r="D2347" s="11" t="n">
        <x:f>COUNTIF('Einzel-ID-Zuordnung'!$A$7:$A$2692,A2347)</x:f>
        <x:v>1</x:v>
      </x:c>
      <x:c r="E2347" s="11" t="n">
        <x:f>D2347-C2347</x:f>
        <x:v>0</x:v>
      </x:c>
      <x:c r="F2347" s="5" t="str">
        <x:v>nicht Pilot</x:v>
      </x:c>
      <x:c r="G2347" s="5" t="str">
        <x:v>HQ</x:v>
      </x:c>
    </x:row>
    <x:row r="2348" ht="36" customHeight="1">
      <x:c r="A2348" s="5" t="str">
        <x:v>M-0052</x:v>
      </x:c>
      <x:c r="B2348" s="5" t="str">
        <x:v>Marketing</x:v>
      </x:c>
      <x:c r="C2348" s="11" t="n">
        <x:v>1</x:v>
      </x:c>
      <x:c r="D2348" s="11" t="n">
        <x:f>COUNTIF('Einzel-ID-Zuordnung'!$A$7:$A$2692,A2348)</x:f>
        <x:v>1</x:v>
      </x:c>
      <x:c r="E2348" s="11" t="n">
        <x:f>D2348-C2348</x:f>
        <x:v>0</x:v>
      </x:c>
      <x:c r="F2348" s="5" t="str">
        <x:v>nicht Pilot</x:v>
      </x:c>
      <x:c r="G2348" s="5" t="str">
        <x:v>HQ</x:v>
      </x:c>
    </x:row>
    <x:row r="2349" ht="36" customHeight="1">
      <x:c r="A2349" s="5" t="str">
        <x:v>M-0053</x:v>
      </x:c>
      <x:c r="B2349" s="5" t="str">
        <x:v>Marketing</x:v>
      </x:c>
      <x:c r="C2349" s="11" t="n">
        <x:v>1</x:v>
      </x:c>
      <x:c r="D2349" s="11" t="n">
        <x:f>COUNTIF('Einzel-ID-Zuordnung'!$A$7:$A$2692,A2349)</x:f>
        <x:v>1</x:v>
      </x:c>
      <x:c r="E2349" s="11" t="n">
        <x:f>D2349-C2349</x:f>
        <x:v>0</x:v>
      </x:c>
      <x:c r="F2349" s="5" t="str">
        <x:v>nicht Pilot</x:v>
      </x:c>
      <x:c r="G2349" s="5" t="str">
        <x:v>HQ</x:v>
      </x:c>
    </x:row>
    <x:row r="2350" ht="36" customHeight="1">
      <x:c r="A2350" s="5" t="str">
        <x:v>M-0054</x:v>
      </x:c>
      <x:c r="B2350" s="5" t="str">
        <x:v>Marketing</x:v>
      </x:c>
      <x:c r="C2350" s="11" t="n">
        <x:v>1</x:v>
      </x:c>
      <x:c r="D2350" s="11" t="n">
        <x:f>COUNTIF('Einzel-ID-Zuordnung'!$A$7:$A$2692,A2350)</x:f>
        <x:v>1</x:v>
      </x:c>
      <x:c r="E2350" s="11" t="n">
        <x:f>D2350-C2350</x:f>
        <x:v>0</x:v>
      </x:c>
      <x:c r="F2350" s="5" t="str">
        <x:v>nicht Pilot</x:v>
      </x:c>
      <x:c r="G2350" s="5" t="str">
        <x:v>HQ</x:v>
      </x:c>
    </x:row>
    <x:row r="2351" ht="36" customHeight="1">
      <x:c r="A2351" s="5" t="str">
        <x:v>M-0055</x:v>
      </x:c>
      <x:c r="B2351" s="5" t="str">
        <x:v>Marketing</x:v>
      </x:c>
      <x:c r="C2351" s="11" t="n">
        <x:v>1</x:v>
      </x:c>
      <x:c r="D2351" s="11" t="n">
        <x:f>COUNTIF('Einzel-ID-Zuordnung'!$A$7:$A$2692,A2351)</x:f>
        <x:v>1</x:v>
      </x:c>
      <x:c r="E2351" s="11" t="n">
        <x:f>D2351-C2351</x:f>
        <x:v>0</x:v>
      </x:c>
      <x:c r="F2351" s="5" t="str">
        <x:v>nicht Pilot</x:v>
      </x:c>
      <x:c r="G2351" s="5" t="str">
        <x:v>HQ</x:v>
      </x:c>
    </x:row>
    <x:row r="2352" ht="36" customHeight="1">
      <x:c r="A2352" s="5" t="str">
        <x:v>M-0056</x:v>
      </x:c>
      <x:c r="B2352" s="5" t="str">
        <x:v>Marketing</x:v>
      </x:c>
      <x:c r="C2352" s="11" t="n">
        <x:v>1</x:v>
      </x:c>
      <x:c r="D2352" s="11" t="n">
        <x:f>COUNTIF('Einzel-ID-Zuordnung'!$A$7:$A$2692,A2352)</x:f>
        <x:v>1</x:v>
      </x:c>
      <x:c r="E2352" s="11" t="n">
        <x:f>D2352-C2352</x:f>
        <x:v>0</x:v>
      </x:c>
      <x:c r="F2352" s="5" t="str">
        <x:v>nicht Pilot</x:v>
      </x:c>
      <x:c r="G2352" s="5" t="str">
        <x:v>HQ</x:v>
      </x:c>
    </x:row>
    <x:row r="2353" ht="36" customHeight="1">
      <x:c r="A2353" s="5" t="str">
        <x:v>M-0057</x:v>
      </x:c>
      <x:c r="B2353" s="5" t="str">
        <x:v>Marketing</x:v>
      </x:c>
      <x:c r="C2353" s="11" t="n">
        <x:v>1</x:v>
      </x:c>
      <x:c r="D2353" s="11" t="n">
        <x:f>COUNTIF('Einzel-ID-Zuordnung'!$A$7:$A$2692,A2353)</x:f>
        <x:v>1</x:v>
      </x:c>
      <x:c r="E2353" s="11" t="n">
        <x:f>D2353-C2353</x:f>
        <x:v>0</x:v>
      </x:c>
      <x:c r="F2353" s="5" t="str">
        <x:v>nicht Pilot</x:v>
      </x:c>
      <x:c r="G2353" s="5" t="str">
        <x:v>HQ</x:v>
      </x:c>
    </x:row>
    <x:row r="2354" ht="36" customHeight="1">
      <x:c r="A2354" s="5" t="str">
        <x:v>M-0058</x:v>
      </x:c>
      <x:c r="B2354" s="5" t="str">
        <x:v>Marketing</x:v>
      </x:c>
      <x:c r="C2354" s="11" t="n">
        <x:v>1</x:v>
      </x:c>
      <x:c r="D2354" s="11" t="n">
        <x:f>COUNTIF('Einzel-ID-Zuordnung'!$A$7:$A$2692,A2354)</x:f>
        <x:v>1</x:v>
      </x:c>
      <x:c r="E2354" s="11" t="n">
        <x:f>D2354-C2354</x:f>
        <x:v>0</x:v>
      </x:c>
      <x:c r="F2354" s="5" t="str">
        <x:v>nicht Pilot</x:v>
      </x:c>
      <x:c r="G2354" s="5" t="str">
        <x:v>HQ</x:v>
      </x:c>
    </x:row>
    <x:row r="2355" ht="36" customHeight="1">
      <x:c r="A2355" s="5" t="str">
        <x:v>M-0059</x:v>
      </x:c>
      <x:c r="B2355" s="5" t="str">
        <x:v>Marketing</x:v>
      </x:c>
      <x:c r="C2355" s="11" t="n">
        <x:v>1</x:v>
      </x:c>
      <x:c r="D2355" s="11" t="n">
        <x:f>COUNTIF('Einzel-ID-Zuordnung'!$A$7:$A$2692,A2355)</x:f>
        <x:v>1</x:v>
      </x:c>
      <x:c r="E2355" s="11" t="n">
        <x:f>D2355-C2355</x:f>
        <x:v>0</x:v>
      </x:c>
      <x:c r="F2355" s="5" t="str">
        <x:v>nicht Pilot</x:v>
      </x:c>
      <x:c r="G2355" s="5" t="str">
        <x:v>HQ</x:v>
      </x:c>
    </x:row>
    <x:row r="2356" ht="36" customHeight="1">
      <x:c r="A2356" s="5" t="str">
        <x:v>M-0060</x:v>
      </x:c>
      <x:c r="B2356" s="5" t="str">
        <x:v>Marketing</x:v>
      </x:c>
      <x:c r="C2356" s="11" t="n">
        <x:v>1</x:v>
      </x:c>
      <x:c r="D2356" s="11" t="n">
        <x:f>COUNTIF('Einzel-ID-Zuordnung'!$A$7:$A$2692,A2356)</x:f>
        <x:v>1</x:v>
      </x:c>
      <x:c r="E2356" s="11" t="n">
        <x:f>D2356-C2356</x:f>
        <x:v>0</x:v>
      </x:c>
      <x:c r="F2356" s="5" t="str">
        <x:v>nicht Pilot</x:v>
      </x:c>
      <x:c r="G2356" s="5" t="str">
        <x:v>HQ</x:v>
      </x:c>
    </x:row>
    <x:row r="2357" ht="36" customHeight="1">
      <x:c r="A2357" s="5" t="str">
        <x:v>M-0061</x:v>
      </x:c>
      <x:c r="B2357" s="5" t="str">
        <x:v>Marketing</x:v>
      </x:c>
      <x:c r="C2357" s="11" t="n">
        <x:v>1</x:v>
      </x:c>
      <x:c r="D2357" s="11" t="n">
        <x:f>COUNTIF('Einzel-ID-Zuordnung'!$A$7:$A$2692,A2357)</x:f>
        <x:v>1</x:v>
      </x:c>
      <x:c r="E2357" s="11" t="n">
        <x:f>D2357-C2357</x:f>
        <x:v>0</x:v>
      </x:c>
      <x:c r="F2357" s="5" t="str">
        <x:v>nicht Pilot</x:v>
      </x:c>
      <x:c r="G2357" s="5" t="str">
        <x:v>HQ</x:v>
      </x:c>
    </x:row>
    <x:row r="2358" ht="36" customHeight="1">
      <x:c r="A2358" s="5" t="str">
        <x:v>M-0062</x:v>
      </x:c>
      <x:c r="B2358" s="5" t="str">
        <x:v>Marketing</x:v>
      </x:c>
      <x:c r="C2358" s="11" t="n">
        <x:v>1</x:v>
      </x:c>
      <x:c r="D2358" s="11" t="n">
        <x:f>COUNTIF('Einzel-ID-Zuordnung'!$A$7:$A$2692,A2358)</x:f>
        <x:v>1</x:v>
      </x:c>
      <x:c r="E2358" s="11" t="n">
        <x:f>D2358-C2358</x:f>
        <x:v>0</x:v>
      </x:c>
      <x:c r="F2358" s="5" t="str">
        <x:v>nicht Pilot</x:v>
      </x:c>
      <x:c r="G2358" s="5" t="str">
        <x:v>HQ</x:v>
      </x:c>
    </x:row>
    <x:row r="2359" ht="36" customHeight="1">
      <x:c r="A2359" s="5" t="str">
        <x:v>M-0063</x:v>
      </x:c>
      <x:c r="B2359" s="5" t="str">
        <x:v>Marketing</x:v>
      </x:c>
      <x:c r="C2359" s="11" t="n">
        <x:v>1</x:v>
      </x:c>
      <x:c r="D2359" s="11" t="n">
        <x:f>COUNTIF('Einzel-ID-Zuordnung'!$A$7:$A$2692,A2359)</x:f>
        <x:v>1</x:v>
      </x:c>
      <x:c r="E2359" s="11" t="n">
        <x:f>D2359-C2359</x:f>
        <x:v>0</x:v>
      </x:c>
      <x:c r="F2359" s="5" t="str">
        <x:v>nicht Pilot</x:v>
      </x:c>
      <x:c r="G2359" s="5" t="str">
        <x:v>HQ</x:v>
      </x:c>
    </x:row>
    <x:row r="2360" ht="36" customHeight="1">
      <x:c r="A2360" s="5" t="str">
        <x:v>M-0064</x:v>
      </x:c>
      <x:c r="B2360" s="5" t="str">
        <x:v>Marketing</x:v>
      </x:c>
      <x:c r="C2360" s="11" t="n">
        <x:v>1</x:v>
      </x:c>
      <x:c r="D2360" s="11" t="n">
        <x:f>COUNTIF('Einzel-ID-Zuordnung'!$A$7:$A$2692,A2360)</x:f>
        <x:v>1</x:v>
      </x:c>
      <x:c r="E2360" s="11" t="n">
        <x:f>D2360-C2360</x:f>
        <x:v>0</x:v>
      </x:c>
      <x:c r="F2360" s="5" t="str">
        <x:v>nicht Pilot</x:v>
      </x:c>
      <x:c r="G2360" s="5" t="str">
        <x:v>HQ</x:v>
      </x:c>
    </x:row>
    <x:row r="2361" ht="36" customHeight="1">
      <x:c r="A2361" s="5" t="str">
        <x:v>M-0065</x:v>
      </x:c>
      <x:c r="B2361" s="5" t="str">
        <x:v>Marketing</x:v>
      </x:c>
      <x:c r="C2361" s="11" t="n">
        <x:v>1</x:v>
      </x:c>
      <x:c r="D2361" s="11" t="n">
        <x:f>COUNTIF('Einzel-ID-Zuordnung'!$A$7:$A$2692,A2361)</x:f>
        <x:v>1</x:v>
      </x:c>
      <x:c r="E2361" s="11" t="n">
        <x:f>D2361-C2361</x:f>
        <x:v>0</x:v>
      </x:c>
      <x:c r="F2361" s="5" t="str">
        <x:v>nicht Pilot</x:v>
      </x:c>
      <x:c r="G2361" s="5" t="str">
        <x:v>HQ</x:v>
      </x:c>
    </x:row>
    <x:row r="2362" ht="36" customHeight="1">
      <x:c r="A2362" s="5" t="str">
        <x:v>M-0066</x:v>
      </x:c>
      <x:c r="B2362" s="5" t="str">
        <x:v>Marketing</x:v>
      </x:c>
      <x:c r="C2362" s="11" t="n">
        <x:v>1</x:v>
      </x:c>
      <x:c r="D2362" s="11" t="n">
        <x:f>COUNTIF('Einzel-ID-Zuordnung'!$A$7:$A$2692,A2362)</x:f>
        <x:v>1</x:v>
      </x:c>
      <x:c r="E2362" s="11" t="n">
        <x:f>D2362-C2362</x:f>
        <x:v>0</x:v>
      </x:c>
      <x:c r="F2362" s="5" t="str">
        <x:v>nicht Pilot</x:v>
      </x:c>
      <x:c r="G2362" s="5" t="str">
        <x:v>HQ</x:v>
      </x:c>
    </x:row>
    <x:row r="2363" ht="36" customHeight="1">
      <x:c r="A2363" s="5" t="str">
        <x:v>M-0067</x:v>
      </x:c>
      <x:c r="B2363" s="5" t="str">
        <x:v>Marketing</x:v>
      </x:c>
      <x:c r="C2363" s="11" t="n">
        <x:v>1</x:v>
      </x:c>
      <x:c r="D2363" s="11" t="n">
        <x:f>COUNTIF('Einzel-ID-Zuordnung'!$A$7:$A$2692,A2363)</x:f>
        <x:v>1</x:v>
      </x:c>
      <x:c r="E2363" s="11" t="n">
        <x:f>D2363-C2363</x:f>
        <x:v>0</x:v>
      </x:c>
      <x:c r="F2363" s="5" t="str">
        <x:v>nicht Pilot</x:v>
      </x:c>
      <x:c r="G2363" s="5" t="str">
        <x:v>HQ</x:v>
      </x:c>
    </x:row>
    <x:row r="2364" ht="36" customHeight="1">
      <x:c r="A2364" s="5" t="str">
        <x:v>M-0068</x:v>
      </x:c>
      <x:c r="B2364" s="5" t="str">
        <x:v>Marketing</x:v>
      </x:c>
      <x:c r="C2364" s="11" t="n">
        <x:v>1</x:v>
      </x:c>
      <x:c r="D2364" s="11" t="n">
        <x:f>COUNTIF('Einzel-ID-Zuordnung'!$A$7:$A$2692,A2364)</x:f>
        <x:v>1</x:v>
      </x:c>
      <x:c r="E2364" s="11" t="n">
        <x:f>D2364-C2364</x:f>
        <x:v>0</x:v>
      </x:c>
      <x:c r="F2364" s="5" t="str">
        <x:v>nicht Pilot</x:v>
      </x:c>
      <x:c r="G2364" s="5" t="str">
        <x:v>HQ</x:v>
      </x:c>
    </x:row>
    <x:row r="2365" ht="36" customHeight="1">
      <x:c r="A2365" s="5" t="str">
        <x:v>M-0069</x:v>
      </x:c>
      <x:c r="B2365" s="5" t="str">
        <x:v>Marketing</x:v>
      </x:c>
      <x:c r="C2365" s="11" t="n">
        <x:v>1</x:v>
      </x:c>
      <x:c r="D2365" s="11" t="n">
        <x:f>COUNTIF('Einzel-ID-Zuordnung'!$A$7:$A$2692,A2365)</x:f>
        <x:v>1</x:v>
      </x:c>
      <x:c r="E2365" s="11" t="n">
        <x:f>D2365-C2365</x:f>
        <x:v>0</x:v>
      </x:c>
      <x:c r="F2365" s="5" t="str">
        <x:v>nicht Pilot</x:v>
      </x:c>
      <x:c r="G2365" s="5" t="str">
        <x:v>HQ</x:v>
      </x:c>
    </x:row>
    <x:row r="2366" ht="36" customHeight="1">
      <x:c r="A2366" s="5" t="str">
        <x:v>M-0070</x:v>
      </x:c>
      <x:c r="B2366" s="5" t="str">
        <x:v>Marketing</x:v>
      </x:c>
      <x:c r="C2366" s="11" t="n">
        <x:v>1</x:v>
      </x:c>
      <x:c r="D2366" s="11" t="n">
        <x:f>COUNTIF('Einzel-ID-Zuordnung'!$A$7:$A$2692,A2366)</x:f>
        <x:v>1</x:v>
      </x:c>
      <x:c r="E2366" s="11" t="n">
        <x:f>D2366-C2366</x:f>
        <x:v>0</x:v>
      </x:c>
      <x:c r="F2366" s="5" t="str">
        <x:v>nicht Pilot</x:v>
      </x:c>
      <x:c r="G2366" s="5" t="str">
        <x:v>HQ</x:v>
      </x:c>
    </x:row>
    <x:row r="2367" ht="36" customHeight="1">
      <x:c r="A2367" s="5" t="str">
        <x:v>M-0071</x:v>
      </x:c>
      <x:c r="B2367" s="5" t="str">
        <x:v>Marketing</x:v>
      </x:c>
      <x:c r="C2367" s="11" t="n">
        <x:v>1</x:v>
      </x:c>
      <x:c r="D2367" s="11" t="n">
        <x:f>COUNTIF('Einzel-ID-Zuordnung'!$A$7:$A$2692,A2367)</x:f>
        <x:v>1</x:v>
      </x:c>
      <x:c r="E2367" s="11" t="n">
        <x:f>D2367-C2367</x:f>
        <x:v>0</x:v>
      </x:c>
      <x:c r="F2367" s="5" t="str">
        <x:v>nicht Pilot</x:v>
      </x:c>
      <x:c r="G2367" s="5" t="str">
        <x:v>HQ</x:v>
      </x:c>
    </x:row>
    <x:row r="2368" ht="36" customHeight="1">
      <x:c r="A2368" s="5" t="str">
        <x:v>M-0072</x:v>
      </x:c>
      <x:c r="B2368" s="5" t="str">
        <x:v>Marketing</x:v>
      </x:c>
      <x:c r="C2368" s="11" t="n">
        <x:v>1</x:v>
      </x:c>
      <x:c r="D2368" s="11" t="n">
        <x:f>COUNTIF('Einzel-ID-Zuordnung'!$A$7:$A$2692,A2368)</x:f>
        <x:v>1</x:v>
      </x:c>
      <x:c r="E2368" s="11" t="n">
        <x:f>D2368-C2368</x:f>
        <x:v>0</x:v>
      </x:c>
      <x:c r="F2368" s="5" t="str">
        <x:v>nicht Pilot</x:v>
      </x:c>
      <x:c r="G2368" s="5" t="str">
        <x:v>HQ</x:v>
      </x:c>
    </x:row>
    <x:row r="2369" ht="36" customHeight="1">
      <x:c r="A2369" s="5" t="str">
        <x:v>M-0073</x:v>
      </x:c>
      <x:c r="B2369" s="5" t="str">
        <x:v>Marketing</x:v>
      </x:c>
      <x:c r="C2369" s="11" t="n">
        <x:v>1</x:v>
      </x:c>
      <x:c r="D2369" s="11" t="n">
        <x:f>COUNTIF('Einzel-ID-Zuordnung'!$A$7:$A$2692,A2369)</x:f>
        <x:v>1</x:v>
      </x:c>
      <x:c r="E2369" s="11" t="n">
        <x:f>D2369-C2369</x:f>
        <x:v>0</x:v>
      </x:c>
      <x:c r="F2369" s="5" t="str">
        <x:v>nicht Pilot</x:v>
      </x:c>
      <x:c r="G2369" s="5" t="str">
        <x:v>HQ</x:v>
      </x:c>
    </x:row>
    <x:row r="2370" ht="36" customHeight="1">
      <x:c r="A2370" s="5" t="str">
        <x:v>M-0074</x:v>
      </x:c>
      <x:c r="B2370" s="5" t="str">
        <x:v>Marketing</x:v>
      </x:c>
      <x:c r="C2370" s="11" t="n">
        <x:v>1</x:v>
      </x:c>
      <x:c r="D2370" s="11" t="n">
        <x:f>COUNTIF('Einzel-ID-Zuordnung'!$A$7:$A$2692,A2370)</x:f>
        <x:v>1</x:v>
      </x:c>
      <x:c r="E2370" s="11" t="n">
        <x:f>D2370-C2370</x:f>
        <x:v>0</x:v>
      </x:c>
      <x:c r="F2370" s="5" t="str">
        <x:v>nicht Pilot</x:v>
      </x:c>
      <x:c r="G2370" s="5" t="str">
        <x:v>HQ</x:v>
      </x:c>
    </x:row>
    <x:row r="2371" ht="36" customHeight="1">
      <x:c r="A2371" s="5" t="str">
        <x:v>M-0075</x:v>
      </x:c>
      <x:c r="B2371" s="5" t="str">
        <x:v>Marketing</x:v>
      </x:c>
      <x:c r="C2371" s="11" t="n">
        <x:v>1</x:v>
      </x:c>
      <x:c r="D2371" s="11" t="n">
        <x:f>COUNTIF('Einzel-ID-Zuordnung'!$A$7:$A$2692,A2371)</x:f>
        <x:v>1</x:v>
      </x:c>
      <x:c r="E2371" s="11" t="n">
        <x:f>D2371-C2371</x:f>
        <x:v>0</x:v>
      </x:c>
      <x:c r="F2371" s="5" t="str">
        <x:v>nicht Pilot</x:v>
      </x:c>
      <x:c r="G2371" s="5" t="str">
        <x:v>HQ</x:v>
      </x:c>
    </x:row>
    <x:row r="2372" ht="36" customHeight="1">
      <x:c r="A2372" s="5" t="str">
        <x:v>M-0076</x:v>
      </x:c>
      <x:c r="B2372" s="5" t="str">
        <x:v>Marketing</x:v>
      </x:c>
      <x:c r="C2372" s="11" t="n">
        <x:v>1</x:v>
      </x:c>
      <x:c r="D2372" s="11" t="n">
        <x:f>COUNTIF('Einzel-ID-Zuordnung'!$A$7:$A$2692,A2372)</x:f>
        <x:v>1</x:v>
      </x:c>
      <x:c r="E2372" s="11" t="n">
        <x:f>D2372-C2372</x:f>
        <x:v>0</x:v>
      </x:c>
      <x:c r="F2372" s="5" t="str">
        <x:v>nicht Pilot</x:v>
      </x:c>
      <x:c r="G2372" s="5" t="str">
        <x:v>HQ</x:v>
      </x:c>
    </x:row>
    <x:row r="2373" ht="36" customHeight="1">
      <x:c r="A2373" s="5" t="str">
        <x:v>M-0077</x:v>
      </x:c>
      <x:c r="B2373" s="5" t="str">
        <x:v>Marketing</x:v>
      </x:c>
      <x:c r="C2373" s="11" t="n">
        <x:v>1</x:v>
      </x:c>
      <x:c r="D2373" s="11" t="n">
        <x:f>COUNTIF('Einzel-ID-Zuordnung'!$A$7:$A$2692,A2373)</x:f>
        <x:v>1</x:v>
      </x:c>
      <x:c r="E2373" s="11" t="n">
        <x:f>D2373-C2373</x:f>
        <x:v>0</x:v>
      </x:c>
      <x:c r="F2373" s="5" t="str">
        <x:v>nicht Pilot</x:v>
      </x:c>
      <x:c r="G2373" s="5" t="str">
        <x:v>HQ</x:v>
      </x:c>
    </x:row>
    <x:row r="2374" ht="36" customHeight="1">
      <x:c r="A2374" s="5" t="str">
        <x:v>M-0078</x:v>
      </x:c>
      <x:c r="B2374" s="5" t="str">
        <x:v>Marketing</x:v>
      </x:c>
      <x:c r="C2374" s="11" t="n">
        <x:v>1</x:v>
      </x:c>
      <x:c r="D2374" s="11" t="n">
        <x:f>COUNTIF('Einzel-ID-Zuordnung'!$A$7:$A$2692,A2374)</x:f>
        <x:v>1</x:v>
      </x:c>
      <x:c r="E2374" s="11" t="n">
        <x:f>D2374-C2374</x:f>
        <x:v>0</x:v>
      </x:c>
      <x:c r="F2374" s="5" t="str">
        <x:v>nicht Pilot</x:v>
      </x:c>
      <x:c r="G2374" s="5" t="str">
        <x:v>HQ</x:v>
      </x:c>
    </x:row>
    <x:row r="2375" ht="36" customHeight="1">
      <x:c r="A2375" s="5" t="str">
        <x:v>M-0079</x:v>
      </x:c>
      <x:c r="B2375" s="5" t="str">
        <x:v>Marketing</x:v>
      </x:c>
      <x:c r="C2375" s="11" t="n">
        <x:v>1</x:v>
      </x:c>
      <x:c r="D2375" s="11" t="n">
        <x:f>COUNTIF('Einzel-ID-Zuordnung'!$A$7:$A$2692,A2375)</x:f>
        <x:v>1</x:v>
      </x:c>
      <x:c r="E2375" s="11" t="n">
        <x:f>D2375-C2375</x:f>
        <x:v>0</x:v>
      </x:c>
      <x:c r="F2375" s="5" t="str">
        <x:v>nicht Pilot</x:v>
      </x:c>
      <x:c r="G2375" s="5" t="str">
        <x:v>HQ</x:v>
      </x:c>
    </x:row>
    <x:row r="2376" ht="36" customHeight="1">
      <x:c r="A2376" s="5" t="str">
        <x:v>M-0080</x:v>
      </x:c>
      <x:c r="B2376" s="5" t="str">
        <x:v>Marketing</x:v>
      </x:c>
      <x:c r="C2376" s="11" t="n">
        <x:v>1</x:v>
      </x:c>
      <x:c r="D2376" s="11" t="n">
        <x:f>COUNTIF('Einzel-ID-Zuordnung'!$A$7:$A$2692,A2376)</x:f>
        <x:v>1</x:v>
      </x:c>
      <x:c r="E2376" s="11" t="n">
        <x:f>D2376-C2376</x:f>
        <x:v>0</x:v>
      </x:c>
      <x:c r="F2376" s="5" t="str">
        <x:v>nicht Pilot</x:v>
      </x:c>
      <x:c r="G2376" s="5" t="str">
        <x:v>HQ</x:v>
      </x:c>
    </x:row>
    <x:row r="2377" ht="36" customHeight="1">
      <x:c r="A2377" s="5" t="str">
        <x:v>M-0081</x:v>
      </x:c>
      <x:c r="B2377" s="5" t="str">
        <x:v>Marketing</x:v>
      </x:c>
      <x:c r="C2377" s="11" t="n">
        <x:v>1</x:v>
      </x:c>
      <x:c r="D2377" s="11" t="n">
        <x:f>COUNTIF('Einzel-ID-Zuordnung'!$A$7:$A$2692,A2377)</x:f>
        <x:v>1</x:v>
      </x:c>
      <x:c r="E2377" s="11" t="n">
        <x:f>D2377-C2377</x:f>
        <x:v>0</x:v>
      </x:c>
      <x:c r="F2377" s="5" t="str">
        <x:v>nicht Pilot</x:v>
      </x:c>
      <x:c r="G2377" s="5" t="str">
        <x:v>HQ</x:v>
      </x:c>
    </x:row>
    <x:row r="2378" ht="36" customHeight="1">
      <x:c r="A2378" s="5" t="str">
        <x:v>M-0082</x:v>
      </x:c>
      <x:c r="B2378" s="5" t="str">
        <x:v>Marketing</x:v>
      </x:c>
      <x:c r="C2378" s="11" t="n">
        <x:v>1</x:v>
      </x:c>
      <x:c r="D2378" s="11" t="n">
        <x:f>COUNTIF('Einzel-ID-Zuordnung'!$A$7:$A$2692,A2378)</x:f>
        <x:v>1</x:v>
      </x:c>
      <x:c r="E2378" s="11" t="n">
        <x:f>D2378-C2378</x:f>
        <x:v>0</x:v>
      </x:c>
      <x:c r="F2378" s="5" t="str">
        <x:v>nicht Pilot</x:v>
      </x:c>
      <x:c r="G2378" s="5" t="str">
        <x:v>HQ</x:v>
      </x:c>
    </x:row>
    <x:row r="2379" ht="36" customHeight="1">
      <x:c r="A2379" s="5" t="str">
        <x:v>M-0083</x:v>
      </x:c>
      <x:c r="B2379" s="5" t="str">
        <x:v>Marketing</x:v>
      </x:c>
      <x:c r="C2379" s="11" t="n">
        <x:v>1</x:v>
      </x:c>
      <x:c r="D2379" s="11" t="n">
        <x:f>COUNTIF('Einzel-ID-Zuordnung'!$A$7:$A$2692,A2379)</x:f>
        <x:v>1</x:v>
      </x:c>
      <x:c r="E2379" s="11" t="n">
        <x:f>D2379-C2379</x:f>
        <x:v>0</x:v>
      </x:c>
      <x:c r="F2379" s="5" t="str">
        <x:v>nicht Pilot</x:v>
      </x:c>
      <x:c r="G2379" s="5" t="str">
        <x:v>HQ</x:v>
      </x:c>
    </x:row>
    <x:row r="2380" ht="36" customHeight="1">
      <x:c r="A2380" s="5" t="str">
        <x:v>M-0084</x:v>
      </x:c>
      <x:c r="B2380" s="5" t="str">
        <x:v>Marketing</x:v>
      </x:c>
      <x:c r="C2380" s="11" t="n">
        <x:v>1</x:v>
      </x:c>
      <x:c r="D2380" s="11" t="n">
        <x:f>COUNTIF('Einzel-ID-Zuordnung'!$A$7:$A$2692,A2380)</x:f>
        <x:v>1</x:v>
      </x:c>
      <x:c r="E2380" s="11" t="n">
        <x:f>D2380-C2380</x:f>
        <x:v>0</x:v>
      </x:c>
      <x:c r="F2380" s="5" t="str">
        <x:v>nicht Pilot</x:v>
      </x:c>
      <x:c r="G2380" s="5" t="str">
        <x:v>HQ</x:v>
      </x:c>
    </x:row>
    <x:row r="2381" ht="36" customHeight="1">
      <x:c r="A2381" s="5" t="str">
        <x:v>M-0085</x:v>
      </x:c>
      <x:c r="B2381" s="5" t="str">
        <x:v>Marketing</x:v>
      </x:c>
      <x:c r="C2381" s="11" t="n">
        <x:v>1</x:v>
      </x:c>
      <x:c r="D2381" s="11" t="n">
        <x:f>COUNTIF('Einzel-ID-Zuordnung'!$A$7:$A$2692,A2381)</x:f>
        <x:v>1</x:v>
      </x:c>
      <x:c r="E2381" s="11" t="n">
        <x:f>D2381-C2381</x:f>
        <x:v>0</x:v>
      </x:c>
      <x:c r="F2381" s="5" t="str">
        <x:v>nicht Pilot</x:v>
      </x:c>
      <x:c r="G2381" s="5" t="str">
        <x:v>HQ</x:v>
      </x:c>
    </x:row>
    <x:row r="2382" ht="36" customHeight="1">
      <x:c r="A2382" s="5" t="str">
        <x:v>M-0086</x:v>
      </x:c>
      <x:c r="B2382" s="5" t="str">
        <x:v>Marketing</x:v>
      </x:c>
      <x:c r="C2382" s="11" t="n">
        <x:v>1</x:v>
      </x:c>
      <x:c r="D2382" s="11" t="n">
        <x:f>COUNTIF('Einzel-ID-Zuordnung'!$A$7:$A$2692,A2382)</x:f>
        <x:v>1</x:v>
      </x:c>
      <x:c r="E2382" s="11" t="n">
        <x:f>D2382-C2382</x:f>
        <x:v>0</x:v>
      </x:c>
      <x:c r="F2382" s="5" t="str">
        <x:v>nicht Pilot</x:v>
      </x:c>
      <x:c r="G2382" s="5" t="str">
        <x:v>HQ</x:v>
      </x:c>
    </x:row>
    <x:row r="2383" ht="36" customHeight="1">
      <x:c r="A2383" s="5" t="str">
        <x:v>M-0087</x:v>
      </x:c>
      <x:c r="B2383" s="5" t="str">
        <x:v>Marketing</x:v>
      </x:c>
      <x:c r="C2383" s="11" t="n">
        <x:v>1</x:v>
      </x:c>
      <x:c r="D2383" s="11" t="n">
        <x:f>COUNTIF('Einzel-ID-Zuordnung'!$A$7:$A$2692,A2383)</x:f>
        <x:v>1</x:v>
      </x:c>
      <x:c r="E2383" s="11" t="n">
        <x:f>D2383-C2383</x:f>
        <x:v>0</x:v>
      </x:c>
      <x:c r="F2383" s="5" t="str">
        <x:v>nicht Pilot</x:v>
      </x:c>
      <x:c r="G2383" s="5" t="str">
        <x:v>HQ</x:v>
      </x:c>
    </x:row>
    <x:row r="2384" ht="36" customHeight="1">
      <x:c r="A2384" s="5" t="str">
        <x:v>M-0088</x:v>
      </x:c>
      <x:c r="B2384" s="5" t="str">
        <x:v>Marketing</x:v>
      </x:c>
      <x:c r="C2384" s="11" t="n">
        <x:v>1</x:v>
      </x:c>
      <x:c r="D2384" s="11" t="n">
        <x:f>COUNTIF('Einzel-ID-Zuordnung'!$A$7:$A$2692,A2384)</x:f>
        <x:v>1</x:v>
      </x:c>
      <x:c r="E2384" s="11" t="n">
        <x:f>D2384-C2384</x:f>
        <x:v>0</x:v>
      </x:c>
      <x:c r="F2384" s="5" t="str">
        <x:v>nicht Pilot</x:v>
      </x:c>
      <x:c r="G2384" s="5" t="str">
        <x:v>HQ</x:v>
      </x:c>
    </x:row>
    <x:row r="2385" ht="36" customHeight="1">
      <x:c r="A2385" s="5" t="str">
        <x:v>M-0089</x:v>
      </x:c>
      <x:c r="B2385" s="5" t="str">
        <x:v>Marketing</x:v>
      </x:c>
      <x:c r="C2385" s="11" t="n">
        <x:v>1</x:v>
      </x:c>
      <x:c r="D2385" s="11" t="n">
        <x:f>COUNTIF('Einzel-ID-Zuordnung'!$A$7:$A$2692,A2385)</x:f>
        <x:v>1</x:v>
      </x:c>
      <x:c r="E2385" s="11" t="n">
        <x:f>D2385-C2385</x:f>
        <x:v>0</x:v>
      </x:c>
      <x:c r="F2385" s="5" t="str">
        <x:v>nicht Pilot</x:v>
      </x:c>
      <x:c r="G2385" s="5" t="str">
        <x:v>HQ</x:v>
      </x:c>
    </x:row>
    <x:row r="2386" ht="36" customHeight="1">
      <x:c r="A2386" s="5" t="str">
        <x:v>M-0090</x:v>
      </x:c>
      <x:c r="B2386" s="5" t="str">
        <x:v>Marketing</x:v>
      </x:c>
      <x:c r="C2386" s="11" t="n">
        <x:v>1</x:v>
      </x:c>
      <x:c r="D2386" s="11" t="n">
        <x:f>COUNTIF('Einzel-ID-Zuordnung'!$A$7:$A$2692,A2386)</x:f>
        <x:v>1</x:v>
      </x:c>
      <x:c r="E2386" s="11" t="n">
        <x:f>D2386-C2386</x:f>
        <x:v>0</x:v>
      </x:c>
      <x:c r="F2386" s="5" t="str">
        <x:v>nicht Pilot</x:v>
      </x:c>
      <x:c r="G2386" s="5" t="str">
        <x:v>HQ</x:v>
      </x:c>
    </x:row>
    <x:row r="2387" ht="36" customHeight="1">
      <x:c r="A2387" s="5" t="str">
        <x:v>M-0091</x:v>
      </x:c>
      <x:c r="B2387" s="5" t="str">
        <x:v>Marketing</x:v>
      </x:c>
      <x:c r="C2387" s="11" t="n">
        <x:v>1</x:v>
      </x:c>
      <x:c r="D2387" s="11" t="n">
        <x:f>COUNTIF('Einzel-ID-Zuordnung'!$A$7:$A$2692,A2387)</x:f>
        <x:v>1</x:v>
      </x:c>
      <x:c r="E2387" s="11" t="n">
        <x:f>D2387-C2387</x:f>
        <x:v>0</x:v>
      </x:c>
      <x:c r="F2387" s="5" t="str">
        <x:v>nicht Pilot</x:v>
      </x:c>
      <x:c r="G2387" s="5" t="str">
        <x:v>HQ</x:v>
      </x:c>
    </x:row>
    <x:row r="2388" ht="36" customHeight="1">
      <x:c r="A2388" s="5" t="str">
        <x:v>M-0092</x:v>
      </x:c>
      <x:c r="B2388" s="5" t="str">
        <x:v>Marketing</x:v>
      </x:c>
      <x:c r="C2388" s="11" t="n">
        <x:v>1</x:v>
      </x:c>
      <x:c r="D2388" s="11" t="n">
        <x:f>COUNTIF('Einzel-ID-Zuordnung'!$A$7:$A$2692,A2388)</x:f>
        <x:v>1</x:v>
      </x:c>
      <x:c r="E2388" s="11" t="n">
        <x:f>D2388-C2388</x:f>
        <x:v>0</x:v>
      </x:c>
      <x:c r="F2388" s="5" t="str">
        <x:v>nicht Pilot</x:v>
      </x:c>
      <x:c r="G2388" s="5" t="str">
        <x:v>HQ</x:v>
      </x:c>
    </x:row>
    <x:row r="2389" ht="36" customHeight="1">
      <x:c r="A2389" s="5" t="str">
        <x:v>M-0093</x:v>
      </x:c>
      <x:c r="B2389" s="5" t="str">
        <x:v>Marketing</x:v>
      </x:c>
      <x:c r="C2389" s="11" t="n">
        <x:v>1</x:v>
      </x:c>
      <x:c r="D2389" s="11" t="n">
        <x:f>COUNTIF('Einzel-ID-Zuordnung'!$A$7:$A$2692,A2389)</x:f>
        <x:v>1</x:v>
      </x:c>
      <x:c r="E2389" s="11" t="n">
        <x:f>D2389-C2389</x:f>
        <x:v>0</x:v>
      </x:c>
      <x:c r="F2389" s="5" t="str">
        <x:v>nicht Pilot</x:v>
      </x:c>
      <x:c r="G2389" s="5" t="str">
        <x:v>HQ</x:v>
      </x:c>
    </x:row>
    <x:row r="2390" ht="36" customHeight="1">
      <x:c r="A2390" s="5" t="str">
        <x:v>M-0094</x:v>
      </x:c>
      <x:c r="B2390" s="5" t="str">
        <x:v>Marketing</x:v>
      </x:c>
      <x:c r="C2390" s="11" t="n">
        <x:v>1</x:v>
      </x:c>
      <x:c r="D2390" s="11" t="n">
        <x:f>COUNTIF('Einzel-ID-Zuordnung'!$A$7:$A$2692,A2390)</x:f>
        <x:v>1</x:v>
      </x:c>
      <x:c r="E2390" s="11" t="n">
        <x:f>D2390-C2390</x:f>
        <x:v>0</x:v>
      </x:c>
      <x:c r="F2390" s="5" t="str">
        <x:v>nicht Pilot</x:v>
      </x:c>
      <x:c r="G2390" s="5" t="str">
        <x:v>HQ</x:v>
      </x:c>
    </x:row>
    <x:row r="2391" ht="36" customHeight="1">
      <x:c r="A2391" s="5" t="str">
        <x:v>M-0095</x:v>
      </x:c>
      <x:c r="B2391" s="5" t="str">
        <x:v>Marketing</x:v>
      </x:c>
      <x:c r="C2391" s="11" t="n">
        <x:v>1</x:v>
      </x:c>
      <x:c r="D2391" s="11" t="n">
        <x:f>COUNTIF('Einzel-ID-Zuordnung'!$A$7:$A$2692,A2391)</x:f>
        <x:v>1</x:v>
      </x:c>
      <x:c r="E2391" s="11" t="n">
        <x:f>D2391-C2391</x:f>
        <x:v>0</x:v>
      </x:c>
      <x:c r="F2391" s="5" t="str">
        <x:v>nicht Pilot</x:v>
      </x:c>
      <x:c r="G2391" s="5" t="str">
        <x:v>HQ</x:v>
      </x:c>
    </x:row>
    <x:row r="2392" ht="36" customHeight="1">
      <x:c r="A2392" s="5" t="str">
        <x:v>M-0096</x:v>
      </x:c>
      <x:c r="B2392" s="5" t="str">
        <x:v>Marketing</x:v>
      </x:c>
      <x:c r="C2392" s="11" t="n">
        <x:v>1</x:v>
      </x:c>
      <x:c r="D2392" s="11" t="n">
        <x:f>COUNTIF('Einzel-ID-Zuordnung'!$A$7:$A$2692,A2392)</x:f>
        <x:v>1</x:v>
      </x:c>
      <x:c r="E2392" s="11" t="n">
        <x:f>D2392-C2392</x:f>
        <x:v>0</x:v>
      </x:c>
      <x:c r="F2392" s="5" t="str">
        <x:v>nicht Pilot</x:v>
      </x:c>
      <x:c r="G2392" s="5" t="str">
        <x:v>HQ</x:v>
      </x:c>
    </x:row>
    <x:row r="2393" ht="36" customHeight="1">
      <x:c r="A2393" s="5" t="str">
        <x:v>M-0097</x:v>
      </x:c>
      <x:c r="B2393" s="5" t="str">
        <x:v>Marketing</x:v>
      </x:c>
      <x:c r="C2393" s="11" t="n">
        <x:v>1</x:v>
      </x:c>
      <x:c r="D2393" s="11" t="n">
        <x:f>COUNTIF('Einzel-ID-Zuordnung'!$A$7:$A$2692,A2393)</x:f>
        <x:v>1</x:v>
      </x:c>
      <x:c r="E2393" s="11" t="n">
        <x:f>D2393-C2393</x:f>
        <x:v>0</x:v>
      </x:c>
      <x:c r="F2393" s="5" t="str">
        <x:v>nicht Pilot</x:v>
      </x:c>
      <x:c r="G2393" s="5" t="str">
        <x:v>HQ</x:v>
      </x:c>
    </x:row>
    <x:row r="2394" ht="36" customHeight="1">
      <x:c r="A2394" s="5" t="str">
        <x:v>M-0098</x:v>
      </x:c>
      <x:c r="B2394" s="5" t="str">
        <x:v>Marketing</x:v>
      </x:c>
      <x:c r="C2394" s="11" t="n">
        <x:v>1</x:v>
      </x:c>
      <x:c r="D2394" s="11" t="n">
        <x:f>COUNTIF('Einzel-ID-Zuordnung'!$A$7:$A$2692,A2394)</x:f>
        <x:v>1</x:v>
      </x:c>
      <x:c r="E2394" s="11" t="n">
        <x:f>D2394-C2394</x:f>
        <x:v>0</x:v>
      </x:c>
      <x:c r="F2394" s="5" t="str">
        <x:v>nicht Pilot</x:v>
      </x:c>
      <x:c r="G2394" s="5" t="str">
        <x:v>HQ</x:v>
      </x:c>
    </x:row>
    <x:row r="2395" ht="36" customHeight="1">
      <x:c r="A2395" s="5" t="str">
        <x:v>M-0099</x:v>
      </x:c>
      <x:c r="B2395" s="5" t="str">
        <x:v>Marketing</x:v>
      </x:c>
      <x:c r="C2395" s="11" t="n">
        <x:v>1</x:v>
      </x:c>
      <x:c r="D2395" s="11" t="n">
        <x:f>COUNTIF('Einzel-ID-Zuordnung'!$A$7:$A$2692,A2395)</x:f>
        <x:v>1</x:v>
      </x:c>
      <x:c r="E2395" s="11" t="n">
        <x:f>D2395-C2395</x:f>
        <x:v>0</x:v>
      </x:c>
      <x:c r="F2395" s="5" t="str">
        <x:v>nicht Pilot</x:v>
      </x:c>
      <x:c r="G2395" s="5" t="str">
        <x:v>HQ</x:v>
      </x:c>
    </x:row>
    <x:row r="2396" ht="36" customHeight="1">
      <x:c r="A2396" s="5" t="str">
        <x:v>M-0100</x:v>
      </x:c>
      <x:c r="B2396" s="5" t="str">
        <x:v>Marketing</x:v>
      </x:c>
      <x:c r="C2396" s="11" t="n">
        <x:v>1</x:v>
      </x:c>
      <x:c r="D2396" s="11" t="n">
        <x:f>COUNTIF('Einzel-ID-Zuordnung'!$A$7:$A$2692,A2396)</x:f>
        <x:v>1</x:v>
      </x:c>
      <x:c r="E2396" s="11" t="n">
        <x:f>D2396-C2396</x:f>
        <x:v>0</x:v>
      </x:c>
      <x:c r="F2396" s="5" t="str">
        <x:v>nicht Pilot</x:v>
      </x:c>
      <x:c r="G2396" s="5" t="str">
        <x:v>HQ</x:v>
      </x:c>
    </x:row>
    <x:row r="2397" ht="36" customHeight="1">
      <x:c r="A2397" s="5" t="str">
        <x:v>M-0101</x:v>
      </x:c>
      <x:c r="B2397" s="5" t="str">
        <x:v>Marketing</x:v>
      </x:c>
      <x:c r="C2397" s="11" t="n">
        <x:v>1</x:v>
      </x:c>
      <x:c r="D2397" s="11" t="n">
        <x:f>COUNTIF('Einzel-ID-Zuordnung'!$A$7:$A$2692,A2397)</x:f>
        <x:v>1</x:v>
      </x:c>
      <x:c r="E2397" s="11" t="n">
        <x:f>D2397-C2397</x:f>
        <x:v>0</x:v>
      </x:c>
      <x:c r="F2397" s="5" t="str">
        <x:v>nicht Pilot</x:v>
      </x:c>
      <x:c r="G2397" s="5" t="str">
        <x:v>HQ</x:v>
      </x:c>
    </x:row>
    <x:row r="2398" ht="36" customHeight="1">
      <x:c r="A2398" s="5" t="str">
        <x:v>M-0102</x:v>
      </x:c>
      <x:c r="B2398" s="5" t="str">
        <x:v>Marketing</x:v>
      </x:c>
      <x:c r="C2398" s="11" t="n">
        <x:v>1</x:v>
      </x:c>
      <x:c r="D2398" s="11" t="n">
        <x:f>COUNTIF('Einzel-ID-Zuordnung'!$A$7:$A$2692,A2398)</x:f>
        <x:v>1</x:v>
      </x:c>
      <x:c r="E2398" s="11" t="n">
        <x:f>D2398-C2398</x:f>
        <x:v>0</x:v>
      </x:c>
      <x:c r="F2398" s="5" t="str">
        <x:v>nicht Pilot</x:v>
      </x:c>
      <x:c r="G2398" s="5" t="str">
        <x:v>HQ</x:v>
      </x:c>
    </x:row>
    <x:row r="2399" ht="36" customHeight="1">
      <x:c r="A2399" s="5" t="str">
        <x:v>M-0103</x:v>
      </x:c>
      <x:c r="B2399" s="5" t="str">
        <x:v>Marketing</x:v>
      </x:c>
      <x:c r="C2399" s="11" t="n">
        <x:v>1</x:v>
      </x:c>
      <x:c r="D2399" s="11" t="n">
        <x:f>COUNTIF('Einzel-ID-Zuordnung'!$A$7:$A$2692,A2399)</x:f>
        <x:v>1</x:v>
      </x:c>
      <x:c r="E2399" s="11" t="n">
        <x:f>D2399-C2399</x:f>
        <x:v>0</x:v>
      </x:c>
      <x:c r="F2399" s="5" t="str">
        <x:v>nicht Pilot</x:v>
      </x:c>
      <x:c r="G2399" s="5" t="str">
        <x:v>HQ</x:v>
      </x:c>
    </x:row>
    <x:row r="2400" ht="36" customHeight="1">
      <x:c r="A2400" s="5" t="str">
        <x:v>M-0104</x:v>
      </x:c>
      <x:c r="B2400" s="5" t="str">
        <x:v>Marketing</x:v>
      </x:c>
      <x:c r="C2400" s="11" t="n">
        <x:v>1</x:v>
      </x:c>
      <x:c r="D2400" s="11" t="n">
        <x:f>COUNTIF('Einzel-ID-Zuordnung'!$A$7:$A$2692,A2400)</x:f>
        <x:v>1</x:v>
      </x:c>
      <x:c r="E2400" s="11" t="n">
        <x:f>D2400-C2400</x:f>
        <x:v>0</x:v>
      </x:c>
      <x:c r="F2400" s="5" t="str">
        <x:v>nicht Pilot</x:v>
      </x:c>
      <x:c r="G2400" s="5" t="str">
        <x:v>HQ</x:v>
      </x:c>
    </x:row>
    <x:row r="2401" ht="36" customHeight="1">
      <x:c r="A2401" s="5" t="str">
        <x:v>M-0105</x:v>
      </x:c>
      <x:c r="B2401" s="5" t="str">
        <x:v>Marketing</x:v>
      </x:c>
      <x:c r="C2401" s="11" t="n">
        <x:v>1</x:v>
      </x:c>
      <x:c r="D2401" s="11" t="n">
        <x:f>COUNTIF('Einzel-ID-Zuordnung'!$A$7:$A$2692,A2401)</x:f>
        <x:v>1</x:v>
      </x:c>
      <x:c r="E2401" s="11" t="n">
        <x:f>D2401-C2401</x:f>
        <x:v>0</x:v>
      </x:c>
      <x:c r="F2401" s="5" t="str">
        <x:v>nicht Pilot</x:v>
      </x:c>
      <x:c r="G2401" s="5" t="str">
        <x:v>HQ</x:v>
      </x:c>
    </x:row>
    <x:row r="2402" ht="36" customHeight="1">
      <x:c r="A2402" s="5" t="str">
        <x:v>M-0106</x:v>
      </x:c>
      <x:c r="B2402" s="5" t="str">
        <x:v>Marketing</x:v>
      </x:c>
      <x:c r="C2402" s="11" t="n">
        <x:v>1</x:v>
      </x:c>
      <x:c r="D2402" s="11" t="n">
        <x:f>COUNTIF('Einzel-ID-Zuordnung'!$A$7:$A$2692,A2402)</x:f>
        <x:v>1</x:v>
      </x:c>
      <x:c r="E2402" s="11" t="n">
        <x:f>D2402-C2402</x:f>
        <x:v>0</x:v>
      </x:c>
      <x:c r="F2402" s="5" t="str">
        <x:v>nicht Pilot</x:v>
      </x:c>
      <x:c r="G2402" s="5" t="str">
        <x:v>HQ</x:v>
      </x:c>
    </x:row>
    <x:row r="2403" ht="36" customHeight="1">
      <x:c r="A2403" s="5" t="str">
        <x:v>M-0107</x:v>
      </x:c>
      <x:c r="B2403" s="5" t="str">
        <x:v>Marketing</x:v>
      </x:c>
      <x:c r="C2403" s="11" t="n">
        <x:v>1</x:v>
      </x:c>
      <x:c r="D2403" s="11" t="n">
        <x:f>COUNTIF('Einzel-ID-Zuordnung'!$A$7:$A$2692,A2403)</x:f>
        <x:v>1</x:v>
      </x:c>
      <x:c r="E2403" s="11" t="n">
        <x:f>D2403-C2403</x:f>
        <x:v>0</x:v>
      </x:c>
      <x:c r="F2403" s="5" t="str">
        <x:v>nicht Pilot</x:v>
      </x:c>
      <x:c r="G2403" s="5" t="str">
        <x:v>HQ</x:v>
      </x:c>
    </x:row>
    <x:row r="2404" ht="36" customHeight="1">
      <x:c r="A2404" s="5" t="str">
        <x:v>V-0001</x:v>
      </x:c>
      <x:c r="B2404" s="5" t="str">
        <x:v>Vertrieb</x:v>
      </x:c>
      <x:c r="C2404" s="11" t="n">
        <x:v>1</x:v>
      </x:c>
      <x:c r="D2404" s="11" t="n">
        <x:f>COUNTIF('Einzel-ID-Zuordnung'!$A$7:$A$2692,A2404)</x:f>
        <x:v>1</x:v>
      </x:c>
      <x:c r="E2404" s="11" t="n">
        <x:f>D2404-C2404</x:f>
        <x:v>0</x:v>
      </x:c>
      <x:c r="F2404" s="5" t="str">
        <x:v>nicht Pilot</x:v>
      </x:c>
      <x:c r="G2404" s="5" t="str">
        <x:v>HQ</x:v>
      </x:c>
    </x:row>
    <x:row r="2405" ht="36" customHeight="1">
      <x:c r="A2405" s="5" t="str">
        <x:v>V-0002</x:v>
      </x:c>
      <x:c r="B2405" s="5" t="str">
        <x:v>Vertrieb</x:v>
      </x:c>
      <x:c r="C2405" s="11" t="n">
        <x:v>1</x:v>
      </x:c>
      <x:c r="D2405" s="11" t="n">
        <x:f>COUNTIF('Einzel-ID-Zuordnung'!$A$7:$A$2692,A2405)</x:f>
        <x:v>1</x:v>
      </x:c>
      <x:c r="E2405" s="11" t="n">
        <x:f>D2405-C2405</x:f>
        <x:v>0</x:v>
      </x:c>
      <x:c r="F2405" s="5" t="str">
        <x:v>nicht Pilot</x:v>
      </x:c>
      <x:c r="G2405" s="5" t="str">
        <x:v>HQ</x:v>
      </x:c>
    </x:row>
    <x:row r="2406" ht="36" customHeight="1">
      <x:c r="A2406" s="5" t="str">
        <x:v>V-0003</x:v>
      </x:c>
      <x:c r="B2406" s="5" t="str">
        <x:v>Vertrieb</x:v>
      </x:c>
      <x:c r="C2406" s="11" t="n">
        <x:v>1</x:v>
      </x:c>
      <x:c r="D2406" s="11" t="n">
        <x:f>COUNTIF('Einzel-ID-Zuordnung'!$A$7:$A$2692,A2406)</x:f>
        <x:v>1</x:v>
      </x:c>
      <x:c r="E2406" s="11" t="n">
        <x:f>D2406-C2406</x:f>
        <x:v>0</x:v>
      </x:c>
      <x:c r="F2406" s="5" t="str">
        <x:v>nicht Pilot</x:v>
      </x:c>
      <x:c r="G2406" s="5" t="str">
        <x:v>HQ</x:v>
      </x:c>
    </x:row>
    <x:row r="2407" ht="36" customHeight="1">
      <x:c r="A2407" s="5" t="str">
        <x:v>V-0004</x:v>
      </x:c>
      <x:c r="B2407" s="5" t="str">
        <x:v>Vertrieb</x:v>
      </x:c>
      <x:c r="C2407" s="11" t="n">
        <x:v>1</x:v>
      </x:c>
      <x:c r="D2407" s="11" t="n">
        <x:f>COUNTIF('Einzel-ID-Zuordnung'!$A$7:$A$2692,A2407)</x:f>
        <x:v>1</x:v>
      </x:c>
      <x:c r="E2407" s="11" t="n">
        <x:f>D2407-C2407</x:f>
        <x:v>0</x:v>
      </x:c>
      <x:c r="F2407" s="5" t="str">
        <x:v>nicht Pilot</x:v>
      </x:c>
      <x:c r="G2407" s="5" t="str">
        <x:v>HQ</x:v>
      </x:c>
    </x:row>
    <x:row r="2408" ht="36" customHeight="1">
      <x:c r="A2408" s="5" t="str">
        <x:v>V-0005</x:v>
      </x:c>
      <x:c r="B2408" s="5" t="str">
        <x:v>Vertrieb</x:v>
      </x:c>
      <x:c r="C2408" s="11" t="n">
        <x:v>1</x:v>
      </x:c>
      <x:c r="D2408" s="11" t="n">
        <x:f>COUNTIF('Einzel-ID-Zuordnung'!$A$7:$A$2692,A2408)</x:f>
        <x:v>1</x:v>
      </x:c>
      <x:c r="E2408" s="11" t="n">
        <x:f>D2408-C2408</x:f>
        <x:v>0</x:v>
      </x:c>
      <x:c r="F2408" s="5" t="str">
        <x:v>nicht Pilot</x:v>
      </x:c>
      <x:c r="G2408" s="5" t="str">
        <x:v>HQ</x:v>
      </x:c>
    </x:row>
    <x:row r="2409" ht="36" customHeight="1">
      <x:c r="A2409" s="5" t="str">
        <x:v>V-0006</x:v>
      </x:c>
      <x:c r="B2409" s="5" t="str">
        <x:v>Vertrieb</x:v>
      </x:c>
      <x:c r="C2409" s="11" t="n">
        <x:v>1</x:v>
      </x:c>
      <x:c r="D2409" s="11" t="n">
        <x:f>COUNTIF('Einzel-ID-Zuordnung'!$A$7:$A$2692,A2409)</x:f>
        <x:v>1</x:v>
      </x:c>
      <x:c r="E2409" s="11" t="n">
        <x:f>D2409-C2409</x:f>
        <x:v>0</x:v>
      </x:c>
      <x:c r="F2409" s="5" t="str">
        <x:v>nicht Pilot</x:v>
      </x:c>
      <x:c r="G2409" s="5" t="str">
        <x:v>HQ</x:v>
      </x:c>
    </x:row>
    <x:row r="2410" ht="36" customHeight="1">
      <x:c r="A2410" s="5" t="str">
        <x:v>V-0007</x:v>
      </x:c>
      <x:c r="B2410" s="5" t="str">
        <x:v>Vertrieb</x:v>
      </x:c>
      <x:c r="C2410" s="11" t="n">
        <x:v>1</x:v>
      </x:c>
      <x:c r="D2410" s="11" t="n">
        <x:f>COUNTIF('Einzel-ID-Zuordnung'!$A$7:$A$2692,A2410)</x:f>
        <x:v>1</x:v>
      </x:c>
      <x:c r="E2410" s="11" t="n">
        <x:f>D2410-C2410</x:f>
        <x:v>0</x:v>
      </x:c>
      <x:c r="F2410" s="5" t="str">
        <x:v>nicht Pilot</x:v>
      </x:c>
      <x:c r="G2410" s="5" t="str">
        <x:v>HQ</x:v>
      </x:c>
    </x:row>
    <x:row r="2411" ht="36" customHeight="1">
      <x:c r="A2411" s="5" t="str">
        <x:v>V-0008</x:v>
      </x:c>
      <x:c r="B2411" s="5" t="str">
        <x:v>Vertrieb</x:v>
      </x:c>
      <x:c r="C2411" s="11" t="n">
        <x:v>1</x:v>
      </x:c>
      <x:c r="D2411" s="11" t="n">
        <x:f>COUNTIF('Einzel-ID-Zuordnung'!$A$7:$A$2692,A2411)</x:f>
        <x:v>1</x:v>
      </x:c>
      <x:c r="E2411" s="11" t="n">
        <x:f>D2411-C2411</x:f>
        <x:v>0</x:v>
      </x:c>
      <x:c r="F2411" s="5" t="str">
        <x:v>nicht Pilot</x:v>
      </x:c>
      <x:c r="G2411" s="5" t="str">
        <x:v>HQ</x:v>
      </x:c>
    </x:row>
    <x:row r="2412" ht="36" customHeight="1">
      <x:c r="A2412" s="5" t="str">
        <x:v>V-0009</x:v>
      </x:c>
      <x:c r="B2412" s="5" t="str">
        <x:v>Vertrieb</x:v>
      </x:c>
      <x:c r="C2412" s="11" t="n">
        <x:v>1</x:v>
      </x:c>
      <x:c r="D2412" s="11" t="n">
        <x:f>COUNTIF('Einzel-ID-Zuordnung'!$A$7:$A$2692,A2412)</x:f>
        <x:v>1</x:v>
      </x:c>
      <x:c r="E2412" s="11" t="n">
        <x:f>D2412-C2412</x:f>
        <x:v>0</x:v>
      </x:c>
      <x:c r="F2412" s="5" t="str">
        <x:v>nicht Pilot</x:v>
      </x:c>
      <x:c r="G2412" s="5" t="str">
        <x:v>HQ</x:v>
      </x:c>
    </x:row>
    <x:row r="2413" ht="36" customHeight="1">
      <x:c r="A2413" s="5" t="str">
        <x:v>V-0010</x:v>
      </x:c>
      <x:c r="B2413" s="5" t="str">
        <x:v>Vertrieb</x:v>
      </x:c>
      <x:c r="C2413" s="11" t="n">
        <x:v>1</x:v>
      </x:c>
      <x:c r="D2413" s="11" t="n">
        <x:f>COUNTIF('Einzel-ID-Zuordnung'!$A$7:$A$2692,A2413)</x:f>
        <x:v>1</x:v>
      </x:c>
      <x:c r="E2413" s="11" t="n">
        <x:f>D2413-C2413</x:f>
        <x:v>0</x:v>
      </x:c>
      <x:c r="F2413" s="5" t="str">
        <x:v>nicht Pilot</x:v>
      </x:c>
      <x:c r="G2413" s="5" t="str">
        <x:v>HQ</x:v>
      </x:c>
    </x:row>
    <x:row r="2414" ht="36" customHeight="1">
      <x:c r="A2414" s="5" t="str">
        <x:v>V-0011</x:v>
      </x:c>
      <x:c r="B2414" s="5" t="str">
        <x:v>Vertrieb</x:v>
      </x:c>
      <x:c r="C2414" s="11" t="n">
        <x:v>1</x:v>
      </x:c>
      <x:c r="D2414" s="11" t="n">
        <x:f>COUNTIF('Einzel-ID-Zuordnung'!$A$7:$A$2692,A2414)</x:f>
        <x:v>1</x:v>
      </x:c>
      <x:c r="E2414" s="11" t="n">
        <x:f>D2414-C2414</x:f>
        <x:v>0</x:v>
      </x:c>
      <x:c r="F2414" s="5" t="str">
        <x:v>nicht Pilot</x:v>
      </x:c>
      <x:c r="G2414" s="5" t="str">
        <x:v>HQ</x:v>
      </x:c>
    </x:row>
    <x:row r="2415" ht="36" customHeight="1">
      <x:c r="A2415" s="5" t="str">
        <x:v>V-0012</x:v>
      </x:c>
      <x:c r="B2415" s="5" t="str">
        <x:v>Vertrieb</x:v>
      </x:c>
      <x:c r="C2415" s="11" t="n">
        <x:v>1</x:v>
      </x:c>
      <x:c r="D2415" s="11" t="n">
        <x:f>COUNTIF('Einzel-ID-Zuordnung'!$A$7:$A$2692,A2415)</x:f>
        <x:v>1</x:v>
      </x:c>
      <x:c r="E2415" s="11" t="n">
        <x:f>D2415-C2415</x:f>
        <x:v>0</x:v>
      </x:c>
      <x:c r="F2415" s="5" t="str">
        <x:v>nicht Pilot</x:v>
      </x:c>
      <x:c r="G2415" s="5" t="str">
        <x:v>HQ</x:v>
      </x:c>
    </x:row>
    <x:row r="2416" ht="36" customHeight="1">
      <x:c r="A2416" s="5" t="str">
        <x:v>V-0013</x:v>
      </x:c>
      <x:c r="B2416" s="5" t="str">
        <x:v>Vertrieb</x:v>
      </x:c>
      <x:c r="C2416" s="11" t="n">
        <x:v>1</x:v>
      </x:c>
      <x:c r="D2416" s="11" t="n">
        <x:f>COUNTIF('Einzel-ID-Zuordnung'!$A$7:$A$2692,A2416)</x:f>
        <x:v>1</x:v>
      </x:c>
      <x:c r="E2416" s="11" t="n">
        <x:f>D2416-C2416</x:f>
        <x:v>0</x:v>
      </x:c>
      <x:c r="F2416" s="5" t="str">
        <x:v>nicht Pilot</x:v>
      </x:c>
      <x:c r="G2416" s="5" t="str">
        <x:v>HQ</x:v>
      </x:c>
    </x:row>
    <x:row r="2417" ht="36" customHeight="1">
      <x:c r="A2417" s="5" t="str">
        <x:v>V-0014</x:v>
      </x:c>
      <x:c r="B2417" s="5" t="str">
        <x:v>Vertrieb</x:v>
      </x:c>
      <x:c r="C2417" s="11" t="n">
        <x:v>1</x:v>
      </x:c>
      <x:c r="D2417" s="11" t="n">
        <x:f>COUNTIF('Einzel-ID-Zuordnung'!$A$7:$A$2692,A2417)</x:f>
        <x:v>1</x:v>
      </x:c>
      <x:c r="E2417" s="11" t="n">
        <x:f>D2417-C2417</x:f>
        <x:v>0</x:v>
      </x:c>
      <x:c r="F2417" s="5" t="str">
        <x:v>nicht Pilot</x:v>
      </x:c>
      <x:c r="G2417" s="5" t="str">
        <x:v>HQ</x:v>
      </x:c>
    </x:row>
    <x:row r="2418" ht="36" customHeight="1">
      <x:c r="A2418" s="5" t="str">
        <x:v>V-0015</x:v>
      </x:c>
      <x:c r="B2418" s="5" t="str">
        <x:v>Vertrieb</x:v>
      </x:c>
      <x:c r="C2418" s="11" t="n">
        <x:v>1</x:v>
      </x:c>
      <x:c r="D2418" s="11" t="n">
        <x:f>COUNTIF('Einzel-ID-Zuordnung'!$A$7:$A$2692,A2418)</x:f>
        <x:v>1</x:v>
      </x:c>
      <x:c r="E2418" s="11" t="n">
        <x:f>D2418-C2418</x:f>
        <x:v>0</x:v>
      </x:c>
      <x:c r="F2418" s="5" t="str">
        <x:v>nicht Pilot</x:v>
      </x:c>
      <x:c r="G2418" s="5" t="str">
        <x:v>HQ</x:v>
      </x:c>
    </x:row>
    <x:row r="2419" ht="36" customHeight="1">
      <x:c r="A2419" s="5" t="str">
        <x:v>V-0016</x:v>
      </x:c>
      <x:c r="B2419" s="5" t="str">
        <x:v>Vertrieb</x:v>
      </x:c>
      <x:c r="C2419" s="11" t="n">
        <x:v>1</x:v>
      </x:c>
      <x:c r="D2419" s="11" t="n">
        <x:f>COUNTIF('Einzel-ID-Zuordnung'!$A$7:$A$2692,A2419)</x:f>
        <x:v>1</x:v>
      </x:c>
      <x:c r="E2419" s="11" t="n">
        <x:f>D2419-C2419</x:f>
        <x:v>0</x:v>
      </x:c>
      <x:c r="F2419" s="5" t="str">
        <x:v>nicht Pilot</x:v>
      </x:c>
      <x:c r="G2419" s="5" t="str">
        <x:v>HQ</x:v>
      </x:c>
    </x:row>
    <x:row r="2420" ht="36" customHeight="1">
      <x:c r="A2420" s="5" t="str">
        <x:v>V-0017</x:v>
      </x:c>
      <x:c r="B2420" s="5" t="str">
        <x:v>Vertrieb</x:v>
      </x:c>
      <x:c r="C2420" s="11" t="n">
        <x:v>1</x:v>
      </x:c>
      <x:c r="D2420" s="11" t="n">
        <x:f>COUNTIF('Einzel-ID-Zuordnung'!$A$7:$A$2692,A2420)</x:f>
        <x:v>1</x:v>
      </x:c>
      <x:c r="E2420" s="11" t="n">
        <x:f>D2420-C2420</x:f>
        <x:v>0</x:v>
      </x:c>
      <x:c r="F2420" s="5" t="str">
        <x:v>nicht Pilot</x:v>
      </x:c>
      <x:c r="G2420" s="5" t="str">
        <x:v>HQ</x:v>
      </x:c>
    </x:row>
    <x:row r="2421" ht="36" customHeight="1">
      <x:c r="A2421" s="5" t="str">
        <x:v>V-0018</x:v>
      </x:c>
      <x:c r="B2421" s="5" t="str">
        <x:v>Vertrieb</x:v>
      </x:c>
      <x:c r="C2421" s="11" t="n">
        <x:v>1</x:v>
      </x:c>
      <x:c r="D2421" s="11" t="n">
        <x:f>COUNTIF('Einzel-ID-Zuordnung'!$A$7:$A$2692,A2421)</x:f>
        <x:v>1</x:v>
      </x:c>
      <x:c r="E2421" s="11" t="n">
        <x:f>D2421-C2421</x:f>
        <x:v>0</x:v>
      </x:c>
      <x:c r="F2421" s="5" t="str">
        <x:v>nicht Pilot</x:v>
      </x:c>
      <x:c r="G2421" s="5" t="str">
        <x:v>HQ</x:v>
      </x:c>
    </x:row>
    <x:row r="2422" ht="36" customHeight="1">
      <x:c r="A2422" s="5" t="str">
        <x:v>V-0019</x:v>
      </x:c>
      <x:c r="B2422" s="5" t="str">
        <x:v>Vertrieb</x:v>
      </x:c>
      <x:c r="C2422" s="11" t="n">
        <x:v>1</x:v>
      </x:c>
      <x:c r="D2422" s="11" t="n">
        <x:f>COUNTIF('Einzel-ID-Zuordnung'!$A$7:$A$2692,A2422)</x:f>
        <x:v>1</x:v>
      </x:c>
      <x:c r="E2422" s="11" t="n">
        <x:f>D2422-C2422</x:f>
        <x:v>0</x:v>
      </x:c>
      <x:c r="F2422" s="5" t="str">
        <x:v>nicht Pilot</x:v>
      </x:c>
      <x:c r="G2422" s="5" t="str">
        <x:v>HQ</x:v>
      </x:c>
    </x:row>
    <x:row r="2423" ht="36" customHeight="1">
      <x:c r="A2423" s="5" t="str">
        <x:v>V-0020</x:v>
      </x:c>
      <x:c r="B2423" s="5" t="str">
        <x:v>Vertrieb</x:v>
      </x:c>
      <x:c r="C2423" s="11" t="n">
        <x:v>1</x:v>
      </x:c>
      <x:c r="D2423" s="11" t="n">
        <x:f>COUNTIF('Einzel-ID-Zuordnung'!$A$7:$A$2692,A2423)</x:f>
        <x:v>1</x:v>
      </x:c>
      <x:c r="E2423" s="11" t="n">
        <x:f>D2423-C2423</x:f>
        <x:v>0</x:v>
      </x:c>
      <x:c r="F2423" s="5" t="str">
        <x:v>nicht Pilot</x:v>
      </x:c>
      <x:c r="G2423" s="5" t="str">
        <x:v>HQ</x:v>
      </x:c>
    </x:row>
    <x:row r="2424" ht="36" customHeight="1">
      <x:c r="A2424" s="5" t="str">
        <x:v>V-0021</x:v>
      </x:c>
      <x:c r="B2424" s="5" t="str">
        <x:v>Vertrieb</x:v>
      </x:c>
      <x:c r="C2424" s="11" t="n">
        <x:v>1</x:v>
      </x:c>
      <x:c r="D2424" s="11" t="n">
        <x:f>COUNTIF('Einzel-ID-Zuordnung'!$A$7:$A$2692,A2424)</x:f>
        <x:v>1</x:v>
      </x:c>
      <x:c r="E2424" s="11" t="n">
        <x:f>D2424-C2424</x:f>
        <x:v>0</x:v>
      </x:c>
      <x:c r="F2424" s="5" t="str">
        <x:v>nicht Pilot</x:v>
      </x:c>
      <x:c r="G2424" s="5" t="str">
        <x:v>HQ</x:v>
      </x:c>
    </x:row>
    <x:row r="2425" ht="36" customHeight="1">
      <x:c r="A2425" s="5" t="str">
        <x:v>V-0022</x:v>
      </x:c>
      <x:c r="B2425" s="5" t="str">
        <x:v>Vertrieb</x:v>
      </x:c>
      <x:c r="C2425" s="11" t="n">
        <x:v>1</x:v>
      </x:c>
      <x:c r="D2425" s="11" t="n">
        <x:f>COUNTIF('Einzel-ID-Zuordnung'!$A$7:$A$2692,A2425)</x:f>
        <x:v>1</x:v>
      </x:c>
      <x:c r="E2425" s="11" t="n">
        <x:f>D2425-C2425</x:f>
        <x:v>0</x:v>
      </x:c>
      <x:c r="F2425" s="5" t="str">
        <x:v>nicht Pilot</x:v>
      </x:c>
      <x:c r="G2425" s="5" t="str">
        <x:v>HQ</x:v>
      </x:c>
    </x:row>
    <x:row r="2426" ht="36" customHeight="1">
      <x:c r="A2426" s="5" t="str">
        <x:v>V-0023</x:v>
      </x:c>
      <x:c r="B2426" s="5" t="str">
        <x:v>Vertrieb</x:v>
      </x:c>
      <x:c r="C2426" s="11" t="n">
        <x:v>1</x:v>
      </x:c>
      <x:c r="D2426" s="11" t="n">
        <x:f>COUNTIF('Einzel-ID-Zuordnung'!$A$7:$A$2692,A2426)</x:f>
        <x:v>1</x:v>
      </x:c>
      <x:c r="E2426" s="11" t="n">
        <x:f>D2426-C2426</x:f>
        <x:v>0</x:v>
      </x:c>
      <x:c r="F2426" s="5" t="str">
        <x:v>nicht Pilot</x:v>
      </x:c>
      <x:c r="G2426" s="5" t="str">
        <x:v>HQ</x:v>
      </x:c>
    </x:row>
    <x:row r="2427" ht="36" customHeight="1">
      <x:c r="A2427" s="5" t="str">
        <x:v>V-0024</x:v>
      </x:c>
      <x:c r="B2427" s="5" t="str">
        <x:v>Vertrieb</x:v>
      </x:c>
      <x:c r="C2427" s="11" t="n">
        <x:v>1</x:v>
      </x:c>
      <x:c r="D2427" s="11" t="n">
        <x:f>COUNTIF('Einzel-ID-Zuordnung'!$A$7:$A$2692,A2427)</x:f>
        <x:v>1</x:v>
      </x:c>
      <x:c r="E2427" s="11" t="n">
        <x:f>D2427-C2427</x:f>
        <x:v>0</x:v>
      </x:c>
      <x:c r="F2427" s="5" t="str">
        <x:v>nicht Pilot</x:v>
      </x:c>
      <x:c r="G2427" s="5" t="str">
        <x:v>HQ</x:v>
      </x:c>
    </x:row>
    <x:row r="2428" ht="36" customHeight="1">
      <x:c r="A2428" s="5" t="str">
        <x:v>V-0025</x:v>
      </x:c>
      <x:c r="B2428" s="5" t="str">
        <x:v>Vertrieb</x:v>
      </x:c>
      <x:c r="C2428" s="11" t="n">
        <x:v>1</x:v>
      </x:c>
      <x:c r="D2428" s="11" t="n">
        <x:f>COUNTIF('Einzel-ID-Zuordnung'!$A$7:$A$2692,A2428)</x:f>
        <x:v>1</x:v>
      </x:c>
      <x:c r="E2428" s="11" t="n">
        <x:f>D2428-C2428</x:f>
        <x:v>0</x:v>
      </x:c>
      <x:c r="F2428" s="5" t="str">
        <x:v>nicht Pilot</x:v>
      </x:c>
      <x:c r="G2428" s="5" t="str">
        <x:v>HQ</x:v>
      </x:c>
    </x:row>
    <x:row r="2429" ht="36" customHeight="1">
      <x:c r="A2429" s="5" t="str">
        <x:v>V-0026</x:v>
      </x:c>
      <x:c r="B2429" s="5" t="str">
        <x:v>Vertrieb</x:v>
      </x:c>
      <x:c r="C2429" s="11" t="n">
        <x:v>1</x:v>
      </x:c>
      <x:c r="D2429" s="11" t="n">
        <x:f>COUNTIF('Einzel-ID-Zuordnung'!$A$7:$A$2692,A2429)</x:f>
        <x:v>1</x:v>
      </x:c>
      <x:c r="E2429" s="11" t="n">
        <x:f>D2429-C2429</x:f>
        <x:v>0</x:v>
      </x:c>
      <x:c r="F2429" s="5" t="str">
        <x:v>nicht Pilot</x:v>
      </x:c>
      <x:c r="G2429" s="5" t="str">
        <x:v>HQ</x:v>
      </x:c>
    </x:row>
    <x:row r="2430" ht="36" customHeight="1">
      <x:c r="A2430" s="5" t="str">
        <x:v>V-0027</x:v>
      </x:c>
      <x:c r="B2430" s="5" t="str">
        <x:v>Vertrieb</x:v>
      </x:c>
      <x:c r="C2430" s="11" t="n">
        <x:v>1</x:v>
      </x:c>
      <x:c r="D2430" s="11" t="n">
        <x:f>COUNTIF('Einzel-ID-Zuordnung'!$A$7:$A$2692,A2430)</x:f>
        <x:v>1</x:v>
      </x:c>
      <x:c r="E2430" s="11" t="n">
        <x:f>D2430-C2430</x:f>
        <x:v>0</x:v>
      </x:c>
      <x:c r="F2430" s="5" t="str">
        <x:v>nicht Pilot</x:v>
      </x:c>
      <x:c r="G2430" s="5" t="str">
        <x:v>HQ</x:v>
      </x:c>
    </x:row>
    <x:row r="2431" ht="36" customHeight="1">
      <x:c r="A2431" s="5" t="str">
        <x:v>V-0028</x:v>
      </x:c>
      <x:c r="B2431" s="5" t="str">
        <x:v>Vertrieb</x:v>
      </x:c>
      <x:c r="C2431" s="11" t="n">
        <x:v>1</x:v>
      </x:c>
      <x:c r="D2431" s="11" t="n">
        <x:f>COUNTIF('Einzel-ID-Zuordnung'!$A$7:$A$2692,A2431)</x:f>
        <x:v>1</x:v>
      </x:c>
      <x:c r="E2431" s="11" t="n">
        <x:f>D2431-C2431</x:f>
        <x:v>0</x:v>
      </x:c>
      <x:c r="F2431" s="5" t="str">
        <x:v>nicht Pilot</x:v>
      </x:c>
      <x:c r="G2431" s="5" t="str">
        <x:v>HQ</x:v>
      </x:c>
    </x:row>
    <x:row r="2432" ht="36" customHeight="1">
      <x:c r="A2432" s="5" t="str">
        <x:v>V-0029</x:v>
      </x:c>
      <x:c r="B2432" s="5" t="str">
        <x:v>Vertrieb</x:v>
      </x:c>
      <x:c r="C2432" s="11" t="n">
        <x:v>1</x:v>
      </x:c>
      <x:c r="D2432" s="11" t="n">
        <x:f>COUNTIF('Einzel-ID-Zuordnung'!$A$7:$A$2692,A2432)</x:f>
        <x:v>1</x:v>
      </x:c>
      <x:c r="E2432" s="11" t="n">
        <x:f>D2432-C2432</x:f>
        <x:v>0</x:v>
      </x:c>
      <x:c r="F2432" s="5" t="str">
        <x:v>nicht Pilot</x:v>
      </x:c>
      <x:c r="G2432" s="5" t="str">
        <x:v>HQ</x:v>
      </x:c>
    </x:row>
    <x:row r="2433" ht="36" customHeight="1">
      <x:c r="A2433" s="5" t="str">
        <x:v>V-0030</x:v>
      </x:c>
      <x:c r="B2433" s="5" t="str">
        <x:v>Vertrieb</x:v>
      </x:c>
      <x:c r="C2433" s="11" t="n">
        <x:v>1</x:v>
      </x:c>
      <x:c r="D2433" s="11" t="n">
        <x:f>COUNTIF('Einzel-ID-Zuordnung'!$A$7:$A$2692,A2433)</x:f>
        <x:v>1</x:v>
      </x:c>
      <x:c r="E2433" s="11" t="n">
        <x:f>D2433-C2433</x:f>
        <x:v>0</x:v>
      </x:c>
      <x:c r="F2433" s="5" t="str">
        <x:v>nicht Pilot</x:v>
      </x:c>
      <x:c r="G2433" s="5" t="str">
        <x:v>HQ</x:v>
      </x:c>
    </x:row>
    <x:row r="2434" ht="36" customHeight="1">
      <x:c r="A2434" s="5" t="str">
        <x:v>V-0031</x:v>
      </x:c>
      <x:c r="B2434" s="5" t="str">
        <x:v>Vertrieb</x:v>
      </x:c>
      <x:c r="C2434" s="11" t="n">
        <x:v>1</x:v>
      </x:c>
      <x:c r="D2434" s="11" t="n">
        <x:f>COUNTIF('Einzel-ID-Zuordnung'!$A$7:$A$2692,A2434)</x:f>
        <x:v>1</x:v>
      </x:c>
      <x:c r="E2434" s="11" t="n">
        <x:f>D2434-C2434</x:f>
        <x:v>0</x:v>
      </x:c>
      <x:c r="F2434" s="5" t="str">
        <x:v>nicht Pilot</x:v>
      </x:c>
      <x:c r="G2434" s="5" t="str">
        <x:v>HQ</x:v>
      </x:c>
    </x:row>
    <x:row r="2435" ht="36" customHeight="1">
      <x:c r="A2435" s="5" t="str">
        <x:v>V-0032</x:v>
      </x:c>
      <x:c r="B2435" s="5" t="str">
        <x:v>Vertrieb</x:v>
      </x:c>
      <x:c r="C2435" s="11" t="n">
        <x:v>1</x:v>
      </x:c>
      <x:c r="D2435" s="11" t="n">
        <x:f>COUNTIF('Einzel-ID-Zuordnung'!$A$7:$A$2692,A2435)</x:f>
        <x:v>1</x:v>
      </x:c>
      <x:c r="E2435" s="11" t="n">
        <x:f>D2435-C2435</x:f>
        <x:v>0</x:v>
      </x:c>
      <x:c r="F2435" s="5" t="str">
        <x:v>nicht Pilot</x:v>
      </x:c>
      <x:c r="G2435" s="5" t="str">
        <x:v>HQ</x:v>
      </x:c>
    </x:row>
    <x:row r="2436" ht="36" customHeight="1">
      <x:c r="A2436" s="5" t="str">
        <x:v>V-0033</x:v>
      </x:c>
      <x:c r="B2436" s="5" t="str">
        <x:v>Vertrieb</x:v>
      </x:c>
      <x:c r="C2436" s="11" t="n">
        <x:v>1</x:v>
      </x:c>
      <x:c r="D2436" s="11" t="n">
        <x:f>COUNTIF('Einzel-ID-Zuordnung'!$A$7:$A$2692,A2436)</x:f>
        <x:v>1</x:v>
      </x:c>
      <x:c r="E2436" s="11" t="n">
        <x:f>D2436-C2436</x:f>
        <x:v>0</x:v>
      </x:c>
      <x:c r="F2436" s="5" t="str">
        <x:v>nicht Pilot</x:v>
      </x:c>
      <x:c r="G2436" s="5" t="str">
        <x:v>HQ</x:v>
      </x:c>
    </x:row>
    <x:row r="2437" ht="36" customHeight="1">
      <x:c r="A2437" s="5" t="str">
        <x:v>V-0034</x:v>
      </x:c>
      <x:c r="B2437" s="5" t="str">
        <x:v>Vertrieb</x:v>
      </x:c>
      <x:c r="C2437" s="11" t="n">
        <x:v>1</x:v>
      </x:c>
      <x:c r="D2437" s="11" t="n">
        <x:f>COUNTIF('Einzel-ID-Zuordnung'!$A$7:$A$2692,A2437)</x:f>
        <x:v>1</x:v>
      </x:c>
      <x:c r="E2437" s="11" t="n">
        <x:f>D2437-C2437</x:f>
        <x:v>0</x:v>
      </x:c>
      <x:c r="F2437" s="5" t="str">
        <x:v>nicht Pilot</x:v>
      </x:c>
      <x:c r="G2437" s="5" t="str">
        <x:v>HQ</x:v>
      </x:c>
    </x:row>
    <x:row r="2438" ht="36" customHeight="1">
      <x:c r="A2438" s="5" t="str">
        <x:v>V-0035</x:v>
      </x:c>
      <x:c r="B2438" s="5" t="str">
        <x:v>Vertrieb</x:v>
      </x:c>
      <x:c r="C2438" s="11" t="n">
        <x:v>1</x:v>
      </x:c>
      <x:c r="D2438" s="11" t="n">
        <x:f>COUNTIF('Einzel-ID-Zuordnung'!$A$7:$A$2692,A2438)</x:f>
        <x:v>1</x:v>
      </x:c>
      <x:c r="E2438" s="11" t="n">
        <x:f>D2438-C2438</x:f>
        <x:v>0</x:v>
      </x:c>
      <x:c r="F2438" s="5" t="str">
        <x:v>nicht Pilot</x:v>
      </x:c>
      <x:c r="G2438" s="5" t="str">
        <x:v>HQ</x:v>
      </x:c>
    </x:row>
    <x:row r="2439" ht="36" customHeight="1">
      <x:c r="A2439" s="5" t="str">
        <x:v>V-0036</x:v>
      </x:c>
      <x:c r="B2439" s="5" t="str">
        <x:v>Vertrieb</x:v>
      </x:c>
      <x:c r="C2439" s="11" t="n">
        <x:v>1</x:v>
      </x:c>
      <x:c r="D2439" s="11" t="n">
        <x:f>COUNTIF('Einzel-ID-Zuordnung'!$A$7:$A$2692,A2439)</x:f>
        <x:v>1</x:v>
      </x:c>
      <x:c r="E2439" s="11" t="n">
        <x:f>D2439-C2439</x:f>
        <x:v>0</x:v>
      </x:c>
      <x:c r="F2439" s="5" t="str">
        <x:v>nicht Pilot</x:v>
      </x:c>
      <x:c r="G2439" s="5" t="str">
        <x:v>HQ</x:v>
      </x:c>
    </x:row>
    <x:row r="2440" ht="36" customHeight="1">
      <x:c r="A2440" s="5" t="str">
        <x:v>V-0037</x:v>
      </x:c>
      <x:c r="B2440" s="5" t="str">
        <x:v>Vertrieb</x:v>
      </x:c>
      <x:c r="C2440" s="11" t="n">
        <x:v>1</x:v>
      </x:c>
      <x:c r="D2440" s="11" t="n">
        <x:f>COUNTIF('Einzel-ID-Zuordnung'!$A$7:$A$2692,A2440)</x:f>
        <x:v>1</x:v>
      </x:c>
      <x:c r="E2440" s="11" t="n">
        <x:f>D2440-C2440</x:f>
        <x:v>0</x:v>
      </x:c>
      <x:c r="F2440" s="5" t="str">
        <x:v>nicht Pilot</x:v>
      </x:c>
      <x:c r="G2440" s="5" t="str">
        <x:v>HQ</x:v>
      </x:c>
    </x:row>
    <x:row r="2441" ht="36" customHeight="1">
      <x:c r="A2441" s="5" t="str">
        <x:v>V-0038</x:v>
      </x:c>
      <x:c r="B2441" s="5" t="str">
        <x:v>Vertrieb</x:v>
      </x:c>
      <x:c r="C2441" s="11" t="n">
        <x:v>1</x:v>
      </x:c>
      <x:c r="D2441" s="11" t="n">
        <x:f>COUNTIF('Einzel-ID-Zuordnung'!$A$7:$A$2692,A2441)</x:f>
        <x:v>1</x:v>
      </x:c>
      <x:c r="E2441" s="11" t="n">
        <x:f>D2441-C2441</x:f>
        <x:v>0</x:v>
      </x:c>
      <x:c r="F2441" s="5" t="str">
        <x:v>nicht Pilot</x:v>
      </x:c>
      <x:c r="G2441" s="5" t="str">
        <x:v>HQ</x:v>
      </x:c>
    </x:row>
    <x:row r="2442" ht="36" customHeight="1">
      <x:c r="A2442" s="5" t="str">
        <x:v>V-0039</x:v>
      </x:c>
      <x:c r="B2442" s="5" t="str">
        <x:v>Vertrieb</x:v>
      </x:c>
      <x:c r="C2442" s="11" t="n">
        <x:v>1</x:v>
      </x:c>
      <x:c r="D2442" s="11" t="n">
        <x:f>COUNTIF('Einzel-ID-Zuordnung'!$A$7:$A$2692,A2442)</x:f>
        <x:v>1</x:v>
      </x:c>
      <x:c r="E2442" s="11" t="n">
        <x:f>D2442-C2442</x:f>
        <x:v>0</x:v>
      </x:c>
      <x:c r="F2442" s="5" t="str">
        <x:v>nicht Pilot</x:v>
      </x:c>
      <x:c r="G2442" s="5" t="str">
        <x:v>HQ</x:v>
      </x:c>
    </x:row>
    <x:row r="2443" ht="36" customHeight="1">
      <x:c r="A2443" s="5" t="str">
        <x:v>V-0040</x:v>
      </x:c>
      <x:c r="B2443" s="5" t="str">
        <x:v>Vertrieb</x:v>
      </x:c>
      <x:c r="C2443" s="11" t="n">
        <x:v>1</x:v>
      </x:c>
      <x:c r="D2443" s="11" t="n">
        <x:f>COUNTIF('Einzel-ID-Zuordnung'!$A$7:$A$2692,A2443)</x:f>
        <x:v>1</x:v>
      </x:c>
      <x:c r="E2443" s="11" t="n">
        <x:f>D2443-C2443</x:f>
        <x:v>0</x:v>
      </x:c>
      <x:c r="F2443" s="5" t="str">
        <x:v>nicht Pilot</x:v>
      </x:c>
      <x:c r="G2443" s="5" t="str">
        <x:v>HQ</x:v>
      </x:c>
    </x:row>
    <x:row r="2444" ht="36" customHeight="1">
      <x:c r="A2444" s="5" t="str">
        <x:v>V-0041</x:v>
      </x:c>
      <x:c r="B2444" s="5" t="str">
        <x:v>Vertrieb</x:v>
      </x:c>
      <x:c r="C2444" s="11" t="n">
        <x:v>1</x:v>
      </x:c>
      <x:c r="D2444" s="11" t="n">
        <x:f>COUNTIF('Einzel-ID-Zuordnung'!$A$7:$A$2692,A2444)</x:f>
        <x:v>1</x:v>
      </x:c>
      <x:c r="E2444" s="11" t="n">
        <x:f>D2444-C2444</x:f>
        <x:v>0</x:v>
      </x:c>
      <x:c r="F2444" s="5" t="str">
        <x:v>nicht Pilot</x:v>
      </x:c>
      <x:c r="G2444" s="5" t="str">
        <x:v>HQ</x:v>
      </x:c>
    </x:row>
    <x:row r="2445" ht="36" customHeight="1">
      <x:c r="A2445" s="5" t="str">
        <x:v>V-0042</x:v>
      </x:c>
      <x:c r="B2445" s="5" t="str">
        <x:v>Vertrieb</x:v>
      </x:c>
      <x:c r="C2445" s="11" t="n">
        <x:v>1</x:v>
      </x:c>
      <x:c r="D2445" s="11" t="n">
        <x:f>COUNTIF('Einzel-ID-Zuordnung'!$A$7:$A$2692,A2445)</x:f>
        <x:v>1</x:v>
      </x:c>
      <x:c r="E2445" s="11" t="n">
        <x:f>D2445-C2445</x:f>
        <x:v>0</x:v>
      </x:c>
      <x:c r="F2445" s="5" t="str">
        <x:v>nicht Pilot</x:v>
      </x:c>
      <x:c r="G2445" s="5" t="str">
        <x:v>HQ</x:v>
      </x:c>
    </x:row>
    <x:row r="2446" ht="36" customHeight="1">
      <x:c r="A2446" s="5" t="str">
        <x:v>V-0043</x:v>
      </x:c>
      <x:c r="B2446" s="5" t="str">
        <x:v>Vertrieb</x:v>
      </x:c>
      <x:c r="C2446" s="11" t="n">
        <x:v>1</x:v>
      </x:c>
      <x:c r="D2446" s="11" t="n">
        <x:f>COUNTIF('Einzel-ID-Zuordnung'!$A$7:$A$2692,A2446)</x:f>
        <x:v>1</x:v>
      </x:c>
      <x:c r="E2446" s="11" t="n">
        <x:f>D2446-C2446</x:f>
        <x:v>0</x:v>
      </x:c>
      <x:c r="F2446" s="5" t="str">
        <x:v>nicht Pilot</x:v>
      </x:c>
      <x:c r="G2446" s="5" t="str">
        <x:v>HQ</x:v>
      </x:c>
    </x:row>
    <x:row r="2447" ht="36" customHeight="1">
      <x:c r="A2447" s="5" t="str">
        <x:v>V-0044</x:v>
      </x:c>
      <x:c r="B2447" s="5" t="str">
        <x:v>Vertrieb</x:v>
      </x:c>
      <x:c r="C2447" s="11" t="n">
        <x:v>1</x:v>
      </x:c>
      <x:c r="D2447" s="11" t="n">
        <x:f>COUNTIF('Einzel-ID-Zuordnung'!$A$7:$A$2692,A2447)</x:f>
        <x:v>1</x:v>
      </x:c>
      <x:c r="E2447" s="11" t="n">
        <x:f>D2447-C2447</x:f>
        <x:v>0</x:v>
      </x:c>
      <x:c r="F2447" s="5" t="str">
        <x:v>nicht Pilot</x:v>
      </x:c>
      <x:c r="G2447" s="5" t="str">
        <x:v>HQ</x:v>
      </x:c>
    </x:row>
    <x:row r="2448" ht="36" customHeight="1">
      <x:c r="A2448" s="5" t="str">
        <x:v>V-0045</x:v>
      </x:c>
      <x:c r="B2448" s="5" t="str">
        <x:v>Vertrieb</x:v>
      </x:c>
      <x:c r="C2448" s="11" t="n">
        <x:v>1</x:v>
      </x:c>
      <x:c r="D2448" s="11" t="n">
        <x:f>COUNTIF('Einzel-ID-Zuordnung'!$A$7:$A$2692,A2448)</x:f>
        <x:v>1</x:v>
      </x:c>
      <x:c r="E2448" s="11" t="n">
        <x:f>D2448-C2448</x:f>
        <x:v>0</x:v>
      </x:c>
      <x:c r="F2448" s="5" t="str">
        <x:v>nicht Pilot</x:v>
      </x:c>
      <x:c r="G2448" s="5" t="str">
        <x:v>HQ</x:v>
      </x:c>
    </x:row>
    <x:row r="2449" ht="36" customHeight="1">
      <x:c r="A2449" s="5" t="str">
        <x:v>V-0046</x:v>
      </x:c>
      <x:c r="B2449" s="5" t="str">
        <x:v>Vertrieb</x:v>
      </x:c>
      <x:c r="C2449" s="11" t="n">
        <x:v>1</x:v>
      </x:c>
      <x:c r="D2449" s="11" t="n">
        <x:f>COUNTIF('Einzel-ID-Zuordnung'!$A$7:$A$2692,A2449)</x:f>
        <x:v>1</x:v>
      </x:c>
      <x:c r="E2449" s="11" t="n">
        <x:f>D2449-C2449</x:f>
        <x:v>0</x:v>
      </x:c>
      <x:c r="F2449" s="5" t="str">
        <x:v>nicht Pilot</x:v>
      </x:c>
      <x:c r="G2449" s="5" t="str">
        <x:v>HQ</x:v>
      </x:c>
    </x:row>
    <x:row r="2450" ht="36" customHeight="1">
      <x:c r="A2450" s="5" t="str">
        <x:v>V-0047</x:v>
      </x:c>
      <x:c r="B2450" s="5" t="str">
        <x:v>Vertrieb</x:v>
      </x:c>
      <x:c r="C2450" s="11" t="n">
        <x:v>1</x:v>
      </x:c>
      <x:c r="D2450" s="11" t="n">
        <x:f>COUNTIF('Einzel-ID-Zuordnung'!$A$7:$A$2692,A2450)</x:f>
        <x:v>1</x:v>
      </x:c>
      <x:c r="E2450" s="11" t="n">
        <x:f>D2450-C2450</x:f>
        <x:v>0</x:v>
      </x:c>
      <x:c r="F2450" s="5" t="str">
        <x:v>nicht Pilot</x:v>
      </x:c>
      <x:c r="G2450" s="5" t="str">
        <x:v>HQ</x:v>
      </x:c>
    </x:row>
    <x:row r="2451" ht="36" customHeight="1">
      <x:c r="A2451" s="5" t="str">
        <x:v>V-0048</x:v>
      </x:c>
      <x:c r="B2451" s="5" t="str">
        <x:v>Vertrieb</x:v>
      </x:c>
      <x:c r="C2451" s="11" t="n">
        <x:v>1</x:v>
      </x:c>
      <x:c r="D2451" s="11" t="n">
        <x:f>COUNTIF('Einzel-ID-Zuordnung'!$A$7:$A$2692,A2451)</x:f>
        <x:v>1</x:v>
      </x:c>
      <x:c r="E2451" s="11" t="n">
        <x:f>D2451-C2451</x:f>
        <x:v>0</x:v>
      </x:c>
      <x:c r="F2451" s="5" t="str">
        <x:v>nicht Pilot</x:v>
      </x:c>
      <x:c r="G2451" s="5" t="str">
        <x:v>HQ</x:v>
      </x:c>
    </x:row>
    <x:row r="2452" ht="36" customHeight="1">
      <x:c r="A2452" s="5" t="str">
        <x:v>V-0049</x:v>
      </x:c>
      <x:c r="B2452" s="5" t="str">
        <x:v>Vertrieb</x:v>
      </x:c>
      <x:c r="C2452" s="11" t="n">
        <x:v>1</x:v>
      </x:c>
      <x:c r="D2452" s="11" t="n">
        <x:f>COUNTIF('Einzel-ID-Zuordnung'!$A$7:$A$2692,A2452)</x:f>
        <x:v>1</x:v>
      </x:c>
      <x:c r="E2452" s="11" t="n">
        <x:f>D2452-C2452</x:f>
        <x:v>0</x:v>
      </x:c>
      <x:c r="F2452" s="5" t="str">
        <x:v>nicht Pilot</x:v>
      </x:c>
      <x:c r="G2452" s="5" t="str">
        <x:v>HQ</x:v>
      </x:c>
    </x:row>
    <x:row r="2453" ht="36" customHeight="1">
      <x:c r="A2453" s="5" t="str">
        <x:v>V-0050</x:v>
      </x:c>
      <x:c r="B2453" s="5" t="str">
        <x:v>Vertrieb</x:v>
      </x:c>
      <x:c r="C2453" s="11" t="n">
        <x:v>1</x:v>
      </x:c>
      <x:c r="D2453" s="11" t="n">
        <x:f>COUNTIF('Einzel-ID-Zuordnung'!$A$7:$A$2692,A2453)</x:f>
        <x:v>1</x:v>
      </x:c>
      <x:c r="E2453" s="11" t="n">
        <x:f>D2453-C2453</x:f>
        <x:v>0</x:v>
      </x:c>
      <x:c r="F2453" s="5" t="str">
        <x:v>nicht Pilot</x:v>
      </x:c>
      <x:c r="G2453" s="5" t="str">
        <x:v>HQ</x:v>
      </x:c>
    </x:row>
    <x:row r="2454" ht="36" customHeight="1">
      <x:c r="A2454" s="5" t="str">
        <x:v>V-0051</x:v>
      </x:c>
      <x:c r="B2454" s="5" t="str">
        <x:v>Vertrieb</x:v>
      </x:c>
      <x:c r="C2454" s="11" t="n">
        <x:v>1</x:v>
      </x:c>
      <x:c r="D2454" s="11" t="n">
        <x:f>COUNTIF('Einzel-ID-Zuordnung'!$A$7:$A$2692,A2454)</x:f>
        <x:v>1</x:v>
      </x:c>
      <x:c r="E2454" s="11" t="n">
        <x:f>D2454-C2454</x:f>
        <x:v>0</x:v>
      </x:c>
      <x:c r="F2454" s="5" t="str">
        <x:v>nicht Pilot</x:v>
      </x:c>
      <x:c r="G2454" s="5" t="str">
        <x:v>HQ</x:v>
      </x:c>
    </x:row>
    <x:row r="2455" ht="36" customHeight="1">
      <x:c r="A2455" s="5" t="str">
        <x:v>V-0052</x:v>
      </x:c>
      <x:c r="B2455" s="5" t="str">
        <x:v>Vertrieb</x:v>
      </x:c>
      <x:c r="C2455" s="11" t="n">
        <x:v>1</x:v>
      </x:c>
      <x:c r="D2455" s="11" t="n">
        <x:f>COUNTIF('Einzel-ID-Zuordnung'!$A$7:$A$2692,A2455)</x:f>
        <x:v>1</x:v>
      </x:c>
      <x:c r="E2455" s="11" t="n">
        <x:f>D2455-C2455</x:f>
        <x:v>0</x:v>
      </x:c>
      <x:c r="F2455" s="5" t="str">
        <x:v>nicht Pilot</x:v>
      </x:c>
      <x:c r="G2455" s="5" t="str">
        <x:v>HQ</x:v>
      </x:c>
    </x:row>
    <x:row r="2456" ht="36" customHeight="1">
      <x:c r="A2456" s="5" t="str">
        <x:v>V-0053</x:v>
      </x:c>
      <x:c r="B2456" s="5" t="str">
        <x:v>Vertrieb</x:v>
      </x:c>
      <x:c r="C2456" s="11" t="n">
        <x:v>1</x:v>
      </x:c>
      <x:c r="D2456" s="11" t="n">
        <x:f>COUNTIF('Einzel-ID-Zuordnung'!$A$7:$A$2692,A2456)</x:f>
        <x:v>1</x:v>
      </x:c>
      <x:c r="E2456" s="11" t="n">
        <x:f>D2456-C2456</x:f>
        <x:v>0</x:v>
      </x:c>
      <x:c r="F2456" s="5" t="str">
        <x:v>nicht Pilot</x:v>
      </x:c>
      <x:c r="G2456" s="5" t="str">
        <x:v>HQ</x:v>
      </x:c>
    </x:row>
    <x:row r="2457" ht="36" customHeight="1">
      <x:c r="A2457" s="5" t="str">
        <x:v>V-0054</x:v>
      </x:c>
      <x:c r="B2457" s="5" t="str">
        <x:v>Vertrieb</x:v>
      </x:c>
      <x:c r="C2457" s="11" t="n">
        <x:v>1</x:v>
      </x:c>
      <x:c r="D2457" s="11" t="n">
        <x:f>COUNTIF('Einzel-ID-Zuordnung'!$A$7:$A$2692,A2457)</x:f>
        <x:v>1</x:v>
      </x:c>
      <x:c r="E2457" s="11" t="n">
        <x:f>D2457-C2457</x:f>
        <x:v>0</x:v>
      </x:c>
      <x:c r="F2457" s="5" t="str">
        <x:v>nicht Pilot</x:v>
      </x:c>
      <x:c r="G2457" s="5" t="str">
        <x:v>HQ</x:v>
      </x:c>
    </x:row>
    <x:row r="2458" ht="36" customHeight="1">
      <x:c r="A2458" s="5" t="str">
        <x:v>V-0055</x:v>
      </x:c>
      <x:c r="B2458" s="5" t="str">
        <x:v>Vertrieb</x:v>
      </x:c>
      <x:c r="C2458" s="11" t="n">
        <x:v>1</x:v>
      </x:c>
      <x:c r="D2458" s="11" t="n">
        <x:f>COUNTIF('Einzel-ID-Zuordnung'!$A$7:$A$2692,A2458)</x:f>
        <x:v>1</x:v>
      </x:c>
      <x:c r="E2458" s="11" t="n">
        <x:f>D2458-C2458</x:f>
        <x:v>0</x:v>
      </x:c>
      <x:c r="F2458" s="5" t="str">
        <x:v>nicht Pilot</x:v>
      </x:c>
      <x:c r="G2458" s="5" t="str">
        <x:v>HQ</x:v>
      </x:c>
    </x:row>
    <x:row r="2459" ht="36" customHeight="1">
      <x:c r="A2459" s="5" t="str">
        <x:v>V-0056</x:v>
      </x:c>
      <x:c r="B2459" s="5" t="str">
        <x:v>Vertrieb</x:v>
      </x:c>
      <x:c r="C2459" s="11" t="n">
        <x:v>1</x:v>
      </x:c>
      <x:c r="D2459" s="11" t="n">
        <x:f>COUNTIF('Einzel-ID-Zuordnung'!$A$7:$A$2692,A2459)</x:f>
        <x:v>1</x:v>
      </x:c>
      <x:c r="E2459" s="11" t="n">
        <x:f>D2459-C2459</x:f>
        <x:v>0</x:v>
      </x:c>
      <x:c r="F2459" s="5" t="str">
        <x:v>nicht Pilot</x:v>
      </x:c>
      <x:c r="G2459" s="5" t="str">
        <x:v>HQ</x:v>
      </x:c>
    </x:row>
    <x:row r="2460" ht="36" customHeight="1">
      <x:c r="A2460" s="5" t="str">
        <x:v>V-0057</x:v>
      </x:c>
      <x:c r="B2460" s="5" t="str">
        <x:v>Vertrieb</x:v>
      </x:c>
      <x:c r="C2460" s="11" t="n">
        <x:v>1</x:v>
      </x:c>
      <x:c r="D2460" s="11" t="n">
        <x:f>COUNTIF('Einzel-ID-Zuordnung'!$A$7:$A$2692,A2460)</x:f>
        <x:v>1</x:v>
      </x:c>
      <x:c r="E2460" s="11" t="n">
        <x:f>D2460-C2460</x:f>
        <x:v>0</x:v>
      </x:c>
      <x:c r="F2460" s="5" t="str">
        <x:v>nicht Pilot</x:v>
      </x:c>
      <x:c r="G2460" s="5" t="str">
        <x:v>HQ</x:v>
      </x:c>
    </x:row>
    <x:row r="2461" ht="36" customHeight="1">
      <x:c r="A2461" s="5" t="str">
        <x:v>V-0058</x:v>
      </x:c>
      <x:c r="B2461" s="5" t="str">
        <x:v>Vertrieb</x:v>
      </x:c>
      <x:c r="C2461" s="11" t="n">
        <x:v>1</x:v>
      </x:c>
      <x:c r="D2461" s="11" t="n">
        <x:f>COUNTIF('Einzel-ID-Zuordnung'!$A$7:$A$2692,A2461)</x:f>
        <x:v>1</x:v>
      </x:c>
      <x:c r="E2461" s="11" t="n">
        <x:f>D2461-C2461</x:f>
        <x:v>0</x:v>
      </x:c>
      <x:c r="F2461" s="5" t="str">
        <x:v>nicht Pilot</x:v>
      </x:c>
      <x:c r="G2461" s="5" t="str">
        <x:v>HQ</x:v>
      </x:c>
    </x:row>
    <x:row r="2462" ht="36" customHeight="1">
      <x:c r="A2462" s="5" t="str">
        <x:v>V-0059</x:v>
      </x:c>
      <x:c r="B2462" s="5" t="str">
        <x:v>Vertrieb</x:v>
      </x:c>
      <x:c r="C2462" s="11" t="n">
        <x:v>1</x:v>
      </x:c>
      <x:c r="D2462" s="11" t="n">
        <x:f>COUNTIF('Einzel-ID-Zuordnung'!$A$7:$A$2692,A2462)</x:f>
        <x:v>1</x:v>
      </x:c>
      <x:c r="E2462" s="11" t="n">
        <x:f>D2462-C2462</x:f>
        <x:v>0</x:v>
      </x:c>
      <x:c r="F2462" s="5" t="str">
        <x:v>nicht Pilot</x:v>
      </x:c>
      <x:c r="G2462" s="5" t="str">
        <x:v>HQ</x:v>
      </x:c>
    </x:row>
    <x:row r="2463" ht="36" customHeight="1">
      <x:c r="A2463" s="5" t="str">
        <x:v>V-0060</x:v>
      </x:c>
      <x:c r="B2463" s="5" t="str">
        <x:v>Vertrieb</x:v>
      </x:c>
      <x:c r="C2463" s="11" t="n">
        <x:v>1</x:v>
      </x:c>
      <x:c r="D2463" s="11" t="n">
        <x:f>COUNTIF('Einzel-ID-Zuordnung'!$A$7:$A$2692,A2463)</x:f>
        <x:v>1</x:v>
      </x:c>
      <x:c r="E2463" s="11" t="n">
        <x:f>D2463-C2463</x:f>
        <x:v>0</x:v>
      </x:c>
      <x:c r="F2463" s="5" t="str">
        <x:v>nicht Pilot</x:v>
      </x:c>
      <x:c r="G2463" s="5" t="str">
        <x:v>HQ</x:v>
      </x:c>
    </x:row>
    <x:row r="2464" ht="36" customHeight="1">
      <x:c r="A2464" s="5" t="str">
        <x:v>V-0061</x:v>
      </x:c>
      <x:c r="B2464" s="5" t="str">
        <x:v>Vertrieb</x:v>
      </x:c>
      <x:c r="C2464" s="11" t="n">
        <x:v>1</x:v>
      </x:c>
      <x:c r="D2464" s="11" t="n">
        <x:f>COUNTIF('Einzel-ID-Zuordnung'!$A$7:$A$2692,A2464)</x:f>
        <x:v>1</x:v>
      </x:c>
      <x:c r="E2464" s="11" t="n">
        <x:f>D2464-C2464</x:f>
        <x:v>0</x:v>
      </x:c>
      <x:c r="F2464" s="5" t="str">
        <x:v>nicht Pilot</x:v>
      </x:c>
      <x:c r="G2464" s="5" t="str">
        <x:v>HQ</x:v>
      </x:c>
    </x:row>
    <x:row r="2465" ht="36" customHeight="1">
      <x:c r="A2465" s="5" t="str">
        <x:v>V-0062</x:v>
      </x:c>
      <x:c r="B2465" s="5" t="str">
        <x:v>Vertrieb</x:v>
      </x:c>
      <x:c r="C2465" s="11" t="n">
        <x:v>1</x:v>
      </x:c>
      <x:c r="D2465" s="11" t="n">
        <x:f>COUNTIF('Einzel-ID-Zuordnung'!$A$7:$A$2692,A2465)</x:f>
        <x:v>1</x:v>
      </x:c>
      <x:c r="E2465" s="11" t="n">
        <x:f>D2465-C2465</x:f>
        <x:v>0</x:v>
      </x:c>
      <x:c r="F2465" s="5" t="str">
        <x:v>nicht Pilot</x:v>
      </x:c>
      <x:c r="G2465" s="5" t="str">
        <x:v>HQ</x:v>
      </x:c>
    </x:row>
    <x:row r="2466" ht="36" customHeight="1">
      <x:c r="A2466" s="5" t="str">
        <x:v>V-0063</x:v>
      </x:c>
      <x:c r="B2466" s="5" t="str">
        <x:v>Vertrieb</x:v>
      </x:c>
      <x:c r="C2466" s="11" t="n">
        <x:v>1</x:v>
      </x:c>
      <x:c r="D2466" s="11" t="n">
        <x:f>COUNTIF('Einzel-ID-Zuordnung'!$A$7:$A$2692,A2466)</x:f>
        <x:v>1</x:v>
      </x:c>
      <x:c r="E2466" s="11" t="n">
        <x:f>D2466-C2466</x:f>
        <x:v>0</x:v>
      </x:c>
      <x:c r="F2466" s="5" t="str">
        <x:v>nicht Pilot</x:v>
      </x:c>
      <x:c r="G2466" s="5" t="str">
        <x:v>HQ</x:v>
      </x:c>
    </x:row>
    <x:row r="2467" ht="36" customHeight="1">
      <x:c r="A2467" s="5" t="str">
        <x:v>V-0064</x:v>
      </x:c>
      <x:c r="B2467" s="5" t="str">
        <x:v>Vertrieb</x:v>
      </x:c>
      <x:c r="C2467" s="11" t="n">
        <x:v>1</x:v>
      </x:c>
      <x:c r="D2467" s="11" t="n">
        <x:f>COUNTIF('Einzel-ID-Zuordnung'!$A$7:$A$2692,A2467)</x:f>
        <x:v>1</x:v>
      </x:c>
      <x:c r="E2467" s="11" t="n">
        <x:f>D2467-C2467</x:f>
        <x:v>0</x:v>
      </x:c>
      <x:c r="F2467" s="5" t="str">
        <x:v>nicht Pilot</x:v>
      </x:c>
      <x:c r="G2467" s="5" t="str">
        <x:v>HQ</x:v>
      </x:c>
    </x:row>
    <x:row r="2468" ht="36" customHeight="1">
      <x:c r="A2468" s="5" t="str">
        <x:v>V-0065</x:v>
      </x:c>
      <x:c r="B2468" s="5" t="str">
        <x:v>Vertrieb</x:v>
      </x:c>
      <x:c r="C2468" s="11" t="n">
        <x:v>1</x:v>
      </x:c>
      <x:c r="D2468" s="11" t="n">
        <x:f>COUNTIF('Einzel-ID-Zuordnung'!$A$7:$A$2692,A2468)</x:f>
        <x:v>1</x:v>
      </x:c>
      <x:c r="E2468" s="11" t="n">
        <x:f>D2468-C2468</x:f>
        <x:v>0</x:v>
      </x:c>
      <x:c r="F2468" s="5" t="str">
        <x:v>nicht Pilot</x:v>
      </x:c>
      <x:c r="G2468" s="5" t="str">
        <x:v>HQ</x:v>
      </x:c>
    </x:row>
    <x:row r="2469" ht="36" customHeight="1">
      <x:c r="A2469" s="5" t="str">
        <x:v>V-0066</x:v>
      </x:c>
      <x:c r="B2469" s="5" t="str">
        <x:v>Vertrieb</x:v>
      </x:c>
      <x:c r="C2469" s="11" t="n">
        <x:v>1</x:v>
      </x:c>
      <x:c r="D2469" s="11" t="n">
        <x:f>COUNTIF('Einzel-ID-Zuordnung'!$A$7:$A$2692,A2469)</x:f>
        <x:v>1</x:v>
      </x:c>
      <x:c r="E2469" s="11" t="n">
        <x:f>D2469-C2469</x:f>
        <x:v>0</x:v>
      </x:c>
      <x:c r="F2469" s="5" t="str">
        <x:v>nicht Pilot</x:v>
      </x:c>
      <x:c r="G2469" s="5" t="str">
        <x:v>HQ</x:v>
      </x:c>
    </x:row>
    <x:row r="2470" ht="36" customHeight="1">
      <x:c r="A2470" s="5" t="str">
        <x:v>V-0067</x:v>
      </x:c>
      <x:c r="B2470" s="5" t="str">
        <x:v>Vertrieb</x:v>
      </x:c>
      <x:c r="C2470" s="11" t="n">
        <x:v>1</x:v>
      </x:c>
      <x:c r="D2470" s="11" t="n">
        <x:f>COUNTIF('Einzel-ID-Zuordnung'!$A$7:$A$2692,A2470)</x:f>
        <x:v>1</x:v>
      </x:c>
      <x:c r="E2470" s="11" t="n">
        <x:f>D2470-C2470</x:f>
        <x:v>0</x:v>
      </x:c>
      <x:c r="F2470" s="5" t="str">
        <x:v>nicht Pilot</x:v>
      </x:c>
      <x:c r="G2470" s="5" t="str">
        <x:v>HQ</x:v>
      </x:c>
    </x:row>
    <x:row r="2471" ht="36" customHeight="1">
      <x:c r="A2471" s="5" t="str">
        <x:v>V-0068</x:v>
      </x:c>
      <x:c r="B2471" s="5" t="str">
        <x:v>Vertrieb</x:v>
      </x:c>
      <x:c r="C2471" s="11" t="n">
        <x:v>1</x:v>
      </x:c>
      <x:c r="D2471" s="11" t="n">
        <x:f>COUNTIF('Einzel-ID-Zuordnung'!$A$7:$A$2692,A2471)</x:f>
        <x:v>1</x:v>
      </x:c>
      <x:c r="E2471" s="11" t="n">
        <x:f>D2471-C2471</x:f>
        <x:v>0</x:v>
      </x:c>
      <x:c r="F2471" s="5" t="str">
        <x:v>nicht Pilot</x:v>
      </x:c>
      <x:c r="G2471" s="5" t="str">
        <x:v>HQ</x:v>
      </x:c>
    </x:row>
    <x:row r="2472" ht="36" customHeight="1">
      <x:c r="A2472" s="5" t="str">
        <x:v>V-0069</x:v>
      </x:c>
      <x:c r="B2472" s="5" t="str">
        <x:v>Vertrieb</x:v>
      </x:c>
      <x:c r="C2472" s="11" t="n">
        <x:v>1</x:v>
      </x:c>
      <x:c r="D2472" s="11" t="n">
        <x:f>COUNTIF('Einzel-ID-Zuordnung'!$A$7:$A$2692,A2472)</x:f>
        <x:v>1</x:v>
      </x:c>
      <x:c r="E2472" s="11" t="n">
        <x:f>D2472-C2472</x:f>
        <x:v>0</x:v>
      </x:c>
      <x:c r="F2472" s="5" t="str">
        <x:v>nicht Pilot</x:v>
      </x:c>
      <x:c r="G2472" s="5" t="str">
        <x:v>HQ</x:v>
      </x:c>
    </x:row>
    <x:row r="2473" ht="36" customHeight="1">
      <x:c r="A2473" s="5" t="str">
        <x:v>V-0070</x:v>
      </x:c>
      <x:c r="B2473" s="5" t="str">
        <x:v>Vertrieb</x:v>
      </x:c>
      <x:c r="C2473" s="11" t="n">
        <x:v>1</x:v>
      </x:c>
      <x:c r="D2473" s="11" t="n">
        <x:f>COUNTIF('Einzel-ID-Zuordnung'!$A$7:$A$2692,A2473)</x:f>
        <x:v>1</x:v>
      </x:c>
      <x:c r="E2473" s="11" t="n">
        <x:f>D2473-C2473</x:f>
        <x:v>0</x:v>
      </x:c>
      <x:c r="F2473" s="5" t="str">
        <x:v>nicht Pilot</x:v>
      </x:c>
      <x:c r="G2473" s="5" t="str">
        <x:v>HQ</x:v>
      </x:c>
    </x:row>
    <x:row r="2474" ht="36" customHeight="1">
      <x:c r="A2474" s="5" t="str">
        <x:v>V-0071</x:v>
      </x:c>
      <x:c r="B2474" s="5" t="str">
        <x:v>Vertrieb</x:v>
      </x:c>
      <x:c r="C2474" s="11" t="n">
        <x:v>1</x:v>
      </x:c>
      <x:c r="D2474" s="11" t="n">
        <x:f>COUNTIF('Einzel-ID-Zuordnung'!$A$7:$A$2692,A2474)</x:f>
        <x:v>1</x:v>
      </x:c>
      <x:c r="E2474" s="11" t="n">
        <x:f>D2474-C2474</x:f>
        <x:v>0</x:v>
      </x:c>
      <x:c r="F2474" s="5" t="str">
        <x:v>nicht Pilot</x:v>
      </x:c>
      <x:c r="G2474" s="5" t="str">
        <x:v>HQ</x:v>
      </x:c>
    </x:row>
    <x:row r="2475" ht="36" customHeight="1">
      <x:c r="A2475" s="5" t="str">
        <x:v>V-0072</x:v>
      </x:c>
      <x:c r="B2475" s="5" t="str">
        <x:v>Vertrieb</x:v>
      </x:c>
      <x:c r="C2475" s="11" t="n">
        <x:v>1</x:v>
      </x:c>
      <x:c r="D2475" s="11" t="n">
        <x:f>COUNTIF('Einzel-ID-Zuordnung'!$A$7:$A$2692,A2475)</x:f>
        <x:v>1</x:v>
      </x:c>
      <x:c r="E2475" s="11" t="n">
        <x:f>D2475-C2475</x:f>
        <x:v>0</x:v>
      </x:c>
      <x:c r="F2475" s="5" t="str">
        <x:v>nicht Pilot</x:v>
      </x:c>
      <x:c r="G2475" s="5" t="str">
        <x:v>HQ</x:v>
      </x:c>
    </x:row>
    <x:row r="2476" ht="36" customHeight="1">
      <x:c r="A2476" s="5" t="str">
        <x:v>V-0073</x:v>
      </x:c>
      <x:c r="B2476" s="5" t="str">
        <x:v>Vertrieb</x:v>
      </x:c>
      <x:c r="C2476" s="11" t="n">
        <x:v>1</x:v>
      </x:c>
      <x:c r="D2476" s="11" t="n">
        <x:f>COUNTIF('Einzel-ID-Zuordnung'!$A$7:$A$2692,A2476)</x:f>
        <x:v>1</x:v>
      </x:c>
      <x:c r="E2476" s="11" t="n">
        <x:f>D2476-C2476</x:f>
        <x:v>0</x:v>
      </x:c>
      <x:c r="F2476" s="5" t="str">
        <x:v>nicht Pilot</x:v>
      </x:c>
      <x:c r="G2476" s="5" t="str">
        <x:v>HQ</x:v>
      </x:c>
    </x:row>
    <x:row r="2477" ht="36" customHeight="1">
      <x:c r="A2477" s="5" t="str">
        <x:v>V-0074</x:v>
      </x:c>
      <x:c r="B2477" s="5" t="str">
        <x:v>Vertrieb</x:v>
      </x:c>
      <x:c r="C2477" s="11" t="n">
        <x:v>1</x:v>
      </x:c>
      <x:c r="D2477" s="11" t="n">
        <x:f>COUNTIF('Einzel-ID-Zuordnung'!$A$7:$A$2692,A2477)</x:f>
        <x:v>1</x:v>
      </x:c>
      <x:c r="E2477" s="11" t="n">
        <x:f>D2477-C2477</x:f>
        <x:v>0</x:v>
      </x:c>
      <x:c r="F2477" s="5" t="str">
        <x:v>nicht Pilot</x:v>
      </x:c>
      <x:c r="G2477" s="5" t="str">
        <x:v>HQ</x:v>
      </x:c>
    </x:row>
    <x:row r="2478" ht="36" customHeight="1">
      <x:c r="A2478" s="5" t="str">
        <x:v>V-0075</x:v>
      </x:c>
      <x:c r="B2478" s="5" t="str">
        <x:v>Vertrieb</x:v>
      </x:c>
      <x:c r="C2478" s="11" t="n">
        <x:v>1</x:v>
      </x:c>
      <x:c r="D2478" s="11" t="n">
        <x:f>COUNTIF('Einzel-ID-Zuordnung'!$A$7:$A$2692,A2478)</x:f>
        <x:v>1</x:v>
      </x:c>
      <x:c r="E2478" s="11" t="n">
        <x:f>D2478-C2478</x:f>
        <x:v>0</x:v>
      </x:c>
      <x:c r="F2478" s="5" t="str">
        <x:v>nicht Pilot</x:v>
      </x:c>
      <x:c r="G2478" s="5" t="str">
        <x:v>HQ</x:v>
      </x:c>
    </x:row>
    <x:row r="2479" ht="36" customHeight="1">
      <x:c r="A2479" s="5" t="str">
        <x:v>V-0076</x:v>
      </x:c>
      <x:c r="B2479" s="5" t="str">
        <x:v>Vertrieb</x:v>
      </x:c>
      <x:c r="C2479" s="11" t="n">
        <x:v>1</x:v>
      </x:c>
      <x:c r="D2479" s="11" t="n">
        <x:f>COUNTIF('Einzel-ID-Zuordnung'!$A$7:$A$2692,A2479)</x:f>
        <x:v>1</x:v>
      </x:c>
      <x:c r="E2479" s="11" t="n">
        <x:f>D2479-C2479</x:f>
        <x:v>0</x:v>
      </x:c>
      <x:c r="F2479" s="5" t="str">
        <x:v>nicht Pilot</x:v>
      </x:c>
      <x:c r="G2479" s="5" t="str">
        <x:v>HQ</x:v>
      </x:c>
    </x:row>
    <x:row r="2480" ht="36" customHeight="1">
      <x:c r="A2480" s="5" t="str">
        <x:v>V-0077</x:v>
      </x:c>
      <x:c r="B2480" s="5" t="str">
        <x:v>Vertrieb</x:v>
      </x:c>
      <x:c r="C2480" s="11" t="n">
        <x:v>1</x:v>
      </x:c>
      <x:c r="D2480" s="11" t="n">
        <x:f>COUNTIF('Einzel-ID-Zuordnung'!$A$7:$A$2692,A2480)</x:f>
        <x:v>1</x:v>
      </x:c>
      <x:c r="E2480" s="11" t="n">
        <x:f>D2480-C2480</x:f>
        <x:v>0</x:v>
      </x:c>
      <x:c r="F2480" s="5" t="str">
        <x:v>nicht Pilot</x:v>
      </x:c>
      <x:c r="G2480" s="5" t="str">
        <x:v>HQ</x:v>
      </x:c>
    </x:row>
    <x:row r="2481" ht="36" customHeight="1">
      <x:c r="A2481" s="5" t="str">
        <x:v>V-0078</x:v>
      </x:c>
      <x:c r="B2481" s="5" t="str">
        <x:v>Vertrieb</x:v>
      </x:c>
      <x:c r="C2481" s="11" t="n">
        <x:v>1</x:v>
      </x:c>
      <x:c r="D2481" s="11" t="n">
        <x:f>COUNTIF('Einzel-ID-Zuordnung'!$A$7:$A$2692,A2481)</x:f>
        <x:v>1</x:v>
      </x:c>
      <x:c r="E2481" s="11" t="n">
        <x:f>D2481-C2481</x:f>
        <x:v>0</x:v>
      </x:c>
      <x:c r="F2481" s="5" t="str">
        <x:v>nicht Pilot</x:v>
      </x:c>
      <x:c r="G2481" s="5" t="str">
        <x:v>HQ</x:v>
      </x:c>
    </x:row>
    <x:row r="2482" ht="36" customHeight="1">
      <x:c r="A2482" s="5" t="str">
        <x:v>V-0079</x:v>
      </x:c>
      <x:c r="B2482" s="5" t="str">
        <x:v>Vertrieb</x:v>
      </x:c>
      <x:c r="C2482" s="11" t="n">
        <x:v>1</x:v>
      </x:c>
      <x:c r="D2482" s="11" t="n">
        <x:f>COUNTIF('Einzel-ID-Zuordnung'!$A$7:$A$2692,A2482)</x:f>
        <x:v>1</x:v>
      </x:c>
      <x:c r="E2482" s="11" t="n">
        <x:f>D2482-C2482</x:f>
        <x:v>0</x:v>
      </x:c>
      <x:c r="F2482" s="5" t="str">
        <x:v>nicht Pilot</x:v>
      </x:c>
      <x:c r="G2482" s="5" t="str">
        <x:v>HQ</x:v>
      </x:c>
    </x:row>
    <x:row r="2483" ht="36" customHeight="1">
      <x:c r="A2483" s="5" t="str">
        <x:v>V-0080</x:v>
      </x:c>
      <x:c r="B2483" s="5" t="str">
        <x:v>Vertrieb</x:v>
      </x:c>
      <x:c r="C2483" s="11" t="n">
        <x:v>1</x:v>
      </x:c>
      <x:c r="D2483" s="11" t="n">
        <x:f>COUNTIF('Einzel-ID-Zuordnung'!$A$7:$A$2692,A2483)</x:f>
        <x:v>1</x:v>
      </x:c>
      <x:c r="E2483" s="11" t="n">
        <x:f>D2483-C2483</x:f>
        <x:v>0</x:v>
      </x:c>
      <x:c r="F2483" s="5" t="str">
        <x:v>nicht Pilot</x:v>
      </x:c>
      <x:c r="G2483" s="5" t="str">
        <x:v>HQ</x:v>
      </x:c>
    </x:row>
    <x:row r="2484" ht="36" customHeight="1">
      <x:c r="A2484" s="5" t="str">
        <x:v>V-0081</x:v>
      </x:c>
      <x:c r="B2484" s="5" t="str">
        <x:v>Vertrieb</x:v>
      </x:c>
      <x:c r="C2484" s="11" t="n">
        <x:v>1</x:v>
      </x:c>
      <x:c r="D2484" s="11" t="n">
        <x:f>COUNTIF('Einzel-ID-Zuordnung'!$A$7:$A$2692,A2484)</x:f>
        <x:v>1</x:v>
      </x:c>
      <x:c r="E2484" s="11" t="n">
        <x:f>D2484-C2484</x:f>
        <x:v>0</x:v>
      </x:c>
      <x:c r="F2484" s="5" t="str">
        <x:v>nicht Pilot</x:v>
      </x:c>
      <x:c r="G2484" s="5" t="str">
        <x:v>HQ</x:v>
      </x:c>
    </x:row>
    <x:row r="2485" ht="36" customHeight="1">
      <x:c r="A2485" s="5" t="str">
        <x:v>V-0082</x:v>
      </x:c>
      <x:c r="B2485" s="5" t="str">
        <x:v>Vertrieb</x:v>
      </x:c>
      <x:c r="C2485" s="11" t="n">
        <x:v>1</x:v>
      </x:c>
      <x:c r="D2485" s="11" t="n">
        <x:f>COUNTIF('Einzel-ID-Zuordnung'!$A$7:$A$2692,A2485)</x:f>
        <x:v>1</x:v>
      </x:c>
      <x:c r="E2485" s="11" t="n">
        <x:f>D2485-C2485</x:f>
        <x:v>0</x:v>
      </x:c>
      <x:c r="F2485" s="5" t="str">
        <x:v>nicht Pilot</x:v>
      </x:c>
      <x:c r="G2485" s="5" t="str">
        <x:v>HQ</x:v>
      </x:c>
    </x:row>
    <x:row r="2486" ht="36" customHeight="1">
      <x:c r="A2486" s="5" t="str">
        <x:v>V-0083</x:v>
      </x:c>
      <x:c r="B2486" s="5" t="str">
        <x:v>Vertrieb</x:v>
      </x:c>
      <x:c r="C2486" s="11" t="n">
        <x:v>1</x:v>
      </x:c>
      <x:c r="D2486" s="11" t="n">
        <x:f>COUNTIF('Einzel-ID-Zuordnung'!$A$7:$A$2692,A2486)</x:f>
        <x:v>1</x:v>
      </x:c>
      <x:c r="E2486" s="11" t="n">
        <x:f>D2486-C2486</x:f>
        <x:v>0</x:v>
      </x:c>
      <x:c r="F2486" s="5" t="str">
        <x:v>nicht Pilot</x:v>
      </x:c>
      <x:c r="G2486" s="5" t="str">
        <x:v>HQ</x:v>
      </x:c>
    </x:row>
    <x:row r="2487" ht="36" customHeight="1">
      <x:c r="A2487" s="5" t="str">
        <x:v>V-0084</x:v>
      </x:c>
      <x:c r="B2487" s="5" t="str">
        <x:v>Vertrieb</x:v>
      </x:c>
      <x:c r="C2487" s="11" t="n">
        <x:v>1</x:v>
      </x:c>
      <x:c r="D2487" s="11" t="n">
        <x:f>COUNTIF('Einzel-ID-Zuordnung'!$A$7:$A$2692,A2487)</x:f>
        <x:v>1</x:v>
      </x:c>
      <x:c r="E2487" s="11" t="n">
        <x:f>D2487-C2487</x:f>
        <x:v>0</x:v>
      </x:c>
      <x:c r="F2487" s="5" t="str">
        <x:v>nicht Pilot</x:v>
      </x:c>
      <x:c r="G2487" s="5" t="str">
        <x:v>HQ</x:v>
      </x:c>
    </x:row>
    <x:row r="2488" ht="36" customHeight="1">
      <x:c r="A2488" s="5" t="str">
        <x:v>PF-0001</x:v>
      </x:c>
      <x:c r="B2488" s="5" t="str">
        <x:v>Führung und Zusammenarbeit</x:v>
      </x:c>
      <x:c r="C2488" s="11" t="n">
        <x:v>1</x:v>
      </x:c>
      <x:c r="D2488" s="11" t="n">
        <x:f>COUNTIF('Einzel-ID-Zuordnung'!$A$7:$A$2692,A2488)</x:f>
        <x:v>1</x:v>
      </x:c>
      <x:c r="E2488" s="11" t="n">
        <x:f>D2488-C2488</x:f>
        <x:v>0</x:v>
      </x:c>
      <x:c r="F2488" s="5" t="str">
        <x:v>nicht Pilot</x:v>
      </x:c>
      <x:c r="G2488" s="5" t="str">
        <x:v>HQ</x:v>
      </x:c>
    </x:row>
    <x:row r="2489" ht="36" customHeight="1">
      <x:c r="A2489" s="5" t="str">
        <x:v>PF-0002</x:v>
      </x:c>
      <x:c r="B2489" s="5" t="str">
        <x:v>Führung und Zusammenarbeit</x:v>
      </x:c>
      <x:c r="C2489" s="11" t="n">
        <x:v>1</x:v>
      </x:c>
      <x:c r="D2489" s="11" t="n">
        <x:f>COUNTIF('Einzel-ID-Zuordnung'!$A$7:$A$2692,A2489)</x:f>
        <x:v>1</x:v>
      </x:c>
      <x:c r="E2489" s="11" t="n">
        <x:f>D2489-C2489</x:f>
        <x:v>0</x:v>
      </x:c>
      <x:c r="F2489" s="5" t="str">
        <x:v>nicht Pilot</x:v>
      </x:c>
      <x:c r="G2489" s="5" t="str">
        <x:v>HQ</x:v>
      </x:c>
    </x:row>
    <x:row r="2490" ht="36" customHeight="1">
      <x:c r="A2490" s="5" t="str">
        <x:v>PF-0003</x:v>
      </x:c>
      <x:c r="B2490" s="5" t="str">
        <x:v>Führung und Zusammenarbeit</x:v>
      </x:c>
      <x:c r="C2490" s="11" t="n">
        <x:v>1</x:v>
      </x:c>
      <x:c r="D2490" s="11" t="n">
        <x:f>COUNTIF('Einzel-ID-Zuordnung'!$A$7:$A$2692,A2490)</x:f>
        <x:v>1</x:v>
      </x:c>
      <x:c r="E2490" s="11" t="n">
        <x:f>D2490-C2490</x:f>
        <x:v>0</x:v>
      </x:c>
      <x:c r="F2490" s="5" t="str">
        <x:v>nicht Pilot</x:v>
      </x:c>
      <x:c r="G2490" s="5" t="str">
        <x:v>HQ</x:v>
      </x:c>
    </x:row>
    <x:row r="2491" ht="36" customHeight="1">
      <x:c r="A2491" s="5" t="str">
        <x:v>PF-0004</x:v>
      </x:c>
      <x:c r="B2491" s="5" t="str">
        <x:v>Führung und Zusammenarbeit</x:v>
      </x:c>
      <x:c r="C2491" s="11" t="n">
        <x:v>1</x:v>
      </x:c>
      <x:c r="D2491" s="11" t="n">
        <x:f>COUNTIF('Einzel-ID-Zuordnung'!$A$7:$A$2692,A2491)</x:f>
        <x:v>1</x:v>
      </x:c>
      <x:c r="E2491" s="11" t="n">
        <x:f>D2491-C2491</x:f>
        <x:v>0</x:v>
      </x:c>
      <x:c r="F2491" s="5" t="str">
        <x:v>nicht Pilot</x:v>
      </x:c>
      <x:c r="G2491" s="5" t="str">
        <x:v>HQ</x:v>
      </x:c>
    </x:row>
    <x:row r="2492" ht="36" customHeight="1">
      <x:c r="A2492" s="5" t="str">
        <x:v>PF-0005</x:v>
      </x:c>
      <x:c r="B2492" s="5" t="str">
        <x:v>Führung und Zusammenarbeit</x:v>
      </x:c>
      <x:c r="C2492" s="11" t="n">
        <x:v>1</x:v>
      </x:c>
      <x:c r="D2492" s="11" t="n">
        <x:f>COUNTIF('Einzel-ID-Zuordnung'!$A$7:$A$2692,A2492)</x:f>
        <x:v>1</x:v>
      </x:c>
      <x:c r="E2492" s="11" t="n">
        <x:f>D2492-C2492</x:f>
        <x:v>0</x:v>
      </x:c>
      <x:c r="F2492" s="5" t="str">
        <x:v>nicht Pilot</x:v>
      </x:c>
      <x:c r="G2492" s="5" t="str">
        <x:v>HQ</x:v>
      </x:c>
    </x:row>
    <x:row r="2493" ht="36" customHeight="1">
      <x:c r="A2493" s="5" t="str">
        <x:v>PF-0006</x:v>
      </x:c>
      <x:c r="B2493" s="5" t="str">
        <x:v>Führung und Zusammenarbeit</x:v>
      </x:c>
      <x:c r="C2493" s="11" t="n">
        <x:v>1</x:v>
      </x:c>
      <x:c r="D2493" s="11" t="n">
        <x:f>COUNTIF('Einzel-ID-Zuordnung'!$A$7:$A$2692,A2493)</x:f>
        <x:v>1</x:v>
      </x:c>
      <x:c r="E2493" s="11" t="n">
        <x:f>D2493-C2493</x:f>
        <x:v>0</x:v>
      </x:c>
      <x:c r="F2493" s="5" t="str">
        <x:v>nicht Pilot</x:v>
      </x:c>
      <x:c r="G2493" s="5" t="str">
        <x:v>HQ</x:v>
      </x:c>
    </x:row>
    <x:row r="2494" ht="36" customHeight="1">
      <x:c r="A2494" s="5" t="str">
        <x:v>PF-0007</x:v>
      </x:c>
      <x:c r="B2494" s="5" t="str">
        <x:v>Führung und Zusammenarbeit</x:v>
      </x:c>
      <x:c r="C2494" s="11" t="n">
        <x:v>1</x:v>
      </x:c>
      <x:c r="D2494" s="11" t="n">
        <x:f>COUNTIF('Einzel-ID-Zuordnung'!$A$7:$A$2692,A2494)</x:f>
        <x:v>1</x:v>
      </x:c>
      <x:c r="E2494" s="11" t="n">
        <x:f>D2494-C2494</x:f>
        <x:v>0</x:v>
      </x:c>
      <x:c r="F2494" s="5" t="str">
        <x:v>nicht Pilot</x:v>
      </x:c>
      <x:c r="G2494" s="5" t="str">
        <x:v>HQ</x:v>
      </x:c>
    </x:row>
    <x:row r="2495" ht="36" customHeight="1">
      <x:c r="A2495" s="5" t="str">
        <x:v>PF-0008</x:v>
      </x:c>
      <x:c r="B2495" s="5" t="str">
        <x:v>Führung und Zusammenarbeit</x:v>
      </x:c>
      <x:c r="C2495" s="11" t="n">
        <x:v>1</x:v>
      </x:c>
      <x:c r="D2495" s="11" t="n">
        <x:f>COUNTIF('Einzel-ID-Zuordnung'!$A$7:$A$2692,A2495)</x:f>
        <x:v>1</x:v>
      </x:c>
      <x:c r="E2495" s="11" t="n">
        <x:f>D2495-C2495</x:f>
        <x:v>0</x:v>
      </x:c>
      <x:c r="F2495" s="5" t="str">
        <x:v>nicht Pilot</x:v>
      </x:c>
      <x:c r="G2495" s="5" t="str">
        <x:v>HQ</x:v>
      </x:c>
    </x:row>
    <x:row r="2496" ht="36" customHeight="1">
      <x:c r="A2496" s="5" t="str">
        <x:v>PF-0009</x:v>
      </x:c>
      <x:c r="B2496" s="5" t="str">
        <x:v>Führung und Zusammenarbeit</x:v>
      </x:c>
      <x:c r="C2496" s="11" t="n">
        <x:v>1</x:v>
      </x:c>
      <x:c r="D2496" s="11" t="n">
        <x:f>COUNTIF('Einzel-ID-Zuordnung'!$A$7:$A$2692,A2496)</x:f>
        <x:v>1</x:v>
      </x:c>
      <x:c r="E2496" s="11" t="n">
        <x:f>D2496-C2496</x:f>
        <x:v>0</x:v>
      </x:c>
      <x:c r="F2496" s="5" t="str">
        <x:v>nicht Pilot</x:v>
      </x:c>
      <x:c r="G2496" s="5" t="str">
        <x:v>HQ</x:v>
      </x:c>
    </x:row>
    <x:row r="2497" ht="36" customHeight="1">
      <x:c r="A2497" s="5" t="str">
        <x:v>PF-0010</x:v>
      </x:c>
      <x:c r="B2497" s="5" t="str">
        <x:v>Führung und Zusammenarbeit</x:v>
      </x:c>
      <x:c r="C2497" s="11" t="n">
        <x:v>1</x:v>
      </x:c>
      <x:c r="D2497" s="11" t="n">
        <x:f>COUNTIF('Einzel-ID-Zuordnung'!$A$7:$A$2692,A2497)</x:f>
        <x:v>1</x:v>
      </x:c>
      <x:c r="E2497" s="11" t="n">
        <x:f>D2497-C2497</x:f>
        <x:v>0</x:v>
      </x:c>
      <x:c r="F2497" s="5" t="str">
        <x:v>nicht Pilot</x:v>
      </x:c>
      <x:c r="G2497" s="5" t="str">
        <x:v>HQ</x:v>
      </x:c>
    </x:row>
    <x:row r="2498" ht="36" customHeight="1">
      <x:c r="A2498" s="5" t="str">
        <x:v>PF-0011</x:v>
      </x:c>
      <x:c r="B2498" s="5" t="str">
        <x:v>Führung und Zusammenarbeit</x:v>
      </x:c>
      <x:c r="C2498" s="11" t="n">
        <x:v>1</x:v>
      </x:c>
      <x:c r="D2498" s="11" t="n">
        <x:f>COUNTIF('Einzel-ID-Zuordnung'!$A$7:$A$2692,A2498)</x:f>
        <x:v>1</x:v>
      </x:c>
      <x:c r="E2498" s="11" t="n">
        <x:f>D2498-C2498</x:f>
        <x:v>0</x:v>
      </x:c>
      <x:c r="F2498" s="5" t="str">
        <x:v>nicht Pilot</x:v>
      </x:c>
      <x:c r="G2498" s="5" t="str">
        <x:v>HQ</x:v>
      </x:c>
    </x:row>
    <x:row r="2499" ht="36" customHeight="1">
      <x:c r="A2499" s="5" t="str">
        <x:v>PF-0012</x:v>
      </x:c>
      <x:c r="B2499" s="5" t="str">
        <x:v>Führung und Zusammenarbeit</x:v>
      </x:c>
      <x:c r="C2499" s="11" t="n">
        <x:v>1</x:v>
      </x:c>
      <x:c r="D2499" s="11" t="n">
        <x:f>COUNTIF('Einzel-ID-Zuordnung'!$A$7:$A$2692,A2499)</x:f>
        <x:v>1</x:v>
      </x:c>
      <x:c r="E2499" s="11" t="n">
        <x:f>D2499-C2499</x:f>
        <x:v>0</x:v>
      </x:c>
      <x:c r="F2499" s="5" t="str">
        <x:v>nicht Pilot</x:v>
      </x:c>
      <x:c r="G2499" s="5" t="str">
        <x:v>HQ</x:v>
      </x:c>
    </x:row>
    <x:row r="2500" ht="36" customHeight="1">
      <x:c r="A2500" s="5" t="str">
        <x:v>PF-0013</x:v>
      </x:c>
      <x:c r="B2500" s="5" t="str">
        <x:v>Führung und Zusammenarbeit</x:v>
      </x:c>
      <x:c r="C2500" s="11" t="n">
        <x:v>1</x:v>
      </x:c>
      <x:c r="D2500" s="11" t="n">
        <x:f>COUNTIF('Einzel-ID-Zuordnung'!$A$7:$A$2692,A2500)</x:f>
        <x:v>1</x:v>
      </x:c>
      <x:c r="E2500" s="11" t="n">
        <x:f>D2500-C2500</x:f>
        <x:v>0</x:v>
      </x:c>
      <x:c r="F2500" s="5" t="str">
        <x:v>nicht Pilot</x:v>
      </x:c>
      <x:c r="G2500" s="5" t="str">
        <x:v>HQ</x:v>
      </x:c>
    </x:row>
    <x:row r="2501" ht="36" customHeight="1">
      <x:c r="A2501" s="5" t="str">
        <x:v>PF-0014</x:v>
      </x:c>
      <x:c r="B2501" s="5" t="str">
        <x:v>Führung und Zusammenarbeit</x:v>
      </x:c>
      <x:c r="C2501" s="11" t="n">
        <x:v>1</x:v>
      </x:c>
      <x:c r="D2501" s="11" t="n">
        <x:f>COUNTIF('Einzel-ID-Zuordnung'!$A$7:$A$2692,A2501)</x:f>
        <x:v>1</x:v>
      </x:c>
      <x:c r="E2501" s="11" t="n">
        <x:f>D2501-C2501</x:f>
        <x:v>0</x:v>
      </x:c>
      <x:c r="F2501" s="5" t="str">
        <x:v>nicht Pilot</x:v>
      </x:c>
      <x:c r="G2501" s="5" t="str">
        <x:v>HQ</x:v>
      </x:c>
    </x:row>
    <x:row r="2502" ht="36" customHeight="1">
      <x:c r="A2502" s="5" t="str">
        <x:v>PF-0015</x:v>
      </x:c>
      <x:c r="B2502" s="5" t="str">
        <x:v>Führung und Zusammenarbeit</x:v>
      </x:c>
      <x:c r="C2502" s="11" t="n">
        <x:v>1</x:v>
      </x:c>
      <x:c r="D2502" s="11" t="n">
        <x:f>COUNTIF('Einzel-ID-Zuordnung'!$A$7:$A$2692,A2502)</x:f>
        <x:v>1</x:v>
      </x:c>
      <x:c r="E2502" s="11" t="n">
        <x:f>D2502-C2502</x:f>
        <x:v>0</x:v>
      </x:c>
      <x:c r="F2502" s="5" t="str">
        <x:v>nicht Pilot</x:v>
      </x:c>
      <x:c r="G2502" s="5" t="str">
        <x:v>HQ</x:v>
      </x:c>
    </x:row>
    <x:row r="2503" ht="36" customHeight="1">
      <x:c r="A2503" s="5" t="str">
        <x:v>PF-0016</x:v>
      </x:c>
      <x:c r="B2503" s="5" t="str">
        <x:v>Führung und Zusammenarbeit</x:v>
      </x:c>
      <x:c r="C2503" s="11" t="n">
        <x:v>1</x:v>
      </x:c>
      <x:c r="D2503" s="11" t="n">
        <x:f>COUNTIF('Einzel-ID-Zuordnung'!$A$7:$A$2692,A2503)</x:f>
        <x:v>1</x:v>
      </x:c>
      <x:c r="E2503" s="11" t="n">
        <x:f>D2503-C2503</x:f>
        <x:v>0</x:v>
      </x:c>
      <x:c r="F2503" s="5" t="str">
        <x:v>nicht Pilot</x:v>
      </x:c>
      <x:c r="G2503" s="5" t="str">
        <x:v>HQ</x:v>
      </x:c>
    </x:row>
    <x:row r="2504" ht="36" customHeight="1">
      <x:c r="A2504" s="5" t="str">
        <x:v>PF-0017</x:v>
      </x:c>
      <x:c r="B2504" s="5" t="str">
        <x:v>Führung und Zusammenarbeit</x:v>
      </x:c>
      <x:c r="C2504" s="11" t="n">
        <x:v>1</x:v>
      </x:c>
      <x:c r="D2504" s="11" t="n">
        <x:f>COUNTIF('Einzel-ID-Zuordnung'!$A$7:$A$2692,A2504)</x:f>
        <x:v>1</x:v>
      </x:c>
      <x:c r="E2504" s="11" t="n">
        <x:f>D2504-C2504</x:f>
        <x:v>0</x:v>
      </x:c>
      <x:c r="F2504" s="5" t="str">
        <x:v>nicht Pilot</x:v>
      </x:c>
      <x:c r="G2504" s="5" t="str">
        <x:v>HQ</x:v>
      </x:c>
    </x:row>
    <x:row r="2505" ht="36" customHeight="1">
      <x:c r="A2505" s="5" t="str">
        <x:v>PF-0018</x:v>
      </x:c>
      <x:c r="B2505" s="5" t="str">
        <x:v>Führung und Zusammenarbeit</x:v>
      </x:c>
      <x:c r="C2505" s="11" t="n">
        <x:v>1</x:v>
      </x:c>
      <x:c r="D2505" s="11" t="n">
        <x:f>COUNTIF('Einzel-ID-Zuordnung'!$A$7:$A$2692,A2505)</x:f>
        <x:v>1</x:v>
      </x:c>
      <x:c r="E2505" s="11" t="n">
        <x:f>D2505-C2505</x:f>
        <x:v>0</x:v>
      </x:c>
      <x:c r="F2505" s="5" t="str">
        <x:v>nicht Pilot</x:v>
      </x:c>
      <x:c r="G2505" s="5" t="str">
        <x:v>HQ</x:v>
      </x:c>
    </x:row>
    <x:row r="2506" ht="36" customHeight="1">
      <x:c r="A2506" s="5" t="str">
        <x:v>PF-0019</x:v>
      </x:c>
      <x:c r="B2506" s="5" t="str">
        <x:v>Führung und Zusammenarbeit</x:v>
      </x:c>
      <x:c r="C2506" s="11" t="n">
        <x:v>1</x:v>
      </x:c>
      <x:c r="D2506" s="11" t="n">
        <x:f>COUNTIF('Einzel-ID-Zuordnung'!$A$7:$A$2692,A2506)</x:f>
        <x:v>1</x:v>
      </x:c>
      <x:c r="E2506" s="11" t="n">
        <x:f>D2506-C2506</x:f>
        <x:v>0</x:v>
      </x:c>
      <x:c r="F2506" s="5" t="str">
        <x:v>nicht Pilot</x:v>
      </x:c>
      <x:c r="G2506" s="5" t="str">
        <x:v>HQ</x:v>
      </x:c>
    </x:row>
    <x:row r="2507" ht="36" customHeight="1">
      <x:c r="A2507" s="5" t="str">
        <x:v>PF-0020</x:v>
      </x:c>
      <x:c r="B2507" s="5" t="str">
        <x:v>Führung und Zusammenarbeit</x:v>
      </x:c>
      <x:c r="C2507" s="11" t="n">
        <x:v>1</x:v>
      </x:c>
      <x:c r="D2507" s="11" t="n">
        <x:f>COUNTIF('Einzel-ID-Zuordnung'!$A$7:$A$2692,A2507)</x:f>
        <x:v>1</x:v>
      </x:c>
      <x:c r="E2507" s="11" t="n">
        <x:f>D2507-C2507</x:f>
        <x:v>0</x:v>
      </x:c>
      <x:c r="F2507" s="5" t="str">
        <x:v>nicht Pilot</x:v>
      </x:c>
      <x:c r="G2507" s="5" t="str">
        <x:v>HQ</x:v>
      </x:c>
    </x:row>
    <x:row r="2508" ht="36" customHeight="1">
      <x:c r="A2508" s="5" t="str">
        <x:v>PF-0021</x:v>
      </x:c>
      <x:c r="B2508" s="5" t="str">
        <x:v>Führung und Zusammenarbeit</x:v>
      </x:c>
      <x:c r="C2508" s="11" t="n">
        <x:v>1</x:v>
      </x:c>
      <x:c r="D2508" s="11" t="n">
        <x:f>COUNTIF('Einzel-ID-Zuordnung'!$A$7:$A$2692,A2508)</x:f>
        <x:v>1</x:v>
      </x:c>
      <x:c r="E2508" s="11" t="n">
        <x:f>D2508-C2508</x:f>
        <x:v>0</x:v>
      </x:c>
      <x:c r="F2508" s="5" t="str">
        <x:v>nicht Pilot</x:v>
      </x:c>
      <x:c r="G2508" s="5" t="str">
        <x:v>HQ</x:v>
      </x:c>
    </x:row>
    <x:row r="2509" ht="36" customHeight="1">
      <x:c r="A2509" s="5" t="str">
        <x:v>PF-0022</x:v>
      </x:c>
      <x:c r="B2509" s="5" t="str">
        <x:v>Führung und Zusammenarbeit</x:v>
      </x:c>
      <x:c r="C2509" s="11" t="n">
        <x:v>1</x:v>
      </x:c>
      <x:c r="D2509" s="11" t="n">
        <x:f>COUNTIF('Einzel-ID-Zuordnung'!$A$7:$A$2692,A2509)</x:f>
        <x:v>1</x:v>
      </x:c>
      <x:c r="E2509" s="11" t="n">
        <x:f>D2509-C2509</x:f>
        <x:v>0</x:v>
      </x:c>
      <x:c r="F2509" s="5" t="str">
        <x:v>nicht Pilot</x:v>
      </x:c>
      <x:c r="G2509" s="5" t="str">
        <x:v>HQ</x:v>
      </x:c>
    </x:row>
    <x:row r="2510" ht="36" customHeight="1">
      <x:c r="A2510" s="5" t="str">
        <x:v>PF-0023</x:v>
      </x:c>
      <x:c r="B2510" s="5" t="str">
        <x:v>Führung und Zusammenarbeit</x:v>
      </x:c>
      <x:c r="C2510" s="11" t="n">
        <x:v>1</x:v>
      </x:c>
      <x:c r="D2510" s="11" t="n">
        <x:f>COUNTIF('Einzel-ID-Zuordnung'!$A$7:$A$2692,A2510)</x:f>
        <x:v>1</x:v>
      </x:c>
      <x:c r="E2510" s="11" t="n">
        <x:f>D2510-C2510</x:f>
        <x:v>0</x:v>
      </x:c>
      <x:c r="F2510" s="5" t="str">
        <x:v>nicht Pilot</x:v>
      </x:c>
      <x:c r="G2510" s="5" t="str">
        <x:v>HQ</x:v>
      </x:c>
    </x:row>
    <x:row r="2511" ht="36" customHeight="1">
      <x:c r="A2511" s="5" t="str">
        <x:v>PF-0024</x:v>
      </x:c>
      <x:c r="B2511" s="5" t="str">
        <x:v>Führung und Zusammenarbeit</x:v>
      </x:c>
      <x:c r="C2511" s="11" t="n">
        <x:v>1</x:v>
      </x:c>
      <x:c r="D2511" s="11" t="n">
        <x:f>COUNTIF('Einzel-ID-Zuordnung'!$A$7:$A$2692,A2511)</x:f>
        <x:v>1</x:v>
      </x:c>
      <x:c r="E2511" s="11" t="n">
        <x:f>D2511-C2511</x:f>
        <x:v>0</x:v>
      </x:c>
      <x:c r="F2511" s="5" t="str">
        <x:v>nicht Pilot</x:v>
      </x:c>
      <x:c r="G2511" s="5" t="str">
        <x:v>HQ</x:v>
      </x:c>
    </x:row>
    <x:row r="2512" ht="36" customHeight="1">
      <x:c r="A2512" s="5" t="str">
        <x:v>PF-0025</x:v>
      </x:c>
      <x:c r="B2512" s="5" t="str">
        <x:v>Führung und Zusammenarbeit</x:v>
      </x:c>
      <x:c r="C2512" s="11" t="n">
        <x:v>1</x:v>
      </x:c>
      <x:c r="D2512" s="11" t="n">
        <x:f>COUNTIF('Einzel-ID-Zuordnung'!$A$7:$A$2692,A2512)</x:f>
        <x:v>1</x:v>
      </x:c>
      <x:c r="E2512" s="11" t="n">
        <x:f>D2512-C2512</x:f>
        <x:v>0</x:v>
      </x:c>
      <x:c r="F2512" s="5" t="str">
        <x:v>nicht Pilot</x:v>
      </x:c>
      <x:c r="G2512" s="5" t="str">
        <x:v>HQ</x:v>
      </x:c>
    </x:row>
    <x:row r="2513" ht="36" customHeight="1">
      <x:c r="A2513" s="5" t="str">
        <x:v>PF-0026</x:v>
      </x:c>
      <x:c r="B2513" s="5" t="str">
        <x:v>Führung und Zusammenarbeit</x:v>
      </x:c>
      <x:c r="C2513" s="11" t="n">
        <x:v>1</x:v>
      </x:c>
      <x:c r="D2513" s="11" t="n">
        <x:f>COUNTIF('Einzel-ID-Zuordnung'!$A$7:$A$2692,A2513)</x:f>
        <x:v>1</x:v>
      </x:c>
      <x:c r="E2513" s="11" t="n">
        <x:f>D2513-C2513</x:f>
        <x:v>0</x:v>
      </x:c>
      <x:c r="F2513" s="5" t="str">
        <x:v>nicht Pilot</x:v>
      </x:c>
      <x:c r="G2513" s="5" t="str">
        <x:v>HQ</x:v>
      </x:c>
    </x:row>
    <x:row r="2514" ht="36" customHeight="1">
      <x:c r="A2514" s="5" t="str">
        <x:v>PF-0027</x:v>
      </x:c>
      <x:c r="B2514" s="5" t="str">
        <x:v>Führung und Zusammenarbeit</x:v>
      </x:c>
      <x:c r="C2514" s="11" t="n">
        <x:v>1</x:v>
      </x:c>
      <x:c r="D2514" s="11" t="n">
        <x:f>COUNTIF('Einzel-ID-Zuordnung'!$A$7:$A$2692,A2514)</x:f>
        <x:v>1</x:v>
      </x:c>
      <x:c r="E2514" s="11" t="n">
        <x:f>D2514-C2514</x:f>
        <x:v>0</x:v>
      </x:c>
      <x:c r="F2514" s="5" t="str">
        <x:v>nicht Pilot</x:v>
      </x:c>
      <x:c r="G2514" s="5" t="str">
        <x:v>HQ</x:v>
      </x:c>
    </x:row>
    <x:row r="2515" ht="36" customHeight="1">
      <x:c r="A2515" s="5" t="str">
        <x:v>PF-0028</x:v>
      </x:c>
      <x:c r="B2515" s="5" t="str">
        <x:v>Führung und Zusammenarbeit</x:v>
      </x:c>
      <x:c r="C2515" s="11" t="n">
        <x:v>1</x:v>
      </x:c>
      <x:c r="D2515" s="11" t="n">
        <x:f>COUNTIF('Einzel-ID-Zuordnung'!$A$7:$A$2692,A2515)</x:f>
        <x:v>1</x:v>
      </x:c>
      <x:c r="E2515" s="11" t="n">
        <x:f>D2515-C2515</x:f>
        <x:v>0</x:v>
      </x:c>
      <x:c r="F2515" s="5" t="str">
        <x:v>nicht Pilot</x:v>
      </x:c>
      <x:c r="G2515" s="5" t="str">
        <x:v>HQ</x:v>
      </x:c>
    </x:row>
    <x:row r="2516" ht="36" customHeight="1">
      <x:c r="A2516" s="5" t="str">
        <x:v>PF-0029</x:v>
      </x:c>
      <x:c r="B2516" s="5" t="str">
        <x:v>Führung und Zusammenarbeit</x:v>
      </x:c>
      <x:c r="C2516" s="11" t="n">
        <x:v>1</x:v>
      </x:c>
      <x:c r="D2516" s="11" t="n">
        <x:f>COUNTIF('Einzel-ID-Zuordnung'!$A$7:$A$2692,A2516)</x:f>
        <x:v>1</x:v>
      </x:c>
      <x:c r="E2516" s="11" t="n">
        <x:f>D2516-C2516</x:f>
        <x:v>0</x:v>
      </x:c>
      <x:c r="F2516" s="5" t="str">
        <x:v>nicht Pilot</x:v>
      </x:c>
      <x:c r="G2516" s="5" t="str">
        <x:v>HQ</x:v>
      </x:c>
    </x:row>
    <x:row r="2517" ht="36" customHeight="1">
      <x:c r="A2517" s="5" t="str">
        <x:v>PF-0030</x:v>
      </x:c>
      <x:c r="B2517" s="5" t="str">
        <x:v>Führung und Zusammenarbeit</x:v>
      </x:c>
      <x:c r="C2517" s="11" t="n">
        <x:v>1</x:v>
      </x:c>
      <x:c r="D2517" s="11" t="n">
        <x:f>COUNTIF('Einzel-ID-Zuordnung'!$A$7:$A$2692,A2517)</x:f>
        <x:v>1</x:v>
      </x:c>
      <x:c r="E2517" s="11" t="n">
        <x:f>D2517-C2517</x:f>
        <x:v>0</x:v>
      </x:c>
      <x:c r="F2517" s="5" t="str">
        <x:v>nicht Pilot</x:v>
      </x:c>
      <x:c r="G2517" s="5" t="str">
        <x:v>HQ</x:v>
      </x:c>
    </x:row>
    <x:row r="2518" ht="36" customHeight="1">
      <x:c r="A2518" s="5" t="str">
        <x:v>PF-0031</x:v>
      </x:c>
      <x:c r="B2518" s="5" t="str">
        <x:v>Führung und Zusammenarbeit</x:v>
      </x:c>
      <x:c r="C2518" s="11" t="n">
        <x:v>1</x:v>
      </x:c>
      <x:c r="D2518" s="11" t="n">
        <x:f>COUNTIF('Einzel-ID-Zuordnung'!$A$7:$A$2692,A2518)</x:f>
        <x:v>1</x:v>
      </x:c>
      <x:c r="E2518" s="11" t="n">
        <x:f>D2518-C2518</x:f>
        <x:v>0</x:v>
      </x:c>
      <x:c r="F2518" s="5" t="str">
        <x:v>nicht Pilot</x:v>
      </x:c>
      <x:c r="G2518" s="5" t="str">
        <x:v>HQ</x:v>
      </x:c>
    </x:row>
    <x:row r="2519" ht="36" customHeight="1">
      <x:c r="A2519" s="5" t="str">
        <x:v>PF-0032</x:v>
      </x:c>
      <x:c r="B2519" s="5" t="str">
        <x:v>Führung und Zusammenarbeit</x:v>
      </x:c>
      <x:c r="C2519" s="11" t="n">
        <x:v>1</x:v>
      </x:c>
      <x:c r="D2519" s="11" t="n">
        <x:f>COUNTIF('Einzel-ID-Zuordnung'!$A$7:$A$2692,A2519)</x:f>
        <x:v>1</x:v>
      </x:c>
      <x:c r="E2519" s="11" t="n">
        <x:f>D2519-C2519</x:f>
        <x:v>0</x:v>
      </x:c>
      <x:c r="F2519" s="5" t="str">
        <x:v>nicht Pilot</x:v>
      </x:c>
      <x:c r="G2519" s="5" t="str">
        <x:v>HQ</x:v>
      </x:c>
    </x:row>
    <x:row r="2520" ht="36" customHeight="1">
      <x:c r="A2520" s="5" t="str">
        <x:v>PF-0033</x:v>
      </x:c>
      <x:c r="B2520" s="5" t="str">
        <x:v>Führung und Zusammenarbeit</x:v>
      </x:c>
      <x:c r="C2520" s="11" t="n">
        <x:v>1</x:v>
      </x:c>
      <x:c r="D2520" s="11" t="n">
        <x:f>COUNTIF('Einzel-ID-Zuordnung'!$A$7:$A$2692,A2520)</x:f>
        <x:v>1</x:v>
      </x:c>
      <x:c r="E2520" s="11" t="n">
        <x:f>D2520-C2520</x:f>
        <x:v>0</x:v>
      </x:c>
      <x:c r="F2520" s="5" t="str">
        <x:v>nicht Pilot</x:v>
      </x:c>
      <x:c r="G2520" s="5" t="str">
        <x:v>HQ</x:v>
      </x:c>
    </x:row>
    <x:row r="2521" ht="36" customHeight="1">
      <x:c r="A2521" s="5" t="str">
        <x:v>PF-0034</x:v>
      </x:c>
      <x:c r="B2521" s="5" t="str">
        <x:v>Führung und Zusammenarbeit</x:v>
      </x:c>
      <x:c r="C2521" s="11" t="n">
        <x:v>1</x:v>
      </x:c>
      <x:c r="D2521" s="11" t="n">
        <x:f>COUNTIF('Einzel-ID-Zuordnung'!$A$7:$A$2692,A2521)</x:f>
        <x:v>1</x:v>
      </x:c>
      <x:c r="E2521" s="11" t="n">
        <x:f>D2521-C2521</x:f>
        <x:v>0</x:v>
      </x:c>
      <x:c r="F2521" s="5" t="str">
        <x:v>nicht Pilot</x:v>
      </x:c>
      <x:c r="G2521" s="5" t="str">
        <x:v>HQ</x:v>
      </x:c>
    </x:row>
    <x:row r="2522" ht="36" customHeight="1">
      <x:c r="A2522" s="5" t="str">
        <x:v>PF-0035</x:v>
      </x:c>
      <x:c r="B2522" s="5" t="str">
        <x:v>Führung und Zusammenarbeit</x:v>
      </x:c>
      <x:c r="C2522" s="11" t="n">
        <x:v>1</x:v>
      </x:c>
      <x:c r="D2522" s="11" t="n">
        <x:f>COUNTIF('Einzel-ID-Zuordnung'!$A$7:$A$2692,A2522)</x:f>
        <x:v>1</x:v>
      </x:c>
      <x:c r="E2522" s="11" t="n">
        <x:f>D2522-C2522</x:f>
        <x:v>0</x:v>
      </x:c>
      <x:c r="F2522" s="5" t="str">
        <x:v>nicht Pilot</x:v>
      </x:c>
      <x:c r="G2522" s="5" t="str">
        <x:v>HQ</x:v>
      </x:c>
    </x:row>
    <x:row r="2523" ht="36" customHeight="1">
      <x:c r="A2523" s="5" t="str">
        <x:v>PF-0036</x:v>
      </x:c>
      <x:c r="B2523" s="5" t="str">
        <x:v>Führung und Zusammenarbeit</x:v>
      </x:c>
      <x:c r="C2523" s="11" t="n">
        <x:v>1</x:v>
      </x:c>
      <x:c r="D2523" s="11" t="n">
        <x:f>COUNTIF('Einzel-ID-Zuordnung'!$A$7:$A$2692,A2523)</x:f>
        <x:v>1</x:v>
      </x:c>
      <x:c r="E2523" s="11" t="n">
        <x:f>D2523-C2523</x:f>
        <x:v>0</x:v>
      </x:c>
      <x:c r="F2523" s="5" t="str">
        <x:v>nicht Pilot</x:v>
      </x:c>
      <x:c r="G2523" s="5" t="str">
        <x:v>HQ</x:v>
      </x:c>
    </x:row>
    <x:row r="2524" ht="36" customHeight="1">
      <x:c r="A2524" s="5" t="str">
        <x:v>PF-0037</x:v>
      </x:c>
      <x:c r="B2524" s="5" t="str">
        <x:v>Führung und Zusammenarbeit</x:v>
      </x:c>
      <x:c r="C2524" s="11" t="n">
        <x:v>1</x:v>
      </x:c>
      <x:c r="D2524" s="11" t="n">
        <x:f>COUNTIF('Einzel-ID-Zuordnung'!$A$7:$A$2692,A2524)</x:f>
        <x:v>1</x:v>
      </x:c>
      <x:c r="E2524" s="11" t="n">
        <x:f>D2524-C2524</x:f>
        <x:v>0</x:v>
      </x:c>
      <x:c r="F2524" s="5" t="str">
        <x:v>nicht Pilot</x:v>
      </x:c>
      <x:c r="G2524" s="5" t="str">
        <x:v>HQ</x:v>
      </x:c>
    </x:row>
    <x:row r="2525" ht="36" customHeight="1">
      <x:c r="A2525" s="5" t="str">
        <x:v>PF-0038</x:v>
      </x:c>
      <x:c r="B2525" s="5" t="str">
        <x:v>Führung und Zusammenarbeit</x:v>
      </x:c>
      <x:c r="C2525" s="11" t="n">
        <x:v>1</x:v>
      </x:c>
      <x:c r="D2525" s="11" t="n">
        <x:f>COUNTIF('Einzel-ID-Zuordnung'!$A$7:$A$2692,A2525)</x:f>
        <x:v>1</x:v>
      </x:c>
      <x:c r="E2525" s="11" t="n">
        <x:f>D2525-C2525</x:f>
        <x:v>0</x:v>
      </x:c>
      <x:c r="F2525" s="5" t="str">
        <x:v>nicht Pilot</x:v>
      </x:c>
      <x:c r="G2525" s="5" t="str">
        <x:v>HQ</x:v>
      </x:c>
    </x:row>
    <x:row r="2526" ht="36" customHeight="1">
      <x:c r="A2526" s="5" t="str">
        <x:v>PF-0039</x:v>
      </x:c>
      <x:c r="B2526" s="5" t="str">
        <x:v>Führung und Zusammenarbeit</x:v>
      </x:c>
      <x:c r="C2526" s="11" t="n">
        <x:v>1</x:v>
      </x:c>
      <x:c r="D2526" s="11" t="n">
        <x:f>COUNTIF('Einzel-ID-Zuordnung'!$A$7:$A$2692,A2526)</x:f>
        <x:v>1</x:v>
      </x:c>
      <x:c r="E2526" s="11" t="n">
        <x:f>D2526-C2526</x:f>
        <x:v>0</x:v>
      </x:c>
      <x:c r="F2526" s="5" t="str">
        <x:v>nicht Pilot</x:v>
      </x:c>
      <x:c r="G2526" s="5" t="str">
        <x:v>HQ</x:v>
      </x:c>
    </x:row>
    <x:row r="2527" ht="36" customHeight="1">
      <x:c r="A2527" s="5" t="str">
        <x:v>PF-0040</x:v>
      </x:c>
      <x:c r="B2527" s="5" t="str">
        <x:v>Führung und Zusammenarbeit</x:v>
      </x:c>
      <x:c r="C2527" s="11" t="n">
        <x:v>1</x:v>
      </x:c>
      <x:c r="D2527" s="11" t="n">
        <x:f>COUNTIF('Einzel-ID-Zuordnung'!$A$7:$A$2692,A2527)</x:f>
        <x:v>1</x:v>
      </x:c>
      <x:c r="E2527" s="11" t="n">
        <x:f>D2527-C2527</x:f>
        <x:v>0</x:v>
      </x:c>
      <x:c r="F2527" s="5" t="str">
        <x:v>nicht Pilot</x:v>
      </x:c>
      <x:c r="G2527" s="5" t="str">
        <x:v>HQ</x:v>
      </x:c>
    </x:row>
    <x:row r="2528" ht="36" customHeight="1">
      <x:c r="A2528" s="5" t="str">
        <x:v>PF-0041</x:v>
      </x:c>
      <x:c r="B2528" s="5" t="str">
        <x:v>Führung und Zusammenarbeit</x:v>
      </x:c>
      <x:c r="C2528" s="11" t="n">
        <x:v>1</x:v>
      </x:c>
      <x:c r="D2528" s="11" t="n">
        <x:f>COUNTIF('Einzel-ID-Zuordnung'!$A$7:$A$2692,A2528)</x:f>
        <x:v>1</x:v>
      </x:c>
      <x:c r="E2528" s="11" t="n">
        <x:f>D2528-C2528</x:f>
        <x:v>0</x:v>
      </x:c>
      <x:c r="F2528" s="5" t="str">
        <x:v>nicht Pilot</x:v>
      </x:c>
      <x:c r="G2528" s="5" t="str">
        <x:v>HQ</x:v>
      </x:c>
    </x:row>
    <x:row r="2529" ht="36" customHeight="1">
      <x:c r="A2529" s="5" t="str">
        <x:v>PF-0042</x:v>
      </x:c>
      <x:c r="B2529" s="5" t="str">
        <x:v>Führung und Zusammenarbeit</x:v>
      </x:c>
      <x:c r="C2529" s="11" t="n">
        <x:v>1</x:v>
      </x:c>
      <x:c r="D2529" s="11" t="n">
        <x:f>COUNTIF('Einzel-ID-Zuordnung'!$A$7:$A$2692,A2529)</x:f>
        <x:v>1</x:v>
      </x:c>
      <x:c r="E2529" s="11" t="n">
        <x:f>D2529-C2529</x:f>
        <x:v>0</x:v>
      </x:c>
      <x:c r="F2529" s="5" t="str">
        <x:v>nicht Pilot</x:v>
      </x:c>
      <x:c r="G2529" s="5" t="str">
        <x:v>HQ</x:v>
      </x:c>
    </x:row>
    <x:row r="2530" ht="36" customHeight="1">
      <x:c r="A2530" s="5" t="str">
        <x:v>PF-0043</x:v>
      </x:c>
      <x:c r="B2530" s="5" t="str">
        <x:v>Führung und Zusammenarbeit</x:v>
      </x:c>
      <x:c r="C2530" s="11" t="n">
        <x:v>1</x:v>
      </x:c>
      <x:c r="D2530" s="11" t="n">
        <x:f>COUNTIF('Einzel-ID-Zuordnung'!$A$7:$A$2692,A2530)</x:f>
        <x:v>1</x:v>
      </x:c>
      <x:c r="E2530" s="11" t="n">
        <x:f>D2530-C2530</x:f>
        <x:v>0</x:v>
      </x:c>
      <x:c r="F2530" s="5" t="str">
        <x:v>nicht Pilot</x:v>
      </x:c>
      <x:c r="G2530" s="5" t="str">
        <x:v>HQ</x:v>
      </x:c>
    </x:row>
    <x:row r="2531" ht="36" customHeight="1">
      <x:c r="A2531" s="5" t="str">
        <x:v>PF-0044</x:v>
      </x:c>
      <x:c r="B2531" s="5" t="str">
        <x:v>Führung und Zusammenarbeit</x:v>
      </x:c>
      <x:c r="C2531" s="11" t="n">
        <x:v>1</x:v>
      </x:c>
      <x:c r="D2531" s="11" t="n">
        <x:f>COUNTIF('Einzel-ID-Zuordnung'!$A$7:$A$2692,A2531)</x:f>
        <x:v>1</x:v>
      </x:c>
      <x:c r="E2531" s="11" t="n">
        <x:f>D2531-C2531</x:f>
        <x:v>0</x:v>
      </x:c>
      <x:c r="F2531" s="5" t="str">
        <x:v>nicht Pilot</x:v>
      </x:c>
      <x:c r="G2531" s="5" t="str">
        <x:v>HQ</x:v>
      </x:c>
    </x:row>
    <x:row r="2532" ht="36" customHeight="1">
      <x:c r="A2532" s="5" t="str">
        <x:v>PF-0045</x:v>
      </x:c>
      <x:c r="B2532" s="5" t="str">
        <x:v>Führung und Zusammenarbeit</x:v>
      </x:c>
      <x:c r="C2532" s="11" t="n">
        <x:v>1</x:v>
      </x:c>
      <x:c r="D2532" s="11" t="n">
        <x:f>COUNTIF('Einzel-ID-Zuordnung'!$A$7:$A$2692,A2532)</x:f>
        <x:v>1</x:v>
      </x:c>
      <x:c r="E2532" s="11" t="n">
        <x:f>D2532-C2532</x:f>
        <x:v>0</x:v>
      </x:c>
      <x:c r="F2532" s="5" t="str">
        <x:v>nicht Pilot</x:v>
      </x:c>
      <x:c r="G2532" s="5" t="str">
        <x:v>HQ</x:v>
      </x:c>
    </x:row>
    <x:row r="2533" ht="36" customHeight="1">
      <x:c r="A2533" s="5" t="str">
        <x:v>PF-0046</x:v>
      </x:c>
      <x:c r="B2533" s="5" t="str">
        <x:v>Führung und Zusammenarbeit</x:v>
      </x:c>
      <x:c r="C2533" s="11" t="n">
        <x:v>1</x:v>
      </x:c>
      <x:c r="D2533" s="11" t="n">
        <x:f>COUNTIF('Einzel-ID-Zuordnung'!$A$7:$A$2692,A2533)</x:f>
        <x:v>1</x:v>
      </x:c>
      <x:c r="E2533" s="11" t="n">
        <x:f>D2533-C2533</x:f>
        <x:v>0</x:v>
      </x:c>
      <x:c r="F2533" s="5" t="str">
        <x:v>nicht Pilot</x:v>
      </x:c>
      <x:c r="G2533" s="5" t="str">
        <x:v>HQ</x:v>
      </x:c>
    </x:row>
    <x:row r="2534" ht="36" customHeight="1">
      <x:c r="A2534" s="5" t="str">
        <x:v>PF-0047</x:v>
      </x:c>
      <x:c r="B2534" s="5" t="str">
        <x:v>Führung und Zusammenarbeit</x:v>
      </x:c>
      <x:c r="C2534" s="11" t="n">
        <x:v>1</x:v>
      </x:c>
      <x:c r="D2534" s="11" t="n">
        <x:f>COUNTIF('Einzel-ID-Zuordnung'!$A$7:$A$2692,A2534)</x:f>
        <x:v>1</x:v>
      </x:c>
      <x:c r="E2534" s="11" t="n">
        <x:f>D2534-C2534</x:f>
        <x:v>0</x:v>
      </x:c>
      <x:c r="F2534" s="5" t="str">
        <x:v>nicht Pilot</x:v>
      </x:c>
      <x:c r="G2534" s="5" t="str">
        <x:v>HQ</x:v>
      </x:c>
    </x:row>
    <x:row r="2535" ht="36" customHeight="1">
      <x:c r="A2535" s="5" t="str">
        <x:v>PF-0048</x:v>
      </x:c>
      <x:c r="B2535" s="5" t="str">
        <x:v>Führung und Zusammenarbeit</x:v>
      </x:c>
      <x:c r="C2535" s="11" t="n">
        <x:v>1</x:v>
      </x:c>
      <x:c r="D2535" s="11" t="n">
        <x:f>COUNTIF('Einzel-ID-Zuordnung'!$A$7:$A$2692,A2535)</x:f>
        <x:v>1</x:v>
      </x:c>
      <x:c r="E2535" s="11" t="n">
        <x:f>D2535-C2535</x:f>
        <x:v>0</x:v>
      </x:c>
      <x:c r="F2535" s="5" t="str">
        <x:v>nicht Pilot</x:v>
      </x:c>
      <x:c r="G2535" s="5" t="str">
        <x:v>HQ</x:v>
      </x:c>
    </x:row>
    <x:row r="2536" ht="36" customHeight="1">
      <x:c r="A2536" s="5" t="str">
        <x:v>PF-0049</x:v>
      </x:c>
      <x:c r="B2536" s="5" t="str">
        <x:v>Führung und Zusammenarbeit</x:v>
      </x:c>
      <x:c r="C2536" s="11" t="n">
        <x:v>1</x:v>
      </x:c>
      <x:c r="D2536" s="11" t="n">
        <x:f>COUNTIF('Einzel-ID-Zuordnung'!$A$7:$A$2692,A2536)</x:f>
        <x:v>1</x:v>
      </x:c>
      <x:c r="E2536" s="11" t="n">
        <x:f>D2536-C2536</x:f>
        <x:v>0</x:v>
      </x:c>
      <x:c r="F2536" s="5" t="str">
        <x:v>nicht Pilot</x:v>
      </x:c>
      <x:c r="G2536" s="5" t="str">
        <x:v>HQ</x:v>
      </x:c>
    </x:row>
    <x:row r="2537" ht="36" customHeight="1">
      <x:c r="A2537" s="5" t="str">
        <x:v>PF-0050</x:v>
      </x:c>
      <x:c r="B2537" s="5" t="str">
        <x:v>Führung und Zusammenarbeit</x:v>
      </x:c>
      <x:c r="C2537" s="11" t="n">
        <x:v>1</x:v>
      </x:c>
      <x:c r="D2537" s="11" t="n">
        <x:f>COUNTIF('Einzel-ID-Zuordnung'!$A$7:$A$2692,A2537)</x:f>
        <x:v>1</x:v>
      </x:c>
      <x:c r="E2537" s="11" t="n">
        <x:f>D2537-C2537</x:f>
        <x:v>0</x:v>
      </x:c>
      <x:c r="F2537" s="5" t="str">
        <x:v>nicht Pilot</x:v>
      </x:c>
      <x:c r="G2537" s="5" t="str">
        <x:v>HQ</x:v>
      </x:c>
    </x:row>
    <x:row r="2538" ht="36" customHeight="1">
      <x:c r="A2538" s="5" t="str">
        <x:v>PF-0051</x:v>
      </x:c>
      <x:c r="B2538" s="5" t="str">
        <x:v>Führung und Zusammenarbeit</x:v>
      </x:c>
      <x:c r="C2538" s="11" t="n">
        <x:v>1</x:v>
      </x:c>
      <x:c r="D2538" s="11" t="n">
        <x:f>COUNTIF('Einzel-ID-Zuordnung'!$A$7:$A$2692,A2538)</x:f>
        <x:v>1</x:v>
      </x:c>
      <x:c r="E2538" s="11" t="n">
        <x:f>D2538-C2538</x:f>
        <x:v>0</x:v>
      </x:c>
      <x:c r="F2538" s="5" t="str">
        <x:v>nicht Pilot</x:v>
      </x:c>
      <x:c r="G2538" s="5" t="str">
        <x:v>HQ</x:v>
      </x:c>
    </x:row>
    <x:row r="2539" ht="36" customHeight="1">
      <x:c r="A2539" s="5" t="str">
        <x:v>PF-0052</x:v>
      </x:c>
      <x:c r="B2539" s="5" t="str">
        <x:v>Führung und Zusammenarbeit</x:v>
      </x:c>
      <x:c r="C2539" s="11" t="n">
        <x:v>1</x:v>
      </x:c>
      <x:c r="D2539" s="11" t="n">
        <x:f>COUNTIF('Einzel-ID-Zuordnung'!$A$7:$A$2692,A2539)</x:f>
        <x:v>1</x:v>
      </x:c>
      <x:c r="E2539" s="11" t="n">
        <x:f>D2539-C2539</x:f>
        <x:v>0</x:v>
      </x:c>
      <x:c r="F2539" s="5" t="str">
        <x:v>nicht Pilot</x:v>
      </x:c>
      <x:c r="G2539" s="5" t="str">
        <x:v>HQ</x:v>
      </x:c>
    </x:row>
    <x:row r="2540" ht="36" customHeight="1">
      <x:c r="A2540" s="5" t="str">
        <x:v>PF-0053</x:v>
      </x:c>
      <x:c r="B2540" s="5" t="str">
        <x:v>Führung und Zusammenarbeit</x:v>
      </x:c>
      <x:c r="C2540" s="11" t="n">
        <x:v>1</x:v>
      </x:c>
      <x:c r="D2540" s="11" t="n">
        <x:f>COUNTIF('Einzel-ID-Zuordnung'!$A$7:$A$2692,A2540)</x:f>
        <x:v>1</x:v>
      </x:c>
      <x:c r="E2540" s="11" t="n">
        <x:f>D2540-C2540</x:f>
        <x:v>0</x:v>
      </x:c>
      <x:c r="F2540" s="5" t="str">
        <x:v>nicht Pilot</x:v>
      </x:c>
      <x:c r="G2540" s="5" t="str">
        <x:v>HQ</x:v>
      </x:c>
    </x:row>
    <x:row r="2541" ht="36" customHeight="1">
      <x:c r="A2541" s="5" t="str">
        <x:v>PF-0054</x:v>
      </x:c>
      <x:c r="B2541" s="5" t="str">
        <x:v>Führung und Zusammenarbeit</x:v>
      </x:c>
      <x:c r="C2541" s="11" t="n">
        <x:v>1</x:v>
      </x:c>
      <x:c r="D2541" s="11" t="n">
        <x:f>COUNTIF('Einzel-ID-Zuordnung'!$A$7:$A$2692,A2541)</x:f>
        <x:v>1</x:v>
      </x:c>
      <x:c r="E2541" s="11" t="n">
        <x:f>D2541-C2541</x:f>
        <x:v>0</x:v>
      </x:c>
      <x:c r="F2541" s="5" t="str">
        <x:v>nicht Pilot</x:v>
      </x:c>
      <x:c r="G2541" s="5" t="str">
        <x:v>HQ</x:v>
      </x:c>
    </x:row>
    <x:row r="2542" ht="36" customHeight="1">
      <x:c r="A2542" s="5" t="str">
        <x:v>PF-0055</x:v>
      </x:c>
      <x:c r="B2542" s="5" t="str">
        <x:v>Führung und Zusammenarbeit</x:v>
      </x:c>
      <x:c r="C2542" s="11" t="n">
        <x:v>1</x:v>
      </x:c>
      <x:c r="D2542" s="11" t="n">
        <x:f>COUNTIF('Einzel-ID-Zuordnung'!$A$7:$A$2692,A2542)</x:f>
        <x:v>1</x:v>
      </x:c>
      <x:c r="E2542" s="11" t="n">
        <x:f>D2542-C2542</x:f>
        <x:v>0</x:v>
      </x:c>
      <x:c r="F2542" s="5" t="str">
        <x:v>nicht Pilot</x:v>
      </x:c>
      <x:c r="G2542" s="5" t="str">
        <x:v>HQ</x:v>
      </x:c>
    </x:row>
    <x:row r="2543" ht="36" customHeight="1">
      <x:c r="A2543" s="5" t="str">
        <x:v>PF-0056</x:v>
      </x:c>
      <x:c r="B2543" s="5" t="str">
        <x:v>Führung und Zusammenarbeit</x:v>
      </x:c>
      <x:c r="C2543" s="11" t="n">
        <x:v>1</x:v>
      </x:c>
      <x:c r="D2543" s="11" t="n">
        <x:f>COUNTIF('Einzel-ID-Zuordnung'!$A$7:$A$2692,A2543)</x:f>
        <x:v>1</x:v>
      </x:c>
      <x:c r="E2543" s="11" t="n">
        <x:f>D2543-C2543</x:f>
        <x:v>0</x:v>
      </x:c>
      <x:c r="F2543" s="5" t="str">
        <x:v>nicht Pilot</x:v>
      </x:c>
      <x:c r="G2543" s="5" t="str">
        <x:v>HQ</x:v>
      </x:c>
    </x:row>
    <x:row r="2544" ht="36" customHeight="1">
      <x:c r="A2544" s="5" t="str">
        <x:v>PF-0057</x:v>
      </x:c>
      <x:c r="B2544" s="5" t="str">
        <x:v>Führung und Zusammenarbeit</x:v>
      </x:c>
      <x:c r="C2544" s="11" t="n">
        <x:v>1</x:v>
      </x:c>
      <x:c r="D2544" s="11" t="n">
        <x:f>COUNTIF('Einzel-ID-Zuordnung'!$A$7:$A$2692,A2544)</x:f>
        <x:v>1</x:v>
      </x:c>
      <x:c r="E2544" s="11" t="n">
        <x:f>D2544-C2544</x:f>
        <x:v>0</x:v>
      </x:c>
      <x:c r="F2544" s="5" t="str">
        <x:v>nicht Pilot</x:v>
      </x:c>
      <x:c r="G2544" s="5" t="str">
        <x:v>HQ</x:v>
      </x:c>
    </x:row>
    <x:row r="2545" ht="36" customHeight="1">
      <x:c r="A2545" s="5" t="str">
        <x:v>PF-0058</x:v>
      </x:c>
      <x:c r="B2545" s="5" t="str">
        <x:v>Führung und Zusammenarbeit</x:v>
      </x:c>
      <x:c r="C2545" s="11" t="n">
        <x:v>1</x:v>
      </x:c>
      <x:c r="D2545" s="11" t="n">
        <x:f>COUNTIF('Einzel-ID-Zuordnung'!$A$7:$A$2692,A2545)</x:f>
        <x:v>1</x:v>
      </x:c>
      <x:c r="E2545" s="11" t="n">
        <x:f>D2545-C2545</x:f>
        <x:v>0</x:v>
      </x:c>
      <x:c r="F2545" s="5" t="str">
        <x:v>nicht Pilot</x:v>
      </x:c>
      <x:c r="G2545" s="5" t="str">
        <x:v>HQ</x:v>
      </x:c>
    </x:row>
    <x:row r="2546" ht="36" customHeight="1">
      <x:c r="A2546" s="5" t="str">
        <x:v>PF-0059</x:v>
      </x:c>
      <x:c r="B2546" s="5" t="str">
        <x:v>Führung und Zusammenarbeit</x:v>
      </x:c>
      <x:c r="C2546" s="11" t="n">
        <x:v>1</x:v>
      </x:c>
      <x:c r="D2546" s="11" t="n">
        <x:f>COUNTIF('Einzel-ID-Zuordnung'!$A$7:$A$2692,A2546)</x:f>
        <x:v>1</x:v>
      </x:c>
      <x:c r="E2546" s="11" t="n">
        <x:f>D2546-C2546</x:f>
        <x:v>0</x:v>
      </x:c>
      <x:c r="F2546" s="5" t="str">
        <x:v>nicht Pilot</x:v>
      </x:c>
      <x:c r="G2546" s="5" t="str">
        <x:v>HQ</x:v>
      </x:c>
    </x:row>
    <x:row r="2547" ht="36" customHeight="1">
      <x:c r="A2547" s="5" t="str">
        <x:v>PF-0060</x:v>
      </x:c>
      <x:c r="B2547" s="5" t="str">
        <x:v>Führung und Zusammenarbeit</x:v>
      </x:c>
      <x:c r="C2547" s="11" t="n">
        <x:v>1</x:v>
      </x:c>
      <x:c r="D2547" s="11" t="n">
        <x:f>COUNTIF('Einzel-ID-Zuordnung'!$A$7:$A$2692,A2547)</x:f>
        <x:v>1</x:v>
      </x:c>
      <x:c r="E2547" s="11" t="n">
        <x:f>D2547-C2547</x:f>
        <x:v>0</x:v>
      </x:c>
      <x:c r="F2547" s="5" t="str">
        <x:v>nicht Pilot</x:v>
      </x:c>
      <x:c r="G2547" s="5" t="str">
        <x:v>HQ</x:v>
      </x:c>
    </x:row>
    <x:row r="2548" ht="36" customHeight="1">
      <x:c r="A2548" s="5" t="str">
        <x:v>PF-0061</x:v>
      </x:c>
      <x:c r="B2548" s="5" t="str">
        <x:v>Führung und Zusammenarbeit</x:v>
      </x:c>
      <x:c r="C2548" s="11" t="n">
        <x:v>1</x:v>
      </x:c>
      <x:c r="D2548" s="11" t="n">
        <x:f>COUNTIF('Einzel-ID-Zuordnung'!$A$7:$A$2692,A2548)</x:f>
        <x:v>1</x:v>
      </x:c>
      <x:c r="E2548" s="11" t="n">
        <x:f>D2548-C2548</x:f>
        <x:v>0</x:v>
      </x:c>
      <x:c r="F2548" s="5" t="str">
        <x:v>nicht Pilot</x:v>
      </x:c>
      <x:c r="G2548" s="5" t="str">
        <x:v>HQ</x:v>
      </x:c>
    </x:row>
    <x:row r="2549" ht="36" customHeight="1">
      <x:c r="A2549" s="5" t="str">
        <x:v>PF-0062</x:v>
      </x:c>
      <x:c r="B2549" s="5" t="str">
        <x:v>Führung und Zusammenarbeit</x:v>
      </x:c>
      <x:c r="C2549" s="11" t="n">
        <x:v>1</x:v>
      </x:c>
      <x:c r="D2549" s="11" t="n">
        <x:f>COUNTIF('Einzel-ID-Zuordnung'!$A$7:$A$2692,A2549)</x:f>
        <x:v>1</x:v>
      </x:c>
      <x:c r="E2549" s="11" t="n">
        <x:f>D2549-C2549</x:f>
        <x:v>0</x:v>
      </x:c>
      <x:c r="F2549" s="5" t="str">
        <x:v>nicht Pilot</x:v>
      </x:c>
      <x:c r="G2549" s="5" t="str">
        <x:v>HQ</x:v>
      </x:c>
    </x:row>
    <x:row r="2550" ht="36" customHeight="1">
      <x:c r="A2550" s="5" t="str">
        <x:v>PF-0063</x:v>
      </x:c>
      <x:c r="B2550" s="5" t="str">
        <x:v>Führung und Zusammenarbeit</x:v>
      </x:c>
      <x:c r="C2550" s="11" t="n">
        <x:v>1</x:v>
      </x:c>
      <x:c r="D2550" s="11" t="n">
        <x:f>COUNTIF('Einzel-ID-Zuordnung'!$A$7:$A$2692,A2550)</x:f>
        <x:v>1</x:v>
      </x:c>
      <x:c r="E2550" s="11" t="n">
        <x:f>D2550-C2550</x:f>
        <x:v>0</x:v>
      </x:c>
      <x:c r="F2550" s="5" t="str">
        <x:v>nicht Pilot</x:v>
      </x:c>
      <x:c r="G2550" s="5" t="str">
        <x:v>HQ</x:v>
      </x:c>
    </x:row>
    <x:row r="2551" ht="36" customHeight="1">
      <x:c r="A2551" s="5" t="str">
        <x:v>PF-0064</x:v>
      </x:c>
      <x:c r="B2551" s="5" t="str">
        <x:v>Führung und Zusammenarbeit</x:v>
      </x:c>
      <x:c r="C2551" s="11" t="n">
        <x:v>1</x:v>
      </x:c>
      <x:c r="D2551" s="11" t="n">
        <x:f>COUNTIF('Einzel-ID-Zuordnung'!$A$7:$A$2692,A2551)</x:f>
        <x:v>1</x:v>
      </x:c>
      <x:c r="E2551" s="11" t="n">
        <x:f>D2551-C2551</x:f>
        <x:v>0</x:v>
      </x:c>
      <x:c r="F2551" s="5" t="str">
        <x:v>nicht Pilot</x:v>
      </x:c>
      <x:c r="G2551" s="5" t="str">
        <x:v>HQ</x:v>
      </x:c>
    </x:row>
    <x:row r="2552" ht="36" customHeight="1">
      <x:c r="A2552" s="5" t="str">
        <x:v>PF-0065</x:v>
      </x:c>
      <x:c r="B2552" s="5" t="str">
        <x:v>Führung und Zusammenarbeit</x:v>
      </x:c>
      <x:c r="C2552" s="11" t="n">
        <x:v>1</x:v>
      </x:c>
      <x:c r="D2552" s="11" t="n">
        <x:f>COUNTIF('Einzel-ID-Zuordnung'!$A$7:$A$2692,A2552)</x:f>
        <x:v>1</x:v>
      </x:c>
      <x:c r="E2552" s="11" t="n">
        <x:f>D2552-C2552</x:f>
        <x:v>0</x:v>
      </x:c>
      <x:c r="F2552" s="5" t="str">
        <x:v>nicht Pilot</x:v>
      </x:c>
      <x:c r="G2552" s="5" t="str">
        <x:v>HQ</x:v>
      </x:c>
    </x:row>
    <x:row r="2553" ht="36" customHeight="1">
      <x:c r="A2553" s="5" t="str">
        <x:v>PF-0066</x:v>
      </x:c>
      <x:c r="B2553" s="5" t="str">
        <x:v>Führung und Zusammenarbeit</x:v>
      </x:c>
      <x:c r="C2553" s="11" t="n">
        <x:v>1</x:v>
      </x:c>
      <x:c r="D2553" s="11" t="n">
        <x:f>COUNTIF('Einzel-ID-Zuordnung'!$A$7:$A$2692,A2553)</x:f>
        <x:v>1</x:v>
      </x:c>
      <x:c r="E2553" s="11" t="n">
        <x:f>D2553-C2553</x:f>
        <x:v>0</x:v>
      </x:c>
      <x:c r="F2553" s="5" t="str">
        <x:v>nicht Pilot</x:v>
      </x:c>
      <x:c r="G2553" s="5" t="str">
        <x:v>HQ</x:v>
      </x:c>
    </x:row>
    <x:row r="2554" ht="36" customHeight="1">
      <x:c r="A2554" s="5" t="str">
        <x:v>PF-0067</x:v>
      </x:c>
      <x:c r="B2554" s="5" t="str">
        <x:v>Führung und Zusammenarbeit</x:v>
      </x:c>
      <x:c r="C2554" s="11" t="n">
        <x:v>1</x:v>
      </x:c>
      <x:c r="D2554" s="11" t="n">
        <x:f>COUNTIF('Einzel-ID-Zuordnung'!$A$7:$A$2692,A2554)</x:f>
        <x:v>1</x:v>
      </x:c>
      <x:c r="E2554" s="11" t="n">
        <x:f>D2554-C2554</x:f>
        <x:v>0</x:v>
      </x:c>
      <x:c r="F2554" s="5" t="str">
        <x:v>nicht Pilot</x:v>
      </x:c>
      <x:c r="G2554" s="5" t="str">
        <x:v>HQ</x:v>
      </x:c>
    </x:row>
    <x:row r="2555" ht="36" customHeight="1">
      <x:c r="A2555" s="5" t="str">
        <x:v>PF-0068</x:v>
      </x:c>
      <x:c r="B2555" s="5" t="str">
        <x:v>Führung und Zusammenarbeit</x:v>
      </x:c>
      <x:c r="C2555" s="11" t="n">
        <x:v>1</x:v>
      </x:c>
      <x:c r="D2555" s="11" t="n">
        <x:f>COUNTIF('Einzel-ID-Zuordnung'!$A$7:$A$2692,A2555)</x:f>
        <x:v>1</x:v>
      </x:c>
      <x:c r="E2555" s="11" t="n">
        <x:f>D2555-C2555</x:f>
        <x:v>0</x:v>
      </x:c>
      <x:c r="F2555" s="5" t="str">
        <x:v>nicht Pilot</x:v>
      </x:c>
      <x:c r="G2555" s="5" t="str">
        <x:v>HQ</x:v>
      </x:c>
    </x:row>
    <x:row r="2556" ht="36" customHeight="1">
      <x:c r="A2556" s="5" t="str">
        <x:v>PF-0069</x:v>
      </x:c>
      <x:c r="B2556" s="5" t="str">
        <x:v>Führung und Zusammenarbeit</x:v>
      </x:c>
      <x:c r="C2556" s="11" t="n">
        <x:v>1</x:v>
      </x:c>
      <x:c r="D2556" s="11" t="n">
        <x:f>COUNTIF('Einzel-ID-Zuordnung'!$A$7:$A$2692,A2556)</x:f>
        <x:v>1</x:v>
      </x:c>
      <x:c r="E2556" s="11" t="n">
        <x:f>D2556-C2556</x:f>
        <x:v>0</x:v>
      </x:c>
      <x:c r="F2556" s="5" t="str">
        <x:v>nicht Pilot</x:v>
      </x:c>
      <x:c r="G2556" s="5" t="str">
        <x:v>HQ</x:v>
      </x:c>
    </x:row>
    <x:row r="2557" ht="36" customHeight="1">
      <x:c r="A2557" s="5" t="str">
        <x:v>PF-0070</x:v>
      </x:c>
      <x:c r="B2557" s="5" t="str">
        <x:v>Führung und Zusammenarbeit</x:v>
      </x:c>
      <x:c r="C2557" s="11" t="n">
        <x:v>1</x:v>
      </x:c>
      <x:c r="D2557" s="11" t="n">
        <x:f>COUNTIF('Einzel-ID-Zuordnung'!$A$7:$A$2692,A2557)</x:f>
        <x:v>1</x:v>
      </x:c>
      <x:c r="E2557" s="11" t="n">
        <x:f>D2557-C2557</x:f>
        <x:v>0</x:v>
      </x:c>
      <x:c r="F2557" s="5" t="str">
        <x:v>nicht Pilot</x:v>
      </x:c>
      <x:c r="G2557" s="5" t="str">
        <x:v>HQ</x:v>
      </x:c>
    </x:row>
    <x:row r="2558" ht="36" customHeight="1">
      <x:c r="A2558" s="5" t="str">
        <x:v>PF-0071</x:v>
      </x:c>
      <x:c r="B2558" s="5" t="str">
        <x:v>Führung und Zusammenarbeit</x:v>
      </x:c>
      <x:c r="C2558" s="11" t="n">
        <x:v>1</x:v>
      </x:c>
      <x:c r="D2558" s="11" t="n">
        <x:f>COUNTIF('Einzel-ID-Zuordnung'!$A$7:$A$2692,A2558)</x:f>
        <x:v>1</x:v>
      </x:c>
      <x:c r="E2558" s="11" t="n">
        <x:f>D2558-C2558</x:f>
        <x:v>0</x:v>
      </x:c>
      <x:c r="F2558" s="5" t="str">
        <x:v>nicht Pilot</x:v>
      </x:c>
      <x:c r="G2558" s="5" t="str">
        <x:v>HQ</x:v>
      </x:c>
    </x:row>
    <x:row r="2559" ht="36" customHeight="1">
      <x:c r="A2559" s="5" t="str">
        <x:v>PF-0072</x:v>
      </x:c>
      <x:c r="B2559" s="5" t="str">
        <x:v>Führung und Zusammenarbeit</x:v>
      </x:c>
      <x:c r="C2559" s="11" t="n">
        <x:v>1</x:v>
      </x:c>
      <x:c r="D2559" s="11" t="n">
        <x:f>COUNTIF('Einzel-ID-Zuordnung'!$A$7:$A$2692,A2559)</x:f>
        <x:v>1</x:v>
      </x:c>
      <x:c r="E2559" s="11" t="n">
        <x:f>D2559-C2559</x:f>
        <x:v>0</x:v>
      </x:c>
      <x:c r="F2559" s="5" t="str">
        <x:v>nicht Pilot</x:v>
      </x:c>
      <x:c r="G2559" s="5" t="str">
        <x:v>HQ</x:v>
      </x:c>
    </x:row>
    <x:row r="2560" ht="36" customHeight="1">
      <x:c r="A2560" s="5" t="str">
        <x:v>PF-0073</x:v>
      </x:c>
      <x:c r="B2560" s="5" t="str">
        <x:v>Führung und Zusammenarbeit</x:v>
      </x:c>
      <x:c r="C2560" s="11" t="n">
        <x:v>1</x:v>
      </x:c>
      <x:c r="D2560" s="11" t="n">
        <x:f>COUNTIF('Einzel-ID-Zuordnung'!$A$7:$A$2692,A2560)</x:f>
        <x:v>1</x:v>
      </x:c>
      <x:c r="E2560" s="11" t="n">
        <x:f>D2560-C2560</x:f>
        <x:v>0</x:v>
      </x:c>
      <x:c r="F2560" s="5" t="str">
        <x:v>nicht Pilot</x:v>
      </x:c>
      <x:c r="G2560" s="5" t="str">
        <x:v>HQ</x:v>
      </x:c>
    </x:row>
    <x:row r="2561" ht="36" customHeight="1">
      <x:c r="A2561" s="5" t="str">
        <x:v>PF-0074</x:v>
      </x:c>
      <x:c r="B2561" s="5" t="str">
        <x:v>Führung und Zusammenarbeit</x:v>
      </x:c>
      <x:c r="C2561" s="11" t="n">
        <x:v>1</x:v>
      </x:c>
      <x:c r="D2561" s="11" t="n">
        <x:f>COUNTIF('Einzel-ID-Zuordnung'!$A$7:$A$2692,A2561)</x:f>
        <x:v>1</x:v>
      </x:c>
      <x:c r="E2561" s="11" t="n">
        <x:f>D2561-C2561</x:f>
        <x:v>0</x:v>
      </x:c>
      <x:c r="F2561" s="5" t="str">
        <x:v>nicht Pilot</x:v>
      </x:c>
      <x:c r="G2561" s="5" t="str">
        <x:v>HQ</x:v>
      </x:c>
    </x:row>
    <x:row r="2562" ht="36" customHeight="1">
      <x:c r="A2562" s="5" t="str">
        <x:v>PF-0075</x:v>
      </x:c>
      <x:c r="B2562" s="5" t="str">
        <x:v>Führung und Zusammenarbeit</x:v>
      </x:c>
      <x:c r="C2562" s="11" t="n">
        <x:v>1</x:v>
      </x:c>
      <x:c r="D2562" s="11" t="n">
        <x:f>COUNTIF('Einzel-ID-Zuordnung'!$A$7:$A$2692,A2562)</x:f>
        <x:v>1</x:v>
      </x:c>
      <x:c r="E2562" s="11" t="n">
        <x:f>D2562-C2562</x:f>
        <x:v>0</x:v>
      </x:c>
      <x:c r="F2562" s="5" t="str">
        <x:v>nicht Pilot</x:v>
      </x:c>
      <x:c r="G2562" s="5" t="str">
        <x:v>HQ</x:v>
      </x:c>
    </x:row>
    <x:row r="2563" ht="36" customHeight="1">
      <x:c r="A2563" s="5" t="str">
        <x:v>PF-0076</x:v>
      </x:c>
      <x:c r="B2563" s="5" t="str">
        <x:v>Führung und Zusammenarbeit</x:v>
      </x:c>
      <x:c r="C2563" s="11" t="n">
        <x:v>1</x:v>
      </x:c>
      <x:c r="D2563" s="11" t="n">
        <x:f>COUNTIF('Einzel-ID-Zuordnung'!$A$7:$A$2692,A2563)</x:f>
        <x:v>1</x:v>
      </x:c>
      <x:c r="E2563" s="11" t="n">
        <x:f>D2563-C2563</x:f>
        <x:v>0</x:v>
      </x:c>
      <x:c r="F2563" s="5" t="str">
        <x:v>nicht Pilot</x:v>
      </x:c>
      <x:c r="G2563" s="5" t="str">
        <x:v>HQ</x:v>
      </x:c>
    </x:row>
    <x:row r="2564" ht="36" customHeight="1">
      <x:c r="A2564" s="5" t="str">
        <x:v>PF-0077</x:v>
      </x:c>
      <x:c r="B2564" s="5" t="str">
        <x:v>Führung und Zusammenarbeit</x:v>
      </x:c>
      <x:c r="C2564" s="11" t="n">
        <x:v>1</x:v>
      </x:c>
      <x:c r="D2564" s="11" t="n">
        <x:f>COUNTIF('Einzel-ID-Zuordnung'!$A$7:$A$2692,A2564)</x:f>
        <x:v>1</x:v>
      </x:c>
      <x:c r="E2564" s="11" t="n">
        <x:f>D2564-C2564</x:f>
        <x:v>0</x:v>
      </x:c>
      <x:c r="F2564" s="5" t="str">
        <x:v>nicht Pilot</x:v>
      </x:c>
      <x:c r="G2564" s="5" t="str">
        <x:v>HQ</x:v>
      </x:c>
    </x:row>
    <x:row r="2565" ht="36" customHeight="1">
      <x:c r="A2565" s="5" t="str">
        <x:v>PF-0078</x:v>
      </x:c>
      <x:c r="B2565" s="5" t="str">
        <x:v>Führung und Zusammenarbeit</x:v>
      </x:c>
      <x:c r="C2565" s="11" t="n">
        <x:v>1</x:v>
      </x:c>
      <x:c r="D2565" s="11" t="n">
        <x:f>COUNTIF('Einzel-ID-Zuordnung'!$A$7:$A$2692,A2565)</x:f>
        <x:v>1</x:v>
      </x:c>
      <x:c r="E2565" s="11" t="n">
        <x:f>D2565-C2565</x:f>
        <x:v>0</x:v>
      </x:c>
      <x:c r="F2565" s="5" t="str">
        <x:v>nicht Pilot</x:v>
      </x:c>
      <x:c r="G2565" s="5" t="str">
        <x:v>HQ</x:v>
      </x:c>
    </x:row>
    <x:row r="2566" ht="36" customHeight="1">
      <x:c r="A2566" s="5" t="str">
        <x:v>PF-0079</x:v>
      </x:c>
      <x:c r="B2566" s="5" t="str">
        <x:v>Führung und Zusammenarbeit</x:v>
      </x:c>
      <x:c r="C2566" s="11" t="n">
        <x:v>1</x:v>
      </x:c>
      <x:c r="D2566" s="11" t="n">
        <x:f>COUNTIF('Einzel-ID-Zuordnung'!$A$7:$A$2692,A2566)</x:f>
        <x:v>1</x:v>
      </x:c>
      <x:c r="E2566" s="11" t="n">
        <x:f>D2566-C2566</x:f>
        <x:v>0</x:v>
      </x:c>
      <x:c r="F2566" s="5" t="str">
        <x:v>nicht Pilot</x:v>
      </x:c>
      <x:c r="G2566" s="5" t="str">
        <x:v>HQ</x:v>
      </x:c>
    </x:row>
    <x:row r="2567" ht="36" customHeight="1">
      <x:c r="A2567" s="5" t="str">
        <x:v>PF-0080</x:v>
      </x:c>
      <x:c r="B2567" s="5" t="str">
        <x:v>Führung und Zusammenarbeit</x:v>
      </x:c>
      <x:c r="C2567" s="11" t="n">
        <x:v>1</x:v>
      </x:c>
      <x:c r="D2567" s="11" t="n">
        <x:f>COUNTIF('Einzel-ID-Zuordnung'!$A$7:$A$2692,A2567)</x:f>
        <x:v>1</x:v>
      </x:c>
      <x:c r="E2567" s="11" t="n">
        <x:f>D2567-C2567</x:f>
        <x:v>0</x:v>
      </x:c>
      <x:c r="F2567" s="5" t="str">
        <x:v>nicht Pilot</x:v>
      </x:c>
      <x:c r="G2567" s="5" t="str">
        <x:v>HQ</x:v>
      </x:c>
    </x:row>
    <x:row r="2568" ht="36" customHeight="1">
      <x:c r="A2568" s="5" t="str">
        <x:v>PF-0081</x:v>
      </x:c>
      <x:c r="B2568" s="5" t="str">
        <x:v>Führung und Zusammenarbeit</x:v>
      </x:c>
      <x:c r="C2568" s="11" t="n">
        <x:v>1</x:v>
      </x:c>
      <x:c r="D2568" s="11" t="n">
        <x:f>COUNTIF('Einzel-ID-Zuordnung'!$A$7:$A$2692,A2568)</x:f>
        <x:v>1</x:v>
      </x:c>
      <x:c r="E2568" s="11" t="n">
        <x:f>D2568-C2568</x:f>
        <x:v>0</x:v>
      </x:c>
      <x:c r="F2568" s="5" t="str">
        <x:v>nicht Pilot</x:v>
      </x:c>
      <x:c r="G2568" s="5" t="str">
        <x:v>HQ</x:v>
      </x:c>
    </x:row>
    <x:row r="2569" ht="36" customHeight="1">
      <x:c r="A2569" s="5" t="str">
        <x:v>PF-0082</x:v>
      </x:c>
      <x:c r="B2569" s="5" t="str">
        <x:v>Führung und Zusammenarbeit</x:v>
      </x:c>
      <x:c r="C2569" s="11" t="n">
        <x:v>1</x:v>
      </x:c>
      <x:c r="D2569" s="11" t="n">
        <x:f>COUNTIF('Einzel-ID-Zuordnung'!$A$7:$A$2692,A2569)</x:f>
        <x:v>1</x:v>
      </x:c>
      <x:c r="E2569" s="11" t="n">
        <x:f>D2569-C2569</x:f>
        <x:v>0</x:v>
      </x:c>
      <x:c r="F2569" s="5" t="str">
        <x:v>nicht Pilot</x:v>
      </x:c>
      <x:c r="G2569" s="5" t="str">
        <x:v>HQ</x:v>
      </x:c>
    </x:row>
    <x:row r="2570" ht="36" customHeight="1">
      <x:c r="A2570" s="5" t="str">
        <x:v>PF-0083</x:v>
      </x:c>
      <x:c r="B2570" s="5" t="str">
        <x:v>Führung und Zusammenarbeit</x:v>
      </x:c>
      <x:c r="C2570" s="11" t="n">
        <x:v>1</x:v>
      </x:c>
      <x:c r="D2570" s="11" t="n">
        <x:f>COUNTIF('Einzel-ID-Zuordnung'!$A$7:$A$2692,A2570)</x:f>
        <x:v>1</x:v>
      </x:c>
      <x:c r="E2570" s="11" t="n">
        <x:f>D2570-C2570</x:f>
        <x:v>0</x:v>
      </x:c>
      <x:c r="F2570" s="5" t="str">
        <x:v>nicht Pilot</x:v>
      </x:c>
      <x:c r="G2570" s="5" t="str">
        <x:v>HQ</x:v>
      </x:c>
    </x:row>
    <x:row r="2571" ht="36" customHeight="1">
      <x:c r="A2571" s="5" t="str">
        <x:v>PF-0084</x:v>
      </x:c>
      <x:c r="B2571" s="5" t="str">
        <x:v>Führung und Zusammenarbeit</x:v>
      </x:c>
      <x:c r="C2571" s="11" t="n">
        <x:v>1</x:v>
      </x:c>
      <x:c r="D2571" s="11" t="n">
        <x:f>COUNTIF('Einzel-ID-Zuordnung'!$A$7:$A$2692,A2571)</x:f>
        <x:v>1</x:v>
      </x:c>
      <x:c r="E2571" s="11" t="n">
        <x:f>D2571-C2571</x:f>
        <x:v>0</x:v>
      </x:c>
      <x:c r="F2571" s="5" t="str">
        <x:v>nicht Pilot</x:v>
      </x:c>
      <x:c r="G2571" s="5" t="str">
        <x:v>HQ</x:v>
      </x:c>
    </x:row>
    <x:row r="2572" ht="36" customHeight="1">
      <x:c r="A2572" s="5" t="str">
        <x:v>PF-0085</x:v>
      </x:c>
      <x:c r="B2572" s="5" t="str">
        <x:v>Führung und Zusammenarbeit</x:v>
      </x:c>
      <x:c r="C2572" s="11" t="n">
        <x:v>1</x:v>
      </x:c>
      <x:c r="D2572" s="11" t="n">
        <x:f>COUNTIF('Einzel-ID-Zuordnung'!$A$7:$A$2692,A2572)</x:f>
        <x:v>1</x:v>
      </x:c>
      <x:c r="E2572" s="11" t="n">
        <x:f>D2572-C2572</x:f>
        <x:v>0</x:v>
      </x:c>
      <x:c r="F2572" s="5" t="str">
        <x:v>nicht Pilot</x:v>
      </x:c>
      <x:c r="G2572" s="5" t="str">
        <x:v>HQ</x:v>
      </x:c>
    </x:row>
    <x:row r="2573" ht="36" customHeight="1">
      <x:c r="A2573" s="5" t="str">
        <x:v>PF-0086</x:v>
      </x:c>
      <x:c r="B2573" s="5" t="str">
        <x:v>Führung und Zusammenarbeit</x:v>
      </x:c>
      <x:c r="C2573" s="11" t="n">
        <x:v>1</x:v>
      </x:c>
      <x:c r="D2573" s="11" t="n">
        <x:f>COUNTIF('Einzel-ID-Zuordnung'!$A$7:$A$2692,A2573)</x:f>
        <x:v>1</x:v>
      </x:c>
      <x:c r="E2573" s="11" t="n">
        <x:f>D2573-C2573</x:f>
        <x:v>0</x:v>
      </x:c>
      <x:c r="F2573" s="5" t="str">
        <x:v>nicht Pilot</x:v>
      </x:c>
      <x:c r="G2573" s="5" t="str">
        <x:v>HQ</x:v>
      </x:c>
    </x:row>
    <x:row r="2574" ht="36" customHeight="1">
      <x:c r="A2574" s="5" t="str">
        <x:v>PF-0087</x:v>
      </x:c>
      <x:c r="B2574" s="5" t="str">
        <x:v>Führung und Zusammenarbeit</x:v>
      </x:c>
      <x:c r="C2574" s="11" t="n">
        <x:v>1</x:v>
      </x:c>
      <x:c r="D2574" s="11" t="n">
        <x:f>COUNTIF('Einzel-ID-Zuordnung'!$A$7:$A$2692,A2574)</x:f>
        <x:v>1</x:v>
      </x:c>
      <x:c r="E2574" s="11" t="n">
        <x:f>D2574-C2574</x:f>
        <x:v>0</x:v>
      </x:c>
      <x:c r="F2574" s="5" t="str">
        <x:v>nicht Pilot</x:v>
      </x:c>
      <x:c r="G2574" s="5" t="str">
        <x:v>HQ</x:v>
      </x:c>
    </x:row>
    <x:row r="2575" ht="36" customHeight="1">
      <x:c r="A2575" s="5" t="str">
        <x:v>PF-0088</x:v>
      </x:c>
      <x:c r="B2575" s="5" t="str">
        <x:v>Führung und Zusammenarbeit</x:v>
      </x:c>
      <x:c r="C2575" s="11" t="n">
        <x:v>1</x:v>
      </x:c>
      <x:c r="D2575" s="11" t="n">
        <x:f>COUNTIF('Einzel-ID-Zuordnung'!$A$7:$A$2692,A2575)</x:f>
        <x:v>1</x:v>
      </x:c>
      <x:c r="E2575" s="11" t="n">
        <x:f>D2575-C2575</x:f>
        <x:v>0</x:v>
      </x:c>
      <x:c r="F2575" s="5" t="str">
        <x:v>nicht Pilot</x:v>
      </x:c>
      <x:c r="G2575" s="5" t="str">
        <x:v>HQ</x:v>
      </x:c>
    </x:row>
    <x:row r="2576" ht="36" customHeight="1">
      <x:c r="A2576" s="5" t="str">
        <x:v>PF-0089</x:v>
      </x:c>
      <x:c r="B2576" s="5" t="str">
        <x:v>Führung und Zusammenarbeit</x:v>
      </x:c>
      <x:c r="C2576" s="11" t="n">
        <x:v>1</x:v>
      </x:c>
      <x:c r="D2576" s="11" t="n">
        <x:f>COUNTIF('Einzel-ID-Zuordnung'!$A$7:$A$2692,A2576)</x:f>
        <x:v>1</x:v>
      </x:c>
      <x:c r="E2576" s="11" t="n">
        <x:f>D2576-C2576</x:f>
        <x:v>0</x:v>
      </x:c>
      <x:c r="F2576" s="5" t="str">
        <x:v>nicht Pilot</x:v>
      </x:c>
      <x:c r="G2576" s="5" t="str">
        <x:v>HQ</x:v>
      </x:c>
    </x:row>
    <x:row r="2577" ht="36" customHeight="1">
      <x:c r="A2577" s="5" t="str">
        <x:v>PF-0090</x:v>
      </x:c>
      <x:c r="B2577" s="5" t="str">
        <x:v>Führung und Zusammenarbeit</x:v>
      </x:c>
      <x:c r="C2577" s="11" t="n">
        <x:v>1</x:v>
      </x:c>
      <x:c r="D2577" s="11" t="n">
        <x:f>COUNTIF('Einzel-ID-Zuordnung'!$A$7:$A$2692,A2577)</x:f>
        <x:v>1</x:v>
      </x:c>
      <x:c r="E2577" s="11" t="n">
        <x:f>D2577-C2577</x:f>
        <x:v>0</x:v>
      </x:c>
      <x:c r="F2577" s="5" t="str">
        <x:v>nicht Pilot</x:v>
      </x:c>
      <x:c r="G2577" s="5" t="str">
        <x:v>HQ</x:v>
      </x:c>
    </x:row>
    <x:row r="2578" ht="36" customHeight="1">
      <x:c r="A2578" s="5" t="str">
        <x:v>PF-0091</x:v>
      </x:c>
      <x:c r="B2578" s="5" t="str">
        <x:v>Führung und Zusammenarbeit</x:v>
      </x:c>
      <x:c r="C2578" s="11" t="n">
        <x:v>1</x:v>
      </x:c>
      <x:c r="D2578" s="11" t="n">
        <x:f>COUNTIF('Einzel-ID-Zuordnung'!$A$7:$A$2692,A2578)</x:f>
        <x:v>1</x:v>
      </x:c>
      <x:c r="E2578" s="11" t="n">
        <x:f>D2578-C2578</x:f>
        <x:v>0</x:v>
      </x:c>
      <x:c r="F2578" s="5" t="str">
        <x:v>nicht Pilot</x:v>
      </x:c>
      <x:c r="G2578" s="5" t="str">
        <x:v>HQ</x:v>
      </x:c>
    </x:row>
    <x:row r="2579" ht="36" customHeight="1">
      <x:c r="A2579" s="5" t="str">
        <x:v>PF-0092</x:v>
      </x:c>
      <x:c r="B2579" s="5" t="str">
        <x:v>Führung und Zusammenarbeit</x:v>
      </x:c>
      <x:c r="C2579" s="11" t="n">
        <x:v>1</x:v>
      </x:c>
      <x:c r="D2579" s="11" t="n">
        <x:f>COUNTIF('Einzel-ID-Zuordnung'!$A$7:$A$2692,A2579)</x:f>
        <x:v>1</x:v>
      </x:c>
      <x:c r="E2579" s="11" t="n">
        <x:f>D2579-C2579</x:f>
        <x:v>0</x:v>
      </x:c>
      <x:c r="F2579" s="5" t="str">
        <x:v>nicht Pilot</x:v>
      </x:c>
      <x:c r="G2579" s="5" t="str">
        <x:v>HQ</x:v>
      </x:c>
    </x:row>
    <x:row r="2580" ht="36" customHeight="1">
      <x:c r="A2580" s="5" t="str">
        <x:v>PF-0093</x:v>
      </x:c>
      <x:c r="B2580" s="5" t="str">
        <x:v>Führung und Zusammenarbeit</x:v>
      </x:c>
      <x:c r="C2580" s="11" t="n">
        <x:v>1</x:v>
      </x:c>
      <x:c r="D2580" s="11" t="n">
        <x:f>COUNTIF('Einzel-ID-Zuordnung'!$A$7:$A$2692,A2580)</x:f>
        <x:v>1</x:v>
      </x:c>
      <x:c r="E2580" s="11" t="n">
        <x:f>D2580-C2580</x:f>
        <x:v>0</x:v>
      </x:c>
      <x:c r="F2580" s="5" t="str">
        <x:v>nicht Pilot</x:v>
      </x:c>
      <x:c r="G2580" s="5" t="str">
        <x:v>HQ</x:v>
      </x:c>
    </x:row>
    <x:row r="2581" ht="36" customHeight="1">
      <x:c r="A2581" s="5" t="str">
        <x:v>PF-0094</x:v>
      </x:c>
      <x:c r="B2581" s="5" t="str">
        <x:v>Führung und Zusammenarbeit</x:v>
      </x:c>
      <x:c r="C2581" s="11" t="n">
        <x:v>1</x:v>
      </x:c>
      <x:c r="D2581" s="11" t="n">
        <x:f>COUNTIF('Einzel-ID-Zuordnung'!$A$7:$A$2692,A2581)</x:f>
        <x:v>1</x:v>
      </x:c>
      <x:c r="E2581" s="11" t="n">
        <x:f>D2581-C2581</x:f>
        <x:v>0</x:v>
      </x:c>
      <x:c r="F2581" s="5" t="str">
        <x:v>nicht Pilot</x:v>
      </x:c>
      <x:c r="G2581" s="5" t="str">
        <x:v>HQ</x:v>
      </x:c>
    </x:row>
    <x:row r="2582" ht="36" customHeight="1">
      <x:c r="A2582" s="5" t="str">
        <x:v>PF-0095</x:v>
      </x:c>
      <x:c r="B2582" s="5" t="str">
        <x:v>Führung und Zusammenarbeit</x:v>
      </x:c>
      <x:c r="C2582" s="11" t="n">
        <x:v>1</x:v>
      </x:c>
      <x:c r="D2582" s="11" t="n">
        <x:f>COUNTIF('Einzel-ID-Zuordnung'!$A$7:$A$2692,A2582)</x:f>
        <x:v>1</x:v>
      </x:c>
      <x:c r="E2582" s="11" t="n">
        <x:f>D2582-C2582</x:f>
        <x:v>0</x:v>
      </x:c>
      <x:c r="F2582" s="5" t="str">
        <x:v>nicht Pilot</x:v>
      </x:c>
      <x:c r="G2582" s="5" t="str">
        <x:v>HQ</x:v>
      </x:c>
    </x:row>
    <x:row r="2583" ht="36" customHeight="1">
      <x:c r="A2583" s="5" t="str">
        <x:v>PF-0096</x:v>
      </x:c>
      <x:c r="B2583" s="5" t="str">
        <x:v>Führung und Zusammenarbeit</x:v>
      </x:c>
      <x:c r="C2583" s="11" t="n">
        <x:v>1</x:v>
      </x:c>
      <x:c r="D2583" s="11" t="n">
        <x:f>COUNTIF('Einzel-ID-Zuordnung'!$A$7:$A$2692,A2583)</x:f>
        <x:v>1</x:v>
      </x:c>
      <x:c r="E2583" s="11" t="n">
        <x:f>D2583-C2583</x:f>
        <x:v>0</x:v>
      </x:c>
      <x:c r="F2583" s="5" t="str">
        <x:v>nicht Pilot</x:v>
      </x:c>
      <x:c r="G2583" s="5" t="str">
        <x:v>HQ</x:v>
      </x:c>
    </x:row>
    <x:row r="2584" ht="36" customHeight="1">
      <x:c r="A2584" s="5" t="str">
        <x:v>PF-0097</x:v>
      </x:c>
      <x:c r="B2584" s="5" t="str">
        <x:v>Führung und Zusammenarbeit</x:v>
      </x:c>
      <x:c r="C2584" s="11" t="n">
        <x:v>1</x:v>
      </x:c>
      <x:c r="D2584" s="11" t="n">
        <x:f>COUNTIF('Einzel-ID-Zuordnung'!$A$7:$A$2692,A2584)</x:f>
        <x:v>1</x:v>
      </x:c>
      <x:c r="E2584" s="11" t="n">
        <x:f>D2584-C2584</x:f>
        <x:v>0</x:v>
      </x:c>
      <x:c r="F2584" s="5" t="str">
        <x:v>nicht Pilot</x:v>
      </x:c>
      <x:c r="G2584" s="5" t="str">
        <x:v>HQ</x:v>
      </x:c>
    </x:row>
    <x:row r="2585" ht="36" customHeight="1">
      <x:c r="A2585" s="5" t="str">
        <x:v>PF-0098</x:v>
      </x:c>
      <x:c r="B2585" s="5" t="str">
        <x:v>Führung und Zusammenarbeit</x:v>
      </x:c>
      <x:c r="C2585" s="11" t="n">
        <x:v>1</x:v>
      </x:c>
      <x:c r="D2585" s="11" t="n">
        <x:f>COUNTIF('Einzel-ID-Zuordnung'!$A$7:$A$2692,A2585)</x:f>
        <x:v>1</x:v>
      </x:c>
      <x:c r="E2585" s="11" t="n">
        <x:f>D2585-C2585</x:f>
        <x:v>0</x:v>
      </x:c>
      <x:c r="F2585" s="5" t="str">
        <x:v>nicht Pilot</x:v>
      </x:c>
      <x:c r="G2585" s="5" t="str">
        <x:v>HQ</x:v>
      </x:c>
    </x:row>
    <x:row r="2586" ht="36" customHeight="1">
      <x:c r="A2586" s="5" t="str">
        <x:v>PF-0099</x:v>
      </x:c>
      <x:c r="B2586" s="5" t="str">
        <x:v>Führung und Zusammenarbeit</x:v>
      </x:c>
      <x:c r="C2586" s="11" t="n">
        <x:v>1</x:v>
      </x:c>
      <x:c r="D2586" s="11" t="n">
        <x:f>COUNTIF('Einzel-ID-Zuordnung'!$A$7:$A$2692,A2586)</x:f>
        <x:v>1</x:v>
      </x:c>
      <x:c r="E2586" s="11" t="n">
        <x:f>D2586-C2586</x:f>
        <x:v>0</x:v>
      </x:c>
      <x:c r="F2586" s="5" t="str">
        <x:v>nicht Pilot</x:v>
      </x:c>
      <x:c r="G2586" s="5" t="str">
        <x:v>HQ</x:v>
      </x:c>
    </x:row>
    <x:row r="2587" ht="36" customHeight="1">
      <x:c r="A2587" s="5" t="str">
        <x:v>PF-0100</x:v>
      </x:c>
      <x:c r="B2587" s="5" t="str">
        <x:v>Führung und Zusammenarbeit</x:v>
      </x:c>
      <x:c r="C2587" s="11" t="n">
        <x:v>1</x:v>
      </x:c>
      <x:c r="D2587" s="11" t="n">
        <x:f>COUNTIF('Einzel-ID-Zuordnung'!$A$7:$A$2692,A2587)</x:f>
        <x:v>1</x:v>
      </x:c>
      <x:c r="E2587" s="11" t="n">
        <x:f>D2587-C2587</x:f>
        <x:v>0</x:v>
      </x:c>
      <x:c r="F2587" s="5" t="str">
        <x:v>nicht Pilot</x:v>
      </x:c>
      <x:c r="G2587" s="5" t="str">
        <x:v>HQ</x:v>
      </x:c>
    </x:row>
    <x:row r="2588" ht="36" customHeight="1">
      <x:c r="A2588" s="5" t="str">
        <x:v>PF-0101</x:v>
      </x:c>
      <x:c r="B2588" s="5" t="str">
        <x:v>Führung und Zusammenarbeit</x:v>
      </x:c>
      <x:c r="C2588" s="11" t="n">
        <x:v>1</x:v>
      </x:c>
      <x:c r="D2588" s="11" t="n">
        <x:f>COUNTIF('Einzel-ID-Zuordnung'!$A$7:$A$2692,A2588)</x:f>
        <x:v>1</x:v>
      </x:c>
      <x:c r="E2588" s="11" t="n">
        <x:f>D2588-C2588</x:f>
        <x:v>0</x:v>
      </x:c>
      <x:c r="F2588" s="5" t="str">
        <x:v>nicht Pilot</x:v>
      </x:c>
      <x:c r="G2588" s="5" t="str">
        <x:v>HQ</x:v>
      </x:c>
    </x:row>
    <x:row r="2589" ht="36" customHeight="1">
      <x:c r="A2589" s="5" t="str">
        <x:v>PF-0102</x:v>
      </x:c>
      <x:c r="B2589" s="5" t="str">
        <x:v>Führung und Zusammenarbeit</x:v>
      </x:c>
      <x:c r="C2589" s="11" t="n">
        <x:v>1</x:v>
      </x:c>
      <x:c r="D2589" s="11" t="n">
        <x:f>COUNTIF('Einzel-ID-Zuordnung'!$A$7:$A$2692,A2589)</x:f>
        <x:v>1</x:v>
      </x:c>
      <x:c r="E2589" s="11" t="n">
        <x:f>D2589-C2589</x:f>
        <x:v>0</x:v>
      </x:c>
      <x:c r="F2589" s="5" t="str">
        <x:v>nicht Pilot</x:v>
      </x:c>
      <x:c r="G2589" s="5" t="str">
        <x:v>HQ</x:v>
      </x:c>
    </x:row>
    <x:row r="2590" ht="36" customHeight="1">
      <x:c r="A2590" s="5" t="str">
        <x:v>PF-0103</x:v>
      </x:c>
      <x:c r="B2590" s="5" t="str">
        <x:v>Führung und Zusammenarbeit</x:v>
      </x:c>
      <x:c r="C2590" s="11" t="n">
        <x:v>1</x:v>
      </x:c>
      <x:c r="D2590" s="11" t="n">
        <x:f>COUNTIF('Einzel-ID-Zuordnung'!$A$7:$A$2692,A2590)</x:f>
        <x:v>1</x:v>
      </x:c>
      <x:c r="E2590" s="11" t="n">
        <x:f>D2590-C2590</x:f>
        <x:v>0</x:v>
      </x:c>
      <x:c r="F2590" s="5" t="str">
        <x:v>nicht Pilot</x:v>
      </x:c>
      <x:c r="G2590" s="5" t="str">
        <x:v>HQ</x:v>
      </x:c>
    </x:row>
    <x:row r="2591" ht="36" customHeight="1">
      <x:c r="A2591" s="5" t="str">
        <x:v>PF-0104</x:v>
      </x:c>
      <x:c r="B2591" s="5" t="str">
        <x:v>Führung und Zusammenarbeit</x:v>
      </x:c>
      <x:c r="C2591" s="11" t="n">
        <x:v>1</x:v>
      </x:c>
      <x:c r="D2591" s="11" t="n">
        <x:f>COUNTIF('Einzel-ID-Zuordnung'!$A$7:$A$2692,A2591)</x:f>
        <x:v>1</x:v>
      </x:c>
      <x:c r="E2591" s="11" t="n">
        <x:f>D2591-C2591</x:f>
        <x:v>0</x:v>
      </x:c>
      <x:c r="F2591" s="5" t="str">
        <x:v>nicht Pilot</x:v>
      </x:c>
      <x:c r="G2591" s="5" t="str">
        <x:v>HQ</x:v>
      </x:c>
    </x:row>
    <x:row r="2592" ht="36" customHeight="1">
      <x:c r="A2592" s="5" t="str">
        <x:v>PF-0105</x:v>
      </x:c>
      <x:c r="B2592" s="5" t="str">
        <x:v>Führung und Zusammenarbeit</x:v>
      </x:c>
      <x:c r="C2592" s="11" t="n">
        <x:v>1</x:v>
      </x:c>
      <x:c r="D2592" s="11" t="n">
        <x:f>COUNTIF('Einzel-ID-Zuordnung'!$A$7:$A$2692,A2592)</x:f>
        <x:v>1</x:v>
      </x:c>
      <x:c r="E2592" s="11" t="n">
        <x:f>D2592-C2592</x:f>
        <x:v>0</x:v>
      </x:c>
      <x:c r="F2592" s="5" t="str">
        <x:v>nicht Pilot</x:v>
      </x:c>
      <x:c r="G2592" s="5" t="str">
        <x:v>HQ</x:v>
      </x:c>
    </x:row>
    <x:row r="2593" ht="36" customHeight="1">
      <x:c r="A2593" s="5" t="str">
        <x:v>PF-0106</x:v>
      </x:c>
      <x:c r="B2593" s="5" t="str">
        <x:v>Führung und Zusammenarbeit</x:v>
      </x:c>
      <x:c r="C2593" s="11" t="n">
        <x:v>1</x:v>
      </x:c>
      <x:c r="D2593" s="11" t="n">
        <x:f>COUNTIF('Einzel-ID-Zuordnung'!$A$7:$A$2692,A2593)</x:f>
        <x:v>1</x:v>
      </x:c>
      <x:c r="E2593" s="11" t="n">
        <x:f>D2593-C2593</x:f>
        <x:v>0</x:v>
      </x:c>
      <x:c r="F2593" s="5" t="str">
        <x:v>nicht Pilot</x:v>
      </x:c>
      <x:c r="G2593" s="5" t="str">
        <x:v>HQ</x:v>
      </x:c>
    </x:row>
    <x:row r="2594" ht="36" customHeight="1">
      <x:c r="A2594" s="5" t="str">
        <x:v>PF-0107</x:v>
      </x:c>
      <x:c r="B2594" s="5" t="str">
        <x:v>Führung und Zusammenarbeit</x:v>
      </x:c>
      <x:c r="C2594" s="11" t="n">
        <x:v>1</x:v>
      </x:c>
      <x:c r="D2594" s="11" t="n">
        <x:f>COUNTIF('Einzel-ID-Zuordnung'!$A$7:$A$2692,A2594)</x:f>
        <x:v>1</x:v>
      </x:c>
      <x:c r="E2594" s="11" t="n">
        <x:f>D2594-C2594</x:f>
        <x:v>0</x:v>
      </x:c>
      <x:c r="F2594" s="5" t="str">
        <x:v>nicht Pilot</x:v>
      </x:c>
      <x:c r="G2594" s="5" t="str">
        <x:v>HQ</x:v>
      </x:c>
    </x:row>
    <x:row r="2595" ht="36" customHeight="1">
      <x:c r="A2595" s="5" t="str">
        <x:v>PF-0108</x:v>
      </x:c>
      <x:c r="B2595" s="5" t="str">
        <x:v>Führung und Zusammenarbeit</x:v>
      </x:c>
      <x:c r="C2595" s="11" t="n">
        <x:v>1</x:v>
      </x:c>
      <x:c r="D2595" s="11" t="n">
        <x:f>COUNTIF('Einzel-ID-Zuordnung'!$A$7:$A$2692,A2595)</x:f>
        <x:v>1</x:v>
      </x:c>
      <x:c r="E2595" s="11" t="n">
        <x:f>D2595-C2595</x:f>
        <x:v>0</x:v>
      </x:c>
      <x:c r="F2595" s="5" t="str">
        <x:v>nicht Pilot</x:v>
      </x:c>
      <x:c r="G2595" s="5" t="str">
        <x:v>HQ</x:v>
      </x:c>
    </x:row>
    <x:row r="2596" ht="36" customHeight="1">
      <x:c r="A2596" s="5" t="str">
        <x:v>PF-0109</x:v>
      </x:c>
      <x:c r="B2596" s="5" t="str">
        <x:v>Führung und Zusammenarbeit</x:v>
      </x:c>
      <x:c r="C2596" s="11" t="n">
        <x:v>1</x:v>
      </x:c>
      <x:c r="D2596" s="11" t="n">
        <x:f>COUNTIF('Einzel-ID-Zuordnung'!$A$7:$A$2692,A2596)</x:f>
        <x:v>1</x:v>
      </x:c>
      <x:c r="E2596" s="11" t="n">
        <x:f>D2596-C2596</x:f>
        <x:v>0</x:v>
      </x:c>
      <x:c r="F2596" s="5" t="str">
        <x:v>nicht Pilot</x:v>
      </x:c>
      <x:c r="G2596" s="5" t="str">
        <x:v>HQ</x:v>
      </x:c>
    </x:row>
    <x:row r="2597" ht="36" customHeight="1">
      <x:c r="A2597" s="5" t="str">
        <x:v>PF-0110</x:v>
      </x:c>
      <x:c r="B2597" s="5" t="str">
        <x:v>Führung und Zusammenarbeit</x:v>
      </x:c>
      <x:c r="C2597" s="11" t="n">
        <x:v>1</x:v>
      </x:c>
      <x:c r="D2597" s="11" t="n">
        <x:f>COUNTIF('Einzel-ID-Zuordnung'!$A$7:$A$2692,A2597)</x:f>
        <x:v>1</x:v>
      </x:c>
      <x:c r="E2597" s="11" t="n">
        <x:f>D2597-C2597</x:f>
        <x:v>0</x:v>
      </x:c>
      <x:c r="F2597" s="5" t="str">
        <x:v>nicht Pilot</x:v>
      </x:c>
      <x:c r="G2597" s="5" t="str">
        <x:v>HQ</x:v>
      </x:c>
    </x:row>
    <x:row r="2598" ht="36" customHeight="1">
      <x:c r="A2598" s="5" t="str">
        <x:v>PF-0111</x:v>
      </x:c>
      <x:c r="B2598" s="5" t="str">
        <x:v>Führung und Zusammenarbeit</x:v>
      </x:c>
      <x:c r="C2598" s="11" t="n">
        <x:v>1</x:v>
      </x:c>
      <x:c r="D2598" s="11" t="n">
        <x:f>COUNTIF('Einzel-ID-Zuordnung'!$A$7:$A$2692,A2598)</x:f>
        <x:v>1</x:v>
      </x:c>
      <x:c r="E2598" s="11" t="n">
        <x:f>D2598-C2598</x:f>
        <x:v>0</x:v>
      </x:c>
      <x:c r="F2598" s="5" t="str">
        <x:v>nicht Pilot</x:v>
      </x:c>
      <x:c r="G2598" s="5" t="str">
        <x:v>HQ</x:v>
      </x:c>
    </x:row>
    <x:row r="2599" ht="36" customHeight="1">
      <x:c r="A2599" s="5" t="str">
        <x:v>PF-0112</x:v>
      </x:c>
      <x:c r="B2599" s="5" t="str">
        <x:v>Führung und Zusammenarbeit</x:v>
      </x:c>
      <x:c r="C2599" s="11" t="n">
        <x:v>1</x:v>
      </x:c>
      <x:c r="D2599" s="11" t="n">
        <x:f>COUNTIF('Einzel-ID-Zuordnung'!$A$7:$A$2692,A2599)</x:f>
        <x:v>1</x:v>
      </x:c>
      <x:c r="E2599" s="11" t="n">
        <x:f>D2599-C2599</x:f>
        <x:v>0</x:v>
      </x:c>
      <x:c r="F2599" s="5" t="str">
        <x:v>nicht Pilot</x:v>
      </x:c>
      <x:c r="G2599" s="5" t="str">
        <x:v>HQ</x:v>
      </x:c>
    </x:row>
    <x:row r="2600" ht="36" customHeight="1">
      <x:c r="A2600" s="5" t="str">
        <x:v>PF-0113</x:v>
      </x:c>
      <x:c r="B2600" s="5" t="str">
        <x:v>Führung und Zusammenarbeit</x:v>
      </x:c>
      <x:c r="C2600" s="11" t="n">
        <x:v>1</x:v>
      </x:c>
      <x:c r="D2600" s="11" t="n">
        <x:f>COUNTIF('Einzel-ID-Zuordnung'!$A$7:$A$2692,A2600)</x:f>
        <x:v>1</x:v>
      </x:c>
      <x:c r="E2600" s="11" t="n">
        <x:f>D2600-C2600</x:f>
        <x:v>0</x:v>
      </x:c>
      <x:c r="F2600" s="5" t="str">
        <x:v>nicht Pilot</x:v>
      </x:c>
      <x:c r="G2600" s="5" t="str">
        <x:v>HQ</x:v>
      </x:c>
    </x:row>
    <x:row r="2601" ht="36" customHeight="1">
      <x:c r="A2601" s="5" t="str">
        <x:v>PF-0114</x:v>
      </x:c>
      <x:c r="B2601" s="5" t="str">
        <x:v>Führung und Zusammenarbeit</x:v>
      </x:c>
      <x:c r="C2601" s="11" t="n">
        <x:v>1</x:v>
      </x:c>
      <x:c r="D2601" s="11" t="n">
        <x:f>COUNTIF('Einzel-ID-Zuordnung'!$A$7:$A$2692,A2601)</x:f>
        <x:v>1</x:v>
      </x:c>
      <x:c r="E2601" s="11" t="n">
        <x:f>D2601-C2601</x:f>
        <x:v>0</x:v>
      </x:c>
      <x:c r="F2601" s="5" t="str">
        <x:v>nicht Pilot</x:v>
      </x:c>
      <x:c r="G2601" s="5" t="str">
        <x:v>HQ</x:v>
      </x:c>
    </x:row>
    <x:row r="2602" ht="36" customHeight="1">
      <x:c r="A2602" s="5" t="str">
        <x:v>PF-0115</x:v>
      </x:c>
      <x:c r="B2602" s="5" t="str">
        <x:v>Führung und Zusammenarbeit</x:v>
      </x:c>
      <x:c r="C2602" s="11" t="n">
        <x:v>1</x:v>
      </x:c>
      <x:c r="D2602" s="11" t="n">
        <x:f>COUNTIF('Einzel-ID-Zuordnung'!$A$7:$A$2692,A2602)</x:f>
        <x:v>1</x:v>
      </x:c>
      <x:c r="E2602" s="11" t="n">
        <x:f>D2602-C2602</x:f>
        <x:v>0</x:v>
      </x:c>
      <x:c r="F2602" s="5" t="str">
        <x:v>nicht Pilot</x:v>
      </x:c>
      <x:c r="G2602" s="5" t="str">
        <x:v>HQ</x:v>
      </x:c>
    </x:row>
    <x:row r="2603" ht="36" customHeight="1">
      <x:c r="A2603" s="5" t="str">
        <x:v>PF-0116</x:v>
      </x:c>
      <x:c r="B2603" s="5" t="str">
        <x:v>Führung und Zusammenarbeit</x:v>
      </x:c>
      <x:c r="C2603" s="11" t="n">
        <x:v>1</x:v>
      </x:c>
      <x:c r="D2603" s="11" t="n">
        <x:f>COUNTIF('Einzel-ID-Zuordnung'!$A$7:$A$2692,A2603)</x:f>
        <x:v>1</x:v>
      </x:c>
      <x:c r="E2603" s="11" t="n">
        <x:f>D2603-C2603</x:f>
        <x:v>0</x:v>
      </x:c>
      <x:c r="F2603" s="5" t="str">
        <x:v>nicht Pilot</x:v>
      </x:c>
      <x:c r="G2603" s="5" t="str">
        <x:v>HQ</x:v>
      </x:c>
    </x:row>
    <x:row r="2604" ht="36" customHeight="1">
      <x:c r="A2604" s="5" t="str">
        <x:v>PF-0117</x:v>
      </x:c>
      <x:c r="B2604" s="5" t="str">
        <x:v>Führung und Zusammenarbeit</x:v>
      </x:c>
      <x:c r="C2604" s="11" t="n">
        <x:v>1</x:v>
      </x:c>
      <x:c r="D2604" s="11" t="n">
        <x:f>COUNTIF('Einzel-ID-Zuordnung'!$A$7:$A$2692,A2604)</x:f>
        <x:v>1</x:v>
      </x:c>
      <x:c r="E2604" s="11" t="n">
        <x:f>D2604-C2604</x:f>
        <x:v>0</x:v>
      </x:c>
      <x:c r="F2604" s="5" t="str">
        <x:v>nicht Pilot</x:v>
      </x:c>
      <x:c r="G2604" s="5" t="str">
        <x:v>HQ</x:v>
      </x:c>
    </x:row>
    <x:row r="2605" ht="36" customHeight="1">
      <x:c r="A2605" s="5" t="str">
        <x:v>PF-0118</x:v>
      </x:c>
      <x:c r="B2605" s="5" t="str">
        <x:v>Führung und Zusammenarbeit</x:v>
      </x:c>
      <x:c r="C2605" s="11" t="n">
        <x:v>1</x:v>
      </x:c>
      <x:c r="D2605" s="11" t="n">
        <x:f>COUNTIF('Einzel-ID-Zuordnung'!$A$7:$A$2692,A2605)</x:f>
        <x:v>1</x:v>
      </x:c>
      <x:c r="E2605" s="11" t="n">
        <x:f>D2605-C2605</x:f>
        <x:v>0</x:v>
      </x:c>
      <x:c r="F2605" s="5" t="str">
        <x:v>nicht Pilot</x:v>
      </x:c>
      <x:c r="G2605" s="5" t="str">
        <x:v>HQ</x:v>
      </x:c>
    </x:row>
    <x:row r="2606" ht="36" customHeight="1">
      <x:c r="A2606" s="5" t="str">
        <x:v>PF-0119</x:v>
      </x:c>
      <x:c r="B2606" s="5" t="str">
        <x:v>Führung und Zusammenarbeit</x:v>
      </x:c>
      <x:c r="C2606" s="11" t="n">
        <x:v>1</x:v>
      </x:c>
      <x:c r="D2606" s="11" t="n">
        <x:f>COUNTIF('Einzel-ID-Zuordnung'!$A$7:$A$2692,A2606)</x:f>
        <x:v>1</x:v>
      </x:c>
      <x:c r="E2606" s="11" t="n">
        <x:f>D2606-C2606</x:f>
        <x:v>0</x:v>
      </x:c>
      <x:c r="F2606" s="5" t="str">
        <x:v>nicht Pilot</x:v>
      </x:c>
      <x:c r="G2606" s="5" t="str">
        <x:v>HQ</x:v>
      </x:c>
    </x:row>
    <x:row r="2607" ht="36" customHeight="1">
      <x:c r="A2607" s="5" t="str">
        <x:v>PF-0120</x:v>
      </x:c>
      <x:c r="B2607" s="5" t="str">
        <x:v>Führung und Zusammenarbeit</x:v>
      </x:c>
      <x:c r="C2607" s="11" t="n">
        <x:v>1</x:v>
      </x:c>
      <x:c r="D2607" s="11" t="n">
        <x:f>COUNTIF('Einzel-ID-Zuordnung'!$A$7:$A$2692,A2607)</x:f>
        <x:v>1</x:v>
      </x:c>
      <x:c r="E2607" s="11" t="n">
        <x:f>D2607-C2607</x:f>
        <x:v>0</x:v>
      </x:c>
      <x:c r="F2607" s="5" t="str">
        <x:v>nicht Pilot</x:v>
      </x:c>
      <x:c r="G2607" s="5" t="str">
        <x:v>HQ</x:v>
      </x:c>
    </x:row>
    <x:row r="2608" ht="36" customHeight="1">
      <x:c r="A2608" s="5" t="str">
        <x:v>PF-0121</x:v>
      </x:c>
      <x:c r="B2608" s="5" t="str">
        <x:v>Führung und Zusammenarbeit</x:v>
      </x:c>
      <x:c r="C2608" s="11" t="n">
        <x:v>1</x:v>
      </x:c>
      <x:c r="D2608" s="11" t="n">
        <x:f>COUNTIF('Einzel-ID-Zuordnung'!$A$7:$A$2692,A2608)</x:f>
        <x:v>1</x:v>
      </x:c>
      <x:c r="E2608" s="11" t="n">
        <x:f>D2608-C2608</x:f>
        <x:v>0</x:v>
      </x:c>
      <x:c r="F2608" s="5" t="str">
        <x:v>nicht Pilot</x:v>
      </x:c>
      <x:c r="G2608" s="5" t="str">
        <x:v>HQ</x:v>
      </x:c>
    </x:row>
    <x:row r="2609" ht="36" customHeight="1">
      <x:c r="A2609" s="5" t="str">
        <x:v>PF-0122</x:v>
      </x:c>
      <x:c r="B2609" s="5" t="str">
        <x:v>Führung und Zusammenarbeit</x:v>
      </x:c>
      <x:c r="C2609" s="11" t="n">
        <x:v>1</x:v>
      </x:c>
      <x:c r="D2609" s="11" t="n">
        <x:f>COUNTIF('Einzel-ID-Zuordnung'!$A$7:$A$2692,A2609)</x:f>
        <x:v>1</x:v>
      </x:c>
      <x:c r="E2609" s="11" t="n">
        <x:f>D2609-C2609</x:f>
        <x:v>0</x:v>
      </x:c>
      <x:c r="F2609" s="5" t="str">
        <x:v>nicht Pilot</x:v>
      </x:c>
      <x:c r="G2609" s="5" t="str">
        <x:v>HQ</x:v>
      </x:c>
    </x:row>
    <x:row r="2610" ht="36" customHeight="1">
      <x:c r="A2610" s="5" t="str">
        <x:v>PF-0123</x:v>
      </x:c>
      <x:c r="B2610" s="5" t="str">
        <x:v>Führung und Zusammenarbeit</x:v>
      </x:c>
      <x:c r="C2610" s="11" t="n">
        <x:v>1</x:v>
      </x:c>
      <x:c r="D2610" s="11" t="n">
        <x:f>COUNTIF('Einzel-ID-Zuordnung'!$A$7:$A$2692,A2610)</x:f>
        <x:v>1</x:v>
      </x:c>
      <x:c r="E2610" s="11" t="n">
        <x:f>D2610-C2610</x:f>
        <x:v>0</x:v>
      </x:c>
      <x:c r="F2610" s="5" t="str">
        <x:v>nicht Pilot</x:v>
      </x:c>
      <x:c r="G2610" s="5" t="str">
        <x:v>HQ</x:v>
      </x:c>
    </x:row>
    <x:row r="2611" ht="36" customHeight="1">
      <x:c r="A2611" s="5" t="str">
        <x:v>PF-0124</x:v>
      </x:c>
      <x:c r="B2611" s="5" t="str">
        <x:v>Führung und Zusammenarbeit</x:v>
      </x:c>
      <x:c r="C2611" s="11" t="n">
        <x:v>1</x:v>
      </x:c>
      <x:c r="D2611" s="11" t="n">
        <x:f>COUNTIF('Einzel-ID-Zuordnung'!$A$7:$A$2692,A2611)</x:f>
        <x:v>1</x:v>
      </x:c>
      <x:c r="E2611" s="11" t="n">
        <x:f>D2611-C2611</x:f>
        <x:v>0</x:v>
      </x:c>
      <x:c r="F2611" s="5" t="str">
        <x:v>nicht Pilot</x:v>
      </x:c>
      <x:c r="G2611" s="5" t="str">
        <x:v>HQ</x:v>
      </x:c>
    </x:row>
    <x:row r="2612" ht="36" customHeight="1">
      <x:c r="A2612" s="5" t="str">
        <x:v>PF-0125</x:v>
      </x:c>
      <x:c r="B2612" s="5" t="str">
        <x:v>Führung und Zusammenarbeit</x:v>
      </x:c>
      <x:c r="C2612" s="11" t="n">
        <x:v>1</x:v>
      </x:c>
      <x:c r="D2612" s="11" t="n">
        <x:f>COUNTIF('Einzel-ID-Zuordnung'!$A$7:$A$2692,A2612)</x:f>
        <x:v>1</x:v>
      </x:c>
      <x:c r="E2612" s="11" t="n">
        <x:f>D2612-C2612</x:f>
        <x:v>0</x:v>
      </x:c>
      <x:c r="F2612" s="5" t="str">
        <x:v>nicht Pilot</x:v>
      </x:c>
      <x:c r="G2612" s="5" t="str">
        <x:v>HQ</x:v>
      </x:c>
    </x:row>
    <x:row r="2613" ht="36" customHeight="1">
      <x:c r="A2613" s="5" t="str">
        <x:v>PF-0126</x:v>
      </x:c>
      <x:c r="B2613" s="5" t="str">
        <x:v>Führung und Zusammenarbeit</x:v>
      </x:c>
      <x:c r="C2613" s="11" t="n">
        <x:v>1</x:v>
      </x:c>
      <x:c r="D2613" s="11" t="n">
        <x:f>COUNTIF('Einzel-ID-Zuordnung'!$A$7:$A$2692,A2613)</x:f>
        <x:v>1</x:v>
      </x:c>
      <x:c r="E2613" s="11" t="n">
        <x:f>D2613-C2613</x:f>
        <x:v>0</x:v>
      </x:c>
      <x:c r="F2613" s="5" t="str">
        <x:v>nicht Pilot</x:v>
      </x:c>
      <x:c r="G2613" s="5" t="str">
        <x:v>HQ</x:v>
      </x:c>
    </x:row>
    <x:row r="2614" ht="36" customHeight="1">
      <x:c r="A2614" s="5" t="str">
        <x:v>PF-0127</x:v>
      </x:c>
      <x:c r="B2614" s="5" t="str">
        <x:v>Führung und Zusammenarbeit</x:v>
      </x:c>
      <x:c r="C2614" s="11" t="n">
        <x:v>1</x:v>
      </x:c>
      <x:c r="D2614" s="11" t="n">
        <x:f>COUNTIF('Einzel-ID-Zuordnung'!$A$7:$A$2692,A2614)</x:f>
        <x:v>1</x:v>
      </x:c>
      <x:c r="E2614" s="11" t="n">
        <x:f>D2614-C2614</x:f>
        <x:v>0</x:v>
      </x:c>
      <x:c r="F2614" s="5" t="str">
        <x:v>nicht Pilot</x:v>
      </x:c>
      <x:c r="G2614" s="5" t="str">
        <x:v>HQ</x:v>
      </x:c>
    </x:row>
    <x:row r="2615" ht="36" customHeight="1">
      <x:c r="A2615" s="5" t="str">
        <x:v>PF-0128</x:v>
      </x:c>
      <x:c r="B2615" s="5" t="str">
        <x:v>Führung und Zusammenarbeit</x:v>
      </x:c>
      <x:c r="C2615" s="11" t="n">
        <x:v>1</x:v>
      </x:c>
      <x:c r="D2615" s="11" t="n">
        <x:f>COUNTIF('Einzel-ID-Zuordnung'!$A$7:$A$2692,A2615)</x:f>
        <x:v>1</x:v>
      </x:c>
      <x:c r="E2615" s="11" t="n">
        <x:f>D2615-C2615</x:f>
        <x:v>0</x:v>
      </x:c>
      <x:c r="F2615" s="5" t="str">
        <x:v>nicht Pilot</x:v>
      </x:c>
      <x:c r="G2615" s="5" t="str">
        <x:v>HQ</x:v>
      </x:c>
    </x:row>
    <x:row r="2616" ht="36" customHeight="1">
      <x:c r="A2616" s="5" t="str">
        <x:v>PF-0129</x:v>
      </x:c>
      <x:c r="B2616" s="5" t="str">
        <x:v>Führung und Zusammenarbeit</x:v>
      </x:c>
      <x:c r="C2616" s="11" t="n">
        <x:v>1</x:v>
      </x:c>
      <x:c r="D2616" s="11" t="n">
        <x:f>COUNTIF('Einzel-ID-Zuordnung'!$A$7:$A$2692,A2616)</x:f>
        <x:v>1</x:v>
      </x:c>
      <x:c r="E2616" s="11" t="n">
        <x:f>D2616-C2616</x:f>
        <x:v>0</x:v>
      </x:c>
      <x:c r="F2616" s="5" t="str">
        <x:v>nicht Pilot</x:v>
      </x:c>
      <x:c r="G2616" s="5" t="str">
        <x:v>HQ</x:v>
      </x:c>
    </x:row>
    <x:row r="2617" ht="36" customHeight="1">
      <x:c r="A2617" s="5" t="str">
        <x:v>PF-0130</x:v>
      </x:c>
      <x:c r="B2617" s="5" t="str">
        <x:v>Führung und Zusammenarbeit</x:v>
      </x:c>
      <x:c r="C2617" s="11" t="n">
        <x:v>1</x:v>
      </x:c>
      <x:c r="D2617" s="11" t="n">
        <x:f>COUNTIF('Einzel-ID-Zuordnung'!$A$7:$A$2692,A2617)</x:f>
        <x:v>1</x:v>
      </x:c>
      <x:c r="E2617" s="11" t="n">
        <x:f>D2617-C2617</x:f>
        <x:v>0</x:v>
      </x:c>
      <x:c r="F2617" s="5" t="str">
        <x:v>nicht Pilot</x:v>
      </x:c>
      <x:c r="G2617" s="5" t="str">
        <x:v>HQ</x:v>
      </x:c>
    </x:row>
    <x:row r="2618" ht="36" customHeight="1">
      <x:c r="A2618" s="5" t="str">
        <x:v>PF-0131</x:v>
      </x:c>
      <x:c r="B2618" s="5" t="str">
        <x:v>Führung und Zusammenarbeit</x:v>
      </x:c>
      <x:c r="C2618" s="11" t="n">
        <x:v>1</x:v>
      </x:c>
      <x:c r="D2618" s="11" t="n">
        <x:f>COUNTIF('Einzel-ID-Zuordnung'!$A$7:$A$2692,A2618)</x:f>
        <x:v>1</x:v>
      </x:c>
      <x:c r="E2618" s="11" t="n">
        <x:f>D2618-C2618</x:f>
        <x:v>0</x:v>
      </x:c>
      <x:c r="F2618" s="5" t="str">
        <x:v>nicht Pilot</x:v>
      </x:c>
      <x:c r="G2618" s="5" t="str">
        <x:v>HQ</x:v>
      </x:c>
    </x:row>
    <x:row r="2619" ht="36" customHeight="1">
      <x:c r="A2619" s="5" t="str">
        <x:v>PF-0132</x:v>
      </x:c>
      <x:c r="B2619" s="5" t="str">
        <x:v>Führung und Zusammenarbeit</x:v>
      </x:c>
      <x:c r="C2619" s="11" t="n">
        <x:v>1</x:v>
      </x:c>
      <x:c r="D2619" s="11" t="n">
        <x:f>COUNTIF('Einzel-ID-Zuordnung'!$A$7:$A$2692,A2619)</x:f>
        <x:v>1</x:v>
      </x:c>
      <x:c r="E2619" s="11" t="n">
        <x:f>D2619-C2619</x:f>
        <x:v>0</x:v>
      </x:c>
      <x:c r="F2619" s="5" t="str">
        <x:v>nicht Pilot</x:v>
      </x:c>
      <x:c r="G2619" s="5" t="str">
        <x:v>HQ</x:v>
      </x:c>
    </x:row>
    <x:row r="2620" ht="36" customHeight="1">
      <x:c r="A2620" s="5" t="str">
        <x:v>PF-0133</x:v>
      </x:c>
      <x:c r="B2620" s="5" t="str">
        <x:v>Führung und Zusammenarbeit</x:v>
      </x:c>
      <x:c r="C2620" s="11" t="n">
        <x:v>1</x:v>
      </x:c>
      <x:c r="D2620" s="11" t="n">
        <x:f>COUNTIF('Einzel-ID-Zuordnung'!$A$7:$A$2692,A2620)</x:f>
        <x:v>1</x:v>
      </x:c>
      <x:c r="E2620" s="11" t="n">
        <x:f>D2620-C2620</x:f>
        <x:v>0</x:v>
      </x:c>
      <x:c r="F2620" s="5" t="str">
        <x:v>nicht Pilot</x:v>
      </x:c>
      <x:c r="G2620" s="5" t="str">
        <x:v>HQ</x:v>
      </x:c>
    </x:row>
    <x:row r="2621" ht="36" customHeight="1">
      <x:c r="A2621" s="5" t="str">
        <x:v>PF-0134</x:v>
      </x:c>
      <x:c r="B2621" s="5" t="str">
        <x:v>Führung und Zusammenarbeit</x:v>
      </x:c>
      <x:c r="C2621" s="11" t="n">
        <x:v>1</x:v>
      </x:c>
      <x:c r="D2621" s="11" t="n">
        <x:f>COUNTIF('Einzel-ID-Zuordnung'!$A$7:$A$2692,A2621)</x:f>
        <x:v>1</x:v>
      </x:c>
      <x:c r="E2621" s="11" t="n">
        <x:f>D2621-C2621</x:f>
        <x:v>0</x:v>
      </x:c>
      <x:c r="F2621" s="5" t="str">
        <x:v>nicht Pilot</x:v>
      </x:c>
      <x:c r="G2621" s="5" t="str">
        <x:v>HQ</x:v>
      </x:c>
    </x:row>
    <x:row r="2622" ht="36" customHeight="1">
      <x:c r="A2622" s="5" t="str">
        <x:v>PF-0135</x:v>
      </x:c>
      <x:c r="B2622" s="5" t="str">
        <x:v>Führung und Zusammenarbeit</x:v>
      </x:c>
      <x:c r="C2622" s="11" t="n">
        <x:v>1</x:v>
      </x:c>
      <x:c r="D2622" s="11" t="n">
        <x:f>COUNTIF('Einzel-ID-Zuordnung'!$A$7:$A$2692,A2622)</x:f>
        <x:v>1</x:v>
      </x:c>
      <x:c r="E2622" s="11" t="n">
        <x:f>D2622-C2622</x:f>
        <x:v>0</x:v>
      </x:c>
      <x:c r="F2622" s="5" t="str">
        <x:v>nicht Pilot</x:v>
      </x:c>
      <x:c r="G2622" s="5" t="str">
        <x:v>HQ</x:v>
      </x:c>
    </x:row>
    <x:row r="2623" ht="36" customHeight="1">
      <x:c r="A2623" s="5" t="str">
        <x:v>PF-0136</x:v>
      </x:c>
      <x:c r="B2623" s="5" t="str">
        <x:v>Führung und Zusammenarbeit</x:v>
      </x:c>
      <x:c r="C2623" s="11" t="n">
        <x:v>1</x:v>
      </x:c>
      <x:c r="D2623" s="11" t="n">
        <x:f>COUNTIF('Einzel-ID-Zuordnung'!$A$7:$A$2692,A2623)</x:f>
        <x:v>1</x:v>
      </x:c>
      <x:c r="E2623" s="11" t="n">
        <x:f>D2623-C2623</x:f>
        <x:v>0</x:v>
      </x:c>
      <x:c r="F2623" s="5" t="str">
        <x:v>nicht Pilot</x:v>
      </x:c>
      <x:c r="G2623" s="5" t="str">
        <x:v>HQ</x:v>
      </x:c>
    </x:row>
    <x:row r="2624" ht="36" customHeight="1">
      <x:c r="A2624" s="5" t="str">
        <x:v>PF-0137</x:v>
      </x:c>
      <x:c r="B2624" s="5" t="str">
        <x:v>Führung und Zusammenarbeit</x:v>
      </x:c>
      <x:c r="C2624" s="11" t="n">
        <x:v>1</x:v>
      </x:c>
      <x:c r="D2624" s="11" t="n">
        <x:f>COUNTIF('Einzel-ID-Zuordnung'!$A$7:$A$2692,A2624)</x:f>
        <x:v>1</x:v>
      </x:c>
      <x:c r="E2624" s="11" t="n">
        <x:f>D2624-C2624</x:f>
        <x:v>0</x:v>
      </x:c>
      <x:c r="F2624" s="5" t="str">
        <x:v>nicht Pilot</x:v>
      </x:c>
      <x:c r="G2624" s="5" t="str">
        <x:v>HQ</x:v>
      </x:c>
    </x:row>
    <x:row r="2625" ht="36" customHeight="1">
      <x:c r="A2625" s="5" t="str">
        <x:v>PF-0138</x:v>
      </x:c>
      <x:c r="B2625" s="5" t="str">
        <x:v>Führung und Zusammenarbeit</x:v>
      </x:c>
      <x:c r="C2625" s="11" t="n">
        <x:v>1</x:v>
      </x:c>
      <x:c r="D2625" s="11" t="n">
        <x:f>COUNTIF('Einzel-ID-Zuordnung'!$A$7:$A$2692,A2625)</x:f>
        <x:v>1</x:v>
      </x:c>
      <x:c r="E2625" s="11" t="n">
        <x:f>D2625-C2625</x:f>
        <x:v>0</x:v>
      </x:c>
      <x:c r="F2625" s="5" t="str">
        <x:v>nicht Pilot</x:v>
      </x:c>
      <x:c r="G2625" s="5" t="str">
        <x:v>HQ</x:v>
      </x:c>
    </x:row>
    <x:row r="2626" ht="36" customHeight="1">
      <x:c r="A2626" s="5" t="str">
        <x:v>PF-0139</x:v>
      </x:c>
      <x:c r="B2626" s="5" t="str">
        <x:v>Führung und Zusammenarbeit</x:v>
      </x:c>
      <x:c r="C2626" s="11" t="n">
        <x:v>1</x:v>
      </x:c>
      <x:c r="D2626" s="11" t="n">
        <x:f>COUNTIF('Einzel-ID-Zuordnung'!$A$7:$A$2692,A2626)</x:f>
        <x:v>1</x:v>
      </x:c>
      <x:c r="E2626" s="11" t="n">
        <x:f>D2626-C2626</x:f>
        <x:v>0</x:v>
      </x:c>
      <x:c r="F2626" s="5" t="str">
        <x:v>nicht Pilot</x:v>
      </x:c>
      <x:c r="G2626" s="5" t="str">
        <x:v>HQ</x:v>
      </x:c>
    </x:row>
    <x:row r="2627" ht="36" customHeight="1">
      <x:c r="A2627" s="5" t="str">
        <x:v>PF-0140</x:v>
      </x:c>
      <x:c r="B2627" s="5" t="str">
        <x:v>Führung und Zusammenarbeit</x:v>
      </x:c>
      <x:c r="C2627" s="11" t="n">
        <x:v>1</x:v>
      </x:c>
      <x:c r="D2627" s="11" t="n">
        <x:f>COUNTIF('Einzel-ID-Zuordnung'!$A$7:$A$2692,A2627)</x:f>
        <x:v>1</x:v>
      </x:c>
      <x:c r="E2627" s="11" t="n">
        <x:f>D2627-C2627</x:f>
        <x:v>0</x:v>
      </x:c>
      <x:c r="F2627" s="5" t="str">
        <x:v>nicht Pilot</x:v>
      </x:c>
      <x:c r="G2627" s="5" t="str">
        <x:v>HQ</x:v>
      </x:c>
    </x:row>
    <x:row r="2628" ht="36" customHeight="1">
      <x:c r="A2628" s="5" t="str">
        <x:v>PF-0141</x:v>
      </x:c>
      <x:c r="B2628" s="5" t="str">
        <x:v>Führung und Zusammenarbeit</x:v>
      </x:c>
      <x:c r="C2628" s="11" t="n">
        <x:v>1</x:v>
      </x:c>
      <x:c r="D2628" s="11" t="n">
        <x:f>COUNTIF('Einzel-ID-Zuordnung'!$A$7:$A$2692,A2628)</x:f>
        <x:v>1</x:v>
      </x:c>
      <x:c r="E2628" s="11" t="n">
        <x:f>D2628-C2628</x:f>
        <x:v>0</x:v>
      </x:c>
      <x:c r="F2628" s="5" t="str">
        <x:v>nicht Pilot</x:v>
      </x:c>
      <x:c r="G2628" s="5" t="str">
        <x:v>HQ</x:v>
      </x:c>
    </x:row>
    <x:row r="2629" ht="36" customHeight="1">
      <x:c r="A2629" s="5" t="str">
        <x:v>PF-0142</x:v>
      </x:c>
      <x:c r="B2629" s="5" t="str">
        <x:v>Führung und Zusammenarbeit</x:v>
      </x:c>
      <x:c r="C2629" s="11" t="n">
        <x:v>1</x:v>
      </x:c>
      <x:c r="D2629" s="11" t="n">
        <x:f>COUNTIF('Einzel-ID-Zuordnung'!$A$7:$A$2692,A2629)</x:f>
        <x:v>1</x:v>
      </x:c>
      <x:c r="E2629" s="11" t="n">
        <x:f>D2629-C2629</x:f>
        <x:v>0</x:v>
      </x:c>
      <x:c r="F2629" s="5" t="str">
        <x:v>nicht Pilot</x:v>
      </x:c>
      <x:c r="G2629" s="5" t="str">
        <x:v>HQ</x:v>
      </x:c>
    </x:row>
    <x:row r="2630" ht="36" customHeight="1">
      <x:c r="A2630" s="5" t="str">
        <x:v>PF-0143</x:v>
      </x:c>
      <x:c r="B2630" s="5" t="str">
        <x:v>Führung und Zusammenarbeit</x:v>
      </x:c>
      <x:c r="C2630" s="11" t="n">
        <x:v>1</x:v>
      </x:c>
      <x:c r="D2630" s="11" t="n">
        <x:f>COUNTIF('Einzel-ID-Zuordnung'!$A$7:$A$2692,A2630)</x:f>
        <x:v>1</x:v>
      </x:c>
      <x:c r="E2630" s="11" t="n">
        <x:f>D2630-C2630</x:f>
        <x:v>0</x:v>
      </x:c>
      <x:c r="F2630" s="5" t="str">
        <x:v>nicht Pilot</x:v>
      </x:c>
      <x:c r="G2630" s="5" t="str">
        <x:v>HQ</x:v>
      </x:c>
    </x:row>
    <x:row r="2631" ht="36" customHeight="1">
      <x:c r="A2631" s="5" t="str">
        <x:v>PF-0144</x:v>
      </x:c>
      <x:c r="B2631" s="5" t="str">
        <x:v>Führung und Zusammenarbeit</x:v>
      </x:c>
      <x:c r="C2631" s="11" t="n">
        <x:v>1</x:v>
      </x:c>
      <x:c r="D2631" s="11" t="n">
        <x:f>COUNTIF('Einzel-ID-Zuordnung'!$A$7:$A$2692,A2631)</x:f>
        <x:v>1</x:v>
      </x:c>
      <x:c r="E2631" s="11" t="n">
        <x:f>D2631-C2631</x:f>
        <x:v>0</x:v>
      </x:c>
      <x:c r="F2631" s="5" t="str">
        <x:v>nicht Pilot</x:v>
      </x:c>
      <x:c r="G2631" s="5" t="str">
        <x:v>HQ</x:v>
      </x:c>
    </x:row>
    <x:row r="2632" ht="36" customHeight="1">
      <x:c r="A2632" s="5" t="str">
        <x:v>PF-0145</x:v>
      </x:c>
      <x:c r="B2632" s="5" t="str">
        <x:v>Führung und Zusammenarbeit</x:v>
      </x:c>
      <x:c r="C2632" s="11" t="n">
        <x:v>1</x:v>
      </x:c>
      <x:c r="D2632" s="11" t="n">
        <x:f>COUNTIF('Einzel-ID-Zuordnung'!$A$7:$A$2692,A2632)</x:f>
        <x:v>1</x:v>
      </x:c>
      <x:c r="E2632" s="11" t="n">
        <x:f>D2632-C2632</x:f>
        <x:v>0</x:v>
      </x:c>
      <x:c r="F2632" s="5" t="str">
        <x:v>nicht Pilot</x:v>
      </x:c>
      <x:c r="G2632" s="5" t="str">
        <x:v>HQ</x:v>
      </x:c>
    </x:row>
    <x:row r="2633" ht="36" customHeight="1">
      <x:c r="A2633" s="5" t="str">
        <x:v>PF-0146</x:v>
      </x:c>
      <x:c r="B2633" s="5" t="str">
        <x:v>Führung und Zusammenarbeit</x:v>
      </x:c>
      <x:c r="C2633" s="11" t="n">
        <x:v>1</x:v>
      </x:c>
      <x:c r="D2633" s="11" t="n">
        <x:f>COUNTIF('Einzel-ID-Zuordnung'!$A$7:$A$2692,A2633)</x:f>
        <x:v>1</x:v>
      </x:c>
      <x:c r="E2633" s="11" t="n">
        <x:f>D2633-C2633</x:f>
        <x:v>0</x:v>
      </x:c>
      <x:c r="F2633" s="5" t="str">
        <x:v>nicht Pilot</x:v>
      </x:c>
      <x:c r="G2633" s="5" t="str">
        <x:v>HQ</x:v>
      </x:c>
    </x:row>
    <x:row r="2634" ht="36" customHeight="1">
      <x:c r="A2634" s="5" t="str">
        <x:v>PF-0147</x:v>
      </x:c>
      <x:c r="B2634" s="5" t="str">
        <x:v>Führung und Zusammenarbeit</x:v>
      </x:c>
      <x:c r="C2634" s="11" t="n">
        <x:v>1</x:v>
      </x:c>
      <x:c r="D2634" s="11" t="n">
        <x:f>COUNTIF('Einzel-ID-Zuordnung'!$A$7:$A$2692,A2634)</x:f>
        <x:v>1</x:v>
      </x:c>
      <x:c r="E2634" s="11" t="n">
        <x:f>D2634-C2634</x:f>
        <x:v>0</x:v>
      </x:c>
      <x:c r="F2634" s="5" t="str">
        <x:v>nicht Pilot</x:v>
      </x:c>
      <x:c r="G2634" s="5" t="str">
        <x:v>HQ</x:v>
      </x:c>
    </x:row>
    <x:row r="2635" ht="36" customHeight="1">
      <x:c r="A2635" s="5" t="str">
        <x:v>PF-0148</x:v>
      </x:c>
      <x:c r="B2635" s="5" t="str">
        <x:v>Führung und Zusammenarbeit</x:v>
      </x:c>
      <x:c r="C2635" s="11" t="n">
        <x:v>1</x:v>
      </x:c>
      <x:c r="D2635" s="11" t="n">
        <x:f>COUNTIF('Einzel-ID-Zuordnung'!$A$7:$A$2692,A2635)</x:f>
        <x:v>1</x:v>
      </x:c>
      <x:c r="E2635" s="11" t="n">
        <x:f>D2635-C2635</x:f>
        <x:v>0</x:v>
      </x:c>
      <x:c r="F2635" s="5" t="str">
        <x:v>nicht Pilot</x:v>
      </x:c>
      <x:c r="G2635" s="5" t="str">
        <x:v>HQ</x:v>
      </x:c>
    </x:row>
    <x:row r="2636" ht="36" customHeight="1">
      <x:c r="A2636" s="5" t="str">
        <x:v>PF-0149</x:v>
      </x:c>
      <x:c r="B2636" s="5" t="str">
        <x:v>Führung und Zusammenarbeit</x:v>
      </x:c>
      <x:c r="C2636" s="11" t="n">
        <x:v>1</x:v>
      </x:c>
      <x:c r="D2636" s="11" t="n">
        <x:f>COUNTIF('Einzel-ID-Zuordnung'!$A$7:$A$2692,A2636)</x:f>
        <x:v>1</x:v>
      </x:c>
      <x:c r="E2636" s="11" t="n">
        <x:f>D2636-C2636</x:f>
        <x:v>0</x:v>
      </x:c>
      <x:c r="F2636" s="5" t="str">
        <x:v>nicht Pilot</x:v>
      </x:c>
      <x:c r="G2636" s="5" t="str">
        <x:v>HQ</x:v>
      </x:c>
    </x:row>
    <x:row r="2637" ht="36" customHeight="1">
      <x:c r="A2637" s="5" t="str">
        <x:v>PF-0150</x:v>
      </x:c>
      <x:c r="B2637" s="5" t="str">
        <x:v>Führung und Zusammenarbeit</x:v>
      </x:c>
      <x:c r="C2637" s="11" t="n">
        <x:v>1</x:v>
      </x:c>
      <x:c r="D2637" s="11" t="n">
        <x:f>COUNTIF('Einzel-ID-Zuordnung'!$A$7:$A$2692,A2637)</x:f>
        <x:v>1</x:v>
      </x:c>
      <x:c r="E2637" s="11" t="n">
        <x:f>D2637-C2637</x:f>
        <x:v>0</x:v>
      </x:c>
      <x:c r="F2637" s="5" t="str">
        <x:v>nicht Pilot</x:v>
      </x:c>
      <x:c r="G2637" s="5" t="str">
        <x:v>HQ</x:v>
      </x:c>
    </x:row>
    <x:row r="2638" ht="36" customHeight="1">
      <x:c r="A2638" s="5" t="str">
        <x:v>PF-0151</x:v>
      </x:c>
      <x:c r="B2638" s="5" t="str">
        <x:v>Führung und Zusammenarbeit</x:v>
      </x:c>
      <x:c r="C2638" s="11" t="n">
        <x:v>1</x:v>
      </x:c>
      <x:c r="D2638" s="11" t="n">
        <x:f>COUNTIF('Einzel-ID-Zuordnung'!$A$7:$A$2692,A2638)</x:f>
        <x:v>1</x:v>
      </x:c>
      <x:c r="E2638" s="11" t="n">
        <x:f>D2638-C2638</x:f>
        <x:v>0</x:v>
      </x:c>
      <x:c r="F2638" s="5" t="str">
        <x:v>nicht Pilot</x:v>
      </x:c>
      <x:c r="G2638" s="5" t="str">
        <x:v>HQ</x:v>
      </x:c>
    </x:row>
    <x:row r="2639" ht="36" customHeight="1">
      <x:c r="A2639" s="5" t="str">
        <x:v>PF-0152</x:v>
      </x:c>
      <x:c r="B2639" s="5" t="str">
        <x:v>Führung und Zusammenarbeit</x:v>
      </x:c>
      <x:c r="C2639" s="11" t="n">
        <x:v>1</x:v>
      </x:c>
      <x:c r="D2639" s="11" t="n">
        <x:f>COUNTIF('Einzel-ID-Zuordnung'!$A$7:$A$2692,A2639)</x:f>
        <x:v>1</x:v>
      </x:c>
      <x:c r="E2639" s="11" t="n">
        <x:f>D2639-C2639</x:f>
        <x:v>0</x:v>
      </x:c>
      <x:c r="F2639" s="5" t="str">
        <x:v>nicht Pilot</x:v>
      </x:c>
      <x:c r="G2639" s="5" t="str">
        <x:v>HQ</x:v>
      </x:c>
    </x:row>
    <x:row r="2640" ht="36" customHeight="1">
      <x:c r="A2640" s="5" t="str">
        <x:v>PF-0153</x:v>
      </x:c>
      <x:c r="B2640" s="5" t="str">
        <x:v>Führung und Zusammenarbeit</x:v>
      </x:c>
      <x:c r="C2640" s="11" t="n">
        <x:v>1</x:v>
      </x:c>
      <x:c r="D2640" s="11" t="n">
        <x:f>COUNTIF('Einzel-ID-Zuordnung'!$A$7:$A$2692,A2640)</x:f>
        <x:v>1</x:v>
      </x:c>
      <x:c r="E2640" s="11" t="n">
        <x:f>D2640-C2640</x:f>
        <x:v>0</x:v>
      </x:c>
      <x:c r="F2640" s="5" t="str">
        <x:v>nicht Pilot</x:v>
      </x:c>
      <x:c r="G2640" s="5" t="str">
        <x:v>HQ</x:v>
      </x:c>
    </x:row>
    <x:row r="2641" ht="36" customHeight="1">
      <x:c r="A2641" s="5" t="str">
        <x:v>PF-0154</x:v>
      </x:c>
      <x:c r="B2641" s="5" t="str">
        <x:v>Führung und Zusammenarbeit</x:v>
      </x:c>
      <x:c r="C2641" s="11" t="n">
        <x:v>1</x:v>
      </x:c>
      <x:c r="D2641" s="11" t="n">
        <x:f>COUNTIF('Einzel-ID-Zuordnung'!$A$7:$A$2692,A2641)</x:f>
        <x:v>1</x:v>
      </x:c>
      <x:c r="E2641" s="11" t="n">
        <x:f>D2641-C2641</x:f>
        <x:v>0</x:v>
      </x:c>
      <x:c r="F2641" s="5" t="str">
        <x:v>nicht Pilot</x:v>
      </x:c>
      <x:c r="G2641" s="5" t="str">
        <x:v>HQ</x:v>
      </x:c>
    </x:row>
    <x:row r="2642" ht="36" customHeight="1">
      <x:c r="A2642" s="5" t="str">
        <x:v>PF-0155</x:v>
      </x:c>
      <x:c r="B2642" s="5" t="str">
        <x:v>Führung und Zusammenarbeit</x:v>
      </x:c>
      <x:c r="C2642" s="11" t="n">
        <x:v>1</x:v>
      </x:c>
      <x:c r="D2642" s="11" t="n">
        <x:f>COUNTIF('Einzel-ID-Zuordnung'!$A$7:$A$2692,A2642)</x:f>
        <x:v>1</x:v>
      </x:c>
      <x:c r="E2642" s="11" t="n">
        <x:f>D2642-C2642</x:f>
        <x:v>0</x:v>
      </x:c>
      <x:c r="F2642" s="5" t="str">
        <x:v>nicht Pilot</x:v>
      </x:c>
      <x:c r="G2642" s="5" t="str">
        <x:v>HQ</x:v>
      </x:c>
    </x:row>
    <x:row r="2643" ht="36" customHeight="1">
      <x:c r="A2643" s="5" t="str">
        <x:v>PF-0156</x:v>
      </x:c>
      <x:c r="B2643" s="5" t="str">
        <x:v>Führung und Zusammenarbeit</x:v>
      </x:c>
      <x:c r="C2643" s="11" t="n">
        <x:v>1</x:v>
      </x:c>
      <x:c r="D2643" s="11" t="n">
        <x:f>COUNTIF('Einzel-ID-Zuordnung'!$A$7:$A$2692,A2643)</x:f>
        <x:v>1</x:v>
      </x:c>
      <x:c r="E2643" s="11" t="n">
        <x:f>D2643-C2643</x:f>
        <x:v>0</x:v>
      </x:c>
      <x:c r="F2643" s="5" t="str">
        <x:v>nicht Pilot</x:v>
      </x:c>
      <x:c r="G2643" s="5" t="str">
        <x:v>HQ</x:v>
      </x:c>
    </x:row>
    <x:row r="2644" ht="36" customHeight="1">
      <x:c r="A2644" s="5" t="str">
        <x:v>PF-0157</x:v>
      </x:c>
      <x:c r="B2644" s="5" t="str">
        <x:v>Führung und Zusammenarbeit</x:v>
      </x:c>
      <x:c r="C2644" s="11" t="n">
        <x:v>1</x:v>
      </x:c>
      <x:c r="D2644" s="11" t="n">
        <x:f>COUNTIF('Einzel-ID-Zuordnung'!$A$7:$A$2692,A2644)</x:f>
        <x:v>1</x:v>
      </x:c>
      <x:c r="E2644" s="11" t="n">
        <x:f>D2644-C2644</x:f>
        <x:v>0</x:v>
      </x:c>
      <x:c r="F2644" s="5" t="str">
        <x:v>nicht Pilot</x:v>
      </x:c>
      <x:c r="G2644" s="5" t="str">
        <x:v>HQ</x:v>
      </x:c>
    </x:row>
    <x:row r="2645" ht="36" customHeight="1">
      <x:c r="A2645" s="5" t="str">
        <x:v>PF-0158</x:v>
      </x:c>
      <x:c r="B2645" s="5" t="str">
        <x:v>Führung und Zusammenarbeit</x:v>
      </x:c>
      <x:c r="C2645" s="11" t="n">
        <x:v>1</x:v>
      </x:c>
      <x:c r="D2645" s="11" t="n">
        <x:f>COUNTIF('Einzel-ID-Zuordnung'!$A$7:$A$2692,A2645)</x:f>
        <x:v>1</x:v>
      </x:c>
      <x:c r="E2645" s="11" t="n">
        <x:f>D2645-C2645</x:f>
        <x:v>0</x:v>
      </x:c>
      <x:c r="F2645" s="5" t="str">
        <x:v>nicht Pilot</x:v>
      </x:c>
      <x:c r="G2645" s="5" t="str">
        <x:v>HQ</x:v>
      </x:c>
    </x:row>
    <x:row r="2646" ht="36" customHeight="1">
      <x:c r="A2646" s="5" t="str">
        <x:v>PF-0159</x:v>
      </x:c>
      <x:c r="B2646" s="5" t="str">
        <x:v>Führung und Zusammenarbeit</x:v>
      </x:c>
      <x:c r="C2646" s="11" t="n">
        <x:v>1</x:v>
      </x:c>
      <x:c r="D2646" s="11" t="n">
        <x:f>COUNTIF('Einzel-ID-Zuordnung'!$A$7:$A$2692,A2646)</x:f>
        <x:v>1</x:v>
      </x:c>
      <x:c r="E2646" s="11" t="n">
        <x:f>D2646-C2646</x:f>
        <x:v>0</x:v>
      </x:c>
      <x:c r="F2646" s="5" t="str">
        <x:v>nicht Pilot</x:v>
      </x:c>
      <x:c r="G2646" s="5" t="str">
        <x:v>HQ</x:v>
      </x:c>
    </x:row>
    <x:row r="2647" ht="36" customHeight="1">
      <x:c r="A2647" s="5" t="str">
        <x:v>PF-0160</x:v>
      </x:c>
      <x:c r="B2647" s="5" t="str">
        <x:v>Führung und Zusammenarbeit</x:v>
      </x:c>
      <x:c r="C2647" s="11" t="n">
        <x:v>1</x:v>
      </x:c>
      <x:c r="D2647" s="11" t="n">
        <x:f>COUNTIF('Einzel-ID-Zuordnung'!$A$7:$A$2692,A2647)</x:f>
        <x:v>1</x:v>
      </x:c>
      <x:c r="E2647" s="11" t="n">
        <x:f>D2647-C2647</x:f>
        <x:v>0</x:v>
      </x:c>
      <x:c r="F2647" s="5" t="str">
        <x:v>nicht Pilot</x:v>
      </x:c>
      <x:c r="G2647" s="5" t="str">
        <x:v>HQ</x:v>
      </x:c>
    </x:row>
    <x:row r="2648" ht="36" customHeight="1">
      <x:c r="A2648" s="5" t="str">
        <x:v>PF-0161</x:v>
      </x:c>
      <x:c r="B2648" s="5" t="str">
        <x:v>Führung und Zusammenarbeit</x:v>
      </x:c>
      <x:c r="C2648" s="11" t="n">
        <x:v>1</x:v>
      </x:c>
      <x:c r="D2648" s="11" t="n">
        <x:f>COUNTIF('Einzel-ID-Zuordnung'!$A$7:$A$2692,A2648)</x:f>
        <x:v>1</x:v>
      </x:c>
      <x:c r="E2648" s="11" t="n">
        <x:f>D2648-C2648</x:f>
        <x:v>0</x:v>
      </x:c>
      <x:c r="F2648" s="5" t="str">
        <x:v>nicht Pilot</x:v>
      </x:c>
      <x:c r="G2648" s="5" t="str">
        <x:v>HQ</x:v>
      </x:c>
    </x:row>
    <x:row r="2649" ht="36" customHeight="1">
      <x:c r="A2649" s="5" t="str">
        <x:v>PF-0162</x:v>
      </x:c>
      <x:c r="B2649" s="5" t="str">
        <x:v>Führung und Zusammenarbeit</x:v>
      </x:c>
      <x:c r="C2649" s="11" t="n">
        <x:v>1</x:v>
      </x:c>
      <x:c r="D2649" s="11" t="n">
        <x:f>COUNTIF('Einzel-ID-Zuordnung'!$A$7:$A$2692,A2649)</x:f>
        <x:v>1</x:v>
      </x:c>
      <x:c r="E2649" s="11" t="n">
        <x:f>D2649-C2649</x:f>
        <x:v>0</x:v>
      </x:c>
      <x:c r="F2649" s="5" t="str">
        <x:v>nicht Pilot</x:v>
      </x:c>
      <x:c r="G2649" s="5" t="str">
        <x:v>HQ</x:v>
      </x:c>
    </x:row>
    <x:row r="2650" ht="36" customHeight="1">
      <x:c r="A2650" s="5" t="str">
        <x:v>PF-0163</x:v>
      </x:c>
      <x:c r="B2650" s="5" t="str">
        <x:v>Führung und Zusammenarbeit</x:v>
      </x:c>
      <x:c r="C2650" s="11" t="n">
        <x:v>1</x:v>
      </x:c>
      <x:c r="D2650" s="11" t="n">
        <x:f>COUNTIF('Einzel-ID-Zuordnung'!$A$7:$A$2692,A2650)</x:f>
        <x:v>1</x:v>
      </x:c>
      <x:c r="E2650" s="11" t="n">
        <x:f>D2650-C2650</x:f>
        <x:v>0</x:v>
      </x:c>
      <x:c r="F2650" s="5" t="str">
        <x:v>nicht Pilot</x:v>
      </x:c>
      <x:c r="G2650" s="5" t="str">
        <x:v>HQ</x:v>
      </x:c>
    </x:row>
    <x:row r="2651" ht="36" customHeight="1">
      <x:c r="A2651" s="5" t="str">
        <x:v>PF-0164</x:v>
      </x:c>
      <x:c r="B2651" s="5" t="str">
        <x:v>Führung und Zusammenarbeit</x:v>
      </x:c>
      <x:c r="C2651" s="11" t="n">
        <x:v>1</x:v>
      </x:c>
      <x:c r="D2651" s="11" t="n">
        <x:f>COUNTIF('Einzel-ID-Zuordnung'!$A$7:$A$2692,A2651)</x:f>
        <x:v>1</x:v>
      </x:c>
      <x:c r="E2651" s="11" t="n">
        <x:f>D2651-C2651</x:f>
        <x:v>0</x:v>
      </x:c>
      <x:c r="F2651" s="5" t="str">
        <x:v>nicht Pilot</x:v>
      </x:c>
      <x:c r="G2651" s="5" t="str">
        <x:v>HQ</x:v>
      </x:c>
    </x:row>
    <x:row r="2652" ht="36" customHeight="1">
      <x:c r="A2652" s="5" t="str">
        <x:v>PF-0165</x:v>
      </x:c>
      <x:c r="B2652" s="5" t="str">
        <x:v>Führung und Zusammenarbeit</x:v>
      </x:c>
      <x:c r="C2652" s="11" t="n">
        <x:v>1</x:v>
      </x:c>
      <x:c r="D2652" s="11" t="n">
        <x:f>COUNTIF('Einzel-ID-Zuordnung'!$A$7:$A$2692,A2652)</x:f>
        <x:v>1</x:v>
      </x:c>
      <x:c r="E2652" s="11" t="n">
        <x:f>D2652-C2652</x:f>
        <x:v>0</x:v>
      </x:c>
      <x:c r="F2652" s="5" t="str">
        <x:v>nicht Pilot</x:v>
      </x:c>
      <x:c r="G2652" s="5" t="str">
        <x:v>HQ</x:v>
      </x:c>
    </x:row>
    <x:row r="2653" ht="36" customHeight="1">
      <x:c r="A2653" s="5" t="str">
        <x:v>PF-0166</x:v>
      </x:c>
      <x:c r="B2653" s="5" t="str">
        <x:v>Führung und Zusammenarbeit</x:v>
      </x:c>
      <x:c r="C2653" s="11" t="n">
        <x:v>1</x:v>
      </x:c>
      <x:c r="D2653" s="11" t="n">
        <x:f>COUNTIF('Einzel-ID-Zuordnung'!$A$7:$A$2692,A2653)</x:f>
        <x:v>1</x:v>
      </x:c>
      <x:c r="E2653" s="11" t="n">
        <x:f>D2653-C2653</x:f>
        <x:v>0</x:v>
      </x:c>
      <x:c r="F2653" s="5" t="str">
        <x:v>nicht Pilot</x:v>
      </x:c>
      <x:c r="G2653" s="5" t="str">
        <x:v>HQ</x:v>
      </x:c>
    </x:row>
    <x:row r="2654" ht="36" customHeight="1">
      <x:c r="A2654" s="5" t="str">
        <x:v>PF-0167</x:v>
      </x:c>
      <x:c r="B2654" s="5" t="str">
        <x:v>Führung und Zusammenarbeit</x:v>
      </x:c>
      <x:c r="C2654" s="11" t="n">
        <x:v>1</x:v>
      </x:c>
      <x:c r="D2654" s="11" t="n">
        <x:f>COUNTIF('Einzel-ID-Zuordnung'!$A$7:$A$2692,A2654)</x:f>
        <x:v>1</x:v>
      </x:c>
      <x:c r="E2654" s="11" t="n">
        <x:f>D2654-C2654</x:f>
        <x:v>0</x:v>
      </x:c>
      <x:c r="F2654" s="5" t="str">
        <x:v>nicht Pilot</x:v>
      </x:c>
      <x:c r="G2654" s="5" t="str">
        <x:v>HQ</x:v>
      </x:c>
    </x:row>
    <x:row r="2655" ht="36" customHeight="1">
      <x:c r="A2655" s="5" t="str">
        <x:v>PF-0168</x:v>
      </x:c>
      <x:c r="B2655" s="5" t="str">
        <x:v>Führung und Zusammenarbeit</x:v>
      </x:c>
      <x:c r="C2655" s="11" t="n">
        <x:v>1</x:v>
      </x:c>
      <x:c r="D2655" s="11" t="n">
        <x:f>COUNTIF('Einzel-ID-Zuordnung'!$A$7:$A$2692,A2655)</x:f>
        <x:v>1</x:v>
      </x:c>
      <x:c r="E2655" s="11" t="n">
        <x:f>D2655-C2655</x:f>
        <x:v>0</x:v>
      </x:c>
      <x:c r="F2655" s="5" t="str">
        <x:v>nicht Pilot</x:v>
      </x:c>
      <x:c r="G2655" s="5" t="str">
        <x:v>HQ</x:v>
      </x:c>
    </x:row>
    <x:row r="2656" ht="36" customHeight="1">
      <x:c r="A2656" s="5" t="str">
        <x:v>PF-0169</x:v>
      </x:c>
      <x:c r="B2656" s="5" t="str">
        <x:v>Führung und Zusammenarbeit</x:v>
      </x:c>
      <x:c r="C2656" s="11" t="n">
        <x:v>1</x:v>
      </x:c>
      <x:c r="D2656" s="11" t="n">
        <x:f>COUNTIF('Einzel-ID-Zuordnung'!$A$7:$A$2692,A2656)</x:f>
        <x:v>1</x:v>
      </x:c>
      <x:c r="E2656" s="11" t="n">
        <x:f>D2656-C2656</x:f>
        <x:v>0</x:v>
      </x:c>
      <x:c r="F2656" s="5" t="str">
        <x:v>nicht Pilot</x:v>
      </x:c>
      <x:c r="G2656" s="5" t="str">
        <x:v>HQ</x:v>
      </x:c>
    </x:row>
    <x:row r="2657" ht="36" customHeight="1">
      <x:c r="A2657" s="5" t="str">
        <x:v>PF-0170</x:v>
      </x:c>
      <x:c r="B2657" s="5" t="str">
        <x:v>Führung und Zusammenarbeit</x:v>
      </x:c>
      <x:c r="C2657" s="11" t="n">
        <x:v>1</x:v>
      </x:c>
      <x:c r="D2657" s="11" t="n">
        <x:f>COUNTIF('Einzel-ID-Zuordnung'!$A$7:$A$2692,A2657)</x:f>
        <x:v>1</x:v>
      </x:c>
      <x:c r="E2657" s="11" t="n">
        <x:f>D2657-C2657</x:f>
        <x:v>0</x:v>
      </x:c>
      <x:c r="F2657" s="5" t="str">
        <x:v>nicht Pilot</x:v>
      </x:c>
      <x:c r="G2657" s="5" t="str">
        <x:v>HQ</x:v>
      </x:c>
    </x:row>
    <x:row r="2658" ht="36" customHeight="1">
      <x:c r="A2658" s="5" t="str">
        <x:v>PF-0171</x:v>
      </x:c>
      <x:c r="B2658" s="5" t="str">
        <x:v>Führung und Zusammenarbeit</x:v>
      </x:c>
      <x:c r="C2658" s="11" t="n">
        <x:v>1</x:v>
      </x:c>
      <x:c r="D2658" s="11" t="n">
        <x:f>COUNTIF('Einzel-ID-Zuordnung'!$A$7:$A$2692,A2658)</x:f>
        <x:v>1</x:v>
      </x:c>
      <x:c r="E2658" s="11" t="n">
        <x:f>D2658-C2658</x:f>
        <x:v>0</x:v>
      </x:c>
      <x:c r="F2658" s="5" t="str">
        <x:v>nicht Pilot</x:v>
      </x:c>
      <x:c r="G2658" s="5" t="str">
        <x:v>HQ</x:v>
      </x:c>
    </x:row>
    <x:row r="2659" ht="36" customHeight="1">
      <x:c r="A2659" s="5" t="str">
        <x:v>PF-0172</x:v>
      </x:c>
      <x:c r="B2659" s="5" t="str">
        <x:v>Führung und Zusammenarbeit</x:v>
      </x:c>
      <x:c r="C2659" s="11" t="n">
        <x:v>1</x:v>
      </x:c>
      <x:c r="D2659" s="11" t="n">
        <x:f>COUNTIF('Einzel-ID-Zuordnung'!$A$7:$A$2692,A2659)</x:f>
        <x:v>1</x:v>
      </x:c>
      <x:c r="E2659" s="11" t="n">
        <x:f>D2659-C2659</x:f>
        <x:v>0</x:v>
      </x:c>
      <x:c r="F2659" s="5" t="str">
        <x:v>nicht Pilot</x:v>
      </x:c>
      <x:c r="G2659" s="5" t="str">
        <x:v>HQ</x:v>
      </x:c>
    </x:row>
    <x:row r="2660" ht="36" customHeight="1">
      <x:c r="A2660" s="5" t="str">
        <x:v>PF-0173</x:v>
      </x:c>
      <x:c r="B2660" s="5" t="str">
        <x:v>Führung und Zusammenarbeit</x:v>
      </x:c>
      <x:c r="C2660" s="11" t="n">
        <x:v>1</x:v>
      </x:c>
      <x:c r="D2660" s="11" t="n">
        <x:f>COUNTIF('Einzel-ID-Zuordnung'!$A$7:$A$2692,A2660)</x:f>
        <x:v>1</x:v>
      </x:c>
      <x:c r="E2660" s="11" t="n">
        <x:f>D2660-C2660</x:f>
        <x:v>0</x:v>
      </x:c>
      <x:c r="F2660" s="5" t="str">
        <x:v>nicht Pilot</x:v>
      </x:c>
      <x:c r="G2660" s="5" t="str">
        <x:v>HQ</x:v>
      </x:c>
    </x:row>
    <x:row r="2661" ht="36" customHeight="1">
      <x:c r="A2661" s="5" t="str">
        <x:v>PF-0174</x:v>
      </x:c>
      <x:c r="B2661" s="5" t="str">
        <x:v>Führung und Zusammenarbeit</x:v>
      </x:c>
      <x:c r="C2661" s="11" t="n">
        <x:v>1</x:v>
      </x:c>
      <x:c r="D2661" s="11" t="n">
        <x:f>COUNTIF('Einzel-ID-Zuordnung'!$A$7:$A$2692,A2661)</x:f>
        <x:v>1</x:v>
      </x:c>
      <x:c r="E2661" s="11" t="n">
        <x:f>D2661-C2661</x:f>
        <x:v>0</x:v>
      </x:c>
      <x:c r="F2661" s="5" t="str">
        <x:v>nicht Pilot</x:v>
      </x:c>
      <x:c r="G2661" s="5" t="str">
        <x:v>HQ</x:v>
      </x:c>
    </x:row>
    <x:row r="2662" ht="36" customHeight="1">
      <x:c r="A2662" s="5" t="str">
        <x:v>PF-0175</x:v>
      </x:c>
      <x:c r="B2662" s="5" t="str">
        <x:v>Führung und Zusammenarbeit</x:v>
      </x:c>
      <x:c r="C2662" s="11" t="n">
        <x:v>1</x:v>
      </x:c>
      <x:c r="D2662" s="11" t="n">
        <x:f>COUNTIF('Einzel-ID-Zuordnung'!$A$7:$A$2692,A2662)</x:f>
        <x:v>1</x:v>
      </x:c>
      <x:c r="E2662" s="11" t="n">
        <x:f>D2662-C2662</x:f>
        <x:v>0</x:v>
      </x:c>
      <x:c r="F2662" s="5" t="str">
        <x:v>nicht Pilot</x:v>
      </x:c>
      <x:c r="G2662" s="5" t="str">
        <x:v>HQ</x:v>
      </x:c>
    </x:row>
    <x:row r="2663" ht="36" customHeight="1">
      <x:c r="A2663" s="5" t="str">
        <x:v>PF-0176</x:v>
      </x:c>
      <x:c r="B2663" s="5" t="str">
        <x:v>Führung und Zusammenarbeit</x:v>
      </x:c>
      <x:c r="C2663" s="11" t="n">
        <x:v>1</x:v>
      </x:c>
      <x:c r="D2663" s="11" t="n">
        <x:f>COUNTIF('Einzel-ID-Zuordnung'!$A$7:$A$2692,A2663)</x:f>
        <x:v>1</x:v>
      </x:c>
      <x:c r="E2663" s="11" t="n">
        <x:f>D2663-C2663</x:f>
        <x:v>0</x:v>
      </x:c>
      <x:c r="F2663" s="5" t="str">
        <x:v>nicht Pilot</x:v>
      </x:c>
      <x:c r="G2663" s="5" t="str">
        <x:v>HQ</x:v>
      </x:c>
    </x:row>
    <x:row r="2664" ht="36" customHeight="1">
      <x:c r="A2664" s="5" t="str">
        <x:v>PF-0177</x:v>
      </x:c>
      <x:c r="B2664" s="5" t="str">
        <x:v>Führung und Zusammenarbeit</x:v>
      </x:c>
      <x:c r="C2664" s="11" t="n">
        <x:v>1</x:v>
      </x:c>
      <x:c r="D2664" s="11" t="n">
        <x:f>COUNTIF('Einzel-ID-Zuordnung'!$A$7:$A$2692,A2664)</x:f>
        <x:v>1</x:v>
      </x:c>
      <x:c r="E2664" s="11" t="n">
        <x:f>D2664-C2664</x:f>
        <x:v>0</x:v>
      </x:c>
      <x:c r="F2664" s="5" t="str">
        <x:v>nicht Pilot</x:v>
      </x:c>
      <x:c r="G2664" s="5" t="str">
        <x:v>HQ</x:v>
      </x:c>
    </x:row>
    <x:row r="2665" ht="36" customHeight="1">
      <x:c r="A2665" s="5" t="str">
        <x:v>PF-0178</x:v>
      </x:c>
      <x:c r="B2665" s="5" t="str">
        <x:v>Führung und Zusammenarbeit</x:v>
      </x:c>
      <x:c r="C2665" s="11" t="n">
        <x:v>1</x:v>
      </x:c>
      <x:c r="D2665" s="11" t="n">
        <x:f>COUNTIF('Einzel-ID-Zuordnung'!$A$7:$A$2692,A2665)</x:f>
        <x:v>1</x:v>
      </x:c>
      <x:c r="E2665" s="11" t="n">
        <x:f>D2665-C2665</x:f>
        <x:v>0</x:v>
      </x:c>
      <x:c r="F2665" s="5" t="str">
        <x:v>nicht Pilot</x:v>
      </x:c>
      <x:c r="G2665" s="5" t="str">
        <x:v>HQ</x:v>
      </x:c>
    </x:row>
    <x:row r="2666" ht="36" customHeight="1">
      <x:c r="A2666" s="5" t="str">
        <x:v>PF-0179</x:v>
      </x:c>
      <x:c r="B2666" s="5" t="str">
        <x:v>Führung und Zusammenarbeit</x:v>
      </x:c>
      <x:c r="C2666" s="11" t="n">
        <x:v>1</x:v>
      </x:c>
      <x:c r="D2666" s="11" t="n">
        <x:f>COUNTIF('Einzel-ID-Zuordnung'!$A$7:$A$2692,A2666)</x:f>
        <x:v>1</x:v>
      </x:c>
      <x:c r="E2666" s="11" t="n">
        <x:f>D2666-C2666</x:f>
        <x:v>0</x:v>
      </x:c>
      <x:c r="F2666" s="5" t="str">
        <x:v>nicht Pilot</x:v>
      </x:c>
      <x:c r="G2666" s="5" t="str">
        <x:v>HQ</x:v>
      </x:c>
    </x:row>
    <x:row r="2667" ht="36" customHeight="1">
      <x:c r="A2667" s="5" t="str">
        <x:v>PF-0180</x:v>
      </x:c>
      <x:c r="B2667" s="5" t="str">
        <x:v>Führung und Zusammenarbeit</x:v>
      </x:c>
      <x:c r="C2667" s="11" t="n">
        <x:v>1</x:v>
      </x:c>
      <x:c r="D2667" s="11" t="n">
        <x:f>COUNTIF('Einzel-ID-Zuordnung'!$A$7:$A$2692,A2667)</x:f>
        <x:v>1</x:v>
      </x:c>
      <x:c r="E2667" s="11" t="n">
        <x:f>D2667-C2667</x:f>
        <x:v>0</x:v>
      </x:c>
      <x:c r="F2667" s="5" t="str">
        <x:v>nicht Pilot</x:v>
      </x:c>
      <x:c r="G2667" s="5" t="str">
        <x:v>HQ</x:v>
      </x:c>
    </x:row>
    <x:row r="2668" ht="36" customHeight="1">
      <x:c r="A2668" s="5" t="str">
        <x:v>PF-0181</x:v>
      </x:c>
      <x:c r="B2668" s="5" t="str">
        <x:v>Führung und Zusammenarbeit</x:v>
      </x:c>
      <x:c r="C2668" s="11" t="n">
        <x:v>1</x:v>
      </x:c>
      <x:c r="D2668" s="11" t="n">
        <x:f>COUNTIF('Einzel-ID-Zuordnung'!$A$7:$A$2692,A2668)</x:f>
        <x:v>1</x:v>
      </x:c>
      <x:c r="E2668" s="11" t="n">
        <x:f>D2668-C2668</x:f>
        <x:v>0</x:v>
      </x:c>
      <x:c r="F2668" s="5" t="str">
        <x:v>nicht Pilot</x:v>
      </x:c>
      <x:c r="G2668" s="5" t="str">
        <x:v>HQ</x:v>
      </x:c>
    </x:row>
    <x:row r="2669" ht="36" customHeight="1">
      <x:c r="A2669" s="5" t="str">
        <x:v>PF-0182</x:v>
      </x:c>
      <x:c r="B2669" s="5" t="str">
        <x:v>Führung und Zusammenarbeit</x:v>
      </x:c>
      <x:c r="C2669" s="11" t="n">
        <x:v>1</x:v>
      </x:c>
      <x:c r="D2669" s="11" t="n">
        <x:f>COUNTIF('Einzel-ID-Zuordnung'!$A$7:$A$2692,A2669)</x:f>
        <x:v>1</x:v>
      </x:c>
      <x:c r="E2669" s="11" t="n">
        <x:f>D2669-C2669</x:f>
        <x:v>0</x:v>
      </x:c>
      <x:c r="F2669" s="5" t="str">
        <x:v>nicht Pilot</x:v>
      </x:c>
      <x:c r="G2669" s="5" t="str">
        <x:v>HQ</x:v>
      </x:c>
    </x:row>
    <x:row r="2670" ht="36" customHeight="1">
      <x:c r="A2670" s="5" t="str">
        <x:v>PF-0183</x:v>
      </x:c>
      <x:c r="B2670" s="5" t="str">
        <x:v>Führung und Zusammenarbeit</x:v>
      </x:c>
      <x:c r="C2670" s="11" t="n">
        <x:v>1</x:v>
      </x:c>
      <x:c r="D2670" s="11" t="n">
        <x:f>COUNTIF('Einzel-ID-Zuordnung'!$A$7:$A$2692,A2670)</x:f>
        <x:v>1</x:v>
      </x:c>
      <x:c r="E2670" s="11" t="n">
        <x:f>D2670-C2670</x:f>
        <x:v>0</x:v>
      </x:c>
      <x:c r="F2670" s="5" t="str">
        <x:v>nicht Pilot</x:v>
      </x:c>
      <x:c r="G2670" s="5" t="str">
        <x:v>HQ</x:v>
      </x:c>
    </x:row>
    <x:row r="2671" ht="36" customHeight="1">
      <x:c r="A2671" s="5" t="str">
        <x:v>PF-0184</x:v>
      </x:c>
      <x:c r="B2671" s="5" t="str">
        <x:v>Führung und Zusammenarbeit</x:v>
      </x:c>
      <x:c r="C2671" s="11" t="n">
        <x:v>1</x:v>
      </x:c>
      <x:c r="D2671" s="11" t="n">
        <x:f>COUNTIF('Einzel-ID-Zuordnung'!$A$7:$A$2692,A2671)</x:f>
        <x:v>1</x:v>
      </x:c>
      <x:c r="E2671" s="11" t="n">
        <x:f>D2671-C2671</x:f>
        <x:v>0</x:v>
      </x:c>
      <x:c r="F2671" s="5" t="str">
        <x:v>nicht Pilot</x:v>
      </x:c>
      <x:c r="G2671" s="5" t="str">
        <x:v>HQ</x:v>
      </x:c>
    </x:row>
    <x:row r="2672" ht="36" customHeight="1">
      <x:c r="A2672" s="5" t="str">
        <x:v>PF-0185</x:v>
      </x:c>
      <x:c r="B2672" s="5" t="str">
        <x:v>Führung und Zusammenarbeit</x:v>
      </x:c>
      <x:c r="C2672" s="11" t="n">
        <x:v>1</x:v>
      </x:c>
      <x:c r="D2672" s="11" t="n">
        <x:f>COUNTIF('Einzel-ID-Zuordnung'!$A$7:$A$2692,A2672)</x:f>
        <x:v>1</x:v>
      </x:c>
      <x:c r="E2672" s="11" t="n">
        <x:f>D2672-C2672</x:f>
        <x:v>0</x:v>
      </x:c>
      <x:c r="F2672" s="5" t="str">
        <x:v>nicht Pilot</x:v>
      </x:c>
      <x:c r="G2672" s="5" t="str">
        <x:v>HQ</x:v>
      </x:c>
    </x:row>
    <x:row r="2673" ht="36" customHeight="1">
      <x:c r="A2673" s="5" t="str">
        <x:v>PF-0186</x:v>
      </x:c>
      <x:c r="B2673" s="5" t="str">
        <x:v>Führung und Zusammenarbeit</x:v>
      </x:c>
      <x:c r="C2673" s="11" t="n">
        <x:v>1</x:v>
      </x:c>
      <x:c r="D2673" s="11" t="n">
        <x:f>COUNTIF('Einzel-ID-Zuordnung'!$A$7:$A$2692,A2673)</x:f>
        <x:v>1</x:v>
      </x:c>
      <x:c r="E2673" s="11" t="n">
        <x:f>D2673-C2673</x:f>
        <x:v>0</x:v>
      </x:c>
      <x:c r="F2673" s="5" t="str">
        <x:v>nicht Pilot</x:v>
      </x:c>
      <x:c r="G2673" s="5" t="str">
        <x:v>HQ</x:v>
      </x:c>
    </x:row>
    <x:row r="2674" ht="36" customHeight="1">
      <x:c r="A2674" s="5" t="str">
        <x:v>PF-0187</x:v>
      </x:c>
      <x:c r="B2674" s="5" t="str">
        <x:v>Führung und Zusammenarbeit</x:v>
      </x:c>
      <x:c r="C2674" s="11" t="n">
        <x:v>1</x:v>
      </x:c>
      <x:c r="D2674" s="11" t="n">
        <x:f>COUNTIF('Einzel-ID-Zuordnung'!$A$7:$A$2692,A2674)</x:f>
        <x:v>1</x:v>
      </x:c>
      <x:c r="E2674" s="11" t="n">
        <x:f>D2674-C2674</x:f>
        <x:v>0</x:v>
      </x:c>
      <x:c r="F2674" s="5" t="str">
        <x:v>nicht Pilot</x:v>
      </x:c>
      <x:c r="G2674" s="5" t="str">
        <x:v>HQ</x:v>
      </x:c>
    </x:row>
    <x:row r="2675" ht="36" customHeight="1">
      <x:c r="A2675" s="5" t="str">
        <x:v>PF-0188</x:v>
      </x:c>
      <x:c r="B2675" s="5" t="str">
        <x:v>Führung und Zusammenarbeit</x:v>
      </x:c>
      <x:c r="C2675" s="11" t="n">
        <x:v>1</x:v>
      </x:c>
      <x:c r="D2675" s="11" t="n">
        <x:f>COUNTIF('Einzel-ID-Zuordnung'!$A$7:$A$2692,A2675)</x:f>
        <x:v>1</x:v>
      </x:c>
      <x:c r="E2675" s="11" t="n">
        <x:f>D2675-C2675</x:f>
        <x:v>0</x:v>
      </x:c>
      <x:c r="F2675" s="5" t="str">
        <x:v>nicht Pilot</x:v>
      </x:c>
      <x:c r="G2675" s="5" t="str">
        <x:v>HQ</x:v>
      </x:c>
    </x:row>
    <x:row r="2676" ht="36" customHeight="1">
      <x:c r="A2676" s="5" t="str">
        <x:v>PF-0189</x:v>
      </x:c>
      <x:c r="B2676" s="5" t="str">
        <x:v>Führung und Zusammenarbeit</x:v>
      </x:c>
      <x:c r="C2676" s="11" t="n">
        <x:v>1</x:v>
      </x:c>
      <x:c r="D2676" s="11" t="n">
        <x:f>COUNTIF('Einzel-ID-Zuordnung'!$A$7:$A$2692,A2676)</x:f>
        <x:v>1</x:v>
      </x:c>
      <x:c r="E2676" s="11" t="n">
        <x:f>D2676-C2676</x:f>
        <x:v>0</x:v>
      </x:c>
      <x:c r="F2676" s="5" t="str">
        <x:v>nicht Pilot</x:v>
      </x:c>
      <x:c r="G2676" s="5" t="str">
        <x:v>HQ</x:v>
      </x:c>
    </x:row>
    <x:row r="2677" ht="36" customHeight="1">
      <x:c r="A2677" s="5" t="str">
        <x:v>PF-0190</x:v>
      </x:c>
      <x:c r="B2677" s="5" t="str">
        <x:v>Führung und Zusammenarbeit</x:v>
      </x:c>
      <x:c r="C2677" s="11" t="n">
        <x:v>1</x:v>
      </x:c>
      <x:c r="D2677" s="11" t="n">
        <x:f>COUNTIF('Einzel-ID-Zuordnung'!$A$7:$A$2692,A2677)</x:f>
        <x:v>1</x:v>
      </x:c>
      <x:c r="E2677" s="11" t="n">
        <x:f>D2677-C2677</x:f>
        <x:v>0</x:v>
      </x:c>
      <x:c r="F2677" s="5" t="str">
        <x:v>nicht Pilot</x:v>
      </x:c>
      <x:c r="G2677" s="5" t="str">
        <x:v>HQ</x:v>
      </x:c>
    </x:row>
    <x:row r="2678" ht="36" customHeight="1">
      <x:c r="A2678" s="5" t="str">
        <x:v>PF-0191</x:v>
      </x:c>
      <x:c r="B2678" s="5" t="str">
        <x:v>Führung und Zusammenarbeit</x:v>
      </x:c>
      <x:c r="C2678" s="11" t="n">
        <x:v>1</x:v>
      </x:c>
      <x:c r="D2678" s="11" t="n">
        <x:f>COUNTIF('Einzel-ID-Zuordnung'!$A$7:$A$2692,A2678)</x:f>
        <x:v>1</x:v>
      </x:c>
      <x:c r="E2678" s="11" t="n">
        <x:f>D2678-C2678</x:f>
        <x:v>0</x:v>
      </x:c>
      <x:c r="F2678" s="5" t="str">
        <x:v>nicht Pilot</x:v>
      </x:c>
      <x:c r="G2678" s="5" t="str">
        <x:v>HQ</x:v>
      </x:c>
    </x:row>
    <x:row r="2679" ht="36" customHeight="1">
      <x:c r="A2679" s="5" t="str">
        <x:v>PF-0192</x:v>
      </x:c>
      <x:c r="B2679" s="5" t="str">
        <x:v>Führung und Zusammenarbeit</x:v>
      </x:c>
      <x:c r="C2679" s="11" t="n">
        <x:v>1</x:v>
      </x:c>
      <x:c r="D2679" s="11" t="n">
        <x:f>COUNTIF('Einzel-ID-Zuordnung'!$A$7:$A$2692,A2679)</x:f>
        <x:v>1</x:v>
      </x:c>
      <x:c r="E2679" s="11" t="n">
        <x:f>D2679-C2679</x:f>
        <x:v>0</x:v>
      </x:c>
      <x:c r="F2679" s="5" t="str">
        <x:v>nicht Pilot</x:v>
      </x:c>
      <x:c r="G2679" s="5" t="str">
        <x:v>HQ</x:v>
      </x:c>
    </x:row>
    <x:row r="2680" ht="36" customHeight="1">
      <x:c r="A2680" s="5" t="str">
        <x:v>PF-0193</x:v>
      </x:c>
      <x:c r="B2680" s="5" t="str">
        <x:v>Führung und Zusammenarbeit</x:v>
      </x:c>
      <x:c r="C2680" s="11" t="n">
        <x:v>1</x:v>
      </x:c>
      <x:c r="D2680" s="11" t="n">
        <x:f>COUNTIF('Einzel-ID-Zuordnung'!$A$7:$A$2692,A2680)</x:f>
        <x:v>1</x:v>
      </x:c>
      <x:c r="E2680" s="11" t="n">
        <x:f>D2680-C2680</x:f>
        <x:v>0</x:v>
      </x:c>
      <x:c r="F2680" s="5" t="str">
        <x:v>nicht Pilot</x:v>
      </x:c>
      <x:c r="G2680" s="5" t="str">
        <x:v>HQ</x:v>
      </x:c>
    </x:row>
    <x:row r="2681" ht="36" customHeight="1">
      <x:c r="A2681" s="5" t="str">
        <x:v>PF-0194</x:v>
      </x:c>
      <x:c r="B2681" s="5" t="str">
        <x:v>Führung und Zusammenarbeit</x:v>
      </x:c>
      <x:c r="C2681" s="11" t="n">
        <x:v>1</x:v>
      </x:c>
      <x:c r="D2681" s="11" t="n">
        <x:f>COUNTIF('Einzel-ID-Zuordnung'!$A$7:$A$2692,A2681)</x:f>
        <x:v>1</x:v>
      </x:c>
      <x:c r="E2681" s="11" t="n">
        <x:f>D2681-C2681</x:f>
        <x:v>0</x:v>
      </x:c>
      <x:c r="F2681" s="5" t="str">
        <x:v>nicht Pilot</x:v>
      </x:c>
      <x:c r="G2681" s="5" t="str">
        <x:v>HQ</x:v>
      </x:c>
    </x:row>
    <x:row r="2682" ht="36" customHeight="1">
      <x:c r="A2682" s="5" t="str">
        <x:v>PF-0195</x:v>
      </x:c>
      <x:c r="B2682" s="5" t="str">
        <x:v>Führung und Zusammenarbeit</x:v>
      </x:c>
      <x:c r="C2682" s="11" t="n">
        <x:v>1</x:v>
      </x:c>
      <x:c r="D2682" s="11" t="n">
        <x:f>COUNTIF('Einzel-ID-Zuordnung'!$A$7:$A$2692,A2682)</x:f>
        <x:v>1</x:v>
      </x:c>
      <x:c r="E2682" s="11" t="n">
        <x:f>D2682-C2682</x:f>
        <x:v>0</x:v>
      </x:c>
      <x:c r="F2682" s="5" t="str">
        <x:v>nicht Pilot</x:v>
      </x:c>
      <x:c r="G2682" s="5" t="str">
        <x:v>HQ</x:v>
      </x:c>
    </x:row>
    <x:row r="2683" ht="36" customHeight="1">
      <x:c r="A2683" s="5" t="str">
        <x:v>PF-0196</x:v>
      </x:c>
      <x:c r="B2683" s="5" t="str">
        <x:v>Führung und Zusammenarbeit</x:v>
      </x:c>
      <x:c r="C2683" s="11" t="n">
        <x:v>1</x:v>
      </x:c>
      <x:c r="D2683" s="11" t="n">
        <x:f>COUNTIF('Einzel-ID-Zuordnung'!$A$7:$A$2692,A2683)</x:f>
        <x:v>1</x:v>
      </x:c>
      <x:c r="E2683" s="11" t="n">
        <x:f>D2683-C2683</x:f>
        <x:v>0</x:v>
      </x:c>
      <x:c r="F2683" s="5" t="str">
        <x:v>nicht Pilot</x:v>
      </x:c>
      <x:c r="G2683" s="5" t="str">
        <x:v>HQ</x:v>
      </x:c>
    </x:row>
    <x:row r="2684" ht="36" customHeight="1">
      <x:c r="A2684" s="5" t="str">
        <x:v>PF-0197</x:v>
      </x:c>
      <x:c r="B2684" s="5" t="str">
        <x:v>Führung und Zusammenarbeit</x:v>
      </x:c>
      <x:c r="C2684" s="11" t="n">
        <x:v>1</x:v>
      </x:c>
      <x:c r="D2684" s="11" t="n">
        <x:f>COUNTIF('Einzel-ID-Zuordnung'!$A$7:$A$2692,A2684)</x:f>
        <x:v>1</x:v>
      </x:c>
      <x:c r="E2684" s="11" t="n">
        <x:f>D2684-C2684</x:f>
        <x:v>0</x:v>
      </x:c>
      <x:c r="F2684" s="5" t="str">
        <x:v>nicht Pilot</x:v>
      </x:c>
      <x:c r="G2684" s="5" t="str">
        <x:v>HQ</x:v>
      </x:c>
    </x:row>
    <x:row r="2685" ht="36" customHeight="1">
      <x:c r="A2685" s="5" t="str">
        <x:v>PF-0198</x:v>
      </x:c>
      <x:c r="B2685" s="5" t="str">
        <x:v>Führung und Zusammenarbeit</x:v>
      </x:c>
      <x:c r="C2685" s="11" t="n">
        <x:v>1</x:v>
      </x:c>
      <x:c r="D2685" s="11" t="n">
        <x:f>COUNTIF('Einzel-ID-Zuordnung'!$A$7:$A$2692,A2685)</x:f>
        <x:v>1</x:v>
      </x:c>
      <x:c r="E2685" s="11" t="n">
        <x:f>D2685-C2685</x:f>
        <x:v>0</x:v>
      </x:c>
      <x:c r="F2685" s="5" t="str">
        <x:v>nicht Pilot</x:v>
      </x:c>
      <x:c r="G2685" s="5" t="str">
        <x:v>HQ</x:v>
      </x:c>
    </x:row>
    <x:row r="2686" ht="36" customHeight="1">
      <x:c r="A2686" s="5" t="str">
        <x:v>PF-0199</x:v>
      </x:c>
      <x:c r="B2686" s="5" t="str">
        <x:v>Führung und Zusammenarbeit</x:v>
      </x:c>
      <x:c r="C2686" s="11" t="n">
        <x:v>1</x:v>
      </x:c>
      <x:c r="D2686" s="11" t="n">
        <x:f>COUNTIF('Einzel-ID-Zuordnung'!$A$7:$A$2692,A2686)</x:f>
        <x:v>1</x:v>
      </x:c>
      <x:c r="E2686" s="11" t="n">
        <x:f>D2686-C2686</x:f>
        <x:v>0</x:v>
      </x:c>
      <x:c r="F2686" s="5" t="str">
        <x:v>nicht Pilot</x:v>
      </x:c>
      <x:c r="G2686" s="5" t="str">
        <x:v>HQ</x:v>
      </x:c>
    </x:row>
    <x:row r="2687" ht="36" customHeight="1">
      <x:c r="A2687" s="5" t="str">
        <x:v>PF-0200</x:v>
      </x:c>
      <x:c r="B2687" s="5" t="str">
        <x:v>Führung und Zusammenarbeit</x:v>
      </x:c>
      <x:c r="C2687" s="11" t="n">
        <x:v>1</x:v>
      </x:c>
      <x:c r="D2687" s="11" t="n">
        <x:f>COUNTIF('Einzel-ID-Zuordnung'!$A$7:$A$2692,A2687)</x:f>
        <x:v>1</x:v>
      </x:c>
      <x:c r="E2687" s="11" t="n">
        <x:f>D2687-C2687</x:f>
        <x:v>0</x:v>
      </x:c>
      <x:c r="F2687" s="5" t="str">
        <x:v>nicht Pilot</x:v>
      </x:c>
      <x:c r="G2687" s="5" t="str">
        <x:v>HQ</x:v>
      </x:c>
    </x:row>
    <x:row r="2688" ht="36" customHeight="1">
      <x:c r="A2688" s="5" t="str">
        <x:v>PF-0201</x:v>
      </x:c>
      <x:c r="B2688" s="5" t="str">
        <x:v>Führung und Zusammenarbeit</x:v>
      </x:c>
      <x:c r="C2688" s="11" t="n">
        <x:v>1</x:v>
      </x:c>
      <x:c r="D2688" s="11" t="n">
        <x:f>COUNTIF('Einzel-ID-Zuordnung'!$A$7:$A$2692,A2688)</x:f>
        <x:v>1</x:v>
      </x:c>
      <x:c r="E2688" s="11" t="n">
        <x:f>D2688-C2688</x:f>
        <x:v>0</x:v>
      </x:c>
      <x:c r="F2688" s="5" t="str">
        <x:v>nicht Pilot</x:v>
      </x:c>
      <x:c r="G2688" s="5" t="str">
        <x:v>HQ</x:v>
      </x:c>
    </x:row>
    <x:row r="2689" ht="36" customHeight="1">
      <x:c r="A2689" s="5" t="str">
        <x:v>PF-0204</x:v>
      </x:c>
      <x:c r="B2689" s="5" t="str">
        <x:v>Führung und Zusammenarbeit</x:v>
      </x:c>
      <x:c r="C2689" s="11" t="n">
        <x:v>1</x:v>
      </x:c>
      <x:c r="D2689" s="11" t="n">
        <x:f>COUNTIF('Einzel-ID-Zuordnung'!$A$7:$A$2692,A2689)</x:f>
        <x:v>1</x:v>
      </x:c>
      <x:c r="E2689" s="11" t="n">
        <x:f>D2689-C2689</x:f>
        <x:v>0</x:v>
      </x:c>
      <x:c r="F2689" s="5" t="str">
        <x:v>nicht Pilot</x:v>
      </x:c>
      <x:c r="G2689" s="5" t="str">
        <x:v>HQ</x:v>
      </x:c>
    </x:row>
    <x:row r="2690" ht="36" customHeight="1">
      <x:c r="A2690" s="5" t="str">
        <x:v>PF-0205</x:v>
      </x:c>
      <x:c r="B2690" s="5" t="str">
        <x:v>Führung und Zusammenarbeit</x:v>
      </x:c>
      <x:c r="C2690" s="11" t="n">
        <x:v>1</x:v>
      </x:c>
      <x:c r="D2690" s="11" t="n">
        <x:f>COUNTIF('Einzel-ID-Zuordnung'!$A$7:$A$2692,A2690)</x:f>
        <x:v>1</x:v>
      </x:c>
      <x:c r="E2690" s="11" t="n">
        <x:f>D2690-C2690</x:f>
        <x:v>0</x:v>
      </x:c>
      <x:c r="F2690" s="5" t="str">
        <x:v>nicht Pilot</x:v>
      </x:c>
      <x:c r="G2690" s="5" t="str">
        <x:v>HQ</x:v>
      </x:c>
    </x:row>
    <x:row r="2691" ht="36" customHeight="1">
      <x:c r="A2691" s="5" t="str">
        <x:v>PF-0206</x:v>
      </x:c>
      <x:c r="B2691" s="5" t="str">
        <x:v>Führung und Zusammenarbeit</x:v>
      </x:c>
      <x:c r="C2691" s="11" t="n">
        <x:v>1</x:v>
      </x:c>
      <x:c r="D2691" s="11" t="n">
        <x:f>COUNTIF('Einzel-ID-Zuordnung'!$A$7:$A$2692,A2691)</x:f>
        <x:v>1</x:v>
      </x:c>
      <x:c r="E2691" s="11" t="n">
        <x:f>D2691-C2691</x:f>
        <x:v>0</x:v>
      </x:c>
      <x:c r="F2691" s="5" t="str">
        <x:v>nicht Pilot</x:v>
      </x:c>
      <x:c r="G2691" s="5" t="str">
        <x:v>HQ</x:v>
      </x:c>
    </x:row>
    <x:row r="2692" ht="36" customHeight="1">
      <x:c r="A2692" s="5" t="str">
        <x:v>PF-0207</x:v>
      </x:c>
      <x:c r="B2692" s="5" t="str">
        <x:v>Führung und Zusammenarbeit</x:v>
      </x:c>
      <x:c r="C2692" s="11" t="n">
        <x:v>1</x:v>
      </x:c>
      <x:c r="D2692" s="11" t="n">
        <x:f>COUNTIF('Einzel-ID-Zuordnung'!$A$7:$A$2692,A2692)</x:f>
        <x:v>1</x:v>
      </x:c>
      <x:c r="E2692" s="11" t="n">
        <x:f>D2692-C2692</x:f>
        <x:v>0</x:v>
      </x:c>
      <x:c r="F2692" s="5" t="str">
        <x:v>nicht Pilot</x:v>
      </x:c>
      <x:c r="G2692" s="5" t="str">
        <x:v>HQ</x:v>
      </x:c>
    </x:row>
  </x:sheetData>
  <x:conditionalFormatting sqref="E7:E2692">
    <x:cfRule type="cellIs" dxfId="0" priority="1" operator="notEqual">
      <x:formula>0</x:formula>
    </x:cfRule>
  </x:conditionalFormatting>
  <x:pageMargins left="0.7" right="0.7" top="0.75" bottom="0.75" header="0.3" footer="0.3"/>
  <x:tableParts count="1">
    <x:tablePart xmlns:r="http://schemas.openxmlformats.org/officeDocument/2006/relationships" r:id="R04763b7d82034022"/>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35" hidden="0" customWidth="1"/>
    <x:col min="2" max="2" width="90" hidden="0" customWidth="1"/>
    <x:col min="3" max="3" width="140" hidden="0" customWidth="1"/>
    <x:col min="4" max="4" width="125" hidden="0" customWidth="1"/>
  </x:cols>
  <x:sheetData>
    <x:row r="2">
      <x:c r="A2" s="1" t="str">
        <x:v>Ein gemeinsames Sechs-Tabellen-Modell</x:v>
      </x:c>
    </x:row>
    <x:row r="4">
      <x:c r="A4" s="2" t="str">
        <x:v>Planung / Revisionsstand · 28.09.2026 · WIFA-TR-GESAMT-20260927-REV2-FREIGEGEBENE-GRENZFAELLE · keine produktive Änderung</x:v>
      </x:c>
    </x:row>
    <x:row r="6" ht="34" customHeight="1">
      <x:c r="A6" s="9" t="str">
        <x:v>Tabelle</x:v>
      </x:c>
      <x:c r="B6" s="9" t="str">
        <x:v>Umfang</x:v>
      </x:c>
      <x:c r="C6" s="9" t="str">
        <x:v>Felder und Regeln</x:v>
      </x:c>
      <x:c r="D6" s="9" t="str">
        <x:v>Schutz / Abhängigkeit</x:v>
      </x:c>
    </x:row>
    <x:row r="7" ht="55" customHeight="1">
      <x:c r="A7" s="5" t="str">
        <x:v>Trainer_Themen</x:v>
      </x:c>
      <x:c r="B7" s="5" t="str">
        <x:v>48 logische sichtbare Einträge: 38 neue + 10 Pilot; ausschließlich hieraus Optionen erzeugen</x:v>
      </x:c>
      <x:c r="C7" s="5" t="str">
        <x:v>Bestehende 9 Spalten erhalten. Zusätzlich FachKey und QuellfaecherJSON für explizite Quellfach-Allowlist planen. Anzeigename ist kein Schlüssel. Bei mehreren Quellfächern Quellfach nicht mit erfundenem Listenstring befüllen; neue Runtime verwendet FachKey/Allowlist.</x:v>
      </x:c>
      <x:c r="D7" s="5" t="str">
        <x:v>Pilotzeilen/Keys nicht umschreiben. Pro Fach aktivierbare Version; kein globaler Ersatz des Pilots.</x:v>
      </x:c>
    </x:row>
    <x:row r="8" ht="55" customHeight="1">
      <x:c r="A8" s="5" t="str">
        <x:v>Trainer_Detailgruppen</x:v>
      </x:c>
      <x:c r="B8" s="5" t="str">
        <x:v>196 interne Gruppen: 161 neue + 35 Pilot; UI-Elternkey Pflicht</x:v>
      </x:c>
      <x:c r="C8" s="5" t="str">
        <x:v>Zusätzlich FachKey. Quellfach bleibt einzeln; für verschiedene Quellfächer getrennte Detailkeys. RahmenplanPunktKey als interner Gruppenanker, individuelle Primärpunkte in Bezugstabelle.</x:v>
      </x:c>
      <x:c r="D8" s="5" t="str">
        <x:v>Kein UI-Fallback aus Detailgruppen. Gruppen nur intern; fehlende Inhalte dürfen ohne zugewiesene IDs in Abdeckung existieren.</x:v>
      </x:c>
    </x:row>
    <x:row r="9" ht="55" customHeight="1">
      <x:c r="A9" s="5" t="str">
        <x:v>Trainer_Zuordnung</x:v>
      </x:c>
      <x:c r="B9" s="5" t="str">
        <x:v>2686 eindeutige Primärzuordnungen: 1886 neue + 800 unveränderte Pilot-IDs</x:v>
      </x:c>
      <x:c r="C9" s="5" t="str">
        <x:v>Zusätzlich FachKey. Bestehende ID, Quellfach, DetailKey, DetailReihenfolge und UIReihenfolge beibehalten. Vor späterem Write vollständigen A:O-Snapshot und nach stabiler ID geprüften QuellzeilenSHA256 erzeugen.</x:v>
      </x:c>
      <x:c r="D9" s="5" t="str">
        <x:v>Der Plan-Lehrinhaltshash ist KEIN A:O-Schreibfreigabehash. Sortierung über UIReihenfolge, niemals physische Sheetzeile.</x:v>
      </x:c>
    </x:row>
    <x:row r="10" ht="55" customHeight="1">
      <x:c r="A10" s="5" t="str">
        <x:v>Trainer_Rahmenplanbezug</x:v>
      </x:c>
      <x:c r="B10" s="5" t="str">
        <x:v>Eine PRIMAER-Verknüpfung je ID; QUERVERWEIS separat; Belegstatus je Verbindung</x:v>
      </x:c>
      <x:c r="C10" s="5" t="str">
        <x:v>FachKey ergänzen. Bestehende Bezugsarten PRIMAER und QUERVERWEIS wiederverwenden, keine neue Runtime-Bezugsart BELEG. Fachlich geprüfte Belege werden über Belegstatus/Begründung an Primär- oder Querverbindung ausgedrückt.</x:v>
      </x:c>
      <x:c r="D10" s="5" t="str">
        <x:v>Analyse-Kandidaten bleiben in Abdeckung und sind keine ungeprüften Referenzzeilen. Referenzbelege können mehrere Punkte betreffen, Fragen werden nicht kopiert.</x:v>
      </x:c>
    </x:row>
    <x:row r="11" ht="55" customHeight="1">
      <x:c r="A11" s="5" t="str">
        <x:v>Rahmenplan_Abdeckung</x:v>
      </x:c>
      <x:c r="B11" s="5" t="str">
        <x:v>577 Knoten = 568 Inhaltspunkte + 9 Fachwurzeln; Pilot 71 Knoten unverändert</x:v>
      </x:c>
      <x:c r="C11" s="5" t="str">
        <x:v>Alle bestehenden Spalten weiterverwenden. FachKey optional ergänzen. Altstatus, neue Bewertung, Belege, Quellen und Prüfhinweis revisionssicher dokumentieren; Detailindex statt erfundener offizieller Nummer.</x:v>
      </x:c>
      <x:c r="D11" s="5" t="str">
        <x:v>Elternstatus aus Kindern, nicht umgekehrt; keine Vollständigkeit aus Poolgröße. Auditdaten bleiben außerhalb des Hot-Paths.</x:v>
      </x:c>
    </x:row>
    <x:row r="12" ht="55" customHeight="1">
      <x:c r="A12" s="5" t="str">
        <x:v>Trainer_Migrationen</x:v>
      </x:c>
      <x:c r="B12" s="5" t="str">
        <x:v>8 vorbereitete Fachmigrationen; Pilot-Migration bleibt erhalten</x:v>
      </x:c>
      <x:c r="C12" s="5" t="str">
        <x:v>Zusätzlich FachKey/Scope planen. MigrationID, Version, Vorversion, Hashes, Freigabe, Laufstatus und Rückfallversion pro Fach eindeutig. Globaler Release fasst freigegebene Fachmanifeste zusammen.</x:v>
      </x:c>
      <x:c r="D12" s="5" t="str">
        <x:v>Jeder Request prüft aktuellen Fach-/Migrationsstatus frisch. Rollback überschreibt Cachezustand sofort. Keine Nutzerleistungen zurücksetzen.</x:v>
      </x:c>
    </x:row>
  </x:sheetData>
  <x:pageMargins left="0.7" right="0.7" top="0.75" bottom="0.75" header="0.3" footer="0.3"/>
  <x:tableParts count="1">
    <x:tablePart xmlns:r="http://schemas.openxmlformats.org/officeDocument/2006/relationships" r:id="R7c07a43f5cc4431f"/>
  </x:tableParts>
</x:worksheet>
</file>

<file path=xl/worksheets/sheet15.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0" hidden="0" customWidth="1"/>
    <x:col min="2" max="2" width="75" hidden="0" customWidth="1"/>
    <x:col min="3" max="3" width="120" hidden="0" customWidth="1"/>
    <x:col min="4" max="4" width="24" hidden="0" customWidth="1"/>
    <x:col min="5" max="5" width="90" hidden="0" customWidth="1"/>
  </x:cols>
  <x:sheetData>
    <x:row r="2">
      <x:c r="A2" s="1" t="str">
        <x:v>Quellen und gezielte fachliche Gegenprüfung</x:v>
      </x:c>
    </x:row>
    <x:row r="4">
      <x:c r="A4" s="2" t="str">
        <x:v>Planung / Revisionsstand · 28.09.2026 · WIFA-TR-GESAMT-20260927-REV2-FREIGEGEBENE-GRENZFAELLE · keine produktive Änderung</x:v>
      </x:c>
    </x:row>
    <x:row r="6" ht="34" customHeight="1">
      <x:c r="A6" s="9" t="str">
        <x:v>Quellenkey</x:v>
      </x:c>
      <x:c r="B6" s="9" t="str">
        <x:v>Titel</x:v>
      </x:c>
      <x:c r="C6" s="9" t="str">
        <x:v>URL / Datei</x:v>
      </x:c>
      <x:c r="D6" s="9" t="str">
        <x:v>Gelesener Textumfang</x:v>
      </x:c>
      <x:c r="E6" s="9" t="str">
        <x:v>Nutzung</x:v>
      </x:c>
    </x:row>
    <x:row r="7" ht="36" customHeight="1">
      <x:c r="A7" s="5" t="str">
        <x:v>SOLL</x:v>
      </x:c>
      <x:c r="B7" s="5" t="str">
        <x:v>Rahmenplan Wirtschaftsfachwirt – Themenstruktur (Arbeitsgrundlage)</x:v>
      </x:c>
      <x:c r="C7" s="5" t="str">
        <x:v>https://docs.google.com/document/d/12fJglfNlGTnQ43VqXjepVjR3CwZbT6jEEsJaTwjVRm8/edit</x:v>
      </x:c>
      <x:c r="D7" s="12" t="n">
        <x:v>577</x:v>
      </x:c>
      <x:c r="E7" s="5" t="str">
        <x:v>Interne Hierarchie; 577 Knoten inkl. Fachwurzeln</x:v>
      </x:c>
    </x:row>
    <x:row r="8" ht="36" customHeight="1">
      <x:c r="A8" s="5" t="str">
        <x:v>IST</x:v>
      </x:c>
      <x:c r="B8" s="5" t="str">
        <x:v>WiFa-Trainer_Soll-Ist-Matrix_Trainer.xlsx</x:v>
      </x:c>
      <x:c r="C8" s="5" t="str">
        <x:v>../rahmenplan-soll-ist-2026-09-27/WiFa-Trainer_Soll-Ist-Matrix_Trainer.xlsx</x:v>
      </x:c>
      <x:c r="D8" s="12" t="n">
        <x:v>2686</x:v>
      </x:c>
      <x:c r="E8" s="5" t="str">
        <x:v>Soll-Ist-Matrix, Auffälligkeiten und Trainer-Datenindex</x:v>
      </x:c>
    </x:row>
    <x:row r="9" ht="36" customHeight="1">
      <x:c r="A9" s="5" t="str">
        <x:v>PILOT</x:v>
      </x:c>
      <x:c r="B9" s="5" t="str">
        <x:v>Migrationsplan Recht und Steuern Revision 2</x:v>
      </x:c>
      <x:c r="C9" s="5" t="str">
        <x:v>../pilot-migration-recht-steuern-2026-09-27/revision-v2/</x:v>
      </x:c>
      <x:c r="D9" s="12" t="n">
        <x:v>800</x:v>
      </x:c>
      <x:c r="E9" s="5" t="str">
        <x:v>MD, geprüfte XLSX und unverändertes Manifest</x:v>
      </x:c>
    </x:row>
    <x:row r="10" ht="36" customHeight="1">
      <x:c r="A10" s="5" t="str">
        <x:v>LIVE</x:v>
      </x:c>
      <x:c r="B10" s="5" t="str">
        <x:v>WiFa Prüfungs-Trainer</x:v>
      </x:c>
      <x:c r="C10" s="5" t="str">
        <x:v>https://docs.google.com/spreadsheets/d/1_PGsBBjPZcc48B1PvwS3XKNVrQgH6Rvarzg4zBbPa7Y/edit</x:v>
      </x:c>
      <x:c r="D10" s="12" t="n">
        <x:v>2686</x:v>
      </x:c>
      <x:c r="E10" s="5" t="str">
        <x:v>Aktive Lehrinhalte read-only, keine Nutzerleistungen gespeichert</x:v>
      </x:c>
    </x:row>
    <x:row r="11" ht="36" customHeight="1">
      <x:c r="A11" s="5" t="str">
        <x:v>RW_Buch</x:v>
      </x:c>
      <x:c r="B11" s="5" t="str">
        <x:v>Rechnungswesen – Fachbuch</x:v>
      </x:c>
      <x:c r="C11" s="5" t="str">
        <x:v>https://drive.google.com/file/d/1zqk_mU8Zd3PndqjplX63tnVyGMMXY0vCxM0O5AQw3us/view</x:v>
      </x:c>
      <x:c r="D11" s="12" t="n">
        <x:v>247869</x:v>
      </x:c>
      <x:c r="E11" s="5" t="str">
        <x:v>Gezielte Textstellenprüfung; Locator in Befundprüfung</x:v>
      </x:c>
    </x:row>
    <x:row r="12" ht="36" customHeight="1">
      <x:c r="A12" s="5" t="str">
        <x:v>RW_Skript</x:v>
      </x:c>
      <x:c r="B12" s="5" t="str">
        <x:v>Skript_Rechnungswesen_Cichy_Wirt16.pdf</x:v>
      </x:c>
      <x:c r="C12" s="5" t="str">
        <x:v>https://drive.google.com/file/d/1AynQtSVxGiIj_8TV9RkjbQcfY1uQAJQ4/view</x:v>
      </x:c>
      <x:c r="D12" s="12" t="n">
        <x:v>83778</x:v>
      </x:c>
      <x:c r="E12" s="5" t="str">
        <x:v>Gezielte Textstellenprüfung; Locator in Befundprüfung</x:v>
      </x:c>
    </x:row>
    <x:row r="13" ht="36" customHeight="1">
      <x:c r="A13" s="5" t="str">
        <x:v>UF_Buch</x:v>
      </x:c>
      <x:c r="B13" s="5" t="str">
        <x:v>Unternehmensführung</x:v>
      </x:c>
      <x:c r="C13" s="5" t="str">
        <x:v>https://drive.google.com/file/d/1TdExKekAL1ccNTi2rhwJHTVFlVMtk_gpUbiHhNFypjQ/view</x:v>
      </x:c>
      <x:c r="D13" s="12" t="n">
        <x:v>355715</x:v>
      </x:c>
      <x:c r="E13" s="5" t="str">
        <x:v>Gezielte Textstellenprüfung; Locator in Befundprüfung</x:v>
      </x:c>
    </x:row>
    <x:row r="14" ht="36" customHeight="1">
      <x:c r="A14" s="5" t="str">
        <x:v>UF_Skript</x:v>
      </x:c>
      <x:c r="B14" s="5" t="str">
        <x:v>Caumanns_WFW_WQ_Teil_1_Organsationsgestaltung_ab_Teil_B.pdf</x:v>
      </x:c>
      <x:c r="C14" s="5" t="str">
        <x:v>https://drive.google.com/file/d/1lQMJ9VzRLHJBgXf1vbXNFKh03eMsZBI8/view</x:v>
      </x:c>
      <x:c r="D14" s="12" t="n">
        <x:v>28904</x:v>
      </x:c>
      <x:c r="E14" s="5" t="str">
        <x:v>Gezielte Textstellenprüfung; Locator in Befundprüfung</x:v>
      </x:c>
    </x:row>
    <x:row r="15" ht="36" customHeight="1">
      <x:c r="A15" s="5" t="str">
        <x:v>BM_Buch</x:v>
      </x:c>
      <x:c r="B15" s="5" t="str">
        <x:v>Betriebliches Management – Fachbuch</x:v>
      </x:c>
      <x:c r="C15" s="5" t="str">
        <x:v>https://drive.google.com/file/d/1PtB953W3xqjxL3zEhdUnDGtTIDx1xWF2OO-yCrbuysw/view</x:v>
      </x:c>
      <x:c r="D15" s="12" t="n">
        <x:v>293435</x:v>
      </x:c>
      <x:c r="E15" s="5" t="str">
        <x:v>Gezielte Textstellenprüfung; Locator in Befundprüfung</x:v>
      </x:c>
    </x:row>
    <x:row r="16" ht="36" customHeight="1">
      <x:c r="A16" s="5" t="str">
        <x:v>BM_Skript</x:v>
      </x:c>
      <x:c r="B16" s="5" t="str">
        <x:v>4_Modul_Organisationsentwicklung.pdf</x:v>
      </x:c>
      <x:c r="C16" s="5" t="str">
        <x:v>https://drive.google.com/file/d/1jAK9UlLugsqtstExxgZ2B0GRmUZObGOA/view</x:v>
      </x:c>
      <x:c r="D16" s="12" t="n">
        <x:v>12426</x:v>
      </x:c>
      <x:c r="E16" s="5" t="str">
        <x:v>Gezielte Textstellenprüfung; Locator in Befundprüfung</x:v>
      </x:c>
    </x:row>
    <x:row r="17" ht="36" customHeight="1">
      <x:c r="A17" s="5" t="str">
        <x:v>BM_PE</x:v>
      </x:c>
      <x:c r="B17" s="5" t="str">
        <x:v>5_Modul_Personalentwicklung.pdf</x:v>
      </x:c>
      <x:c r="C17" s="5" t="str">
        <x:v>https://drive.google.com/file/d/1aG6JusikKDZkEeWmtLwDtOtHBafhE6LZ/view</x:v>
      </x:c>
      <x:c r="D17" s="12" t="n">
        <x:v>18646</x:v>
      </x:c>
      <x:c r="E17" s="5" t="str">
        <x:v>Gezielte Textstellenprüfung; Locator in Befundprüfung</x:v>
      </x:c>
    </x:row>
    <x:row r="18" ht="36" customHeight="1">
      <x:c r="A18" s="5" t="str">
        <x:v>BM_Plan</x:v>
      </x:c>
      <x:c r="B18" s="5" t="str">
        <x:v>3_Modul_KennzahlenEntscheidungen.pdf</x:v>
      </x:c>
      <x:c r="C18" s="5" t="str">
        <x:v>https://drive.google.com/file/d/1ZSJPnye3t9BRL_Ep2L04xhH3Jjf_a1Fg/view</x:v>
      </x:c>
      <x:c r="D18" s="12" t="n">
        <x:v>13142</x:v>
      </x:c>
      <x:c r="E18" s="5" t="str">
        <x:v>Gezielte Textstellenprüfung; Locator in Befundprüfung</x:v>
      </x:c>
    </x:row>
    <x:row r="19" ht="36" customHeight="1">
      <x:c r="A19" s="5" t="str">
        <x:v>IF_Buch</x:v>
      </x:c>
      <x:c r="B19" s="5" t="str">
        <x:v>Investition und Finanzierung</x:v>
      </x:c>
      <x:c r="C19" s="5" t="str">
        <x:v>https://drive.google.com/file/d/1NawmOMqXYTvWt4JHJxA-yUDLj4Pfmd7S2hi44spdPVU/view</x:v>
      </x:c>
      <x:c r="D19" s="12" t="n">
        <x:v>210730</x:v>
      </x:c>
      <x:c r="E19" s="5" t="str">
        <x:v>Gezielte Textstellenprüfung; Locator in Befundprüfung</x:v>
      </x:c>
    </x:row>
    <x:row r="20" ht="36" customHeight="1">
      <x:c r="A20" s="5" t="str">
        <x:v>IF_Skript</x:v>
      </x:c>
      <x:c r="B20" s="5" t="str">
        <x:v>Wirtschaftsfachwirte16_Skript_IFRC_Cichy.pdf</x:v>
      </x:c>
      <x:c r="C20" s="5" t="str">
        <x:v>https://drive.google.com/file/d/1yQQMeHsJWVX0VhOdAaL6Fv6GgZ3EM8ya/view</x:v>
      </x:c>
      <x:c r="D20" s="12" t="n">
        <x:v>99852</x:v>
      </x:c>
      <x:c r="E20" s="5" t="str">
        <x:v>Gezielte Textstellenprüfung; Locator in Befundprüfung</x:v>
      </x:c>
    </x:row>
    <x:row r="21" ht="36" customHeight="1">
      <x:c r="A21" s="5" t="str">
        <x:v>M_Buch</x:v>
      </x:c>
      <x:c r="B21" s="5" t="str">
        <x:v>Marketing – Fachbuch</x:v>
      </x:c>
      <x:c r="C21" s="5" t="str">
        <x:v>https://drive.google.com/file/d/11K4e63_LoN7tTg96Qp228fInxuqv9of27IF3i_Df1_o/view</x:v>
      </x:c>
      <x:c r="D21" s="12" t="n">
        <x:v>257438</x:v>
      </x:c>
      <x:c r="E21" s="5" t="str">
        <x:v>Gezielte Textstellenprüfung; Locator in Befundprüfung</x:v>
      </x:c>
    </x:row>
    <x:row r="22" ht="36" customHeight="1">
      <x:c r="A22" s="5" t="str">
        <x:v>V_Buch</x:v>
      </x:c>
      <x:c r="B22" s="5" t="str">
        <x:v>Vertrieb – Fachbuch</x:v>
      </x:c>
      <x:c r="C22" s="5" t="str">
        <x:v>https://drive.google.com/file/d/1XgUERuEkVij4rcNg_1lOIxJJAzySPK1JhxELFduojs8/view</x:v>
      </x:c>
      <x:c r="D22" s="12" t="n">
        <x:v>115167</x:v>
      </x:c>
      <x:c r="E22" s="5" t="str">
        <x:v>Gezielte Textstellenprüfung; Locator in Befundprüfung</x:v>
      </x:c>
    </x:row>
    <x:row r="23" ht="36" customHeight="1">
      <x:c r="A23" s="5" t="str">
        <x:v>MV_Skript</x:v>
      </x:c>
      <x:c r="B23" s="5" t="str">
        <x:v>Wirt_16_MuV_260817.pdf</x:v>
      </x:c>
      <x:c r="C23" s="5" t="str">
        <x:v>https://drive.google.com/file/d/1rtmwv28npk3_aAu69AawvmTJSGIDx4PV/view</x:v>
      </x:c>
      <x:c r="D23" s="12" t="n">
        <x:v>14916</x:v>
      </x:c>
      <x:c r="E23" s="5" t="str">
        <x:v>Gezielte Textstellenprüfung; Locator in Befundprüfung</x:v>
      </x:c>
    </x:row>
    <x:row r="24" ht="36" customHeight="1">
      <x:c r="A24" s="5" t="str">
        <x:v>MV_Skript2</x:v>
      </x:c>
      <x:c r="B24" s="5" t="str">
        <x:v>Wirt_16_MuV_260708.pdf</x:v>
      </x:c>
      <x:c r="C24" s="5" t="str">
        <x:v>https://drive.google.com/file/d/1wg0DdQuyWJ9tP9wRWGoplAWwvl71bW0x/view</x:v>
      </x:c>
      <x:c r="D24" s="12" t="n">
        <x:v>12171</x:v>
      </x:c>
      <x:c r="E24" s="5" t="str">
        <x:v>Gezielte Textstellenprüfung; Locator in Befundprüfung</x:v>
      </x:c>
    </x:row>
    <x:row r="25" ht="36" customHeight="1">
      <x:c r="A25" s="5" t="str">
        <x:v>L_Buch</x:v>
      </x:c>
      <x:c r="B25" s="5" t="str">
        <x:v>Logistik Fachbuch</x:v>
      </x:c>
      <x:c r="C25" s="5" t="str">
        <x:v>https://drive.google.com/file/d/1dTjZKEtPvRr9YAVhr7uSF9l9nGpJmrBQ5RygSCvve5k/view</x:v>
      </x:c>
      <x:c r="D25" s="12" t="n">
        <x:v>249671</x:v>
      </x:c>
      <x:c r="E25" s="5" t="str">
        <x:v>Gezielte Textstellenprüfung; Locator in Befundprüfung</x:v>
      </x:c>
    </x:row>
    <x:row r="26" ht="36" customHeight="1">
      <x:c r="A26" s="5" t="str">
        <x:v>L_Skript</x:v>
      </x:c>
      <x:c r="B26" s="5" t="str">
        <x:v>Logistik</x:v>
      </x:c>
      <x:c r="C26" s="5" t="str">
        <x:v>https://drive.google.com/file/d/1w4fGhKFNrzcRsPTBa88KlyUMmC60pzQ_vdwj214rx0M/view</x:v>
      </x:c>
      <x:c r="D26" s="12" t="n">
        <x:v>4570</x:v>
      </x:c>
      <x:c r="E26" s="5" t="str">
        <x:v>Gezielte Textstellenprüfung; Locator in Befundprüfung</x:v>
      </x:c>
    </x:row>
  </x:sheetData>
  <x:pageMargins left="0.7" right="0.7" top="0.75" bottom="0.75" header="0.3" footer="0.3"/>
  <x:tableParts count="1">
    <x:tablePart xmlns:r="http://schemas.openxmlformats.org/officeDocument/2006/relationships" r:id="R6f3fd6ebcb1d483e"/>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28" hidden="0" customWidth="1"/>
    <x:col min="2" max="2" width="155" hidden="0" customWidth="1"/>
  </x:cols>
  <x:sheetData>
    <x:row r="2">
      <x:c r="A2" s="1" t="str">
        <x:v>Methodik und Grenzen</x:v>
      </x:c>
    </x:row>
    <x:row r="4">
      <x:c r="A4" s="2" t="str">
        <x:v>Planung / Revisionsstand · 28.09.2026 · WIFA-TR-GESAMT-20260927-REV2-FREIGEGEBENE-GRENZFAELLE · keine produktive Änderung</x:v>
      </x:c>
    </x:row>
    <x:row r="6" ht="34" customHeight="1">
      <x:c r="A6" s="9" t="str">
        <x:v>Thema</x:v>
      </x:c>
      <x:c r="B6" s="9" t="str">
        <x:v>Regel</x:v>
      </x:c>
    </x:row>
    <x:row r="7" ht="36" customHeight="1">
      <x:c r="A7" s="5" t="str">
        <x:v>Status</x:v>
      </x:c>
      <x:c r="B7" s="5" t="str">
        <x:v>Fachlich revidierte Planung; keine Freigabe zur technischen Aktivierung</x:v>
      </x:c>
    </x:row>
    <x:row r="8" ht="105" customHeight="1">
      <x:c r="A8" s="5" t="str">
        <x:v>Zuordnungsmethode</x:v>
      </x:c>
      <x:c r="B8" s="5" t="str">
        <x:v>Die Planung ist ein vollständiger, filterbarer Zuordnungsvorschlag, keine Aktivierungsfreigabe. Die 1.886 neuen Primärzuordnungen wurden aus bestehendem Lernthema, Frage-/Lösungsinhalt und der Soll-Ist-Kandidatenstruktur abgeleitet; gezielte Einzelentscheidungen haben Vorrang. Nicht jeder Vorschlag ist auf den tiefstmöglichen Blattpunkt festgelegt: ein fachlich passender konkreter Unterbereich ist zulässig, während weitere Blattpunkt-Kandidaten gesondert und ungeprüft bleiben. Insbesondere sind weder Routing-Zuordnung noch Kandidatenliste automatisch Abdeckungsbelege. Eine allgemeine rechtliche Aktualitätsprüfung aller Lehrinhalte war nicht Gegenstand. Bücher/Skripte wurden gezielt an Grenzfällen geprüft, nicht vollständig erneut begutachtet. Die Arbeitsgrundlage enthält keine Anwendungstaxonomie; allein eine fehlende zusätzliche Rechen-/Fallfrage begründet daher keine neue Rahmenplanlücke.</x:v>
      </x:c>
    </x:row>
    <x:row r="9" ht="36" customHeight="1">
      <x:c r="A9" s="5" t="str">
        <x:v>Primärpunkt</x:v>
      </x:c>
      <x:c r="B9" s="5" t="str">
        <x:v>Ein konkreter Unterbereich muss passen; nicht jede ID benötigt zwangsläufig den tiefsten Unterpunkt. Nachrangige Kandidaten werden nicht als geprüfte Bezüge importiert.</x:v>
      </x:c>
    </x:row>
    <x:row r="10" ht="36" customHeight="1">
      <x:c r="A10" s="5" t="str">
        <x:v>Abdeckung</x:v>
      </x:c>
      <x:c r="B10" s="5" t="str">
        <x:v>19 Sachfragen gezielt nachgeprüft, alle 41 ursprünglichen Problemknoten nachvollziehbar bewertet. Andere Bewertungen aus der Ausgangsanalyse übernommen, nicht als neue Vollprüfung ausgeben.</x:v>
      </x:c>
    </x:row>
    <x:row r="11" ht="36" customHeight="1">
      <x:c r="A11" s="5" t="str">
        <x:v>Belegrolle</x:v>
      </x:c>
      <x:c r="B11" s="5" t="str">
        <x:v>BELEG im Plan ist keine neue Backend-Bezugsart. Beim späteren Import bestehende PRIMAER/QUERVERWEIS und Belegstatus verwenden.</x:v>
      </x:c>
    </x:row>
    <x:row r="12" ht="36" customHeight="1">
      <x:c r="A12" s="5" t="str">
        <x:v>Sortierung</x:v>
      </x:c>
      <x:c r="B12" s="5" t="str">
        <x:v>Neue UI-Reihenfolge nach Quellfach/ID eingefroren. Pilotfolgen unverändert. Reihenfolge unabhängig von interner Gruppe.</x:v>
      </x:c>
    </x:row>
    <x:row r="13" ht="36" customHeight="1">
      <x:c r="A13" s="5" t="str">
        <x:v>Datenherkunft</x:v>
      </x:c>
      <x:c r="B13" s="5" t="str">
        <x:v>ID-Gesamtmenge live bestätigt. Index-Fragen auf 420 Zeichen gekürzt; keine Identität anhand alter Zeilennummern. Lehrinhaltshash kein A:O-Hash.</x:v>
      </x:c>
    </x:row>
    <x:row r="14" ht="36" customHeight="1">
      <x:c r="A14" s="5" t="str">
        <x:v>Freigabe</x:v>
      </x:c>
      <x:c r="B14" s="5" t="str">
        <x:v>Fachentscheidungen E01–E08 sind übernommen. Vor Aktivierung bleiben technische Fachgates und Mehrquellenverträge verpflichtend.</x:v>
      </x:c>
    </x:row>
    <x:row r="15" ht="36" customHeight="1">
      <x:c r="A15" s="5" t="str">
        <x:v>Quellspalten</x:v>
      </x:c>
      <x:c r="B15" s="5" t="str">
        <x:v>A:O bleiben unangetastet. Kein Sheetwrite, kein Anwendungscodeedit, kein Deployment, Commit oder Push.</x:v>
      </x:c>
    </x:row>
  </x:sheetData>
  <x:pageMargins left="0.7" right="0.7" top="0.75" bottom="0.75" header="0.3" footer="0.3"/>
  <x:tableParts count="1">
    <x:tablePart xmlns:r="http://schemas.openxmlformats.org/officeDocument/2006/relationships" r:id="R052e61e6d2634387"/>
  </x:tableParts>
</x:worksheet>
</file>